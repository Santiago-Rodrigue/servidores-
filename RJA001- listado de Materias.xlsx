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 desarrollo\Documents\00-REGISTROS\"/>
    </mc:Choice>
  </mc:AlternateContent>
  <bookViews>
    <workbookView xWindow="0" yWindow="0" windowWidth="15600" windowHeight="6450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Hoja1!$A$1:$AJ$182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2" i="1"/>
  <c r="P2" i="1" l="1"/>
  <c r="R2" i="1"/>
  <c r="T2" i="1"/>
  <c r="V2" i="1"/>
  <c r="X2" i="1"/>
  <c r="P3" i="1"/>
  <c r="R3" i="1"/>
  <c r="T3" i="1"/>
  <c r="V3" i="1"/>
  <c r="X3" i="1"/>
  <c r="P4" i="1"/>
  <c r="R4" i="1"/>
  <c r="T4" i="1"/>
  <c r="V4" i="1"/>
  <c r="X4" i="1"/>
  <c r="P5" i="1"/>
  <c r="R5" i="1"/>
  <c r="T5" i="1"/>
  <c r="V5" i="1"/>
  <c r="X5" i="1"/>
  <c r="P6" i="1"/>
  <c r="R6" i="1"/>
  <c r="T6" i="1"/>
  <c r="V6" i="1"/>
  <c r="X6" i="1"/>
  <c r="P7" i="1"/>
  <c r="R7" i="1"/>
  <c r="T7" i="1"/>
  <c r="V7" i="1"/>
  <c r="X7" i="1"/>
  <c r="P8" i="1"/>
  <c r="R8" i="1"/>
  <c r="T8" i="1"/>
  <c r="V8" i="1"/>
  <c r="X8" i="1"/>
  <c r="P9" i="1"/>
  <c r="R9" i="1"/>
  <c r="T9" i="1"/>
  <c r="V9" i="1"/>
  <c r="X9" i="1"/>
  <c r="X140" i="1"/>
  <c r="V140" i="1"/>
  <c r="T140" i="1"/>
  <c r="R140" i="1"/>
  <c r="P140" i="1"/>
  <c r="X136" i="1"/>
  <c r="V136" i="1"/>
  <c r="T136" i="1"/>
  <c r="R136" i="1"/>
  <c r="P136" i="1"/>
  <c r="X135" i="1"/>
  <c r="V135" i="1"/>
  <c r="T135" i="1"/>
  <c r="R135" i="1"/>
  <c r="P135" i="1"/>
  <c r="X134" i="1"/>
  <c r="V134" i="1"/>
  <c r="T134" i="1"/>
  <c r="R134" i="1"/>
  <c r="P134" i="1"/>
  <c r="X133" i="1"/>
  <c r="V133" i="1"/>
  <c r="T133" i="1"/>
  <c r="R133" i="1"/>
  <c r="P133" i="1"/>
  <c r="X132" i="1"/>
  <c r="V132" i="1"/>
  <c r="T132" i="1"/>
  <c r="R132" i="1"/>
  <c r="P132" i="1"/>
  <c r="X128" i="1"/>
  <c r="V128" i="1"/>
  <c r="T128" i="1"/>
  <c r="R128" i="1"/>
  <c r="P128" i="1"/>
  <c r="X127" i="1"/>
  <c r="V127" i="1"/>
  <c r="T127" i="1"/>
  <c r="R127" i="1"/>
  <c r="P127" i="1"/>
  <c r="X126" i="1"/>
  <c r="V126" i="1"/>
  <c r="T126" i="1"/>
  <c r="R126" i="1"/>
  <c r="P126" i="1"/>
  <c r="X125" i="1"/>
  <c r="V125" i="1"/>
  <c r="T125" i="1"/>
  <c r="R125" i="1"/>
  <c r="P125" i="1"/>
  <c r="X124" i="1"/>
  <c r="V124" i="1"/>
  <c r="T124" i="1"/>
  <c r="R124" i="1"/>
  <c r="P124" i="1"/>
  <c r="X119" i="1"/>
  <c r="V119" i="1"/>
  <c r="T119" i="1"/>
  <c r="R119" i="1"/>
  <c r="P119" i="1"/>
  <c r="X118" i="1"/>
  <c r="V118" i="1"/>
  <c r="T118" i="1"/>
  <c r="R118" i="1"/>
  <c r="P118" i="1"/>
  <c r="X117" i="1"/>
  <c r="V117" i="1"/>
  <c r="T117" i="1"/>
  <c r="R117" i="1"/>
  <c r="P117" i="1"/>
  <c r="X116" i="1"/>
  <c r="V116" i="1"/>
  <c r="T116" i="1"/>
  <c r="R116" i="1"/>
  <c r="P116" i="1"/>
  <c r="X115" i="1"/>
  <c r="V115" i="1"/>
  <c r="T115" i="1"/>
  <c r="R115" i="1"/>
  <c r="P115" i="1"/>
  <c r="X114" i="1"/>
  <c r="V114" i="1"/>
  <c r="T114" i="1"/>
  <c r="R114" i="1"/>
  <c r="P114" i="1"/>
  <c r="X113" i="1"/>
  <c r="V113" i="1"/>
  <c r="T113" i="1"/>
  <c r="R113" i="1"/>
  <c r="P113" i="1"/>
  <c r="X112" i="1"/>
  <c r="V112" i="1"/>
  <c r="T112" i="1"/>
  <c r="R112" i="1"/>
  <c r="P112" i="1"/>
  <c r="X111" i="1"/>
  <c r="V111" i="1"/>
  <c r="T111" i="1"/>
  <c r="R111" i="1"/>
  <c r="P111" i="1"/>
  <c r="X110" i="1"/>
  <c r="V110" i="1"/>
  <c r="T110" i="1"/>
  <c r="R110" i="1"/>
  <c r="P110" i="1"/>
  <c r="X105" i="1"/>
  <c r="V105" i="1"/>
  <c r="T105" i="1"/>
  <c r="R105" i="1"/>
  <c r="P105" i="1"/>
  <c r="X104" i="1"/>
  <c r="V104" i="1"/>
  <c r="T104" i="1"/>
  <c r="R104" i="1"/>
  <c r="P104" i="1"/>
  <c r="X103" i="1"/>
  <c r="V103" i="1"/>
  <c r="T103" i="1"/>
  <c r="R103" i="1"/>
  <c r="P103" i="1"/>
  <c r="X102" i="1"/>
  <c r="V102" i="1"/>
  <c r="T102" i="1"/>
  <c r="R102" i="1"/>
  <c r="P102" i="1"/>
  <c r="X101" i="1"/>
  <c r="V101" i="1"/>
  <c r="T101" i="1"/>
  <c r="R101" i="1"/>
  <c r="P101" i="1"/>
  <c r="X100" i="1"/>
  <c r="V100" i="1"/>
  <c r="T100" i="1"/>
  <c r="R100" i="1"/>
  <c r="P100" i="1"/>
  <c r="X99" i="1"/>
  <c r="V99" i="1"/>
  <c r="T99" i="1"/>
  <c r="R99" i="1"/>
  <c r="P99" i="1"/>
  <c r="X98" i="1"/>
  <c r="V98" i="1"/>
  <c r="T98" i="1"/>
  <c r="R98" i="1"/>
  <c r="P98" i="1"/>
  <c r="X97" i="1"/>
  <c r="V97" i="1"/>
  <c r="T97" i="1"/>
  <c r="R97" i="1"/>
  <c r="P97" i="1"/>
  <c r="X96" i="1"/>
  <c r="V96" i="1"/>
  <c r="T96" i="1"/>
  <c r="R96" i="1"/>
  <c r="P96" i="1"/>
  <c r="X91" i="1"/>
  <c r="V91" i="1"/>
  <c r="T91" i="1"/>
  <c r="R91" i="1"/>
  <c r="P91" i="1"/>
  <c r="X90" i="1"/>
  <c r="V90" i="1"/>
  <c r="T90" i="1"/>
  <c r="R90" i="1"/>
  <c r="P90" i="1"/>
  <c r="X89" i="1"/>
  <c r="V89" i="1"/>
  <c r="T89" i="1"/>
  <c r="R89" i="1"/>
  <c r="P89" i="1"/>
  <c r="X88" i="1"/>
  <c r="V88" i="1"/>
  <c r="T88" i="1"/>
  <c r="R88" i="1"/>
  <c r="P88" i="1"/>
  <c r="X87" i="1"/>
  <c r="V87" i="1"/>
  <c r="T87" i="1"/>
  <c r="R87" i="1"/>
  <c r="P87" i="1"/>
  <c r="X86" i="1"/>
  <c r="V86" i="1"/>
  <c r="T86" i="1"/>
  <c r="R86" i="1"/>
  <c r="P86" i="1"/>
  <c r="X85" i="1"/>
  <c r="V85" i="1"/>
  <c r="T85" i="1"/>
  <c r="R85" i="1"/>
  <c r="P85" i="1"/>
  <c r="X84" i="1"/>
  <c r="V84" i="1"/>
  <c r="T84" i="1"/>
  <c r="R84" i="1"/>
  <c r="P84" i="1"/>
  <c r="X83" i="1"/>
  <c r="V83" i="1"/>
  <c r="T83" i="1"/>
  <c r="R83" i="1"/>
  <c r="P83" i="1"/>
  <c r="X78" i="1"/>
  <c r="V78" i="1"/>
  <c r="T78" i="1"/>
  <c r="R78" i="1"/>
  <c r="P78" i="1"/>
  <c r="X77" i="1"/>
  <c r="V77" i="1"/>
  <c r="T77" i="1"/>
  <c r="R77" i="1"/>
  <c r="P77" i="1"/>
  <c r="X76" i="1"/>
  <c r="V76" i="1"/>
  <c r="T76" i="1"/>
  <c r="R76" i="1"/>
  <c r="P76" i="1"/>
  <c r="X75" i="1"/>
  <c r="V75" i="1"/>
  <c r="T75" i="1"/>
  <c r="R75" i="1"/>
  <c r="P75" i="1"/>
  <c r="X74" i="1"/>
  <c r="V74" i="1"/>
  <c r="T74" i="1"/>
  <c r="R74" i="1"/>
  <c r="P74" i="1"/>
  <c r="X73" i="1"/>
  <c r="V73" i="1"/>
  <c r="T73" i="1"/>
  <c r="R73" i="1"/>
  <c r="P73" i="1"/>
  <c r="X72" i="1"/>
  <c r="V72" i="1"/>
  <c r="T72" i="1"/>
  <c r="R72" i="1"/>
  <c r="P72" i="1"/>
  <c r="X71" i="1"/>
  <c r="V71" i="1"/>
  <c r="T71" i="1"/>
  <c r="R71" i="1"/>
  <c r="P71" i="1"/>
  <c r="X70" i="1"/>
  <c r="V70" i="1"/>
  <c r="T70" i="1"/>
  <c r="R70" i="1"/>
  <c r="P70" i="1"/>
  <c r="X66" i="1"/>
  <c r="V66" i="1"/>
  <c r="T66" i="1"/>
  <c r="R66" i="1"/>
  <c r="P66" i="1"/>
  <c r="X65" i="1"/>
  <c r="V65" i="1"/>
  <c r="T65" i="1"/>
  <c r="R65" i="1"/>
  <c r="P65" i="1"/>
  <c r="X64" i="1"/>
  <c r="V64" i="1"/>
  <c r="T64" i="1"/>
  <c r="R64" i="1"/>
  <c r="P64" i="1"/>
  <c r="X63" i="1"/>
  <c r="V63" i="1"/>
  <c r="T63" i="1"/>
  <c r="R63" i="1"/>
  <c r="P63" i="1"/>
  <c r="X62" i="1"/>
  <c r="V62" i="1"/>
  <c r="T62" i="1"/>
  <c r="R62" i="1"/>
  <c r="P62" i="1"/>
  <c r="X61" i="1"/>
  <c r="V61" i="1"/>
  <c r="T61" i="1"/>
  <c r="R61" i="1"/>
  <c r="P61" i="1"/>
  <c r="X60" i="1"/>
  <c r="V60" i="1"/>
  <c r="T60" i="1"/>
  <c r="R60" i="1"/>
  <c r="P60" i="1"/>
  <c r="X59" i="1"/>
  <c r="V59" i="1"/>
  <c r="T59" i="1"/>
  <c r="R59" i="1"/>
  <c r="P59" i="1"/>
  <c r="X58" i="1"/>
  <c r="V58" i="1"/>
  <c r="T58" i="1"/>
  <c r="R58" i="1"/>
  <c r="P58" i="1"/>
  <c r="X57" i="1"/>
  <c r="V57" i="1"/>
  <c r="T57" i="1"/>
  <c r="R57" i="1"/>
  <c r="P57" i="1"/>
  <c r="X56" i="1"/>
  <c r="V56" i="1"/>
  <c r="T56" i="1"/>
  <c r="R56" i="1"/>
  <c r="P56" i="1"/>
  <c r="X51" i="1"/>
  <c r="V51" i="1"/>
  <c r="T51" i="1"/>
  <c r="R51" i="1"/>
  <c r="P51" i="1"/>
  <c r="X50" i="1"/>
  <c r="V50" i="1"/>
  <c r="T50" i="1"/>
  <c r="R50" i="1"/>
  <c r="P50" i="1"/>
  <c r="X49" i="1"/>
  <c r="V49" i="1"/>
  <c r="T49" i="1"/>
  <c r="R49" i="1"/>
  <c r="P49" i="1"/>
  <c r="X48" i="1"/>
  <c r="V48" i="1"/>
  <c r="T48" i="1"/>
  <c r="R48" i="1"/>
  <c r="P48" i="1"/>
  <c r="X47" i="1"/>
  <c r="V47" i="1"/>
  <c r="T47" i="1"/>
  <c r="R47" i="1"/>
  <c r="P47" i="1"/>
  <c r="X46" i="1"/>
  <c r="V46" i="1"/>
  <c r="T46" i="1"/>
  <c r="R46" i="1"/>
  <c r="P46" i="1"/>
  <c r="X45" i="1"/>
  <c r="V45" i="1"/>
  <c r="T45" i="1"/>
  <c r="R45" i="1"/>
  <c r="P45" i="1"/>
  <c r="X44" i="1"/>
  <c r="V44" i="1"/>
  <c r="T44" i="1"/>
  <c r="R44" i="1"/>
  <c r="P44" i="1"/>
  <c r="X43" i="1"/>
  <c r="V43" i="1"/>
  <c r="T43" i="1"/>
  <c r="R43" i="1"/>
  <c r="P43" i="1"/>
  <c r="X42" i="1"/>
  <c r="V42" i="1"/>
  <c r="T42" i="1"/>
  <c r="R42" i="1"/>
  <c r="P42" i="1"/>
  <c r="X37" i="1"/>
  <c r="V37" i="1"/>
  <c r="T37" i="1"/>
  <c r="R37" i="1"/>
  <c r="P37" i="1"/>
  <c r="X36" i="1"/>
  <c r="V36" i="1"/>
  <c r="T36" i="1"/>
  <c r="R36" i="1"/>
  <c r="P36" i="1"/>
  <c r="X35" i="1"/>
  <c r="V35" i="1"/>
  <c r="T35" i="1"/>
  <c r="R35" i="1"/>
  <c r="P35" i="1"/>
  <c r="X34" i="1"/>
  <c r="V34" i="1"/>
  <c r="T34" i="1"/>
  <c r="R34" i="1"/>
  <c r="P34" i="1"/>
  <c r="X33" i="1"/>
  <c r="V33" i="1"/>
  <c r="T33" i="1"/>
  <c r="R33" i="1"/>
  <c r="P33" i="1"/>
  <c r="X32" i="1"/>
  <c r="V32" i="1"/>
  <c r="T32" i="1"/>
  <c r="R32" i="1"/>
  <c r="P32" i="1"/>
  <c r="X31" i="1"/>
  <c r="V31" i="1"/>
  <c r="T31" i="1"/>
  <c r="R31" i="1"/>
  <c r="P31" i="1"/>
  <c r="X30" i="1"/>
  <c r="V30" i="1"/>
  <c r="T30" i="1"/>
  <c r="R30" i="1"/>
  <c r="P30" i="1"/>
  <c r="X29" i="1"/>
  <c r="V29" i="1"/>
  <c r="T29" i="1"/>
  <c r="R29" i="1"/>
  <c r="P29" i="1"/>
  <c r="X28" i="1"/>
  <c r="V28" i="1"/>
  <c r="T28" i="1"/>
  <c r="R28" i="1"/>
  <c r="P28" i="1"/>
  <c r="X23" i="1"/>
  <c r="V23" i="1"/>
  <c r="T23" i="1"/>
  <c r="R23" i="1"/>
  <c r="P23" i="1"/>
  <c r="X22" i="1"/>
  <c r="V22" i="1"/>
  <c r="T22" i="1"/>
  <c r="R22" i="1"/>
  <c r="P22" i="1"/>
  <c r="X21" i="1"/>
  <c r="V21" i="1"/>
  <c r="T21" i="1"/>
  <c r="R21" i="1"/>
  <c r="P21" i="1"/>
  <c r="X20" i="1"/>
  <c r="V20" i="1"/>
  <c r="T20" i="1"/>
  <c r="R20" i="1"/>
  <c r="P20" i="1"/>
  <c r="X19" i="1"/>
  <c r="V19" i="1"/>
  <c r="T19" i="1"/>
  <c r="R19" i="1"/>
  <c r="P19" i="1"/>
  <c r="X18" i="1"/>
  <c r="V18" i="1"/>
  <c r="T18" i="1"/>
  <c r="R18" i="1"/>
  <c r="P18" i="1"/>
  <c r="X17" i="1"/>
  <c r="V17" i="1"/>
  <c r="T17" i="1"/>
  <c r="R17" i="1"/>
  <c r="P17" i="1"/>
  <c r="X16" i="1"/>
  <c r="V16" i="1"/>
  <c r="T16" i="1"/>
  <c r="R16" i="1"/>
  <c r="P16" i="1"/>
  <c r="X15" i="1"/>
  <c r="V15" i="1"/>
  <c r="T15" i="1"/>
  <c r="R15" i="1"/>
  <c r="P15" i="1"/>
  <c r="X14" i="1"/>
  <c r="V14" i="1"/>
  <c r="T14" i="1"/>
  <c r="R14" i="1"/>
  <c r="P14" i="1"/>
  <c r="A18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2" i="1"/>
  <c r="A132" i="1" l="1"/>
  <c r="A12" i="1" l="1"/>
  <c r="A41" i="1" l="1"/>
  <c r="A40" i="1"/>
  <c r="A39" i="1"/>
  <c r="A38" i="1"/>
  <c r="A27" i="1"/>
  <c r="A13" i="1"/>
  <c r="A145" i="1" l="1"/>
  <c r="A144" i="1"/>
  <c r="A143" i="1"/>
  <c r="A141" i="1"/>
  <c r="A142" i="1"/>
  <c r="A140" i="1"/>
  <c r="A139" i="1" l="1"/>
  <c r="A138" i="1"/>
  <c r="A137" i="1"/>
  <c r="A136" i="1"/>
  <c r="A135" i="1"/>
  <c r="A134" i="1"/>
  <c r="A133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37" i="1"/>
  <c r="A36" i="1"/>
  <c r="A35" i="1"/>
  <c r="A34" i="1"/>
  <c r="A33" i="1"/>
  <c r="A32" i="1"/>
  <c r="A31" i="1"/>
  <c r="A30" i="1"/>
  <c r="A29" i="1"/>
  <c r="A28" i="1"/>
  <c r="A26" i="1"/>
  <c r="A25" i="1"/>
  <c r="A24" i="1"/>
  <c r="A23" i="1"/>
  <c r="A22" i="1"/>
  <c r="A21" i="1"/>
  <c r="A20" i="1"/>
  <c r="A19" i="1"/>
  <c r="A17" i="1"/>
  <c r="A16" i="1"/>
  <c r="A15" i="1"/>
  <c r="A14" i="1"/>
  <c r="A11" i="1"/>
  <c r="A10" i="1"/>
  <c r="A9" i="1"/>
  <c r="A8" i="1"/>
  <c r="A7" i="1"/>
  <c r="A6" i="1"/>
  <c r="A5" i="1"/>
  <c r="A4" i="1"/>
  <c r="A3" i="1"/>
  <c r="A2" i="1"/>
  <c r="Q95" i="1" l="1"/>
  <c r="Q89" i="1"/>
  <c r="Q83" i="1"/>
  <c r="Q68" i="1"/>
  <c r="O62" i="1"/>
  <c r="O56" i="1"/>
  <c r="U50" i="1"/>
  <c r="U44" i="1"/>
  <c r="T52" i="1"/>
  <c r="R81" i="1"/>
  <c r="S75" i="1"/>
  <c r="P69" i="1"/>
  <c r="X52" i="1"/>
  <c r="O94" i="1"/>
  <c r="Q88" i="1"/>
  <c r="Q82" i="1"/>
  <c r="O67" i="1"/>
  <c r="O61" i="1"/>
  <c r="W54" i="1"/>
  <c r="W48" i="1"/>
  <c r="W42" i="1"/>
  <c r="X95" i="1"/>
  <c r="V80" i="1"/>
  <c r="S74" i="1"/>
  <c r="X68" i="1"/>
  <c r="W95" i="1"/>
  <c r="Q90" i="1"/>
  <c r="Q84" i="1"/>
  <c r="W68" i="1"/>
  <c r="O63" i="1"/>
  <c r="O57" i="1"/>
  <c r="U51" i="1"/>
  <c r="U45" i="1"/>
  <c r="U75" i="1"/>
  <c r="O132" i="1"/>
  <c r="R27" i="1"/>
  <c r="W27" i="1"/>
  <c r="Q27" i="1"/>
  <c r="V27" i="1"/>
  <c r="P27" i="1"/>
  <c r="S140" i="1"/>
  <c r="U134" i="1"/>
  <c r="O111" i="1"/>
  <c r="O118" i="1"/>
  <c r="Q119" i="1"/>
  <c r="O114" i="1"/>
  <c r="R120" i="1"/>
  <c r="T106" i="1"/>
  <c r="X109" i="1"/>
  <c r="O122" i="1"/>
  <c r="O136" i="1"/>
  <c r="S137" i="1"/>
  <c r="W4" i="1"/>
  <c r="W139" i="1"/>
  <c r="U126" i="1"/>
  <c r="U138" i="1"/>
  <c r="U127" i="1"/>
  <c r="W99" i="1"/>
  <c r="S106" i="1"/>
  <c r="W113" i="1"/>
  <c r="X11" i="1"/>
  <c r="S108" i="1"/>
  <c r="W6" i="1"/>
  <c r="W117" i="1"/>
  <c r="U124" i="1"/>
  <c r="P139" i="1"/>
  <c r="T139" i="1"/>
  <c r="W98" i="1"/>
  <c r="Q94" i="1"/>
  <c r="W87" i="1"/>
  <c r="Q93" i="1"/>
  <c r="O87" i="1"/>
  <c r="S81" i="1"/>
  <c r="W65" i="1"/>
  <c r="W59" i="1"/>
  <c r="S54" i="1"/>
  <c r="S48" i="1"/>
  <c r="S42" i="1"/>
  <c r="P94" i="1"/>
  <c r="R79" i="1"/>
  <c r="Q73" i="1"/>
  <c r="P67" i="1"/>
  <c r="U78" i="1"/>
  <c r="O92" i="1"/>
  <c r="O86" i="1"/>
  <c r="Q80" i="1"/>
  <c r="W64" i="1"/>
  <c r="W58" i="1"/>
  <c r="W52" i="1"/>
  <c r="U46" i="1"/>
  <c r="T79" i="1"/>
  <c r="X93" i="1"/>
  <c r="Q78" i="1"/>
  <c r="Q72" i="1"/>
  <c r="V55" i="1"/>
  <c r="T80" i="1"/>
  <c r="W93" i="1"/>
  <c r="O88" i="1"/>
  <c r="U81" i="1"/>
  <c r="W66" i="1"/>
  <c r="W60" i="1"/>
  <c r="U55" i="1"/>
  <c r="S49" i="1"/>
  <c r="S43" i="1"/>
  <c r="R67" i="1"/>
  <c r="T13" i="1"/>
  <c r="U13" i="1"/>
  <c r="U27" i="1"/>
  <c r="V13" i="1"/>
  <c r="T27" i="1"/>
  <c r="Q140" i="1"/>
  <c r="U97" i="1"/>
  <c r="O110" i="1"/>
  <c r="X129" i="1"/>
  <c r="V130" i="1"/>
  <c r="X138" i="1"/>
  <c r="S133" i="1"/>
  <c r="W102" i="1"/>
  <c r="U96" i="1"/>
  <c r="P121" i="1"/>
  <c r="S99" i="1"/>
  <c r="V106" i="1"/>
  <c r="X107" i="1"/>
  <c r="U108" i="1"/>
  <c r="W10" i="1"/>
  <c r="S98" i="1"/>
  <c r="W5" i="1"/>
  <c r="S104" i="1"/>
  <c r="W123" i="1"/>
  <c r="X130" i="1"/>
  <c r="W108" i="1"/>
  <c r="Q117" i="1"/>
  <c r="S103" i="1"/>
  <c r="O116" i="1"/>
  <c r="Q129" i="1"/>
  <c r="P137" i="1"/>
  <c r="O135" i="1"/>
  <c r="U109" i="1"/>
  <c r="Q122" i="1"/>
  <c r="U129" i="1"/>
  <c r="O137" i="1"/>
  <c r="O138" i="1"/>
  <c r="S139" i="1"/>
  <c r="S124" i="1"/>
  <c r="U103" i="1"/>
  <c r="W129" i="1"/>
  <c r="V139" i="1"/>
  <c r="S109" i="1"/>
  <c r="W136" i="1"/>
  <c r="P123" i="1"/>
  <c r="W8" i="1"/>
  <c r="S96" i="1"/>
  <c r="T107" i="1"/>
  <c r="W84" i="1"/>
  <c r="Q64" i="1"/>
  <c r="Q92" i="1"/>
  <c r="Q86" i="1"/>
  <c r="S80" i="1"/>
  <c r="O65" i="1"/>
  <c r="O59" i="1"/>
  <c r="S53" i="1"/>
  <c r="U47" i="1"/>
  <c r="T82" i="1"/>
  <c r="P93" i="1"/>
  <c r="S78" i="1"/>
  <c r="S72" i="1"/>
  <c r="X55" i="1"/>
  <c r="S73" i="1"/>
  <c r="Q91" i="1"/>
  <c r="Q85" i="1"/>
  <c r="Q79" i="1"/>
  <c r="O64" i="1"/>
  <c r="O58" i="1"/>
  <c r="W51" i="1"/>
  <c r="W45" i="1"/>
  <c r="Q74" i="1"/>
  <c r="X92" i="1"/>
  <c r="S77" i="1"/>
  <c r="S71" i="1"/>
  <c r="V54" i="1"/>
  <c r="Q77" i="1"/>
  <c r="W92" i="1"/>
  <c r="Q87" i="1"/>
  <c r="U80" i="1"/>
  <c r="O66" i="1"/>
  <c r="O60" i="1"/>
  <c r="U54" i="1"/>
  <c r="U48" i="1"/>
  <c r="U42" i="1"/>
  <c r="T54" i="1"/>
  <c r="R13" i="1"/>
  <c r="X13" i="1"/>
  <c r="X41" i="1"/>
  <c r="O13" i="1"/>
  <c r="W13" i="1"/>
  <c r="O140" i="1"/>
  <c r="T109" i="1"/>
  <c r="P122" i="1"/>
  <c r="U136" i="1"/>
  <c r="T137" i="1"/>
  <c r="T138" i="1"/>
  <c r="X139" i="1"/>
  <c r="W120" i="1"/>
  <c r="Q120" i="1"/>
  <c r="O134" i="1"/>
  <c r="Q111" i="1"/>
  <c r="W118" i="1"/>
  <c r="O119" i="1"/>
  <c r="X120" i="1"/>
  <c r="Q126" i="1"/>
  <c r="W128" i="1"/>
  <c r="Q116" i="1"/>
  <c r="V137" i="1"/>
  <c r="W112" i="1"/>
  <c r="R122" i="1"/>
  <c r="W3" i="1"/>
  <c r="O115" i="1"/>
  <c r="Q128" i="1"/>
  <c r="S101" i="1"/>
  <c r="P138" i="1"/>
  <c r="W90" i="1"/>
  <c r="S79" i="1"/>
  <c r="O90" i="1"/>
  <c r="O84" i="1"/>
  <c r="Q69" i="1"/>
  <c r="W62" i="1"/>
  <c r="W56" i="1"/>
  <c r="S51" i="1"/>
  <c r="S45" i="1"/>
  <c r="R69" i="1"/>
  <c r="R82" i="1"/>
  <c r="Q76" i="1"/>
  <c r="Q70" i="1"/>
  <c r="X53" i="1"/>
  <c r="O95" i="1"/>
  <c r="O89" i="1"/>
  <c r="O83" i="1"/>
  <c r="O68" i="1"/>
  <c r="W61" i="1"/>
  <c r="W55" i="1"/>
  <c r="U49" i="1"/>
  <c r="U43" i="1"/>
  <c r="T55" i="1"/>
  <c r="V81" i="1"/>
  <c r="Q75" i="1"/>
  <c r="X69" i="1"/>
  <c r="V52" i="1"/>
  <c r="T53" i="1"/>
  <c r="O91" i="1"/>
  <c r="O85" i="1"/>
  <c r="W69" i="1"/>
  <c r="W63" i="1"/>
  <c r="W57" i="1"/>
  <c r="U52" i="1"/>
  <c r="S46" i="1"/>
  <c r="T81" i="1"/>
  <c r="U132" i="1"/>
  <c r="W41" i="1"/>
  <c r="Q41" i="1"/>
  <c r="P41" i="1"/>
  <c r="O27" i="1"/>
  <c r="S41" i="1"/>
  <c r="U140" i="1"/>
  <c r="Q121" i="1"/>
  <c r="U99" i="1"/>
  <c r="W106" i="1"/>
  <c r="U107" i="1"/>
  <c r="V108" i="1"/>
  <c r="U102" i="1"/>
  <c r="W122" i="1"/>
  <c r="S97" i="1"/>
  <c r="W116" i="1"/>
  <c r="R129" i="1"/>
  <c r="W137" i="1"/>
  <c r="W138" i="1"/>
  <c r="W133" i="1"/>
  <c r="X131" i="1"/>
  <c r="U137" i="1"/>
  <c r="O121" i="1"/>
  <c r="W135" i="1"/>
  <c r="S100" i="1"/>
  <c r="W107" i="1"/>
  <c r="T108" i="1"/>
  <c r="U125" i="1"/>
  <c r="W127" i="1"/>
  <c r="S105" i="1"/>
  <c r="O112" i="1"/>
  <c r="X10" i="1"/>
  <c r="R131" i="1"/>
  <c r="W134" i="1"/>
  <c r="W105" i="1"/>
  <c r="Q112" i="1"/>
  <c r="W119" i="1"/>
  <c r="Q114" i="1"/>
  <c r="R121" i="1"/>
  <c r="O117" i="1"/>
  <c r="W124" i="1"/>
  <c r="W131" i="1"/>
  <c r="P120" i="1"/>
  <c r="U105" i="1"/>
  <c r="S82" i="1"/>
  <c r="Q67" i="1"/>
  <c r="Q61" i="1"/>
  <c r="S55" i="1"/>
  <c r="W49" i="1"/>
  <c r="W43" i="1"/>
  <c r="Q58" i="1"/>
  <c r="R80" i="1"/>
  <c r="R93" i="1"/>
  <c r="Q81" i="1"/>
  <c r="W53" i="1"/>
  <c r="X94" i="1"/>
  <c r="X67" i="1"/>
  <c r="W88" i="1"/>
  <c r="Q62" i="1"/>
  <c r="W44" i="1"/>
  <c r="T41" i="1"/>
  <c r="O113" i="1"/>
  <c r="Q127" i="1"/>
  <c r="S52" i="1"/>
  <c r="U77" i="1"/>
  <c r="R68" i="1"/>
  <c r="O69" i="1"/>
  <c r="S50" i="1"/>
  <c r="V82" i="1"/>
  <c r="V53" i="1"/>
  <c r="W85" i="1"/>
  <c r="Q59" i="1"/>
  <c r="R92" i="1"/>
  <c r="V41" i="1"/>
  <c r="Q13" i="1"/>
  <c r="U128" i="1"/>
  <c r="W96" i="1"/>
  <c r="X12" i="1"/>
  <c r="U130" i="1"/>
  <c r="U139" i="1"/>
  <c r="X122" i="1"/>
  <c r="Q125" i="1"/>
  <c r="U135" i="1"/>
  <c r="W130" i="1"/>
  <c r="X106" i="1"/>
  <c r="O139" i="1"/>
  <c r="S135" i="1"/>
  <c r="Q118" i="1"/>
  <c r="Q110" i="1"/>
  <c r="P92" i="1"/>
  <c r="Q57" i="1"/>
  <c r="W91" i="1"/>
  <c r="R41" i="1"/>
  <c r="V109" i="1"/>
  <c r="X137" i="1"/>
  <c r="X108" i="1"/>
  <c r="Q131" i="1"/>
  <c r="V138" i="1"/>
  <c r="W46" i="1"/>
  <c r="U74" i="1"/>
  <c r="O93" i="1"/>
  <c r="Q66" i="1"/>
  <c r="S47" i="1"/>
  <c r="V79" i="1"/>
  <c r="R95" i="1"/>
  <c r="U82" i="1"/>
  <c r="Q56" i="1"/>
  <c r="Q71" i="1"/>
  <c r="S13" i="1"/>
  <c r="X27" i="1"/>
  <c r="X123" i="1"/>
  <c r="O120" i="1"/>
  <c r="Q115" i="1"/>
  <c r="U101" i="1"/>
  <c r="W103" i="1"/>
  <c r="W111" i="1"/>
  <c r="W110" i="1"/>
  <c r="Q123" i="1"/>
  <c r="W97" i="1"/>
  <c r="Q130" i="1"/>
  <c r="W2" i="1"/>
  <c r="R94" i="1"/>
  <c r="W67" i="1"/>
  <c r="S132" i="1"/>
  <c r="W12" i="1"/>
  <c r="Q124" i="1"/>
  <c r="V107" i="1"/>
  <c r="W11" i="1"/>
  <c r="S138" i="1"/>
  <c r="W83" i="1"/>
  <c r="S70" i="1"/>
  <c r="Q65" i="1"/>
  <c r="U41" i="1"/>
  <c r="R123" i="1"/>
  <c r="W109" i="1"/>
  <c r="Q113" i="1"/>
  <c r="O41" i="1"/>
  <c r="U100" i="1"/>
  <c r="S134" i="1"/>
  <c r="O123" i="1"/>
  <c r="S76" i="1"/>
  <c r="U71" i="1"/>
  <c r="W89" i="1"/>
  <c r="Q63" i="1"/>
  <c r="S44" i="1"/>
  <c r="U76" i="1"/>
  <c r="U72" i="1"/>
  <c r="U79" i="1"/>
  <c r="U53" i="1"/>
  <c r="W132" i="1"/>
  <c r="P13" i="1"/>
  <c r="W140" i="1"/>
  <c r="W100" i="1"/>
  <c r="U131" i="1"/>
  <c r="W104" i="1"/>
  <c r="V131" i="1"/>
  <c r="V129" i="1"/>
  <c r="S136" i="1"/>
  <c r="W9" i="1"/>
  <c r="U106" i="1"/>
  <c r="W121" i="1"/>
  <c r="S107" i="1"/>
  <c r="W114" i="1"/>
  <c r="P95" i="1"/>
  <c r="P68" i="1"/>
  <c r="W86" i="1"/>
  <c r="Q60" i="1"/>
  <c r="U73" i="1"/>
  <c r="W94" i="1"/>
  <c r="W50" i="1"/>
  <c r="S27" i="1"/>
  <c r="S102" i="1"/>
  <c r="U133" i="1"/>
  <c r="R130" i="1"/>
  <c r="X54" i="1"/>
  <c r="U70" i="1"/>
  <c r="W47" i="1"/>
  <c r="W115" i="1"/>
  <c r="W101" i="1"/>
  <c r="W126" i="1"/>
  <c r="X121" i="1"/>
  <c r="W7" i="1"/>
  <c r="U98" i="1"/>
  <c r="W125" i="1"/>
  <c r="U104" i="1"/>
  <c r="O133" i="1"/>
  <c r="O124" i="1" l="1"/>
  <c r="P81" i="1"/>
  <c r="O81" i="1"/>
  <c r="S118" i="1" l="1"/>
  <c r="S125" i="1"/>
  <c r="S112" i="1"/>
  <c r="S119" i="1"/>
  <c r="S126" i="1"/>
  <c r="S117" i="1"/>
  <c r="S115" i="1"/>
  <c r="S111" i="1"/>
  <c r="S114" i="1"/>
  <c r="S127" i="1"/>
  <c r="S110" i="1"/>
  <c r="S128" i="1"/>
  <c r="S116" i="1"/>
  <c r="S113" i="1"/>
  <c r="O51" i="1" l="1"/>
  <c r="T38" i="1"/>
  <c r="S38" i="1"/>
  <c r="V123" i="1"/>
  <c r="U123" i="1"/>
  <c r="U21" i="1"/>
  <c r="V40" i="1"/>
  <c r="U40" i="1"/>
  <c r="U62" i="1"/>
  <c r="U87" i="1"/>
  <c r="O45" i="1"/>
  <c r="W36" i="1"/>
  <c r="O44" i="1"/>
  <c r="U4" i="1"/>
  <c r="S57" i="1"/>
  <c r="U60" i="1"/>
  <c r="U33" i="1"/>
  <c r="W21" i="1"/>
  <c r="U66" i="1"/>
  <c r="Q97" i="1"/>
  <c r="Q9" i="1"/>
  <c r="S61" i="1"/>
  <c r="S84" i="1"/>
  <c r="U8" i="1"/>
  <c r="W70" i="1"/>
  <c r="W72" i="1"/>
  <c r="S5" i="1"/>
  <c r="Q135" i="1"/>
  <c r="O15" i="1"/>
  <c r="Q22" i="1"/>
  <c r="S65" i="1"/>
  <c r="R55" i="1"/>
  <c r="Q55" i="1"/>
  <c r="O107" i="1"/>
  <c r="P107" i="1"/>
  <c r="U35" i="1"/>
  <c r="V39" i="1"/>
  <c r="U39" i="1"/>
  <c r="Q30" i="1"/>
  <c r="S21" i="1"/>
  <c r="O101" i="1"/>
  <c r="Q2" i="1"/>
  <c r="Q101" i="1"/>
  <c r="O42" i="1"/>
  <c r="U37" i="1"/>
  <c r="V11" i="1"/>
  <c r="U11" i="1"/>
  <c r="O31" i="1"/>
  <c r="S2" i="1"/>
  <c r="S14" i="1"/>
  <c r="W28" i="1"/>
  <c r="S8" i="1"/>
  <c r="S31" i="1"/>
  <c r="U30" i="1"/>
  <c r="S131" i="1"/>
  <c r="T131" i="1"/>
  <c r="W19" i="1"/>
  <c r="Q11" i="1"/>
  <c r="R11" i="1"/>
  <c r="P129" i="1"/>
  <c r="O129" i="1"/>
  <c r="Q18" i="1"/>
  <c r="Q43" i="1"/>
  <c r="R53" i="1"/>
  <c r="Q53" i="1"/>
  <c r="S17" i="1"/>
  <c r="T120" i="1"/>
  <c r="S120" i="1"/>
  <c r="Q29" i="1"/>
  <c r="Q23" i="1"/>
  <c r="W35" i="1"/>
  <c r="S63" i="1"/>
  <c r="U5" i="1"/>
  <c r="R24" i="1"/>
  <c r="Q24" i="1"/>
  <c r="U6" i="1"/>
  <c r="W30" i="1"/>
  <c r="Q136" i="1"/>
  <c r="O103" i="1"/>
  <c r="Q96" i="1"/>
  <c r="O39" i="1"/>
  <c r="P39" i="1"/>
  <c r="O3" i="1"/>
  <c r="R40" i="1"/>
  <c r="Q40" i="1"/>
  <c r="P24" i="1"/>
  <c r="O24" i="1"/>
  <c r="W73" i="1"/>
  <c r="O30" i="1"/>
  <c r="S15" i="1"/>
  <c r="U84" i="1"/>
  <c r="Q99" i="1"/>
  <c r="V95" i="1"/>
  <c r="U95" i="1"/>
  <c r="S89" i="1"/>
  <c r="P40" i="1"/>
  <c r="O40" i="1"/>
  <c r="S24" i="1"/>
  <c r="T24" i="1"/>
  <c r="S121" i="1"/>
  <c r="T121" i="1"/>
  <c r="S58" i="1"/>
  <c r="R137" i="1"/>
  <c r="Q137" i="1"/>
  <c r="S85" i="1"/>
  <c r="S29" i="1"/>
  <c r="R26" i="1"/>
  <c r="Q26" i="1"/>
  <c r="U64" i="1"/>
  <c r="S37" i="1"/>
  <c r="O46" i="1"/>
  <c r="U86" i="1"/>
  <c r="T11" i="1"/>
  <c r="S11" i="1"/>
  <c r="O16" i="1"/>
  <c r="O53" i="1"/>
  <c r="P53" i="1"/>
  <c r="O8" i="1"/>
  <c r="Q50" i="1"/>
  <c r="W31" i="1"/>
  <c r="W18" i="1"/>
  <c r="Q133" i="1"/>
  <c r="S59" i="1"/>
  <c r="Q106" i="1"/>
  <c r="R106" i="1"/>
  <c r="U65" i="1"/>
  <c r="S90" i="1"/>
  <c r="Q17" i="1"/>
  <c r="U122" i="1"/>
  <c r="V122" i="1"/>
  <c r="V92" i="1"/>
  <c r="U92" i="1"/>
  <c r="Q21" i="1"/>
  <c r="Q25" i="1"/>
  <c r="R25" i="1"/>
  <c r="O125" i="1"/>
  <c r="Q14" i="1"/>
  <c r="S30" i="1"/>
  <c r="U83" i="1"/>
  <c r="S64" i="1"/>
  <c r="Q8" i="1"/>
  <c r="O49" i="1"/>
  <c r="Q31" i="1"/>
  <c r="S16" i="1"/>
  <c r="W77" i="1"/>
  <c r="O54" i="1"/>
  <c r="P54" i="1"/>
  <c r="O28" i="1"/>
  <c r="Q28" i="1"/>
  <c r="R39" i="1"/>
  <c r="Q39" i="1"/>
  <c r="O20" i="1"/>
  <c r="O72" i="1"/>
  <c r="O19" i="1"/>
  <c r="S18" i="1"/>
  <c r="S39" i="1"/>
  <c r="T39" i="1"/>
  <c r="W22" i="1"/>
  <c r="S86" i="1"/>
  <c r="O75" i="1"/>
  <c r="U57" i="1"/>
  <c r="U89" i="1"/>
  <c r="U34" i="1"/>
  <c r="U14" i="1"/>
  <c r="O105" i="1"/>
  <c r="Q100" i="1"/>
  <c r="O2" i="1"/>
  <c r="O73" i="1"/>
  <c r="Q103" i="1"/>
  <c r="Q109" i="1"/>
  <c r="R109" i="1"/>
  <c r="S35" i="1"/>
  <c r="W14" i="1"/>
  <c r="O70" i="1"/>
  <c r="T123" i="1"/>
  <c r="S123" i="1"/>
  <c r="S91" i="1"/>
  <c r="U10" i="1"/>
  <c r="V10" i="1"/>
  <c r="U25" i="1"/>
  <c r="V25" i="1"/>
  <c r="W20" i="1"/>
  <c r="S32" i="1"/>
  <c r="W33" i="1"/>
  <c r="S19" i="1"/>
  <c r="Q15" i="1"/>
  <c r="W71" i="1"/>
  <c r="O48" i="1"/>
  <c r="P25" i="1"/>
  <c r="O25" i="1"/>
  <c r="O17" i="1"/>
  <c r="O26" i="1"/>
  <c r="P26" i="1"/>
  <c r="W37" i="1"/>
  <c r="U115" i="1"/>
  <c r="O74" i="1"/>
  <c r="P131" i="1"/>
  <c r="O131" i="1"/>
  <c r="U20" i="1"/>
  <c r="U56" i="1"/>
  <c r="O29" i="1"/>
  <c r="W82" i="1"/>
  <c r="X82" i="1"/>
  <c r="S9" i="1"/>
  <c r="Q48" i="1"/>
  <c r="U117" i="1"/>
  <c r="R52" i="1"/>
  <c r="Q52" i="1"/>
  <c r="X79" i="1"/>
  <c r="W79" i="1"/>
  <c r="S23" i="1"/>
  <c r="Q36" i="1"/>
  <c r="W34" i="1"/>
  <c r="S20" i="1"/>
  <c r="S12" i="1"/>
  <c r="T12" i="1"/>
  <c r="U112" i="1"/>
  <c r="O34" i="1"/>
  <c r="O55" i="1"/>
  <c r="P55" i="1"/>
  <c r="R12" i="1"/>
  <c r="Q12" i="1"/>
  <c r="W39" i="1"/>
  <c r="X39" i="1"/>
  <c r="U85" i="1"/>
  <c r="Q5" i="1"/>
  <c r="U29" i="1"/>
  <c r="S69" i="1"/>
  <c r="T69" i="1"/>
  <c r="P130" i="1"/>
  <c r="O130" i="1"/>
  <c r="U61" i="1"/>
  <c r="Q19" i="1"/>
  <c r="R139" i="1"/>
  <c r="Q139" i="1"/>
  <c r="W17" i="1"/>
  <c r="W80" i="1"/>
  <c r="X80" i="1"/>
  <c r="U32" i="1"/>
  <c r="Q44" i="1"/>
  <c r="Q7" i="1"/>
  <c r="U58" i="1"/>
  <c r="O97" i="1"/>
  <c r="U90" i="1"/>
  <c r="Q108" i="1"/>
  <c r="R108" i="1"/>
  <c r="U9" i="1"/>
  <c r="O98" i="1"/>
  <c r="S95" i="1"/>
  <c r="T95" i="1"/>
  <c r="V38" i="1"/>
  <c r="U38" i="1"/>
  <c r="P108" i="1"/>
  <c r="O108" i="1"/>
  <c r="W78" i="1"/>
  <c r="U24" i="1"/>
  <c r="V24" i="1"/>
  <c r="Q54" i="1"/>
  <c r="R54" i="1"/>
  <c r="O5" i="1"/>
  <c r="O4" i="1"/>
  <c r="U110" i="1"/>
  <c r="Q104" i="1"/>
  <c r="O10" i="1"/>
  <c r="P10" i="1"/>
  <c r="S36" i="1"/>
  <c r="O128" i="1"/>
  <c r="S62" i="1"/>
  <c r="S56" i="1"/>
  <c r="U2" i="1"/>
  <c r="U119" i="1"/>
  <c r="U59" i="1"/>
  <c r="U18" i="1"/>
  <c r="S3" i="1"/>
  <c r="U88" i="1"/>
  <c r="Q105" i="1"/>
  <c r="Q3" i="1"/>
  <c r="Q32" i="1"/>
  <c r="T94" i="1"/>
  <c r="S94" i="1"/>
  <c r="U36" i="1"/>
  <c r="U63" i="1"/>
  <c r="W32" i="1"/>
  <c r="T68" i="1"/>
  <c r="S68" i="1"/>
  <c r="R10" i="1"/>
  <c r="Q10" i="1"/>
  <c r="Q42" i="1"/>
  <c r="S22" i="1"/>
  <c r="S67" i="1"/>
  <c r="T67" i="1"/>
  <c r="P11" i="1"/>
  <c r="O11" i="1"/>
  <c r="Q102" i="1"/>
  <c r="O106" i="1"/>
  <c r="P106" i="1"/>
  <c r="U7" i="1"/>
  <c r="W74" i="1"/>
  <c r="Q6" i="1"/>
  <c r="S26" i="1"/>
  <c r="T26" i="1"/>
  <c r="O12" i="1"/>
  <c r="P12" i="1"/>
  <c r="S34" i="1"/>
  <c r="X81" i="1"/>
  <c r="W81" i="1"/>
  <c r="W24" i="1"/>
  <c r="X24" i="1"/>
  <c r="S10" i="1"/>
  <c r="T10" i="1"/>
  <c r="U17" i="1"/>
  <c r="S33" i="1"/>
  <c r="U113" i="1"/>
  <c r="U31" i="1"/>
  <c r="Q16" i="1"/>
  <c r="S92" i="1"/>
  <c r="T92" i="1"/>
  <c r="T40" i="1"/>
  <c r="S40" i="1"/>
  <c r="W15" i="1"/>
  <c r="S4" i="1"/>
  <c r="S130" i="1"/>
  <c r="T130" i="1"/>
  <c r="P79" i="1"/>
  <c r="O79" i="1"/>
  <c r="Q107" i="1"/>
  <c r="R107" i="1"/>
  <c r="U121" i="1"/>
  <c r="V121" i="1"/>
  <c r="Q47" i="1"/>
  <c r="S28" i="1"/>
  <c r="Q134" i="1"/>
  <c r="U111" i="1"/>
  <c r="R38" i="1"/>
  <c r="Q38" i="1"/>
  <c r="O102" i="1"/>
  <c r="O22" i="1"/>
  <c r="U118" i="1"/>
  <c r="U116" i="1"/>
  <c r="P38" i="1"/>
  <c r="O38" i="1"/>
  <c r="V26" i="1"/>
  <c r="U26" i="1"/>
  <c r="O33" i="1"/>
  <c r="S83" i="1"/>
  <c r="O78" i="1"/>
  <c r="Q4" i="1"/>
  <c r="S129" i="1"/>
  <c r="T129" i="1"/>
  <c r="S122" i="1"/>
  <c r="T122" i="1"/>
  <c r="O126" i="1"/>
  <c r="V120" i="1"/>
  <c r="U120" i="1"/>
  <c r="O9" i="1"/>
  <c r="O96" i="1"/>
  <c r="X40" i="1"/>
  <c r="W40" i="1"/>
  <c r="V93" i="1"/>
  <c r="U93" i="1"/>
  <c r="Q37" i="1"/>
  <c r="W26" i="1"/>
  <c r="X26" i="1"/>
  <c r="O71" i="1"/>
  <c r="O23" i="1"/>
  <c r="O6" i="1"/>
  <c r="W16" i="1"/>
  <c r="O35" i="1"/>
  <c r="Q49" i="1"/>
  <c r="U94" i="1"/>
  <c r="V94" i="1"/>
  <c r="U3" i="1"/>
  <c r="Q34" i="1"/>
  <c r="O99" i="1"/>
  <c r="U19" i="1"/>
  <c r="O77" i="1"/>
  <c r="U114" i="1"/>
  <c r="O37" i="1"/>
  <c r="U22" i="1"/>
  <c r="O104" i="1"/>
  <c r="O43" i="1"/>
  <c r="S88" i="1"/>
  <c r="Q45" i="1"/>
  <c r="O50" i="1"/>
  <c r="O14" i="1"/>
  <c r="P82" i="1"/>
  <c r="O82" i="1"/>
  <c r="Q98" i="1"/>
  <c r="Q132" i="1"/>
  <c r="S6" i="1"/>
  <c r="U28" i="1"/>
  <c r="S25" i="1"/>
  <c r="T25" i="1"/>
  <c r="O100" i="1"/>
  <c r="Q46" i="1"/>
  <c r="X25" i="1"/>
  <c r="W25" i="1"/>
  <c r="W23" i="1"/>
  <c r="O21" i="1"/>
  <c r="U91" i="1"/>
  <c r="O76" i="1"/>
  <c r="Q35" i="1"/>
  <c r="U16" i="1"/>
  <c r="O47" i="1"/>
  <c r="W38" i="1"/>
  <c r="X38" i="1"/>
  <c r="S87" i="1"/>
  <c r="U23" i="1"/>
  <c r="P80" i="1"/>
  <c r="O80" i="1"/>
  <c r="O127" i="1"/>
  <c r="U68" i="1"/>
  <c r="V68" i="1"/>
  <c r="P109" i="1"/>
  <c r="O109" i="1"/>
  <c r="O32" i="1"/>
  <c r="S60" i="1"/>
  <c r="U15" i="1"/>
  <c r="U12" i="1"/>
  <c r="V12" i="1"/>
  <c r="Q138" i="1"/>
  <c r="R138" i="1"/>
  <c r="Q51" i="1"/>
  <c r="O7" i="1"/>
  <c r="Q20" i="1"/>
  <c r="V69" i="1"/>
  <c r="U69" i="1"/>
  <c r="Q33" i="1"/>
  <c r="S7" i="1"/>
  <c r="O18" i="1"/>
  <c r="W76" i="1"/>
  <c r="W29" i="1"/>
  <c r="U67" i="1"/>
  <c r="V67" i="1"/>
  <c r="W75" i="1"/>
  <c r="S66" i="1"/>
  <c r="O36" i="1"/>
  <c r="P52" i="1"/>
  <c r="O52" i="1"/>
  <c r="S93" i="1"/>
  <c r="T93" i="1"/>
</calcChain>
</file>

<file path=xl/sharedStrings.xml><?xml version="1.0" encoding="utf-8"?>
<sst xmlns="http://schemas.openxmlformats.org/spreadsheetml/2006/main" count="1113" uniqueCount="311">
  <si>
    <t>COD</t>
  </si>
  <si>
    <t>AÑO</t>
  </si>
  <si>
    <t>MODALIDAD</t>
  </si>
  <si>
    <t>CICLO</t>
  </si>
  <si>
    <t>N°</t>
  </si>
  <si>
    <t>CONT</t>
  </si>
  <si>
    <t>PDD</t>
  </si>
  <si>
    <t>MODULOS</t>
  </si>
  <si>
    <t>TIPO</t>
  </si>
  <si>
    <t>ASIGNATURA</t>
  </si>
  <si>
    <t>ED. TECNICA PROFESIONAL</t>
  </si>
  <si>
    <t>C.B.</t>
  </si>
  <si>
    <t>NAT</t>
  </si>
  <si>
    <t>CNT</t>
  </si>
  <si>
    <t>Formación General y Científico Tecnológica</t>
  </si>
  <si>
    <t>SOC</t>
  </si>
  <si>
    <t>CSC</t>
  </si>
  <si>
    <t>CIENCIAS SOCIALES</t>
  </si>
  <si>
    <t>ART</t>
  </si>
  <si>
    <t>APV</t>
  </si>
  <si>
    <t>EFI</t>
  </si>
  <si>
    <t>EFC</t>
  </si>
  <si>
    <t>ING</t>
  </si>
  <si>
    <t>IGS</t>
  </si>
  <si>
    <t>MAT</t>
  </si>
  <si>
    <t>MTM</t>
  </si>
  <si>
    <t>MATEMATICA</t>
  </si>
  <si>
    <t>LEN</t>
  </si>
  <si>
    <t>PLG</t>
  </si>
  <si>
    <t>PRACTICA DEL LENGUAJE</t>
  </si>
  <si>
    <t>CCD</t>
  </si>
  <si>
    <t>TPT</t>
  </si>
  <si>
    <t>PCT</t>
  </si>
  <si>
    <t>Formación Técnica Específica</t>
  </si>
  <si>
    <t>PROCEDIMIENTOS TECNICOS</t>
  </si>
  <si>
    <t>TLT</t>
  </si>
  <si>
    <t>LTS</t>
  </si>
  <si>
    <t>TST</t>
  </si>
  <si>
    <t>BIO</t>
  </si>
  <si>
    <t>BLG</t>
  </si>
  <si>
    <t>BIOLOGIA</t>
  </si>
  <si>
    <t>CONSTRUCCION DE LA CIUDADANIA</t>
  </si>
  <si>
    <t>EDUCACION ARTISTICA (PLASTICA)</t>
  </si>
  <si>
    <t>FI/QUI</t>
  </si>
  <si>
    <t>FQA</t>
  </si>
  <si>
    <t>FISICO-QUIMICA</t>
  </si>
  <si>
    <t>GEO</t>
  </si>
  <si>
    <t>GGF</t>
  </si>
  <si>
    <t>GEOGRAFIA</t>
  </si>
  <si>
    <t>HIS</t>
  </si>
  <si>
    <t>HTR</t>
  </si>
  <si>
    <t>HISTORIA</t>
  </si>
  <si>
    <t>TPT2</t>
  </si>
  <si>
    <t>PCE</t>
  </si>
  <si>
    <t>TLT2</t>
  </si>
  <si>
    <t>LTE</t>
  </si>
  <si>
    <t>TST2</t>
  </si>
  <si>
    <t>ST2</t>
  </si>
  <si>
    <t xml:space="preserve"> </t>
  </si>
  <si>
    <t>TPT3</t>
  </si>
  <si>
    <t>PCS</t>
  </si>
  <si>
    <t>TLT3</t>
  </si>
  <si>
    <t>TST3</t>
  </si>
  <si>
    <t>ST1</t>
  </si>
  <si>
    <t>4IQUIS</t>
  </si>
  <si>
    <t>TÉCNICO EN INFORMÁTICA PERSONAL Y
PROFESIONAL</t>
  </si>
  <si>
    <t>C.S.</t>
  </si>
  <si>
    <t>QUIS</t>
  </si>
  <si>
    <t>QMC</t>
  </si>
  <si>
    <t>QUIMICA</t>
  </si>
  <si>
    <t>4IMATES</t>
  </si>
  <si>
    <t>MATES</t>
  </si>
  <si>
    <t>MCS</t>
  </si>
  <si>
    <t>4ILITS</t>
  </si>
  <si>
    <t>LITS</t>
  </si>
  <si>
    <t>LIT</t>
  </si>
  <si>
    <t>LITERATURA</t>
  </si>
  <si>
    <t>4IINGS</t>
  </si>
  <si>
    <t>INGS</t>
  </si>
  <si>
    <t>4IEFIS</t>
  </si>
  <si>
    <t>EFIS</t>
  </si>
  <si>
    <t>4IHIS</t>
  </si>
  <si>
    <t>4IGEOS</t>
  </si>
  <si>
    <t>GEOS</t>
  </si>
  <si>
    <t>4IFIS</t>
  </si>
  <si>
    <t>FIS</t>
  </si>
  <si>
    <t>FISICA</t>
  </si>
  <si>
    <t>4ISADS</t>
  </si>
  <si>
    <t>SADS</t>
  </si>
  <si>
    <t>SYA</t>
  </si>
  <si>
    <t>SALUD Y ADOLESCENCIA</t>
  </si>
  <si>
    <t>4ITELE</t>
  </si>
  <si>
    <t>TELE</t>
  </si>
  <si>
    <t>TEL</t>
  </si>
  <si>
    <t>TECNOLOGIAS ELECTRONICAS</t>
  </si>
  <si>
    <t>4IFTLP4</t>
  </si>
  <si>
    <t>FTLP4</t>
  </si>
  <si>
    <t>LPR</t>
  </si>
  <si>
    <t>LAB DE PROGRAM</t>
  </si>
  <si>
    <t>4IFTLH4</t>
  </si>
  <si>
    <t>FTLH4</t>
  </si>
  <si>
    <t>LHW</t>
  </si>
  <si>
    <t>LAB DE HARDWARE</t>
  </si>
  <si>
    <t>4IFTLS4</t>
  </si>
  <si>
    <t>FTLS4</t>
  </si>
  <si>
    <t>LSO</t>
  </si>
  <si>
    <t xml:space="preserve">LAB DE SIST OPERATIVOS   </t>
  </si>
  <si>
    <t>4IFTLA4</t>
  </si>
  <si>
    <t>FTLA4</t>
  </si>
  <si>
    <t>LAP</t>
  </si>
  <si>
    <t>LAB DE APLICACIONES</t>
  </si>
  <si>
    <t>4EQUIS</t>
  </si>
  <si>
    <t>TECNICO ELECTRONICO</t>
  </si>
  <si>
    <t>4EMATES</t>
  </si>
  <si>
    <t>4ELITS</t>
  </si>
  <si>
    <t>4EINGS</t>
  </si>
  <si>
    <t>4EEFIS</t>
  </si>
  <si>
    <t>4EHIS</t>
  </si>
  <si>
    <t>4EGEOS</t>
  </si>
  <si>
    <t>4EFIS</t>
  </si>
  <si>
    <t>4ESADS</t>
  </si>
  <si>
    <t>4EFMC</t>
  </si>
  <si>
    <t>FMC</t>
  </si>
  <si>
    <t>FUNDAMENTOS DE LOS MODELOS CIRCUITALES</t>
  </si>
  <si>
    <t>4ETELE</t>
  </si>
  <si>
    <t>4EFTAE4</t>
  </si>
  <si>
    <t>FTAE4</t>
  </si>
  <si>
    <t>AEA</t>
  </si>
  <si>
    <t>4EFTED4</t>
  </si>
  <si>
    <t>FTED4</t>
  </si>
  <si>
    <t>AED</t>
  </si>
  <si>
    <t>4EFTMP4</t>
  </si>
  <si>
    <t>FTMP4</t>
  </si>
  <si>
    <t>MEL</t>
  </si>
  <si>
    <t>5ILITS</t>
  </si>
  <si>
    <t>5IINGS</t>
  </si>
  <si>
    <t>5IEFIS</t>
  </si>
  <si>
    <t>5IPYCS</t>
  </si>
  <si>
    <t>PYCS</t>
  </si>
  <si>
    <t>PYC</t>
  </si>
  <si>
    <t>POLITICA Y CIUDADANIA</t>
  </si>
  <si>
    <t>5IHIS5</t>
  </si>
  <si>
    <t>HIS5</t>
  </si>
  <si>
    <t>5IGEOS5</t>
  </si>
  <si>
    <t>GEOS5</t>
  </si>
  <si>
    <t>5IANMAT</t>
  </si>
  <si>
    <t>ANMAT</t>
  </si>
  <si>
    <t>ANALISIS MATEMATICO</t>
  </si>
  <si>
    <t>5ISIDI4</t>
  </si>
  <si>
    <t>SIDI4</t>
  </si>
  <si>
    <t>SD</t>
  </si>
  <si>
    <t>SISTEMA DIGITAL</t>
  </si>
  <si>
    <t>5ITELEI</t>
  </si>
  <si>
    <t>TELEI</t>
  </si>
  <si>
    <t>TLI</t>
  </si>
  <si>
    <t>TELEINFORMATICA</t>
  </si>
  <si>
    <t>5IFTLP5</t>
  </si>
  <si>
    <t>FTLP5</t>
  </si>
  <si>
    <t xml:space="preserve">LAB DE PROGRAM </t>
  </si>
  <si>
    <t>5IFTLH5</t>
  </si>
  <si>
    <t>FTLH5</t>
  </si>
  <si>
    <r>
      <t>LAB DE HARDWARE</t>
    </r>
    <r>
      <rPr>
        <sz val="8"/>
        <rFont val="Arial"/>
        <family val="2"/>
      </rPr>
      <t xml:space="preserve"> </t>
    </r>
  </si>
  <si>
    <t>5IFTLS5</t>
  </si>
  <si>
    <t>FTLS5</t>
  </si>
  <si>
    <t>LAB DE SIST OPERATIVOS</t>
  </si>
  <si>
    <t>5IFTLA5</t>
  </si>
  <si>
    <t>FTLA5</t>
  </si>
  <si>
    <r>
      <t>LAB DE APLICACIONES</t>
    </r>
    <r>
      <rPr>
        <sz val="8"/>
        <rFont val="Arial"/>
        <family val="2"/>
      </rPr>
      <t xml:space="preserve"> </t>
    </r>
  </si>
  <si>
    <t>5ELITS</t>
  </si>
  <si>
    <t>5EINGS</t>
  </si>
  <si>
    <t>INGLÉS</t>
  </si>
  <si>
    <t>5EEFIS</t>
  </si>
  <si>
    <t>EDUCACIÓN FISICA</t>
  </si>
  <si>
    <t>5EPYCS</t>
  </si>
  <si>
    <t>5EHIS5</t>
  </si>
  <si>
    <t>5EGEOS5</t>
  </si>
  <si>
    <t>5EANMAT</t>
  </si>
  <si>
    <t>AM</t>
  </si>
  <si>
    <t>5EAMC</t>
  </si>
  <si>
    <t>AMC</t>
  </si>
  <si>
    <t>MOC</t>
  </si>
  <si>
    <t>ANALISIS DE LOS MODELOS CIRCUITALES</t>
  </si>
  <si>
    <t>5ELENE</t>
  </si>
  <si>
    <t>LENE</t>
  </si>
  <si>
    <t>LEE</t>
  </si>
  <si>
    <t>LENGUAJES ELECTRONICOS</t>
  </si>
  <si>
    <t>5EDASE</t>
  </si>
  <si>
    <t>DASE</t>
  </si>
  <si>
    <t>DAS</t>
  </si>
  <si>
    <t xml:space="preserve">DISEÑO ASIST Y SIMUL ELECT </t>
  </si>
  <si>
    <t>5EFTAE5</t>
  </si>
  <si>
    <t>FTAE5</t>
  </si>
  <si>
    <t>5EFTED5</t>
  </si>
  <si>
    <t>FTED5</t>
  </si>
  <si>
    <t>APLIC ELECTR DIGITAL</t>
  </si>
  <si>
    <t>5EFTMP5</t>
  </si>
  <si>
    <t>FTMP5</t>
  </si>
  <si>
    <t>FILO</t>
  </si>
  <si>
    <t>FIA</t>
  </si>
  <si>
    <t>FILOSOFIA</t>
  </si>
  <si>
    <t>ARTE</t>
  </si>
  <si>
    <t>RTE</t>
  </si>
  <si>
    <t>MATAP</t>
  </si>
  <si>
    <t>MA2</t>
  </si>
  <si>
    <t>MATEMATICA APLICADA</t>
  </si>
  <si>
    <t>SIDI6</t>
  </si>
  <si>
    <t>INVOP</t>
  </si>
  <si>
    <t>OPE</t>
  </si>
  <si>
    <t>INVESTIGACION OPERATIVA</t>
  </si>
  <si>
    <t>SEIN</t>
  </si>
  <si>
    <t>INS</t>
  </si>
  <si>
    <t>SEGURIDAD INFORMATICA</t>
  </si>
  <si>
    <t>DETRA</t>
  </si>
  <si>
    <t>DET</t>
  </si>
  <si>
    <t>DERECHO DE TRABAJO</t>
  </si>
  <si>
    <t>FTLP6</t>
  </si>
  <si>
    <t>FTLH6</t>
  </si>
  <si>
    <t xml:space="preserve">LAB DE HARDWARE </t>
  </si>
  <si>
    <t>FHLS6</t>
  </si>
  <si>
    <r>
      <t>LAB DE SIST OPERATIVOS</t>
    </r>
    <r>
      <rPr>
        <sz val="8"/>
        <rFont val="Arial"/>
        <family val="2"/>
      </rPr>
      <t xml:space="preserve"> </t>
    </r>
  </si>
  <si>
    <t>FTLA6</t>
  </si>
  <si>
    <t>SISCO</t>
  </si>
  <si>
    <t>SC</t>
  </si>
  <si>
    <t>SISTEMA DE COMUNICACIONES</t>
  </si>
  <si>
    <t>INSMA</t>
  </si>
  <si>
    <t>IMO</t>
  </si>
  <si>
    <t>INSTALACIONES Y MAQUINAS ELECTRICAS</t>
  </si>
  <si>
    <t>SIPRO</t>
  </si>
  <si>
    <t>SP</t>
  </si>
  <si>
    <t>SISTEMA PRODUCTIVO</t>
  </si>
  <si>
    <t>LENE6</t>
  </si>
  <si>
    <t>FTAE6</t>
  </si>
  <si>
    <t>FTED6</t>
  </si>
  <si>
    <r>
      <t>APLIC ELECTR DIGITAL</t>
    </r>
    <r>
      <rPr>
        <sz val="8"/>
        <rFont val="Arial"/>
        <family val="2"/>
      </rPr>
      <t xml:space="preserve"> </t>
    </r>
  </si>
  <si>
    <t>FTMP6</t>
  </si>
  <si>
    <r>
      <t>MONTAJE DE PROYECTO ELECTRONICOS</t>
    </r>
    <r>
      <rPr>
        <b/>
        <sz val="8"/>
        <rFont val="Arial"/>
        <family val="2"/>
      </rPr>
      <t xml:space="preserve"> </t>
    </r>
  </si>
  <si>
    <t>PPSIN</t>
  </si>
  <si>
    <t>PP</t>
  </si>
  <si>
    <t>PRACTICAS PROFESIONALIZANTES</t>
  </si>
  <si>
    <t>PPDLO</t>
  </si>
  <si>
    <t>EMPRENDIMIENTO PRODUCTIVO Y DESARROLLO LOCAL</t>
  </si>
  <si>
    <t>EVPRO</t>
  </si>
  <si>
    <t>PEP</t>
  </si>
  <si>
    <t>EVALUACION DE PROYECTO</t>
  </si>
  <si>
    <t>MOSIS</t>
  </si>
  <si>
    <t>MYS</t>
  </si>
  <si>
    <t>MODELOS Y SISTEMAS</t>
  </si>
  <si>
    <t>BADAT</t>
  </si>
  <si>
    <t>BDD</t>
  </si>
  <si>
    <t>BASE DE DATOS</t>
  </si>
  <si>
    <t>PDISC</t>
  </si>
  <si>
    <t>PPU</t>
  </si>
  <si>
    <t>PROYECTO, DISEÑO E IMPLEMENTACION DE SISTEMAS COMPUTACIONALES</t>
  </si>
  <si>
    <t>IMRSC</t>
  </si>
  <si>
    <t>IMC</t>
  </si>
  <si>
    <t>INSTALACION, MANTENIMIENTO Y REPARACION DE SISTEMAS COMPUTACIONALES-</t>
  </si>
  <si>
    <t>IMRRI</t>
  </si>
  <si>
    <t>IRI</t>
  </si>
  <si>
    <r>
      <t>INSTALACION, MANTENIMIENTO Y REPARACION DE REDES INFORMATICAS-</t>
    </r>
    <r>
      <rPr>
        <sz val="7"/>
        <rFont val="Arial"/>
        <family val="2"/>
      </rPr>
      <t xml:space="preserve"> </t>
    </r>
  </si>
  <si>
    <t>PPSEL</t>
  </si>
  <si>
    <t>SIDCO</t>
  </si>
  <si>
    <t>SISTEMA DE CONTROL</t>
  </si>
  <si>
    <t>SISDC</t>
  </si>
  <si>
    <t>SISTEMAS DE COMUNICACIONES</t>
  </si>
  <si>
    <t>SEHPA</t>
  </si>
  <si>
    <t>SEGURIDAD, HIGIENE Y PROTECCION AMBIENTAL</t>
  </si>
  <si>
    <t>PRODE</t>
  </si>
  <si>
    <t>PDN</t>
  </si>
  <si>
    <t xml:space="preserve">PROYECTO Y DISEÑO ELECTRONICO </t>
  </si>
  <si>
    <t>INSIN</t>
  </si>
  <si>
    <t>IND</t>
  </si>
  <si>
    <t>INSTALACIONES INDUSTRIALES</t>
  </si>
  <si>
    <t>ELEAP</t>
  </si>
  <si>
    <t>ELA</t>
  </si>
  <si>
    <t>ELECTRONICA APLICADA</t>
  </si>
  <si>
    <t>APLIC ELECT ANALOG</t>
  </si>
  <si>
    <t>POLIMODAL</t>
  </si>
  <si>
    <t>INFORMATICA</t>
  </si>
  <si>
    <t>MOD1</t>
  </si>
  <si>
    <t>MOD2</t>
  </si>
  <si>
    <t>MOD3</t>
  </si>
  <si>
    <t>ELECTROCNIA</t>
  </si>
  <si>
    <t>ELECTRONICA</t>
  </si>
  <si>
    <t>CIENCIAS NATURALES</t>
  </si>
  <si>
    <t>TALLER</t>
  </si>
  <si>
    <t>TALLER 2° (Procedimientos Tecnicos, Lenaguajes Tecnólogicos y Sistemas Tecnologicos)</t>
  </si>
  <si>
    <t>TALLER 3° (Procedimientos Tecnicos, Lenaguajes Tecnólogicos y Sistemas Tecnologicos)</t>
  </si>
  <si>
    <r>
      <t>APLIC ELECT ANALOG</t>
    </r>
    <r>
      <rPr>
        <b/>
        <sz val="8"/>
        <rFont val="Arial"/>
        <family val="2"/>
      </rPr>
      <t xml:space="preserve"> </t>
    </r>
  </si>
  <si>
    <t>TALLER 1° (Procedimientos Tecnicos, Lenguajes Tecnólogicos y Sistemas Tecnologicos)</t>
  </si>
  <si>
    <t>STS</t>
  </si>
  <si>
    <t>Formacion General</t>
  </si>
  <si>
    <t>practicas profesionalizantes</t>
  </si>
  <si>
    <t>1°1°1NAT</t>
  </si>
  <si>
    <t>5G2</t>
  </si>
  <si>
    <t>4G2</t>
  </si>
  <si>
    <t>3G2</t>
  </si>
  <si>
    <t>2G2</t>
  </si>
  <si>
    <t>1G2</t>
  </si>
  <si>
    <t>LENGUAJES TECNOLOGICOS</t>
  </si>
  <si>
    <t>SISTEMAS TECNOLOGICOS</t>
  </si>
  <si>
    <t>4I</t>
  </si>
  <si>
    <t>4E</t>
  </si>
  <si>
    <t>5i</t>
  </si>
  <si>
    <t>5e</t>
  </si>
  <si>
    <t>6i</t>
  </si>
  <si>
    <t>6e</t>
  </si>
  <si>
    <t>7i</t>
  </si>
  <si>
    <t>7e</t>
  </si>
  <si>
    <t>DEPARTAMENTO</t>
  </si>
  <si>
    <t>VV</t>
  </si>
  <si>
    <t>TÉCNICO EN INFORMÁTICA PERSONAL Y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</si>
</sst>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left" wrapText="1"/>
    </xf>
    <xf numFmtId="0" fontId="0" fillId="0" borderId="1" xfId="0" applyFill="1" applyBorder="1"/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/>
    <xf numFmtId="0" fontId="2" fillId="0" borderId="6" xfId="0" applyFont="1" applyBorder="1"/>
    <xf numFmtId="0" fontId="0" fillId="0" borderId="7" xfId="0" applyBorder="1" applyAlignment="1">
      <alignment horizontal="center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/>
    <xf numFmtId="0" fontId="2" fillId="0" borderId="11" xfId="0" applyFont="1" applyBorder="1"/>
    <xf numFmtId="0" fontId="0" fillId="0" borderId="12" xfId="0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3" xfId="0" applyFont="1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9" xfId="0" applyFont="1" applyBorder="1" applyAlignment="1">
      <alignment horizontal="left"/>
    </xf>
    <xf numFmtId="0" fontId="2" fillId="0" borderId="0" xfId="0" applyFont="1" applyBorder="1"/>
    <xf numFmtId="0" fontId="0" fillId="2" borderId="0" xfId="0" applyFill="1" applyBorder="1"/>
    <xf numFmtId="0" fontId="0" fillId="3" borderId="0" xfId="0" applyFill="1" applyBorder="1"/>
    <xf numFmtId="0" fontId="0" fillId="2" borderId="0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JA004-%20listado%20de%20Cursos_Mater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ETALLE BAJA"/>
      <sheetName val="RECLAMO DIGE"/>
      <sheetName val="Hoja2"/>
    </sheetNames>
    <sheetDataSet>
      <sheetData sheetId="0">
        <row r="1">
          <cell r="A1" t="str">
            <v>codigo</v>
          </cell>
          <cell r="B1" t="str">
            <v>año</v>
          </cell>
          <cell r="C1" t="str">
            <v>comision</v>
          </cell>
          <cell r="D1" t="str">
            <v>cod_mat</v>
          </cell>
          <cell r="E1" t="str">
            <v>cupof</v>
          </cell>
          <cell r="F1" t="str">
            <v>materia</v>
          </cell>
          <cell r="G1" t="str">
            <v>cuit_t</v>
          </cell>
          <cell r="H1" t="str">
            <v>f_ingreso_t</v>
          </cell>
          <cell r="I1" t="str">
            <v>titular</v>
          </cell>
          <cell r="J1" t="str">
            <v>cuit_p</v>
          </cell>
          <cell r="K1" t="str">
            <v>provisional</v>
          </cell>
          <cell r="L1" t="str">
            <v>cuit_s</v>
          </cell>
          <cell r="M1" t="str">
            <v>suplente</v>
          </cell>
          <cell r="N1" t="str">
            <v>T_Docente_fac</v>
          </cell>
          <cell r="O1" t="str">
            <v>Docente_Frente a curso</v>
          </cell>
        </row>
        <row r="2">
          <cell r="A2" t="str">
            <v>1°1°1NAT</v>
          </cell>
          <cell r="B2" t="str">
            <v>1°1°</v>
          </cell>
          <cell r="D2" t="str">
            <v>1NAT</v>
          </cell>
          <cell r="E2">
            <v>733442</v>
          </cell>
          <cell r="F2" t="str">
            <v>CIENCIAS NATURALES</v>
          </cell>
          <cell r="G2" t="str">
            <v>23- 17.283.799-9</v>
          </cell>
          <cell r="H2" t="str">
            <v xml:space="preserve"> (MAD 2020)</v>
          </cell>
          <cell r="I2" t="str">
            <v xml:space="preserve">OLIVIERI NESTOR            </v>
          </cell>
          <cell r="L2" t="str">
            <v xml:space="preserve"> </v>
          </cell>
          <cell r="M2" t="str">
            <v xml:space="preserve"> </v>
          </cell>
          <cell r="N2" t="str">
            <v>TITULAR</v>
          </cell>
          <cell r="O2" t="str">
            <v xml:space="preserve">OLIVIERI NESTOR            </v>
          </cell>
        </row>
        <row r="3">
          <cell r="A3" t="str">
            <v>1°1°1SOC</v>
          </cell>
          <cell r="B3" t="str">
            <v>1°1°</v>
          </cell>
          <cell r="D3" t="str">
            <v>1SOC</v>
          </cell>
          <cell r="E3">
            <v>733445</v>
          </cell>
          <cell r="F3" t="str">
            <v>CIENCIAS SOCIALES</v>
          </cell>
          <cell r="G3" t="str">
            <v xml:space="preserve"> 20- 23.054.587-2</v>
          </cell>
          <cell r="I3" t="str">
            <v>PEREYRA, DANIEL</v>
          </cell>
          <cell r="L3" t="str">
            <v xml:space="preserve"> </v>
          </cell>
          <cell r="M3" t="str">
            <v xml:space="preserve"> </v>
          </cell>
          <cell r="N3" t="str">
            <v>TITULAR</v>
          </cell>
          <cell r="O3" t="str">
            <v>PEREYRA, DANIEL</v>
          </cell>
        </row>
        <row r="4">
          <cell r="A4" t="str">
            <v>1°1°1ART</v>
          </cell>
          <cell r="B4" t="str">
            <v>1°1°</v>
          </cell>
          <cell r="D4" t="str">
            <v>1ART</v>
          </cell>
          <cell r="E4">
            <v>733478</v>
          </cell>
          <cell r="F4" t="str">
            <v>EDUCACION ARTISTICA (PLASTICA)</v>
          </cell>
          <cell r="G4" t="str">
            <v xml:space="preserve"> 23-18.436.423-9</v>
          </cell>
          <cell r="H4" t="str">
            <v xml:space="preserve"> </v>
          </cell>
          <cell r="I4" t="str">
            <v xml:space="preserve">ALFARO DANIEL                  </v>
          </cell>
          <cell r="L4">
            <v>0</v>
          </cell>
          <cell r="M4" t="str">
            <v xml:space="preserve">DESIMONI, JESICA                       </v>
          </cell>
          <cell r="N4" t="str">
            <v>SUPLENTE</v>
          </cell>
          <cell r="O4" t="str">
            <v xml:space="preserve">DESIMONI, JESICA                       </v>
          </cell>
        </row>
        <row r="5">
          <cell r="A5" t="str">
            <v>1°1°1EFI</v>
          </cell>
          <cell r="B5" t="str">
            <v>1°1°</v>
          </cell>
          <cell r="D5" t="str">
            <v>1EFI</v>
          </cell>
          <cell r="E5">
            <v>891873</v>
          </cell>
          <cell r="F5" t="str">
            <v>EDUCACIÓN FISICA</v>
          </cell>
          <cell r="G5" t="str">
            <v>20-20.422.900-8</v>
          </cell>
          <cell r="I5" t="str">
            <v xml:space="preserve">SANCHEZ CARLOS        </v>
          </cell>
          <cell r="L5" t="str">
            <v xml:space="preserve"> </v>
          </cell>
          <cell r="M5" t="str">
            <v xml:space="preserve"> </v>
          </cell>
          <cell r="N5" t="str">
            <v>TITULAR</v>
          </cell>
          <cell r="O5" t="str">
            <v xml:space="preserve">SANCHEZ CARLOS        </v>
          </cell>
        </row>
        <row r="6">
          <cell r="A6" t="str">
            <v>1°1°1ING</v>
          </cell>
          <cell r="B6" t="str">
            <v>1°1°</v>
          </cell>
          <cell r="D6" t="str">
            <v>1ING</v>
          </cell>
          <cell r="E6">
            <v>733462</v>
          </cell>
          <cell r="F6" t="str">
            <v>INGLÉS</v>
          </cell>
          <cell r="G6" t="str">
            <v>23-30.492.767-4</v>
          </cell>
          <cell r="I6" t="str">
            <v xml:space="preserve">LEGUIZAMO  ANA </v>
          </cell>
          <cell r="L6" t="str">
            <v xml:space="preserve"> </v>
          </cell>
          <cell r="M6" t="str">
            <v xml:space="preserve"> </v>
          </cell>
          <cell r="N6" t="str">
            <v>TITULAR</v>
          </cell>
          <cell r="O6" t="str">
            <v xml:space="preserve">LEGUIZAMO  ANA </v>
          </cell>
        </row>
        <row r="7">
          <cell r="A7" t="str">
            <v>1°1°1MAT</v>
          </cell>
          <cell r="B7" t="str">
            <v>1°1°</v>
          </cell>
          <cell r="D7" t="str">
            <v>1MAT</v>
          </cell>
          <cell r="E7">
            <v>733472</v>
          </cell>
          <cell r="F7" t="str">
            <v>MATEMATICA</v>
          </cell>
          <cell r="G7" t="str">
            <v xml:space="preserve"> 27-27.383.267-5 </v>
          </cell>
          <cell r="I7" t="str">
            <v xml:space="preserve">GONZALEZ M EUGENIA </v>
          </cell>
          <cell r="L7" t="str">
            <v xml:space="preserve"> </v>
          </cell>
          <cell r="M7" t="str">
            <v xml:space="preserve"> </v>
          </cell>
          <cell r="N7" t="str">
            <v>TITULAR</v>
          </cell>
          <cell r="O7" t="str">
            <v xml:space="preserve">GONZALEZ M EUGENIA </v>
          </cell>
        </row>
        <row r="8">
          <cell r="A8" t="str">
            <v>1°1°1LEN</v>
          </cell>
          <cell r="B8" t="str">
            <v>1°1°</v>
          </cell>
          <cell r="D8" t="str">
            <v>1LEN</v>
          </cell>
          <cell r="E8">
            <v>733465</v>
          </cell>
          <cell r="F8" t="str">
            <v>PRACTICA DEL LENGUAJE</v>
          </cell>
          <cell r="G8" t="str">
            <v>23-22.170.640-4</v>
          </cell>
          <cell r="H8">
            <v>44621</v>
          </cell>
          <cell r="I8" t="str">
            <v>ZURITA REINA</v>
          </cell>
          <cell r="L8" t="str">
            <v xml:space="preserve"> </v>
          </cell>
          <cell r="M8" t="str">
            <v xml:space="preserve"> </v>
          </cell>
          <cell r="N8" t="str">
            <v>TITULAR</v>
          </cell>
          <cell r="O8" t="str">
            <v>ZURITA REINA</v>
          </cell>
        </row>
        <row r="9">
          <cell r="A9" t="str">
            <v>1°1°1CCD</v>
          </cell>
          <cell r="B9" t="str">
            <v>1°1°</v>
          </cell>
          <cell r="D9" t="str">
            <v>1CCD</v>
          </cell>
          <cell r="E9">
            <v>992715</v>
          </cell>
          <cell r="F9" t="str">
            <v>CONSTRUCCION DE LA CIUDADANIA</v>
          </cell>
          <cell r="G9" t="str">
            <v>27-23.075.433-8</v>
          </cell>
          <cell r="I9" t="str">
            <v xml:space="preserve">HERRERA CARMEN                     </v>
          </cell>
          <cell r="L9">
            <v>0</v>
          </cell>
          <cell r="M9" t="str">
            <v>MEDINA</v>
          </cell>
          <cell r="N9" t="str">
            <v>SUPLENTE</v>
          </cell>
          <cell r="O9" t="str">
            <v>MEDINA</v>
          </cell>
        </row>
        <row r="10">
          <cell r="A10" t="str">
            <v>1°1°1111TLT</v>
          </cell>
          <cell r="B10" t="str">
            <v>1°1°</v>
          </cell>
          <cell r="C10">
            <v>111</v>
          </cell>
          <cell r="D10" t="str">
            <v>1TLT</v>
          </cell>
          <cell r="E10">
            <v>2673007</v>
          </cell>
          <cell r="F10" t="str">
            <v>LENGUAJES TECNOLOGICOS</v>
          </cell>
          <cell r="J10" t="str">
            <v>20-24.731.140-9</v>
          </cell>
          <cell r="K10" t="str">
            <v>LEYES RICARDO</v>
          </cell>
          <cell r="L10" t="str">
            <v xml:space="preserve"> </v>
          </cell>
          <cell r="M10" t="str">
            <v xml:space="preserve"> </v>
          </cell>
          <cell r="N10" t="str">
            <v>PROVISIONAL</v>
          </cell>
          <cell r="O10" t="str">
            <v>LEYES RICARDO</v>
          </cell>
        </row>
        <row r="11">
          <cell r="A11" t="str">
            <v>1°1°1111TST</v>
          </cell>
          <cell r="B11" t="str">
            <v>1°1°</v>
          </cell>
          <cell r="C11">
            <v>111</v>
          </cell>
          <cell r="D11" t="str">
            <v>1TST</v>
          </cell>
          <cell r="E11">
            <v>2673010</v>
          </cell>
          <cell r="F11" t="str">
            <v>SISTEMAS TECNOLOGICOS</v>
          </cell>
          <cell r="K11" t="str">
            <v>VERA LORENA</v>
          </cell>
          <cell r="L11" t="str">
            <v xml:space="preserve"> </v>
          </cell>
          <cell r="M11" t="str">
            <v xml:space="preserve"> </v>
          </cell>
          <cell r="N11" t="str">
            <v>PROVISIONAL</v>
          </cell>
          <cell r="O11" t="str">
            <v>VERA LORENA</v>
          </cell>
        </row>
        <row r="12">
          <cell r="A12" t="str">
            <v>1°1°1111TPT</v>
          </cell>
          <cell r="B12" t="str">
            <v>1°1°</v>
          </cell>
          <cell r="C12">
            <v>111</v>
          </cell>
          <cell r="D12" t="str">
            <v>1TPT</v>
          </cell>
          <cell r="E12">
            <v>2673013</v>
          </cell>
          <cell r="F12" t="str">
            <v>PROCEDIMIENTOS TECNICOS</v>
          </cell>
          <cell r="G12" t="str">
            <v xml:space="preserve">  20-25.859.440-2</v>
          </cell>
          <cell r="H12" t="str">
            <v>MASIVA</v>
          </cell>
          <cell r="I12" t="str">
            <v xml:space="preserve">GUTIERREZ FERNANDO </v>
          </cell>
          <cell r="L12" t="str">
            <v xml:space="preserve"> </v>
          </cell>
          <cell r="M12" t="str">
            <v xml:space="preserve"> </v>
          </cell>
          <cell r="N12" t="str">
            <v>TITULAR</v>
          </cell>
          <cell r="O12" t="str">
            <v xml:space="preserve">GUTIERREZ FERNANDO </v>
          </cell>
        </row>
        <row r="13">
          <cell r="A13" t="str">
            <v>1°1°1121TLT</v>
          </cell>
          <cell r="B13" t="str">
            <v>1°1°</v>
          </cell>
          <cell r="C13">
            <v>112</v>
          </cell>
          <cell r="D13" t="str">
            <v>1TLT</v>
          </cell>
          <cell r="E13">
            <v>2673015</v>
          </cell>
          <cell r="F13" t="str">
            <v>LENGUAJES TECNOLOGICOS</v>
          </cell>
          <cell r="K13" t="str">
            <v>LEYES RICARDO</v>
          </cell>
          <cell r="L13" t="str">
            <v xml:space="preserve"> </v>
          </cell>
          <cell r="M13" t="str">
            <v xml:space="preserve"> </v>
          </cell>
          <cell r="N13" t="str">
            <v>PROVISIONAL</v>
          </cell>
          <cell r="O13" t="str">
            <v>LEYES RICARDO</v>
          </cell>
        </row>
        <row r="14">
          <cell r="A14" t="str">
            <v>1°1°1121TST</v>
          </cell>
          <cell r="B14" t="str">
            <v>1°1°</v>
          </cell>
          <cell r="C14">
            <v>112</v>
          </cell>
          <cell r="D14" t="str">
            <v>1TST</v>
          </cell>
          <cell r="E14">
            <v>2673016</v>
          </cell>
          <cell r="F14" t="str">
            <v>SISTEMAS TECNOLOGICOS</v>
          </cell>
          <cell r="J14" t="str">
            <v xml:space="preserve"> 20-22.230.438-6</v>
          </cell>
          <cell r="K14" t="str">
            <v xml:space="preserve">RODRIGUEZ RAUL         </v>
          </cell>
          <cell r="L14" t="str">
            <v xml:space="preserve"> </v>
          </cell>
          <cell r="M14" t="str">
            <v xml:space="preserve"> </v>
          </cell>
          <cell r="N14" t="str">
            <v>PROVISIONAL</v>
          </cell>
          <cell r="O14" t="str">
            <v xml:space="preserve">RODRIGUEZ RAUL         </v>
          </cell>
        </row>
        <row r="15">
          <cell r="A15" t="str">
            <v>1°1°1121TPT</v>
          </cell>
          <cell r="B15" t="str">
            <v>1°1°</v>
          </cell>
          <cell r="C15">
            <v>112</v>
          </cell>
          <cell r="D15" t="str">
            <v>1TPT</v>
          </cell>
          <cell r="E15">
            <v>2673017</v>
          </cell>
          <cell r="F15" t="str">
            <v>PROCEDIMIENTOS TECNICOS</v>
          </cell>
          <cell r="J15" t="str">
            <v>20-21.103.894-3</v>
          </cell>
          <cell r="K15" t="str">
            <v xml:space="preserve">LEYES RICARDO              </v>
          </cell>
          <cell r="L15" t="str">
            <v xml:space="preserve"> </v>
          </cell>
          <cell r="M15" t="str">
            <v xml:space="preserve"> </v>
          </cell>
          <cell r="N15" t="str">
            <v>PROVISIONAL</v>
          </cell>
          <cell r="O15" t="str">
            <v xml:space="preserve">LEYES RICARDO              </v>
          </cell>
        </row>
        <row r="16">
          <cell r="A16" t="str">
            <v>1°2°1NAT</v>
          </cell>
          <cell r="B16" t="str">
            <v>1°2°</v>
          </cell>
          <cell r="D16" t="str">
            <v>1NAT</v>
          </cell>
          <cell r="E16">
            <v>733711</v>
          </cell>
          <cell r="F16" t="str">
            <v>CIENCIAS NATURALES</v>
          </cell>
          <cell r="G16" t="str">
            <v>20-23.884.637-5</v>
          </cell>
          <cell r="I16" t="str">
            <v xml:space="preserve">ESPINDOLA SERGIO                          </v>
          </cell>
          <cell r="L16" t="str">
            <v xml:space="preserve"> </v>
          </cell>
          <cell r="M16" t="str">
            <v xml:space="preserve"> </v>
          </cell>
          <cell r="N16" t="str">
            <v>TITULAR</v>
          </cell>
          <cell r="O16" t="str">
            <v xml:space="preserve">ESPINDOLA SERGIO                          </v>
          </cell>
        </row>
        <row r="17">
          <cell r="A17" t="str">
            <v>1°2°1SOC</v>
          </cell>
          <cell r="B17" t="str">
            <v>1°2°</v>
          </cell>
          <cell r="D17" t="str">
            <v>1SOC</v>
          </cell>
          <cell r="E17">
            <v>2683145</v>
          </cell>
          <cell r="F17" t="str">
            <v>CIENCIAS SOCIALES</v>
          </cell>
          <cell r="I17" t="str">
            <v xml:space="preserve">LOPEZ MARINA  </v>
          </cell>
          <cell r="L17" t="str">
            <v xml:space="preserve"> </v>
          </cell>
          <cell r="M17" t="str">
            <v xml:space="preserve"> </v>
          </cell>
          <cell r="N17" t="str">
            <v>TITULAR</v>
          </cell>
          <cell r="O17" t="str">
            <v xml:space="preserve">LOPEZ MARINA  </v>
          </cell>
        </row>
        <row r="18">
          <cell r="A18" t="str">
            <v>1°2°1ART</v>
          </cell>
          <cell r="B18" t="str">
            <v>1°2°</v>
          </cell>
          <cell r="D18" t="str">
            <v>1ART</v>
          </cell>
          <cell r="E18">
            <v>733441</v>
          </cell>
          <cell r="F18" t="str">
            <v>EDUCACION ARTISTICA (PLASTICA)</v>
          </cell>
          <cell r="G18" t="str">
            <v>20-28.490.610-2</v>
          </cell>
          <cell r="I18" t="str">
            <v xml:space="preserve">FIGUEROA CARLOS </v>
          </cell>
          <cell r="L18" t="str">
            <v xml:space="preserve"> </v>
          </cell>
          <cell r="M18" t="str">
            <v xml:space="preserve"> </v>
          </cell>
          <cell r="N18" t="str">
            <v>TITULAR</v>
          </cell>
          <cell r="O18" t="str">
            <v xml:space="preserve">FIGUEROA CARLOS </v>
          </cell>
        </row>
        <row r="19">
          <cell r="A19" t="str">
            <v>1°2°1EFI</v>
          </cell>
          <cell r="B19" t="str">
            <v>1°2°</v>
          </cell>
          <cell r="D19" t="str">
            <v>1EFI</v>
          </cell>
          <cell r="E19">
            <v>839180</v>
          </cell>
          <cell r="F19" t="str">
            <v>EDUCACIÓN FISICA</v>
          </cell>
          <cell r="G19" t="str">
            <v xml:space="preserve"> 20-28.490.610-2</v>
          </cell>
          <cell r="I19" t="str">
            <v xml:space="preserve">DE LA FUENTE F.        </v>
          </cell>
          <cell r="L19" t="str">
            <v xml:space="preserve"> </v>
          </cell>
          <cell r="M19" t="str">
            <v xml:space="preserve"> </v>
          </cell>
          <cell r="N19" t="str">
            <v>TITULAR</v>
          </cell>
          <cell r="O19" t="str">
            <v xml:space="preserve">DE LA FUENTE F.        </v>
          </cell>
        </row>
        <row r="20">
          <cell r="A20" t="str">
            <v>1°2°1ING</v>
          </cell>
          <cell r="B20" t="str">
            <v>1°2°</v>
          </cell>
          <cell r="D20" t="str">
            <v>1ING</v>
          </cell>
          <cell r="E20">
            <v>891876</v>
          </cell>
          <cell r="F20" t="str">
            <v>INGLÉS</v>
          </cell>
          <cell r="G20" t="str">
            <v>27-29.433.432-2</v>
          </cell>
          <cell r="H20" t="str">
            <v xml:space="preserve"> (VIENE DE 1°5°)</v>
          </cell>
          <cell r="I20" t="str">
            <v xml:space="preserve">ARCE KARINA </v>
          </cell>
          <cell r="L20" t="str">
            <v xml:space="preserve"> </v>
          </cell>
          <cell r="M20" t="str">
            <v xml:space="preserve"> </v>
          </cell>
          <cell r="N20" t="str">
            <v>TITULAR</v>
          </cell>
          <cell r="O20" t="str">
            <v xml:space="preserve">ARCE KARINA </v>
          </cell>
        </row>
        <row r="21">
          <cell r="A21" t="str">
            <v>1°2°1MAT</v>
          </cell>
          <cell r="B21" t="str">
            <v>1°2°</v>
          </cell>
          <cell r="D21" t="str">
            <v>1MAT</v>
          </cell>
          <cell r="E21">
            <v>789732</v>
          </cell>
          <cell r="F21" t="str">
            <v>MATEMATICA</v>
          </cell>
          <cell r="I21" t="str">
            <v xml:space="preserve">OVEJERO, JAVIER </v>
          </cell>
          <cell r="L21" t="str">
            <v xml:space="preserve"> </v>
          </cell>
          <cell r="M21" t="str">
            <v xml:space="preserve"> </v>
          </cell>
          <cell r="N21" t="str">
            <v>TITULAR</v>
          </cell>
          <cell r="O21" t="str">
            <v xml:space="preserve">OVEJERO, JAVIER </v>
          </cell>
        </row>
        <row r="22">
          <cell r="A22" t="str">
            <v>1°2°1LEN</v>
          </cell>
          <cell r="B22" t="str">
            <v>1°2°</v>
          </cell>
          <cell r="D22" t="str">
            <v>1LEN</v>
          </cell>
          <cell r="E22">
            <v>733448</v>
          </cell>
          <cell r="F22" t="str">
            <v>PRACTICA DEL LENGUAJE</v>
          </cell>
          <cell r="I22" t="str">
            <v xml:space="preserve">CAÑETE, JOHANA  </v>
          </cell>
          <cell r="L22" t="str">
            <v xml:space="preserve"> </v>
          </cell>
          <cell r="M22" t="str">
            <v xml:space="preserve"> </v>
          </cell>
          <cell r="N22" t="str">
            <v>TITULAR</v>
          </cell>
          <cell r="O22" t="str">
            <v xml:space="preserve">CAÑETE, JOHANA  </v>
          </cell>
        </row>
        <row r="23">
          <cell r="A23" t="str">
            <v>1°2°1CCD</v>
          </cell>
          <cell r="B23" t="str">
            <v>1°2°</v>
          </cell>
          <cell r="D23" t="str">
            <v>1CCD</v>
          </cell>
          <cell r="E23">
            <v>839178</v>
          </cell>
          <cell r="F23" t="str">
            <v>CONSTRUCCION DE LA CIUDADANIA</v>
          </cell>
          <cell r="G23" t="str">
            <v xml:space="preserve"> 20-25.521.976-7</v>
          </cell>
          <cell r="I23" t="str">
            <v xml:space="preserve">CHAMORRO CRISTIAN </v>
          </cell>
          <cell r="L23" t="str">
            <v xml:space="preserve"> </v>
          </cell>
          <cell r="M23" t="str">
            <v xml:space="preserve"> </v>
          </cell>
          <cell r="N23" t="str">
            <v>TITULAR</v>
          </cell>
          <cell r="O23" t="str">
            <v xml:space="preserve">CHAMORRO CRISTIAN </v>
          </cell>
        </row>
        <row r="24">
          <cell r="A24" t="str">
            <v>1°2°1211TLT</v>
          </cell>
          <cell r="B24" t="str">
            <v>1°2°</v>
          </cell>
          <cell r="C24">
            <v>121</v>
          </cell>
          <cell r="D24" t="str">
            <v>1TLT</v>
          </cell>
          <cell r="E24">
            <v>2673023</v>
          </cell>
          <cell r="F24" t="str">
            <v>LENGUAJES TECNOLOGICOS</v>
          </cell>
          <cell r="J24">
            <v>27289218209</v>
          </cell>
          <cell r="K24" t="str">
            <v>VALLBONA MIRNA SOLEDAD</v>
          </cell>
          <cell r="L24" t="str">
            <v xml:space="preserve"> </v>
          </cell>
          <cell r="M24" t="str">
            <v xml:space="preserve"> </v>
          </cell>
          <cell r="N24" t="str">
            <v>PROVISIONAL</v>
          </cell>
          <cell r="O24" t="str">
            <v>VALLBONA MIRNA SOLEDAD</v>
          </cell>
        </row>
        <row r="25">
          <cell r="A25" t="str">
            <v>1°2°1211TST</v>
          </cell>
          <cell r="B25" t="str">
            <v>1°2°</v>
          </cell>
          <cell r="C25">
            <v>121</v>
          </cell>
          <cell r="D25" t="str">
            <v>1TST</v>
          </cell>
          <cell r="E25">
            <v>2673025</v>
          </cell>
          <cell r="F25" t="str">
            <v>SISTEMAS TECNOLOGICOS</v>
          </cell>
          <cell r="J25" t="str">
            <v xml:space="preserve"> 20-28.191.299-3</v>
          </cell>
          <cell r="K25" t="str">
            <v xml:space="preserve">ETCHEVERRY MARTIN                            </v>
          </cell>
          <cell r="L25" t="str">
            <v xml:space="preserve"> </v>
          </cell>
          <cell r="M25" t="str">
            <v xml:space="preserve"> </v>
          </cell>
          <cell r="N25" t="str">
            <v>PROVISIONAL</v>
          </cell>
          <cell r="O25" t="str">
            <v xml:space="preserve">ETCHEVERRY MARTIN                            </v>
          </cell>
        </row>
        <row r="26">
          <cell r="A26" t="str">
            <v>1°2°1211TPT</v>
          </cell>
          <cell r="B26" t="str">
            <v>1°2°</v>
          </cell>
          <cell r="C26">
            <v>121</v>
          </cell>
          <cell r="D26" t="str">
            <v>1TPT</v>
          </cell>
          <cell r="E26">
            <v>2673026</v>
          </cell>
          <cell r="F26" t="str">
            <v>PROCEDIMIENTOS TECNICOS</v>
          </cell>
          <cell r="J26" t="str">
            <v>20-28.191.299-3</v>
          </cell>
          <cell r="K26" t="str">
            <v xml:space="preserve">ETCHEVERRY MARTIN                            </v>
          </cell>
          <cell r="L26" t="str">
            <v xml:space="preserve"> </v>
          </cell>
          <cell r="M26" t="str">
            <v xml:space="preserve"> </v>
          </cell>
          <cell r="N26" t="str">
            <v>PROVISIONAL</v>
          </cell>
          <cell r="O26" t="str">
            <v xml:space="preserve">ETCHEVERRY MARTIN                            </v>
          </cell>
        </row>
        <row r="27">
          <cell r="A27" t="str">
            <v>1°2°1221TLT</v>
          </cell>
          <cell r="B27" t="str">
            <v>1°2°</v>
          </cell>
          <cell r="C27">
            <v>122</v>
          </cell>
          <cell r="D27" t="str">
            <v>1TLT</v>
          </cell>
          <cell r="E27">
            <v>2673027</v>
          </cell>
          <cell r="F27" t="str">
            <v>LENGUAJES TECNOLOGICOS</v>
          </cell>
          <cell r="J27" t="str">
            <v>27-11.864.641-5</v>
          </cell>
          <cell r="K27" t="str">
            <v>VALLBONA MIRNA SOLEDAD                   27289218209</v>
          </cell>
          <cell r="L27" t="str">
            <v xml:space="preserve"> </v>
          </cell>
          <cell r="M27" t="str">
            <v xml:space="preserve"> </v>
          </cell>
          <cell r="N27" t="str">
            <v>PROVISIONAL</v>
          </cell>
          <cell r="O27" t="str">
            <v>VALLBONA MIRNA SOLEDAD                   27289218209</v>
          </cell>
        </row>
        <row r="28">
          <cell r="A28" t="str">
            <v>1°2°1221TST</v>
          </cell>
          <cell r="B28" t="str">
            <v>1°2°</v>
          </cell>
          <cell r="C28">
            <v>122</v>
          </cell>
          <cell r="D28" t="str">
            <v>1TST</v>
          </cell>
          <cell r="E28">
            <v>2673028</v>
          </cell>
          <cell r="F28" t="str">
            <v>SISTEMAS TECNOLOGICOS</v>
          </cell>
          <cell r="K28" t="str">
            <v xml:space="preserve">ESCALADA ARNALDO     </v>
          </cell>
          <cell r="L28" t="str">
            <v xml:space="preserve"> </v>
          </cell>
          <cell r="M28" t="str">
            <v xml:space="preserve"> </v>
          </cell>
          <cell r="N28" t="str">
            <v>PROVISIONAL</v>
          </cell>
          <cell r="O28" t="str">
            <v xml:space="preserve">ESCALADA ARNALDO     </v>
          </cell>
        </row>
        <row r="29">
          <cell r="A29" t="str">
            <v>1°2°1221TPT</v>
          </cell>
          <cell r="B29" t="str">
            <v>1°2°</v>
          </cell>
          <cell r="C29">
            <v>122</v>
          </cell>
          <cell r="D29" t="str">
            <v>1TPT</v>
          </cell>
          <cell r="E29">
            <v>2673029</v>
          </cell>
          <cell r="F29" t="str">
            <v>PROCEDIMIENTOS TECNICOS</v>
          </cell>
          <cell r="J29" t="str">
            <v>20-28.191.299-3</v>
          </cell>
          <cell r="K29" t="str">
            <v xml:space="preserve">ETCHEVERRY MARTIN                            </v>
          </cell>
          <cell r="L29" t="str">
            <v xml:space="preserve"> </v>
          </cell>
          <cell r="M29" t="str">
            <v xml:space="preserve"> </v>
          </cell>
          <cell r="N29" t="str">
            <v>PROVISIONAL</v>
          </cell>
          <cell r="O29" t="str">
            <v xml:space="preserve">ETCHEVERRY MARTIN                            </v>
          </cell>
        </row>
        <row r="30">
          <cell r="A30" t="str">
            <v>1°3°1NAT</v>
          </cell>
          <cell r="B30" t="str">
            <v>1°3°</v>
          </cell>
          <cell r="D30" t="str">
            <v>1NAT</v>
          </cell>
          <cell r="E30">
            <v>2683140</v>
          </cell>
          <cell r="F30" t="str">
            <v>CIENCIAS NATURALES</v>
          </cell>
          <cell r="G30" t="str">
            <v xml:space="preserve">  27-23.480.647-0  </v>
          </cell>
          <cell r="H30" t="str">
            <v xml:space="preserve">  (dest def 2019)</v>
          </cell>
          <cell r="I30" t="str">
            <v>FARIAS CLAUDIA ANTONIA</v>
          </cell>
          <cell r="L30" t="str">
            <v xml:space="preserve"> </v>
          </cell>
          <cell r="M30" t="str">
            <v xml:space="preserve"> </v>
          </cell>
          <cell r="N30" t="str">
            <v>TITULAR</v>
          </cell>
          <cell r="O30" t="str">
            <v>FARIAS CLAUDIA ANTONIA</v>
          </cell>
        </row>
        <row r="31">
          <cell r="A31" t="str">
            <v>1°3°1SOC</v>
          </cell>
          <cell r="B31" t="str">
            <v>1°3°</v>
          </cell>
          <cell r="D31" t="str">
            <v>1SOC</v>
          </cell>
          <cell r="E31">
            <v>733446</v>
          </cell>
          <cell r="F31" t="str">
            <v>CIENCIAS SOCIALES</v>
          </cell>
          <cell r="G31" t="str">
            <v>23-18.284.913-0</v>
          </cell>
          <cell r="I31" t="str">
            <v xml:space="preserve">TORRES LUIS                    </v>
          </cell>
          <cell r="L31" t="str">
            <v xml:space="preserve"> </v>
          </cell>
          <cell r="M31" t="str">
            <v xml:space="preserve"> </v>
          </cell>
          <cell r="N31" t="str">
            <v>TITULAR</v>
          </cell>
          <cell r="O31" t="str">
            <v xml:space="preserve">TORRES LUIS                    </v>
          </cell>
        </row>
        <row r="32">
          <cell r="A32" t="str">
            <v>1°3°1ART</v>
          </cell>
          <cell r="B32" t="str">
            <v>1°3°</v>
          </cell>
          <cell r="D32" t="str">
            <v>1ART</v>
          </cell>
          <cell r="E32">
            <v>733699</v>
          </cell>
          <cell r="F32" t="str">
            <v>EDUCACION ARTISTICA (PLASTICA)</v>
          </cell>
          <cell r="I32" t="str">
            <v>CHAWET MATIAS</v>
          </cell>
          <cell r="L32" t="str">
            <v xml:space="preserve"> </v>
          </cell>
          <cell r="M32" t="str">
            <v xml:space="preserve"> </v>
          </cell>
          <cell r="N32" t="str">
            <v>TITULAR</v>
          </cell>
          <cell r="O32" t="str">
            <v>CHAWET MATIAS</v>
          </cell>
        </row>
        <row r="33">
          <cell r="A33" t="str">
            <v>1°3°1EFI</v>
          </cell>
          <cell r="B33" t="str">
            <v>1°3°</v>
          </cell>
          <cell r="D33" t="str">
            <v>1EFI</v>
          </cell>
          <cell r="E33">
            <v>816361</v>
          </cell>
          <cell r="F33" t="str">
            <v>EDUCACIÓN FISICA</v>
          </cell>
          <cell r="K33" t="str">
            <v>LUDUEÑA NELSON           20-29.569.203-1</v>
          </cell>
          <cell r="L33" t="str">
            <v xml:space="preserve"> </v>
          </cell>
          <cell r="M33" t="str">
            <v xml:space="preserve"> </v>
          </cell>
          <cell r="N33" t="str">
            <v>PROVISIONAL</v>
          </cell>
          <cell r="O33" t="str">
            <v>LUDUEÑA NELSON           20-29.569.203-1</v>
          </cell>
        </row>
        <row r="34">
          <cell r="A34" t="str">
            <v>1°3°1ING</v>
          </cell>
          <cell r="B34" t="str">
            <v>1°3°</v>
          </cell>
          <cell r="D34" t="str">
            <v>1ING</v>
          </cell>
          <cell r="E34">
            <v>733464</v>
          </cell>
          <cell r="F34" t="str">
            <v>INGLÉS</v>
          </cell>
          <cell r="G34">
            <v>30181613</v>
          </cell>
          <cell r="I34" t="str">
            <v>RAMIREZ GISELE</v>
          </cell>
          <cell r="L34" t="str">
            <v xml:space="preserve"> </v>
          </cell>
          <cell r="M34" t="str">
            <v xml:space="preserve"> </v>
          </cell>
          <cell r="N34" t="str">
            <v>TITULAR</v>
          </cell>
          <cell r="O34" t="str">
            <v>RAMIREZ GISELE</v>
          </cell>
        </row>
        <row r="35">
          <cell r="A35" t="str">
            <v>1°3°1MAT</v>
          </cell>
          <cell r="B35" t="str">
            <v>1°3°</v>
          </cell>
          <cell r="D35" t="str">
            <v>1MAT</v>
          </cell>
          <cell r="E35">
            <v>733452</v>
          </cell>
          <cell r="F35" t="str">
            <v>MATEMATICA</v>
          </cell>
          <cell r="G35" t="str">
            <v xml:space="preserve"> 20-23,884,637-5 </v>
          </cell>
          <cell r="H35" t="str">
            <v xml:space="preserve"> MAD 2020</v>
          </cell>
          <cell r="I35" t="str">
            <v xml:space="preserve">ESPINDOLA SERGIO                          </v>
          </cell>
          <cell r="L35" t="str">
            <v xml:space="preserve"> </v>
          </cell>
          <cell r="M35" t="str">
            <v xml:space="preserve"> </v>
          </cell>
          <cell r="N35" t="str">
            <v>TITULAR</v>
          </cell>
          <cell r="O35" t="str">
            <v xml:space="preserve">ESPINDOLA SERGIO                          </v>
          </cell>
        </row>
        <row r="36">
          <cell r="A36" t="str">
            <v>1°3°1LEN</v>
          </cell>
          <cell r="B36" t="str">
            <v>1°3°</v>
          </cell>
          <cell r="D36" t="str">
            <v>1LEN</v>
          </cell>
          <cell r="E36">
            <v>733507</v>
          </cell>
          <cell r="F36" t="str">
            <v>PRACTICA DEL LENGUAJE</v>
          </cell>
          <cell r="G36">
            <v>13642940</v>
          </cell>
          <cell r="H36" t="str">
            <v>MAD 2020</v>
          </cell>
          <cell r="I36" t="str">
            <v xml:space="preserve">CARESTIA, NOEMI </v>
          </cell>
          <cell r="L36">
            <v>23431049104</v>
          </cell>
          <cell r="M36" t="str">
            <v xml:space="preserve"> ANA CELESTE ROJAS</v>
          </cell>
          <cell r="N36" t="str">
            <v>SUPLENTE</v>
          </cell>
          <cell r="O36" t="str">
            <v xml:space="preserve"> ANA CELESTE ROJAS</v>
          </cell>
        </row>
        <row r="37">
          <cell r="A37" t="str">
            <v>1°3°1CCD</v>
          </cell>
          <cell r="B37" t="str">
            <v>1°3°</v>
          </cell>
          <cell r="D37" t="str">
            <v>1CCD</v>
          </cell>
          <cell r="E37">
            <v>2683142</v>
          </cell>
          <cell r="F37" t="str">
            <v>CONSTRUCCION DE LA CIUDADANIA</v>
          </cell>
          <cell r="G37" t="str">
            <v xml:space="preserve"> 27-23.075.433-8</v>
          </cell>
          <cell r="I37" t="str">
            <v xml:space="preserve">HERRERA CARMEN                    </v>
          </cell>
          <cell r="L37" t="str">
            <v xml:space="preserve"> </v>
          </cell>
          <cell r="M37" t="str">
            <v xml:space="preserve"> </v>
          </cell>
          <cell r="N37" t="str">
            <v>TITULAR</v>
          </cell>
          <cell r="O37" t="str">
            <v xml:space="preserve">HERRERA CARMEN                    </v>
          </cell>
        </row>
        <row r="38">
          <cell r="A38" t="str">
            <v>1°3°1311TLT</v>
          </cell>
          <cell r="B38" t="str">
            <v>1°3°</v>
          </cell>
          <cell r="C38">
            <v>131</v>
          </cell>
          <cell r="D38" t="str">
            <v>1TLT</v>
          </cell>
          <cell r="E38">
            <v>2673072</v>
          </cell>
          <cell r="F38" t="str">
            <v>LENGUAJES TECNOLOGICOS</v>
          </cell>
          <cell r="J38" t="str">
            <v xml:space="preserve"> 27-11.864.641-5</v>
          </cell>
          <cell r="K38" t="str">
            <v>BELIZAN</v>
          </cell>
          <cell r="L38" t="str">
            <v xml:space="preserve"> </v>
          </cell>
          <cell r="M38" t="str">
            <v xml:space="preserve"> </v>
          </cell>
          <cell r="N38" t="str">
            <v>PROVISIONAL</v>
          </cell>
          <cell r="O38" t="str">
            <v>BELIZAN</v>
          </cell>
        </row>
        <row r="39">
          <cell r="A39" t="str">
            <v>1°3°1311TST</v>
          </cell>
          <cell r="B39" t="str">
            <v>1°3°</v>
          </cell>
          <cell r="C39">
            <v>131</v>
          </cell>
          <cell r="D39" t="str">
            <v>1TST</v>
          </cell>
          <cell r="E39">
            <v>2673076</v>
          </cell>
          <cell r="F39" t="str">
            <v>SISTEMAS TECNOLOGICOS</v>
          </cell>
          <cell r="G39">
            <v>16354054</v>
          </cell>
          <cell r="H39" t="str">
            <v>(MASIVA)</v>
          </cell>
          <cell r="J39" t="str">
            <v xml:space="preserve">  CUIT  27373875584</v>
          </cell>
          <cell r="K39" t="str">
            <v>CASTILLO MARISOL ANABEL</v>
          </cell>
          <cell r="L39" t="str">
            <v xml:space="preserve"> </v>
          </cell>
          <cell r="M39" t="str">
            <v xml:space="preserve"> </v>
          </cell>
          <cell r="N39" t="str">
            <v>PROVISIONAL</v>
          </cell>
          <cell r="O39" t="str">
            <v>CASTILLO MARISOL ANABEL</v>
          </cell>
        </row>
        <row r="40">
          <cell r="A40" t="str">
            <v>1°3°1311TPT</v>
          </cell>
          <cell r="B40" t="str">
            <v>1°3°</v>
          </cell>
          <cell r="C40">
            <v>131</v>
          </cell>
          <cell r="D40" t="str">
            <v>1TPT</v>
          </cell>
          <cell r="E40">
            <v>2673079</v>
          </cell>
          <cell r="F40" t="str">
            <v>PROCEDIMIENTOS TECNICOS</v>
          </cell>
          <cell r="G40" t="str">
            <v xml:space="preserve"> 20-25.859.440-2</v>
          </cell>
          <cell r="H40" t="str">
            <v xml:space="preserve"> (MASIVA)</v>
          </cell>
          <cell r="I40" t="str">
            <v xml:space="preserve">GUTIERREZ FERNANDO           </v>
          </cell>
          <cell r="L40" t="str">
            <v xml:space="preserve"> </v>
          </cell>
          <cell r="M40" t="str">
            <v xml:space="preserve"> </v>
          </cell>
          <cell r="N40" t="str">
            <v>TITULAR</v>
          </cell>
          <cell r="O40" t="str">
            <v xml:space="preserve">GUTIERREZ FERNANDO           </v>
          </cell>
        </row>
        <row r="41">
          <cell r="A41" t="str">
            <v>1°3°1321TLT</v>
          </cell>
          <cell r="B41" t="str">
            <v>1°3°</v>
          </cell>
          <cell r="C41">
            <v>132</v>
          </cell>
          <cell r="D41" t="str">
            <v>1TLT</v>
          </cell>
          <cell r="E41">
            <v>2673082</v>
          </cell>
          <cell r="F41" t="str">
            <v>LENGUAJES TECNOLOGICOS</v>
          </cell>
          <cell r="J41" t="str">
            <v xml:space="preserve"> 27- 11.864.641-5</v>
          </cell>
          <cell r="K41" t="str">
            <v>BELIZAN</v>
          </cell>
          <cell r="L41" t="str">
            <v xml:space="preserve"> </v>
          </cell>
          <cell r="M41" t="str">
            <v xml:space="preserve"> </v>
          </cell>
          <cell r="N41" t="str">
            <v>PROVISIONAL</v>
          </cell>
          <cell r="O41" t="str">
            <v>BELIZAN</v>
          </cell>
        </row>
        <row r="42">
          <cell r="A42" t="str">
            <v>1°3°1321TST</v>
          </cell>
          <cell r="B42" t="str">
            <v>1°3°</v>
          </cell>
          <cell r="C42">
            <v>132</v>
          </cell>
          <cell r="D42" t="str">
            <v>1TST</v>
          </cell>
          <cell r="E42">
            <v>2673083</v>
          </cell>
          <cell r="F42" t="str">
            <v>SISTEMAS TECNOLOGICOS</v>
          </cell>
          <cell r="G42" t="str">
            <v xml:space="preserve"> 27-20.912.758-5 </v>
          </cell>
          <cell r="H42" t="str">
            <v>(1 MOD)</v>
          </cell>
          <cell r="J42" t="str">
            <v>23- 22.948.231-9</v>
          </cell>
          <cell r="K42" t="str">
            <v>LUZURIAGA ANGEL</v>
          </cell>
          <cell r="L42">
            <v>0</v>
          </cell>
          <cell r="M42" t="str">
            <v>GUTIERREZ NICOLAS</v>
          </cell>
          <cell r="N42" t="str">
            <v>SUPLENTE</v>
          </cell>
          <cell r="O42" t="str">
            <v>GUTIERREZ NICOLAS</v>
          </cell>
        </row>
        <row r="43">
          <cell r="A43" t="str">
            <v>1°3°1321TPT</v>
          </cell>
          <cell r="B43" t="str">
            <v>1°3°</v>
          </cell>
          <cell r="C43">
            <v>132</v>
          </cell>
          <cell r="D43" t="str">
            <v>1TPT</v>
          </cell>
          <cell r="E43">
            <v>2673084</v>
          </cell>
          <cell r="F43" t="str">
            <v>PROCEDIMIENTOS TECNICOS</v>
          </cell>
          <cell r="G43" t="str">
            <v>20-25.859.440-2</v>
          </cell>
          <cell r="H43" t="str">
            <v xml:space="preserve"> (MASIVA)</v>
          </cell>
          <cell r="I43" t="str">
            <v xml:space="preserve">GUTIERREZ FERNANDO              </v>
          </cell>
          <cell r="L43" t="str">
            <v xml:space="preserve"> </v>
          </cell>
          <cell r="M43" t="str">
            <v xml:space="preserve"> </v>
          </cell>
          <cell r="N43" t="str">
            <v>TITULAR</v>
          </cell>
          <cell r="O43" t="str">
            <v xml:space="preserve">GUTIERREZ FERNANDO              </v>
          </cell>
        </row>
        <row r="44">
          <cell r="A44" t="str">
            <v>1°4°1NAT</v>
          </cell>
          <cell r="B44" t="str">
            <v>1°4°</v>
          </cell>
          <cell r="D44" t="str">
            <v>1NAT</v>
          </cell>
          <cell r="E44">
            <v>1493342</v>
          </cell>
          <cell r="F44" t="str">
            <v>CIENCIAS NATURALES</v>
          </cell>
          <cell r="G44" t="str">
            <v>27-29.590.966-4</v>
          </cell>
          <cell r="I44" t="str">
            <v xml:space="preserve">DA CHILE IGLESIAS V                 </v>
          </cell>
          <cell r="L44" t="str">
            <v xml:space="preserve"> </v>
          </cell>
          <cell r="M44" t="str">
            <v xml:space="preserve"> </v>
          </cell>
          <cell r="N44" t="str">
            <v>TITULAR</v>
          </cell>
          <cell r="O44" t="str">
            <v xml:space="preserve">DA CHILE IGLESIAS V                 </v>
          </cell>
        </row>
        <row r="45">
          <cell r="A45" t="str">
            <v>1°4°1SOC</v>
          </cell>
          <cell r="B45" t="str">
            <v>1°4°</v>
          </cell>
          <cell r="D45" t="str">
            <v>1SOC</v>
          </cell>
          <cell r="E45">
            <v>1493343</v>
          </cell>
          <cell r="F45" t="str">
            <v>CIENCIAS SOCIALES</v>
          </cell>
          <cell r="G45" t="str">
            <v>27- 20.842.169-2</v>
          </cell>
          <cell r="I45" t="str">
            <v xml:space="preserve">GERSTER MYRIAN                 </v>
          </cell>
          <cell r="L45">
            <v>27404590052</v>
          </cell>
          <cell r="M45" t="str">
            <v>COLMAN SOFIA DE LA MERCED</v>
          </cell>
          <cell r="N45" t="str">
            <v>SUPLENTE</v>
          </cell>
          <cell r="O45" t="str">
            <v>COLMAN SOFIA DE LA MERCED</v>
          </cell>
        </row>
        <row r="46">
          <cell r="A46" t="str">
            <v>1°4°1ART</v>
          </cell>
          <cell r="B46" t="str">
            <v>1°4°</v>
          </cell>
          <cell r="D46" t="str">
            <v>1ART</v>
          </cell>
          <cell r="E46">
            <v>1493339</v>
          </cell>
          <cell r="F46" t="str">
            <v>EDUCACION ARTISTICA (PLASTICA)</v>
          </cell>
          <cell r="I46" t="str">
            <v>CHAVVET, MATIAS</v>
          </cell>
          <cell r="L46" t="str">
            <v xml:space="preserve"> </v>
          </cell>
          <cell r="M46" t="str">
            <v xml:space="preserve"> </v>
          </cell>
          <cell r="N46" t="str">
            <v>TITULAR</v>
          </cell>
          <cell r="O46" t="str">
            <v>CHAVVET, MATIAS</v>
          </cell>
        </row>
        <row r="47">
          <cell r="A47" t="str">
            <v>1°4°1EFI</v>
          </cell>
          <cell r="B47" t="str">
            <v>1°4°</v>
          </cell>
          <cell r="D47" t="str">
            <v>1EFI</v>
          </cell>
          <cell r="E47">
            <v>1493340</v>
          </cell>
          <cell r="F47" t="str">
            <v>EDUCACIÓN FISICA</v>
          </cell>
          <cell r="G47" t="str">
            <v>20-29.569.203-1</v>
          </cell>
          <cell r="I47" t="str">
            <v xml:space="preserve">DE LA FUENTE F.                         </v>
          </cell>
          <cell r="L47" t="str">
            <v xml:space="preserve"> </v>
          </cell>
          <cell r="M47" t="str">
            <v xml:space="preserve"> </v>
          </cell>
          <cell r="N47" t="str">
            <v>TITULAR</v>
          </cell>
          <cell r="O47" t="str">
            <v xml:space="preserve">DE LA FUENTE F.                         </v>
          </cell>
        </row>
        <row r="48">
          <cell r="A48" t="str">
            <v>1°4°1ING</v>
          </cell>
          <cell r="B48" t="str">
            <v>1°4°</v>
          </cell>
          <cell r="D48" t="str">
            <v>1ING</v>
          </cell>
          <cell r="E48">
            <v>149335</v>
          </cell>
          <cell r="F48" t="str">
            <v>INGLÉS</v>
          </cell>
          <cell r="G48" t="str">
            <v>27-26.117.162-2</v>
          </cell>
          <cell r="I48" t="str">
            <v>SARRIA, ANDREA</v>
          </cell>
          <cell r="L48" t="str">
            <v>23-30.492.767-4</v>
          </cell>
          <cell r="M48" t="str">
            <v xml:space="preserve">LEGUIZAMO ANA   </v>
          </cell>
          <cell r="N48" t="str">
            <v>SUPLENTE</v>
          </cell>
          <cell r="O48" t="str">
            <v xml:space="preserve">LEGUIZAMO ANA   </v>
          </cell>
        </row>
        <row r="49">
          <cell r="A49" t="str">
            <v>1°4°1MAT</v>
          </cell>
          <cell r="B49" t="str">
            <v>1°4°</v>
          </cell>
          <cell r="D49" t="str">
            <v>1MAT</v>
          </cell>
          <cell r="E49">
            <v>1493338</v>
          </cell>
          <cell r="F49" t="str">
            <v>MATEMATICA</v>
          </cell>
          <cell r="G49" t="str">
            <v xml:space="preserve"> 20-25.658.952-5 </v>
          </cell>
          <cell r="H49" t="str">
            <v xml:space="preserve"> DEFINITIVO 2020 </v>
          </cell>
          <cell r="I49" t="str">
            <v xml:space="preserve">OVEJERO, JAVIER               </v>
          </cell>
          <cell r="L49" t="str">
            <v xml:space="preserve"> </v>
          </cell>
          <cell r="M49" t="str">
            <v xml:space="preserve"> </v>
          </cell>
          <cell r="N49" t="str">
            <v>TITULAR</v>
          </cell>
          <cell r="O49" t="str">
            <v xml:space="preserve">OVEJERO, JAVIER               </v>
          </cell>
        </row>
        <row r="50">
          <cell r="A50" t="str">
            <v>1°4°1LEN</v>
          </cell>
          <cell r="B50" t="str">
            <v>1°4°</v>
          </cell>
          <cell r="D50" t="str">
            <v>1LEN</v>
          </cell>
          <cell r="E50">
            <v>1492411</v>
          </cell>
          <cell r="F50" t="str">
            <v>PRACTICA DEL LENGUAJE</v>
          </cell>
          <cell r="G50">
            <v>13642940</v>
          </cell>
          <cell r="H50" t="str">
            <v xml:space="preserve"> ENTRA POR MAD 2020</v>
          </cell>
          <cell r="I50" t="str">
            <v xml:space="preserve">CARESTIA, NOEMI </v>
          </cell>
          <cell r="L50">
            <v>27356462756</v>
          </cell>
          <cell r="M50" t="str">
            <v>BECERRO PERLA FLORENCIA</v>
          </cell>
          <cell r="N50" t="str">
            <v>SUPLENTE</v>
          </cell>
          <cell r="O50" t="str">
            <v>BECERRO PERLA FLORENCIA</v>
          </cell>
        </row>
        <row r="51">
          <cell r="A51" t="str">
            <v>1°4°1CCD</v>
          </cell>
          <cell r="B51" t="str">
            <v>1°4°</v>
          </cell>
          <cell r="D51" t="str">
            <v>1CCD</v>
          </cell>
          <cell r="E51">
            <v>839179</v>
          </cell>
          <cell r="F51" t="str">
            <v>CONSTRUCCION DE LA CIUDADANIA</v>
          </cell>
          <cell r="G51" t="str">
            <v xml:space="preserve">   20-28.324.944-2</v>
          </cell>
          <cell r="I51" t="str">
            <v xml:space="preserve">MOLINA, WALTER                </v>
          </cell>
          <cell r="L51">
            <v>0</v>
          </cell>
          <cell r="M51" t="str">
            <v>KUSNIER CUPAIOLO</v>
          </cell>
          <cell r="N51" t="str">
            <v>SUPLENTE</v>
          </cell>
          <cell r="O51" t="str">
            <v>KUSNIER CUPAIOLO</v>
          </cell>
        </row>
        <row r="52">
          <cell r="A52" t="str">
            <v>1°4°1411TLT</v>
          </cell>
          <cell r="B52" t="str">
            <v>1°4°</v>
          </cell>
          <cell r="C52">
            <v>141</v>
          </cell>
          <cell r="D52" t="str">
            <v>1TLT</v>
          </cell>
          <cell r="E52">
            <v>1493350</v>
          </cell>
          <cell r="F52" t="str">
            <v>LENGUAJES TECNOLOGICOS</v>
          </cell>
          <cell r="J52" t="str">
            <v xml:space="preserve"> 20-23.537.987-3</v>
          </cell>
          <cell r="K52" t="str">
            <v xml:space="preserve">ACEVEDO ALCIDES            </v>
          </cell>
          <cell r="L52">
            <v>0</v>
          </cell>
          <cell r="M52" t="str">
            <v xml:space="preserve">VERA LORENA </v>
          </cell>
          <cell r="N52" t="str">
            <v>SUPLENTE</v>
          </cell>
          <cell r="O52" t="str">
            <v xml:space="preserve">VERA LORENA </v>
          </cell>
        </row>
        <row r="53">
          <cell r="A53" t="str">
            <v>1°4°1411TST</v>
          </cell>
          <cell r="B53" t="str">
            <v>1°4°</v>
          </cell>
          <cell r="C53">
            <v>141</v>
          </cell>
          <cell r="D53" t="str">
            <v>1TST</v>
          </cell>
          <cell r="E53">
            <v>1493353</v>
          </cell>
          <cell r="F53" t="str">
            <v>SISTEMAS TECNOLOGICOS</v>
          </cell>
          <cell r="K53" t="str">
            <v>ETCHEVERRY MARTIN</v>
          </cell>
          <cell r="L53" t="str">
            <v xml:space="preserve"> </v>
          </cell>
          <cell r="M53" t="str">
            <v xml:space="preserve"> </v>
          </cell>
          <cell r="N53" t="str">
            <v>PROVISIONAL</v>
          </cell>
          <cell r="O53" t="str">
            <v>ETCHEVERRY MARTIN</v>
          </cell>
        </row>
        <row r="54">
          <cell r="A54" t="str">
            <v>1°4°1411TPT</v>
          </cell>
          <cell r="B54" t="str">
            <v>1°4°</v>
          </cell>
          <cell r="C54">
            <v>141</v>
          </cell>
          <cell r="D54" t="str">
            <v>1TPT</v>
          </cell>
          <cell r="E54">
            <v>1493345</v>
          </cell>
          <cell r="F54" t="str">
            <v>PROCEDIMIENTOS TECNICOS</v>
          </cell>
          <cell r="G54" t="str">
            <v xml:space="preserve">   20-23.884.637-5</v>
          </cell>
          <cell r="I54" t="str">
            <v xml:space="preserve">ESPINDOLA SERGIO                          </v>
          </cell>
          <cell r="L54" t="str">
            <v xml:space="preserve"> </v>
          </cell>
          <cell r="M54" t="str">
            <v xml:space="preserve"> </v>
          </cell>
          <cell r="N54" t="str">
            <v>TITULAR</v>
          </cell>
          <cell r="O54" t="str">
            <v xml:space="preserve">ESPINDOLA SERGIO                          </v>
          </cell>
        </row>
        <row r="55">
          <cell r="A55" t="str">
            <v>1°4°1421TLT</v>
          </cell>
          <cell r="B55" t="str">
            <v>1°4°</v>
          </cell>
          <cell r="C55">
            <v>142</v>
          </cell>
          <cell r="D55" t="str">
            <v>1TLT</v>
          </cell>
          <cell r="E55">
            <v>2683136</v>
          </cell>
          <cell r="F55" t="str">
            <v>LENGUAJES TECNOLOGICOS</v>
          </cell>
          <cell r="J55" t="str">
            <v>20-23.537.987-3</v>
          </cell>
          <cell r="K55" t="str">
            <v xml:space="preserve">ACEVEDO ALCIDES                </v>
          </cell>
          <cell r="L55" t="str">
            <v>VERA LORENA</v>
          </cell>
          <cell r="M55" t="str">
            <v>VERA LORENA</v>
          </cell>
          <cell r="N55" t="str">
            <v>SUPLENTE</v>
          </cell>
          <cell r="O55" t="str">
            <v>VERA LORENA</v>
          </cell>
        </row>
        <row r="56">
          <cell r="A56" t="str">
            <v>1°4°1421TST</v>
          </cell>
          <cell r="B56" t="str">
            <v>1°4°</v>
          </cell>
          <cell r="C56">
            <v>142</v>
          </cell>
          <cell r="D56" t="str">
            <v>1TST</v>
          </cell>
          <cell r="E56">
            <v>2683137</v>
          </cell>
          <cell r="F56" t="str">
            <v>SISTEMAS TECNOLOGICOS</v>
          </cell>
          <cell r="G56" t="str">
            <v xml:space="preserve"> 20-25.454.930-5 </v>
          </cell>
          <cell r="H56" t="str">
            <v>(MASIVO)</v>
          </cell>
          <cell r="I56" t="str">
            <v xml:space="preserve">CORDOBA ALEJANDRO              </v>
          </cell>
          <cell r="L56">
            <v>0</v>
          </cell>
          <cell r="M56" t="str">
            <v xml:space="preserve">ESCALADA ARNALDO     </v>
          </cell>
          <cell r="N56" t="str">
            <v>SUPLENTE</v>
          </cell>
          <cell r="O56" t="str">
            <v xml:space="preserve">ESCALADA ARNALDO     </v>
          </cell>
        </row>
        <row r="57">
          <cell r="A57" t="str">
            <v>1°4°1421TPT</v>
          </cell>
          <cell r="B57" t="str">
            <v>1°4°</v>
          </cell>
          <cell r="C57">
            <v>142</v>
          </cell>
          <cell r="D57" t="str">
            <v>1TPT</v>
          </cell>
          <cell r="E57">
            <v>2683138</v>
          </cell>
          <cell r="F57" t="str">
            <v>PROCEDIMIENTOS TECNICOS</v>
          </cell>
          <cell r="G57" t="str">
            <v>20-23.884.637-5 (1 MOD)</v>
          </cell>
          <cell r="I57" t="str">
            <v xml:space="preserve">ESPINDOLA SERGIO                          </v>
          </cell>
          <cell r="J57" t="str">
            <v xml:space="preserve">  20-23.884.637-5                     (1 MOD)</v>
          </cell>
          <cell r="K57" t="str">
            <v xml:space="preserve">ESPINDOLA SERGIO                          </v>
          </cell>
          <cell r="L57" t="str">
            <v xml:space="preserve"> </v>
          </cell>
          <cell r="M57" t="str">
            <v xml:space="preserve"> </v>
          </cell>
          <cell r="N57" t="str">
            <v>PROVISIONAL</v>
          </cell>
          <cell r="O57" t="str">
            <v xml:space="preserve">ESPINDOLA SERGIO                          </v>
          </cell>
        </row>
        <row r="58">
          <cell r="A58" t="str">
            <v>1°6°1NAT</v>
          </cell>
          <cell r="B58" t="str">
            <v>1°6°</v>
          </cell>
          <cell r="D58" t="str">
            <v>1NAT</v>
          </cell>
          <cell r="E58">
            <v>2232479</v>
          </cell>
          <cell r="F58" t="str">
            <v>CIENCIAS NATURALES</v>
          </cell>
          <cell r="I58" t="str">
            <v>COLAZO VIRGINIA</v>
          </cell>
          <cell r="L58" t="str">
            <v xml:space="preserve"> </v>
          </cell>
          <cell r="M58" t="str">
            <v xml:space="preserve"> </v>
          </cell>
          <cell r="N58" t="str">
            <v>TITULAR</v>
          </cell>
          <cell r="O58" t="str">
            <v>COLAZO VIRGINIA</v>
          </cell>
        </row>
        <row r="59">
          <cell r="A59" t="str">
            <v>1°6°1SOC</v>
          </cell>
          <cell r="B59" t="str">
            <v>1°6°</v>
          </cell>
          <cell r="D59" t="str">
            <v>1SOC</v>
          </cell>
          <cell r="E59">
            <v>2232480</v>
          </cell>
          <cell r="F59" t="str">
            <v>CIENCIAS SOCIALES</v>
          </cell>
          <cell r="G59" t="str">
            <v xml:space="preserve"> 20-14.317.370-5</v>
          </cell>
          <cell r="I59" t="str">
            <v xml:space="preserve">GERSTER MYRIAN                 </v>
          </cell>
          <cell r="L59" t="str">
            <v xml:space="preserve"> </v>
          </cell>
          <cell r="M59" t="str">
            <v xml:space="preserve"> </v>
          </cell>
          <cell r="N59" t="str">
            <v>TITULAR</v>
          </cell>
          <cell r="O59" t="str">
            <v xml:space="preserve">GERSTER MYRIAN                 </v>
          </cell>
        </row>
        <row r="60">
          <cell r="A60" t="str">
            <v>1°6°1ART</v>
          </cell>
          <cell r="B60" t="str">
            <v>1°6°</v>
          </cell>
          <cell r="D60" t="str">
            <v>1ART</v>
          </cell>
          <cell r="E60">
            <v>2232482</v>
          </cell>
          <cell r="F60" t="str">
            <v>EDUCACION ARTISTICA (PLASTICA)</v>
          </cell>
          <cell r="G60" t="str">
            <v xml:space="preserve">      27-27.476.782-6</v>
          </cell>
          <cell r="L60" t="str">
            <v xml:space="preserve"> </v>
          </cell>
          <cell r="M60" t="str">
            <v xml:space="preserve"> </v>
          </cell>
          <cell r="N60" t="str">
            <v>TITULAR</v>
          </cell>
          <cell r="O60">
            <v>0</v>
          </cell>
        </row>
        <row r="61">
          <cell r="A61" t="str">
            <v>1°6°1EFI</v>
          </cell>
          <cell r="B61" t="str">
            <v>1°6°</v>
          </cell>
          <cell r="D61" t="str">
            <v>1EFI</v>
          </cell>
          <cell r="E61">
            <v>2232483</v>
          </cell>
          <cell r="F61" t="str">
            <v>EDUCACIÓN FISICA</v>
          </cell>
          <cell r="G61" t="str">
            <v xml:space="preserve"> 27- 22.558.777-4</v>
          </cell>
          <cell r="H61">
            <v>26024974</v>
          </cell>
          <cell r="I61" t="str">
            <v>FUENTE, DIEGO</v>
          </cell>
          <cell r="L61" t="str">
            <v xml:space="preserve"> </v>
          </cell>
          <cell r="M61" t="str">
            <v xml:space="preserve"> </v>
          </cell>
          <cell r="N61" t="str">
            <v>TITULAR</v>
          </cell>
          <cell r="O61" t="str">
            <v>FUENTE, DIEGO</v>
          </cell>
        </row>
        <row r="62">
          <cell r="A62" t="str">
            <v>1°6°1ING</v>
          </cell>
          <cell r="B62" t="str">
            <v>1°6°</v>
          </cell>
          <cell r="D62" t="str">
            <v>1ING</v>
          </cell>
          <cell r="E62">
            <v>2232484</v>
          </cell>
          <cell r="F62" t="str">
            <v>INGLÉS</v>
          </cell>
          <cell r="G62" t="str">
            <v>27-29.433.432-2</v>
          </cell>
          <cell r="H62" t="str">
            <v xml:space="preserve"> (acrec 2018)</v>
          </cell>
          <cell r="I62" t="str">
            <v xml:space="preserve">ARCE KARINA </v>
          </cell>
          <cell r="L62" t="str">
            <v xml:space="preserve"> </v>
          </cell>
          <cell r="M62" t="str">
            <v xml:space="preserve"> </v>
          </cell>
          <cell r="N62" t="str">
            <v>TITULAR</v>
          </cell>
          <cell r="O62" t="str">
            <v xml:space="preserve">ARCE KARINA </v>
          </cell>
        </row>
        <row r="63">
          <cell r="A63" t="str">
            <v>1°6°1MAT</v>
          </cell>
          <cell r="B63" t="str">
            <v>1°6°</v>
          </cell>
          <cell r="D63" t="str">
            <v>1MAT</v>
          </cell>
          <cell r="E63">
            <v>2232485</v>
          </cell>
          <cell r="F63" t="str">
            <v>MATEMATICA</v>
          </cell>
          <cell r="G63" t="str">
            <v xml:space="preserve"> 27-21.485.515-7</v>
          </cell>
          <cell r="I63" t="str">
            <v>FERNANDA, RODRIGUEZ</v>
          </cell>
          <cell r="L63" t="str">
            <v xml:space="preserve"> </v>
          </cell>
          <cell r="M63" t="str">
            <v xml:space="preserve"> </v>
          </cell>
          <cell r="N63" t="str">
            <v>TITULAR</v>
          </cell>
          <cell r="O63" t="str">
            <v>FERNANDA, RODRIGUEZ</v>
          </cell>
        </row>
        <row r="64">
          <cell r="A64" t="str">
            <v>1°6°1LEN</v>
          </cell>
          <cell r="B64" t="str">
            <v>1°6°</v>
          </cell>
          <cell r="D64" t="str">
            <v>1LEN</v>
          </cell>
          <cell r="E64">
            <v>2232486</v>
          </cell>
          <cell r="F64" t="str">
            <v>PRACTICA DEL LENGUAJE</v>
          </cell>
          <cell r="G64">
            <v>34631207</v>
          </cell>
          <cell r="H64" t="str">
            <v xml:space="preserve"> DEFINITIVO 2020</v>
          </cell>
          <cell r="I64" t="str">
            <v xml:space="preserve">SIERRA DEBORA  </v>
          </cell>
          <cell r="L64" t="str">
            <v xml:space="preserve"> </v>
          </cell>
          <cell r="M64" t="str">
            <v xml:space="preserve"> </v>
          </cell>
          <cell r="N64" t="str">
            <v>TITULAR</v>
          </cell>
          <cell r="O64" t="str">
            <v xml:space="preserve">SIERRA DEBORA  </v>
          </cell>
        </row>
        <row r="65">
          <cell r="A65" t="str">
            <v>1°6°1CCD</v>
          </cell>
          <cell r="B65" t="str">
            <v>1°6°</v>
          </cell>
          <cell r="D65" t="str">
            <v>1CCD</v>
          </cell>
          <cell r="E65">
            <v>2232487</v>
          </cell>
          <cell r="F65" t="str">
            <v>CONSTRUCCION DE LA CIUDADANIA</v>
          </cell>
          <cell r="G65" t="str">
            <v xml:space="preserve">   20-16.354.440-8 </v>
          </cell>
          <cell r="I65" t="str">
            <v xml:space="preserve">CABEZAS, ORTIZ  DANIEL                                </v>
          </cell>
          <cell r="L65">
            <v>0</v>
          </cell>
          <cell r="M65" t="str">
            <v>CORSO NAHUEL</v>
          </cell>
          <cell r="N65" t="str">
            <v>SUPLENTE</v>
          </cell>
          <cell r="O65" t="str">
            <v>CORSO NAHUEL</v>
          </cell>
        </row>
        <row r="66">
          <cell r="A66" t="str">
            <v>1°6°1611TLT</v>
          </cell>
          <cell r="B66" t="str">
            <v>1°6°</v>
          </cell>
          <cell r="C66">
            <v>161</v>
          </cell>
          <cell r="D66" t="str">
            <v>1TLT</v>
          </cell>
          <cell r="E66">
            <v>2232490</v>
          </cell>
          <cell r="F66" t="str">
            <v>LENGUAJES TECNOLOGICOS</v>
          </cell>
          <cell r="J66" t="str">
            <v>20-28.186.910-9</v>
          </cell>
          <cell r="K66" t="str">
            <v xml:space="preserve">ESCALADA ARNALDO     </v>
          </cell>
          <cell r="L66" t="str">
            <v xml:space="preserve"> </v>
          </cell>
          <cell r="M66" t="str">
            <v xml:space="preserve"> </v>
          </cell>
          <cell r="N66" t="str">
            <v>PROVISIONAL</v>
          </cell>
          <cell r="O66" t="str">
            <v xml:space="preserve">ESCALADA ARNALDO     </v>
          </cell>
        </row>
        <row r="67">
          <cell r="A67" t="str">
            <v>1°6°1611TST</v>
          </cell>
          <cell r="B67" t="str">
            <v>1°6°</v>
          </cell>
          <cell r="C67">
            <v>161</v>
          </cell>
          <cell r="D67" t="str">
            <v>1TST</v>
          </cell>
          <cell r="E67">
            <v>2232494</v>
          </cell>
          <cell r="F67" t="str">
            <v>SISTEMAS TECNOLOGICOS</v>
          </cell>
          <cell r="J67" t="str">
            <v>20-28.186.910-9</v>
          </cell>
          <cell r="K67" t="str">
            <v xml:space="preserve">ESCALADA ARNALDO     </v>
          </cell>
          <cell r="L67" t="str">
            <v xml:space="preserve"> </v>
          </cell>
          <cell r="M67" t="str">
            <v xml:space="preserve"> </v>
          </cell>
          <cell r="N67" t="str">
            <v>PROVISIONAL</v>
          </cell>
          <cell r="O67" t="str">
            <v xml:space="preserve">ESCALADA ARNALDO     </v>
          </cell>
        </row>
        <row r="68">
          <cell r="A68" t="str">
            <v>1°6°1611TPT</v>
          </cell>
          <cell r="B68" t="str">
            <v>1°6°</v>
          </cell>
          <cell r="C68">
            <v>161</v>
          </cell>
          <cell r="D68" t="str">
            <v>1TPT</v>
          </cell>
          <cell r="E68">
            <v>2232499</v>
          </cell>
          <cell r="F68" t="str">
            <v>PROCEDIMIENTOS TECNICOS</v>
          </cell>
          <cell r="K68" t="str">
            <v>FISTER</v>
          </cell>
          <cell r="N68" t="str">
            <v>SUPLENTE</v>
          </cell>
          <cell r="O68">
            <v>0</v>
          </cell>
        </row>
        <row r="69">
          <cell r="A69" t="str">
            <v>1°6°1621TLT</v>
          </cell>
          <cell r="B69" t="str">
            <v>1°6°</v>
          </cell>
          <cell r="C69">
            <v>162</v>
          </cell>
          <cell r="D69" t="str">
            <v>1TLT</v>
          </cell>
          <cell r="E69">
            <v>2232491</v>
          </cell>
          <cell r="F69" t="str">
            <v>LENGUAJES TECNOLOGICOS</v>
          </cell>
          <cell r="J69" t="str">
            <v>20-28.186.910-9</v>
          </cell>
          <cell r="K69" t="str">
            <v xml:space="preserve">ESCALADA ARNALDO     </v>
          </cell>
          <cell r="L69" t="str">
            <v xml:space="preserve"> </v>
          </cell>
          <cell r="M69" t="str">
            <v xml:space="preserve"> </v>
          </cell>
          <cell r="N69" t="str">
            <v>PROVISIONAL</v>
          </cell>
          <cell r="O69" t="str">
            <v xml:space="preserve">ESCALADA ARNALDO     </v>
          </cell>
        </row>
        <row r="70">
          <cell r="A70" t="str">
            <v>1°6°1621TST</v>
          </cell>
          <cell r="B70" t="str">
            <v>1°6°</v>
          </cell>
          <cell r="C70">
            <v>162</v>
          </cell>
          <cell r="D70" t="str">
            <v>1TST</v>
          </cell>
          <cell r="E70">
            <v>2232497</v>
          </cell>
          <cell r="F70" t="str">
            <v>SISTEMAS TECNOLOGICOS</v>
          </cell>
          <cell r="J70" t="str">
            <v xml:space="preserve"> 23-24.294.162-4</v>
          </cell>
          <cell r="K70" t="str">
            <v>CASTILLO SOFIA</v>
          </cell>
          <cell r="N70" t="str">
            <v>SUPLENTE</v>
          </cell>
          <cell r="O70" t="str">
            <v xml:space="preserve">ESCALADA ARNALDO     </v>
          </cell>
        </row>
        <row r="71">
          <cell r="A71" t="str">
            <v>1°6°1621TPT</v>
          </cell>
          <cell r="B71" t="str">
            <v>1°6°</v>
          </cell>
          <cell r="C71">
            <v>162</v>
          </cell>
          <cell r="D71" t="str">
            <v>1TPT</v>
          </cell>
          <cell r="E71">
            <v>2232501</v>
          </cell>
          <cell r="F71" t="str">
            <v>PROCEDIMIENTOS TECNICOS</v>
          </cell>
          <cell r="J71" t="str">
            <v xml:space="preserve">   20-23.639.282-2</v>
          </cell>
          <cell r="K71" t="str">
            <v xml:space="preserve">PAZ DANIEL                     </v>
          </cell>
          <cell r="L71">
            <v>0</v>
          </cell>
          <cell r="M71" t="str">
            <v xml:space="preserve">LOPEZ. JOTHAN </v>
          </cell>
          <cell r="N71" t="str">
            <v>SUPLENTE</v>
          </cell>
          <cell r="O71" t="str">
            <v xml:space="preserve">LOPEZ. JOTHAN </v>
          </cell>
        </row>
        <row r="72">
          <cell r="A72" t="str">
            <v>2°1°2BIO</v>
          </cell>
          <cell r="B72" t="str">
            <v>2°1°</v>
          </cell>
          <cell r="D72" t="str">
            <v>2BIO</v>
          </cell>
          <cell r="E72">
            <v>1642764</v>
          </cell>
          <cell r="F72" t="str">
            <v>BIOLOGIA</v>
          </cell>
          <cell r="G72">
            <v>23480647</v>
          </cell>
          <cell r="I72" t="str">
            <v xml:space="preserve">FARIAS CLAUDIA ANTONIA MAD 2026  </v>
          </cell>
          <cell r="L72" t="str">
            <v xml:space="preserve"> </v>
          </cell>
          <cell r="M72" t="str">
            <v xml:space="preserve"> </v>
          </cell>
          <cell r="N72" t="str">
            <v>TITULAR</v>
          </cell>
          <cell r="O72" t="str">
            <v xml:space="preserve">FARIAS CLAUDIA ANTONIA MAD 2026  </v>
          </cell>
        </row>
        <row r="73">
          <cell r="A73" t="str">
            <v>2°1°2CCD</v>
          </cell>
          <cell r="B73" t="str">
            <v>2°1°</v>
          </cell>
          <cell r="D73" t="str">
            <v>2CCD</v>
          </cell>
          <cell r="E73">
            <v>2683134</v>
          </cell>
          <cell r="F73" t="str">
            <v>CONSTRUCCION DE LA CIUDADANIA</v>
          </cell>
          <cell r="G73" t="str">
            <v xml:space="preserve">  27-25.153.700-9</v>
          </cell>
          <cell r="I73" t="str">
            <v xml:space="preserve">AMAYA SILVIA                        </v>
          </cell>
          <cell r="L73" t="str">
            <v xml:space="preserve"> </v>
          </cell>
          <cell r="M73" t="str">
            <v xml:space="preserve"> </v>
          </cell>
          <cell r="N73" t="str">
            <v>TITULAR</v>
          </cell>
          <cell r="O73" t="str">
            <v xml:space="preserve">AMAYA SILVIA                        </v>
          </cell>
        </row>
        <row r="74">
          <cell r="A74" t="str">
            <v>2°1°2ART</v>
          </cell>
          <cell r="B74" t="str">
            <v>2°1°</v>
          </cell>
          <cell r="D74" t="str">
            <v>2ART</v>
          </cell>
          <cell r="E74">
            <v>733585</v>
          </cell>
          <cell r="F74" t="str">
            <v>EDUCACION ARTISTICA (PLASTICA)</v>
          </cell>
          <cell r="G74" t="str">
            <v xml:space="preserve">  27-24.680.551-8</v>
          </cell>
          <cell r="I74" t="str">
            <v xml:space="preserve">ISSETTA LORENA                        </v>
          </cell>
          <cell r="L74" t="str">
            <v xml:space="preserve"> </v>
          </cell>
          <cell r="M74" t="str">
            <v xml:space="preserve"> </v>
          </cell>
          <cell r="N74" t="str">
            <v>TITULAR</v>
          </cell>
          <cell r="O74" t="str">
            <v xml:space="preserve">ISSETTA LORENA                        </v>
          </cell>
        </row>
        <row r="75">
          <cell r="A75" t="str">
            <v>2°1°2EFI</v>
          </cell>
          <cell r="B75" t="str">
            <v>2°1°</v>
          </cell>
          <cell r="D75" t="str">
            <v>2EFI</v>
          </cell>
          <cell r="E75">
            <v>733460</v>
          </cell>
          <cell r="F75" t="str">
            <v>EDUCACIÓN FISICA</v>
          </cell>
          <cell r="G75" t="str">
            <v xml:space="preserve">20-29.569.203-1  </v>
          </cell>
          <cell r="H75" t="str">
            <v>ACRECENTAMIENTO 2020</v>
          </cell>
          <cell r="I75" t="str">
            <v xml:space="preserve">LUDUEÑA NELSON           </v>
          </cell>
          <cell r="L75" t="str">
            <v xml:space="preserve"> </v>
          </cell>
          <cell r="M75" t="str">
            <v xml:space="preserve"> </v>
          </cell>
          <cell r="N75" t="str">
            <v>TITULAR</v>
          </cell>
          <cell r="O75" t="str">
            <v xml:space="preserve">LUDUEÑA NELSON           </v>
          </cell>
        </row>
        <row r="76">
          <cell r="A76" t="str">
            <v>2°1°2FI/QUI</v>
          </cell>
          <cell r="B76" t="str">
            <v>2°1°</v>
          </cell>
          <cell r="D76" t="str">
            <v>2FI/QUI</v>
          </cell>
          <cell r="E76">
            <v>1642762</v>
          </cell>
          <cell r="F76" t="str">
            <v>FISICO-QUIMICA</v>
          </cell>
          <cell r="G76" t="str">
            <v>20-23.884.637-5</v>
          </cell>
          <cell r="I76" t="str">
            <v xml:space="preserve">ESPINDOLA SERGIO                          </v>
          </cell>
          <cell r="L76" t="str">
            <v xml:space="preserve"> </v>
          </cell>
          <cell r="M76" t="str">
            <v xml:space="preserve"> </v>
          </cell>
          <cell r="N76" t="str">
            <v>TITULAR</v>
          </cell>
          <cell r="O76" t="str">
            <v xml:space="preserve">ESPINDOLA SERGIO                          </v>
          </cell>
        </row>
        <row r="77">
          <cell r="A77" t="str">
            <v>2°1°2GEO</v>
          </cell>
          <cell r="B77" t="str">
            <v>2°1°</v>
          </cell>
          <cell r="D77" t="str">
            <v>2GEO</v>
          </cell>
          <cell r="E77">
            <v>31174482</v>
          </cell>
          <cell r="F77" t="str">
            <v>GEOGRAFIA</v>
          </cell>
          <cell r="G77" t="str">
            <v xml:space="preserve"> 20-24.636.852-0</v>
          </cell>
          <cell r="I77" t="str">
            <v>ANTONELLO, FERNANDO</v>
          </cell>
          <cell r="L77" t="str">
            <v xml:space="preserve"> </v>
          </cell>
          <cell r="M77" t="str">
            <v xml:space="preserve"> </v>
          </cell>
          <cell r="N77" t="str">
            <v>TITULAR</v>
          </cell>
          <cell r="O77" t="str">
            <v>ANTONELLO, FERNANDO</v>
          </cell>
        </row>
        <row r="78">
          <cell r="A78" t="str">
            <v>2°1°2HIS</v>
          </cell>
          <cell r="B78" t="str">
            <v>2°1°</v>
          </cell>
          <cell r="D78" t="str">
            <v>2HIS</v>
          </cell>
          <cell r="E78">
            <v>1642703</v>
          </cell>
          <cell r="F78" t="str">
            <v>HISTORIA</v>
          </cell>
          <cell r="G78" t="str">
            <v xml:space="preserve"> 20-18.284.913-9</v>
          </cell>
          <cell r="I78" t="str">
            <v xml:space="preserve">TORRES LUIS                    </v>
          </cell>
          <cell r="L78" t="str">
            <v xml:space="preserve"> </v>
          </cell>
          <cell r="M78" t="str">
            <v xml:space="preserve"> </v>
          </cell>
          <cell r="N78" t="str">
            <v>TITULAR</v>
          </cell>
          <cell r="O78" t="str">
            <v xml:space="preserve">TORRES LUIS                    </v>
          </cell>
        </row>
        <row r="79">
          <cell r="A79" t="str">
            <v>2°1°2ING</v>
          </cell>
          <cell r="B79" t="str">
            <v>2°1°</v>
          </cell>
          <cell r="D79" t="str">
            <v>2ING</v>
          </cell>
          <cell r="E79">
            <v>733561</v>
          </cell>
          <cell r="F79" t="str">
            <v>INGLÉS</v>
          </cell>
          <cell r="G79" t="str">
            <v xml:space="preserve"> 27-28.305.130-2</v>
          </cell>
          <cell r="I79" t="str">
            <v xml:space="preserve">BONELLI PAMELA                                </v>
          </cell>
          <cell r="L79" t="str">
            <v xml:space="preserve"> </v>
          </cell>
          <cell r="M79" t="str">
            <v xml:space="preserve"> </v>
          </cell>
          <cell r="N79" t="str">
            <v>TITULAR</v>
          </cell>
          <cell r="O79" t="str">
            <v xml:space="preserve">BONELLI PAMELA                                </v>
          </cell>
        </row>
        <row r="80">
          <cell r="A80" t="str">
            <v>2°1°2MAT</v>
          </cell>
          <cell r="B80" t="str">
            <v>2°1°</v>
          </cell>
          <cell r="D80" t="str">
            <v>2MAT</v>
          </cell>
          <cell r="E80">
            <v>733468</v>
          </cell>
          <cell r="F80" t="str">
            <v>MATEMATICA</v>
          </cell>
          <cell r="H80">
            <v>44621</v>
          </cell>
          <cell r="I80" t="str">
            <v>GARCIA. C.</v>
          </cell>
          <cell r="L80" t="str">
            <v xml:space="preserve"> </v>
          </cell>
          <cell r="M80" t="str">
            <v xml:space="preserve"> </v>
          </cell>
          <cell r="N80" t="str">
            <v>TITULAR</v>
          </cell>
          <cell r="O80" t="str">
            <v>GARCIA. C.</v>
          </cell>
        </row>
        <row r="81">
          <cell r="A81" t="str">
            <v>2°1°2PLG</v>
          </cell>
          <cell r="B81" t="str">
            <v>2°1°</v>
          </cell>
          <cell r="D81" t="str">
            <v>2PLG</v>
          </cell>
          <cell r="E81">
            <v>733470</v>
          </cell>
          <cell r="F81" t="str">
            <v>PRACTICA DEL LENGUAJE</v>
          </cell>
          <cell r="G81" t="str">
            <v xml:space="preserve">  27-26.803.143-7</v>
          </cell>
          <cell r="H81" t="str">
            <v>,   INT 2025</v>
          </cell>
          <cell r="I81" t="str">
            <v>CAÑETE YOHANA</v>
          </cell>
          <cell r="L81" t="str">
            <v xml:space="preserve"> </v>
          </cell>
          <cell r="M81" t="str">
            <v xml:space="preserve"> </v>
          </cell>
          <cell r="N81" t="str">
            <v>TITULAR</v>
          </cell>
          <cell r="O81" t="str">
            <v>CAÑETE YOHANA</v>
          </cell>
        </row>
        <row r="82">
          <cell r="A82" t="str">
            <v>2°1°2112TLT2</v>
          </cell>
          <cell r="B82" t="str">
            <v>2°1°</v>
          </cell>
          <cell r="C82">
            <v>211</v>
          </cell>
          <cell r="D82" t="str">
            <v>2TLT2</v>
          </cell>
          <cell r="E82">
            <v>2683126</v>
          </cell>
          <cell r="F82" t="str">
            <v>LENGUAJES TECNOLOGICOS</v>
          </cell>
          <cell r="G82" t="str">
            <v>27- 11.864.641-5</v>
          </cell>
          <cell r="H82" t="str">
            <v xml:space="preserve"> (MASIVA)</v>
          </cell>
          <cell r="J82" t="str">
            <v>20-23.639.282-2</v>
          </cell>
          <cell r="K82" t="str">
            <v>PAZ DANIEL</v>
          </cell>
          <cell r="L82">
            <v>25749169</v>
          </cell>
          <cell r="M82" t="str">
            <v xml:space="preserve">VILLALVA ESTEBAN  CUIT 20338123125 </v>
          </cell>
          <cell r="N82" t="str">
            <v>SUPLENTE</v>
          </cell>
          <cell r="O82" t="str">
            <v xml:space="preserve">VILLALVA ESTEBAN  CUIT 20338123125 </v>
          </cell>
        </row>
        <row r="83">
          <cell r="A83" t="str">
            <v>2°1°2112TST2</v>
          </cell>
          <cell r="B83" t="str">
            <v>2°1°</v>
          </cell>
          <cell r="C83">
            <v>211</v>
          </cell>
          <cell r="D83" t="str">
            <v>2TST2</v>
          </cell>
          <cell r="E83">
            <v>2683127</v>
          </cell>
          <cell r="F83" t="str">
            <v>SISTEMAS TECNOLOGICOS</v>
          </cell>
          <cell r="J83" t="str">
            <v xml:space="preserve">   20-32982114-6</v>
          </cell>
          <cell r="K83" t="str">
            <v xml:space="preserve">CRUZ DAVID   </v>
          </cell>
          <cell r="L83" t="str">
            <v xml:space="preserve"> </v>
          </cell>
          <cell r="M83" t="str">
            <v xml:space="preserve"> </v>
          </cell>
          <cell r="N83" t="str">
            <v>PROVISIONAL</v>
          </cell>
          <cell r="O83" t="str">
            <v xml:space="preserve">CRUZ DAVID   </v>
          </cell>
        </row>
        <row r="84">
          <cell r="A84" t="str">
            <v>2°1°2112TPT2</v>
          </cell>
          <cell r="B84" t="str">
            <v>2°1°</v>
          </cell>
          <cell r="C84">
            <v>211</v>
          </cell>
          <cell r="D84" t="str">
            <v>2TPT2</v>
          </cell>
          <cell r="E84">
            <v>2683128</v>
          </cell>
          <cell r="F84" t="str">
            <v>PROCEDIMIENTOS TECNICOS</v>
          </cell>
          <cell r="J84" t="str">
            <v xml:space="preserve">  20-22.230.438-6</v>
          </cell>
          <cell r="K84" t="str">
            <v xml:space="preserve">RODRIGUEZ RAUL                            </v>
          </cell>
          <cell r="L84" t="str">
            <v xml:space="preserve"> </v>
          </cell>
          <cell r="M84" t="str">
            <v xml:space="preserve"> </v>
          </cell>
          <cell r="N84" t="str">
            <v>PROVISIONAL</v>
          </cell>
          <cell r="O84" t="str">
            <v xml:space="preserve">RODRIGUEZ RAUL                            </v>
          </cell>
        </row>
        <row r="85">
          <cell r="A85" t="str">
            <v>2°1°2122TLT2</v>
          </cell>
          <cell r="B85" t="str">
            <v>2°1°</v>
          </cell>
          <cell r="C85">
            <v>212</v>
          </cell>
          <cell r="D85" t="str">
            <v>2TLT2</v>
          </cell>
          <cell r="E85">
            <v>2683129</v>
          </cell>
          <cell r="F85" t="str">
            <v>LENGUAJES TECNOLOGICOS</v>
          </cell>
          <cell r="G85" t="str">
            <v xml:space="preserve"> 27-11.864.641-5 </v>
          </cell>
          <cell r="H85" t="str">
            <v>(MASIVA)</v>
          </cell>
          <cell r="K85" t="str">
            <v xml:space="preserve">VERA LORENA                        </v>
          </cell>
          <cell r="L85" t="str">
            <v xml:space="preserve"> </v>
          </cell>
          <cell r="M85" t="str">
            <v xml:space="preserve"> </v>
          </cell>
          <cell r="N85" t="str">
            <v>PROVISIONAL</v>
          </cell>
          <cell r="O85" t="str">
            <v xml:space="preserve">VERA LORENA                        </v>
          </cell>
        </row>
        <row r="86">
          <cell r="A86" t="str">
            <v>2°1°2122TST2</v>
          </cell>
          <cell r="B86" t="str">
            <v>2°1°</v>
          </cell>
          <cell r="C86">
            <v>212</v>
          </cell>
          <cell r="D86" t="str">
            <v>2TST2</v>
          </cell>
          <cell r="E86">
            <v>2683131</v>
          </cell>
          <cell r="F86" t="str">
            <v>SISTEMAS TECNOLOGICOS</v>
          </cell>
          <cell r="K86" t="str">
            <v xml:space="preserve">VERA LORENA                        </v>
          </cell>
          <cell r="M86" t="str">
            <v xml:space="preserve"> </v>
          </cell>
          <cell r="N86" t="str">
            <v>PROVISIONAL</v>
          </cell>
          <cell r="O86" t="str">
            <v xml:space="preserve">VERA LORENA                        </v>
          </cell>
        </row>
        <row r="87">
          <cell r="A87" t="str">
            <v>2°1°2122TPT2</v>
          </cell>
          <cell r="B87" t="str">
            <v>2°1°</v>
          </cell>
          <cell r="C87">
            <v>212</v>
          </cell>
          <cell r="D87" t="str">
            <v>2TPT2</v>
          </cell>
          <cell r="E87">
            <v>2683132</v>
          </cell>
          <cell r="F87" t="str">
            <v>PROCEDIMIENTOS TECNICOS</v>
          </cell>
          <cell r="G87" t="str">
            <v>20-25.521.976-7</v>
          </cell>
          <cell r="H87" t="str">
            <v xml:space="preserve"> (MASIVA)</v>
          </cell>
          <cell r="I87" t="str">
            <v xml:space="preserve">CHAMORRO CRISTIAN                        </v>
          </cell>
          <cell r="L87" t="str">
            <v xml:space="preserve"> </v>
          </cell>
          <cell r="M87" t="str">
            <v xml:space="preserve"> </v>
          </cell>
          <cell r="N87" t="str">
            <v>TITULAR</v>
          </cell>
          <cell r="O87" t="str">
            <v xml:space="preserve">CHAMORRO CRISTIAN                        </v>
          </cell>
        </row>
        <row r="88">
          <cell r="A88" t="str">
            <v>2°2°2BIO</v>
          </cell>
          <cell r="B88" t="str">
            <v>2°2°</v>
          </cell>
          <cell r="D88" t="str">
            <v>2BIO</v>
          </cell>
          <cell r="E88">
            <v>1644155</v>
          </cell>
          <cell r="F88" t="str">
            <v>BIOLOGIA</v>
          </cell>
          <cell r="G88" t="str">
            <v>27-29.251.861-2</v>
          </cell>
          <cell r="I88" t="str">
            <v xml:space="preserve">TORRES CLAUDIA             </v>
          </cell>
          <cell r="L88">
            <v>27274090400</v>
          </cell>
          <cell r="M88" t="str">
            <v xml:space="preserve"> ARIAS YANINA</v>
          </cell>
          <cell r="N88" t="str">
            <v>SUPLENTE</v>
          </cell>
          <cell r="O88" t="str">
            <v xml:space="preserve"> ARIAS YANINA</v>
          </cell>
        </row>
        <row r="89">
          <cell r="A89" t="str">
            <v>2°2°2CCD</v>
          </cell>
          <cell r="B89" t="str">
            <v>2°2°</v>
          </cell>
          <cell r="D89" t="str">
            <v>2CCD</v>
          </cell>
          <cell r="E89">
            <v>2174482</v>
          </cell>
          <cell r="F89" t="str">
            <v>CONSTRUCCION DE LA CIUDADANIA</v>
          </cell>
          <cell r="G89" t="str">
            <v xml:space="preserve">  27-23.075.433-8  </v>
          </cell>
          <cell r="H89" t="str">
            <v>(MAD 2020)</v>
          </cell>
          <cell r="I89" t="str">
            <v xml:space="preserve">HERRERA CARMEN                   </v>
          </cell>
          <cell r="L89" t="str">
            <v xml:space="preserve"> </v>
          </cell>
          <cell r="M89" t="str">
            <v xml:space="preserve"> </v>
          </cell>
          <cell r="N89" t="str">
            <v>TITULAR</v>
          </cell>
          <cell r="O89" t="str">
            <v xml:space="preserve">HERRERA CARMEN                   </v>
          </cell>
        </row>
        <row r="90">
          <cell r="A90" t="str">
            <v>2°2°2ART</v>
          </cell>
          <cell r="B90" t="str">
            <v>2°2°</v>
          </cell>
          <cell r="D90" t="str">
            <v>2ART</v>
          </cell>
          <cell r="E90">
            <v>733691</v>
          </cell>
          <cell r="F90" t="str">
            <v>EDUCACION ARTISTICA (PLASTICA)</v>
          </cell>
          <cell r="G90" t="str">
            <v xml:space="preserve">       27-27.476.782-6</v>
          </cell>
          <cell r="I90" t="str">
            <v>MELGAREJO, PAULA</v>
          </cell>
          <cell r="L90" t="str">
            <v xml:space="preserve"> </v>
          </cell>
          <cell r="M90" t="str">
            <v xml:space="preserve"> </v>
          </cell>
          <cell r="N90" t="str">
            <v>TITULAR</v>
          </cell>
          <cell r="O90" t="str">
            <v>MELGAREJO, PAULA</v>
          </cell>
        </row>
        <row r="91">
          <cell r="A91" t="str">
            <v>2°2°2EFI</v>
          </cell>
          <cell r="B91" t="str">
            <v>2°2°</v>
          </cell>
          <cell r="D91" t="str">
            <v>2EFI</v>
          </cell>
          <cell r="E91">
            <v>733701</v>
          </cell>
          <cell r="F91" t="str">
            <v>EDUCACIÓN FISICA</v>
          </cell>
          <cell r="G91" t="str">
            <v>20-20.776.115-0</v>
          </cell>
          <cell r="I91" t="str">
            <v xml:space="preserve">LUDUEÑA NELSON           </v>
          </cell>
          <cell r="L91" t="str">
            <v xml:space="preserve"> </v>
          </cell>
          <cell r="M91" t="str">
            <v xml:space="preserve"> </v>
          </cell>
          <cell r="N91" t="str">
            <v>TITULAR</v>
          </cell>
          <cell r="O91" t="str">
            <v xml:space="preserve">LUDUEÑA NELSON           </v>
          </cell>
        </row>
        <row r="92">
          <cell r="A92" t="str">
            <v>2°2°2FI/QUI</v>
          </cell>
          <cell r="B92" t="str">
            <v>2°2°</v>
          </cell>
          <cell r="D92" t="str">
            <v>2FI/QUI</v>
          </cell>
          <cell r="E92">
            <v>1644154</v>
          </cell>
          <cell r="F92" t="str">
            <v>FISICO-QUIMICA</v>
          </cell>
          <cell r="G92" t="str">
            <v>27-28.329.165-6</v>
          </cell>
          <cell r="I92" t="str">
            <v xml:space="preserve">AGUIRRE VALERIA                            </v>
          </cell>
          <cell r="L92" t="str">
            <v xml:space="preserve"> </v>
          </cell>
          <cell r="M92" t="str">
            <v xml:space="preserve"> </v>
          </cell>
          <cell r="N92" t="str">
            <v>TITULAR</v>
          </cell>
          <cell r="O92" t="str">
            <v xml:space="preserve">AGUIRRE VALERIA                            </v>
          </cell>
        </row>
        <row r="93">
          <cell r="A93" t="str">
            <v>2°2°2GEO</v>
          </cell>
          <cell r="B93" t="str">
            <v>2°2°</v>
          </cell>
          <cell r="D93" t="str">
            <v>2GEO</v>
          </cell>
          <cell r="E93">
            <v>1644151</v>
          </cell>
          <cell r="F93" t="str">
            <v>GEOGRAFIA</v>
          </cell>
          <cell r="J93" t="str">
            <v>23-25.384.927-4</v>
          </cell>
          <cell r="K93" t="str">
            <v>AYALA VICORIA</v>
          </cell>
          <cell r="L93" t="str">
            <v xml:space="preserve"> </v>
          </cell>
          <cell r="M93" t="str">
            <v xml:space="preserve"> </v>
          </cell>
          <cell r="N93" t="str">
            <v>PROVISIONAL</v>
          </cell>
          <cell r="O93" t="str">
            <v>AYALA VICORIA</v>
          </cell>
        </row>
        <row r="94">
          <cell r="A94" t="str">
            <v>2°2°2HIS</v>
          </cell>
          <cell r="B94" t="str">
            <v>2°2°</v>
          </cell>
          <cell r="D94" t="str">
            <v>2HIS</v>
          </cell>
          <cell r="E94">
            <v>1644152</v>
          </cell>
          <cell r="F94" t="str">
            <v>HISTORIA</v>
          </cell>
          <cell r="G94" t="str">
            <v>27-20.786.164-8</v>
          </cell>
          <cell r="I94" t="str">
            <v xml:space="preserve">JUAREZ NORMA </v>
          </cell>
          <cell r="L94" t="str">
            <v xml:space="preserve"> </v>
          </cell>
          <cell r="M94" t="str">
            <v xml:space="preserve"> </v>
          </cell>
          <cell r="N94" t="str">
            <v>TITULAR</v>
          </cell>
          <cell r="O94" t="str">
            <v xml:space="preserve">JUAREZ NORMA </v>
          </cell>
        </row>
        <row r="95">
          <cell r="A95" t="str">
            <v>2°2°2ING</v>
          </cell>
          <cell r="B95" t="str">
            <v>2°2°</v>
          </cell>
          <cell r="D95" t="str">
            <v>2ING</v>
          </cell>
          <cell r="E95">
            <v>968803</v>
          </cell>
          <cell r="F95" t="str">
            <v>INGLÉS</v>
          </cell>
          <cell r="G95" t="str">
            <v xml:space="preserve">20-25.658.952-5  interino 2020 </v>
          </cell>
          <cell r="I95" t="str">
            <v>RAMIREZ GISELE</v>
          </cell>
          <cell r="L95" t="str">
            <v xml:space="preserve"> </v>
          </cell>
          <cell r="M95" t="str">
            <v xml:space="preserve"> </v>
          </cell>
          <cell r="N95" t="str">
            <v>TITULAR</v>
          </cell>
          <cell r="O95" t="str">
            <v>RAMIREZ GISELE</v>
          </cell>
        </row>
        <row r="96">
          <cell r="A96" t="str">
            <v>2°2°2MAT</v>
          </cell>
          <cell r="B96" t="str">
            <v>2°2°</v>
          </cell>
          <cell r="D96" t="str">
            <v>2MAT</v>
          </cell>
          <cell r="E96">
            <v>789737</v>
          </cell>
          <cell r="F96" t="str">
            <v>MATEMATICA</v>
          </cell>
          <cell r="G96" t="str">
            <v xml:space="preserve"> 27-21.485.515-7</v>
          </cell>
          <cell r="I96" t="str">
            <v>VARCHETTA, GABRIEL</v>
          </cell>
          <cell r="L96" t="str">
            <v xml:space="preserve"> </v>
          </cell>
          <cell r="M96" t="str">
            <v xml:space="preserve"> </v>
          </cell>
          <cell r="N96" t="str">
            <v>TITULAR</v>
          </cell>
          <cell r="O96" t="str">
            <v>VARCHETTA, GABRIEL</v>
          </cell>
        </row>
        <row r="97">
          <cell r="A97" t="str">
            <v>2°2°2PLG</v>
          </cell>
          <cell r="B97" t="str">
            <v>2°2°</v>
          </cell>
          <cell r="D97" t="str">
            <v>2PLG</v>
          </cell>
          <cell r="E97">
            <v>733450</v>
          </cell>
          <cell r="F97" t="str">
            <v>PRACTICA DEL LENGUAJE</v>
          </cell>
          <cell r="G97" t="str">
            <v>27-26.115.648-8</v>
          </cell>
          <cell r="I97" t="str">
            <v xml:space="preserve">GONZALEZ DANIELA                                 </v>
          </cell>
          <cell r="L97" t="str">
            <v xml:space="preserve"> </v>
          </cell>
          <cell r="M97" t="str">
            <v xml:space="preserve"> </v>
          </cell>
          <cell r="N97" t="str">
            <v>TITULAR</v>
          </cell>
          <cell r="O97" t="str">
            <v xml:space="preserve">GONZALEZ DANIELA                                 </v>
          </cell>
        </row>
        <row r="98">
          <cell r="A98" t="str">
            <v>2°2°2212TLT2</v>
          </cell>
          <cell r="B98" t="str">
            <v>2°2°</v>
          </cell>
          <cell r="C98">
            <v>221</v>
          </cell>
          <cell r="D98" t="str">
            <v>2TLT2</v>
          </cell>
          <cell r="E98">
            <v>2673400</v>
          </cell>
          <cell r="F98" t="str">
            <v>LENGUAJES TECNOLOGICOS</v>
          </cell>
          <cell r="G98" t="str">
            <v xml:space="preserve">27-11.864.641-5 </v>
          </cell>
          <cell r="H98" t="str">
            <v>(MASIVA)</v>
          </cell>
          <cell r="I98" t="str">
            <v xml:space="preserve">RIVAROLA NORMA                            </v>
          </cell>
          <cell r="L98" t="str">
            <v xml:space="preserve"> </v>
          </cell>
          <cell r="M98" t="str">
            <v xml:space="preserve"> </v>
          </cell>
          <cell r="N98" t="str">
            <v>TITULAR</v>
          </cell>
          <cell r="O98" t="str">
            <v xml:space="preserve">RIVAROLA NORMA                            </v>
          </cell>
        </row>
        <row r="99">
          <cell r="A99" t="str">
            <v>2°2°2212TST2</v>
          </cell>
          <cell r="B99" t="str">
            <v>2°2°</v>
          </cell>
          <cell r="C99">
            <v>221</v>
          </cell>
          <cell r="D99" t="str">
            <v>2TST2</v>
          </cell>
          <cell r="E99">
            <v>2673402</v>
          </cell>
          <cell r="F99" t="str">
            <v>SISTEMAS TECNOLOGICOS</v>
          </cell>
          <cell r="G99" t="str">
            <v xml:space="preserve">27-26.174.351-0 </v>
          </cell>
          <cell r="H99" t="str">
            <v xml:space="preserve"> (MASIVA)</v>
          </cell>
          <cell r="I99" t="str">
            <v xml:space="preserve">GOMEZ ANALIA                                     </v>
          </cell>
          <cell r="L99">
            <v>20231517406</v>
          </cell>
          <cell r="M99" t="str">
            <v xml:space="preserve"> AVILA MAURO GASTÓN</v>
          </cell>
          <cell r="N99" t="str">
            <v>SUPLENTE</v>
          </cell>
          <cell r="O99" t="str">
            <v xml:space="preserve"> AVILA MAURO GASTÓN</v>
          </cell>
        </row>
        <row r="100">
          <cell r="A100" t="str">
            <v>2°2°2212TPT2</v>
          </cell>
          <cell r="B100" t="str">
            <v>2°2°</v>
          </cell>
          <cell r="C100">
            <v>221</v>
          </cell>
          <cell r="D100" t="str">
            <v>2TPT2</v>
          </cell>
          <cell r="E100">
            <v>2673403</v>
          </cell>
          <cell r="F100" t="str">
            <v>PROCEDIMIENTOS TECNICOS</v>
          </cell>
          <cell r="K100" t="str">
            <v>CRUZ DAVID</v>
          </cell>
          <cell r="L100" t="str">
            <v xml:space="preserve"> </v>
          </cell>
          <cell r="M100" t="str">
            <v xml:space="preserve"> </v>
          </cell>
          <cell r="N100" t="str">
            <v>PROVISIONAL</v>
          </cell>
          <cell r="O100" t="str">
            <v>CRUZ DAVID</v>
          </cell>
        </row>
        <row r="101">
          <cell r="A101" t="str">
            <v>2°2°2222TLT2</v>
          </cell>
          <cell r="B101" t="str">
            <v>2°2°</v>
          </cell>
          <cell r="C101">
            <v>222</v>
          </cell>
          <cell r="D101" t="str">
            <v>2TLT2</v>
          </cell>
          <cell r="E101">
            <v>2673404</v>
          </cell>
          <cell r="F101" t="str">
            <v>LENGUAJES TECNOLOGICOS</v>
          </cell>
          <cell r="G101" t="str">
            <v xml:space="preserve">27-11.864.641-5       </v>
          </cell>
          <cell r="H101" t="str">
            <v xml:space="preserve">    (MASIVA)</v>
          </cell>
          <cell r="I101" t="str">
            <v xml:space="preserve">RIVAROLA NORMA              </v>
          </cell>
          <cell r="L101" t="str">
            <v xml:space="preserve"> </v>
          </cell>
          <cell r="M101" t="str">
            <v xml:space="preserve"> </v>
          </cell>
          <cell r="N101" t="str">
            <v>TITULAR</v>
          </cell>
          <cell r="O101" t="str">
            <v xml:space="preserve">RIVAROLA NORMA              </v>
          </cell>
        </row>
        <row r="102">
          <cell r="A102" t="str">
            <v>2°2°2222TST2</v>
          </cell>
          <cell r="B102" t="str">
            <v>2°2°</v>
          </cell>
          <cell r="C102">
            <v>222</v>
          </cell>
          <cell r="D102" t="str">
            <v>2TST2</v>
          </cell>
          <cell r="E102">
            <v>2673405</v>
          </cell>
          <cell r="F102" t="str">
            <v>SISTEMAS TECNOLOGICOS</v>
          </cell>
          <cell r="K102" t="str">
            <v>RODRIGUEZ PABLO</v>
          </cell>
          <cell r="M102" t="str">
            <v xml:space="preserve"> </v>
          </cell>
          <cell r="N102" t="str">
            <v>PROVISIONAL</v>
          </cell>
          <cell r="O102" t="str">
            <v>RODRIGUEZ PABLO</v>
          </cell>
        </row>
        <row r="103">
          <cell r="A103" t="str">
            <v>2°2°2222TPT2</v>
          </cell>
          <cell r="B103" t="str">
            <v>2°2°</v>
          </cell>
          <cell r="C103">
            <v>222</v>
          </cell>
          <cell r="D103" t="str">
            <v>2TPT2</v>
          </cell>
          <cell r="E103">
            <v>2673406</v>
          </cell>
          <cell r="F103" t="str">
            <v>PROCEDIMIENTOS TECNICOS</v>
          </cell>
          <cell r="J103" t="str">
            <v xml:space="preserve">     20-28.191.299-3</v>
          </cell>
          <cell r="K103" t="str">
            <v xml:space="preserve">ETCHEVERRY MARTIN                            </v>
          </cell>
          <cell r="L103" t="str">
            <v xml:space="preserve"> </v>
          </cell>
          <cell r="M103" t="str">
            <v xml:space="preserve"> </v>
          </cell>
          <cell r="N103" t="str">
            <v>PROVISIONAL</v>
          </cell>
          <cell r="O103" t="str">
            <v xml:space="preserve">ETCHEVERRY MARTIN                            </v>
          </cell>
        </row>
        <row r="104">
          <cell r="A104" t="str">
            <v>2°3°2BIO</v>
          </cell>
          <cell r="B104" t="str">
            <v>2°3°</v>
          </cell>
          <cell r="D104" t="str">
            <v>2BIO</v>
          </cell>
          <cell r="E104">
            <v>1644159</v>
          </cell>
          <cell r="F104" t="str">
            <v>BIOLOGIA</v>
          </cell>
          <cell r="G104" t="str">
            <v xml:space="preserve"> 27-29.251.861-2</v>
          </cell>
          <cell r="I104" t="str">
            <v xml:space="preserve">TORRES CLAUDIA  </v>
          </cell>
          <cell r="L104">
            <v>20329816665</v>
          </cell>
          <cell r="M104" t="str">
            <v>YBARRA MAXIMILIANO ELIAS</v>
          </cell>
          <cell r="N104" t="str">
            <v>SUPLENTE</v>
          </cell>
          <cell r="O104" t="str">
            <v>YBARRA MAXIMILIANO ELIAS</v>
          </cell>
        </row>
        <row r="105">
          <cell r="A105" t="str">
            <v>2°3°2CCD</v>
          </cell>
          <cell r="B105" t="str">
            <v>2°3°</v>
          </cell>
          <cell r="D105" t="str">
            <v>2CCD</v>
          </cell>
          <cell r="E105">
            <v>2683123</v>
          </cell>
          <cell r="F105" t="str">
            <v>CONSTRUCCION DE LA CIUDADANIA</v>
          </cell>
          <cell r="I105" t="str">
            <v>HERRERA CARMEN</v>
          </cell>
          <cell r="L105">
            <v>0</v>
          </cell>
          <cell r="M105" t="str">
            <v>ARCE MIRTA</v>
          </cell>
          <cell r="N105" t="str">
            <v>SUPLENTE</v>
          </cell>
          <cell r="O105" t="str">
            <v>ARCE MIRTA</v>
          </cell>
        </row>
        <row r="106">
          <cell r="A106" t="str">
            <v>2°3°2ART</v>
          </cell>
          <cell r="B106" t="str">
            <v>2°3°</v>
          </cell>
          <cell r="D106" t="str">
            <v>2ART</v>
          </cell>
          <cell r="E106">
            <v>807722</v>
          </cell>
          <cell r="F106" t="str">
            <v>EDUCACION ARTISTICA (PLASTICA)</v>
          </cell>
          <cell r="G106" t="str">
            <v>7-24.680.551-8</v>
          </cell>
          <cell r="H106" t="str">
            <v>(MAD 2018)</v>
          </cell>
          <cell r="I106" t="str">
            <v xml:space="preserve">ISSETTA LORENA </v>
          </cell>
          <cell r="L106" t="str">
            <v xml:space="preserve"> </v>
          </cell>
          <cell r="M106" t="str">
            <v xml:space="preserve"> </v>
          </cell>
          <cell r="N106" t="str">
            <v>TITULAR</v>
          </cell>
          <cell r="O106" t="str">
            <v xml:space="preserve">ISSETTA LORENA </v>
          </cell>
        </row>
        <row r="107">
          <cell r="A107" t="str">
            <v>2°3°2EFI</v>
          </cell>
          <cell r="B107" t="str">
            <v>2°3°</v>
          </cell>
          <cell r="D107" t="str">
            <v>2EFI</v>
          </cell>
          <cell r="E107">
            <v>807724</v>
          </cell>
          <cell r="F107" t="str">
            <v>EDUCACIÓN FISICA</v>
          </cell>
          <cell r="G107">
            <v>2725153709</v>
          </cell>
          <cell r="H107" t="str">
            <v xml:space="preserve">  (MAD 2020)</v>
          </cell>
          <cell r="I107" t="str">
            <v xml:space="preserve">AMAYA SILVIA </v>
          </cell>
          <cell r="L107" t="str">
            <v xml:space="preserve"> </v>
          </cell>
          <cell r="M107" t="str">
            <v xml:space="preserve"> </v>
          </cell>
          <cell r="N107" t="str">
            <v>TITULAR</v>
          </cell>
          <cell r="O107" t="str">
            <v xml:space="preserve">AMAYA SILVIA </v>
          </cell>
        </row>
        <row r="108">
          <cell r="A108" t="str">
            <v>2°3°2FI/QUI</v>
          </cell>
          <cell r="B108" t="str">
            <v>2°3°</v>
          </cell>
          <cell r="D108" t="str">
            <v>2FI/QUI</v>
          </cell>
          <cell r="E108">
            <v>1644158</v>
          </cell>
          <cell r="F108" t="str">
            <v>FISICO-QUIMICA</v>
          </cell>
          <cell r="G108" t="str">
            <v>27-25.663.450-9</v>
          </cell>
          <cell r="I108" t="str">
            <v xml:space="preserve">ESCALADA SILVANA </v>
          </cell>
          <cell r="L108">
            <v>27309231800</v>
          </cell>
          <cell r="M108" t="str">
            <v xml:space="preserve">PEREYRA MARISA ALEJANDR </v>
          </cell>
          <cell r="N108" t="str">
            <v>SUPLENTE</v>
          </cell>
          <cell r="O108" t="str">
            <v xml:space="preserve">PEREYRA MARISA ALEJANDR </v>
          </cell>
        </row>
        <row r="109">
          <cell r="A109" t="str">
            <v>2°3°2GEO</v>
          </cell>
          <cell r="B109" t="str">
            <v>2°3°</v>
          </cell>
          <cell r="D109" t="str">
            <v>2GEO</v>
          </cell>
          <cell r="E109">
            <v>1228009</v>
          </cell>
          <cell r="F109" t="str">
            <v>GEOGRAFIA</v>
          </cell>
          <cell r="G109" t="str">
            <v xml:space="preserve"> 20-24.636.852-0</v>
          </cell>
          <cell r="I109" t="str">
            <v>ANTONELLO, FERNANDO</v>
          </cell>
          <cell r="L109" t="str">
            <v xml:space="preserve"> </v>
          </cell>
          <cell r="M109" t="str">
            <v xml:space="preserve"> </v>
          </cell>
          <cell r="N109" t="str">
            <v>TITULAR</v>
          </cell>
          <cell r="O109" t="str">
            <v>ANTONELLO, FERNANDO</v>
          </cell>
        </row>
        <row r="110">
          <cell r="A110" t="str">
            <v>2°3°2HIS</v>
          </cell>
          <cell r="B110" t="str">
            <v>2°3°</v>
          </cell>
          <cell r="D110" t="str">
            <v>2HIS</v>
          </cell>
          <cell r="E110">
            <v>1644157</v>
          </cell>
          <cell r="F110" t="str">
            <v>HISTORIA</v>
          </cell>
          <cell r="G110" t="str">
            <v xml:space="preserve"> 27-20.786.164-8 </v>
          </cell>
          <cell r="H110" t="str">
            <v>MAD 2025</v>
          </cell>
          <cell r="I110" t="str">
            <v>JUAREZ NORMA</v>
          </cell>
          <cell r="L110" t="str">
            <v xml:space="preserve"> </v>
          </cell>
          <cell r="M110" t="str">
            <v xml:space="preserve"> </v>
          </cell>
          <cell r="N110" t="str">
            <v>TITULAR</v>
          </cell>
          <cell r="O110" t="str">
            <v>JUAREZ NORMA</v>
          </cell>
        </row>
        <row r="111">
          <cell r="A111" t="str">
            <v>2°3°2ING</v>
          </cell>
          <cell r="B111" t="str">
            <v>2°3°</v>
          </cell>
          <cell r="D111" t="str">
            <v>2ING</v>
          </cell>
          <cell r="E111">
            <v>807720</v>
          </cell>
          <cell r="F111" t="str">
            <v>INGLÉS</v>
          </cell>
          <cell r="I111" t="str">
            <v>RAMIREZ GISELE</v>
          </cell>
          <cell r="L111" t="str">
            <v xml:space="preserve"> </v>
          </cell>
          <cell r="M111" t="str">
            <v xml:space="preserve"> </v>
          </cell>
          <cell r="N111" t="str">
            <v>TITULAR</v>
          </cell>
          <cell r="O111" t="str">
            <v>RAMIREZ GISELE</v>
          </cell>
        </row>
        <row r="112">
          <cell r="A112" t="str">
            <v>2°3°2MAT</v>
          </cell>
          <cell r="B112" t="str">
            <v>2°3°</v>
          </cell>
          <cell r="D112" t="str">
            <v>2MAT</v>
          </cell>
          <cell r="E112">
            <v>807717</v>
          </cell>
          <cell r="F112" t="str">
            <v>MATEMATICA</v>
          </cell>
          <cell r="G112" t="str">
            <v xml:space="preserve"> 23-22.948.231-9</v>
          </cell>
          <cell r="H112" t="str">
            <v xml:space="preserve"> (MAD 2018)</v>
          </cell>
          <cell r="I112" t="str">
            <v xml:space="preserve">LUZURIAGA ANGEL </v>
          </cell>
          <cell r="L112" t="str">
            <v>23-25.384.927-4</v>
          </cell>
          <cell r="M112" t="str">
            <v>ALARCON, MARIA</v>
          </cell>
          <cell r="N112" t="str">
            <v>SUPLENTE</v>
          </cell>
          <cell r="O112" t="str">
            <v>ALARCON, MARIA</v>
          </cell>
        </row>
        <row r="113">
          <cell r="A113" t="str">
            <v>2°3°2PLG</v>
          </cell>
          <cell r="B113" t="str">
            <v>2°3°</v>
          </cell>
          <cell r="D113" t="str">
            <v>2PLG</v>
          </cell>
          <cell r="E113">
            <v>807715</v>
          </cell>
          <cell r="F113" t="str">
            <v>PRACTICA DEL LENGUAJE</v>
          </cell>
          <cell r="G113" t="str">
            <v>27-28.121.620-7</v>
          </cell>
          <cell r="I113" t="str">
            <v>VELAZQUEZ VALERIA</v>
          </cell>
          <cell r="L113" t="str">
            <v xml:space="preserve"> </v>
          </cell>
          <cell r="M113" t="str">
            <v xml:space="preserve"> </v>
          </cell>
          <cell r="N113" t="str">
            <v>TITULAR</v>
          </cell>
          <cell r="O113" t="str">
            <v>VELAZQUEZ VALERIA</v>
          </cell>
        </row>
        <row r="114">
          <cell r="A114" t="str">
            <v>2°3°2312TLT2</v>
          </cell>
          <cell r="B114" t="str">
            <v>2°3°</v>
          </cell>
          <cell r="C114">
            <v>231</v>
          </cell>
          <cell r="D114" t="str">
            <v>2TLT2</v>
          </cell>
          <cell r="E114">
            <v>2673117</v>
          </cell>
          <cell r="F114" t="str">
            <v>LENGUAJES TECNOLOGICOS</v>
          </cell>
          <cell r="G114" t="str">
            <v xml:space="preserve"> 27-11.864.641-5</v>
          </cell>
          <cell r="H114" t="str">
            <v xml:space="preserve"> (MASIVA)</v>
          </cell>
          <cell r="I114" t="str">
            <v xml:space="preserve">RIVAROLA NORMA </v>
          </cell>
          <cell r="K114" t="str">
            <v>CRUZ JESUS NAZARENO 20256926157</v>
          </cell>
          <cell r="L114" t="str">
            <v xml:space="preserve"> </v>
          </cell>
          <cell r="M114" t="str">
            <v xml:space="preserve"> </v>
          </cell>
          <cell r="N114" t="str">
            <v>PROVISIONAL</v>
          </cell>
          <cell r="O114" t="str">
            <v>CRUZ JESUS NAZARENO 20256926157</v>
          </cell>
        </row>
        <row r="115">
          <cell r="A115" t="str">
            <v>2°3°2312TST2</v>
          </cell>
          <cell r="B115" t="str">
            <v>2°3°</v>
          </cell>
          <cell r="C115">
            <v>231</v>
          </cell>
          <cell r="D115" t="str">
            <v>2TST2</v>
          </cell>
          <cell r="E115">
            <v>2673119</v>
          </cell>
          <cell r="F115" t="str">
            <v>SISTEMAS TECNOLOGICOS</v>
          </cell>
          <cell r="G115" t="str">
            <v xml:space="preserve"> 27-26.174.351-0   </v>
          </cell>
          <cell r="H115" t="str">
            <v xml:space="preserve">       (MASIVA)</v>
          </cell>
          <cell r="I115" t="str">
            <v xml:space="preserve">GOMEZ ANALIA </v>
          </cell>
          <cell r="L115">
            <v>27288817427</v>
          </cell>
          <cell r="M115" t="str">
            <v>MIRTA GABRIELA ZEBALLOS</v>
          </cell>
          <cell r="N115" t="str">
            <v>SUPLENTE</v>
          </cell>
          <cell r="O115" t="str">
            <v>MIRTA GABRIELA ZEBALLOS</v>
          </cell>
        </row>
        <row r="116">
          <cell r="A116" t="str">
            <v>2°3°2312TPT2</v>
          </cell>
          <cell r="B116" t="str">
            <v>2°3°</v>
          </cell>
          <cell r="C116">
            <v>231</v>
          </cell>
          <cell r="D116" t="str">
            <v>2TPT2</v>
          </cell>
          <cell r="E116">
            <v>2673121</v>
          </cell>
          <cell r="F116" t="str">
            <v>PROCEDIMIENTOS TECNICOS</v>
          </cell>
          <cell r="G116" t="str">
            <v>20-25.521.976-7</v>
          </cell>
          <cell r="H116" t="str">
            <v xml:space="preserve"> (MASIVA)</v>
          </cell>
          <cell r="I116" t="str">
            <v>CHAMORRO CRISTIAN</v>
          </cell>
          <cell r="L116" t="str">
            <v xml:space="preserve"> </v>
          </cell>
          <cell r="M116" t="str">
            <v xml:space="preserve"> </v>
          </cell>
          <cell r="N116" t="str">
            <v>TITULAR</v>
          </cell>
          <cell r="O116" t="str">
            <v>CHAMORRO CRISTIAN</v>
          </cell>
        </row>
        <row r="117">
          <cell r="A117" t="str">
            <v>2°3°2322TLT2</v>
          </cell>
          <cell r="B117" t="str">
            <v>2°3°</v>
          </cell>
          <cell r="C117">
            <v>232</v>
          </cell>
          <cell r="D117" t="str">
            <v>2TLT2</v>
          </cell>
          <cell r="E117">
            <v>2673123</v>
          </cell>
          <cell r="F117" t="str">
            <v>LENGUAJES TECNOLOGICOS</v>
          </cell>
          <cell r="G117" t="str">
            <v xml:space="preserve"> 27-11.864.641-5</v>
          </cell>
          <cell r="H117" t="str">
            <v>(MASIVA)</v>
          </cell>
          <cell r="J117">
            <v>27373875584</v>
          </cell>
          <cell r="K117" t="str">
            <v xml:space="preserve">CASTILLO MARISOL ANABEL </v>
          </cell>
          <cell r="L117" t="str">
            <v xml:space="preserve"> </v>
          </cell>
          <cell r="M117" t="str">
            <v xml:space="preserve"> </v>
          </cell>
          <cell r="N117" t="str">
            <v>PROVISIONAL</v>
          </cell>
          <cell r="O117" t="str">
            <v xml:space="preserve">CASTILLO MARISOL ANABEL </v>
          </cell>
        </row>
        <row r="118">
          <cell r="A118" t="str">
            <v>2°3°2322TST2</v>
          </cell>
          <cell r="B118" t="str">
            <v>2°3°</v>
          </cell>
          <cell r="C118">
            <v>232</v>
          </cell>
          <cell r="D118" t="str">
            <v>2TST2</v>
          </cell>
          <cell r="E118">
            <v>2673124</v>
          </cell>
          <cell r="F118" t="str">
            <v>SISTEMAS TECNOLOGICOS</v>
          </cell>
          <cell r="J118" t="str">
            <v xml:space="preserve"> 27-26.174.351-0</v>
          </cell>
          <cell r="K118" t="str">
            <v>GOMEZ ANALIA</v>
          </cell>
          <cell r="L118">
            <v>20231517406</v>
          </cell>
          <cell r="M118" t="str">
            <v xml:space="preserve"> AVILA MAURO GASTÓN</v>
          </cell>
          <cell r="N118" t="str">
            <v>SUPLENTE</v>
          </cell>
          <cell r="O118" t="str">
            <v xml:space="preserve"> AVILA MAURO GASTÓN</v>
          </cell>
        </row>
        <row r="119">
          <cell r="A119" t="str">
            <v>2°3°2322TPT2</v>
          </cell>
          <cell r="B119" t="str">
            <v>2°3°</v>
          </cell>
          <cell r="C119">
            <v>232</v>
          </cell>
          <cell r="D119" t="str">
            <v>2TPT2</v>
          </cell>
          <cell r="E119">
            <v>2672126</v>
          </cell>
          <cell r="F119" t="str">
            <v>PROCEDIMIENTOS TECNICOS</v>
          </cell>
          <cell r="G119" t="str">
            <v xml:space="preserve">27-26.500.191-8 </v>
          </cell>
          <cell r="H119" t="str">
            <v>(MASIVA)</v>
          </cell>
          <cell r="I119" t="str">
            <v xml:space="preserve">GOMEZ NANCY  </v>
          </cell>
          <cell r="L119" t="str">
            <v xml:space="preserve"> 20-23.998.211-6</v>
          </cell>
          <cell r="M119" t="str">
            <v>CAMBULE, PEDRO</v>
          </cell>
          <cell r="N119" t="str">
            <v>SUPLENTE</v>
          </cell>
          <cell r="O119" t="str">
            <v>CAMBULE, PEDRO</v>
          </cell>
        </row>
        <row r="120">
          <cell r="A120" t="str">
            <v>2°4°2BIO</v>
          </cell>
          <cell r="B120" t="str">
            <v>2°4°</v>
          </cell>
          <cell r="D120" t="str">
            <v>2BIO</v>
          </cell>
          <cell r="E120">
            <v>1642680</v>
          </cell>
          <cell r="F120" t="str">
            <v>BIOLOGIA</v>
          </cell>
          <cell r="I120" t="str">
            <v>BARRIONUEVO MARIANELA</v>
          </cell>
          <cell r="L120" t="str">
            <v xml:space="preserve"> </v>
          </cell>
          <cell r="M120" t="str">
            <v xml:space="preserve"> </v>
          </cell>
          <cell r="N120" t="str">
            <v>TITULAR</v>
          </cell>
          <cell r="O120" t="str">
            <v>BARRIONUEVO MARIANELA</v>
          </cell>
        </row>
        <row r="121">
          <cell r="A121" t="str">
            <v>2°4°2CCD</v>
          </cell>
          <cell r="B121" t="str">
            <v>2°4°</v>
          </cell>
          <cell r="D121" t="str">
            <v>2CCD</v>
          </cell>
          <cell r="E121">
            <v>1642681</v>
          </cell>
          <cell r="F121" t="str">
            <v>CONSTRUCCION DE LA CIUDADANIA</v>
          </cell>
          <cell r="G121" t="str">
            <v xml:space="preserve"> 27-25.153.700-9</v>
          </cell>
          <cell r="I121" t="str">
            <v>AMAYA SILVIA</v>
          </cell>
          <cell r="L121" t="str">
            <v xml:space="preserve"> </v>
          </cell>
          <cell r="M121" t="str">
            <v xml:space="preserve"> </v>
          </cell>
          <cell r="N121" t="str">
            <v>TITULAR</v>
          </cell>
          <cell r="O121" t="str">
            <v>AMAYA SILVIA</v>
          </cell>
        </row>
        <row r="122">
          <cell r="A122" t="str">
            <v>2°4°2ART</v>
          </cell>
          <cell r="B122" t="str">
            <v>2°4°</v>
          </cell>
          <cell r="D122" t="str">
            <v>2ART</v>
          </cell>
          <cell r="E122">
            <v>1642684</v>
          </cell>
          <cell r="F122" t="str">
            <v>EDUCACION ARTISTICA (PLASTICA)</v>
          </cell>
          <cell r="J122" t="str">
            <v>20-28.438.827-6</v>
          </cell>
          <cell r="K122" t="str">
            <v xml:space="preserve">QUEVEDO OMAR </v>
          </cell>
          <cell r="L122" t="str">
            <v xml:space="preserve"> </v>
          </cell>
          <cell r="M122" t="str">
            <v xml:space="preserve"> </v>
          </cell>
          <cell r="N122" t="str">
            <v>PROVISIONAL</v>
          </cell>
          <cell r="O122" t="str">
            <v xml:space="preserve">QUEVEDO OMAR </v>
          </cell>
        </row>
        <row r="123">
          <cell r="A123" t="str">
            <v>2°4°2EFI</v>
          </cell>
          <cell r="B123" t="str">
            <v>2°4°</v>
          </cell>
          <cell r="D123" t="str">
            <v>2EFI</v>
          </cell>
          <cell r="E123">
            <v>1642683</v>
          </cell>
          <cell r="F123" t="str">
            <v>EDUCACIÓN FISICA</v>
          </cell>
          <cell r="G123" t="str">
            <v>20-20.422.900-8</v>
          </cell>
          <cell r="I123" t="str">
            <v>SANCHEZ CARLOS</v>
          </cell>
          <cell r="L123" t="str">
            <v xml:space="preserve"> </v>
          </cell>
          <cell r="M123" t="str">
            <v xml:space="preserve"> </v>
          </cell>
          <cell r="N123" t="str">
            <v>TITULAR</v>
          </cell>
          <cell r="O123" t="str">
            <v>SANCHEZ CARLOS</v>
          </cell>
        </row>
        <row r="124">
          <cell r="A124" t="str">
            <v>2°4°2FI/QUI</v>
          </cell>
          <cell r="B124" t="str">
            <v>2°4°</v>
          </cell>
          <cell r="D124" t="str">
            <v>2FI/QUI</v>
          </cell>
          <cell r="E124">
            <v>1642679</v>
          </cell>
          <cell r="F124" t="str">
            <v>FISICO-QUIMICA</v>
          </cell>
          <cell r="G124" t="str">
            <v>27-29.590.966-4</v>
          </cell>
          <cell r="I124" t="str">
            <v xml:space="preserve">DA CHILE IGLESIAS V                 </v>
          </cell>
          <cell r="L124" t="str">
            <v xml:space="preserve"> </v>
          </cell>
          <cell r="M124" t="str">
            <v xml:space="preserve"> </v>
          </cell>
          <cell r="N124" t="str">
            <v>TITULAR</v>
          </cell>
          <cell r="O124" t="str">
            <v xml:space="preserve">DA CHILE IGLESIAS V                 </v>
          </cell>
        </row>
        <row r="125">
          <cell r="A125" t="str">
            <v>2°4°2GEO</v>
          </cell>
          <cell r="B125" t="str">
            <v>2°4°</v>
          </cell>
          <cell r="D125" t="str">
            <v>2GEO</v>
          </cell>
          <cell r="E125">
            <v>1642675</v>
          </cell>
          <cell r="F125" t="str">
            <v>GEOGRAFIA</v>
          </cell>
          <cell r="G125" t="str">
            <v>20-24.636.852-0</v>
          </cell>
          <cell r="I125" t="str">
            <v>ANTONELLO, FERNANDO</v>
          </cell>
          <cell r="L125" t="str">
            <v xml:space="preserve"> </v>
          </cell>
          <cell r="M125" t="str">
            <v xml:space="preserve"> </v>
          </cell>
          <cell r="N125" t="str">
            <v>TITULAR</v>
          </cell>
          <cell r="O125" t="str">
            <v>ANTONELLO, FERNANDO</v>
          </cell>
        </row>
        <row r="126">
          <cell r="A126" t="str">
            <v>2°4°2HIS</v>
          </cell>
          <cell r="B126" t="str">
            <v>2°4°</v>
          </cell>
          <cell r="D126" t="str">
            <v>2HIS</v>
          </cell>
          <cell r="E126">
            <v>1642678</v>
          </cell>
          <cell r="F126" t="str">
            <v>HISTORIA</v>
          </cell>
          <cell r="G126" t="str">
            <v xml:space="preserve">20-18.284.913-9 </v>
          </cell>
          <cell r="H126" t="str">
            <v xml:space="preserve"> MAD 2018</v>
          </cell>
          <cell r="I126" t="str">
            <v xml:space="preserve">TORRES LUIS                    </v>
          </cell>
          <cell r="L126" t="str">
            <v xml:space="preserve"> </v>
          </cell>
          <cell r="M126" t="str">
            <v xml:space="preserve"> </v>
          </cell>
          <cell r="N126" t="str">
            <v>TITULAR</v>
          </cell>
          <cell r="O126" t="str">
            <v xml:space="preserve">TORRES LUIS                    </v>
          </cell>
        </row>
        <row r="127">
          <cell r="A127" t="str">
            <v>2°4°2ING</v>
          </cell>
          <cell r="B127" t="str">
            <v>2°4°</v>
          </cell>
          <cell r="D127" t="str">
            <v>2ING</v>
          </cell>
          <cell r="E127">
            <v>1642673</v>
          </cell>
          <cell r="F127" t="str">
            <v>INGLÉS</v>
          </cell>
          <cell r="G127" t="str">
            <v xml:space="preserve"> 27-26.157.162-2</v>
          </cell>
          <cell r="I127" t="str">
            <v>SARRIA, ANDREA</v>
          </cell>
          <cell r="L127">
            <v>27321538849</v>
          </cell>
          <cell r="M127" t="str">
            <v>ORTIZ SOFIA</v>
          </cell>
          <cell r="N127" t="str">
            <v>SUPLENTE</v>
          </cell>
          <cell r="O127" t="str">
            <v>ORTIZ SOFIA</v>
          </cell>
        </row>
        <row r="128">
          <cell r="A128" t="str">
            <v>2°4°2MAT</v>
          </cell>
          <cell r="B128" t="str">
            <v>2°4°</v>
          </cell>
          <cell r="D128" t="str">
            <v>2MAT</v>
          </cell>
          <cell r="E128">
            <v>1642674</v>
          </cell>
          <cell r="F128" t="str">
            <v>MATEMATICA</v>
          </cell>
          <cell r="K128" t="str">
            <v>FERRARIS OJEDA JULIETA</v>
          </cell>
          <cell r="M128" t="str">
            <v xml:space="preserve"> </v>
          </cell>
          <cell r="N128" t="str">
            <v>PROVISIONAL</v>
          </cell>
          <cell r="O128" t="str">
            <v>FERRARIS OJEDA JULIETA</v>
          </cell>
        </row>
        <row r="129">
          <cell r="A129" t="str">
            <v>2°4°2PLG</v>
          </cell>
          <cell r="B129" t="str">
            <v>2°4°</v>
          </cell>
          <cell r="D129" t="str">
            <v>2PLG</v>
          </cell>
          <cell r="E129">
            <v>1642672</v>
          </cell>
          <cell r="F129" t="str">
            <v>PRACTICA DEL LENGUAJE</v>
          </cell>
          <cell r="G129" t="str">
            <v>27-17.521.161-1</v>
          </cell>
          <cell r="I129" t="str">
            <v>ARANDA NELIDA</v>
          </cell>
          <cell r="L129" t="str">
            <v xml:space="preserve"> </v>
          </cell>
          <cell r="M129" t="str">
            <v xml:space="preserve"> </v>
          </cell>
          <cell r="N129" t="str">
            <v>TITULAR</v>
          </cell>
          <cell r="O129" t="str">
            <v>ARANDA NELIDA</v>
          </cell>
        </row>
        <row r="130">
          <cell r="A130" t="str">
            <v>2°4°2412TLT2</v>
          </cell>
          <cell r="B130" t="str">
            <v>2°4°</v>
          </cell>
          <cell r="C130">
            <v>241</v>
          </cell>
          <cell r="D130" t="str">
            <v>2TLT2</v>
          </cell>
          <cell r="E130">
            <v>2673421</v>
          </cell>
          <cell r="F130" t="str">
            <v>LENGUAJES TECNOLOGICOS</v>
          </cell>
          <cell r="J130" t="str">
            <v xml:space="preserve"> 20-16.220.206-6</v>
          </cell>
          <cell r="K130" t="str">
            <v>FISTER, VICTOR</v>
          </cell>
          <cell r="L130" t="str">
            <v xml:space="preserve"> </v>
          </cell>
          <cell r="M130" t="str">
            <v xml:space="preserve"> </v>
          </cell>
          <cell r="N130" t="str">
            <v>PROVISIONAL</v>
          </cell>
          <cell r="O130" t="str">
            <v>FISTER, VICTOR</v>
          </cell>
        </row>
        <row r="131">
          <cell r="A131" t="str">
            <v>2°4°2412TST2</v>
          </cell>
          <cell r="B131" t="str">
            <v>2°4°</v>
          </cell>
          <cell r="C131">
            <v>241</v>
          </cell>
          <cell r="D131" t="str">
            <v>2TST2</v>
          </cell>
          <cell r="E131">
            <v>2673423</v>
          </cell>
          <cell r="F131" t="str">
            <v>SISTEMAS TECNOLOGICOS</v>
          </cell>
          <cell r="J131" t="str">
            <v>23-24.294.162-4</v>
          </cell>
          <cell r="K131" t="str">
            <v xml:space="preserve">AVILA </v>
          </cell>
          <cell r="L131" t="str">
            <v xml:space="preserve"> </v>
          </cell>
          <cell r="M131" t="str">
            <v xml:space="preserve"> </v>
          </cell>
          <cell r="N131" t="str">
            <v>PROVISIONAL</v>
          </cell>
          <cell r="O131" t="str">
            <v xml:space="preserve">AVILA </v>
          </cell>
        </row>
        <row r="132">
          <cell r="A132" t="str">
            <v>2°4°2412TPT2</v>
          </cell>
          <cell r="B132" t="str">
            <v>2°4°</v>
          </cell>
          <cell r="C132">
            <v>241</v>
          </cell>
          <cell r="D132" t="str">
            <v>2TPT2</v>
          </cell>
          <cell r="E132">
            <v>2673425</v>
          </cell>
          <cell r="F132" t="str">
            <v>PROCEDIMIENTOS TECNICOS</v>
          </cell>
          <cell r="G132" t="str">
            <v xml:space="preserve"> 20-24.490.541-3 </v>
          </cell>
          <cell r="H132" t="str">
            <v>(3 MOD)</v>
          </cell>
          <cell r="I132" t="str">
            <v>PAZ ALBERTO</v>
          </cell>
          <cell r="J132" t="str">
            <v>20-24.490.541-3               (1MOD)</v>
          </cell>
          <cell r="K132" t="str">
            <v xml:space="preserve">PAZ ALBERTO </v>
          </cell>
          <cell r="L132">
            <v>0</v>
          </cell>
          <cell r="M132" t="str">
            <v>CRUZ DAVID</v>
          </cell>
          <cell r="N132" t="str">
            <v>SUPLENTE</v>
          </cell>
          <cell r="O132" t="str">
            <v>CRUZ DAVID</v>
          </cell>
        </row>
        <row r="133">
          <cell r="A133" t="str">
            <v>2°4°2422TLT2</v>
          </cell>
          <cell r="B133" t="str">
            <v>2°4°</v>
          </cell>
          <cell r="C133">
            <v>242</v>
          </cell>
          <cell r="D133" t="str">
            <v>2TLT2</v>
          </cell>
          <cell r="E133">
            <v>2673427</v>
          </cell>
          <cell r="F133" t="str">
            <v>LENGUAJES TECNOLOGICOS</v>
          </cell>
          <cell r="G133" t="str">
            <v xml:space="preserve"> 20-24.490.541-3</v>
          </cell>
          <cell r="I133" t="str">
            <v>PAZ ALBERTO</v>
          </cell>
          <cell r="L133" t="str">
            <v xml:space="preserve"> 20-21.103.894-3</v>
          </cell>
          <cell r="M133" t="str">
            <v xml:space="preserve">LEYES RICARDO  </v>
          </cell>
          <cell r="N133" t="str">
            <v>SUPLENTE</v>
          </cell>
          <cell r="O133" t="str">
            <v xml:space="preserve">LEYES RICARDO  </v>
          </cell>
        </row>
        <row r="134">
          <cell r="A134" t="str">
            <v>2°4°2422TST2</v>
          </cell>
          <cell r="B134" t="str">
            <v>2°4°</v>
          </cell>
          <cell r="C134">
            <v>242</v>
          </cell>
          <cell r="D134" t="str">
            <v>2TST2</v>
          </cell>
          <cell r="E134">
            <v>2673428</v>
          </cell>
          <cell r="F134" t="str">
            <v>SISTEMAS TECNOLOGICOS</v>
          </cell>
          <cell r="J134" t="str">
            <v>20-28.191.299-3</v>
          </cell>
          <cell r="K134" t="str">
            <v xml:space="preserve">ETCHEVERRY MARTIN  </v>
          </cell>
          <cell r="L134" t="str">
            <v xml:space="preserve"> </v>
          </cell>
          <cell r="M134" t="str">
            <v xml:space="preserve"> </v>
          </cell>
          <cell r="N134" t="str">
            <v>PROVISIONAL</v>
          </cell>
          <cell r="O134" t="str">
            <v xml:space="preserve">ETCHEVERRY MARTIN  </v>
          </cell>
        </row>
        <row r="135">
          <cell r="A135" t="str">
            <v>2°4°2422TPT2</v>
          </cell>
          <cell r="B135" t="str">
            <v>2°4°</v>
          </cell>
          <cell r="C135">
            <v>242</v>
          </cell>
          <cell r="D135" t="str">
            <v>2TPT2</v>
          </cell>
          <cell r="E135">
            <v>2673429</v>
          </cell>
          <cell r="F135" t="str">
            <v>PROCEDIMIENTOS TECNICOS</v>
          </cell>
          <cell r="J135" t="str">
            <v xml:space="preserve"> 20-24.490.541-3</v>
          </cell>
          <cell r="K135" t="str">
            <v>PAZ ALBERTO</v>
          </cell>
          <cell r="L135">
            <v>0</v>
          </cell>
          <cell r="M135" t="str">
            <v>CRUZ DAVID</v>
          </cell>
          <cell r="N135" t="str">
            <v>SUPLENTE</v>
          </cell>
          <cell r="O135" t="str">
            <v>CRUZ DAVID</v>
          </cell>
        </row>
        <row r="136">
          <cell r="A136" t="str">
            <v>2°5°2BIO</v>
          </cell>
          <cell r="B136" t="str">
            <v>2°5°</v>
          </cell>
          <cell r="D136" t="str">
            <v>2BIO</v>
          </cell>
          <cell r="E136">
            <v>1920674</v>
          </cell>
          <cell r="F136" t="str">
            <v>BIOLOGIA</v>
          </cell>
          <cell r="G136">
            <v>23480647</v>
          </cell>
          <cell r="I136" t="str">
            <v>FARIAS CLAUDIA ANTONIA</v>
          </cell>
          <cell r="L136" t="str">
            <v xml:space="preserve"> </v>
          </cell>
          <cell r="M136" t="str">
            <v xml:space="preserve"> </v>
          </cell>
          <cell r="N136" t="str">
            <v>TITULAR</v>
          </cell>
          <cell r="O136" t="str">
            <v>FARIAS CLAUDIA ANTONIA</v>
          </cell>
        </row>
        <row r="137">
          <cell r="A137" t="str">
            <v>2°5°2CCD</v>
          </cell>
          <cell r="B137" t="str">
            <v>2°5°</v>
          </cell>
          <cell r="D137" t="str">
            <v>2CCD</v>
          </cell>
          <cell r="E137">
            <v>1174482</v>
          </cell>
          <cell r="F137" t="str">
            <v>CONSTRUCCION DE LA CIUDADANIA</v>
          </cell>
          <cell r="G137" t="str">
            <v>27-25.153.700-9</v>
          </cell>
          <cell r="I137" t="str">
            <v xml:space="preserve">AMAYA SILVIA </v>
          </cell>
          <cell r="L137" t="str">
            <v xml:space="preserve"> </v>
          </cell>
          <cell r="M137" t="str">
            <v xml:space="preserve"> </v>
          </cell>
          <cell r="N137" t="str">
            <v>TITULAR</v>
          </cell>
          <cell r="O137" t="str">
            <v xml:space="preserve">AMAYA SILVIA </v>
          </cell>
        </row>
        <row r="138">
          <cell r="A138" t="str">
            <v>2°5°2ART</v>
          </cell>
          <cell r="B138" t="str">
            <v>2°5°</v>
          </cell>
          <cell r="D138" t="str">
            <v>2ART</v>
          </cell>
          <cell r="E138">
            <v>1920681</v>
          </cell>
          <cell r="F138" t="str">
            <v>EDUCACION ARTISTICA (PLASTICA)</v>
          </cell>
          <cell r="G138">
            <v>24680551</v>
          </cell>
          <cell r="H138" t="str">
            <v xml:space="preserve"> (MAD 2018)</v>
          </cell>
          <cell r="I138" t="str">
            <v xml:space="preserve">ISSETTA LORENA </v>
          </cell>
          <cell r="L138" t="str">
            <v xml:space="preserve"> </v>
          </cell>
          <cell r="M138" t="str">
            <v xml:space="preserve"> </v>
          </cell>
          <cell r="N138" t="str">
            <v>TITULAR</v>
          </cell>
          <cell r="O138" t="str">
            <v xml:space="preserve">ISSETTA LORENA </v>
          </cell>
        </row>
        <row r="139">
          <cell r="A139" t="str">
            <v>2°5°2EFI</v>
          </cell>
          <cell r="B139" t="str">
            <v>2°5°</v>
          </cell>
          <cell r="D139" t="str">
            <v>2EFI</v>
          </cell>
          <cell r="E139">
            <v>1920683</v>
          </cell>
          <cell r="F139" t="str">
            <v>EDUCACIÓN FISICA</v>
          </cell>
          <cell r="G139" t="str">
            <v xml:space="preserve"> 20-18.152.596-8</v>
          </cell>
          <cell r="I139" t="str">
            <v xml:space="preserve">GUERRERO DANIEL </v>
          </cell>
          <cell r="L139" t="str">
            <v xml:space="preserve"> </v>
          </cell>
          <cell r="M139" t="str">
            <v xml:space="preserve"> </v>
          </cell>
          <cell r="N139" t="str">
            <v>TITULAR</v>
          </cell>
          <cell r="O139" t="str">
            <v xml:space="preserve">GUERRERO DANIEL </v>
          </cell>
        </row>
        <row r="140">
          <cell r="A140" t="str">
            <v>2°5°2FI/QUI</v>
          </cell>
          <cell r="B140" t="str">
            <v>2°5°</v>
          </cell>
          <cell r="D140" t="str">
            <v>2FI/QUI</v>
          </cell>
          <cell r="E140">
            <v>1920684</v>
          </cell>
          <cell r="F140" t="str">
            <v>FISICO-QUIMICA</v>
          </cell>
          <cell r="G140" t="str">
            <v xml:space="preserve"> 27-27.713.867-6</v>
          </cell>
          <cell r="I140" t="str">
            <v>GIOIA VERONICA</v>
          </cell>
          <cell r="L140">
            <v>0</v>
          </cell>
          <cell r="M140" t="str">
            <v>MARTINEZ, CARLA</v>
          </cell>
          <cell r="N140" t="str">
            <v>SUPLENTE</v>
          </cell>
          <cell r="O140" t="str">
            <v>MARTINEZ, CARLA</v>
          </cell>
        </row>
        <row r="141">
          <cell r="A141" t="str">
            <v>2°5°2GEO</v>
          </cell>
          <cell r="B141" t="str">
            <v>2°5°</v>
          </cell>
          <cell r="D141" t="str">
            <v>2GEO</v>
          </cell>
          <cell r="E141">
            <v>1920686</v>
          </cell>
          <cell r="F141" t="str">
            <v>GEOGRAFIA</v>
          </cell>
          <cell r="G141" t="str">
            <v>20-24.636.852-0</v>
          </cell>
          <cell r="I141" t="str">
            <v>ANTONELLO, FERNANDO</v>
          </cell>
          <cell r="L141" t="str">
            <v xml:space="preserve"> </v>
          </cell>
          <cell r="M141" t="str">
            <v xml:space="preserve"> </v>
          </cell>
          <cell r="N141" t="str">
            <v>TITULAR</v>
          </cell>
          <cell r="O141" t="str">
            <v>ANTONELLO, FERNANDO</v>
          </cell>
        </row>
        <row r="142">
          <cell r="A142" t="str">
            <v>2°5°2HIS</v>
          </cell>
          <cell r="B142" t="str">
            <v>2°5°</v>
          </cell>
          <cell r="D142" t="str">
            <v>2HIS</v>
          </cell>
          <cell r="E142">
            <v>1920688</v>
          </cell>
          <cell r="F142" t="str">
            <v>HISTORIA</v>
          </cell>
          <cell r="G142" t="str">
            <v>27-29117553-3</v>
          </cell>
          <cell r="I142" t="str">
            <v>LOPEZ NARINA</v>
          </cell>
          <cell r="L142" t="str">
            <v xml:space="preserve"> </v>
          </cell>
          <cell r="M142" t="str">
            <v xml:space="preserve"> </v>
          </cell>
          <cell r="N142" t="str">
            <v>TITULAR</v>
          </cell>
          <cell r="O142" t="str">
            <v>LOPEZ NARINA</v>
          </cell>
        </row>
        <row r="143">
          <cell r="A143" t="str">
            <v>2°5°2ING</v>
          </cell>
          <cell r="B143" t="str">
            <v>2°5°</v>
          </cell>
          <cell r="D143" t="str">
            <v>2ING</v>
          </cell>
          <cell r="E143">
            <v>1920689</v>
          </cell>
          <cell r="F143" t="str">
            <v>INGLÉS</v>
          </cell>
          <cell r="H143" t="str">
            <v>27-26.117.162-2</v>
          </cell>
          <cell r="I143" t="str">
            <v>SARRIA, ANDREA</v>
          </cell>
          <cell r="L143">
            <v>0</v>
          </cell>
          <cell r="M143" t="str">
            <v xml:space="preserve"> MONTOYA SONIA ISABEL</v>
          </cell>
          <cell r="N143" t="str">
            <v>SUPLENTE</v>
          </cell>
          <cell r="O143" t="str">
            <v xml:space="preserve"> MONTOYA SONIA ISABEL</v>
          </cell>
        </row>
        <row r="144">
          <cell r="A144" t="str">
            <v>2°5°2MAT</v>
          </cell>
          <cell r="B144" t="str">
            <v>2°5°</v>
          </cell>
          <cell r="D144" t="str">
            <v>2MAT</v>
          </cell>
          <cell r="E144">
            <v>1920690</v>
          </cell>
          <cell r="F144" t="str">
            <v>MATEMATICA</v>
          </cell>
          <cell r="J144">
            <v>27164343125</v>
          </cell>
          <cell r="K144" t="str">
            <v xml:space="preserve">CENTURION SILVIA BEATRIZ   </v>
          </cell>
          <cell r="L144" t="str">
            <v xml:space="preserve"> </v>
          </cell>
          <cell r="M144" t="str">
            <v xml:space="preserve"> </v>
          </cell>
          <cell r="N144" t="str">
            <v>PROVISIONAL</v>
          </cell>
          <cell r="O144" t="str">
            <v xml:space="preserve">CENTURION SILVIA BEATRIZ   </v>
          </cell>
        </row>
        <row r="145">
          <cell r="A145" t="str">
            <v>2°5°2PLG</v>
          </cell>
          <cell r="B145" t="str">
            <v>2°5°</v>
          </cell>
          <cell r="D145" t="str">
            <v>2PLG</v>
          </cell>
          <cell r="E145">
            <v>1920692</v>
          </cell>
          <cell r="F145" t="str">
            <v>PRACTICA DEL LENGUAJE</v>
          </cell>
          <cell r="G145" t="str">
            <v xml:space="preserve"> 27-20.842.136-6</v>
          </cell>
          <cell r="I145" t="str">
            <v xml:space="preserve">MEDINA, CLAUDIA B  </v>
          </cell>
          <cell r="L145" t="str">
            <v xml:space="preserve"> </v>
          </cell>
          <cell r="M145" t="str">
            <v xml:space="preserve"> </v>
          </cell>
          <cell r="N145" t="str">
            <v>TITULAR</v>
          </cell>
          <cell r="O145" t="str">
            <v xml:space="preserve">MEDINA, CLAUDIA B  </v>
          </cell>
        </row>
        <row r="146">
          <cell r="A146" t="str">
            <v>2°5°2512TLT2</v>
          </cell>
          <cell r="B146" t="str">
            <v>2°5°</v>
          </cell>
          <cell r="C146">
            <v>251</v>
          </cell>
          <cell r="D146" t="str">
            <v>2TLT2</v>
          </cell>
          <cell r="E146">
            <v>1920693</v>
          </cell>
          <cell r="F146" t="str">
            <v>LENGUAJES TECNOLOGICOS</v>
          </cell>
          <cell r="G146">
            <v>23288016569</v>
          </cell>
          <cell r="I146" t="str">
            <v>BELIZAN JUAN</v>
          </cell>
          <cell r="L146" t="str">
            <v xml:space="preserve"> </v>
          </cell>
          <cell r="M146" t="str">
            <v xml:space="preserve"> </v>
          </cell>
          <cell r="N146" t="str">
            <v>TITULAR</v>
          </cell>
          <cell r="O146" t="str">
            <v>BELIZAN JUAN</v>
          </cell>
        </row>
        <row r="147">
          <cell r="A147" t="str">
            <v>2°5°2512TST2</v>
          </cell>
          <cell r="B147" t="str">
            <v>2°5°</v>
          </cell>
          <cell r="C147">
            <v>251</v>
          </cell>
          <cell r="D147" t="str">
            <v>2TST2</v>
          </cell>
          <cell r="E147">
            <v>1920702</v>
          </cell>
          <cell r="F147" t="str">
            <v>SISTEMAS TECNOLOGICOS</v>
          </cell>
          <cell r="K147" t="str">
            <v>LOPEZ MARCELO</v>
          </cell>
          <cell r="L147">
            <v>23458981299</v>
          </cell>
          <cell r="M147" t="str">
            <v xml:space="preserve"> PAZ ALEX GABRIEL</v>
          </cell>
          <cell r="N147" t="str">
            <v>SUPLENTE</v>
          </cell>
          <cell r="O147" t="str">
            <v xml:space="preserve"> PAZ ALEX GABRIEL</v>
          </cell>
        </row>
        <row r="148">
          <cell r="A148" t="str">
            <v>2°5°2512TPT2</v>
          </cell>
          <cell r="B148" t="str">
            <v>2°5°</v>
          </cell>
          <cell r="C148">
            <v>251</v>
          </cell>
          <cell r="D148" t="str">
            <v>2TPT2</v>
          </cell>
          <cell r="E148">
            <v>1920696</v>
          </cell>
          <cell r="F148" t="str">
            <v>PROCEDIMIENTOS TECNICOS</v>
          </cell>
          <cell r="K148" t="str">
            <v>MONTENEGRO JUILIO</v>
          </cell>
          <cell r="L148" t="str">
            <v xml:space="preserve"> </v>
          </cell>
          <cell r="M148" t="str">
            <v xml:space="preserve"> </v>
          </cell>
          <cell r="N148" t="str">
            <v>PROVISIONAL</v>
          </cell>
          <cell r="O148" t="str">
            <v>MONTENEGRO JUILIO</v>
          </cell>
        </row>
        <row r="149">
          <cell r="A149" t="str">
            <v>2°5°2522TLT2</v>
          </cell>
          <cell r="B149" t="str">
            <v>2°5°</v>
          </cell>
          <cell r="C149">
            <v>252</v>
          </cell>
          <cell r="D149" t="str">
            <v>2TLT2</v>
          </cell>
          <cell r="E149">
            <v>1920695</v>
          </cell>
          <cell r="F149" t="str">
            <v>LENGUAJES TECNOLOGICOS</v>
          </cell>
          <cell r="G149">
            <v>23288016569</v>
          </cell>
          <cell r="I149" t="str">
            <v>BELIZAN JUAN</v>
          </cell>
          <cell r="L149" t="str">
            <v xml:space="preserve"> </v>
          </cell>
          <cell r="M149" t="str">
            <v xml:space="preserve"> </v>
          </cell>
          <cell r="N149" t="str">
            <v>TITULAR</v>
          </cell>
          <cell r="O149" t="str">
            <v>BELIZAN JUAN</v>
          </cell>
        </row>
        <row r="150">
          <cell r="A150" t="str">
            <v>2°5°2522TST2</v>
          </cell>
          <cell r="B150" t="str">
            <v>2°5°</v>
          </cell>
          <cell r="C150">
            <v>252</v>
          </cell>
          <cell r="D150" t="str">
            <v>2TST2</v>
          </cell>
          <cell r="E150">
            <v>1920704</v>
          </cell>
          <cell r="F150" t="str">
            <v>SISTEMAS TECNOLOGICOS</v>
          </cell>
          <cell r="K150" t="str">
            <v>LOIS  EDUARDO</v>
          </cell>
          <cell r="L150" t="str">
            <v xml:space="preserve"> </v>
          </cell>
          <cell r="M150" t="str">
            <v xml:space="preserve"> </v>
          </cell>
          <cell r="N150" t="str">
            <v>PROVISIONAL</v>
          </cell>
          <cell r="O150" t="str">
            <v>LOIS  EDUARDO</v>
          </cell>
        </row>
        <row r="151">
          <cell r="A151" t="str">
            <v>2°5°2522TPT2</v>
          </cell>
          <cell r="B151" t="str">
            <v>2°5°</v>
          </cell>
          <cell r="C151">
            <v>252</v>
          </cell>
          <cell r="D151" t="str">
            <v>2TPT2</v>
          </cell>
          <cell r="E151">
            <v>1920700</v>
          </cell>
          <cell r="F151" t="str">
            <v>PROCEDIMIENTOS TECNICOS</v>
          </cell>
          <cell r="G151" t="str">
            <v xml:space="preserve"> 24-16.354.054-2</v>
          </cell>
          <cell r="H151" t="str">
            <v xml:space="preserve"> (MASIVA)</v>
          </cell>
          <cell r="K151" t="str">
            <v>CRUZ DAVID</v>
          </cell>
          <cell r="L151" t="str">
            <v xml:space="preserve"> </v>
          </cell>
          <cell r="M151" t="str">
            <v xml:space="preserve"> </v>
          </cell>
          <cell r="N151" t="str">
            <v>PROVISIONAL</v>
          </cell>
          <cell r="O151" t="str">
            <v>CRUZ DAVID</v>
          </cell>
        </row>
        <row r="152">
          <cell r="A152" t="str">
            <v>3°1°3BIO</v>
          </cell>
          <cell r="B152" t="str">
            <v>3°1°</v>
          </cell>
          <cell r="D152" t="str">
            <v>3BIO</v>
          </cell>
          <cell r="E152">
            <v>1644174</v>
          </cell>
          <cell r="F152" t="str">
            <v>BIOLOGIA</v>
          </cell>
          <cell r="G152">
            <v>23480647</v>
          </cell>
          <cell r="I152" t="str">
            <v xml:space="preserve">FARIAS CLAUDIA ANTONIA </v>
          </cell>
          <cell r="L152" t="str">
            <v xml:space="preserve"> </v>
          </cell>
          <cell r="M152" t="str">
            <v xml:space="preserve"> </v>
          </cell>
          <cell r="N152" t="str">
            <v>TITULAR</v>
          </cell>
          <cell r="O152" t="str">
            <v xml:space="preserve">FARIAS CLAUDIA ANTONIA </v>
          </cell>
        </row>
        <row r="153">
          <cell r="A153" t="str">
            <v>3°1°3CCD</v>
          </cell>
          <cell r="B153" t="str">
            <v>3°1°</v>
          </cell>
          <cell r="D153" t="str">
            <v>3CCD</v>
          </cell>
          <cell r="E153">
            <v>789589</v>
          </cell>
          <cell r="F153" t="str">
            <v>CONSTRUCCION DE LA CIUDADANIA</v>
          </cell>
          <cell r="G153" t="str">
            <v xml:space="preserve"> 20-30.035.771-8</v>
          </cell>
          <cell r="I153" t="str">
            <v xml:space="preserve">TORRES GABRIEL </v>
          </cell>
          <cell r="L153" t="str">
            <v xml:space="preserve"> </v>
          </cell>
          <cell r="M153" t="str">
            <v xml:space="preserve"> </v>
          </cell>
          <cell r="N153" t="str">
            <v>TITULAR</v>
          </cell>
          <cell r="O153" t="str">
            <v xml:space="preserve">TORRES GABRIEL </v>
          </cell>
        </row>
        <row r="154">
          <cell r="A154" t="str">
            <v>3°1°3ART</v>
          </cell>
          <cell r="B154" t="str">
            <v>3°1°</v>
          </cell>
          <cell r="D154" t="str">
            <v>3ART</v>
          </cell>
          <cell r="E154">
            <v>733584</v>
          </cell>
          <cell r="F154" t="str">
            <v>EDUCACION ARTISTICA (PLASTICA)</v>
          </cell>
          <cell r="G154" t="str">
            <v xml:space="preserve"> 27-24.680.551-8</v>
          </cell>
          <cell r="I154" t="str">
            <v>ISSETTA LORENA</v>
          </cell>
          <cell r="L154" t="str">
            <v xml:space="preserve"> </v>
          </cell>
          <cell r="M154" t="str">
            <v xml:space="preserve"> </v>
          </cell>
          <cell r="N154" t="str">
            <v>TITULAR</v>
          </cell>
          <cell r="O154" t="str">
            <v>ISSETTA LORENA</v>
          </cell>
        </row>
        <row r="155">
          <cell r="A155" t="str">
            <v>3°1°3EFI</v>
          </cell>
          <cell r="B155" t="str">
            <v>3°1°</v>
          </cell>
          <cell r="D155" t="str">
            <v>3EFI</v>
          </cell>
          <cell r="E155">
            <v>733533</v>
          </cell>
          <cell r="F155" t="str">
            <v>EDUCACIÓN FISICA</v>
          </cell>
          <cell r="G155" t="str">
            <v xml:space="preserve"> 20-20.422.900-8</v>
          </cell>
          <cell r="I155" t="str">
            <v xml:space="preserve">SANCHEZ CARLOS </v>
          </cell>
          <cell r="L155" t="str">
            <v xml:space="preserve"> </v>
          </cell>
          <cell r="M155" t="str">
            <v xml:space="preserve"> </v>
          </cell>
          <cell r="N155" t="str">
            <v>TITULAR</v>
          </cell>
          <cell r="O155" t="str">
            <v xml:space="preserve">SANCHEZ CARLOS </v>
          </cell>
        </row>
        <row r="156">
          <cell r="A156" t="str">
            <v>3°1°3FI/QUI</v>
          </cell>
          <cell r="B156" t="str">
            <v>3°1°</v>
          </cell>
          <cell r="D156" t="str">
            <v>3FI/QUI</v>
          </cell>
          <cell r="E156">
            <v>1644172</v>
          </cell>
          <cell r="F156" t="str">
            <v>FISICO-QUIMICA</v>
          </cell>
          <cell r="G156" t="str">
            <v xml:space="preserve"> 20-23.884.637-5</v>
          </cell>
          <cell r="I156" t="str">
            <v xml:space="preserve">ESPINDOLA SERGIO                          </v>
          </cell>
          <cell r="L156" t="str">
            <v xml:space="preserve"> </v>
          </cell>
          <cell r="M156" t="str">
            <v xml:space="preserve"> </v>
          </cell>
          <cell r="N156" t="str">
            <v>TITULAR</v>
          </cell>
          <cell r="O156" t="str">
            <v xml:space="preserve">ESPINDOLA SERGIO                          </v>
          </cell>
        </row>
        <row r="157">
          <cell r="A157" t="str">
            <v>3°1°3GEO</v>
          </cell>
          <cell r="B157" t="str">
            <v>3°1°</v>
          </cell>
          <cell r="D157" t="str">
            <v>3GEO</v>
          </cell>
          <cell r="E157">
            <v>1644167</v>
          </cell>
          <cell r="F157" t="str">
            <v>GEOGRAFIA</v>
          </cell>
          <cell r="G157" t="str">
            <v>20-24.636.854-0</v>
          </cell>
          <cell r="I157" t="str">
            <v>ANTONELLO, FERNANDO</v>
          </cell>
          <cell r="L157" t="str">
            <v xml:space="preserve"> </v>
          </cell>
          <cell r="M157" t="str">
            <v xml:space="preserve"> </v>
          </cell>
          <cell r="N157" t="str">
            <v>TITULAR</v>
          </cell>
          <cell r="O157" t="str">
            <v>ANTONELLO, FERNANDO</v>
          </cell>
        </row>
        <row r="158">
          <cell r="A158" t="str">
            <v>3°1°3HIS</v>
          </cell>
          <cell r="B158" t="str">
            <v>3°1°</v>
          </cell>
          <cell r="D158" t="str">
            <v>3HIS</v>
          </cell>
          <cell r="E158">
            <v>1644170</v>
          </cell>
          <cell r="F158" t="str">
            <v>HISTORIA</v>
          </cell>
          <cell r="G158" t="str">
            <v>27-29.099.130-6</v>
          </cell>
          <cell r="H158" t="str">
            <v>MAD 2025</v>
          </cell>
          <cell r="I158" t="str">
            <v>JUAREZ NORMA</v>
          </cell>
          <cell r="L158" t="str">
            <v xml:space="preserve"> </v>
          </cell>
          <cell r="M158" t="str">
            <v xml:space="preserve"> </v>
          </cell>
          <cell r="N158" t="str">
            <v>TITULAR</v>
          </cell>
          <cell r="O158" t="str">
            <v>JUAREZ NORMA</v>
          </cell>
        </row>
        <row r="159">
          <cell r="A159" t="str">
            <v>3°1°3ING</v>
          </cell>
          <cell r="B159" t="str">
            <v>3°1°</v>
          </cell>
          <cell r="D159" t="str">
            <v>3ING</v>
          </cell>
          <cell r="E159">
            <v>733560</v>
          </cell>
          <cell r="F159" t="str">
            <v>INGLÉS</v>
          </cell>
          <cell r="G159" t="str">
            <v xml:space="preserve"> 27-28.305.130-2</v>
          </cell>
          <cell r="I159" t="str">
            <v xml:space="preserve">BONELLI PAMELA   </v>
          </cell>
          <cell r="L159" t="str">
            <v xml:space="preserve"> </v>
          </cell>
          <cell r="M159" t="str">
            <v xml:space="preserve"> </v>
          </cell>
          <cell r="N159" t="str">
            <v>TITULAR</v>
          </cell>
          <cell r="O159" t="str">
            <v xml:space="preserve">BONELLI PAMELA   </v>
          </cell>
        </row>
        <row r="160">
          <cell r="A160" t="str">
            <v>3°1°3MAT</v>
          </cell>
          <cell r="B160" t="str">
            <v>3°1°</v>
          </cell>
          <cell r="D160" t="str">
            <v>3MAT</v>
          </cell>
          <cell r="E160">
            <v>1104261</v>
          </cell>
          <cell r="F160" t="str">
            <v>MATEMATICA</v>
          </cell>
          <cell r="G160" t="str">
            <v xml:space="preserve"> 27-31.927.798-1</v>
          </cell>
          <cell r="H160" t="str">
            <v>(mad 2019)</v>
          </cell>
          <cell r="I160" t="str">
            <v xml:space="preserve">MARTINEZ, GISELA       </v>
          </cell>
          <cell r="L160">
            <v>27342508990</v>
          </cell>
          <cell r="M160" t="str">
            <v xml:space="preserve"> MAZU LEILA ANABELLA SOLED</v>
          </cell>
          <cell r="N160" t="str">
            <v>SUPLENTE</v>
          </cell>
          <cell r="O160" t="str">
            <v xml:space="preserve"> MAZU LEILA ANABELLA SOLED</v>
          </cell>
        </row>
        <row r="161">
          <cell r="A161" t="str">
            <v>3°1°3PLG</v>
          </cell>
          <cell r="B161" t="str">
            <v>3°1°</v>
          </cell>
          <cell r="D161" t="str">
            <v>3PLG</v>
          </cell>
          <cell r="E161">
            <v>733471</v>
          </cell>
          <cell r="F161" t="str">
            <v>PRACTICA DEL LENGUAJE</v>
          </cell>
          <cell r="G161" t="str">
            <v>27-26.803.173-7</v>
          </cell>
          <cell r="H161" t="str">
            <v>INTERINO 2025</v>
          </cell>
          <cell r="I161" t="str">
            <v>CAÑETE YOHANA</v>
          </cell>
          <cell r="L161" t="str">
            <v xml:space="preserve"> </v>
          </cell>
          <cell r="M161" t="str">
            <v xml:space="preserve"> </v>
          </cell>
          <cell r="N161" t="str">
            <v>TITULAR</v>
          </cell>
          <cell r="O161" t="str">
            <v>CAÑETE YOHANA</v>
          </cell>
        </row>
        <row r="162">
          <cell r="A162" t="str">
            <v>3°1°3113TLT3</v>
          </cell>
          <cell r="B162" t="str">
            <v>3°1°</v>
          </cell>
          <cell r="C162">
            <v>311</v>
          </cell>
          <cell r="D162" t="str">
            <v>3TLT3</v>
          </cell>
          <cell r="E162">
            <v>2682842</v>
          </cell>
          <cell r="F162" t="str">
            <v>LENGUAJES TECNOLOGICOS</v>
          </cell>
          <cell r="J162" t="str">
            <v>20-25.859 440-2</v>
          </cell>
          <cell r="K162" t="str">
            <v xml:space="preserve">GUTIERREZ FERNANDO  </v>
          </cell>
          <cell r="L162" t="str">
            <v xml:space="preserve"> </v>
          </cell>
          <cell r="M162" t="str">
            <v xml:space="preserve"> </v>
          </cell>
          <cell r="N162" t="str">
            <v>PROVISIONAL</v>
          </cell>
          <cell r="O162" t="str">
            <v xml:space="preserve">GUTIERREZ FERNANDO  </v>
          </cell>
        </row>
        <row r="163">
          <cell r="A163" t="str">
            <v>3°1°3113TST3</v>
          </cell>
          <cell r="B163" t="str">
            <v>3°1°</v>
          </cell>
          <cell r="C163">
            <v>311</v>
          </cell>
          <cell r="D163" t="str">
            <v>3TST3</v>
          </cell>
          <cell r="E163">
            <v>2682844</v>
          </cell>
          <cell r="F163" t="str">
            <v>SISTEMAS TECNOLOGICOS</v>
          </cell>
          <cell r="J163" t="str">
            <v>27-28.844.909-6</v>
          </cell>
          <cell r="K163" t="str">
            <v>ECHAZU FARIAS  ANALIA</v>
          </cell>
          <cell r="L163" t="str">
            <v xml:space="preserve"> </v>
          </cell>
          <cell r="M163" t="str">
            <v xml:space="preserve"> </v>
          </cell>
          <cell r="N163" t="str">
            <v>PROVISIONAL</v>
          </cell>
          <cell r="O163" t="str">
            <v>ECHAZU FARIAS  ANALIA</v>
          </cell>
        </row>
        <row r="164">
          <cell r="A164" t="str">
            <v>3°1°3113TPT3</v>
          </cell>
          <cell r="B164" t="str">
            <v>3°1°</v>
          </cell>
          <cell r="C164">
            <v>311</v>
          </cell>
          <cell r="D164" t="str">
            <v>3TPT3</v>
          </cell>
          <cell r="E164">
            <v>2682845</v>
          </cell>
          <cell r="F164" t="str">
            <v>PROCEDIMIENTOS TECNICOS</v>
          </cell>
          <cell r="J164" t="str">
            <v>20-23.639.282-2</v>
          </cell>
          <cell r="K164" t="str">
            <v>PAZ DANIEL</v>
          </cell>
          <cell r="L164">
            <v>25749169</v>
          </cell>
          <cell r="M164" t="str">
            <v>CRUZ DAVID FRANCISCO</v>
          </cell>
          <cell r="N164" t="str">
            <v>SUPLENTE</v>
          </cell>
          <cell r="O164" t="str">
            <v>CRUZ DAVID FRANCISCO</v>
          </cell>
        </row>
        <row r="165">
          <cell r="A165" t="str">
            <v>3°1°3123TLT3</v>
          </cell>
          <cell r="B165" t="str">
            <v>3°1°</v>
          </cell>
          <cell r="C165">
            <v>312</v>
          </cell>
          <cell r="D165" t="str">
            <v>3TLT3</v>
          </cell>
          <cell r="E165">
            <v>2682848</v>
          </cell>
          <cell r="F165" t="str">
            <v>LENGUAJES TECNOLOGICOS</v>
          </cell>
          <cell r="G165" t="str">
            <v>20-25.859 440-2</v>
          </cell>
          <cell r="H165" t="str">
            <v xml:space="preserve"> (MASIVA)</v>
          </cell>
          <cell r="I165" t="str">
            <v>GUTIERREZ FERNANDO</v>
          </cell>
          <cell r="L165" t="str">
            <v xml:space="preserve"> </v>
          </cell>
          <cell r="M165" t="str">
            <v xml:space="preserve"> </v>
          </cell>
          <cell r="N165" t="str">
            <v>TITULAR</v>
          </cell>
          <cell r="O165" t="str">
            <v>GUTIERREZ FERNANDO</v>
          </cell>
        </row>
        <row r="166">
          <cell r="A166" t="str">
            <v>3°1°3123TST3</v>
          </cell>
          <cell r="B166" t="str">
            <v>3°1°</v>
          </cell>
          <cell r="C166">
            <v>312</v>
          </cell>
          <cell r="D166" t="str">
            <v>3TST3</v>
          </cell>
          <cell r="E166">
            <v>2682850</v>
          </cell>
          <cell r="F166" t="str">
            <v>SISTEMAS TECNOLOGICOS</v>
          </cell>
          <cell r="J166" t="str">
            <v>23.998.211-6</v>
          </cell>
          <cell r="K166" t="str">
            <v>CAMBULE PEDRO</v>
          </cell>
          <cell r="L166" t="str">
            <v xml:space="preserve"> </v>
          </cell>
          <cell r="M166" t="str">
            <v xml:space="preserve"> </v>
          </cell>
          <cell r="N166" t="str">
            <v>PROVISIONAL</v>
          </cell>
          <cell r="O166" t="str">
            <v>CAMBULE PEDRO</v>
          </cell>
        </row>
        <row r="167">
          <cell r="A167" t="str">
            <v>3°1°3123TPT3</v>
          </cell>
          <cell r="B167" t="str">
            <v>3°1°</v>
          </cell>
          <cell r="C167">
            <v>312</v>
          </cell>
          <cell r="D167" t="str">
            <v>3TPT3</v>
          </cell>
          <cell r="E167">
            <v>2682852</v>
          </cell>
          <cell r="F167" t="str">
            <v>PROCEDIMIENTOS TECNICOS</v>
          </cell>
          <cell r="J167" t="str">
            <v>23.998.211-6</v>
          </cell>
          <cell r="K167" t="str">
            <v>CAMBULE PEDRO</v>
          </cell>
          <cell r="L167" t="str">
            <v xml:space="preserve"> </v>
          </cell>
          <cell r="M167" t="str">
            <v xml:space="preserve"> </v>
          </cell>
          <cell r="N167" t="str">
            <v>PROVISIONAL</v>
          </cell>
          <cell r="O167" t="str">
            <v>CAMBULE PEDRO</v>
          </cell>
        </row>
        <row r="168">
          <cell r="A168" t="str">
            <v>3°2°3BIO</v>
          </cell>
          <cell r="B168" t="str">
            <v>3°2°</v>
          </cell>
          <cell r="D168" t="str">
            <v>3BIO</v>
          </cell>
          <cell r="E168">
            <v>1644183</v>
          </cell>
          <cell r="F168" t="str">
            <v>BIOLOGIA</v>
          </cell>
          <cell r="I168" t="str">
            <v>ARIAS, YANINA</v>
          </cell>
          <cell r="L168" t="str">
            <v xml:space="preserve"> </v>
          </cell>
          <cell r="M168" t="str">
            <v xml:space="preserve"> </v>
          </cell>
          <cell r="N168" t="str">
            <v>TITULAR</v>
          </cell>
          <cell r="O168" t="str">
            <v>ARIAS, YANINA</v>
          </cell>
        </row>
        <row r="169">
          <cell r="A169" t="str">
            <v>3°2°3CCD</v>
          </cell>
          <cell r="B169" t="str">
            <v>3°2°</v>
          </cell>
          <cell r="D169" t="str">
            <v>3CCD</v>
          </cell>
          <cell r="E169">
            <v>733451</v>
          </cell>
          <cell r="F169" t="str">
            <v>CONSTRUCCION DE LA CIUDADANIA</v>
          </cell>
          <cell r="I169" t="str">
            <v xml:space="preserve">TORRES GABRIEL </v>
          </cell>
          <cell r="L169" t="str">
            <v xml:space="preserve"> </v>
          </cell>
          <cell r="M169" t="str">
            <v xml:space="preserve"> </v>
          </cell>
          <cell r="N169" t="str">
            <v>TITULAR</v>
          </cell>
          <cell r="O169" t="str">
            <v xml:space="preserve">TORRES GABRIEL </v>
          </cell>
        </row>
        <row r="170">
          <cell r="A170" t="str">
            <v>3°2°3ART</v>
          </cell>
          <cell r="B170" t="str">
            <v>3°2°</v>
          </cell>
          <cell r="D170" t="str">
            <v>3ART</v>
          </cell>
          <cell r="E170">
            <v>733531</v>
          </cell>
          <cell r="F170" t="str">
            <v>EDUCACION ARTISTICA (PLASTICA)</v>
          </cell>
          <cell r="J170">
            <v>27304278973</v>
          </cell>
          <cell r="K170" t="str">
            <v xml:space="preserve">TAPIA EVANGELINA EMILCE  </v>
          </cell>
          <cell r="L170" t="str">
            <v xml:space="preserve"> </v>
          </cell>
          <cell r="M170" t="str">
            <v xml:space="preserve"> </v>
          </cell>
          <cell r="N170" t="str">
            <v>PROVISIONAL</v>
          </cell>
          <cell r="O170" t="str">
            <v xml:space="preserve">TAPIA EVANGELINA EMILCE  </v>
          </cell>
        </row>
        <row r="171">
          <cell r="A171" t="str">
            <v>3°2°3EFI</v>
          </cell>
          <cell r="B171" t="str">
            <v>3°2°</v>
          </cell>
          <cell r="D171" t="str">
            <v>3EFI</v>
          </cell>
          <cell r="E171">
            <v>733459</v>
          </cell>
          <cell r="F171" t="str">
            <v>EDUCACIÓN FISICA</v>
          </cell>
          <cell r="G171" t="str">
            <v>20-20.776.115-0</v>
          </cell>
          <cell r="I171" t="str">
            <v>DE LA FUENTE F.</v>
          </cell>
          <cell r="L171" t="str">
            <v xml:space="preserve"> </v>
          </cell>
          <cell r="M171" t="str">
            <v xml:space="preserve"> </v>
          </cell>
          <cell r="N171" t="str">
            <v>TITULAR</v>
          </cell>
          <cell r="O171" t="str">
            <v>DE LA FUENTE F.</v>
          </cell>
        </row>
        <row r="172">
          <cell r="A172" t="str">
            <v>3°2°3FI/QUI</v>
          </cell>
          <cell r="B172" t="str">
            <v>3°2°</v>
          </cell>
          <cell r="D172" t="str">
            <v>3FI/QUI</v>
          </cell>
          <cell r="E172">
            <v>1644182</v>
          </cell>
          <cell r="F172" t="str">
            <v>FISICO-QUIMICA</v>
          </cell>
          <cell r="G172" t="str">
            <v>27-28.329.165-6</v>
          </cell>
          <cell r="I172" t="str">
            <v xml:space="preserve">AGUIRRE VALERIA </v>
          </cell>
          <cell r="L172" t="str">
            <v xml:space="preserve"> </v>
          </cell>
          <cell r="M172" t="str">
            <v xml:space="preserve"> </v>
          </cell>
          <cell r="N172" t="str">
            <v>TITULAR</v>
          </cell>
          <cell r="O172" t="str">
            <v xml:space="preserve">AGUIRRE VALERIA </v>
          </cell>
        </row>
        <row r="173">
          <cell r="A173" t="str">
            <v>3°2°3GEO</v>
          </cell>
          <cell r="B173" t="str">
            <v>3°2°</v>
          </cell>
          <cell r="D173" t="str">
            <v>3GEO</v>
          </cell>
          <cell r="E173">
            <v>1644177</v>
          </cell>
          <cell r="F173" t="str">
            <v>GEOGRAFIA</v>
          </cell>
          <cell r="G173" t="str">
            <v>27-29.146.146-3</v>
          </cell>
          <cell r="H173" t="str">
            <v>(MAD 2018-2019)</v>
          </cell>
          <cell r="I173" t="str">
            <v>SOLIS, MARIA</v>
          </cell>
          <cell r="L173">
            <v>23086757</v>
          </cell>
          <cell r="M173" t="str">
            <v>MALDONADO DAIANA</v>
          </cell>
          <cell r="N173" t="str">
            <v>SUPLENTE</v>
          </cell>
          <cell r="O173" t="str">
            <v>MALDONADO DAIANA</v>
          </cell>
        </row>
        <row r="174">
          <cell r="A174" t="str">
            <v>3°2°3HIS</v>
          </cell>
          <cell r="B174" t="str">
            <v>3°2°</v>
          </cell>
          <cell r="D174" t="str">
            <v>3HIS</v>
          </cell>
          <cell r="E174">
            <v>1644179</v>
          </cell>
          <cell r="F174" t="str">
            <v>HISTORIA</v>
          </cell>
          <cell r="G174" t="str">
            <v xml:space="preserve"> 20-18.284.913-9</v>
          </cell>
          <cell r="I174" t="str">
            <v xml:space="preserve">TORRES LUIS                    </v>
          </cell>
          <cell r="L174" t="str">
            <v xml:space="preserve"> </v>
          </cell>
          <cell r="M174" t="str">
            <v xml:space="preserve"> </v>
          </cell>
          <cell r="N174" t="str">
            <v>TITULAR</v>
          </cell>
          <cell r="O174" t="str">
            <v xml:space="preserve">TORRES LUIS                    </v>
          </cell>
        </row>
        <row r="175">
          <cell r="A175" t="str">
            <v>3°2°3ING</v>
          </cell>
          <cell r="B175" t="str">
            <v>3°2°</v>
          </cell>
          <cell r="D175" t="str">
            <v>3ING</v>
          </cell>
          <cell r="E175">
            <v>733558</v>
          </cell>
          <cell r="F175" t="str">
            <v>INGLÉS</v>
          </cell>
          <cell r="G175" t="str">
            <v>27-29.433.432-2</v>
          </cell>
          <cell r="H175" t="str">
            <v xml:space="preserve"> ACREC. 2020</v>
          </cell>
          <cell r="I175" t="str">
            <v xml:space="preserve">ARCE KARINA </v>
          </cell>
          <cell r="L175" t="str">
            <v xml:space="preserve"> </v>
          </cell>
          <cell r="M175" t="str">
            <v xml:space="preserve"> </v>
          </cell>
          <cell r="N175" t="str">
            <v>TITULAR</v>
          </cell>
          <cell r="O175" t="str">
            <v xml:space="preserve">ARCE KARINA </v>
          </cell>
        </row>
        <row r="176">
          <cell r="A176" t="str">
            <v>3°2°3MAT</v>
          </cell>
          <cell r="B176" t="str">
            <v>3°2°</v>
          </cell>
          <cell r="D176" t="str">
            <v>3MAT</v>
          </cell>
          <cell r="E176">
            <v>789744</v>
          </cell>
          <cell r="F176" t="str">
            <v>MATEMATICA</v>
          </cell>
          <cell r="G176" t="str">
            <v>27-21.485.515-7</v>
          </cell>
          <cell r="I176" t="str">
            <v>RODRIGUEZ FERNANDA</v>
          </cell>
          <cell r="J176">
            <v>20382019971</v>
          </cell>
          <cell r="K176" t="str">
            <v xml:space="preserve"> DOMINGUEZ FACUNDO OSVALDO</v>
          </cell>
          <cell r="L176" t="str">
            <v xml:space="preserve"> </v>
          </cell>
          <cell r="M176" t="str">
            <v xml:space="preserve"> </v>
          </cell>
          <cell r="N176" t="str">
            <v>PROVISIONAL</v>
          </cell>
          <cell r="O176" t="str">
            <v xml:space="preserve"> DOMINGUEZ FACUNDO OSVALDO</v>
          </cell>
        </row>
        <row r="177">
          <cell r="A177" t="str">
            <v>3°2°3PLG</v>
          </cell>
          <cell r="B177" t="str">
            <v>3°2°</v>
          </cell>
          <cell r="D177" t="str">
            <v>3PLG</v>
          </cell>
          <cell r="E177">
            <v>733447</v>
          </cell>
          <cell r="F177" t="str">
            <v>PRACTICA DEL LENGUAJE</v>
          </cell>
          <cell r="G177" t="str">
            <v>27- 26.115.648-8</v>
          </cell>
          <cell r="I177" t="str">
            <v>GONZALEZ DANIELA</v>
          </cell>
          <cell r="L177" t="str">
            <v xml:space="preserve"> </v>
          </cell>
          <cell r="M177" t="str">
            <v xml:space="preserve"> </v>
          </cell>
          <cell r="N177" t="str">
            <v>TITULAR</v>
          </cell>
          <cell r="O177" t="str">
            <v>GONZALEZ DANIELA</v>
          </cell>
        </row>
        <row r="178">
          <cell r="A178" t="str">
            <v>3°2°3213TLT3</v>
          </cell>
          <cell r="B178" t="str">
            <v>3°2°</v>
          </cell>
          <cell r="C178">
            <v>321</v>
          </cell>
          <cell r="D178" t="str">
            <v>3TLT3</v>
          </cell>
          <cell r="E178">
            <v>2682790</v>
          </cell>
          <cell r="F178" t="str">
            <v>LENGUAJES TECNOLOGICOS</v>
          </cell>
          <cell r="G178" t="str">
            <v xml:space="preserve">                 20-28.440.300-3</v>
          </cell>
          <cell r="I178" t="str">
            <v xml:space="preserve">CARDINALE GERMAN </v>
          </cell>
          <cell r="L178" t="str">
            <v xml:space="preserve">27-21.065.864-0 </v>
          </cell>
          <cell r="M178" t="str">
            <v>TITO JUAN MANUEL</v>
          </cell>
          <cell r="N178" t="str">
            <v>SUPLENTE</v>
          </cell>
          <cell r="O178" t="str">
            <v>TITO JUAN MANUEL</v>
          </cell>
        </row>
        <row r="179">
          <cell r="A179" t="str">
            <v>3°2°3213TST3</v>
          </cell>
          <cell r="B179" t="str">
            <v>3°2°</v>
          </cell>
          <cell r="C179">
            <v>321</v>
          </cell>
          <cell r="D179" t="str">
            <v>3TST3</v>
          </cell>
          <cell r="E179">
            <v>2682791</v>
          </cell>
          <cell r="F179" t="str">
            <v>SISTEMAS TECNOLOGICOS</v>
          </cell>
          <cell r="G179" t="str">
            <v xml:space="preserve"> 27-14.685.999-8 </v>
          </cell>
          <cell r="J179" t="str">
            <v xml:space="preserve"> 20-25692615-7</v>
          </cell>
          <cell r="K179" t="str">
            <v>CRUZ JESUS</v>
          </cell>
          <cell r="L179" t="str">
            <v xml:space="preserve"> </v>
          </cell>
          <cell r="M179" t="str">
            <v xml:space="preserve"> </v>
          </cell>
          <cell r="N179" t="str">
            <v>PROVISIONAL</v>
          </cell>
          <cell r="O179" t="str">
            <v>CRUZ JESUS</v>
          </cell>
        </row>
        <row r="180">
          <cell r="A180" t="str">
            <v>3°2°3213TPT3</v>
          </cell>
          <cell r="B180" t="str">
            <v>3°2°</v>
          </cell>
          <cell r="C180">
            <v>321</v>
          </cell>
          <cell r="D180" t="str">
            <v>3TPT3</v>
          </cell>
          <cell r="E180">
            <v>2682793</v>
          </cell>
          <cell r="F180" t="str">
            <v>PROCEDIMIENTOS TECNICOS</v>
          </cell>
          <cell r="J180" t="str">
            <v>20-21103894-3</v>
          </cell>
          <cell r="K180" t="str">
            <v>LEYES RICARDO</v>
          </cell>
          <cell r="L180" t="str">
            <v xml:space="preserve"> </v>
          </cell>
          <cell r="M180" t="str">
            <v xml:space="preserve"> </v>
          </cell>
          <cell r="N180" t="str">
            <v>PROVISIONAL</v>
          </cell>
          <cell r="O180" t="str">
            <v>LEYES RICARDO</v>
          </cell>
        </row>
        <row r="181">
          <cell r="A181" t="str">
            <v>3°2°3223TLT3</v>
          </cell>
          <cell r="B181" t="str">
            <v>3°2°</v>
          </cell>
          <cell r="C181">
            <v>322</v>
          </cell>
          <cell r="D181" t="str">
            <v>3TLT3</v>
          </cell>
          <cell r="E181">
            <v>2682794</v>
          </cell>
          <cell r="F181" t="str">
            <v>LENGUAJES TECNOLOGICOS</v>
          </cell>
          <cell r="K181" t="str">
            <v>TITO JUAN MANUEL</v>
          </cell>
          <cell r="L181" t="str">
            <v xml:space="preserve"> </v>
          </cell>
          <cell r="M181" t="str">
            <v xml:space="preserve"> </v>
          </cell>
          <cell r="N181" t="str">
            <v>PROVISIONAL</v>
          </cell>
          <cell r="O181" t="str">
            <v>TITO JUAN MANUEL</v>
          </cell>
        </row>
        <row r="182">
          <cell r="A182" t="str">
            <v>3°2°3223TST3</v>
          </cell>
          <cell r="B182" t="str">
            <v>3°2°</v>
          </cell>
          <cell r="C182">
            <v>322</v>
          </cell>
          <cell r="D182" t="str">
            <v>3TST3</v>
          </cell>
          <cell r="E182">
            <v>2682796</v>
          </cell>
          <cell r="F182" t="str">
            <v>SISTEMAS TECNOLOGICOS</v>
          </cell>
          <cell r="J182" t="str">
            <v>20-23.639.282-2</v>
          </cell>
          <cell r="K182" t="str">
            <v>PAZ DANIEL</v>
          </cell>
          <cell r="L182" t="str">
            <v xml:space="preserve"> </v>
          </cell>
          <cell r="M182" t="str">
            <v xml:space="preserve"> </v>
          </cell>
          <cell r="N182" t="str">
            <v>PROVISIONAL</v>
          </cell>
          <cell r="O182" t="str">
            <v>PAZ DANIEL</v>
          </cell>
        </row>
        <row r="183">
          <cell r="A183" t="str">
            <v>3°2°3223TPT3</v>
          </cell>
          <cell r="B183" t="str">
            <v>3°2°</v>
          </cell>
          <cell r="C183">
            <v>322</v>
          </cell>
          <cell r="D183" t="str">
            <v>3TPT3</v>
          </cell>
          <cell r="E183">
            <v>2682798</v>
          </cell>
          <cell r="F183" t="str">
            <v>PROCEDIMIENTOS TECNICOS</v>
          </cell>
          <cell r="J183" t="str">
            <v xml:space="preserve"> 20-28.191.299-3</v>
          </cell>
          <cell r="K183" t="str">
            <v xml:space="preserve">ETCHEVERRY MARTIN                            </v>
          </cell>
          <cell r="L183" t="str">
            <v xml:space="preserve"> </v>
          </cell>
          <cell r="M183" t="str">
            <v xml:space="preserve"> </v>
          </cell>
          <cell r="N183" t="str">
            <v>PROVISIONAL</v>
          </cell>
          <cell r="O183" t="str">
            <v xml:space="preserve">ETCHEVERRY MARTIN                            </v>
          </cell>
        </row>
        <row r="184">
          <cell r="A184" t="str">
            <v>3°3°3BIO</v>
          </cell>
          <cell r="B184" t="str">
            <v>3°3°</v>
          </cell>
          <cell r="D184" t="str">
            <v>3BIO</v>
          </cell>
          <cell r="E184">
            <v>1913939</v>
          </cell>
          <cell r="F184" t="str">
            <v>BIOLOGIA</v>
          </cell>
          <cell r="G184" t="str">
            <v>20-32.597.246-8</v>
          </cell>
          <cell r="I184" t="str">
            <v xml:space="preserve">CANCELA GONZALEZ M </v>
          </cell>
          <cell r="L184" t="str">
            <v xml:space="preserve"> </v>
          </cell>
          <cell r="M184" t="str">
            <v xml:space="preserve"> </v>
          </cell>
          <cell r="N184" t="str">
            <v>TITULAR</v>
          </cell>
          <cell r="O184" t="str">
            <v xml:space="preserve">CANCELA GONZALEZ M </v>
          </cell>
        </row>
        <row r="185">
          <cell r="A185" t="str">
            <v>3°3°3CCD</v>
          </cell>
          <cell r="B185" t="str">
            <v>3°3°</v>
          </cell>
          <cell r="D185" t="str">
            <v>3CCD</v>
          </cell>
          <cell r="E185">
            <v>1913965</v>
          </cell>
          <cell r="F185" t="str">
            <v>CONSTRUCCION DE LA CIUDADANIA</v>
          </cell>
          <cell r="G185" t="str">
            <v>27- 23.075.933-8</v>
          </cell>
          <cell r="I185" t="str">
            <v>HERRERA CARMEN</v>
          </cell>
          <cell r="L185" t="str">
            <v xml:space="preserve"> </v>
          </cell>
          <cell r="M185" t="str">
            <v xml:space="preserve"> </v>
          </cell>
          <cell r="N185" t="str">
            <v>TITULAR</v>
          </cell>
          <cell r="O185" t="str">
            <v>HERRERA CARMEN</v>
          </cell>
        </row>
        <row r="186">
          <cell r="A186" t="str">
            <v>3°3°3ART</v>
          </cell>
          <cell r="B186" t="str">
            <v>3°3°</v>
          </cell>
          <cell r="D186" t="str">
            <v>3ART</v>
          </cell>
          <cell r="E186">
            <v>1913969</v>
          </cell>
          <cell r="F186" t="str">
            <v>EDUCACION ARTISTICA (PLASTICA)</v>
          </cell>
          <cell r="G186" t="str">
            <v xml:space="preserve"> 27-24.680.551-8                       </v>
          </cell>
          <cell r="I186" t="str">
            <v xml:space="preserve">ISSETTA LORENA  </v>
          </cell>
          <cell r="L186" t="str">
            <v xml:space="preserve"> </v>
          </cell>
          <cell r="M186" t="str">
            <v xml:space="preserve"> </v>
          </cell>
          <cell r="N186" t="str">
            <v>TITULAR</v>
          </cell>
          <cell r="O186" t="str">
            <v xml:space="preserve">ISSETTA LORENA  </v>
          </cell>
        </row>
        <row r="187">
          <cell r="A187" t="str">
            <v>3°3°3EFI</v>
          </cell>
          <cell r="B187" t="str">
            <v>3°3°</v>
          </cell>
          <cell r="D187" t="str">
            <v>3EFI</v>
          </cell>
          <cell r="E187">
            <v>1913973</v>
          </cell>
          <cell r="F187" t="str">
            <v>EDUCACIÓN FISICA</v>
          </cell>
          <cell r="G187" t="str">
            <v>20-34020185-0</v>
          </cell>
          <cell r="I187" t="str">
            <v xml:space="preserve">RIOS, LEONARDO  </v>
          </cell>
          <cell r="L187" t="str">
            <v xml:space="preserve"> </v>
          </cell>
          <cell r="M187" t="str">
            <v xml:space="preserve"> </v>
          </cell>
          <cell r="N187" t="str">
            <v>TITULAR</v>
          </cell>
          <cell r="O187" t="str">
            <v xml:space="preserve">RIOS, LEONARDO  </v>
          </cell>
        </row>
        <row r="188">
          <cell r="A188" t="str">
            <v>3°3°3FI/QUI</v>
          </cell>
          <cell r="B188" t="str">
            <v>3°3°</v>
          </cell>
          <cell r="D188" t="str">
            <v>3FI/QUI</v>
          </cell>
          <cell r="E188">
            <v>1913974</v>
          </cell>
          <cell r="F188" t="str">
            <v>FISICO-QUIMICA</v>
          </cell>
          <cell r="G188" t="str">
            <v>27-27.713.867-6</v>
          </cell>
          <cell r="I188" t="str">
            <v xml:space="preserve">GIOIA VERONICA                             </v>
          </cell>
          <cell r="L188" t="str">
            <v xml:space="preserve"> 27-26.381.174-2</v>
          </cell>
          <cell r="M188" t="str">
            <v xml:space="preserve"> MARTINEZ CARLA</v>
          </cell>
          <cell r="N188" t="str">
            <v>SUPLENTE</v>
          </cell>
          <cell r="O188" t="str">
            <v xml:space="preserve"> MARTINEZ CARLA</v>
          </cell>
        </row>
        <row r="189">
          <cell r="A189" t="str">
            <v>3°3°3GEO</v>
          </cell>
          <cell r="B189" t="str">
            <v>3°3°</v>
          </cell>
          <cell r="D189" t="str">
            <v>3GEO</v>
          </cell>
          <cell r="E189">
            <v>1913979</v>
          </cell>
          <cell r="F189" t="str">
            <v>GEOGRAFIA</v>
          </cell>
          <cell r="G189" t="str">
            <v>23-28.029.112-9</v>
          </cell>
          <cell r="I189" t="str">
            <v xml:space="preserve">SPERONI ADRIAN  </v>
          </cell>
          <cell r="L189" t="str">
            <v xml:space="preserve"> </v>
          </cell>
          <cell r="M189" t="str">
            <v xml:space="preserve"> </v>
          </cell>
          <cell r="N189" t="str">
            <v>TITULAR</v>
          </cell>
          <cell r="O189" t="str">
            <v xml:space="preserve">SPERONI ADRIAN  </v>
          </cell>
        </row>
        <row r="190">
          <cell r="A190" t="str">
            <v>3°3°3HIS</v>
          </cell>
          <cell r="B190" t="str">
            <v>3°3°</v>
          </cell>
          <cell r="D190" t="str">
            <v>3HIS</v>
          </cell>
          <cell r="E190">
            <v>1913981</v>
          </cell>
          <cell r="F190" t="str">
            <v>HISTORIA</v>
          </cell>
          <cell r="G190" t="str">
            <v xml:space="preserve"> 20-18.284.913-9 </v>
          </cell>
          <cell r="H190" t="str">
            <v xml:space="preserve">    (Mad 2018)</v>
          </cell>
          <cell r="I190" t="str">
            <v xml:space="preserve">TORRES LUIS                    </v>
          </cell>
          <cell r="L190" t="str">
            <v xml:space="preserve"> </v>
          </cell>
          <cell r="M190" t="str">
            <v xml:space="preserve"> </v>
          </cell>
          <cell r="N190" t="str">
            <v>TITULAR</v>
          </cell>
          <cell r="O190" t="str">
            <v xml:space="preserve">TORRES LUIS                    </v>
          </cell>
        </row>
        <row r="191">
          <cell r="A191" t="str">
            <v>3°3°3ING</v>
          </cell>
          <cell r="B191" t="str">
            <v>3°3°</v>
          </cell>
          <cell r="D191" t="str">
            <v>3ING</v>
          </cell>
          <cell r="E191">
            <v>1913982</v>
          </cell>
          <cell r="F191" t="str">
            <v>INGLÉS</v>
          </cell>
          <cell r="G191" t="str">
            <v>23-30.492.767 -4</v>
          </cell>
          <cell r="H191" t="str">
            <v>(DESTINO DEFINITIVO 2019)</v>
          </cell>
          <cell r="I191" t="str">
            <v xml:space="preserve">LEGUIZAMON ANA </v>
          </cell>
          <cell r="L191" t="str">
            <v xml:space="preserve"> </v>
          </cell>
          <cell r="M191" t="str">
            <v xml:space="preserve"> </v>
          </cell>
          <cell r="N191" t="str">
            <v>TITULAR</v>
          </cell>
          <cell r="O191" t="str">
            <v xml:space="preserve">LEGUIZAMON ANA </v>
          </cell>
        </row>
        <row r="192">
          <cell r="A192" t="str">
            <v>3°3°3MAT</v>
          </cell>
          <cell r="B192" t="str">
            <v>3°3°</v>
          </cell>
          <cell r="D192" t="str">
            <v>3MAT</v>
          </cell>
          <cell r="E192">
            <v>1913983</v>
          </cell>
          <cell r="F192" t="str">
            <v>MATEMATICA</v>
          </cell>
          <cell r="G192" t="str">
            <v xml:space="preserve">  20-37059555-1</v>
          </cell>
          <cell r="H192" t="str">
            <v xml:space="preserve"> INT 2025</v>
          </cell>
          <cell r="I192" t="str">
            <v xml:space="preserve">VARCHETTA, GABRIEL OMAR </v>
          </cell>
          <cell r="L192" t="str">
            <v xml:space="preserve"> </v>
          </cell>
          <cell r="M192" t="str">
            <v xml:space="preserve"> </v>
          </cell>
          <cell r="N192" t="str">
            <v>TITULAR</v>
          </cell>
          <cell r="O192" t="str">
            <v xml:space="preserve">VARCHETTA, GABRIEL OMAR </v>
          </cell>
        </row>
        <row r="193">
          <cell r="A193" t="str">
            <v>3°3°3PLG</v>
          </cell>
          <cell r="B193" t="str">
            <v>3°3°</v>
          </cell>
          <cell r="D193" t="str">
            <v>3PLG</v>
          </cell>
          <cell r="E193">
            <v>1913986</v>
          </cell>
          <cell r="F193" t="str">
            <v>PRACTICA DEL LENGUAJE</v>
          </cell>
          <cell r="G193">
            <v>13642940</v>
          </cell>
          <cell r="H193" t="str">
            <v xml:space="preserve"> ENTRA POR MAD 2020</v>
          </cell>
          <cell r="I193" t="str">
            <v>CARESTIA, NOEMI</v>
          </cell>
          <cell r="L193">
            <v>27309531022</v>
          </cell>
          <cell r="M193" t="str">
            <v>SANTILLAN ESTELA ISIDORA</v>
          </cell>
          <cell r="N193" t="str">
            <v>SUPLENTE</v>
          </cell>
          <cell r="O193" t="str">
            <v>SANTILLAN ESTELA ISIDORA</v>
          </cell>
        </row>
        <row r="194">
          <cell r="A194" t="str">
            <v>3°3°3313TLT3</v>
          </cell>
          <cell r="B194" t="str">
            <v>3°3°</v>
          </cell>
          <cell r="C194">
            <v>331</v>
          </cell>
          <cell r="D194" t="str">
            <v>3TLT3</v>
          </cell>
          <cell r="E194">
            <v>1913987</v>
          </cell>
          <cell r="F194" t="str">
            <v>LENGUAJES TECNOLOGICOS</v>
          </cell>
          <cell r="G194" t="str">
            <v xml:space="preserve">20-25.859 440-2 </v>
          </cell>
          <cell r="H194" t="str">
            <v>(MASIVA)</v>
          </cell>
          <cell r="I194" t="str">
            <v xml:space="preserve">GUTIERREZ FERNANDO </v>
          </cell>
          <cell r="L194" t="str">
            <v xml:space="preserve"> </v>
          </cell>
          <cell r="M194" t="str">
            <v xml:space="preserve"> </v>
          </cell>
          <cell r="N194" t="str">
            <v>TITULAR</v>
          </cell>
          <cell r="O194" t="str">
            <v xml:space="preserve">GUTIERREZ FERNANDO </v>
          </cell>
        </row>
        <row r="195">
          <cell r="A195" t="str">
            <v>3°3°3313TST3</v>
          </cell>
          <cell r="B195" t="str">
            <v>3°3°</v>
          </cell>
          <cell r="C195">
            <v>331</v>
          </cell>
          <cell r="D195" t="str">
            <v>3TST3</v>
          </cell>
          <cell r="E195">
            <v>1914000</v>
          </cell>
          <cell r="F195" t="str">
            <v>SISTEMAS TECNOLOGICOS</v>
          </cell>
          <cell r="J195" t="str">
            <v xml:space="preserve">  27-23560083-3</v>
          </cell>
          <cell r="K195" t="str">
            <v>DANIEL PAZ</v>
          </cell>
          <cell r="L195" t="str">
            <v xml:space="preserve"> </v>
          </cell>
          <cell r="M195" t="str">
            <v xml:space="preserve"> </v>
          </cell>
          <cell r="N195" t="str">
            <v>PROVISIONAL</v>
          </cell>
          <cell r="O195" t="str">
            <v>DANIEL PAZ</v>
          </cell>
        </row>
        <row r="196">
          <cell r="A196" t="str">
            <v>3°3°3313TPT3</v>
          </cell>
          <cell r="B196" t="str">
            <v>3°3°</v>
          </cell>
          <cell r="C196">
            <v>331</v>
          </cell>
          <cell r="D196" t="str">
            <v>3TPT3</v>
          </cell>
          <cell r="E196">
            <v>1913994</v>
          </cell>
          <cell r="F196" t="str">
            <v>PROCEDIMIENTOS TECNICOS</v>
          </cell>
          <cell r="J196" t="str">
            <v xml:space="preserve"> 20-25.521.976-7</v>
          </cell>
          <cell r="K196" t="str">
            <v xml:space="preserve">CHAMORRO CRISTIAN </v>
          </cell>
          <cell r="L196" t="str">
            <v xml:space="preserve"> </v>
          </cell>
          <cell r="M196" t="str">
            <v xml:space="preserve"> </v>
          </cell>
          <cell r="N196" t="str">
            <v>PROVISIONAL</v>
          </cell>
          <cell r="O196" t="str">
            <v xml:space="preserve">CHAMORRO CRISTIAN </v>
          </cell>
        </row>
        <row r="197">
          <cell r="A197" t="str">
            <v>3°3°3323TLT3</v>
          </cell>
          <cell r="B197" t="str">
            <v>3°3°</v>
          </cell>
          <cell r="C197">
            <v>332</v>
          </cell>
          <cell r="D197" t="str">
            <v>3TLT3</v>
          </cell>
          <cell r="E197">
            <v>1913991</v>
          </cell>
          <cell r="F197" t="str">
            <v>LENGUAJES TECNOLOGICOS</v>
          </cell>
          <cell r="J197" t="str">
            <v>20-29.761.228-1</v>
          </cell>
          <cell r="K197" t="str">
            <v xml:space="preserve">PROCHOR PABLO  </v>
          </cell>
          <cell r="L197" t="str">
            <v xml:space="preserve"> </v>
          </cell>
          <cell r="M197" t="str">
            <v xml:space="preserve"> </v>
          </cell>
          <cell r="N197" t="str">
            <v>PROVISIONAL</v>
          </cell>
          <cell r="O197" t="str">
            <v xml:space="preserve">PROCHOR PABLO  </v>
          </cell>
        </row>
        <row r="198">
          <cell r="A198" t="str">
            <v>3°3°3323TST3</v>
          </cell>
          <cell r="B198" t="str">
            <v>3°3°</v>
          </cell>
          <cell r="C198">
            <v>332</v>
          </cell>
          <cell r="D198" t="str">
            <v>3TST3</v>
          </cell>
          <cell r="E198">
            <v>1914002</v>
          </cell>
          <cell r="F198" t="str">
            <v>SISTEMAS TECNOLOGICOS</v>
          </cell>
          <cell r="J198" t="str">
            <v>20-25.454.930-5</v>
          </cell>
          <cell r="K198" t="str">
            <v>CORDOBA ALEJANDRO</v>
          </cell>
          <cell r="L198" t="str">
            <v xml:space="preserve"> </v>
          </cell>
          <cell r="M198" t="str">
            <v xml:space="preserve"> </v>
          </cell>
          <cell r="N198" t="str">
            <v>PROVISIONAL</v>
          </cell>
          <cell r="O198" t="str">
            <v>CORDOBA ALEJANDRO</v>
          </cell>
        </row>
        <row r="199">
          <cell r="A199" t="str">
            <v>3°3°3323TPT3</v>
          </cell>
          <cell r="B199" t="str">
            <v>3°3°</v>
          </cell>
          <cell r="C199">
            <v>332</v>
          </cell>
          <cell r="D199" t="str">
            <v>3TPT3</v>
          </cell>
          <cell r="E199">
            <v>1913997</v>
          </cell>
          <cell r="F199" t="str">
            <v>PROCEDIMIENTOS TECNICOS</v>
          </cell>
          <cell r="J199" t="str">
            <v>20-26.307.520-0</v>
          </cell>
          <cell r="K199" t="str">
            <v xml:space="preserve">CASTILLO ANGEL </v>
          </cell>
          <cell r="L199">
            <v>0</v>
          </cell>
          <cell r="M199" t="str">
            <v>CRUZ DAVID</v>
          </cell>
          <cell r="N199" t="str">
            <v>SUPLENTE</v>
          </cell>
          <cell r="O199" t="str">
            <v>CRUZ DAVID</v>
          </cell>
        </row>
        <row r="200">
          <cell r="A200" t="str">
            <v>3°4°3BIO</v>
          </cell>
          <cell r="B200" t="str">
            <v>3°4°</v>
          </cell>
          <cell r="D200" t="str">
            <v>3BIO</v>
          </cell>
          <cell r="E200">
            <v>1492277</v>
          </cell>
          <cell r="F200" t="str">
            <v>BIOLOGIA</v>
          </cell>
          <cell r="G200">
            <v>27374304084</v>
          </cell>
          <cell r="H200" t="str">
            <v>INT 2025</v>
          </cell>
          <cell r="I200" t="str">
            <v>OLIVIERI, ROMINA DE LOS MILAGR</v>
          </cell>
          <cell r="L200" t="str">
            <v xml:space="preserve"> </v>
          </cell>
          <cell r="M200" t="str">
            <v xml:space="preserve"> </v>
          </cell>
          <cell r="N200" t="str">
            <v>TITULAR</v>
          </cell>
          <cell r="O200" t="str">
            <v>OLIVIERI, ROMINA DE LOS MILAGR</v>
          </cell>
        </row>
        <row r="201">
          <cell r="A201" t="str">
            <v>3°4°3CCD</v>
          </cell>
          <cell r="B201" t="str">
            <v>3°4°</v>
          </cell>
          <cell r="D201" t="str">
            <v>3CCD</v>
          </cell>
          <cell r="E201">
            <v>1492270</v>
          </cell>
          <cell r="F201" t="str">
            <v>CONSTRUCCION DE LA CIUDADANIA</v>
          </cell>
          <cell r="G201" t="str">
            <v xml:space="preserve"> 27-27.946.097-4</v>
          </cell>
          <cell r="H201" t="str">
            <v xml:space="preserve"> (I MOD)</v>
          </cell>
          <cell r="I201" t="str">
            <v>GORDILLO NORA</v>
          </cell>
          <cell r="J201" t="str">
            <v>27-27.946.097-4    (1 MOD)</v>
          </cell>
          <cell r="K201" t="str">
            <v xml:space="preserve">GORDILLO NORA </v>
          </cell>
          <cell r="L201" t="str">
            <v xml:space="preserve"> </v>
          </cell>
          <cell r="M201" t="str">
            <v xml:space="preserve"> </v>
          </cell>
          <cell r="N201" t="str">
            <v>PROVISIONAL</v>
          </cell>
          <cell r="O201" t="str">
            <v xml:space="preserve">GORDILLO NORA </v>
          </cell>
        </row>
        <row r="202">
          <cell r="A202" t="str">
            <v>3°4°3ART</v>
          </cell>
          <cell r="B202" t="str">
            <v>3°4°</v>
          </cell>
          <cell r="D202" t="str">
            <v>3ART</v>
          </cell>
          <cell r="E202">
            <v>1492045</v>
          </cell>
          <cell r="F202" t="str">
            <v>EDUCACION ARTISTICA (PLASTICA)</v>
          </cell>
          <cell r="G202">
            <v>25863832</v>
          </cell>
          <cell r="I202" t="str">
            <v>GOMEZ MARCELA</v>
          </cell>
          <cell r="L202" t="str">
            <v xml:space="preserve"> </v>
          </cell>
          <cell r="M202" t="str">
            <v xml:space="preserve"> </v>
          </cell>
          <cell r="N202" t="str">
            <v>TITULAR</v>
          </cell>
          <cell r="O202" t="str">
            <v>GOMEZ MARCELA</v>
          </cell>
        </row>
        <row r="203">
          <cell r="A203" t="str">
            <v>3°4°3EFI</v>
          </cell>
          <cell r="B203" t="str">
            <v>3°4°</v>
          </cell>
          <cell r="D203" t="str">
            <v>3EFI</v>
          </cell>
          <cell r="E203">
            <v>1492060</v>
          </cell>
          <cell r="F203" t="str">
            <v>EDUCACIÓN FISICA</v>
          </cell>
          <cell r="G203" t="str">
            <v>27-22.558.777-4</v>
          </cell>
          <cell r="I203" t="str">
            <v>PERALTA ARIANA INT 2026</v>
          </cell>
          <cell r="L203" t="str">
            <v xml:space="preserve"> </v>
          </cell>
          <cell r="M203" t="str">
            <v xml:space="preserve"> </v>
          </cell>
          <cell r="N203" t="str">
            <v>TITULAR</v>
          </cell>
          <cell r="O203" t="str">
            <v>PERALTA ARIANA INT 2026</v>
          </cell>
        </row>
        <row r="204">
          <cell r="A204" t="str">
            <v>3°4°3FI/QUI</v>
          </cell>
          <cell r="B204" t="str">
            <v>3°4°</v>
          </cell>
          <cell r="D204" t="str">
            <v>3FI/QUI</v>
          </cell>
          <cell r="E204">
            <v>1492069</v>
          </cell>
          <cell r="F204" t="str">
            <v>FISICO-QUIMICA</v>
          </cell>
          <cell r="G204" t="str">
            <v>20-32692609-5</v>
          </cell>
          <cell r="I204" t="str">
            <v xml:space="preserve">PORQUERES, MATIAS </v>
          </cell>
          <cell r="L204" t="str">
            <v xml:space="preserve"> </v>
          </cell>
          <cell r="M204" t="str">
            <v xml:space="preserve"> </v>
          </cell>
          <cell r="N204" t="str">
            <v>TITULAR</v>
          </cell>
          <cell r="O204" t="str">
            <v xml:space="preserve">PORQUERES, MATIAS </v>
          </cell>
        </row>
        <row r="205">
          <cell r="A205" t="str">
            <v>3°4°3GEO</v>
          </cell>
          <cell r="B205" t="str">
            <v>3°4°</v>
          </cell>
          <cell r="D205" t="str">
            <v>3GEO</v>
          </cell>
          <cell r="E205">
            <v>1492267</v>
          </cell>
          <cell r="F205" t="str">
            <v>GEOGRAFIA</v>
          </cell>
          <cell r="I205" t="str">
            <v>ANTONELLO FERNANDO                          20-24.636.852-0</v>
          </cell>
          <cell r="L205" t="str">
            <v xml:space="preserve"> </v>
          </cell>
          <cell r="M205" t="str">
            <v xml:space="preserve"> </v>
          </cell>
          <cell r="N205" t="str">
            <v>TITULAR</v>
          </cell>
          <cell r="O205" t="str">
            <v>ANTONELLO FERNANDO                          20-24.636.852-0</v>
          </cell>
        </row>
        <row r="206">
          <cell r="A206" t="str">
            <v>3°4°3HIS</v>
          </cell>
          <cell r="B206" t="str">
            <v>3°4°</v>
          </cell>
          <cell r="D206" t="str">
            <v>3HIS</v>
          </cell>
          <cell r="E206">
            <v>1492087</v>
          </cell>
          <cell r="F206" t="str">
            <v>HISTORIA</v>
          </cell>
          <cell r="G206" t="str">
            <v>20-18.284.913-9</v>
          </cell>
          <cell r="I206" t="str">
            <v xml:space="preserve">TORRES LUIS                    </v>
          </cell>
          <cell r="L206" t="str">
            <v xml:space="preserve"> </v>
          </cell>
          <cell r="M206" t="str">
            <v xml:space="preserve"> </v>
          </cell>
          <cell r="N206" t="str">
            <v>TITULAR</v>
          </cell>
          <cell r="O206" t="str">
            <v xml:space="preserve">TORRES LUIS                    </v>
          </cell>
        </row>
        <row r="207">
          <cell r="A207" t="str">
            <v>3°4°3ING</v>
          </cell>
          <cell r="B207" t="str">
            <v>3°4°</v>
          </cell>
          <cell r="D207" t="str">
            <v>3ING</v>
          </cell>
          <cell r="E207">
            <v>1492005</v>
          </cell>
          <cell r="F207" t="str">
            <v>INGLÉS</v>
          </cell>
          <cell r="G207" t="str">
            <v>27-29.433.432-2</v>
          </cell>
          <cell r="I207" t="str">
            <v xml:space="preserve">ARCE KARINA </v>
          </cell>
          <cell r="L207">
            <v>27288132157</v>
          </cell>
          <cell r="M207" t="str">
            <v xml:space="preserve"> SUAVE ROMINA R</v>
          </cell>
          <cell r="N207" t="str">
            <v>SUPLENTE</v>
          </cell>
          <cell r="O207" t="str">
            <v xml:space="preserve"> SUAVE ROMINA R</v>
          </cell>
        </row>
        <row r="208">
          <cell r="A208" t="str">
            <v>3°4°3MAT</v>
          </cell>
          <cell r="B208" t="str">
            <v>3°4°</v>
          </cell>
          <cell r="D208" t="str">
            <v>3MAT</v>
          </cell>
          <cell r="E208">
            <v>1492042</v>
          </cell>
          <cell r="F208" t="str">
            <v>MATEMATICA</v>
          </cell>
          <cell r="G208" t="str">
            <v xml:space="preserve">  27-22.545.368-9</v>
          </cell>
          <cell r="H208" t="str">
            <v>ACREC. 2020</v>
          </cell>
          <cell r="I208" t="str">
            <v xml:space="preserve">GARCIA CLAUDIA </v>
          </cell>
          <cell r="L208" t="str">
            <v xml:space="preserve"> </v>
          </cell>
          <cell r="M208" t="str">
            <v xml:space="preserve"> </v>
          </cell>
          <cell r="N208" t="str">
            <v>TITULAR</v>
          </cell>
          <cell r="O208" t="str">
            <v xml:space="preserve">GARCIA CLAUDIA </v>
          </cell>
        </row>
        <row r="209">
          <cell r="A209" t="str">
            <v>3°4°3PLG</v>
          </cell>
          <cell r="B209" t="str">
            <v>3°4°</v>
          </cell>
          <cell r="D209" t="str">
            <v>3PLG</v>
          </cell>
          <cell r="E209">
            <v>1492035</v>
          </cell>
          <cell r="F209" t="str">
            <v>PRACTICA DEL LENGUAJE</v>
          </cell>
          <cell r="G209" t="str">
            <v xml:space="preserve"> 27-30.953.102-2</v>
          </cell>
          <cell r="I209" t="str">
            <v xml:space="preserve">SANTILLAN ESTELA </v>
          </cell>
          <cell r="L209" t="str">
            <v xml:space="preserve"> </v>
          </cell>
          <cell r="M209" t="str">
            <v xml:space="preserve"> </v>
          </cell>
          <cell r="N209" t="str">
            <v>TITULAR</v>
          </cell>
          <cell r="O209" t="str">
            <v xml:space="preserve">SANTILLAN ESTELA </v>
          </cell>
        </row>
        <row r="210">
          <cell r="A210" t="str">
            <v>3°4°3413TLT3</v>
          </cell>
          <cell r="B210" t="str">
            <v>3°4°</v>
          </cell>
          <cell r="C210">
            <v>341</v>
          </cell>
          <cell r="D210" t="str">
            <v>3TLT3</v>
          </cell>
          <cell r="E210">
            <v>2683083</v>
          </cell>
          <cell r="F210" t="str">
            <v>LENGUAJES TECNOLOGICOS</v>
          </cell>
          <cell r="G210" t="str">
            <v>27-11.864.641-5</v>
          </cell>
          <cell r="H210" t="str">
            <v xml:space="preserve"> (MASIVA)</v>
          </cell>
          <cell r="I210" t="str">
            <v xml:space="preserve">RIVAROLA NORMA </v>
          </cell>
          <cell r="L210" t="str">
            <v xml:space="preserve"> </v>
          </cell>
          <cell r="M210" t="str">
            <v xml:space="preserve"> </v>
          </cell>
          <cell r="N210" t="str">
            <v>TITULAR</v>
          </cell>
          <cell r="O210" t="str">
            <v xml:space="preserve">RIVAROLA NORMA </v>
          </cell>
        </row>
        <row r="211">
          <cell r="A211" t="str">
            <v>3°4°3413TST3</v>
          </cell>
          <cell r="B211" t="str">
            <v>3°4°</v>
          </cell>
          <cell r="C211">
            <v>341</v>
          </cell>
          <cell r="D211" t="str">
            <v>3TST3</v>
          </cell>
          <cell r="E211">
            <v>2683084</v>
          </cell>
          <cell r="F211" t="str">
            <v>SISTEMAS TECNOLOGICOS</v>
          </cell>
          <cell r="G211" t="str">
            <v>27-26.174.351-0</v>
          </cell>
          <cell r="H211" t="str">
            <v xml:space="preserve"> (MASIVA)</v>
          </cell>
          <cell r="I211" t="str">
            <v>GOMEZ ANALIA</v>
          </cell>
          <cell r="L211">
            <v>20179125103</v>
          </cell>
          <cell r="M211" t="str">
            <v>AGUIRRE JUAN ANTONIO</v>
          </cell>
          <cell r="N211" t="str">
            <v>SUPLENTE</v>
          </cell>
          <cell r="O211" t="str">
            <v>AGUIRRE JUAN ANTONIO</v>
          </cell>
        </row>
        <row r="212">
          <cell r="A212" t="str">
            <v>3°4°3413TPT3</v>
          </cell>
          <cell r="B212" t="str">
            <v>3°4°</v>
          </cell>
          <cell r="C212">
            <v>341</v>
          </cell>
          <cell r="D212" t="str">
            <v>3TPT3</v>
          </cell>
          <cell r="E212">
            <v>2683085</v>
          </cell>
          <cell r="F212" t="str">
            <v>PROCEDIMIENTOS TECNICOS</v>
          </cell>
          <cell r="K212" t="str">
            <v>CORDOBA ALEJANDRO                       20-25.454.930-5</v>
          </cell>
          <cell r="L212">
            <v>0</v>
          </cell>
          <cell r="M212" t="str">
            <v>CRUZ JESUS</v>
          </cell>
          <cell r="N212" t="str">
            <v>SUPLENTE</v>
          </cell>
          <cell r="O212" t="str">
            <v>CRUZ JESUS</v>
          </cell>
        </row>
        <row r="213">
          <cell r="A213" t="str">
            <v>3°4°3423TLT3</v>
          </cell>
          <cell r="B213" t="str">
            <v>3°4°</v>
          </cell>
          <cell r="C213">
            <v>342</v>
          </cell>
          <cell r="D213" t="str">
            <v>3TLT3</v>
          </cell>
          <cell r="E213">
            <v>2683086</v>
          </cell>
          <cell r="F213" t="str">
            <v>LENGUAJES TECNOLOGICOS</v>
          </cell>
          <cell r="G213" t="str">
            <v xml:space="preserve"> 27-11.864.641-5 </v>
          </cell>
          <cell r="H213" t="str">
            <v>(MASIVA)</v>
          </cell>
          <cell r="I213" t="str">
            <v xml:space="preserve">RIVAROLA NORMA </v>
          </cell>
          <cell r="L213" t="str">
            <v xml:space="preserve"> </v>
          </cell>
          <cell r="M213" t="str">
            <v xml:space="preserve"> </v>
          </cell>
          <cell r="N213" t="str">
            <v>TITULAR</v>
          </cell>
          <cell r="O213" t="str">
            <v xml:space="preserve">RIVAROLA NORMA </v>
          </cell>
        </row>
        <row r="214">
          <cell r="A214" t="str">
            <v>3°4°3423TST3</v>
          </cell>
          <cell r="B214" t="str">
            <v>3°4°</v>
          </cell>
          <cell r="C214">
            <v>342</v>
          </cell>
          <cell r="D214" t="str">
            <v>3TST3</v>
          </cell>
          <cell r="E214">
            <v>2683087</v>
          </cell>
          <cell r="F214" t="str">
            <v>SISTEMAS TECNOLOGICOS</v>
          </cell>
          <cell r="K214" t="str">
            <v xml:space="preserve">ROTOLO, LUCIANO </v>
          </cell>
          <cell r="M214" t="str">
            <v xml:space="preserve"> </v>
          </cell>
          <cell r="N214" t="str">
            <v>PROVISIONAL</v>
          </cell>
          <cell r="O214" t="str">
            <v xml:space="preserve">ROTOLO, LUCIANO </v>
          </cell>
        </row>
        <row r="215">
          <cell r="A215" t="str">
            <v>3°4°3423TPT3</v>
          </cell>
          <cell r="B215" t="str">
            <v>3°4°</v>
          </cell>
          <cell r="C215">
            <v>342</v>
          </cell>
          <cell r="D215" t="str">
            <v>3TPT3</v>
          </cell>
          <cell r="E215">
            <v>2683088</v>
          </cell>
          <cell r="F215" t="str">
            <v>PROCEDIMIENTOS TECNICOS</v>
          </cell>
          <cell r="J215" t="str">
            <v>20-21.103.894-3</v>
          </cell>
          <cell r="K215" t="str">
            <v>LEYES RICARDO</v>
          </cell>
          <cell r="L215" t="str">
            <v xml:space="preserve"> </v>
          </cell>
          <cell r="M215" t="str">
            <v xml:space="preserve"> </v>
          </cell>
          <cell r="N215" t="str">
            <v>PROVISIONAL</v>
          </cell>
          <cell r="O215" t="str">
            <v>LEYES RICARDO</v>
          </cell>
        </row>
        <row r="216">
          <cell r="A216" t="str">
            <v>3°5°3BIO</v>
          </cell>
          <cell r="B216" t="str">
            <v>3°5°</v>
          </cell>
          <cell r="D216" t="str">
            <v>3BIO</v>
          </cell>
          <cell r="E216">
            <v>2232461</v>
          </cell>
          <cell r="F216" t="str">
            <v>BIOLOGIA</v>
          </cell>
          <cell r="G216" t="str">
            <v xml:space="preserve"> 27-23480647-0</v>
          </cell>
          <cell r="I216" t="str">
            <v>FARIAS CLAUDIA</v>
          </cell>
          <cell r="L216" t="str">
            <v xml:space="preserve"> </v>
          </cell>
          <cell r="M216" t="str">
            <v xml:space="preserve"> </v>
          </cell>
          <cell r="N216" t="str">
            <v>TITULAR</v>
          </cell>
          <cell r="O216" t="str">
            <v>FARIAS CLAUDIA</v>
          </cell>
        </row>
        <row r="217">
          <cell r="A217" t="str">
            <v>3°5°3CCD</v>
          </cell>
          <cell r="B217" t="str">
            <v>3°5°</v>
          </cell>
          <cell r="D217" t="str">
            <v>3CCD</v>
          </cell>
          <cell r="E217">
            <v>2232462</v>
          </cell>
          <cell r="F217" t="str">
            <v>CONSTRUCCION DE LA CIUDADANIA</v>
          </cell>
          <cell r="G217" t="str">
            <v>27-25.153.700-9</v>
          </cell>
          <cell r="I217" t="str">
            <v xml:space="preserve">AMAYA SILVIA                      </v>
          </cell>
          <cell r="L217" t="str">
            <v xml:space="preserve"> </v>
          </cell>
          <cell r="M217" t="str">
            <v xml:space="preserve"> </v>
          </cell>
          <cell r="N217" t="str">
            <v>TITULAR</v>
          </cell>
          <cell r="O217" t="str">
            <v xml:space="preserve">AMAYA SILVIA                      </v>
          </cell>
        </row>
        <row r="218">
          <cell r="A218" t="str">
            <v>3°5°3ART</v>
          </cell>
          <cell r="B218" t="str">
            <v>3°5°</v>
          </cell>
          <cell r="D218" t="str">
            <v>3ART</v>
          </cell>
          <cell r="E218">
            <v>2232463</v>
          </cell>
          <cell r="F218" t="str">
            <v>EDUCACION ARTISTICA (PLASTICA)</v>
          </cell>
          <cell r="G218" t="str">
            <v xml:space="preserve"> 27-24.680.551-8 </v>
          </cell>
          <cell r="H218" t="str">
            <v>(MAD 2018)</v>
          </cell>
          <cell r="I218" t="str">
            <v xml:space="preserve">ISSETTA LORENA </v>
          </cell>
          <cell r="L218" t="str">
            <v xml:space="preserve"> </v>
          </cell>
          <cell r="M218" t="str">
            <v xml:space="preserve"> </v>
          </cell>
          <cell r="N218" t="str">
            <v>TITULAR</v>
          </cell>
          <cell r="O218" t="str">
            <v xml:space="preserve">ISSETTA LORENA </v>
          </cell>
        </row>
        <row r="219">
          <cell r="A219" t="str">
            <v>3°5°3EFI</v>
          </cell>
          <cell r="B219" t="str">
            <v>3°5°</v>
          </cell>
          <cell r="D219" t="str">
            <v>3EFI</v>
          </cell>
          <cell r="E219">
            <v>2232464</v>
          </cell>
          <cell r="F219" t="str">
            <v>EDUCACIÓN FISICA</v>
          </cell>
          <cell r="G219" t="str">
            <v xml:space="preserve"> 20-29.569.203-1</v>
          </cell>
          <cell r="I219" t="str">
            <v xml:space="preserve">LUDUEÑA NELSON </v>
          </cell>
          <cell r="L219" t="str">
            <v xml:space="preserve"> </v>
          </cell>
          <cell r="M219" t="str">
            <v xml:space="preserve"> </v>
          </cell>
          <cell r="N219" t="str">
            <v>TITULAR</v>
          </cell>
          <cell r="O219" t="str">
            <v xml:space="preserve">LUDUEÑA NELSON </v>
          </cell>
        </row>
        <row r="220">
          <cell r="A220" t="str">
            <v>3°5°3FI/QUI</v>
          </cell>
          <cell r="B220" t="str">
            <v>3°5°</v>
          </cell>
          <cell r="D220" t="str">
            <v>3FI/QUI</v>
          </cell>
          <cell r="E220">
            <v>2232465</v>
          </cell>
          <cell r="F220" t="str">
            <v>FISICO-QUIMICA</v>
          </cell>
          <cell r="I220" t="str">
            <v>MANSILLA ANDRES</v>
          </cell>
          <cell r="L220">
            <v>20256000327</v>
          </cell>
          <cell r="M220" t="str">
            <v>CANTONI PABLO MARTIN</v>
          </cell>
          <cell r="N220" t="str">
            <v>SUPLENTE</v>
          </cell>
          <cell r="O220" t="str">
            <v>CANTONI PABLO MARTIN</v>
          </cell>
        </row>
        <row r="221">
          <cell r="A221" t="str">
            <v>3°5°3GEO</v>
          </cell>
          <cell r="B221" t="str">
            <v>3°5°</v>
          </cell>
          <cell r="D221" t="str">
            <v>3GEO</v>
          </cell>
          <cell r="E221">
            <v>2232466</v>
          </cell>
          <cell r="F221" t="str">
            <v>GEOGRAFIA</v>
          </cell>
          <cell r="G221" t="str">
            <v>27-29.146.146-3</v>
          </cell>
          <cell r="I221" t="str">
            <v>SOLIS, MARIA</v>
          </cell>
          <cell r="L221">
            <v>27276906084</v>
          </cell>
          <cell r="M221" t="str">
            <v xml:space="preserve"> ROJAS SOLEDAD</v>
          </cell>
          <cell r="N221" t="str">
            <v>SUPLENTE</v>
          </cell>
          <cell r="O221" t="str">
            <v xml:space="preserve"> ROJAS SOLEDAD</v>
          </cell>
        </row>
        <row r="222">
          <cell r="A222" t="str">
            <v>3°5°3HIS</v>
          </cell>
          <cell r="B222" t="str">
            <v>3°5°</v>
          </cell>
          <cell r="D222" t="str">
            <v>3HIS</v>
          </cell>
          <cell r="E222">
            <v>2232467</v>
          </cell>
          <cell r="F222" t="str">
            <v>HISTORIA</v>
          </cell>
          <cell r="G222" t="str">
            <v>20-33.717.826-0</v>
          </cell>
          <cell r="I222" t="str">
            <v xml:space="preserve">LOPEZ MARINA  </v>
          </cell>
          <cell r="L222" t="str">
            <v xml:space="preserve"> </v>
          </cell>
          <cell r="M222" t="str">
            <v xml:space="preserve"> </v>
          </cell>
          <cell r="N222" t="str">
            <v>TITULAR</v>
          </cell>
          <cell r="O222" t="str">
            <v xml:space="preserve">LOPEZ MARINA  </v>
          </cell>
        </row>
        <row r="223">
          <cell r="A223" t="str">
            <v>3°5°3ING</v>
          </cell>
          <cell r="B223" t="str">
            <v>3°5°</v>
          </cell>
          <cell r="D223" t="str">
            <v>3ING</v>
          </cell>
          <cell r="E223">
            <v>2232468</v>
          </cell>
          <cell r="F223" t="str">
            <v>INGLÉS</v>
          </cell>
          <cell r="G223" t="str">
            <v>27-34631206-3</v>
          </cell>
          <cell r="H223" t="str">
            <v>Des Def 2020</v>
          </cell>
          <cell r="I223" t="str">
            <v>SIERRA YANINA</v>
          </cell>
          <cell r="L223">
            <v>27315554360</v>
          </cell>
          <cell r="M223" t="str">
            <v>LOPEZ LILIANA CUIT 27176913881</v>
          </cell>
          <cell r="N223" t="str">
            <v>SUPLENTE</v>
          </cell>
          <cell r="O223" t="str">
            <v>LOPEZ LILIANA CUIT 27176913881</v>
          </cell>
        </row>
        <row r="224">
          <cell r="A224" t="str">
            <v>3°5°3MAT</v>
          </cell>
          <cell r="B224" t="str">
            <v>3°5°</v>
          </cell>
          <cell r="D224" t="str">
            <v>3MAT</v>
          </cell>
          <cell r="E224">
            <v>2232469</v>
          </cell>
          <cell r="F224" t="str">
            <v>MATEMATICA</v>
          </cell>
          <cell r="G224" t="str">
            <v xml:space="preserve">23-22.948.231-9 </v>
          </cell>
          <cell r="H224" t="str">
            <v>(MAD 2018)</v>
          </cell>
          <cell r="I224" t="str">
            <v xml:space="preserve">LUZURIAGA ANGEL </v>
          </cell>
          <cell r="L224">
            <v>27443818869</v>
          </cell>
          <cell r="M224" t="str">
            <v xml:space="preserve"> FERRARIS OJEDA JULIETA MAR</v>
          </cell>
          <cell r="N224" t="str">
            <v>SUPLENTE</v>
          </cell>
          <cell r="O224" t="str">
            <v xml:space="preserve"> FERRARIS OJEDA JULIETA MAR</v>
          </cell>
        </row>
        <row r="225">
          <cell r="A225" t="str">
            <v>3°5°3PLG</v>
          </cell>
          <cell r="B225" t="str">
            <v>3°5°</v>
          </cell>
          <cell r="D225" t="str">
            <v>3PLG</v>
          </cell>
          <cell r="E225">
            <v>2232470</v>
          </cell>
          <cell r="F225" t="str">
            <v>PRACTICA DEL LENGUAJE</v>
          </cell>
          <cell r="G225">
            <v>13642940</v>
          </cell>
          <cell r="H225" t="str">
            <v xml:space="preserve">  Mad 2020</v>
          </cell>
          <cell r="I225" t="str">
            <v xml:space="preserve">CARESTIA, NOEMI </v>
          </cell>
          <cell r="L225">
            <v>27356462756</v>
          </cell>
          <cell r="M225" t="str">
            <v xml:space="preserve"> BECERRO PERLA FLORENCIA</v>
          </cell>
          <cell r="N225" t="str">
            <v>SUPLENTE</v>
          </cell>
          <cell r="O225" t="str">
            <v xml:space="preserve"> BECERRO PERLA FLORENCIA</v>
          </cell>
        </row>
        <row r="226">
          <cell r="A226" t="str">
            <v>3°5°3513TLT3</v>
          </cell>
          <cell r="B226" t="str">
            <v>3°5°</v>
          </cell>
          <cell r="C226">
            <v>351</v>
          </cell>
          <cell r="D226" t="str">
            <v>3TLT3</v>
          </cell>
          <cell r="E226">
            <v>2232471</v>
          </cell>
          <cell r="F226" t="str">
            <v>LENGUAJES TECNOLOGICOS</v>
          </cell>
          <cell r="J226">
            <v>20296712281</v>
          </cell>
          <cell r="K226" t="str">
            <v xml:space="preserve">PROCHOR JUAN PABLO   </v>
          </cell>
          <cell r="L226" t="str">
            <v xml:space="preserve"> </v>
          </cell>
          <cell r="M226" t="str">
            <v xml:space="preserve"> </v>
          </cell>
          <cell r="N226" t="str">
            <v>PROVISIONAL</v>
          </cell>
          <cell r="O226" t="str">
            <v xml:space="preserve">PROCHOR JUAN PABLO   </v>
          </cell>
        </row>
        <row r="227">
          <cell r="A227" t="str">
            <v>3°5°3513TST3</v>
          </cell>
          <cell r="B227" t="str">
            <v>3°5°</v>
          </cell>
          <cell r="C227">
            <v>351</v>
          </cell>
          <cell r="D227" t="str">
            <v>3TST3</v>
          </cell>
          <cell r="E227">
            <v>2232473</v>
          </cell>
          <cell r="F227" t="str">
            <v>SISTEMAS TECNOLOGICOS</v>
          </cell>
          <cell r="J227">
            <v>20256926157</v>
          </cell>
          <cell r="K227" t="str">
            <v>CRUZ JESUS  NAZARENO</v>
          </cell>
          <cell r="L227" t="str">
            <v xml:space="preserve"> </v>
          </cell>
          <cell r="M227" t="str">
            <v xml:space="preserve"> </v>
          </cell>
          <cell r="N227" t="str">
            <v>PROVISIONAL</v>
          </cell>
          <cell r="O227" t="str">
            <v>CRUZ JESUS  NAZARENO</v>
          </cell>
        </row>
        <row r="228">
          <cell r="A228" t="str">
            <v>3°5°3513TPT3</v>
          </cell>
          <cell r="B228" t="str">
            <v>3°5°</v>
          </cell>
          <cell r="C228">
            <v>351</v>
          </cell>
          <cell r="D228" t="str">
            <v>3TPT3</v>
          </cell>
          <cell r="E228">
            <v>2232475</v>
          </cell>
          <cell r="F228" t="str">
            <v>PROCEDIMIENTOS TECNICOS</v>
          </cell>
          <cell r="J228">
            <v>20256926157</v>
          </cell>
          <cell r="K228" t="str">
            <v xml:space="preserve">CRUZ JESUS NAZARENO </v>
          </cell>
          <cell r="L228" t="str">
            <v xml:space="preserve"> </v>
          </cell>
          <cell r="M228" t="str">
            <v xml:space="preserve"> </v>
          </cell>
          <cell r="N228" t="str">
            <v>PROVISIONAL</v>
          </cell>
          <cell r="O228" t="str">
            <v xml:space="preserve">CRUZ JESUS NAZARENO </v>
          </cell>
        </row>
        <row r="229">
          <cell r="A229" t="str">
            <v>3°5°3523TLT3</v>
          </cell>
          <cell r="B229" t="str">
            <v>3°5°</v>
          </cell>
          <cell r="C229">
            <v>352</v>
          </cell>
          <cell r="D229" t="str">
            <v>3TLT3</v>
          </cell>
          <cell r="E229">
            <v>2232472</v>
          </cell>
          <cell r="F229" t="str">
            <v>LENGUAJES TECNOLOGICOS</v>
          </cell>
          <cell r="J229" t="str">
            <v>CUIT  27283513322</v>
          </cell>
          <cell r="K229" t="str">
            <v xml:space="preserve">VERA LORENA  </v>
          </cell>
          <cell r="L229" t="str">
            <v xml:space="preserve"> </v>
          </cell>
          <cell r="M229" t="str">
            <v xml:space="preserve"> </v>
          </cell>
          <cell r="N229" t="str">
            <v>PROVISIONAL</v>
          </cell>
          <cell r="O229" t="str">
            <v xml:space="preserve">VERA LORENA  </v>
          </cell>
        </row>
        <row r="230">
          <cell r="A230" t="str">
            <v>3°5°3523TST3</v>
          </cell>
          <cell r="B230" t="str">
            <v>3°5°</v>
          </cell>
          <cell r="C230">
            <v>352</v>
          </cell>
          <cell r="D230" t="str">
            <v>3TST3</v>
          </cell>
          <cell r="E230">
            <v>2232477</v>
          </cell>
          <cell r="F230" t="str">
            <v>SISTEMAS TECNOLOGICOS</v>
          </cell>
          <cell r="K230" t="str">
            <v>ARNALDO ESCALADA</v>
          </cell>
          <cell r="L230" t="str">
            <v xml:space="preserve"> </v>
          </cell>
          <cell r="M230" t="str">
            <v xml:space="preserve"> </v>
          </cell>
          <cell r="N230" t="str">
            <v>PROVISIONAL</v>
          </cell>
          <cell r="O230" t="str">
            <v>ARNALDO ESCALADA</v>
          </cell>
        </row>
        <row r="231">
          <cell r="A231" t="str">
            <v>3°5°3523TPT3</v>
          </cell>
          <cell r="B231" t="str">
            <v>3°5°</v>
          </cell>
          <cell r="C231">
            <v>352</v>
          </cell>
          <cell r="D231" t="str">
            <v>3TPT3</v>
          </cell>
          <cell r="E231">
            <v>2232478</v>
          </cell>
          <cell r="F231" t="str">
            <v>PROCEDIMIENTOS TECNICOS</v>
          </cell>
          <cell r="J231" t="str">
            <v>20- 33.444.250-1</v>
          </cell>
          <cell r="K231" t="str">
            <v xml:space="preserve">VIANA MAURO                  </v>
          </cell>
          <cell r="L231" t="str">
            <v xml:space="preserve"> </v>
          </cell>
          <cell r="M231" t="str">
            <v xml:space="preserve"> </v>
          </cell>
          <cell r="N231" t="str">
            <v>PROVISIONAL</v>
          </cell>
          <cell r="O231" t="str">
            <v xml:space="preserve">VIANA MAURO                  </v>
          </cell>
        </row>
        <row r="232">
          <cell r="A232" t="str">
            <v>4°1°4IQUIS</v>
          </cell>
          <cell r="B232" t="str">
            <v>4°1°</v>
          </cell>
          <cell r="D232" t="str">
            <v>4IQUIS</v>
          </cell>
          <cell r="E232">
            <v>733716</v>
          </cell>
          <cell r="F232" t="str">
            <v>QUIMICA</v>
          </cell>
          <cell r="G232">
            <v>24490856</v>
          </cell>
          <cell r="K232" t="str">
            <v>ESCALADA SILVANA</v>
          </cell>
          <cell r="M232" t="str">
            <v xml:space="preserve"> </v>
          </cell>
          <cell r="N232" t="str">
            <v>PROVISIONAL</v>
          </cell>
          <cell r="O232" t="str">
            <v>ESCALADA SILVANA</v>
          </cell>
        </row>
        <row r="233">
          <cell r="A233" t="str">
            <v>4°1°4IMATES</v>
          </cell>
          <cell r="B233" t="str">
            <v>4°1°</v>
          </cell>
          <cell r="D233" t="str">
            <v>4IMATES</v>
          </cell>
          <cell r="E233">
            <v>733575</v>
          </cell>
          <cell r="F233" t="str">
            <v>MATEMATICA</v>
          </cell>
          <cell r="K233" t="str">
            <v>WEBBER JONATHAN</v>
          </cell>
          <cell r="L233" t="str">
            <v xml:space="preserve"> </v>
          </cell>
          <cell r="M233" t="str">
            <v xml:space="preserve"> </v>
          </cell>
          <cell r="N233" t="str">
            <v>PROVISIONAL</v>
          </cell>
          <cell r="O233" t="str">
            <v>WEBBER JONATHAN</v>
          </cell>
        </row>
        <row r="234">
          <cell r="A234" t="str">
            <v>4°1°4ILITS</v>
          </cell>
          <cell r="B234" t="str">
            <v>4°1°</v>
          </cell>
          <cell r="D234" t="str">
            <v>4ILITS</v>
          </cell>
          <cell r="E234">
            <v>733437</v>
          </cell>
          <cell r="F234" t="str">
            <v>LITERATURA</v>
          </cell>
          <cell r="G234">
            <v>13642940</v>
          </cell>
          <cell r="H234" t="str">
            <v>MAD 2020</v>
          </cell>
          <cell r="I234" t="str">
            <v>CARESTIA, NOEMI</v>
          </cell>
          <cell r="L234">
            <v>27383711911</v>
          </cell>
          <cell r="M234" t="str">
            <v xml:space="preserve"> NAZAR VALERIA LUCIA</v>
          </cell>
          <cell r="N234" t="str">
            <v>SUPLENTE</v>
          </cell>
          <cell r="O234" t="str">
            <v xml:space="preserve"> NAZAR VALERIA LUCIA</v>
          </cell>
        </row>
        <row r="235">
          <cell r="A235" t="str">
            <v>4°1°4IINGS</v>
          </cell>
          <cell r="B235" t="str">
            <v>4°1°</v>
          </cell>
          <cell r="D235" t="str">
            <v>4IINGS</v>
          </cell>
          <cell r="E235">
            <v>733705</v>
          </cell>
          <cell r="F235" t="str">
            <v>INGLÉS</v>
          </cell>
          <cell r="G235" t="str">
            <v>23-30.492.767-4</v>
          </cell>
          <cell r="I235" t="str">
            <v xml:space="preserve">LEGUIZAMON ANA </v>
          </cell>
          <cell r="L235" t="str">
            <v xml:space="preserve"> </v>
          </cell>
          <cell r="M235" t="str">
            <v xml:space="preserve"> </v>
          </cell>
          <cell r="N235" t="str">
            <v>TITULAR</v>
          </cell>
          <cell r="O235" t="str">
            <v xml:space="preserve">LEGUIZAMON ANA </v>
          </cell>
        </row>
        <row r="236">
          <cell r="A236" t="str">
            <v>4°1°4IEFIS</v>
          </cell>
          <cell r="B236" t="str">
            <v>4°1°</v>
          </cell>
          <cell r="D236" t="str">
            <v>4IEFIS</v>
          </cell>
          <cell r="E236">
            <v>733409</v>
          </cell>
          <cell r="F236" t="str">
            <v>EDUCACIÓN FISICA</v>
          </cell>
          <cell r="J236">
            <v>24178917</v>
          </cell>
          <cell r="K236" t="str">
            <v xml:space="preserve">RIOS LEOINARDO </v>
          </cell>
          <cell r="L236" t="str">
            <v xml:space="preserve"> </v>
          </cell>
          <cell r="M236" t="str">
            <v xml:space="preserve"> </v>
          </cell>
          <cell r="N236" t="str">
            <v>PROVISIONAL</v>
          </cell>
          <cell r="O236" t="str">
            <v xml:space="preserve">RIOS LEOINARDO </v>
          </cell>
        </row>
        <row r="237">
          <cell r="A237" t="str">
            <v>4°1°4IHIS</v>
          </cell>
          <cell r="B237" t="str">
            <v>4°1°</v>
          </cell>
          <cell r="D237" t="str">
            <v>4IHIS</v>
          </cell>
          <cell r="E237">
            <v>733421</v>
          </cell>
          <cell r="F237" t="str">
            <v>HISTORIA</v>
          </cell>
          <cell r="G237" t="str">
            <v xml:space="preserve"> 27-29119153-3</v>
          </cell>
          <cell r="I237" t="str">
            <v xml:space="preserve">LOPEZ MARINA  </v>
          </cell>
          <cell r="L237" t="str">
            <v xml:space="preserve"> </v>
          </cell>
          <cell r="M237" t="str">
            <v xml:space="preserve"> </v>
          </cell>
          <cell r="N237" t="str">
            <v>TITULAR</v>
          </cell>
          <cell r="O237" t="str">
            <v xml:space="preserve">LOPEZ MARINA  </v>
          </cell>
        </row>
        <row r="238">
          <cell r="A238" t="str">
            <v>4°1°4IGEOS</v>
          </cell>
          <cell r="B238" t="str">
            <v>4°1°</v>
          </cell>
          <cell r="D238" t="str">
            <v>4IGEOS</v>
          </cell>
          <cell r="E238">
            <v>1517072</v>
          </cell>
          <cell r="F238" t="str">
            <v>GEOGRAFIA</v>
          </cell>
          <cell r="G238">
            <v>28053999</v>
          </cell>
          <cell r="H238" t="str">
            <v xml:space="preserve"> viene de 4° 2°</v>
          </cell>
          <cell r="I238" t="str">
            <v>JUAREZ VANESA</v>
          </cell>
          <cell r="L238" t="str">
            <v xml:space="preserve"> </v>
          </cell>
          <cell r="M238" t="str">
            <v xml:space="preserve"> </v>
          </cell>
          <cell r="N238" t="str">
            <v>TITULAR</v>
          </cell>
          <cell r="O238" t="str">
            <v>JUAREZ VANESA</v>
          </cell>
        </row>
        <row r="239">
          <cell r="A239" t="str">
            <v>4°1°4IFIS</v>
          </cell>
          <cell r="B239" t="str">
            <v>4°1°</v>
          </cell>
          <cell r="D239" t="str">
            <v>4IFIS</v>
          </cell>
          <cell r="E239">
            <v>733330</v>
          </cell>
          <cell r="F239" t="str">
            <v>FISICA</v>
          </cell>
          <cell r="I239" t="str">
            <v xml:space="preserve">ESPINDOLA SERGIO                          </v>
          </cell>
          <cell r="L239" t="str">
            <v xml:space="preserve"> </v>
          </cell>
          <cell r="M239" t="str">
            <v xml:space="preserve"> </v>
          </cell>
          <cell r="N239" t="str">
            <v>TITULAR</v>
          </cell>
          <cell r="O239" t="str">
            <v xml:space="preserve">ESPINDOLA SERGIO                          </v>
          </cell>
        </row>
        <row r="240">
          <cell r="A240" t="str">
            <v>4°1°4ISADS</v>
          </cell>
          <cell r="B240" t="str">
            <v>4°1°</v>
          </cell>
          <cell r="D240" t="str">
            <v>4ISADS</v>
          </cell>
          <cell r="E240">
            <v>1517051</v>
          </cell>
          <cell r="F240" t="str">
            <v>SALUD Y ADOLESCENCIA</v>
          </cell>
          <cell r="G240">
            <v>28884637</v>
          </cell>
          <cell r="I240" t="str">
            <v xml:space="preserve">CORDOBA PAOLA </v>
          </cell>
          <cell r="L240" t="str">
            <v xml:space="preserve">  27-23.480.647-0  </v>
          </cell>
          <cell r="M240" t="str">
            <v>DIAZ HECTOR</v>
          </cell>
          <cell r="N240" t="str">
            <v>SUPLENTE</v>
          </cell>
          <cell r="O240" t="str">
            <v>DIAZ HECTOR</v>
          </cell>
        </row>
        <row r="241">
          <cell r="A241" t="str">
            <v>4°1°4ITELE</v>
          </cell>
          <cell r="B241" t="str">
            <v>4°1°</v>
          </cell>
          <cell r="D241" t="str">
            <v>4ITELE</v>
          </cell>
          <cell r="E241">
            <v>1643783</v>
          </cell>
          <cell r="F241" t="str">
            <v>TECNOLOGIAS ELECTRONICAS</v>
          </cell>
          <cell r="G241" t="str">
            <v xml:space="preserve"> 20-24.490.541-3</v>
          </cell>
          <cell r="I241" t="str">
            <v>PAZ ALBERTO</v>
          </cell>
          <cell r="L241">
            <v>23086757</v>
          </cell>
          <cell r="M241" t="str">
            <v>FEDERICO GAUNA</v>
          </cell>
          <cell r="N241" t="str">
            <v>SUPLENTE</v>
          </cell>
          <cell r="O241" t="str">
            <v>FEDERICO GAUNA</v>
          </cell>
        </row>
        <row r="242">
          <cell r="A242" t="str">
            <v>4°1°4114IFTLP4</v>
          </cell>
          <cell r="B242" t="str">
            <v>4°1°</v>
          </cell>
          <cell r="C242">
            <v>411</v>
          </cell>
          <cell r="D242" t="str">
            <v>4IFTLP4</v>
          </cell>
          <cell r="E242">
            <v>2680042</v>
          </cell>
          <cell r="F242" t="str">
            <v>LAB DE PROGRAM</v>
          </cell>
          <cell r="G242" t="str">
            <v xml:space="preserve"> 27-14.685.999-8 </v>
          </cell>
          <cell r="K242" t="str">
            <v>HERRERA STELLA MARIS</v>
          </cell>
          <cell r="L242" t="str">
            <v xml:space="preserve"> </v>
          </cell>
          <cell r="M242" t="str">
            <v xml:space="preserve"> </v>
          </cell>
          <cell r="N242" t="str">
            <v>PROVISIONAL</v>
          </cell>
          <cell r="O242" t="str">
            <v>HERRERA STELLA MARIS</v>
          </cell>
        </row>
        <row r="243">
          <cell r="A243" t="str">
            <v>4°1°4114IFTLH4</v>
          </cell>
          <cell r="B243" t="str">
            <v>4°1°</v>
          </cell>
          <cell r="C243">
            <v>411</v>
          </cell>
          <cell r="D243" t="str">
            <v>4IFTLH4</v>
          </cell>
          <cell r="E243">
            <v>2680043</v>
          </cell>
          <cell r="F243" t="str">
            <v>LAB DE HARDWARE</v>
          </cell>
          <cell r="G243">
            <v>24083882</v>
          </cell>
          <cell r="H243" t="str">
            <v>(MASIVA)</v>
          </cell>
          <cell r="K243" t="str">
            <v>HERRERA STELLA 27- 29.873.235-7</v>
          </cell>
          <cell r="L243" t="str">
            <v xml:space="preserve"> </v>
          </cell>
          <cell r="M243" t="str">
            <v xml:space="preserve"> </v>
          </cell>
          <cell r="N243" t="str">
            <v>PROVISIONAL</v>
          </cell>
          <cell r="O243" t="str">
            <v>HERRERA STELLA 27- 29.873.235-7</v>
          </cell>
        </row>
        <row r="244">
          <cell r="A244" t="str">
            <v>4°1°4114IFTLS4</v>
          </cell>
          <cell r="B244" t="str">
            <v>4°1°</v>
          </cell>
          <cell r="C244">
            <v>411</v>
          </cell>
          <cell r="D244" t="str">
            <v>4IFTLS4</v>
          </cell>
          <cell r="E244">
            <v>2680045</v>
          </cell>
          <cell r="F244" t="str">
            <v xml:space="preserve">LAB DE SIST OPERATIVOS   </v>
          </cell>
          <cell r="K244" t="str">
            <v>HERRERA LEONEL</v>
          </cell>
          <cell r="L244" t="str">
            <v xml:space="preserve"> </v>
          </cell>
          <cell r="M244" t="str">
            <v xml:space="preserve"> </v>
          </cell>
          <cell r="N244" t="str">
            <v>PROVISIONAL</v>
          </cell>
          <cell r="O244" t="str">
            <v>HERRERA LEONEL</v>
          </cell>
        </row>
        <row r="245">
          <cell r="A245" t="str">
            <v>4°1°4114IFTLA4</v>
          </cell>
          <cell r="B245" t="str">
            <v>4°1°</v>
          </cell>
          <cell r="C245">
            <v>411</v>
          </cell>
          <cell r="D245" t="str">
            <v>4IFTLA4</v>
          </cell>
          <cell r="E245">
            <v>2680049</v>
          </cell>
          <cell r="F245" t="str">
            <v>LAB DE APLICACIONES</v>
          </cell>
          <cell r="K245" t="str">
            <v>ORMEÑO CARLOS   20181926644</v>
          </cell>
          <cell r="L245">
            <v>27280452209</v>
          </cell>
          <cell r="M245" t="str">
            <v xml:space="preserve"> AGUIRRE ISABEL ITATI</v>
          </cell>
          <cell r="N245" t="str">
            <v>SUPLENTE</v>
          </cell>
          <cell r="O245" t="str">
            <v xml:space="preserve"> AGUIRRE ISABEL ITATI</v>
          </cell>
        </row>
        <row r="246">
          <cell r="A246" t="str">
            <v>4°1°4124IFTLP4</v>
          </cell>
          <cell r="B246" t="str">
            <v>4°1°</v>
          </cell>
          <cell r="C246">
            <v>412</v>
          </cell>
          <cell r="D246" t="str">
            <v>4IFTLP4</v>
          </cell>
          <cell r="E246">
            <v>2680052</v>
          </cell>
          <cell r="F246" t="str">
            <v>LAB DE PROGRAM</v>
          </cell>
          <cell r="G246">
            <v>12434199</v>
          </cell>
          <cell r="K246" t="str">
            <v>HERRERA STELLA MARIS</v>
          </cell>
          <cell r="L246" t="str">
            <v xml:space="preserve"> </v>
          </cell>
          <cell r="M246" t="str">
            <v xml:space="preserve"> </v>
          </cell>
          <cell r="N246" t="str">
            <v>PROVISIONAL</v>
          </cell>
          <cell r="O246" t="str">
            <v>HERRERA STELLA MARIS</v>
          </cell>
        </row>
        <row r="247">
          <cell r="A247" t="str">
            <v>4°1°4124IFTLH4</v>
          </cell>
          <cell r="B247" t="str">
            <v>4°1°</v>
          </cell>
          <cell r="C247">
            <v>412</v>
          </cell>
          <cell r="D247" t="str">
            <v>4IFTLH4</v>
          </cell>
          <cell r="E247">
            <v>2680053</v>
          </cell>
          <cell r="F247" t="str">
            <v>LAB DE HARDWARE</v>
          </cell>
          <cell r="G247" t="str">
            <v>12.434.199 (3 MOD)</v>
          </cell>
          <cell r="L247" t="str">
            <v xml:space="preserve"> </v>
          </cell>
          <cell r="M247" t="str">
            <v xml:space="preserve"> </v>
          </cell>
          <cell r="N247" t="str">
            <v>TITULAR</v>
          </cell>
          <cell r="O247">
            <v>0</v>
          </cell>
        </row>
        <row r="248">
          <cell r="A248" t="str">
            <v>4°1°4124IFTLS4</v>
          </cell>
          <cell r="B248" t="str">
            <v>4°1°</v>
          </cell>
          <cell r="C248">
            <v>412</v>
          </cell>
          <cell r="D248" t="str">
            <v>4IFTLS4</v>
          </cell>
          <cell r="E248">
            <v>2680054</v>
          </cell>
          <cell r="F248" t="str">
            <v xml:space="preserve">LAB DE SIST OPERATIVOS   </v>
          </cell>
          <cell r="K248" t="str">
            <v xml:space="preserve">BARCENILLA, JAVIER </v>
          </cell>
          <cell r="L248" t="str">
            <v xml:space="preserve"> </v>
          </cell>
          <cell r="M248" t="str">
            <v xml:space="preserve"> </v>
          </cell>
          <cell r="N248" t="str">
            <v>PROVISIONAL</v>
          </cell>
          <cell r="O248" t="str">
            <v xml:space="preserve">BARCENILLA, JAVIER </v>
          </cell>
        </row>
        <row r="249">
          <cell r="A249" t="str">
            <v>4°1°4124IFTLA4</v>
          </cell>
          <cell r="B249" t="str">
            <v>4°1°</v>
          </cell>
          <cell r="C249">
            <v>412</v>
          </cell>
          <cell r="D249" t="str">
            <v>4IFTLA4</v>
          </cell>
          <cell r="E249">
            <v>2680055</v>
          </cell>
          <cell r="F249" t="str">
            <v>LAB DE APLICACIONES</v>
          </cell>
          <cell r="G249" t="str">
            <v>26.134.224 (MASIVA)</v>
          </cell>
          <cell r="I249" t="str">
            <v xml:space="preserve">PROCHOR GLORIA </v>
          </cell>
          <cell r="L249" t="str">
            <v xml:space="preserve"> </v>
          </cell>
          <cell r="M249" t="str">
            <v xml:space="preserve"> </v>
          </cell>
          <cell r="N249" t="str">
            <v>TITULAR</v>
          </cell>
          <cell r="O249" t="str">
            <v xml:space="preserve">PROCHOR GLORIA </v>
          </cell>
        </row>
        <row r="250">
          <cell r="A250" t="str">
            <v>4°2°4IQUIS</v>
          </cell>
          <cell r="B250" t="str">
            <v>4°2°</v>
          </cell>
          <cell r="D250" t="str">
            <v>4IQUIS</v>
          </cell>
          <cell r="E250">
            <v>733408</v>
          </cell>
          <cell r="F250" t="str">
            <v>QUIMICA</v>
          </cell>
          <cell r="J250">
            <v>29130249</v>
          </cell>
          <cell r="K250" t="str">
            <v xml:space="preserve">COLAZO VIRGINIA </v>
          </cell>
          <cell r="L250">
            <v>20311451163</v>
          </cell>
          <cell r="M250" t="str">
            <v>CASCIANO CLAUDIO RUBEN</v>
          </cell>
          <cell r="N250" t="str">
            <v>SUPLENTE</v>
          </cell>
          <cell r="O250" t="str">
            <v>CASCIANO CLAUDIO RUBEN</v>
          </cell>
        </row>
        <row r="251">
          <cell r="A251" t="str">
            <v>4°2°4IMATES</v>
          </cell>
          <cell r="B251" t="str">
            <v>4°2°</v>
          </cell>
          <cell r="D251" t="str">
            <v>4IMATES</v>
          </cell>
          <cell r="E251">
            <v>733458</v>
          </cell>
          <cell r="F251" t="str">
            <v>MATEMATICA</v>
          </cell>
          <cell r="G251">
            <v>24285057</v>
          </cell>
          <cell r="K251" t="str">
            <v>CENTURION SILVIA</v>
          </cell>
          <cell r="L251" t="str">
            <v xml:space="preserve"> </v>
          </cell>
          <cell r="M251" t="str">
            <v xml:space="preserve"> </v>
          </cell>
          <cell r="N251" t="str">
            <v>PROVISIONAL</v>
          </cell>
          <cell r="O251" t="str">
            <v>CENTURION SILVIA</v>
          </cell>
        </row>
        <row r="252">
          <cell r="A252" t="str">
            <v>4°2°4ILITS</v>
          </cell>
          <cell r="B252" t="str">
            <v>4°2°</v>
          </cell>
          <cell r="D252" t="str">
            <v>4ILITS</v>
          </cell>
          <cell r="E252">
            <v>733407</v>
          </cell>
          <cell r="F252" t="str">
            <v>LITERATURA</v>
          </cell>
          <cell r="G252" t="str">
            <v xml:space="preserve"> 27-34849943-8  INT</v>
          </cell>
          <cell r="I252" t="str">
            <v>ALONSO, MARIA</v>
          </cell>
          <cell r="L252" t="str">
            <v xml:space="preserve"> </v>
          </cell>
          <cell r="M252" t="str">
            <v xml:space="preserve"> </v>
          </cell>
          <cell r="N252" t="str">
            <v>TITULAR</v>
          </cell>
          <cell r="O252" t="str">
            <v>ALONSO, MARIA</v>
          </cell>
        </row>
        <row r="253">
          <cell r="A253" t="str">
            <v>4°2°4IINGS</v>
          </cell>
          <cell r="B253" t="str">
            <v>4°2°</v>
          </cell>
          <cell r="D253" t="str">
            <v>4IINGS</v>
          </cell>
          <cell r="E253">
            <v>733377</v>
          </cell>
          <cell r="F253" t="str">
            <v>INGLÉS</v>
          </cell>
          <cell r="G253" t="str">
            <v>27-29.433.432-2</v>
          </cell>
          <cell r="H253" t="str">
            <v xml:space="preserve"> (ACRECENTAMIENTO 2018)</v>
          </cell>
          <cell r="I253" t="str">
            <v xml:space="preserve">ARCE KARINA </v>
          </cell>
          <cell r="L253" t="str">
            <v xml:space="preserve"> </v>
          </cell>
          <cell r="M253" t="str">
            <v xml:space="preserve"> </v>
          </cell>
          <cell r="N253" t="str">
            <v>TITULAR</v>
          </cell>
          <cell r="O253" t="str">
            <v xml:space="preserve">ARCE KARINA </v>
          </cell>
        </row>
        <row r="254">
          <cell r="A254" t="str">
            <v>4°2°4IEFIS</v>
          </cell>
          <cell r="B254" t="str">
            <v>4°2°</v>
          </cell>
          <cell r="D254" t="str">
            <v>4IEFIS</v>
          </cell>
          <cell r="E254">
            <v>938354</v>
          </cell>
          <cell r="F254" t="str">
            <v>EDUCACIÓN FISICA</v>
          </cell>
          <cell r="G254" t="str">
            <v xml:space="preserve">  20-34020185-0</v>
          </cell>
          <cell r="I254" t="str">
            <v>RIOS, LEONARDO</v>
          </cell>
          <cell r="M254" t="str">
            <v xml:space="preserve"> </v>
          </cell>
          <cell r="N254" t="str">
            <v>TITULAR</v>
          </cell>
          <cell r="O254" t="str">
            <v>RIOS, LEONARDO</v>
          </cell>
        </row>
        <row r="255">
          <cell r="A255" t="str">
            <v>4°2°4IHIS</v>
          </cell>
          <cell r="B255" t="str">
            <v>4°2°</v>
          </cell>
          <cell r="D255" t="str">
            <v>4IHIS</v>
          </cell>
          <cell r="E255">
            <v>733419</v>
          </cell>
          <cell r="F255" t="str">
            <v>HISTORIA</v>
          </cell>
          <cell r="G255">
            <v>20485618</v>
          </cell>
          <cell r="I255" t="str">
            <v>VIEYRA CARLOS</v>
          </cell>
          <cell r="L255" t="str">
            <v xml:space="preserve"> </v>
          </cell>
          <cell r="M255" t="str">
            <v xml:space="preserve"> </v>
          </cell>
          <cell r="N255" t="str">
            <v>TITULAR</v>
          </cell>
          <cell r="O255" t="str">
            <v>VIEYRA CARLOS</v>
          </cell>
        </row>
        <row r="256">
          <cell r="A256" t="str">
            <v>4°2°4IGEOS</v>
          </cell>
          <cell r="B256" t="str">
            <v>4°2°</v>
          </cell>
          <cell r="D256" t="str">
            <v>4IGEOS</v>
          </cell>
          <cell r="E256">
            <v>1517157</v>
          </cell>
          <cell r="F256" t="str">
            <v>GEOGRAFIA</v>
          </cell>
          <cell r="G256" t="str">
            <v xml:space="preserve"> 20-24.636.852-0</v>
          </cell>
          <cell r="H256" t="str">
            <v xml:space="preserve">  MAD 2020</v>
          </cell>
          <cell r="I256" t="str">
            <v>ANTONELLO, FERNANDO</v>
          </cell>
          <cell r="L256" t="str">
            <v xml:space="preserve"> </v>
          </cell>
          <cell r="M256" t="str">
            <v xml:space="preserve"> </v>
          </cell>
          <cell r="N256" t="str">
            <v>TITULAR</v>
          </cell>
          <cell r="O256" t="str">
            <v>ANTONELLO, FERNANDO</v>
          </cell>
        </row>
        <row r="257">
          <cell r="A257" t="str">
            <v>4°2°4IFIS</v>
          </cell>
          <cell r="B257" t="str">
            <v>4°2°</v>
          </cell>
          <cell r="D257" t="str">
            <v>4IFIS</v>
          </cell>
          <cell r="E257">
            <v>733622</v>
          </cell>
          <cell r="F257" t="str">
            <v>FISICA</v>
          </cell>
          <cell r="K257" t="str">
            <v>ESPINDOLA, S</v>
          </cell>
          <cell r="L257" t="str">
            <v xml:space="preserve"> </v>
          </cell>
          <cell r="M257" t="str">
            <v xml:space="preserve"> </v>
          </cell>
          <cell r="N257" t="str">
            <v>PROVISIONAL</v>
          </cell>
          <cell r="O257" t="str">
            <v>ESPINDOLA, S</v>
          </cell>
        </row>
        <row r="258">
          <cell r="A258" t="str">
            <v>4°2°4ISADS</v>
          </cell>
          <cell r="B258" t="str">
            <v>4°2°</v>
          </cell>
          <cell r="D258" t="str">
            <v>4ISADS</v>
          </cell>
          <cell r="E258">
            <v>1517133</v>
          </cell>
          <cell r="F258" t="str">
            <v>SALUD Y ADOLESCENCIA</v>
          </cell>
          <cell r="I258" t="str">
            <v>RODRIGUEZ GUTIERRES, PAOLA</v>
          </cell>
          <cell r="L258" t="str">
            <v xml:space="preserve"> </v>
          </cell>
          <cell r="M258" t="str">
            <v xml:space="preserve"> </v>
          </cell>
          <cell r="N258" t="str">
            <v>TITULAR</v>
          </cell>
          <cell r="O258" t="str">
            <v>RODRIGUEZ GUTIERRES, PAOLA</v>
          </cell>
        </row>
        <row r="259">
          <cell r="A259" t="str">
            <v>4°2°4ITELE</v>
          </cell>
          <cell r="B259" t="str">
            <v>4°2°</v>
          </cell>
          <cell r="D259" t="str">
            <v>4ITELE</v>
          </cell>
          <cell r="E259">
            <v>2680173</v>
          </cell>
          <cell r="F259" t="str">
            <v>TECNOLOGIAS ELECTRONICAS</v>
          </cell>
          <cell r="J259">
            <v>27464627</v>
          </cell>
          <cell r="K259" t="str">
            <v>BARONI, ROBERTO</v>
          </cell>
          <cell r="L259" t="str">
            <v xml:space="preserve"> </v>
          </cell>
          <cell r="M259" t="str">
            <v xml:space="preserve"> </v>
          </cell>
          <cell r="N259" t="str">
            <v>PROVISIONAL</v>
          </cell>
          <cell r="O259" t="str">
            <v>BARONI, ROBERTO</v>
          </cell>
        </row>
        <row r="260">
          <cell r="A260" t="str">
            <v>4°2°4214IFTLP4</v>
          </cell>
          <cell r="B260" t="str">
            <v>4°2°</v>
          </cell>
          <cell r="C260">
            <v>421</v>
          </cell>
          <cell r="D260" t="str">
            <v>4IFTLP4</v>
          </cell>
          <cell r="E260">
            <v>2680159</v>
          </cell>
          <cell r="F260" t="str">
            <v>LAB DE PROGRAM</v>
          </cell>
          <cell r="G260" t="str">
            <v xml:space="preserve"> 27-14.685.999-8 </v>
          </cell>
          <cell r="K260" t="str">
            <v>PROCHOR GLORIA</v>
          </cell>
          <cell r="L260" t="str">
            <v xml:space="preserve"> </v>
          </cell>
          <cell r="M260" t="str">
            <v xml:space="preserve"> </v>
          </cell>
          <cell r="N260" t="str">
            <v>PROVISIONAL</v>
          </cell>
          <cell r="O260" t="str">
            <v>PROCHOR GLORIA</v>
          </cell>
        </row>
        <row r="261">
          <cell r="A261" t="str">
            <v>4°2°4214IFTLH4</v>
          </cell>
          <cell r="B261" t="str">
            <v>4°2°</v>
          </cell>
          <cell r="C261">
            <v>421</v>
          </cell>
          <cell r="D261" t="str">
            <v>4IFTLH4</v>
          </cell>
          <cell r="E261">
            <v>2680161</v>
          </cell>
          <cell r="F261" t="str">
            <v>LAB DE HARDWARE</v>
          </cell>
          <cell r="K261" t="str">
            <v>HERRERA LEONEL</v>
          </cell>
          <cell r="L261">
            <v>20402521458</v>
          </cell>
          <cell r="M261" t="str">
            <v>GAUNA FEDERICO</v>
          </cell>
          <cell r="N261" t="str">
            <v>SUPLENTE</v>
          </cell>
          <cell r="O261" t="str">
            <v>GAUNA FEDERICO</v>
          </cell>
        </row>
        <row r="262">
          <cell r="A262" t="str">
            <v>4°2°4214IFTLS4</v>
          </cell>
          <cell r="B262" t="str">
            <v>4°2°</v>
          </cell>
          <cell r="C262">
            <v>421</v>
          </cell>
          <cell r="D262" t="str">
            <v>4IFTLS4</v>
          </cell>
          <cell r="E262">
            <v>2680162</v>
          </cell>
          <cell r="F262" t="str">
            <v xml:space="preserve">LAB DE SIST OPERATIVOS   </v>
          </cell>
          <cell r="G262">
            <v>26174351</v>
          </cell>
          <cell r="H262" t="str">
            <v>(MASIVA)</v>
          </cell>
          <cell r="I262" t="str">
            <v xml:space="preserve">GOMEZ ANALIA </v>
          </cell>
          <cell r="L262">
            <v>27378801678</v>
          </cell>
          <cell r="M262" t="str">
            <v>AGUIRRE ISABEL ITATI</v>
          </cell>
          <cell r="N262" t="str">
            <v>SUPLENTE</v>
          </cell>
          <cell r="O262" t="str">
            <v>AGUIRRE ISABEL ITATI</v>
          </cell>
        </row>
        <row r="263">
          <cell r="A263" t="str">
            <v>4°2°4214IFTLA4</v>
          </cell>
          <cell r="B263" t="str">
            <v>4°2°</v>
          </cell>
          <cell r="C263">
            <v>421</v>
          </cell>
          <cell r="D263" t="str">
            <v>4IFTLA4</v>
          </cell>
          <cell r="E263">
            <v>2680163</v>
          </cell>
          <cell r="F263" t="str">
            <v>LAB DE APLICACIONES</v>
          </cell>
          <cell r="G263" t="str">
            <v xml:space="preserve"> 27-14.685.999-8 </v>
          </cell>
          <cell r="K263" t="str">
            <v>PROCHOR GLORIA</v>
          </cell>
          <cell r="L263" t="str">
            <v xml:space="preserve"> </v>
          </cell>
          <cell r="M263" t="str">
            <v xml:space="preserve"> </v>
          </cell>
          <cell r="N263" t="str">
            <v>PROVISIONAL</v>
          </cell>
          <cell r="O263" t="str">
            <v>PROCHOR GLORIA</v>
          </cell>
        </row>
        <row r="264">
          <cell r="A264" t="str">
            <v>4°2°4224IFTLP4</v>
          </cell>
          <cell r="B264" t="str">
            <v>4°2°</v>
          </cell>
          <cell r="C264">
            <v>422</v>
          </cell>
          <cell r="D264" t="str">
            <v>4IFTLP4</v>
          </cell>
          <cell r="E264">
            <v>2680165</v>
          </cell>
          <cell r="F264" t="str">
            <v>LAB DE PROGRAM</v>
          </cell>
          <cell r="J264">
            <v>27298732357</v>
          </cell>
          <cell r="K264" t="str">
            <v xml:space="preserve">HERRERA STELLA MARIS   </v>
          </cell>
          <cell r="L264" t="str">
            <v xml:space="preserve"> </v>
          </cell>
          <cell r="M264" t="str">
            <v xml:space="preserve"> </v>
          </cell>
          <cell r="N264" t="str">
            <v>PROVISIONAL</v>
          </cell>
          <cell r="O264" t="str">
            <v xml:space="preserve">HERRERA STELLA MARIS   </v>
          </cell>
        </row>
        <row r="265">
          <cell r="A265" t="str">
            <v>4°2°4224IFTLH4</v>
          </cell>
          <cell r="B265" t="str">
            <v>4°2°</v>
          </cell>
          <cell r="C265">
            <v>422</v>
          </cell>
          <cell r="D265" t="str">
            <v>4IFTLH4</v>
          </cell>
          <cell r="E265">
            <v>2680167</v>
          </cell>
          <cell r="F265" t="str">
            <v>LAB DE HARDWARE</v>
          </cell>
          <cell r="G265">
            <v>24083882</v>
          </cell>
          <cell r="K265" t="str">
            <v>HERRERA STELLA MARIS</v>
          </cell>
          <cell r="L265" t="str">
            <v xml:space="preserve"> </v>
          </cell>
          <cell r="M265" t="str">
            <v xml:space="preserve"> </v>
          </cell>
          <cell r="N265" t="str">
            <v>PROVISIONAL</v>
          </cell>
          <cell r="O265" t="str">
            <v>HERRERA STELLA MARIS</v>
          </cell>
        </row>
        <row r="266">
          <cell r="A266" t="str">
            <v>4°2°4224IFTLS4</v>
          </cell>
          <cell r="B266" t="str">
            <v>4°2°</v>
          </cell>
          <cell r="C266">
            <v>422</v>
          </cell>
          <cell r="D266" t="str">
            <v>4IFTLS4</v>
          </cell>
          <cell r="E266">
            <v>2680168</v>
          </cell>
          <cell r="F266" t="str">
            <v xml:space="preserve">LAB DE SIST OPERATIVOS   </v>
          </cell>
          <cell r="G266" t="str">
            <v xml:space="preserve"> 27-21.065.864-0</v>
          </cell>
          <cell r="K266" t="str">
            <v>HERRERA LEONEL</v>
          </cell>
          <cell r="L266">
            <v>27280452209</v>
          </cell>
          <cell r="M266" t="str">
            <v>AGUIRRE ISABEL ITATI</v>
          </cell>
          <cell r="N266" t="str">
            <v>SUPLENTE</v>
          </cell>
          <cell r="O266" t="str">
            <v>AGUIRRE ISABEL ITATI</v>
          </cell>
        </row>
        <row r="267">
          <cell r="A267" t="str">
            <v>4°2°4224IFTLA4</v>
          </cell>
          <cell r="B267" t="str">
            <v>4°2°</v>
          </cell>
          <cell r="C267">
            <v>422</v>
          </cell>
          <cell r="D267" t="str">
            <v>4IFTLA4</v>
          </cell>
          <cell r="E267">
            <v>2680169</v>
          </cell>
          <cell r="F267" t="str">
            <v>LAB DE APLICACIONES</v>
          </cell>
          <cell r="J267">
            <v>24862276</v>
          </cell>
          <cell r="K267" t="str">
            <v>COLINA PATRICIA</v>
          </cell>
          <cell r="L267" t="str">
            <v xml:space="preserve"> 27- 29.873.235-7</v>
          </cell>
          <cell r="M267" t="str">
            <v xml:space="preserve">HERRERA STELLA      </v>
          </cell>
          <cell r="N267" t="str">
            <v>SUPLENTE</v>
          </cell>
          <cell r="O267" t="str">
            <v xml:space="preserve">HERRERA STELLA      </v>
          </cell>
        </row>
        <row r="268">
          <cell r="A268" t="str">
            <v>4°3°4EQUIS</v>
          </cell>
          <cell r="B268" t="str">
            <v>4°3°</v>
          </cell>
          <cell r="D268" t="str">
            <v>4EQUIS</v>
          </cell>
          <cell r="E268">
            <v>733563</v>
          </cell>
          <cell r="F268" t="str">
            <v>QUIMICA</v>
          </cell>
          <cell r="K268" t="str">
            <v>PERREYRA</v>
          </cell>
          <cell r="L268">
            <v>0</v>
          </cell>
          <cell r="M268" t="str">
            <v>FERNANDEZ JUAN</v>
          </cell>
          <cell r="N268" t="str">
            <v>SUPLENTE</v>
          </cell>
          <cell r="O268" t="str">
            <v>FERNANDEZ JUAN</v>
          </cell>
        </row>
        <row r="269">
          <cell r="A269" t="str">
            <v>4°3°4EMATES</v>
          </cell>
          <cell r="B269" t="str">
            <v>4°3°</v>
          </cell>
          <cell r="D269" t="str">
            <v>4EMATES</v>
          </cell>
          <cell r="E269">
            <v>733522</v>
          </cell>
          <cell r="F269" t="str">
            <v>MATEMATICA</v>
          </cell>
          <cell r="K269" t="str">
            <v>LENCINAS NOELIA</v>
          </cell>
          <cell r="L269" t="str">
            <v xml:space="preserve"> </v>
          </cell>
          <cell r="M269" t="str">
            <v xml:space="preserve"> </v>
          </cell>
          <cell r="N269" t="str">
            <v>PROVISIONAL</v>
          </cell>
          <cell r="O269" t="str">
            <v>LENCINAS NOELIA</v>
          </cell>
        </row>
        <row r="270">
          <cell r="A270" t="str">
            <v>4°3°4ELITS</v>
          </cell>
          <cell r="B270" t="str">
            <v>4°3°</v>
          </cell>
          <cell r="D270" t="str">
            <v>4ELITS</v>
          </cell>
          <cell r="E270">
            <v>733521</v>
          </cell>
          <cell r="F270" t="str">
            <v>LITERATURA</v>
          </cell>
          <cell r="G270" t="str">
            <v xml:space="preserve">                     27-30.953.102-2</v>
          </cell>
          <cell r="I270" t="str">
            <v xml:space="preserve">SANTILLAN ESTELA   </v>
          </cell>
          <cell r="L270" t="str">
            <v xml:space="preserve"> </v>
          </cell>
          <cell r="M270" t="str">
            <v xml:space="preserve"> </v>
          </cell>
          <cell r="N270" t="str">
            <v>TITULAR</v>
          </cell>
          <cell r="O270" t="str">
            <v xml:space="preserve">SANTILLAN ESTELA   </v>
          </cell>
        </row>
        <row r="271">
          <cell r="A271" t="str">
            <v>4°3°4EINGS</v>
          </cell>
          <cell r="B271" t="str">
            <v>4°3°</v>
          </cell>
          <cell r="D271" t="str">
            <v>4EINGS</v>
          </cell>
          <cell r="E271">
            <v>733722</v>
          </cell>
          <cell r="F271" t="str">
            <v>INGLÉS</v>
          </cell>
          <cell r="G271" t="str">
            <v>23-30.492.767-4</v>
          </cell>
          <cell r="I271" t="str">
            <v xml:space="preserve">LEGUIZAMO ANA </v>
          </cell>
          <cell r="L271" t="str">
            <v xml:space="preserve"> </v>
          </cell>
          <cell r="M271" t="str">
            <v xml:space="preserve"> </v>
          </cell>
          <cell r="N271" t="str">
            <v>TITULAR</v>
          </cell>
          <cell r="O271" t="str">
            <v xml:space="preserve">LEGUIZAMO ANA </v>
          </cell>
        </row>
        <row r="272">
          <cell r="A272" t="str">
            <v>4°3°4EEFIS</v>
          </cell>
          <cell r="B272" t="str">
            <v>4°3°</v>
          </cell>
          <cell r="D272" t="str">
            <v>4EEFIS</v>
          </cell>
          <cell r="E272">
            <v>789629</v>
          </cell>
          <cell r="F272" t="str">
            <v>EDUCACIÓN FISICA</v>
          </cell>
          <cell r="G272">
            <v>20422900</v>
          </cell>
          <cell r="I272" t="str">
            <v xml:space="preserve">SANCHEZ CARLOS </v>
          </cell>
          <cell r="L272" t="str">
            <v xml:space="preserve"> </v>
          </cell>
          <cell r="M272" t="str">
            <v xml:space="preserve"> </v>
          </cell>
          <cell r="N272" t="str">
            <v>TITULAR</v>
          </cell>
          <cell r="O272" t="str">
            <v xml:space="preserve">SANCHEZ CARLOS </v>
          </cell>
        </row>
        <row r="273">
          <cell r="A273" t="str">
            <v>4°3°4EHIS</v>
          </cell>
          <cell r="B273" t="str">
            <v>4°3°</v>
          </cell>
          <cell r="D273" t="str">
            <v>4EHIS</v>
          </cell>
          <cell r="E273">
            <v>733689</v>
          </cell>
          <cell r="F273" t="str">
            <v>HISTORIA</v>
          </cell>
          <cell r="G273" t="str">
            <v xml:space="preserve">  20-25.142.864-7</v>
          </cell>
          <cell r="I273" t="str">
            <v>PALACIOS GUSTAVO</v>
          </cell>
          <cell r="L273" t="str">
            <v xml:space="preserve"> </v>
          </cell>
          <cell r="M273" t="str">
            <v xml:space="preserve"> </v>
          </cell>
          <cell r="N273" t="str">
            <v>TITULAR</v>
          </cell>
          <cell r="O273" t="str">
            <v>PALACIOS GUSTAVO</v>
          </cell>
        </row>
        <row r="274">
          <cell r="A274" t="str">
            <v>4°3°4EGEOS</v>
          </cell>
          <cell r="B274" t="str">
            <v>4°3°</v>
          </cell>
          <cell r="D274" t="str">
            <v>4EGEOS</v>
          </cell>
          <cell r="E274">
            <v>1517229</v>
          </cell>
          <cell r="F274" t="str">
            <v>GEOGRAFIA</v>
          </cell>
          <cell r="G274">
            <v>27690608</v>
          </cell>
          <cell r="I274" t="str">
            <v xml:space="preserve">ROJAS SOLEDAD </v>
          </cell>
          <cell r="L274" t="str">
            <v xml:space="preserve"> </v>
          </cell>
          <cell r="M274" t="str">
            <v xml:space="preserve"> </v>
          </cell>
          <cell r="N274" t="str">
            <v>TITULAR</v>
          </cell>
          <cell r="O274" t="str">
            <v xml:space="preserve">ROJAS SOLEDAD </v>
          </cell>
        </row>
        <row r="275">
          <cell r="A275" t="str">
            <v>4°3°4EFIS</v>
          </cell>
          <cell r="B275" t="str">
            <v>4°3°</v>
          </cell>
          <cell r="D275" t="str">
            <v>4EFIS</v>
          </cell>
          <cell r="E275">
            <v>733670</v>
          </cell>
          <cell r="F275" t="str">
            <v>FISICA</v>
          </cell>
          <cell r="G275">
            <v>23884637</v>
          </cell>
          <cell r="I275" t="str">
            <v xml:space="preserve">ESPINDOLA SERGIO                          </v>
          </cell>
          <cell r="L275" t="str">
            <v xml:space="preserve"> </v>
          </cell>
          <cell r="M275" t="str">
            <v xml:space="preserve"> </v>
          </cell>
          <cell r="N275" t="str">
            <v>TITULAR</v>
          </cell>
          <cell r="O275" t="str">
            <v xml:space="preserve">ESPINDOLA SERGIO                          </v>
          </cell>
        </row>
        <row r="276">
          <cell r="A276" t="str">
            <v>4°3°4ESADS</v>
          </cell>
          <cell r="B276" t="str">
            <v>4°3°</v>
          </cell>
          <cell r="D276" t="str">
            <v>4ESADS</v>
          </cell>
          <cell r="E276">
            <v>1517221</v>
          </cell>
          <cell r="F276" t="str">
            <v>SALUD Y ADOLESCENCIA</v>
          </cell>
          <cell r="G276">
            <v>32597246</v>
          </cell>
          <cell r="I276" t="str">
            <v xml:space="preserve">CANCELA GONZALEZ M </v>
          </cell>
          <cell r="L276" t="str">
            <v xml:space="preserve"> </v>
          </cell>
          <cell r="M276" t="str">
            <v xml:space="preserve"> </v>
          </cell>
          <cell r="N276" t="str">
            <v>TITULAR</v>
          </cell>
          <cell r="O276" t="str">
            <v xml:space="preserve">CANCELA GONZALEZ M </v>
          </cell>
        </row>
        <row r="277">
          <cell r="A277" t="str">
            <v>4°3°4EFMC</v>
          </cell>
          <cell r="B277" t="str">
            <v>4°3°</v>
          </cell>
          <cell r="D277" t="str">
            <v>4EFMC</v>
          </cell>
          <cell r="E277">
            <v>733495</v>
          </cell>
          <cell r="F277" t="str">
            <v>FUNDAMENTOS DE LOS MODELOS CIRCUITALES</v>
          </cell>
          <cell r="J277" t="str">
            <v>20- 33.444.250-1</v>
          </cell>
          <cell r="K277" t="str">
            <v xml:space="preserve">VIANA MAURO                  </v>
          </cell>
          <cell r="L277" t="str">
            <v xml:space="preserve"> </v>
          </cell>
          <cell r="M277" t="str">
            <v xml:space="preserve"> </v>
          </cell>
          <cell r="N277" t="str">
            <v>PROVISIONAL</v>
          </cell>
          <cell r="O277" t="str">
            <v xml:space="preserve">VIANA MAURO                  </v>
          </cell>
        </row>
        <row r="278">
          <cell r="A278" t="str">
            <v>4°3°4ETELE</v>
          </cell>
          <cell r="B278" t="str">
            <v>4°3°</v>
          </cell>
          <cell r="D278" t="str">
            <v>4ETELE</v>
          </cell>
          <cell r="E278">
            <v>733519</v>
          </cell>
          <cell r="F278" t="str">
            <v>TECNOLOGIAS ELECTRONICAS</v>
          </cell>
          <cell r="G278">
            <v>24490541</v>
          </cell>
          <cell r="I278" t="str">
            <v>PAZ ALBERTO</v>
          </cell>
          <cell r="L278">
            <v>34250266</v>
          </cell>
          <cell r="M278" t="str">
            <v>ATAMAÑUK, FLORENCIA</v>
          </cell>
          <cell r="N278" t="str">
            <v>SUPLENTE</v>
          </cell>
          <cell r="O278" t="str">
            <v>ATAMAÑUK, FLORENCIA</v>
          </cell>
        </row>
        <row r="279">
          <cell r="A279" t="str">
            <v>4°3°4314EFTAE4</v>
          </cell>
          <cell r="B279" t="str">
            <v>4°3°</v>
          </cell>
          <cell r="C279">
            <v>431</v>
          </cell>
          <cell r="D279" t="str">
            <v>4EFTAE4</v>
          </cell>
          <cell r="E279">
            <v>2680250</v>
          </cell>
          <cell r="F279" t="str">
            <v xml:space="preserve">APLIC ELECT ANALOG </v>
          </cell>
          <cell r="G279">
            <v>18192893</v>
          </cell>
          <cell r="H279" t="str">
            <v xml:space="preserve"> (MASIVA)</v>
          </cell>
          <cell r="K279" t="str">
            <v>escalada arnaldo</v>
          </cell>
          <cell r="L279" t="str">
            <v xml:space="preserve"> </v>
          </cell>
          <cell r="M279" t="str">
            <v xml:space="preserve"> </v>
          </cell>
          <cell r="N279" t="str">
            <v>PROVISIONAL</v>
          </cell>
          <cell r="O279" t="str">
            <v>escalada arnaldo</v>
          </cell>
        </row>
        <row r="280">
          <cell r="A280" t="str">
            <v>4°3°4314EFTED4</v>
          </cell>
          <cell r="B280" t="str">
            <v>4°3°</v>
          </cell>
          <cell r="C280">
            <v>431</v>
          </cell>
          <cell r="D280" t="str">
            <v>4EFTED4</v>
          </cell>
          <cell r="E280">
            <v>2680251</v>
          </cell>
          <cell r="F280" t="str">
            <v>APLIC ELECTR DIGITAL</v>
          </cell>
          <cell r="J280">
            <v>22688499</v>
          </cell>
          <cell r="K280" t="str">
            <v>CORDOBA ERNESTO</v>
          </cell>
          <cell r="L280" t="str">
            <v xml:space="preserve"> </v>
          </cell>
          <cell r="M280" t="str">
            <v xml:space="preserve"> </v>
          </cell>
          <cell r="N280" t="str">
            <v>PROVISIONAL</v>
          </cell>
          <cell r="O280" t="str">
            <v>CORDOBA ERNESTO</v>
          </cell>
        </row>
        <row r="281">
          <cell r="A281" t="str">
            <v>4°3°4314EFTMP4</v>
          </cell>
          <cell r="B281" t="str">
            <v>4°3°</v>
          </cell>
          <cell r="C281">
            <v>431</v>
          </cell>
          <cell r="D281" t="str">
            <v>4EFTMP4</v>
          </cell>
          <cell r="E281">
            <v>2680252</v>
          </cell>
          <cell r="F281" t="str">
            <v xml:space="preserve">MONTAJE DE PROYECTO ELECTRONICOS </v>
          </cell>
          <cell r="G281">
            <v>26024164</v>
          </cell>
          <cell r="H281" t="str">
            <v xml:space="preserve"> (MASIVA)</v>
          </cell>
          <cell r="I281" t="str">
            <v xml:space="preserve">SAUCEDO GUSTAVO </v>
          </cell>
          <cell r="L281" t="str">
            <v xml:space="preserve"> </v>
          </cell>
          <cell r="M281" t="str">
            <v xml:space="preserve"> </v>
          </cell>
          <cell r="N281" t="str">
            <v>TITULAR</v>
          </cell>
          <cell r="O281" t="str">
            <v xml:space="preserve">SAUCEDO GUSTAVO </v>
          </cell>
        </row>
        <row r="282">
          <cell r="A282" t="str">
            <v>4°3°4324EFTAE4</v>
          </cell>
          <cell r="B282" t="str">
            <v>4°3°</v>
          </cell>
          <cell r="C282">
            <v>432</v>
          </cell>
          <cell r="D282" t="str">
            <v>4EFTAE4</v>
          </cell>
          <cell r="E282">
            <v>2680253</v>
          </cell>
          <cell r="F282" t="str">
            <v xml:space="preserve">APLIC ELECT ANALOG </v>
          </cell>
          <cell r="J282">
            <v>20402521458</v>
          </cell>
          <cell r="K282" t="str">
            <v>GAUNA FEDERICO</v>
          </cell>
          <cell r="L282" t="str">
            <v xml:space="preserve"> </v>
          </cell>
          <cell r="M282" t="str">
            <v xml:space="preserve"> </v>
          </cell>
          <cell r="N282" t="str">
            <v>PROVISIONAL</v>
          </cell>
          <cell r="O282" t="str">
            <v>GAUNA FEDERICO</v>
          </cell>
        </row>
        <row r="283">
          <cell r="A283" t="str">
            <v>4°3°4324EFTED4</v>
          </cell>
          <cell r="B283" t="str">
            <v>4°3°</v>
          </cell>
          <cell r="C283">
            <v>432</v>
          </cell>
          <cell r="D283" t="str">
            <v>4EFTED4</v>
          </cell>
          <cell r="E283">
            <v>2680254</v>
          </cell>
          <cell r="F283" t="str">
            <v>APLIC ELECTR DIGITAL</v>
          </cell>
          <cell r="J283" t="str">
            <v xml:space="preserve">   20-16.220.206-6</v>
          </cell>
          <cell r="K283" t="str">
            <v>BULACIO ARIEL</v>
          </cell>
          <cell r="M283" t="str">
            <v xml:space="preserve"> </v>
          </cell>
          <cell r="N283" t="str">
            <v>PROVISIONAL</v>
          </cell>
          <cell r="O283" t="str">
            <v>BULACIO ARIEL</v>
          </cell>
        </row>
        <row r="284">
          <cell r="A284" t="str">
            <v>4°3°4324EFTMP4</v>
          </cell>
          <cell r="B284" t="str">
            <v>4°3°</v>
          </cell>
          <cell r="C284">
            <v>432</v>
          </cell>
          <cell r="D284" t="str">
            <v>4EFTMP4</v>
          </cell>
          <cell r="E284">
            <v>2680256</v>
          </cell>
          <cell r="F284" t="str">
            <v xml:space="preserve">MONTAJE DE PROYECTO ELECTRONICOS </v>
          </cell>
          <cell r="G284">
            <v>18192893</v>
          </cell>
          <cell r="H284" t="str">
            <v xml:space="preserve"> (MASIVA)</v>
          </cell>
          <cell r="J284">
            <v>27353523126</v>
          </cell>
          <cell r="K284" t="str">
            <v>FERREYRA JESICA</v>
          </cell>
          <cell r="L284" t="str">
            <v xml:space="preserve"> </v>
          </cell>
          <cell r="M284" t="str">
            <v xml:space="preserve"> </v>
          </cell>
          <cell r="N284" t="str">
            <v>PROVISIONAL</v>
          </cell>
          <cell r="O284" t="str">
            <v>FERREYRA JESICA</v>
          </cell>
        </row>
        <row r="285">
          <cell r="A285" t="str">
            <v>4°4°4EQUIS</v>
          </cell>
          <cell r="B285" t="str">
            <v>4°4°</v>
          </cell>
          <cell r="D285" t="str">
            <v>4EQUIS</v>
          </cell>
          <cell r="E285">
            <v>733703</v>
          </cell>
          <cell r="F285" t="str">
            <v>QUIMICA</v>
          </cell>
          <cell r="K285" t="str">
            <v xml:space="preserve">COLAZO VIRGINIA </v>
          </cell>
          <cell r="L285">
            <v>27290413414</v>
          </cell>
          <cell r="M285" t="str">
            <v xml:space="preserve">STEIN PAMELA </v>
          </cell>
          <cell r="N285" t="str">
            <v>SUPLENTE</v>
          </cell>
          <cell r="O285" t="str">
            <v xml:space="preserve">STEIN PAMELA </v>
          </cell>
        </row>
        <row r="286">
          <cell r="A286" t="str">
            <v>4°4°4EMATES</v>
          </cell>
          <cell r="B286" t="str">
            <v>4°4°</v>
          </cell>
          <cell r="D286" t="str">
            <v>4EMATES</v>
          </cell>
          <cell r="E286">
            <v>733568</v>
          </cell>
          <cell r="F286" t="str">
            <v>MATEMATICA</v>
          </cell>
          <cell r="G286">
            <v>16220206</v>
          </cell>
          <cell r="I286" t="str">
            <v>FISTER VICTOR</v>
          </cell>
          <cell r="L286" t="str">
            <v xml:space="preserve"> </v>
          </cell>
          <cell r="M286" t="str">
            <v xml:space="preserve"> </v>
          </cell>
          <cell r="N286" t="str">
            <v>TITULAR</v>
          </cell>
          <cell r="O286" t="str">
            <v>FISTER VICTOR</v>
          </cell>
        </row>
        <row r="287">
          <cell r="A287" t="str">
            <v>4°4°4ELITS</v>
          </cell>
          <cell r="B287" t="str">
            <v>4°4°</v>
          </cell>
          <cell r="D287" t="str">
            <v>4ELITS</v>
          </cell>
          <cell r="E287">
            <v>733426</v>
          </cell>
          <cell r="F287" t="str">
            <v>LITERATURA</v>
          </cell>
          <cell r="G287">
            <v>13642940</v>
          </cell>
          <cell r="H287" t="str">
            <v>MAD 2020</v>
          </cell>
          <cell r="I287" t="str">
            <v>CARESTIA, NOEMI</v>
          </cell>
          <cell r="L287">
            <v>27404002304</v>
          </cell>
          <cell r="M287" t="str">
            <v>BARROS MELANIE</v>
          </cell>
          <cell r="N287" t="str">
            <v>SUPLENTE</v>
          </cell>
          <cell r="O287" t="str">
            <v>BARROS MELANIE</v>
          </cell>
        </row>
        <row r="288">
          <cell r="A288" t="str">
            <v>4°4°4EINGS</v>
          </cell>
          <cell r="B288" t="str">
            <v>4°4°</v>
          </cell>
          <cell r="D288" t="str">
            <v>4EINGS</v>
          </cell>
          <cell r="E288">
            <v>733417</v>
          </cell>
          <cell r="F288" t="str">
            <v>INGLÉS</v>
          </cell>
          <cell r="G288">
            <v>38178432</v>
          </cell>
          <cell r="I288" t="str">
            <v xml:space="preserve">ARCE KARINA </v>
          </cell>
          <cell r="L288" t="str">
            <v xml:space="preserve"> </v>
          </cell>
          <cell r="M288" t="str">
            <v xml:space="preserve"> </v>
          </cell>
          <cell r="N288" t="str">
            <v>TITULAR</v>
          </cell>
          <cell r="O288" t="str">
            <v xml:space="preserve">ARCE KARINA </v>
          </cell>
        </row>
        <row r="289">
          <cell r="A289" t="str">
            <v>4°4°4EEFIS</v>
          </cell>
          <cell r="B289" t="str">
            <v>4°4°</v>
          </cell>
          <cell r="D289" t="str">
            <v>4EEFIS</v>
          </cell>
          <cell r="E289">
            <v>733645</v>
          </cell>
          <cell r="F289" t="str">
            <v>EDUCACIÓN FISICA</v>
          </cell>
          <cell r="G289">
            <v>20422900</v>
          </cell>
          <cell r="I289" t="str">
            <v>SANCHEZ CARLOS</v>
          </cell>
          <cell r="L289" t="str">
            <v xml:space="preserve"> </v>
          </cell>
          <cell r="M289" t="str">
            <v xml:space="preserve"> </v>
          </cell>
          <cell r="N289" t="str">
            <v>TITULAR</v>
          </cell>
          <cell r="O289" t="str">
            <v>SANCHEZ CARLOS</v>
          </cell>
        </row>
        <row r="290">
          <cell r="A290" t="str">
            <v>4°4°4EHIS</v>
          </cell>
          <cell r="B290" t="str">
            <v>4°4°</v>
          </cell>
          <cell r="D290" t="str">
            <v>4EHIS</v>
          </cell>
          <cell r="E290">
            <v>733423</v>
          </cell>
          <cell r="F290" t="str">
            <v>HISTORIA</v>
          </cell>
          <cell r="G290">
            <v>25142864</v>
          </cell>
          <cell r="I290" t="str">
            <v xml:space="preserve">PALACIOS GUSTAVO </v>
          </cell>
          <cell r="L290" t="str">
            <v xml:space="preserve"> </v>
          </cell>
          <cell r="M290" t="str">
            <v xml:space="preserve"> </v>
          </cell>
          <cell r="N290" t="str">
            <v>TITULAR</v>
          </cell>
          <cell r="O290" t="str">
            <v xml:space="preserve">PALACIOS GUSTAVO </v>
          </cell>
        </row>
        <row r="291">
          <cell r="A291" t="str">
            <v>4°4°4EGEOS</v>
          </cell>
          <cell r="B291" t="str">
            <v>4°4°</v>
          </cell>
          <cell r="D291" t="str">
            <v>4EGEOS</v>
          </cell>
          <cell r="E291">
            <v>1517208</v>
          </cell>
          <cell r="F291" t="str">
            <v>GEOGRAFIA</v>
          </cell>
          <cell r="G291" t="str">
            <v xml:space="preserve"> 20-24.636.852-0</v>
          </cell>
          <cell r="I291" t="str">
            <v>ANTONELLO, FERNANDO</v>
          </cell>
          <cell r="L291" t="str">
            <v xml:space="preserve"> </v>
          </cell>
          <cell r="M291" t="str">
            <v xml:space="preserve"> </v>
          </cell>
          <cell r="N291" t="str">
            <v>TITULAR</v>
          </cell>
          <cell r="O291" t="str">
            <v>ANTONELLO, FERNANDO</v>
          </cell>
        </row>
        <row r="292">
          <cell r="A292" t="str">
            <v>4°4°4EFIS</v>
          </cell>
          <cell r="B292" t="str">
            <v>4°4°</v>
          </cell>
          <cell r="D292" t="str">
            <v>4EFIS</v>
          </cell>
          <cell r="E292">
            <v>733706</v>
          </cell>
          <cell r="F292" t="str">
            <v>FISICA</v>
          </cell>
          <cell r="G292" t="str">
            <v xml:space="preserve"> 23-22.948.231-9</v>
          </cell>
          <cell r="I292" t="str">
            <v>LUZURIAGA ANGEL</v>
          </cell>
          <cell r="L292">
            <v>0</v>
          </cell>
          <cell r="M292" t="str">
            <v>PROCHOR JUAN</v>
          </cell>
          <cell r="N292" t="str">
            <v>SUPLENTE</v>
          </cell>
          <cell r="O292" t="str">
            <v>PROCHOR JUAN</v>
          </cell>
        </row>
        <row r="293">
          <cell r="A293" t="str">
            <v>4°4°4ESADS</v>
          </cell>
          <cell r="B293" t="str">
            <v>4°4°</v>
          </cell>
          <cell r="D293" t="str">
            <v>4ESADS</v>
          </cell>
          <cell r="E293">
            <v>1517205</v>
          </cell>
          <cell r="F293" t="str">
            <v>SALUD Y ADOLESCENCIA</v>
          </cell>
          <cell r="G293">
            <v>28906681</v>
          </cell>
          <cell r="I293" t="str">
            <v xml:space="preserve">CORDOBA PAOLA </v>
          </cell>
          <cell r="L293">
            <v>0</v>
          </cell>
          <cell r="M293" t="str">
            <v>TORRES VANINA</v>
          </cell>
          <cell r="N293" t="str">
            <v>SUPLENTE</v>
          </cell>
          <cell r="O293" t="str">
            <v>TORRES VANINA</v>
          </cell>
        </row>
        <row r="294">
          <cell r="A294" t="str">
            <v>4°4°4EFMC</v>
          </cell>
          <cell r="B294" t="str">
            <v>4°4°</v>
          </cell>
          <cell r="D294" t="str">
            <v>4EFMC</v>
          </cell>
          <cell r="E294">
            <v>789654</v>
          </cell>
          <cell r="F294" t="str">
            <v>FUNDAMENTOS DE LOS MODELOS CIRCUITALES</v>
          </cell>
          <cell r="J294" t="str">
            <v>20- 33.444.250-1</v>
          </cell>
          <cell r="K294" t="str">
            <v xml:space="preserve">VIANA MAURO                  </v>
          </cell>
          <cell r="L294" t="str">
            <v xml:space="preserve"> </v>
          </cell>
          <cell r="M294" t="str">
            <v xml:space="preserve"> </v>
          </cell>
          <cell r="N294" t="str">
            <v>PROVISIONAL</v>
          </cell>
          <cell r="O294" t="str">
            <v xml:space="preserve">VIANA MAURO                  </v>
          </cell>
        </row>
        <row r="295">
          <cell r="A295" t="str">
            <v>4°4°4ETELE</v>
          </cell>
          <cell r="B295" t="str">
            <v>4°4°</v>
          </cell>
          <cell r="D295" t="str">
            <v>4ETELE</v>
          </cell>
          <cell r="E295">
            <v>790146</v>
          </cell>
          <cell r="F295" t="str">
            <v>TECNOLOGIAS ELECTRONICAS</v>
          </cell>
          <cell r="J295">
            <v>23086757</v>
          </cell>
          <cell r="K295" t="str">
            <v>SERENO, LEONEL</v>
          </cell>
          <cell r="L295" t="str">
            <v xml:space="preserve"> </v>
          </cell>
          <cell r="M295" t="str">
            <v xml:space="preserve"> </v>
          </cell>
          <cell r="N295" t="str">
            <v>PROVISIONAL</v>
          </cell>
          <cell r="O295" t="str">
            <v>SERENO, LEONEL</v>
          </cell>
        </row>
        <row r="296">
          <cell r="A296" t="str">
            <v>4°4°4414EFTAE4</v>
          </cell>
          <cell r="B296" t="str">
            <v>4°4°</v>
          </cell>
          <cell r="C296">
            <v>441</v>
          </cell>
          <cell r="D296" t="str">
            <v>4EFTAE4</v>
          </cell>
          <cell r="E296">
            <v>2680556</v>
          </cell>
          <cell r="F296" t="str">
            <v xml:space="preserve">APLIC ELECT ANALOG </v>
          </cell>
          <cell r="J296">
            <v>30930380</v>
          </cell>
          <cell r="K296" t="str">
            <v xml:space="preserve">VELAZQUEZ GERARDO </v>
          </cell>
          <cell r="L296" t="str">
            <v xml:space="preserve"> </v>
          </cell>
          <cell r="M296" t="str">
            <v xml:space="preserve"> </v>
          </cell>
          <cell r="N296" t="str">
            <v>PROVISIONAL</v>
          </cell>
          <cell r="O296" t="str">
            <v xml:space="preserve">VELAZQUEZ GERARDO </v>
          </cell>
        </row>
        <row r="297">
          <cell r="A297" t="str">
            <v>4°4°4414EFTED4</v>
          </cell>
          <cell r="B297" t="str">
            <v>4°4°</v>
          </cell>
          <cell r="C297">
            <v>441</v>
          </cell>
          <cell r="D297" t="str">
            <v>4EFTED4</v>
          </cell>
          <cell r="E297">
            <v>2680557</v>
          </cell>
          <cell r="F297" t="str">
            <v>APLIC ELECTR DIGITAL</v>
          </cell>
          <cell r="J297">
            <v>18383726</v>
          </cell>
          <cell r="K297" t="str">
            <v>MARTINEZ, SILVIO</v>
          </cell>
          <cell r="L297" t="str">
            <v xml:space="preserve"> </v>
          </cell>
          <cell r="M297" t="str">
            <v xml:space="preserve"> </v>
          </cell>
          <cell r="N297" t="str">
            <v>PROVISIONAL</v>
          </cell>
          <cell r="O297" t="str">
            <v>MARTINEZ, SILVIO</v>
          </cell>
        </row>
        <row r="298">
          <cell r="A298" t="str">
            <v>4°4°4414EFTMP4</v>
          </cell>
          <cell r="B298" t="str">
            <v>4°4°</v>
          </cell>
          <cell r="C298">
            <v>441</v>
          </cell>
          <cell r="D298" t="str">
            <v>4EFTMP4</v>
          </cell>
          <cell r="E298">
            <v>2680558</v>
          </cell>
          <cell r="F298" t="str">
            <v xml:space="preserve">MONTAJE DE PROYECTO ELECTRONICOS </v>
          </cell>
          <cell r="J298">
            <v>34777466</v>
          </cell>
          <cell r="K298" t="str">
            <v xml:space="preserve">QUINTANA RAMON </v>
          </cell>
          <cell r="L298" t="str">
            <v xml:space="preserve"> </v>
          </cell>
          <cell r="M298" t="str">
            <v xml:space="preserve"> </v>
          </cell>
          <cell r="N298" t="str">
            <v>PROVISIONAL</v>
          </cell>
          <cell r="O298" t="str">
            <v xml:space="preserve">QUINTANA RAMON </v>
          </cell>
        </row>
        <row r="299">
          <cell r="A299" t="str">
            <v>4°4°4424EFTAE4</v>
          </cell>
          <cell r="B299" t="str">
            <v>4°4°</v>
          </cell>
          <cell r="C299">
            <v>442</v>
          </cell>
          <cell r="D299" t="str">
            <v>4EFTAE4</v>
          </cell>
          <cell r="E299">
            <v>2680559</v>
          </cell>
          <cell r="F299" t="str">
            <v xml:space="preserve">APLIC ELECT ANALOG </v>
          </cell>
          <cell r="J299">
            <v>20281869109</v>
          </cell>
          <cell r="K299" t="str">
            <v>ARNALDO ESCALADA</v>
          </cell>
          <cell r="L299" t="str">
            <v xml:space="preserve"> </v>
          </cell>
          <cell r="M299" t="str">
            <v xml:space="preserve"> </v>
          </cell>
          <cell r="N299" t="str">
            <v>PROVISIONAL</v>
          </cell>
          <cell r="O299" t="str">
            <v>ARNALDO ESCALADA</v>
          </cell>
        </row>
        <row r="300">
          <cell r="A300" t="str">
            <v>4°4°4424EFTED4</v>
          </cell>
          <cell r="B300" t="str">
            <v>4°4°</v>
          </cell>
          <cell r="C300">
            <v>442</v>
          </cell>
          <cell r="D300" t="str">
            <v>4EFTED4</v>
          </cell>
          <cell r="E300">
            <v>2680560</v>
          </cell>
          <cell r="F300" t="str">
            <v>APLIC ELECTR DIGITAL</v>
          </cell>
          <cell r="J300">
            <v>26114670</v>
          </cell>
          <cell r="K300" t="str">
            <v xml:space="preserve">FISTER (Serv.Prov)         </v>
          </cell>
          <cell r="L300" t="str">
            <v xml:space="preserve"> </v>
          </cell>
          <cell r="M300" t="str">
            <v xml:space="preserve"> </v>
          </cell>
          <cell r="N300" t="str">
            <v>PROVISIONAL</v>
          </cell>
          <cell r="O300" t="str">
            <v xml:space="preserve">FISTER (Serv.Prov)         </v>
          </cell>
        </row>
        <row r="301">
          <cell r="A301" t="str">
            <v>4°4°4424EFTMP4</v>
          </cell>
          <cell r="B301" t="str">
            <v>4°4°</v>
          </cell>
          <cell r="C301">
            <v>442</v>
          </cell>
          <cell r="D301" t="str">
            <v>4EFTMP4</v>
          </cell>
          <cell r="E301">
            <v>2680561</v>
          </cell>
          <cell r="F301" t="str">
            <v xml:space="preserve">MONTAJE DE PROYECTO ELECTRONICOS </v>
          </cell>
          <cell r="J301">
            <v>30930380</v>
          </cell>
          <cell r="K301" t="str">
            <v xml:space="preserve">VELAZQUEZ GERARDO </v>
          </cell>
          <cell r="L301" t="str">
            <v xml:space="preserve"> </v>
          </cell>
          <cell r="M301" t="str">
            <v xml:space="preserve"> </v>
          </cell>
          <cell r="N301" t="str">
            <v>PROVISIONAL</v>
          </cell>
          <cell r="O301" t="str">
            <v xml:space="preserve">VELAZQUEZ GERARDO </v>
          </cell>
        </row>
        <row r="302">
          <cell r="A302" t="str">
            <v>5°5°5ILITS</v>
          </cell>
          <cell r="B302" t="str">
            <v>5°5°</v>
          </cell>
          <cell r="D302" t="str">
            <v>5ILITS</v>
          </cell>
          <cell r="E302">
            <v>733603</v>
          </cell>
          <cell r="F302" t="str">
            <v>LITERATURA</v>
          </cell>
          <cell r="G302">
            <v>36088391</v>
          </cell>
          <cell r="H302" t="str">
            <v xml:space="preserve"> INT 2025</v>
          </cell>
          <cell r="I302" t="str">
            <v>NEGRETE, DANIELA</v>
          </cell>
          <cell r="L302" t="str">
            <v xml:space="preserve"> </v>
          </cell>
          <cell r="M302" t="str">
            <v xml:space="preserve"> </v>
          </cell>
          <cell r="N302" t="str">
            <v>TITULAR</v>
          </cell>
          <cell r="O302" t="str">
            <v>NEGRETE, DANIELA</v>
          </cell>
        </row>
        <row r="303">
          <cell r="A303" t="str">
            <v>5°5°5IINGS</v>
          </cell>
          <cell r="B303" t="str">
            <v>5°5°</v>
          </cell>
          <cell r="D303" t="str">
            <v>5IINGS</v>
          </cell>
          <cell r="E303">
            <v>733672</v>
          </cell>
          <cell r="F303" t="str">
            <v>INGLÉS</v>
          </cell>
          <cell r="G303">
            <v>26117162</v>
          </cell>
          <cell r="I303" t="str">
            <v>SARRIA, ANDREA</v>
          </cell>
          <cell r="L303">
            <v>0</v>
          </cell>
          <cell r="M303" t="str">
            <v>BARBIERI MARIA 27361711800</v>
          </cell>
          <cell r="N303" t="str">
            <v>SUPLENTE</v>
          </cell>
          <cell r="O303" t="str">
            <v>BARBIERI MARIA 27361711800</v>
          </cell>
        </row>
        <row r="304">
          <cell r="A304" t="str">
            <v>5°5°5IEFIS</v>
          </cell>
          <cell r="B304" t="str">
            <v>5°5°</v>
          </cell>
          <cell r="D304" t="str">
            <v>5IEFIS</v>
          </cell>
          <cell r="E304">
            <v>733402</v>
          </cell>
          <cell r="F304" t="str">
            <v>EDUCACIÓN FISICA</v>
          </cell>
          <cell r="G304">
            <v>29569203</v>
          </cell>
          <cell r="I304" t="str">
            <v>LUDUEÑA NELSON</v>
          </cell>
          <cell r="L304" t="str">
            <v xml:space="preserve"> </v>
          </cell>
          <cell r="M304" t="str">
            <v xml:space="preserve"> </v>
          </cell>
          <cell r="N304" t="str">
            <v>TITULAR</v>
          </cell>
          <cell r="O304" t="str">
            <v>LUDUEÑA NELSON</v>
          </cell>
        </row>
        <row r="305">
          <cell r="A305" t="str">
            <v>5°5°5IPYCS</v>
          </cell>
          <cell r="B305" t="str">
            <v>5°5°</v>
          </cell>
          <cell r="D305" t="str">
            <v>5IPYCS</v>
          </cell>
          <cell r="E305">
            <v>1643741</v>
          </cell>
          <cell r="F305" t="str">
            <v>POLITICA Y CIUDADANIA</v>
          </cell>
          <cell r="G305">
            <v>15007603</v>
          </cell>
          <cell r="H305" t="str">
            <v>definitivo 2020</v>
          </cell>
          <cell r="I305" t="str">
            <v xml:space="preserve">ANTONIO VALLE, INEES </v>
          </cell>
          <cell r="L305" t="str">
            <v xml:space="preserve"> </v>
          </cell>
          <cell r="M305" t="str">
            <v xml:space="preserve"> </v>
          </cell>
          <cell r="N305" t="str">
            <v>TITULAR</v>
          </cell>
          <cell r="O305" t="str">
            <v xml:space="preserve">ANTONIO VALLE, INEES </v>
          </cell>
        </row>
        <row r="306">
          <cell r="A306" t="str">
            <v>5°5°5IHIS5</v>
          </cell>
          <cell r="B306" t="str">
            <v>5°5°</v>
          </cell>
          <cell r="D306" t="str">
            <v>5IHIS5</v>
          </cell>
          <cell r="E306">
            <v>1643750</v>
          </cell>
          <cell r="F306" t="str">
            <v>HISTORIA</v>
          </cell>
          <cell r="G306" t="str">
            <v xml:space="preserve">  27- 20.842.169-2</v>
          </cell>
          <cell r="I306" t="str">
            <v xml:space="preserve">GERSTER MYRIAN   INT206           </v>
          </cell>
          <cell r="L306">
            <v>27380843116</v>
          </cell>
          <cell r="M306" t="str">
            <v>GONZALEZ ROCIO NATALIA</v>
          </cell>
          <cell r="N306" t="str">
            <v>SUPLENTE</v>
          </cell>
          <cell r="O306" t="str">
            <v>GONZALEZ ROCIO NATALIA</v>
          </cell>
        </row>
        <row r="307">
          <cell r="A307" t="str">
            <v>5°5°5IGEOS5</v>
          </cell>
          <cell r="B307" t="str">
            <v>5°5°</v>
          </cell>
          <cell r="D307" t="str">
            <v>5IGEOS5</v>
          </cell>
          <cell r="E307">
            <v>733650</v>
          </cell>
          <cell r="F307" t="str">
            <v>GEOGRAFIA</v>
          </cell>
          <cell r="G307" t="str">
            <v>27-29.146.146-3</v>
          </cell>
          <cell r="I307" t="str">
            <v>SOLIS, MARIA</v>
          </cell>
          <cell r="L307">
            <v>27276906084</v>
          </cell>
          <cell r="M307" t="str">
            <v xml:space="preserve"> ROJAS SOLEDAD</v>
          </cell>
          <cell r="N307" t="str">
            <v>SUPLENTE</v>
          </cell>
          <cell r="O307" t="str">
            <v xml:space="preserve"> ROJAS SOLEDAD</v>
          </cell>
        </row>
        <row r="308">
          <cell r="A308" t="str">
            <v>5°5°5IANMAT</v>
          </cell>
          <cell r="B308" t="str">
            <v>5°5°</v>
          </cell>
          <cell r="D308" t="str">
            <v>5IANMAT</v>
          </cell>
          <cell r="E308">
            <v>733651</v>
          </cell>
          <cell r="F308" t="str">
            <v>ANALISIS MATEMATICO</v>
          </cell>
          <cell r="G308">
            <v>23552449</v>
          </cell>
          <cell r="K308" t="str">
            <v>GARCIA CLAUDIA</v>
          </cell>
          <cell r="L308" t="str">
            <v xml:space="preserve"> </v>
          </cell>
          <cell r="M308" t="str">
            <v xml:space="preserve"> </v>
          </cell>
          <cell r="N308" t="str">
            <v>PROVISIONAL</v>
          </cell>
          <cell r="O308" t="str">
            <v>GARCIA CLAUDIA</v>
          </cell>
        </row>
        <row r="309">
          <cell r="A309" t="str">
            <v>5°5°5ISIDI4</v>
          </cell>
          <cell r="B309" t="str">
            <v>5°5°</v>
          </cell>
          <cell r="D309" t="str">
            <v>5ISIDI4</v>
          </cell>
          <cell r="E309">
            <v>733570</v>
          </cell>
          <cell r="F309" t="str">
            <v>SISTEMA DIGITAL</v>
          </cell>
          <cell r="G309">
            <v>28440300</v>
          </cell>
          <cell r="I309" t="str">
            <v>CARDINALE GERMAN</v>
          </cell>
          <cell r="L309">
            <v>33421332</v>
          </cell>
          <cell r="M309" t="str">
            <v xml:space="preserve">HERNER, CRISTIAN </v>
          </cell>
          <cell r="N309" t="str">
            <v>SUPLENTE</v>
          </cell>
          <cell r="O309" t="str">
            <v xml:space="preserve">HERNER, CRISTIAN </v>
          </cell>
        </row>
        <row r="310">
          <cell r="A310" t="str">
            <v>5°5°5ITELEI</v>
          </cell>
          <cell r="B310" t="str">
            <v>5°5°</v>
          </cell>
          <cell r="D310" t="str">
            <v>5ITELEI</v>
          </cell>
          <cell r="E310">
            <v>1643761</v>
          </cell>
          <cell r="F310" t="str">
            <v>TELEINFORMATICA</v>
          </cell>
          <cell r="J310">
            <v>35365690</v>
          </cell>
          <cell r="K310" t="str">
            <v xml:space="preserve">GONANO, GERMAN </v>
          </cell>
          <cell r="L310" t="str">
            <v xml:space="preserve"> </v>
          </cell>
          <cell r="M310" t="str">
            <v xml:space="preserve"> </v>
          </cell>
          <cell r="N310" t="str">
            <v>PROVISIONAL</v>
          </cell>
          <cell r="O310" t="str">
            <v xml:space="preserve">GONANO, GERMAN </v>
          </cell>
        </row>
        <row r="311">
          <cell r="A311" t="str">
            <v>5°5°5515IFTLP5</v>
          </cell>
          <cell r="B311" t="str">
            <v>5°5°</v>
          </cell>
          <cell r="C311">
            <v>551</v>
          </cell>
          <cell r="D311" t="str">
            <v>5IFTLP5</v>
          </cell>
          <cell r="E311">
            <v>2680572</v>
          </cell>
          <cell r="F311" t="str">
            <v xml:space="preserve">LAB DE PROGRAM </v>
          </cell>
          <cell r="K311" t="str">
            <v>WITT  GERARDO</v>
          </cell>
          <cell r="L311" t="str">
            <v xml:space="preserve"> </v>
          </cell>
          <cell r="M311" t="str">
            <v xml:space="preserve"> </v>
          </cell>
          <cell r="N311" t="str">
            <v>PROVISIONAL</v>
          </cell>
          <cell r="O311" t="str">
            <v>WITT  GERARDO</v>
          </cell>
        </row>
        <row r="312">
          <cell r="A312" t="str">
            <v>5°5°5515IFTLH5</v>
          </cell>
          <cell r="B312" t="str">
            <v>5°5°</v>
          </cell>
          <cell r="C312">
            <v>551</v>
          </cell>
          <cell r="D312" t="str">
            <v>5IFTLH5</v>
          </cell>
          <cell r="E312">
            <v>2680573</v>
          </cell>
          <cell r="F312" t="str">
            <v xml:space="preserve">LAB DE HARDWARE </v>
          </cell>
          <cell r="G312">
            <v>24862276</v>
          </cell>
          <cell r="H312" t="str">
            <v>(MASIVA)</v>
          </cell>
          <cell r="I312" t="str">
            <v>COLINA PATRICIA</v>
          </cell>
          <cell r="L312">
            <v>27464627</v>
          </cell>
          <cell r="M312" t="str">
            <v>HERRERA, STELLA</v>
          </cell>
          <cell r="N312" t="str">
            <v>SUPLENTE</v>
          </cell>
          <cell r="O312" t="str">
            <v>HERRERA, STELLA</v>
          </cell>
        </row>
        <row r="313">
          <cell r="A313" t="str">
            <v>5°5°5515IFTLS5</v>
          </cell>
          <cell r="B313" t="str">
            <v>5°5°</v>
          </cell>
          <cell r="C313">
            <v>551</v>
          </cell>
          <cell r="D313" t="str">
            <v>5IFTLS5</v>
          </cell>
          <cell r="E313">
            <v>2680574</v>
          </cell>
          <cell r="F313" t="str">
            <v>LAB DE SIST OPERATIVOS</v>
          </cell>
          <cell r="K313" t="str">
            <v>WITT  GERARDO</v>
          </cell>
          <cell r="L313" t="str">
            <v xml:space="preserve"> </v>
          </cell>
          <cell r="M313" t="str">
            <v xml:space="preserve"> </v>
          </cell>
          <cell r="N313" t="str">
            <v>PROVISIONAL</v>
          </cell>
          <cell r="O313" t="str">
            <v>WITT  GERARDO</v>
          </cell>
        </row>
        <row r="314">
          <cell r="A314" t="str">
            <v>5°5°5515IFTLA5</v>
          </cell>
          <cell r="B314" t="str">
            <v>5°5°</v>
          </cell>
          <cell r="C314">
            <v>551</v>
          </cell>
          <cell r="D314" t="str">
            <v>5IFTLA5</v>
          </cell>
          <cell r="E314">
            <v>2680575</v>
          </cell>
          <cell r="F314" t="str">
            <v xml:space="preserve">LAB DE APLICACIONES </v>
          </cell>
          <cell r="J314">
            <v>20181926644</v>
          </cell>
          <cell r="K314" t="str">
            <v xml:space="preserve">ORMEÑO CARLOS CUIT </v>
          </cell>
          <cell r="L314">
            <v>27298732357</v>
          </cell>
          <cell r="M314" t="str">
            <v xml:space="preserve"> HERRERA STELLA MARIS</v>
          </cell>
          <cell r="N314" t="str">
            <v>SUPLENTE</v>
          </cell>
          <cell r="O314" t="str">
            <v xml:space="preserve"> HERRERA STELLA MARIS</v>
          </cell>
        </row>
        <row r="315">
          <cell r="A315" t="str">
            <v>5°5°5525IFTLP5</v>
          </cell>
          <cell r="B315" t="str">
            <v>5°5°</v>
          </cell>
          <cell r="C315">
            <v>552</v>
          </cell>
          <cell r="D315" t="str">
            <v>5IFTLP5</v>
          </cell>
          <cell r="E315">
            <v>2680576</v>
          </cell>
          <cell r="F315" t="str">
            <v xml:space="preserve">LAB DE PROGRAM </v>
          </cell>
          <cell r="J315">
            <v>23086757</v>
          </cell>
          <cell r="K315" t="str">
            <v>WITT GERARDO</v>
          </cell>
          <cell r="L315" t="str">
            <v xml:space="preserve"> </v>
          </cell>
          <cell r="M315" t="str">
            <v xml:space="preserve"> </v>
          </cell>
          <cell r="N315" t="str">
            <v>PROVISIONAL</v>
          </cell>
          <cell r="O315" t="str">
            <v>WITT GERARDO</v>
          </cell>
        </row>
        <row r="316">
          <cell r="A316" t="str">
            <v>5°5°5525IFTLH5</v>
          </cell>
          <cell r="B316" t="str">
            <v>5°5°</v>
          </cell>
          <cell r="C316">
            <v>552</v>
          </cell>
          <cell r="D316" t="str">
            <v>5IFTLH5</v>
          </cell>
          <cell r="E316">
            <v>2680577</v>
          </cell>
          <cell r="F316" t="str">
            <v xml:space="preserve">LAB DE HARDWARE </v>
          </cell>
          <cell r="K316" t="str">
            <v xml:space="preserve">FISTER (Serv.Prov)         </v>
          </cell>
          <cell r="L316" t="str">
            <v xml:space="preserve"> </v>
          </cell>
          <cell r="M316" t="str">
            <v xml:space="preserve"> </v>
          </cell>
          <cell r="N316" t="str">
            <v>PROVISIONAL</v>
          </cell>
          <cell r="O316" t="str">
            <v xml:space="preserve">FISTER (Serv.Prov)         </v>
          </cell>
        </row>
        <row r="317">
          <cell r="A317" t="str">
            <v>5°5°5525IFTLS5</v>
          </cell>
          <cell r="B317" t="str">
            <v>5°5°</v>
          </cell>
          <cell r="C317">
            <v>552</v>
          </cell>
          <cell r="D317" t="str">
            <v>5IFTLS5</v>
          </cell>
          <cell r="E317">
            <v>2680578</v>
          </cell>
          <cell r="F317" t="str">
            <v>LAB DE SIST OPERATIVOS</v>
          </cell>
          <cell r="J317">
            <v>20327176995</v>
          </cell>
          <cell r="K317" t="str">
            <v>DELGADO ARIEL MAXIMILIANO</v>
          </cell>
          <cell r="L317" t="str">
            <v xml:space="preserve"> </v>
          </cell>
          <cell r="M317" t="str">
            <v xml:space="preserve"> </v>
          </cell>
          <cell r="N317" t="str">
            <v>PROVISIONAL</v>
          </cell>
          <cell r="O317" t="str">
            <v>DELGADO ARIEL MAXIMILIANO</v>
          </cell>
        </row>
        <row r="318">
          <cell r="A318" t="str">
            <v>5°5°5525IFTLA5</v>
          </cell>
          <cell r="B318" t="str">
            <v>5°5°</v>
          </cell>
          <cell r="C318">
            <v>552</v>
          </cell>
          <cell r="D318" t="str">
            <v>5IFTLA5</v>
          </cell>
          <cell r="E318">
            <v>2680581</v>
          </cell>
          <cell r="F318" t="str">
            <v xml:space="preserve">LAB DE APLICACIONES </v>
          </cell>
          <cell r="J318">
            <v>29615231</v>
          </cell>
          <cell r="K318" t="str">
            <v xml:space="preserve">BARCENILLA, JAVIER </v>
          </cell>
          <cell r="L318" t="str">
            <v xml:space="preserve"> </v>
          </cell>
          <cell r="M318" t="str">
            <v xml:space="preserve"> </v>
          </cell>
          <cell r="N318" t="str">
            <v>PROVISIONAL</v>
          </cell>
          <cell r="O318" t="str">
            <v xml:space="preserve">BARCENILLA, JAVIER </v>
          </cell>
        </row>
        <row r="319">
          <cell r="A319" t="str">
            <v>5°2°5ILITS</v>
          </cell>
          <cell r="B319" t="str">
            <v>5°2°</v>
          </cell>
          <cell r="D319" t="str">
            <v>5ILITS</v>
          </cell>
          <cell r="F319" t="str">
            <v>LITERATURA</v>
          </cell>
          <cell r="G319" t="str">
            <v xml:space="preserve"> 27-17.521.161-1 </v>
          </cell>
          <cell r="N319" t="str">
            <v>SUPLENTE</v>
          </cell>
          <cell r="O319">
            <v>0</v>
          </cell>
        </row>
        <row r="320">
          <cell r="A320" t="str">
            <v>5°2°5IINGS</v>
          </cell>
          <cell r="B320" t="str">
            <v>5°2°</v>
          </cell>
          <cell r="D320" t="str">
            <v>5IINGS</v>
          </cell>
          <cell r="F320" t="str">
            <v>INGLÉS</v>
          </cell>
          <cell r="G320" t="str">
            <v>27-29.433.432-2</v>
          </cell>
          <cell r="N320" t="str">
            <v>SUPLENTE</v>
          </cell>
          <cell r="O320">
            <v>0</v>
          </cell>
        </row>
        <row r="321">
          <cell r="A321" t="str">
            <v>5°2°5IEFIS</v>
          </cell>
          <cell r="B321" t="str">
            <v>5°2°</v>
          </cell>
          <cell r="D321" t="str">
            <v>5IEFIS</v>
          </cell>
          <cell r="F321" t="str">
            <v>EDUCACIÓN FISICA</v>
          </cell>
          <cell r="G321">
            <v>26024974</v>
          </cell>
          <cell r="N321" t="str">
            <v>SUPLENTE</v>
          </cell>
          <cell r="O321">
            <v>0</v>
          </cell>
        </row>
        <row r="322">
          <cell r="A322" t="str">
            <v>5°2°5IPYCS</v>
          </cell>
          <cell r="B322" t="str">
            <v>5°2°</v>
          </cell>
          <cell r="D322" t="str">
            <v>5IPYCS</v>
          </cell>
          <cell r="F322" t="str">
            <v>POLITICA Y CIUDADANIA</v>
          </cell>
          <cell r="N322" t="str">
            <v>SUPLENTE</v>
          </cell>
          <cell r="O322">
            <v>0</v>
          </cell>
        </row>
        <row r="323">
          <cell r="A323" t="str">
            <v>5°2°5IHIS5</v>
          </cell>
          <cell r="B323" t="str">
            <v>5°2°</v>
          </cell>
          <cell r="D323" t="str">
            <v>5IHIS5</v>
          </cell>
          <cell r="F323" t="str">
            <v>HISTORIA</v>
          </cell>
          <cell r="G323">
            <v>25142864</v>
          </cell>
          <cell r="N323" t="str">
            <v>SUPLENTE</v>
          </cell>
          <cell r="O323">
            <v>0</v>
          </cell>
        </row>
        <row r="324">
          <cell r="A324" t="str">
            <v>5°2°5IGEOS5</v>
          </cell>
          <cell r="B324" t="str">
            <v>5°2°</v>
          </cell>
          <cell r="D324" t="str">
            <v>5IGEOS5</v>
          </cell>
          <cell r="F324" t="str">
            <v>GEOGRAFIA</v>
          </cell>
          <cell r="G324">
            <v>28029112</v>
          </cell>
          <cell r="N324" t="str">
            <v>SUPLENTE</v>
          </cell>
          <cell r="O324">
            <v>0</v>
          </cell>
        </row>
        <row r="325">
          <cell r="A325" t="str">
            <v>5°2°5IANMAT</v>
          </cell>
          <cell r="B325" t="str">
            <v>5°2°</v>
          </cell>
          <cell r="D325" t="str">
            <v>5IANMAT</v>
          </cell>
          <cell r="F325" t="str">
            <v>ANALISIS MATEMATICO</v>
          </cell>
          <cell r="G325">
            <v>23944999</v>
          </cell>
          <cell r="N325" t="str">
            <v>SUPLENTE</v>
          </cell>
          <cell r="O325">
            <v>0</v>
          </cell>
        </row>
        <row r="326">
          <cell r="A326" t="str">
            <v>5°2°5ISIDI4</v>
          </cell>
          <cell r="B326" t="str">
            <v>5°2°</v>
          </cell>
          <cell r="D326" t="str">
            <v>5ISIDI4</v>
          </cell>
          <cell r="F326" t="str">
            <v>SISTEMA DIGITAL</v>
          </cell>
          <cell r="G326">
            <v>28440300</v>
          </cell>
          <cell r="N326" t="str">
            <v>SUPLENTE</v>
          </cell>
          <cell r="O326">
            <v>0</v>
          </cell>
        </row>
        <row r="327">
          <cell r="A327" t="str">
            <v>5°2°5ITELEI</v>
          </cell>
          <cell r="B327" t="str">
            <v>5°2°</v>
          </cell>
          <cell r="D327" t="str">
            <v>5ITELEI</v>
          </cell>
          <cell r="F327" t="str">
            <v>TELEINFORMATICA</v>
          </cell>
          <cell r="N327" t="str">
            <v>SUPLENTE</v>
          </cell>
          <cell r="O327">
            <v>0</v>
          </cell>
        </row>
        <row r="328">
          <cell r="A328" t="str">
            <v>5°2°5215IFTLP5</v>
          </cell>
          <cell r="B328" t="str">
            <v>5°2°</v>
          </cell>
          <cell r="C328">
            <v>521</v>
          </cell>
          <cell r="D328" t="str">
            <v>5IFTLP5</v>
          </cell>
          <cell r="F328" t="str">
            <v xml:space="preserve">LAB DE PROGRAM </v>
          </cell>
          <cell r="G328" t="str">
            <v xml:space="preserve"> 27-14.685.999-8 </v>
          </cell>
          <cell r="N328" t="str">
            <v>SUPLENTE</v>
          </cell>
          <cell r="O328">
            <v>0</v>
          </cell>
        </row>
        <row r="329">
          <cell r="A329" t="str">
            <v>5°2°5215IFTLH5</v>
          </cell>
          <cell r="B329" t="str">
            <v>5°2°</v>
          </cell>
          <cell r="C329">
            <v>521</v>
          </cell>
          <cell r="D329" t="str">
            <v>5IFTLH5</v>
          </cell>
          <cell r="F329" t="str">
            <v xml:space="preserve">LAB DE HARDWARE </v>
          </cell>
          <cell r="G329">
            <v>16238400</v>
          </cell>
          <cell r="N329" t="str">
            <v>SUPLENTE</v>
          </cell>
          <cell r="O329">
            <v>0</v>
          </cell>
        </row>
        <row r="330">
          <cell r="A330" t="str">
            <v>5°2°5215IFTLS5</v>
          </cell>
          <cell r="B330" t="str">
            <v>5°2°</v>
          </cell>
          <cell r="C330">
            <v>521</v>
          </cell>
          <cell r="D330" t="str">
            <v>5IFTLS5</v>
          </cell>
          <cell r="F330" t="str">
            <v>LAB DE SIST OPERATIVOS</v>
          </cell>
          <cell r="G330">
            <v>16238400</v>
          </cell>
          <cell r="N330" t="str">
            <v>SUPLENTE</v>
          </cell>
          <cell r="O330">
            <v>0</v>
          </cell>
        </row>
        <row r="331">
          <cell r="A331" t="str">
            <v>5°2°5215IFTLA5</v>
          </cell>
          <cell r="B331" t="str">
            <v>5°2°</v>
          </cell>
          <cell r="C331">
            <v>521</v>
          </cell>
          <cell r="D331" t="str">
            <v>5IFTLA5</v>
          </cell>
          <cell r="F331" t="str">
            <v xml:space="preserve">LAB DE APLICACIONES </v>
          </cell>
          <cell r="G331">
            <v>16019055</v>
          </cell>
          <cell r="N331" t="str">
            <v>SUPLENTE</v>
          </cell>
          <cell r="O331">
            <v>0</v>
          </cell>
        </row>
        <row r="332">
          <cell r="A332" t="str">
            <v>5°2°5225IFTLP5</v>
          </cell>
          <cell r="B332" t="str">
            <v>5°2°</v>
          </cell>
          <cell r="C332">
            <v>522</v>
          </cell>
          <cell r="D332" t="str">
            <v>5IFTLP5</v>
          </cell>
          <cell r="F332" t="str">
            <v xml:space="preserve">LAB DE PROGRAM </v>
          </cell>
          <cell r="G332">
            <v>24294162</v>
          </cell>
          <cell r="N332" t="str">
            <v>SUPLENTE</v>
          </cell>
          <cell r="O332">
            <v>0</v>
          </cell>
        </row>
        <row r="333">
          <cell r="A333" t="str">
            <v>5°2°5225IFTLH5</v>
          </cell>
          <cell r="B333" t="str">
            <v>5°2°</v>
          </cell>
          <cell r="C333">
            <v>522</v>
          </cell>
          <cell r="D333" t="str">
            <v>5IFTLH5</v>
          </cell>
          <cell r="F333" t="str">
            <v xml:space="preserve">LAB DE HARDWARE </v>
          </cell>
          <cell r="N333" t="str">
            <v>SUPLENTE</v>
          </cell>
          <cell r="O333">
            <v>0</v>
          </cell>
        </row>
        <row r="334">
          <cell r="A334" t="str">
            <v>5°2°5225IFTLS5</v>
          </cell>
          <cell r="B334" t="str">
            <v>5°2°</v>
          </cell>
          <cell r="C334">
            <v>522</v>
          </cell>
          <cell r="D334" t="str">
            <v>5IFTLS5</v>
          </cell>
          <cell r="F334" t="str">
            <v>LAB DE SIST OPERATIVOS</v>
          </cell>
          <cell r="N334" t="str">
            <v>SUPLENTE</v>
          </cell>
          <cell r="O334">
            <v>0</v>
          </cell>
        </row>
        <row r="335">
          <cell r="A335" t="str">
            <v>5°2°5225IFTLA5</v>
          </cell>
          <cell r="B335" t="str">
            <v>5°2°</v>
          </cell>
          <cell r="C335">
            <v>522</v>
          </cell>
          <cell r="D335" t="str">
            <v>5IFTLA5</v>
          </cell>
          <cell r="F335" t="str">
            <v xml:space="preserve">LAB DE APLICACIONES </v>
          </cell>
          <cell r="G335" t="str">
            <v xml:space="preserve"> 27-21.065.864-0</v>
          </cell>
          <cell r="N335" t="str">
            <v>SUPLENTE</v>
          </cell>
          <cell r="O335">
            <v>0</v>
          </cell>
        </row>
        <row r="336">
          <cell r="A336" t="str">
            <v>5°3°5ELITS</v>
          </cell>
          <cell r="B336" t="str">
            <v>5°3°</v>
          </cell>
          <cell r="D336" t="str">
            <v>5ELITS</v>
          </cell>
          <cell r="E336">
            <v>2355520</v>
          </cell>
          <cell r="F336" t="str">
            <v>LITERATURA</v>
          </cell>
          <cell r="G336" t="str">
            <v xml:space="preserve"> 20-27312414-5</v>
          </cell>
          <cell r="H336" t="str">
            <v xml:space="preserve"> INT 2025</v>
          </cell>
          <cell r="I336" t="str">
            <v>SORIA, HERNAN MAXIMILIANO</v>
          </cell>
          <cell r="L336" t="str">
            <v xml:space="preserve"> </v>
          </cell>
          <cell r="M336" t="str">
            <v xml:space="preserve"> </v>
          </cell>
          <cell r="N336" t="str">
            <v>TITULAR</v>
          </cell>
          <cell r="O336" t="str">
            <v>SORIA, HERNAN MAXIMILIANO</v>
          </cell>
        </row>
        <row r="337">
          <cell r="A337" t="str">
            <v>5°3°5EINGS</v>
          </cell>
          <cell r="B337" t="str">
            <v>5°3°</v>
          </cell>
          <cell r="D337" t="str">
            <v>5EINGS</v>
          </cell>
          <cell r="E337">
            <v>2355524</v>
          </cell>
          <cell r="F337" t="str">
            <v>INGLÉS</v>
          </cell>
          <cell r="G337">
            <v>26157162</v>
          </cell>
          <cell r="I337" t="str">
            <v>SARRIA, ANDREA</v>
          </cell>
          <cell r="L337">
            <v>27293688988</v>
          </cell>
          <cell r="M337" t="str">
            <v xml:space="preserve">BAIMA KUNTZ MARCELA PAOLA  </v>
          </cell>
          <cell r="N337" t="str">
            <v>SUPLENTE</v>
          </cell>
          <cell r="O337" t="str">
            <v xml:space="preserve">BAIMA KUNTZ MARCELA PAOLA  </v>
          </cell>
        </row>
        <row r="338">
          <cell r="A338" t="str">
            <v>5°3°5EEFIS</v>
          </cell>
          <cell r="B338" t="str">
            <v>5°3°</v>
          </cell>
          <cell r="D338" t="str">
            <v>5EEFIS</v>
          </cell>
          <cell r="E338">
            <v>2355527</v>
          </cell>
          <cell r="F338" t="str">
            <v>EDUCACIÓN FISICA</v>
          </cell>
          <cell r="G338">
            <v>20422900</v>
          </cell>
          <cell r="H338" t="str">
            <v xml:space="preserve"> (viene de 4º8º)</v>
          </cell>
          <cell r="I338" t="str">
            <v>SANCHEZ CARLOS</v>
          </cell>
          <cell r="L338" t="str">
            <v xml:space="preserve"> </v>
          </cell>
          <cell r="M338" t="str">
            <v xml:space="preserve"> </v>
          </cell>
          <cell r="N338" t="str">
            <v>TITULAR</v>
          </cell>
          <cell r="O338" t="str">
            <v>SANCHEZ CARLOS</v>
          </cell>
        </row>
        <row r="339">
          <cell r="A339" t="str">
            <v>5°3°5EPYCS</v>
          </cell>
          <cell r="B339" t="str">
            <v>5°3°</v>
          </cell>
          <cell r="D339" t="str">
            <v>5EPYCS</v>
          </cell>
          <cell r="E339">
            <v>2355532</v>
          </cell>
          <cell r="F339" t="str">
            <v>POLITICA Y CIUDADANIA</v>
          </cell>
          <cell r="K339" t="str">
            <v>ARBORIO</v>
          </cell>
          <cell r="L339" t="str">
            <v xml:space="preserve"> </v>
          </cell>
          <cell r="M339" t="str">
            <v xml:space="preserve"> </v>
          </cell>
          <cell r="N339" t="str">
            <v>PROVISIONAL</v>
          </cell>
          <cell r="O339" t="str">
            <v>ARBORIO</v>
          </cell>
        </row>
        <row r="340">
          <cell r="A340" t="str">
            <v>5°3°5EHIS5</v>
          </cell>
          <cell r="B340" t="str">
            <v>5°3°</v>
          </cell>
          <cell r="D340" t="str">
            <v>5EHIS5</v>
          </cell>
          <cell r="E340">
            <v>2355535</v>
          </cell>
          <cell r="F340" t="str">
            <v>HISTORIA</v>
          </cell>
          <cell r="H340" t="str">
            <v>(viene de 4º8º)</v>
          </cell>
          <cell r="I340" t="str">
            <v>JUAREZ NORMA</v>
          </cell>
          <cell r="L340" t="str">
            <v xml:space="preserve"> </v>
          </cell>
          <cell r="M340" t="str">
            <v xml:space="preserve"> </v>
          </cell>
          <cell r="N340" t="str">
            <v>TITULAR</v>
          </cell>
          <cell r="O340" t="str">
            <v>JUAREZ NORMA</v>
          </cell>
        </row>
        <row r="341">
          <cell r="A341" t="str">
            <v>5°3°5EGEOS5</v>
          </cell>
          <cell r="B341" t="str">
            <v>5°3°</v>
          </cell>
          <cell r="D341" t="str">
            <v>5EGEOS5</v>
          </cell>
          <cell r="E341">
            <v>2355540</v>
          </cell>
          <cell r="F341" t="str">
            <v>GEOGRAFIA</v>
          </cell>
          <cell r="G341" t="str">
            <v>27-29.146.146-3</v>
          </cell>
          <cell r="H341" t="str">
            <v>(viene de 4º8º)</v>
          </cell>
          <cell r="I341" t="str">
            <v>SOLIS, MARIA</v>
          </cell>
          <cell r="L341" t="str">
            <v xml:space="preserve"> </v>
          </cell>
          <cell r="M341" t="str">
            <v xml:space="preserve"> </v>
          </cell>
          <cell r="N341" t="str">
            <v>TITULAR</v>
          </cell>
          <cell r="O341" t="str">
            <v>SOLIS, MARIA</v>
          </cell>
        </row>
        <row r="342">
          <cell r="A342" t="str">
            <v>5°3°5EANMAT</v>
          </cell>
          <cell r="B342" t="str">
            <v>5°3°</v>
          </cell>
          <cell r="D342" t="str">
            <v>5EANMAT</v>
          </cell>
          <cell r="E342">
            <v>2355542</v>
          </cell>
          <cell r="F342" t="str">
            <v>ANALISIS MATEMATICO</v>
          </cell>
          <cell r="J342">
            <v>31133967</v>
          </cell>
          <cell r="K342" t="str">
            <v>MAZU LEILA</v>
          </cell>
          <cell r="L342" t="str">
            <v xml:space="preserve"> </v>
          </cell>
          <cell r="M342" t="str">
            <v xml:space="preserve"> </v>
          </cell>
          <cell r="N342" t="str">
            <v>PROVISIONAL</v>
          </cell>
          <cell r="O342" t="str">
            <v>MAZU LEILA</v>
          </cell>
        </row>
        <row r="343">
          <cell r="A343" t="str">
            <v>5°3°5EAMC</v>
          </cell>
          <cell r="B343" t="str">
            <v>5°3°</v>
          </cell>
          <cell r="D343" t="str">
            <v>5EAMC</v>
          </cell>
          <cell r="E343">
            <v>2355546</v>
          </cell>
          <cell r="F343" t="str">
            <v>ANALISIS DE LOS MODELOS CIRCUITALES</v>
          </cell>
          <cell r="J343">
            <v>34250266</v>
          </cell>
          <cell r="K343" t="str">
            <v xml:space="preserve">ATAMAÑUK, FLORENCIA </v>
          </cell>
          <cell r="L343" t="str">
            <v xml:space="preserve"> </v>
          </cell>
          <cell r="M343" t="str">
            <v xml:space="preserve"> </v>
          </cell>
          <cell r="N343" t="str">
            <v>PROVISIONAL</v>
          </cell>
          <cell r="O343" t="str">
            <v xml:space="preserve">ATAMAÑUK, FLORENCIA </v>
          </cell>
        </row>
        <row r="344">
          <cell r="A344" t="str">
            <v>5°3°5ELENE</v>
          </cell>
          <cell r="B344" t="str">
            <v>5°3°</v>
          </cell>
          <cell r="D344" t="str">
            <v>5ELENE</v>
          </cell>
          <cell r="E344">
            <v>2355548</v>
          </cell>
          <cell r="F344" t="str">
            <v>LENGUAJES ELECTRONICOS</v>
          </cell>
          <cell r="J344">
            <v>32470352</v>
          </cell>
          <cell r="K344" t="str">
            <v>BARBOZA, SILVIO</v>
          </cell>
          <cell r="L344" t="str">
            <v xml:space="preserve"> </v>
          </cell>
          <cell r="M344" t="str">
            <v xml:space="preserve"> </v>
          </cell>
          <cell r="N344" t="str">
            <v>PROVISIONAL</v>
          </cell>
          <cell r="O344" t="str">
            <v>BARBOZA, SILVIO</v>
          </cell>
        </row>
        <row r="345">
          <cell r="A345" t="str">
            <v>5°3°5315EDASE</v>
          </cell>
          <cell r="B345" t="str">
            <v>5°3°</v>
          </cell>
          <cell r="C345">
            <v>531</v>
          </cell>
          <cell r="D345" t="str">
            <v>5EDASE</v>
          </cell>
          <cell r="E345">
            <v>2355556</v>
          </cell>
          <cell r="F345" t="str">
            <v xml:space="preserve">DISEÑO ASIST Y SIMUL ELECT </v>
          </cell>
          <cell r="J345" t="str">
            <v>20-25.454.930-5</v>
          </cell>
          <cell r="K345" t="str">
            <v>CORDOBA ALEJANDRO</v>
          </cell>
          <cell r="L345">
            <v>0</v>
          </cell>
          <cell r="M345" t="str">
            <v>GUTIERREZ NICOLAS</v>
          </cell>
          <cell r="N345" t="str">
            <v>SUPLENTE</v>
          </cell>
          <cell r="O345" t="str">
            <v>GUTIERREZ NICOLAS</v>
          </cell>
        </row>
        <row r="346">
          <cell r="A346" t="str">
            <v>5°3°5315EFTAE5</v>
          </cell>
          <cell r="B346" t="str">
            <v>5°3°</v>
          </cell>
          <cell r="C346">
            <v>531</v>
          </cell>
          <cell r="D346" t="str">
            <v>5EFTAE5</v>
          </cell>
          <cell r="E346">
            <v>2355560</v>
          </cell>
          <cell r="F346" t="str">
            <v xml:space="preserve">APLIC ELECT ANALOG </v>
          </cell>
          <cell r="J346">
            <v>18383726</v>
          </cell>
          <cell r="K346" t="str">
            <v>MARTINEZ, SILVIO</v>
          </cell>
          <cell r="L346" t="str">
            <v xml:space="preserve"> </v>
          </cell>
          <cell r="M346" t="str">
            <v xml:space="preserve"> </v>
          </cell>
          <cell r="N346" t="str">
            <v>PROVISIONAL</v>
          </cell>
          <cell r="O346" t="str">
            <v>MARTINEZ, SILVIO</v>
          </cell>
        </row>
        <row r="347">
          <cell r="A347" t="str">
            <v>5°3°5315EFTED5</v>
          </cell>
          <cell r="B347" t="str">
            <v>5°3°</v>
          </cell>
          <cell r="C347">
            <v>531</v>
          </cell>
          <cell r="D347" t="str">
            <v>5EFTED5</v>
          </cell>
          <cell r="E347">
            <v>2355564</v>
          </cell>
          <cell r="F347" t="str">
            <v>APLIC ELECTR DIGITAL</v>
          </cell>
          <cell r="J347">
            <v>23086757</v>
          </cell>
          <cell r="K347" t="str">
            <v>SERENO, LEONEL</v>
          </cell>
          <cell r="L347" t="str">
            <v xml:space="preserve"> </v>
          </cell>
          <cell r="M347" t="str">
            <v xml:space="preserve"> </v>
          </cell>
          <cell r="N347" t="str">
            <v>PROVISIONAL</v>
          </cell>
          <cell r="O347" t="str">
            <v>SERENO, LEONEL</v>
          </cell>
        </row>
        <row r="348">
          <cell r="A348" t="str">
            <v>5°3°5315EFTMP5</v>
          </cell>
          <cell r="B348" t="str">
            <v>5°3°</v>
          </cell>
          <cell r="C348">
            <v>531</v>
          </cell>
          <cell r="D348" t="str">
            <v>5EFTMP5</v>
          </cell>
          <cell r="E348">
            <v>2355566</v>
          </cell>
          <cell r="F348" t="str">
            <v xml:space="preserve">MONTAJE DE PROYECTO ELECTRONICOS </v>
          </cell>
          <cell r="J348" t="str">
            <v>20-25.454.930-5</v>
          </cell>
          <cell r="K348" t="str">
            <v>CORDOBA ALEJANDRO</v>
          </cell>
          <cell r="L348">
            <v>0</v>
          </cell>
          <cell r="M348" t="str">
            <v>SCHROEDER MATÍAS</v>
          </cell>
          <cell r="N348" t="str">
            <v>SUPLENTE</v>
          </cell>
          <cell r="O348" t="str">
            <v>SCHROEDER MATÍAS</v>
          </cell>
        </row>
        <row r="349">
          <cell r="A349" t="str">
            <v>5°3°5325EDASE</v>
          </cell>
          <cell r="B349" t="str">
            <v>5°3°</v>
          </cell>
          <cell r="C349">
            <v>532</v>
          </cell>
          <cell r="D349" t="str">
            <v>5EDASE</v>
          </cell>
          <cell r="E349">
            <v>2355568</v>
          </cell>
          <cell r="F349" t="str">
            <v xml:space="preserve">DISEÑO ASIST Y SIMUL ELECT </v>
          </cell>
          <cell r="K349" t="str">
            <v>ESCALADA ARNALDO</v>
          </cell>
          <cell r="L349" t="str">
            <v xml:space="preserve"> </v>
          </cell>
          <cell r="M349" t="str">
            <v xml:space="preserve"> </v>
          </cell>
          <cell r="N349" t="str">
            <v>PROVISIONAL</v>
          </cell>
          <cell r="O349" t="str">
            <v>ESCALADA ARNALDO</v>
          </cell>
        </row>
        <row r="350">
          <cell r="A350" t="str">
            <v>5°3°5325EFTAE5</v>
          </cell>
          <cell r="B350" t="str">
            <v>5°3°</v>
          </cell>
          <cell r="C350">
            <v>532</v>
          </cell>
          <cell r="D350" t="str">
            <v>5EFTAE5</v>
          </cell>
          <cell r="E350">
            <v>2355569</v>
          </cell>
          <cell r="F350" t="str">
            <v xml:space="preserve">APLIC ELECT ANALOG </v>
          </cell>
          <cell r="J350" t="str">
            <v>20-28.186.910-9</v>
          </cell>
          <cell r="K350" t="str">
            <v xml:space="preserve">ESCALADA ARNALDO     </v>
          </cell>
          <cell r="L350" t="str">
            <v xml:space="preserve"> </v>
          </cell>
          <cell r="M350" t="str">
            <v xml:space="preserve"> </v>
          </cell>
          <cell r="N350" t="str">
            <v>PROVISIONAL</v>
          </cell>
          <cell r="O350" t="str">
            <v xml:space="preserve">ESCALADA ARNALDO     </v>
          </cell>
        </row>
        <row r="351">
          <cell r="A351" t="str">
            <v>5°3°5325EFTED5</v>
          </cell>
          <cell r="B351" t="str">
            <v>5°3°</v>
          </cell>
          <cell r="C351">
            <v>532</v>
          </cell>
          <cell r="D351" t="str">
            <v>5EFTED5</v>
          </cell>
          <cell r="E351">
            <v>2355572</v>
          </cell>
          <cell r="F351" t="str">
            <v>APLIC ELECTR DIGITAL</v>
          </cell>
          <cell r="J351">
            <v>16220206</v>
          </cell>
          <cell r="K351" t="str">
            <v xml:space="preserve">FISTER VICTOR </v>
          </cell>
          <cell r="L351" t="str">
            <v xml:space="preserve"> </v>
          </cell>
          <cell r="M351" t="str">
            <v xml:space="preserve"> </v>
          </cell>
          <cell r="N351" t="str">
            <v>PROVISIONAL</v>
          </cell>
          <cell r="O351" t="str">
            <v xml:space="preserve">FISTER VICTOR </v>
          </cell>
        </row>
        <row r="352">
          <cell r="A352" t="str">
            <v>5°3°5325EFTMP5</v>
          </cell>
          <cell r="B352" t="str">
            <v>5°3°</v>
          </cell>
          <cell r="C352">
            <v>532</v>
          </cell>
          <cell r="D352" t="str">
            <v>5EFTMP5</v>
          </cell>
          <cell r="E352">
            <v>2355579</v>
          </cell>
          <cell r="F352" t="str">
            <v xml:space="preserve">MONTAJE DE PROYECTO ELECTRONICOS </v>
          </cell>
          <cell r="J352">
            <v>23086757</v>
          </cell>
          <cell r="K352" t="str">
            <v>SERENO, LEONEL</v>
          </cell>
          <cell r="L352" t="str">
            <v xml:space="preserve"> </v>
          </cell>
          <cell r="M352" t="str">
            <v xml:space="preserve"> </v>
          </cell>
          <cell r="N352" t="str">
            <v>PROVISIONAL</v>
          </cell>
          <cell r="O352" t="str">
            <v>SERENO, LEONEL</v>
          </cell>
        </row>
        <row r="353">
          <cell r="A353" t="str">
            <v>5°4°5ELITS</v>
          </cell>
          <cell r="B353" t="str">
            <v>5°4°</v>
          </cell>
          <cell r="D353" t="str">
            <v>5ELITS</v>
          </cell>
          <cell r="E353">
            <v>2680751</v>
          </cell>
          <cell r="F353" t="str">
            <v>LITERATURA</v>
          </cell>
          <cell r="G353" t="str">
            <v xml:space="preserve"> 27-34849943-8  INT</v>
          </cell>
          <cell r="I353" t="str">
            <v>ALONSO, MARIA</v>
          </cell>
          <cell r="L353" t="str">
            <v xml:space="preserve"> </v>
          </cell>
          <cell r="M353" t="str">
            <v xml:space="preserve"> </v>
          </cell>
          <cell r="N353" t="str">
            <v>TITULAR</v>
          </cell>
          <cell r="O353" t="str">
            <v>ALONSO, MARIA</v>
          </cell>
        </row>
        <row r="354">
          <cell r="A354" t="str">
            <v>5°4°5EINGS</v>
          </cell>
          <cell r="B354" t="str">
            <v>5°4°</v>
          </cell>
          <cell r="D354" t="str">
            <v>5EINGS</v>
          </cell>
          <cell r="E354">
            <v>2680752</v>
          </cell>
          <cell r="F354" t="str">
            <v>INGLÉS</v>
          </cell>
          <cell r="G354" t="str">
            <v>27-29.433.432-2</v>
          </cell>
          <cell r="I354" t="str">
            <v xml:space="preserve">ARCE KARINA </v>
          </cell>
          <cell r="L354" t="str">
            <v xml:space="preserve"> </v>
          </cell>
          <cell r="M354" t="str">
            <v xml:space="preserve"> </v>
          </cell>
          <cell r="N354" t="str">
            <v>TITULAR</v>
          </cell>
          <cell r="O354" t="str">
            <v xml:space="preserve">ARCE KARINA </v>
          </cell>
        </row>
        <row r="355">
          <cell r="A355" t="str">
            <v>5°4°5EEFIS</v>
          </cell>
          <cell r="B355" t="str">
            <v>5°4°</v>
          </cell>
          <cell r="D355" t="str">
            <v>5EEFIS</v>
          </cell>
          <cell r="E355">
            <v>2680754</v>
          </cell>
          <cell r="F355" t="str">
            <v>EDUCACIÓN FISICA</v>
          </cell>
          <cell r="G355">
            <v>20859388</v>
          </cell>
          <cell r="I355" t="str">
            <v>FERNANDEZ MARCELO</v>
          </cell>
          <cell r="L355" t="str">
            <v xml:space="preserve"> </v>
          </cell>
          <cell r="M355" t="str">
            <v xml:space="preserve"> </v>
          </cell>
          <cell r="N355" t="str">
            <v>TITULAR</v>
          </cell>
          <cell r="O355" t="str">
            <v>FERNANDEZ MARCELO</v>
          </cell>
        </row>
        <row r="356">
          <cell r="A356" t="str">
            <v>5°4°5EPYCS</v>
          </cell>
          <cell r="B356" t="str">
            <v>5°4°</v>
          </cell>
          <cell r="D356" t="str">
            <v>5EPYCS</v>
          </cell>
          <cell r="E356">
            <v>2680756</v>
          </cell>
          <cell r="F356" t="str">
            <v>POLITICA Y CIUDADANIA</v>
          </cell>
          <cell r="G356" t="str">
            <v>27-26107937-8</v>
          </cell>
          <cell r="H356" t="str">
            <v xml:space="preserve"> (INT. 2020)</v>
          </cell>
          <cell r="I356" t="str">
            <v xml:space="preserve">GAUTO, ALICIA </v>
          </cell>
          <cell r="L356" t="str">
            <v xml:space="preserve"> </v>
          </cell>
          <cell r="M356" t="str">
            <v xml:space="preserve"> </v>
          </cell>
          <cell r="N356" t="str">
            <v>TITULAR</v>
          </cell>
          <cell r="O356" t="str">
            <v xml:space="preserve">GAUTO, ALICIA </v>
          </cell>
        </row>
        <row r="357">
          <cell r="A357" t="str">
            <v>5°4°5EHIS5</v>
          </cell>
          <cell r="B357" t="str">
            <v>5°4°</v>
          </cell>
          <cell r="D357" t="str">
            <v>5EHIS5</v>
          </cell>
          <cell r="E357">
            <v>2680758</v>
          </cell>
          <cell r="F357" t="str">
            <v>HISTORIA</v>
          </cell>
          <cell r="G357" t="str">
            <v>20-18.284.913-9</v>
          </cell>
          <cell r="I357" t="str">
            <v xml:space="preserve">TORRES LUIS                    </v>
          </cell>
          <cell r="L357" t="str">
            <v xml:space="preserve"> </v>
          </cell>
          <cell r="M357" t="str">
            <v xml:space="preserve"> </v>
          </cell>
          <cell r="N357" t="str">
            <v>TITULAR</v>
          </cell>
          <cell r="O357" t="str">
            <v xml:space="preserve">TORRES LUIS                    </v>
          </cell>
        </row>
        <row r="358">
          <cell r="A358" t="str">
            <v>5°4°5EGEOS5</v>
          </cell>
          <cell r="B358" t="str">
            <v>5°4°</v>
          </cell>
          <cell r="D358" t="str">
            <v>5EGEOS5</v>
          </cell>
          <cell r="E358">
            <v>2680760</v>
          </cell>
          <cell r="F358" t="str">
            <v>GEOGRAFIA</v>
          </cell>
          <cell r="G358">
            <v>28029112</v>
          </cell>
          <cell r="I358" t="str">
            <v xml:space="preserve">SPERONI, ADRIAN </v>
          </cell>
          <cell r="L358" t="str">
            <v xml:space="preserve"> </v>
          </cell>
          <cell r="M358" t="str">
            <v xml:space="preserve"> </v>
          </cell>
          <cell r="N358" t="str">
            <v>TITULAR</v>
          </cell>
          <cell r="O358" t="str">
            <v xml:space="preserve">SPERONI, ADRIAN </v>
          </cell>
        </row>
        <row r="359">
          <cell r="A359" t="str">
            <v>5°4°5EANMAT</v>
          </cell>
          <cell r="B359" t="str">
            <v>5°4°</v>
          </cell>
          <cell r="D359" t="str">
            <v>5EANMAT</v>
          </cell>
          <cell r="E359">
            <v>2680761</v>
          </cell>
          <cell r="F359" t="str">
            <v>ANALISIS MATEMATICO</v>
          </cell>
          <cell r="K359" t="str">
            <v xml:space="preserve"> KEMPER, NATALIA</v>
          </cell>
          <cell r="L359" t="str">
            <v xml:space="preserve"> </v>
          </cell>
          <cell r="M359" t="str">
            <v xml:space="preserve"> </v>
          </cell>
          <cell r="N359" t="str">
            <v>PROVISIONAL</v>
          </cell>
          <cell r="O359" t="str">
            <v xml:space="preserve"> KEMPER, NATALIA</v>
          </cell>
        </row>
        <row r="360">
          <cell r="A360" t="str">
            <v>5°4°5EAMC</v>
          </cell>
          <cell r="B360" t="str">
            <v>5°4°</v>
          </cell>
          <cell r="D360" t="str">
            <v>5EAMC</v>
          </cell>
          <cell r="E360">
            <v>2680762</v>
          </cell>
          <cell r="F360" t="str">
            <v>ANALISIS DE LOS MODELOS CIRCUITALES</v>
          </cell>
          <cell r="G360">
            <v>25454930</v>
          </cell>
          <cell r="I360" t="str">
            <v xml:space="preserve">CORDOBA ALEJANDRO </v>
          </cell>
          <cell r="L360" t="str">
            <v>..</v>
          </cell>
          <cell r="M360" t="str">
            <v>GUTIERREZ NICOLAS</v>
          </cell>
          <cell r="N360" t="str">
            <v>SUPLENTE</v>
          </cell>
          <cell r="O360" t="str">
            <v>GUTIERREZ NICOLAS</v>
          </cell>
        </row>
        <row r="361">
          <cell r="A361" t="str">
            <v>5°4°5ELENE</v>
          </cell>
          <cell r="B361" t="str">
            <v>5°4°</v>
          </cell>
          <cell r="D361" t="str">
            <v>5ELENE</v>
          </cell>
          <cell r="E361">
            <v>2680764</v>
          </cell>
          <cell r="F361" t="str">
            <v>LENGUAJES ELECTRONICOS</v>
          </cell>
          <cell r="G361">
            <v>28440300</v>
          </cell>
          <cell r="I361" t="str">
            <v>CARDINALE GERMAN</v>
          </cell>
          <cell r="L361">
            <v>29671223</v>
          </cell>
          <cell r="M361" t="str">
            <v>PROCHOR JUAN</v>
          </cell>
          <cell r="N361" t="str">
            <v>SUPLENTE</v>
          </cell>
          <cell r="O361" t="str">
            <v>PROCHOR JUAN</v>
          </cell>
        </row>
        <row r="362">
          <cell r="A362" t="str">
            <v>5°4°5415EDASE</v>
          </cell>
          <cell r="B362" t="str">
            <v>5°4°</v>
          </cell>
          <cell r="C362">
            <v>541</v>
          </cell>
          <cell r="D362" t="str">
            <v>5EDASE</v>
          </cell>
          <cell r="E362">
            <v>2680765</v>
          </cell>
          <cell r="F362" t="str">
            <v xml:space="preserve">DISEÑO ASIST Y SIMUL ELECT </v>
          </cell>
          <cell r="G362">
            <v>28440300</v>
          </cell>
          <cell r="I362" t="str">
            <v xml:space="preserve">CARDINALE GERMAN </v>
          </cell>
          <cell r="L362">
            <v>23086757</v>
          </cell>
          <cell r="M362" t="str">
            <v>GAUNA FEDERICO</v>
          </cell>
          <cell r="N362" t="str">
            <v>SUPLENTE</v>
          </cell>
          <cell r="O362" t="str">
            <v>GAUNA FEDERICO</v>
          </cell>
        </row>
        <row r="363">
          <cell r="A363" t="str">
            <v>5°4°5415EFTAE5</v>
          </cell>
          <cell r="B363" t="str">
            <v>5°4°</v>
          </cell>
          <cell r="C363">
            <v>541</v>
          </cell>
          <cell r="D363" t="str">
            <v>5EFTAE5</v>
          </cell>
          <cell r="E363">
            <v>2680766</v>
          </cell>
          <cell r="F363" t="str">
            <v xml:space="preserve">APLIC ELECT ANALOG </v>
          </cell>
          <cell r="G363">
            <v>26500191</v>
          </cell>
          <cell r="H363" t="str">
            <v xml:space="preserve"> (MASIVA)</v>
          </cell>
          <cell r="I363" t="str">
            <v xml:space="preserve">GOMEZ NANCY </v>
          </cell>
          <cell r="L363">
            <v>0</v>
          </cell>
          <cell r="M363" t="str">
            <v>BARONI ROBERTO</v>
          </cell>
          <cell r="N363" t="str">
            <v>SUPLENTE</v>
          </cell>
          <cell r="O363" t="str">
            <v>BARONI ROBERTO</v>
          </cell>
        </row>
        <row r="364">
          <cell r="A364" t="str">
            <v>5°4°5415EFTED5</v>
          </cell>
          <cell r="B364" t="str">
            <v>5°4°</v>
          </cell>
          <cell r="C364">
            <v>541</v>
          </cell>
          <cell r="D364" t="str">
            <v>5EFTED5</v>
          </cell>
          <cell r="E364">
            <v>2680767</v>
          </cell>
          <cell r="F364" t="str">
            <v>APLIC ELECTR DIGITAL</v>
          </cell>
          <cell r="G364">
            <v>26500191</v>
          </cell>
          <cell r="H364" t="str">
            <v xml:space="preserve"> (MASIVA)</v>
          </cell>
          <cell r="I364" t="str">
            <v>GOMEZ NANCY</v>
          </cell>
          <cell r="L364">
            <v>18383726</v>
          </cell>
          <cell r="M364" t="str">
            <v xml:space="preserve">MARTINEZ, SILVIO </v>
          </cell>
          <cell r="N364" t="str">
            <v>SUPLENTE</v>
          </cell>
          <cell r="O364" t="str">
            <v xml:space="preserve">MARTINEZ, SILVIO </v>
          </cell>
        </row>
        <row r="365">
          <cell r="A365" t="str">
            <v>5°4°5415EFTMP5</v>
          </cell>
          <cell r="B365" t="str">
            <v>5°4°</v>
          </cell>
          <cell r="C365">
            <v>541</v>
          </cell>
          <cell r="D365" t="str">
            <v>5EFTMP5</v>
          </cell>
          <cell r="E365">
            <v>2680769</v>
          </cell>
          <cell r="F365" t="str">
            <v xml:space="preserve">MONTAJE DE PROYECTO ELECTRONICOS </v>
          </cell>
          <cell r="G365">
            <v>26024164</v>
          </cell>
          <cell r="H365" t="str">
            <v xml:space="preserve"> (4 MOD)</v>
          </cell>
          <cell r="I365" t="str">
            <v xml:space="preserve">SAUCEDO GUSTAVO </v>
          </cell>
          <cell r="L365" t="str">
            <v xml:space="preserve"> </v>
          </cell>
          <cell r="M365" t="str">
            <v xml:space="preserve"> </v>
          </cell>
          <cell r="N365" t="str">
            <v>TITULAR</v>
          </cell>
          <cell r="O365" t="str">
            <v xml:space="preserve">SAUCEDO GUSTAVO </v>
          </cell>
        </row>
        <row r="366">
          <cell r="A366" t="str">
            <v>5°4°5425EDASE</v>
          </cell>
          <cell r="B366" t="str">
            <v>5°4°</v>
          </cell>
          <cell r="C366">
            <v>542</v>
          </cell>
          <cell r="D366" t="str">
            <v>5EDASE</v>
          </cell>
          <cell r="E366">
            <v>2680770</v>
          </cell>
          <cell r="F366" t="str">
            <v xml:space="preserve">DISEÑO ASIST Y SIMUL ELECT </v>
          </cell>
          <cell r="J366">
            <v>18383726</v>
          </cell>
          <cell r="K366" t="str">
            <v xml:space="preserve">MARTINEZ, SILVIO </v>
          </cell>
          <cell r="L366" t="str">
            <v xml:space="preserve"> </v>
          </cell>
          <cell r="M366" t="str">
            <v xml:space="preserve"> </v>
          </cell>
          <cell r="N366" t="str">
            <v>PROVISIONAL</v>
          </cell>
          <cell r="O366" t="str">
            <v xml:space="preserve">MARTINEZ, SILVIO </v>
          </cell>
        </row>
        <row r="367">
          <cell r="A367" t="str">
            <v>5°4°5425EFTAE5</v>
          </cell>
          <cell r="B367" t="str">
            <v>5°4°</v>
          </cell>
          <cell r="C367">
            <v>542</v>
          </cell>
          <cell r="D367" t="str">
            <v>5EFTAE5</v>
          </cell>
          <cell r="E367">
            <v>2680771</v>
          </cell>
          <cell r="F367" t="str">
            <v xml:space="preserve">APLIC ELECT ANALOG </v>
          </cell>
          <cell r="J367">
            <v>14658779</v>
          </cell>
          <cell r="K367" t="str">
            <v>FISTER VICTOR</v>
          </cell>
          <cell r="L367" t="str">
            <v xml:space="preserve"> </v>
          </cell>
          <cell r="M367" t="str">
            <v xml:space="preserve"> </v>
          </cell>
          <cell r="N367" t="str">
            <v>PROVISIONAL</v>
          </cell>
          <cell r="O367" t="str">
            <v>FISTER VICTOR</v>
          </cell>
        </row>
        <row r="368">
          <cell r="A368" t="str">
            <v>5°4°5425EFTED5</v>
          </cell>
          <cell r="B368" t="str">
            <v>5°4°</v>
          </cell>
          <cell r="C368">
            <v>542</v>
          </cell>
          <cell r="D368" t="str">
            <v>5EFTED5</v>
          </cell>
          <cell r="E368">
            <v>2680772</v>
          </cell>
          <cell r="F368" t="str">
            <v>APLIC ELECTR DIGITAL</v>
          </cell>
          <cell r="G368">
            <v>26500191</v>
          </cell>
          <cell r="H368" t="str">
            <v>(MASIVA)</v>
          </cell>
          <cell r="I368" t="str">
            <v xml:space="preserve">GOMEZ NANCY </v>
          </cell>
          <cell r="L368">
            <v>23086757</v>
          </cell>
          <cell r="M368" t="str">
            <v>SERENO, LEONEL</v>
          </cell>
          <cell r="N368" t="str">
            <v>SUPLENTE</v>
          </cell>
          <cell r="O368" t="str">
            <v>SERENO, LEONEL</v>
          </cell>
        </row>
        <row r="369">
          <cell r="A369" t="str">
            <v>5°4°5425EFTMP5</v>
          </cell>
          <cell r="B369" t="str">
            <v>5°4°</v>
          </cell>
          <cell r="C369">
            <v>542</v>
          </cell>
          <cell r="D369" t="str">
            <v>5EFTMP5</v>
          </cell>
          <cell r="E369">
            <v>2680773</v>
          </cell>
          <cell r="F369" t="str">
            <v xml:space="preserve">MONTAJE DE PROYECTO ELECTRONICOS </v>
          </cell>
          <cell r="G369">
            <v>26024164</v>
          </cell>
          <cell r="H369" t="str">
            <v xml:space="preserve"> (MASIVA)</v>
          </cell>
          <cell r="I369" t="str">
            <v>SAUCEDO GUSTAVO</v>
          </cell>
          <cell r="L369" t="str">
            <v xml:space="preserve"> </v>
          </cell>
          <cell r="M369" t="str">
            <v xml:space="preserve"> </v>
          </cell>
          <cell r="N369" t="str">
            <v>TITULAR</v>
          </cell>
          <cell r="O369" t="str">
            <v>SAUCEDO GUSTAVO</v>
          </cell>
        </row>
        <row r="370">
          <cell r="A370" t="str">
            <v>5°1°5ILITS</v>
          </cell>
          <cell r="B370" t="str">
            <v>5°1°</v>
          </cell>
          <cell r="D370" t="str">
            <v>5ILITS</v>
          </cell>
          <cell r="E370">
            <v>2543607</v>
          </cell>
          <cell r="F370" t="str">
            <v>LITERATURA</v>
          </cell>
          <cell r="G370" t="str">
            <v xml:space="preserve"> 27-34849943-8  INT</v>
          </cell>
          <cell r="I370" t="str">
            <v>MIRAFIORI, N   0</v>
          </cell>
          <cell r="L370" t="str">
            <v xml:space="preserve"> </v>
          </cell>
          <cell r="M370" t="str">
            <v xml:space="preserve"> </v>
          </cell>
          <cell r="N370" t="str">
            <v>TITULAR</v>
          </cell>
          <cell r="O370" t="str">
            <v>MIRAFIORI, N   0</v>
          </cell>
        </row>
        <row r="371">
          <cell r="A371" t="str">
            <v>5°1°5IINGS</v>
          </cell>
          <cell r="B371" t="str">
            <v>5°1°</v>
          </cell>
          <cell r="D371" t="str">
            <v>5IINGS</v>
          </cell>
          <cell r="E371">
            <v>2543620</v>
          </cell>
          <cell r="F371" t="str">
            <v>INGLÉS</v>
          </cell>
          <cell r="G371" t="str">
            <v>27-38.178432-6</v>
          </cell>
          <cell r="I371" t="str">
            <v xml:space="preserve">ARCE KARINA </v>
          </cell>
          <cell r="L371" t="str">
            <v xml:space="preserve"> </v>
          </cell>
          <cell r="M371" t="str">
            <v xml:space="preserve"> </v>
          </cell>
          <cell r="N371" t="str">
            <v>TITULAR</v>
          </cell>
          <cell r="O371" t="str">
            <v xml:space="preserve">ARCE KARINA </v>
          </cell>
        </row>
        <row r="372">
          <cell r="A372" t="str">
            <v>5°1°5IEFIS</v>
          </cell>
          <cell r="B372" t="str">
            <v>5°1°</v>
          </cell>
          <cell r="D372" t="str">
            <v>5IEFIS</v>
          </cell>
          <cell r="E372">
            <v>2543646</v>
          </cell>
          <cell r="F372" t="str">
            <v>EDUCACIÓN FISICA</v>
          </cell>
          <cell r="G372">
            <v>29569203</v>
          </cell>
          <cell r="I372" t="str">
            <v>LUDUEÑA NELSON</v>
          </cell>
          <cell r="L372" t="str">
            <v xml:space="preserve"> </v>
          </cell>
          <cell r="M372" t="str">
            <v xml:space="preserve"> </v>
          </cell>
          <cell r="N372" t="str">
            <v>TITULAR</v>
          </cell>
          <cell r="O372" t="str">
            <v>LUDUEÑA NELSON</v>
          </cell>
        </row>
        <row r="373">
          <cell r="A373" t="str">
            <v>5°1°5IPYCS</v>
          </cell>
          <cell r="B373" t="str">
            <v>5°1°</v>
          </cell>
          <cell r="D373" t="str">
            <v>5IPYCS</v>
          </cell>
          <cell r="E373">
            <v>2543648</v>
          </cell>
          <cell r="F373" t="str">
            <v>POLITICA Y CIUDADANIA</v>
          </cell>
          <cell r="I373" t="str">
            <v xml:space="preserve">GONZALEZ GONZALEZ ROMINA </v>
          </cell>
          <cell r="L373" t="str">
            <v xml:space="preserve"> </v>
          </cell>
          <cell r="M373" t="str">
            <v xml:space="preserve"> </v>
          </cell>
          <cell r="N373" t="str">
            <v>TITULAR</v>
          </cell>
          <cell r="O373" t="str">
            <v xml:space="preserve">GONZALEZ GONZALEZ ROMINA </v>
          </cell>
        </row>
        <row r="374">
          <cell r="A374" t="str">
            <v>5°1°5IHIS5</v>
          </cell>
          <cell r="B374" t="str">
            <v>5°1°</v>
          </cell>
          <cell r="D374" t="str">
            <v>5IHIS5</v>
          </cell>
          <cell r="E374">
            <v>2543649</v>
          </cell>
          <cell r="F374" t="str">
            <v>HISTORIA</v>
          </cell>
          <cell r="I374" t="str">
            <v>PALACIOS GUSTAVO</v>
          </cell>
          <cell r="L374" t="str">
            <v xml:space="preserve"> </v>
          </cell>
          <cell r="M374" t="str">
            <v xml:space="preserve"> </v>
          </cell>
          <cell r="N374" t="str">
            <v>TITULAR</v>
          </cell>
          <cell r="O374" t="str">
            <v>PALACIOS GUSTAVO</v>
          </cell>
        </row>
        <row r="375">
          <cell r="A375" t="str">
            <v>5°1°5IGEOS5</v>
          </cell>
          <cell r="B375" t="str">
            <v>5°1°</v>
          </cell>
          <cell r="D375" t="str">
            <v>5IGEOS5</v>
          </cell>
          <cell r="E375">
            <v>2543650</v>
          </cell>
          <cell r="F375" t="str">
            <v>GEOGRAFIA</v>
          </cell>
          <cell r="I375" t="str">
            <v xml:space="preserve">SPERONI, ADRIAN </v>
          </cell>
          <cell r="L375" t="str">
            <v xml:space="preserve"> </v>
          </cell>
          <cell r="M375" t="str">
            <v xml:space="preserve"> </v>
          </cell>
          <cell r="N375" t="str">
            <v>TITULAR</v>
          </cell>
          <cell r="O375" t="str">
            <v xml:space="preserve">SPERONI, ADRIAN </v>
          </cell>
        </row>
        <row r="376">
          <cell r="A376" t="str">
            <v>5°1°5IANMAT</v>
          </cell>
          <cell r="B376" t="str">
            <v>5°1°</v>
          </cell>
          <cell r="D376" t="str">
            <v>5IANMAT</v>
          </cell>
          <cell r="E376">
            <v>2543652</v>
          </cell>
          <cell r="F376" t="str">
            <v>ANALISIS MATEMATICO</v>
          </cell>
          <cell r="J376">
            <v>23086757</v>
          </cell>
          <cell r="K376" t="str">
            <v>CENTURION SILVIA</v>
          </cell>
          <cell r="L376" t="str">
            <v xml:space="preserve"> </v>
          </cell>
          <cell r="M376" t="str">
            <v xml:space="preserve"> </v>
          </cell>
          <cell r="N376" t="str">
            <v>PROVISIONAL</v>
          </cell>
          <cell r="O376" t="str">
            <v>CENTURION SILVIA</v>
          </cell>
        </row>
        <row r="377">
          <cell r="A377" t="str">
            <v>5°1°5ISIDI4</v>
          </cell>
          <cell r="B377" t="str">
            <v>5°1°</v>
          </cell>
          <cell r="D377" t="str">
            <v>5ISIDI4</v>
          </cell>
          <cell r="E377">
            <v>2571507</v>
          </cell>
          <cell r="F377" t="str">
            <v>SISTEMA DIGITAL</v>
          </cell>
          <cell r="J377" t="str">
            <v xml:space="preserve"> 27-20.205.124-9</v>
          </cell>
          <cell r="K377" t="str">
            <v>MONTENEGRO CLAUDIA</v>
          </cell>
          <cell r="L377" t="str">
            <v xml:space="preserve"> </v>
          </cell>
          <cell r="M377" t="str">
            <v xml:space="preserve"> </v>
          </cell>
          <cell r="N377" t="str">
            <v>PROVISIONAL</v>
          </cell>
          <cell r="O377" t="str">
            <v>MONTENEGRO CLAUDIA</v>
          </cell>
        </row>
        <row r="378">
          <cell r="A378" t="str">
            <v>5°1°5ITELEI</v>
          </cell>
          <cell r="B378" t="str">
            <v>5°1°</v>
          </cell>
          <cell r="D378" t="str">
            <v>5ITELEI</v>
          </cell>
          <cell r="E378">
            <v>2571508</v>
          </cell>
          <cell r="F378" t="str">
            <v>TELEINFORMATICA</v>
          </cell>
          <cell r="J378" t="str">
            <v xml:space="preserve"> 27-20.205.124-9</v>
          </cell>
          <cell r="K378" t="str">
            <v>MONTENEGRO CLAUDIA</v>
          </cell>
          <cell r="L378" t="str">
            <v xml:space="preserve"> </v>
          </cell>
          <cell r="M378" t="str">
            <v xml:space="preserve"> </v>
          </cell>
          <cell r="N378" t="str">
            <v>PROVISIONAL</v>
          </cell>
          <cell r="O378" t="str">
            <v>MONTENEGRO CLAUDIA</v>
          </cell>
        </row>
        <row r="379">
          <cell r="A379" t="str">
            <v>5°1°5115IFTLP5</v>
          </cell>
          <cell r="B379" t="str">
            <v>5°1°</v>
          </cell>
          <cell r="C379">
            <v>511</v>
          </cell>
          <cell r="D379" t="str">
            <v>5IFTLP5</v>
          </cell>
          <cell r="E379">
            <v>2543654</v>
          </cell>
          <cell r="F379" t="str">
            <v xml:space="preserve">LAB DE PROGRAM </v>
          </cell>
          <cell r="K379" t="str">
            <v>WITT  GERARDO</v>
          </cell>
          <cell r="L379" t="str">
            <v xml:space="preserve"> </v>
          </cell>
          <cell r="M379" t="str">
            <v xml:space="preserve"> </v>
          </cell>
          <cell r="N379" t="str">
            <v>PROVISIONAL</v>
          </cell>
          <cell r="O379" t="str">
            <v>WITT  GERARDO</v>
          </cell>
        </row>
        <row r="380">
          <cell r="A380" t="str">
            <v>5°1°5115IFTLH5</v>
          </cell>
          <cell r="B380" t="str">
            <v>5°1°</v>
          </cell>
          <cell r="C380">
            <v>511</v>
          </cell>
          <cell r="D380" t="str">
            <v>5IFTLH5</v>
          </cell>
          <cell r="E380">
            <v>2543655</v>
          </cell>
          <cell r="F380" t="str">
            <v xml:space="preserve">LAB DE HARDWARE </v>
          </cell>
          <cell r="G380" t="str">
            <v>16.238.400 (3 MOD)</v>
          </cell>
          <cell r="K380" t="str">
            <v>DELGADO ARIEL</v>
          </cell>
          <cell r="L380" t="str">
            <v xml:space="preserve"> </v>
          </cell>
          <cell r="M380" t="str">
            <v xml:space="preserve"> </v>
          </cell>
          <cell r="N380" t="str">
            <v>PROVISIONAL</v>
          </cell>
          <cell r="O380" t="str">
            <v>DELGADO ARIEL</v>
          </cell>
        </row>
        <row r="381">
          <cell r="A381" t="str">
            <v>5°1°5115IFTLS5</v>
          </cell>
          <cell r="B381" t="str">
            <v>5°1°</v>
          </cell>
          <cell r="C381">
            <v>511</v>
          </cell>
          <cell r="D381" t="str">
            <v>5IFTLS5</v>
          </cell>
          <cell r="E381">
            <v>2543656</v>
          </cell>
          <cell r="F381" t="str">
            <v>LAB DE SIST OPERATIVOS</v>
          </cell>
          <cell r="J381">
            <v>26114670</v>
          </cell>
          <cell r="K381" t="str">
            <v>BULACIO ARIEL</v>
          </cell>
          <cell r="N381" t="str">
            <v>SUPLENTE</v>
          </cell>
          <cell r="O381">
            <v>0</v>
          </cell>
        </row>
        <row r="382">
          <cell r="A382" t="str">
            <v>5°1°5115IFTLA5</v>
          </cell>
          <cell r="B382" t="str">
            <v>5°1°</v>
          </cell>
          <cell r="C382">
            <v>511</v>
          </cell>
          <cell r="D382" t="str">
            <v>5IFTLA5</v>
          </cell>
          <cell r="E382">
            <v>2543658</v>
          </cell>
          <cell r="F382" t="str">
            <v xml:space="preserve">LAB DE APLICACIONES </v>
          </cell>
          <cell r="K382" t="str">
            <v xml:space="preserve">BARCENILLA, JAVIER </v>
          </cell>
          <cell r="L382" t="str">
            <v xml:space="preserve"> </v>
          </cell>
          <cell r="M382" t="str">
            <v xml:space="preserve"> </v>
          </cell>
          <cell r="N382" t="str">
            <v>PROVISIONAL</v>
          </cell>
          <cell r="O382" t="str">
            <v xml:space="preserve">BARCENILLA, JAVIER </v>
          </cell>
        </row>
        <row r="383">
          <cell r="A383" t="str">
            <v>5°1°5125IFTLP5</v>
          </cell>
          <cell r="B383" t="str">
            <v>5°1°</v>
          </cell>
          <cell r="C383">
            <v>512</v>
          </cell>
          <cell r="D383" t="str">
            <v>5IFTLP5</v>
          </cell>
          <cell r="E383">
            <v>2543659</v>
          </cell>
          <cell r="F383" t="str">
            <v xml:space="preserve">LAB DE PROGRAM </v>
          </cell>
          <cell r="K383" t="str">
            <v>WITT GERARDO</v>
          </cell>
          <cell r="L383" t="str">
            <v xml:space="preserve"> </v>
          </cell>
          <cell r="M383" t="str">
            <v xml:space="preserve"> </v>
          </cell>
          <cell r="N383" t="str">
            <v>PROVISIONAL</v>
          </cell>
          <cell r="O383" t="str">
            <v>WITT GERARDO</v>
          </cell>
        </row>
        <row r="384">
          <cell r="A384" t="str">
            <v>5°1°5125IFTLH5</v>
          </cell>
          <cell r="B384" t="str">
            <v>5°1°</v>
          </cell>
          <cell r="C384">
            <v>512</v>
          </cell>
          <cell r="D384" t="str">
            <v>5IFTLH5</v>
          </cell>
          <cell r="E384">
            <v>2543661</v>
          </cell>
          <cell r="F384" t="str">
            <v xml:space="preserve">LAB DE HARDWARE </v>
          </cell>
          <cell r="K384" t="str">
            <v xml:space="preserve">FISTER (Serv.Prov)         </v>
          </cell>
          <cell r="L384" t="str">
            <v xml:space="preserve"> </v>
          </cell>
          <cell r="M384" t="str">
            <v xml:space="preserve"> </v>
          </cell>
          <cell r="N384" t="str">
            <v>PROVISIONAL</v>
          </cell>
          <cell r="O384" t="str">
            <v xml:space="preserve">FISTER (Serv.Prov)         </v>
          </cell>
        </row>
        <row r="385">
          <cell r="A385" t="str">
            <v>5°1°5125IFTLS5</v>
          </cell>
          <cell r="B385" t="str">
            <v>5°1°</v>
          </cell>
          <cell r="C385">
            <v>512</v>
          </cell>
          <cell r="D385" t="str">
            <v>5IFTLS5</v>
          </cell>
          <cell r="E385">
            <v>2543664</v>
          </cell>
          <cell r="F385" t="str">
            <v>LAB DE SIST OPERATIVOS</v>
          </cell>
          <cell r="K385" t="str">
            <v>RIVERA MARCELO</v>
          </cell>
          <cell r="L385" t="str">
            <v xml:space="preserve"> </v>
          </cell>
          <cell r="M385" t="str">
            <v xml:space="preserve"> </v>
          </cell>
          <cell r="N385" t="str">
            <v>PROVISIONAL</v>
          </cell>
          <cell r="O385" t="str">
            <v>RIVERA MARCELO</v>
          </cell>
        </row>
        <row r="386">
          <cell r="A386" t="str">
            <v>5°1°5125IFTLA5</v>
          </cell>
          <cell r="B386" t="str">
            <v>5°1°</v>
          </cell>
          <cell r="C386">
            <v>512</v>
          </cell>
          <cell r="D386" t="str">
            <v>5IFTLA5</v>
          </cell>
          <cell r="E386">
            <v>2543665</v>
          </cell>
          <cell r="F386" t="str">
            <v xml:space="preserve">LAB DE APLICACIONES </v>
          </cell>
          <cell r="K386" t="str">
            <v>WITT GERARDO</v>
          </cell>
          <cell r="L386" t="str">
            <v xml:space="preserve"> </v>
          </cell>
          <cell r="M386" t="str">
            <v xml:space="preserve"> </v>
          </cell>
          <cell r="N386" t="str">
            <v>PROVISIONAL</v>
          </cell>
          <cell r="O386" t="str">
            <v>WITT GERARDO</v>
          </cell>
        </row>
        <row r="387">
          <cell r="A387" t="str">
            <v>6°1°6ILITS</v>
          </cell>
          <cell r="B387" t="str">
            <v>6°1°</v>
          </cell>
          <cell r="D387" t="str">
            <v>6ILITS</v>
          </cell>
          <cell r="E387">
            <v>733438</v>
          </cell>
          <cell r="F387" t="str">
            <v>LITERATURA</v>
          </cell>
          <cell r="I387" t="str">
            <v>ALFONSO D INT 2026</v>
          </cell>
          <cell r="L387" t="str">
            <v xml:space="preserve"> </v>
          </cell>
          <cell r="M387" t="str">
            <v xml:space="preserve"> </v>
          </cell>
          <cell r="N387" t="str">
            <v>TITULAR</v>
          </cell>
          <cell r="O387" t="str">
            <v>ALFONSO D INT 2026</v>
          </cell>
        </row>
        <row r="388">
          <cell r="A388" t="str">
            <v>6°1°6IINGS</v>
          </cell>
          <cell r="B388" t="str">
            <v>6°1°</v>
          </cell>
          <cell r="D388" t="str">
            <v>6IINGS</v>
          </cell>
          <cell r="E388">
            <v>733375</v>
          </cell>
          <cell r="F388" t="str">
            <v>INGLÉS</v>
          </cell>
          <cell r="I388" t="str">
            <v>RAMIREZ GISELA</v>
          </cell>
          <cell r="L388" t="str">
            <v xml:space="preserve"> </v>
          </cell>
          <cell r="M388" t="str">
            <v xml:space="preserve"> </v>
          </cell>
          <cell r="N388" t="str">
            <v>TITULAR</v>
          </cell>
          <cell r="O388" t="str">
            <v>RAMIREZ GISELA</v>
          </cell>
        </row>
        <row r="389">
          <cell r="A389" t="str">
            <v>6°1°6IEFIS</v>
          </cell>
          <cell r="B389" t="str">
            <v>6°1°</v>
          </cell>
          <cell r="D389" t="str">
            <v>6IEFIS</v>
          </cell>
          <cell r="E389">
            <v>1180198</v>
          </cell>
          <cell r="F389" t="str">
            <v>EDUCACIÓN FISICA</v>
          </cell>
          <cell r="G389" t="str">
            <v>A INT  2026   20291688897</v>
          </cell>
          <cell r="I389" t="str">
            <v xml:space="preserve">MONTENEGRO LUIS   </v>
          </cell>
          <cell r="L389" t="str">
            <v xml:space="preserve"> </v>
          </cell>
          <cell r="M389" t="str">
            <v xml:space="preserve"> </v>
          </cell>
          <cell r="N389" t="str">
            <v>TITULAR</v>
          </cell>
          <cell r="O389" t="str">
            <v xml:space="preserve">MONTENEGRO LUIS   </v>
          </cell>
        </row>
        <row r="390">
          <cell r="A390" t="str">
            <v>6°1°6IFILO</v>
          </cell>
          <cell r="B390" t="str">
            <v>6°1°</v>
          </cell>
          <cell r="D390" t="str">
            <v>6IFILO</v>
          </cell>
          <cell r="E390">
            <v>733732</v>
          </cell>
          <cell r="F390" t="str">
            <v>FILOSOFIA</v>
          </cell>
          <cell r="H390">
            <v>26705268</v>
          </cell>
          <cell r="I390" t="str">
            <v>LETIERI, MANUEL</v>
          </cell>
          <cell r="L390" t="str">
            <v xml:space="preserve"> </v>
          </cell>
          <cell r="M390" t="str">
            <v xml:space="preserve"> </v>
          </cell>
          <cell r="N390" t="str">
            <v>TITULAR</v>
          </cell>
          <cell r="O390" t="str">
            <v>LETIERI, MANUEL</v>
          </cell>
        </row>
        <row r="391">
          <cell r="A391" t="str">
            <v>6°1°6IARTE</v>
          </cell>
          <cell r="B391" t="str">
            <v>6°1°</v>
          </cell>
          <cell r="D391" t="str">
            <v>6IARTE</v>
          </cell>
          <cell r="E391">
            <v>733731</v>
          </cell>
          <cell r="F391" t="str">
            <v>ARTE</v>
          </cell>
          <cell r="G391" t="str">
            <v xml:space="preserve">   27-5.164.557-5</v>
          </cell>
          <cell r="J391" t="str">
            <v xml:space="preserve"> 27-25.863.832-3</v>
          </cell>
          <cell r="K391" t="str">
            <v>GOMEZ MARCELA</v>
          </cell>
          <cell r="L391" t="str">
            <v xml:space="preserve"> </v>
          </cell>
          <cell r="M391" t="str">
            <v xml:space="preserve"> </v>
          </cell>
          <cell r="N391" t="str">
            <v>PROVISIONAL</v>
          </cell>
          <cell r="O391" t="str">
            <v>GOMEZ MARCELA</v>
          </cell>
        </row>
        <row r="392">
          <cell r="A392" t="str">
            <v>6°1°6IMATAP</v>
          </cell>
          <cell r="B392" t="str">
            <v>6°1°</v>
          </cell>
          <cell r="D392" t="str">
            <v>6IMATAP</v>
          </cell>
          <cell r="E392">
            <v>733394</v>
          </cell>
          <cell r="F392" t="str">
            <v>MATEMATICA APLICADA</v>
          </cell>
          <cell r="K392" t="str">
            <v>GARCIA CLAUDIA</v>
          </cell>
          <cell r="L392" t="str">
            <v xml:space="preserve"> </v>
          </cell>
          <cell r="M392" t="str">
            <v xml:space="preserve"> </v>
          </cell>
          <cell r="N392" t="str">
            <v>PROVISIONAL</v>
          </cell>
          <cell r="O392" t="str">
            <v>GARCIA CLAUDIA</v>
          </cell>
        </row>
        <row r="393">
          <cell r="A393" t="str">
            <v>6°1°6ISIDI6</v>
          </cell>
          <cell r="B393" t="str">
            <v>6°1°</v>
          </cell>
          <cell r="D393" t="str">
            <v>6ISIDI6</v>
          </cell>
          <cell r="E393">
            <v>733383</v>
          </cell>
          <cell r="F393" t="str">
            <v>SISTEMA DIGITAL</v>
          </cell>
          <cell r="I393" t="str">
            <v>CARDINALE GERMAN 28.440.300</v>
          </cell>
          <cell r="L393">
            <v>0</v>
          </cell>
          <cell r="M393" t="str">
            <v>MONTES IVAN</v>
          </cell>
          <cell r="N393" t="str">
            <v>SUPLENTE</v>
          </cell>
          <cell r="O393" t="str">
            <v>MONTES IVAN</v>
          </cell>
        </row>
        <row r="394">
          <cell r="A394" t="str">
            <v>6°1°6IINVOP</v>
          </cell>
          <cell r="B394" t="str">
            <v>6°1°</v>
          </cell>
          <cell r="D394" t="str">
            <v>6IINVOP</v>
          </cell>
          <cell r="E394">
            <v>2680830</v>
          </cell>
          <cell r="F394" t="str">
            <v>INVESTIGACION OPERATIVA</v>
          </cell>
          <cell r="J394">
            <v>24862276</v>
          </cell>
          <cell r="K394" t="str">
            <v xml:space="preserve">COLINA PATRICIA </v>
          </cell>
          <cell r="L394">
            <v>0</v>
          </cell>
          <cell r="M394" t="str">
            <v>VALDES MARIA</v>
          </cell>
          <cell r="N394" t="str">
            <v>SUPLENTE</v>
          </cell>
          <cell r="O394" t="str">
            <v>VALDES MARIA</v>
          </cell>
        </row>
        <row r="395">
          <cell r="A395" t="str">
            <v>6°1°6ISEIN</v>
          </cell>
          <cell r="B395" t="str">
            <v>6°1°</v>
          </cell>
          <cell r="D395" t="str">
            <v>6ISEIN</v>
          </cell>
          <cell r="E395">
            <v>2680832</v>
          </cell>
          <cell r="F395" t="str">
            <v>SEGURIDAD INFORMATICA</v>
          </cell>
          <cell r="K395" t="str">
            <v>MONTENEGRO CLAUIDA</v>
          </cell>
          <cell r="L395" t="str">
            <v xml:space="preserve"> </v>
          </cell>
          <cell r="M395" t="str">
            <v xml:space="preserve"> </v>
          </cell>
          <cell r="N395" t="str">
            <v>PROVISIONAL</v>
          </cell>
          <cell r="O395" t="str">
            <v>MONTENEGRO CLAUIDA</v>
          </cell>
        </row>
        <row r="396">
          <cell r="A396" t="str">
            <v>6°1°6IDETRA</v>
          </cell>
          <cell r="B396" t="str">
            <v>6°1°</v>
          </cell>
          <cell r="D396" t="str">
            <v>6IDETRA</v>
          </cell>
          <cell r="E396">
            <v>2680833</v>
          </cell>
          <cell r="F396" t="str">
            <v>DERECHO DE TRABAJO</v>
          </cell>
          <cell r="G396">
            <v>12434199</v>
          </cell>
          <cell r="L396" t="str">
            <v xml:space="preserve"> </v>
          </cell>
          <cell r="M396" t="str">
            <v xml:space="preserve"> </v>
          </cell>
          <cell r="N396" t="str">
            <v>TITULAR</v>
          </cell>
          <cell r="O396">
            <v>0</v>
          </cell>
        </row>
        <row r="397">
          <cell r="A397" t="str">
            <v>6°1°6116IFTLP6</v>
          </cell>
          <cell r="B397" t="str">
            <v>6°1°</v>
          </cell>
          <cell r="C397">
            <v>611</v>
          </cell>
          <cell r="D397" t="str">
            <v>6IFTLP6</v>
          </cell>
          <cell r="E397">
            <v>2680835</v>
          </cell>
          <cell r="F397" t="str">
            <v xml:space="preserve">LAB DE PROGRAM </v>
          </cell>
          <cell r="G397" t="str">
            <v xml:space="preserve"> 27-21.065.864-0</v>
          </cell>
          <cell r="K397" t="str">
            <v>ORMEÑO FELIX</v>
          </cell>
          <cell r="L397">
            <v>27353523126</v>
          </cell>
          <cell r="M397" t="str">
            <v>FERREYRA JESICA</v>
          </cell>
          <cell r="N397" t="str">
            <v>SUPLENTE</v>
          </cell>
          <cell r="O397" t="str">
            <v>FERREYRA JESICA</v>
          </cell>
        </row>
        <row r="398">
          <cell r="A398" t="str">
            <v>6°1°6116IFTLH6</v>
          </cell>
          <cell r="B398" t="str">
            <v>6°1°</v>
          </cell>
          <cell r="C398">
            <v>611</v>
          </cell>
          <cell r="D398" t="str">
            <v>6IFTLH6</v>
          </cell>
          <cell r="E398">
            <v>2680836</v>
          </cell>
          <cell r="F398" t="str">
            <v xml:space="preserve">LAB DE HARDWARE </v>
          </cell>
          <cell r="G398" t="str">
            <v xml:space="preserve"> 16.019.055 (1 MOD)</v>
          </cell>
          <cell r="K398" t="str">
            <v>ROCHA JULIETA</v>
          </cell>
          <cell r="L398" t="str">
            <v xml:space="preserve"> </v>
          </cell>
          <cell r="M398" t="str">
            <v xml:space="preserve"> </v>
          </cell>
          <cell r="N398" t="str">
            <v>PROVISIONAL</v>
          </cell>
          <cell r="O398" t="str">
            <v>ROCHA JULIETA</v>
          </cell>
        </row>
        <row r="399">
          <cell r="A399" t="str">
            <v>6°1°6116IFHLS6</v>
          </cell>
          <cell r="B399" t="str">
            <v>6°1°</v>
          </cell>
          <cell r="C399">
            <v>611</v>
          </cell>
          <cell r="D399" t="str">
            <v>6IFHLS6</v>
          </cell>
          <cell r="E399">
            <v>2680838</v>
          </cell>
          <cell r="F399" t="str">
            <v xml:space="preserve">LAB DE SIST OPERATIVOS </v>
          </cell>
          <cell r="G399">
            <v>16238400</v>
          </cell>
          <cell r="J399">
            <v>26114670</v>
          </cell>
          <cell r="K399" t="str">
            <v>BULACIO ARIEL</v>
          </cell>
          <cell r="L399" t="str">
            <v xml:space="preserve"> </v>
          </cell>
          <cell r="M399" t="str">
            <v>VILLALVA ESTEBAN</v>
          </cell>
          <cell r="N399" t="str">
            <v>SUPLENTE</v>
          </cell>
          <cell r="O399" t="str">
            <v>VILLALVA ESTEBAN</v>
          </cell>
        </row>
        <row r="400">
          <cell r="A400" t="str">
            <v>6°1°6116IFTLA6</v>
          </cell>
          <cell r="B400" t="str">
            <v>6°1°</v>
          </cell>
          <cell r="C400">
            <v>611</v>
          </cell>
          <cell r="D400" t="str">
            <v>6IFTLA6</v>
          </cell>
          <cell r="E400">
            <v>2680842</v>
          </cell>
          <cell r="F400" t="str">
            <v xml:space="preserve">LAB DE APLICACIONES </v>
          </cell>
          <cell r="J400" t="str">
            <v xml:space="preserve"> CUIT 20338123125</v>
          </cell>
          <cell r="K400" t="str">
            <v>VILLALVA ESTEBAN</v>
          </cell>
          <cell r="L400" t="str">
            <v xml:space="preserve"> </v>
          </cell>
          <cell r="M400" t="str">
            <v xml:space="preserve"> </v>
          </cell>
          <cell r="N400" t="str">
            <v>PROVISIONAL</v>
          </cell>
          <cell r="O400" t="str">
            <v>VILLALVA ESTEBAN</v>
          </cell>
        </row>
        <row r="401">
          <cell r="A401" t="str">
            <v>6°1°6126IFTLP6</v>
          </cell>
          <cell r="B401" t="str">
            <v>6°1°</v>
          </cell>
          <cell r="C401">
            <v>612</v>
          </cell>
          <cell r="D401" t="str">
            <v>6IFTLP6</v>
          </cell>
          <cell r="E401">
            <v>2680843</v>
          </cell>
          <cell r="F401" t="str">
            <v xml:space="preserve">LAB DE PROGRAM </v>
          </cell>
          <cell r="K401" t="str">
            <v>MONTENEGRO CLAUIDA</v>
          </cell>
          <cell r="M401" t="str">
            <v xml:space="preserve"> </v>
          </cell>
          <cell r="N401" t="str">
            <v>PROVISIONAL</v>
          </cell>
          <cell r="O401" t="str">
            <v>MONTENEGRO CLAUIDA</v>
          </cell>
        </row>
        <row r="402">
          <cell r="A402" t="str">
            <v>6°1°6126IFTLH6</v>
          </cell>
          <cell r="B402" t="str">
            <v>6°1°</v>
          </cell>
          <cell r="C402">
            <v>612</v>
          </cell>
          <cell r="D402" t="str">
            <v>6IFTLH6</v>
          </cell>
          <cell r="E402">
            <v>2680845</v>
          </cell>
          <cell r="F402" t="str">
            <v xml:space="preserve">LAB DE HARDWARE </v>
          </cell>
          <cell r="K402" t="str">
            <v>MONTENEGRO CLAUIDA</v>
          </cell>
          <cell r="L402" t="str">
            <v xml:space="preserve"> </v>
          </cell>
          <cell r="M402" t="str">
            <v xml:space="preserve"> </v>
          </cell>
          <cell r="N402" t="str">
            <v>PROVISIONAL</v>
          </cell>
          <cell r="O402" t="str">
            <v>MONTENEGRO CLAUIDA</v>
          </cell>
        </row>
        <row r="403">
          <cell r="A403" t="str">
            <v>6°1°6126IFHLS6</v>
          </cell>
          <cell r="B403" t="str">
            <v>6°1°</v>
          </cell>
          <cell r="C403">
            <v>612</v>
          </cell>
          <cell r="D403" t="str">
            <v>6IFHLS6</v>
          </cell>
          <cell r="E403">
            <v>2680848</v>
          </cell>
          <cell r="F403" t="str">
            <v xml:space="preserve">LAB DE SIST OPERATIVOS </v>
          </cell>
          <cell r="J403">
            <v>24862276</v>
          </cell>
          <cell r="K403" t="str">
            <v>COLINA PATRICIA</v>
          </cell>
          <cell r="L403">
            <v>0</v>
          </cell>
          <cell r="M403" t="str">
            <v>FERREYRA YESICA</v>
          </cell>
          <cell r="N403" t="str">
            <v>SUPLENTE</v>
          </cell>
          <cell r="O403" t="str">
            <v>FERREYRA YESICA</v>
          </cell>
        </row>
        <row r="404">
          <cell r="A404" t="str">
            <v>6°1°6126IFTLA6</v>
          </cell>
          <cell r="B404" t="str">
            <v>6°1°</v>
          </cell>
          <cell r="C404">
            <v>612</v>
          </cell>
          <cell r="D404" t="str">
            <v>6IFTLA6</v>
          </cell>
          <cell r="E404">
            <v>2680853</v>
          </cell>
          <cell r="F404" t="str">
            <v xml:space="preserve">LAB DE APLICACIONES </v>
          </cell>
          <cell r="K404" t="str">
            <v>HERRERA STELLA</v>
          </cell>
          <cell r="L404" t="str">
            <v xml:space="preserve"> </v>
          </cell>
          <cell r="M404" t="str">
            <v xml:space="preserve"> </v>
          </cell>
          <cell r="N404" t="str">
            <v>PROVISIONAL</v>
          </cell>
          <cell r="O404" t="str">
            <v>HERRERA STELLA</v>
          </cell>
        </row>
        <row r="405">
          <cell r="A405" t="str">
            <v>6°2°6ILITS</v>
          </cell>
          <cell r="B405" t="str">
            <v>6°2°</v>
          </cell>
          <cell r="D405" t="str">
            <v>6ILITS</v>
          </cell>
          <cell r="E405">
            <v>2681816</v>
          </cell>
          <cell r="F405" t="str">
            <v>LITERATURA</v>
          </cell>
          <cell r="G405" t="str">
            <v xml:space="preserve">  27-25863263-5</v>
          </cell>
          <cell r="H405" t="str">
            <v xml:space="preserve"> INT 2025</v>
          </cell>
          <cell r="I405" t="str">
            <v>LOGUZZO, LORENA BEATRIZ</v>
          </cell>
          <cell r="L405" t="str">
            <v xml:space="preserve"> </v>
          </cell>
          <cell r="M405" t="str">
            <v xml:space="preserve"> </v>
          </cell>
          <cell r="N405" t="str">
            <v>TITULAR</v>
          </cell>
          <cell r="O405" t="str">
            <v>LOGUZZO, LORENA BEATRIZ</v>
          </cell>
        </row>
        <row r="406">
          <cell r="A406" t="str">
            <v>6°2°6IINGS</v>
          </cell>
          <cell r="B406" t="str">
            <v>6°2°</v>
          </cell>
          <cell r="D406" t="str">
            <v>6IINGS</v>
          </cell>
          <cell r="E406">
            <v>2681822</v>
          </cell>
          <cell r="F406" t="str">
            <v>INGLÉS</v>
          </cell>
          <cell r="G406">
            <v>26117162</v>
          </cell>
          <cell r="I406" t="str">
            <v>SARRIA, ANDREA</v>
          </cell>
          <cell r="L406">
            <v>27315554360</v>
          </cell>
          <cell r="M406" t="str">
            <v>GOMEZ NADIA GISELA</v>
          </cell>
          <cell r="N406" t="str">
            <v>SUPLENTE</v>
          </cell>
          <cell r="O406" t="str">
            <v>GOMEZ NADIA GISELA</v>
          </cell>
        </row>
        <row r="407">
          <cell r="A407" t="str">
            <v>6°2°6IEFIS</v>
          </cell>
          <cell r="B407" t="str">
            <v>6°2°</v>
          </cell>
          <cell r="D407" t="str">
            <v>6IEFIS</v>
          </cell>
          <cell r="E407">
            <v>2681823</v>
          </cell>
          <cell r="F407" t="str">
            <v>EDUCACIÓN FISICA</v>
          </cell>
          <cell r="G407">
            <v>28080737</v>
          </cell>
          <cell r="I407" t="str">
            <v xml:space="preserve">BURELA, MERCEDES </v>
          </cell>
          <cell r="L407" t="str">
            <v xml:space="preserve"> </v>
          </cell>
          <cell r="M407" t="str">
            <v xml:space="preserve"> </v>
          </cell>
          <cell r="N407" t="str">
            <v>TITULAR</v>
          </cell>
          <cell r="O407" t="str">
            <v xml:space="preserve">BURELA, MERCEDES </v>
          </cell>
        </row>
        <row r="408">
          <cell r="A408" t="str">
            <v>6°2°6IFILO</v>
          </cell>
          <cell r="B408" t="str">
            <v>6°2°</v>
          </cell>
          <cell r="D408" t="str">
            <v>6IFILO</v>
          </cell>
          <cell r="E408">
            <v>2681824</v>
          </cell>
          <cell r="F408" t="str">
            <v>FILOSOFIA</v>
          </cell>
          <cell r="G408">
            <v>23441836</v>
          </cell>
          <cell r="I408" t="str">
            <v>MIRANDA NACY</v>
          </cell>
          <cell r="L408">
            <v>0</v>
          </cell>
          <cell r="M408" t="str">
            <v>ESCALANTE RUTH</v>
          </cell>
          <cell r="N408" t="str">
            <v>SUPLENTE</v>
          </cell>
          <cell r="O408" t="str">
            <v>ESCALANTE RUTH</v>
          </cell>
        </row>
        <row r="409">
          <cell r="A409" t="str">
            <v>6°2°6IARTE</v>
          </cell>
          <cell r="B409" t="str">
            <v>6°2°</v>
          </cell>
          <cell r="D409" t="str">
            <v>6IARTE</v>
          </cell>
          <cell r="E409">
            <v>2681828</v>
          </cell>
          <cell r="F409" t="str">
            <v>ARTE</v>
          </cell>
          <cell r="G409" t="str">
            <v xml:space="preserve">   27-5.164.557-5</v>
          </cell>
          <cell r="I409" t="str">
            <v>GOMEZ, PATRICIA INT 2026</v>
          </cell>
          <cell r="L409" t="str">
            <v xml:space="preserve"> </v>
          </cell>
          <cell r="M409" t="str">
            <v xml:space="preserve"> </v>
          </cell>
          <cell r="N409" t="str">
            <v>TITULAR</v>
          </cell>
          <cell r="O409" t="str">
            <v>GOMEZ, PATRICIA INT 2026</v>
          </cell>
        </row>
        <row r="410">
          <cell r="A410" t="str">
            <v>6°2°6IMATAP</v>
          </cell>
          <cell r="B410" t="str">
            <v>6°2°</v>
          </cell>
          <cell r="D410" t="str">
            <v>6IMATAP</v>
          </cell>
          <cell r="E410">
            <v>2681831</v>
          </cell>
          <cell r="F410" t="str">
            <v>MATEMATICA APLICADA</v>
          </cell>
          <cell r="G410">
            <v>25671625</v>
          </cell>
          <cell r="I410" t="str">
            <v>GUADAGNO CLAUDIA</v>
          </cell>
          <cell r="L410" t="str">
            <v xml:space="preserve"> </v>
          </cell>
          <cell r="M410" t="str">
            <v xml:space="preserve"> </v>
          </cell>
          <cell r="N410" t="str">
            <v>TITULAR</v>
          </cell>
          <cell r="O410" t="str">
            <v>GUADAGNO CLAUDIA</v>
          </cell>
        </row>
        <row r="411">
          <cell r="A411" t="str">
            <v>6°2°6ISIDI6</v>
          </cell>
          <cell r="B411" t="str">
            <v>6°2°</v>
          </cell>
          <cell r="D411" t="str">
            <v>6ISIDI6</v>
          </cell>
          <cell r="E411">
            <v>2681834</v>
          </cell>
          <cell r="F411" t="str">
            <v>SISTEMA DIGITAL</v>
          </cell>
          <cell r="K411" t="str">
            <v>MONTES IVAN</v>
          </cell>
          <cell r="L411" t="str">
            <v xml:space="preserve"> </v>
          </cell>
          <cell r="M411" t="str">
            <v xml:space="preserve"> </v>
          </cell>
          <cell r="N411" t="str">
            <v>PROVISIONAL</v>
          </cell>
          <cell r="O411" t="str">
            <v>MONTES IVAN</v>
          </cell>
        </row>
        <row r="412">
          <cell r="A412" t="str">
            <v>6°2°6IINVOP</v>
          </cell>
          <cell r="B412" t="str">
            <v>6°2°</v>
          </cell>
          <cell r="D412" t="str">
            <v>6IINVOP</v>
          </cell>
          <cell r="E412">
            <v>2681836</v>
          </cell>
          <cell r="F412" t="str">
            <v>INVESTIGACION OPERATIVA</v>
          </cell>
          <cell r="K412" t="str">
            <v>MONTENEGRO</v>
          </cell>
          <cell r="L412" t="str">
            <v xml:space="preserve"> </v>
          </cell>
          <cell r="M412" t="str">
            <v xml:space="preserve"> </v>
          </cell>
          <cell r="N412" t="str">
            <v>PROVISIONAL</v>
          </cell>
          <cell r="O412" t="str">
            <v>MONTENEGRO</v>
          </cell>
        </row>
        <row r="413">
          <cell r="A413" t="str">
            <v>6°2°6ISEIN</v>
          </cell>
          <cell r="B413" t="str">
            <v>6°2°</v>
          </cell>
          <cell r="D413" t="str">
            <v>6ISEIN</v>
          </cell>
          <cell r="E413">
            <v>2681838</v>
          </cell>
          <cell r="F413" t="str">
            <v>SEGURIDAD INFORMATICA</v>
          </cell>
          <cell r="K413" t="str">
            <v>PALAVECINO</v>
          </cell>
          <cell r="L413" t="str">
            <v xml:space="preserve"> </v>
          </cell>
          <cell r="M413" t="str">
            <v xml:space="preserve"> </v>
          </cell>
          <cell r="N413" t="str">
            <v>PROVISIONAL</v>
          </cell>
          <cell r="O413" t="str">
            <v>PALAVECINO</v>
          </cell>
        </row>
        <row r="414">
          <cell r="A414" t="str">
            <v>6°2°6IDETRA</v>
          </cell>
          <cell r="B414" t="str">
            <v>6°2°</v>
          </cell>
          <cell r="D414" t="str">
            <v>6IDETRA</v>
          </cell>
          <cell r="E414">
            <v>2681840</v>
          </cell>
          <cell r="F414" t="str">
            <v>DERECHO DE TRABAJO</v>
          </cell>
          <cell r="G414" t="str">
            <v xml:space="preserve">  27-12.434.199-5</v>
          </cell>
          <cell r="L414" t="str">
            <v xml:space="preserve"> </v>
          </cell>
          <cell r="M414" t="str">
            <v xml:space="preserve"> </v>
          </cell>
          <cell r="N414" t="str">
            <v>TITULAR</v>
          </cell>
          <cell r="O414">
            <v>0</v>
          </cell>
        </row>
        <row r="415">
          <cell r="A415" t="str">
            <v>6°2°6216IFTLP6</v>
          </cell>
          <cell r="B415" t="str">
            <v>6°2°</v>
          </cell>
          <cell r="C415">
            <v>621</v>
          </cell>
          <cell r="D415" t="str">
            <v>6IFTLP6</v>
          </cell>
          <cell r="E415">
            <v>2681841</v>
          </cell>
          <cell r="F415" t="str">
            <v xml:space="preserve">LAB DE PROGRAM </v>
          </cell>
          <cell r="G415">
            <v>24862276</v>
          </cell>
          <cell r="I415" t="str">
            <v xml:space="preserve">COLINA PATRICIA </v>
          </cell>
          <cell r="L415">
            <v>0</v>
          </cell>
          <cell r="M415" t="str">
            <v>WITT GERARDO</v>
          </cell>
          <cell r="N415" t="str">
            <v>SUPLENTE</v>
          </cell>
          <cell r="O415" t="str">
            <v>WITT GERARDO</v>
          </cell>
        </row>
        <row r="416">
          <cell r="A416" t="str">
            <v>6°2°6216IFTLH6</v>
          </cell>
          <cell r="B416" t="str">
            <v>6°2°</v>
          </cell>
          <cell r="C416">
            <v>621</v>
          </cell>
          <cell r="D416" t="str">
            <v>6IFTLH6</v>
          </cell>
          <cell r="E416">
            <v>2681844</v>
          </cell>
          <cell r="F416" t="str">
            <v xml:space="preserve">LAB DE HARDWARE </v>
          </cell>
          <cell r="G416">
            <v>16019055</v>
          </cell>
          <cell r="K416" t="str">
            <v>COLINA</v>
          </cell>
          <cell r="L416">
            <v>0</v>
          </cell>
          <cell r="M416" t="str">
            <v>MONTENEGRO, CLAUDIA</v>
          </cell>
          <cell r="N416" t="str">
            <v>SUPLENTE</v>
          </cell>
          <cell r="O416" t="str">
            <v>MONTENEGRO, CLAUDIA</v>
          </cell>
        </row>
        <row r="417">
          <cell r="A417" t="str">
            <v>6°2°6216IFHLS6</v>
          </cell>
          <cell r="B417" t="str">
            <v>6°2°</v>
          </cell>
          <cell r="C417">
            <v>621</v>
          </cell>
          <cell r="D417" t="str">
            <v>6IFHLS6</v>
          </cell>
          <cell r="E417">
            <v>2681845</v>
          </cell>
          <cell r="F417" t="str">
            <v xml:space="preserve">LAB DE SIST OPERATIVOS </v>
          </cell>
          <cell r="G417" t="str">
            <v xml:space="preserve"> 27-14.685.999-8 </v>
          </cell>
          <cell r="H417" t="str">
            <v xml:space="preserve"> (MASIVA)</v>
          </cell>
          <cell r="K417" t="str">
            <v>FERREYRA JESICA</v>
          </cell>
          <cell r="L417" t="str">
            <v xml:space="preserve"> </v>
          </cell>
          <cell r="M417" t="str">
            <v xml:space="preserve"> </v>
          </cell>
          <cell r="N417" t="str">
            <v>PROVISIONAL</v>
          </cell>
          <cell r="O417" t="str">
            <v>FERREYRA JESICA</v>
          </cell>
        </row>
        <row r="418">
          <cell r="A418" t="str">
            <v>6°2°6216IFTLA6</v>
          </cell>
          <cell r="B418" t="str">
            <v>6°2°</v>
          </cell>
          <cell r="C418">
            <v>621</v>
          </cell>
          <cell r="D418" t="str">
            <v>6IFTLA6</v>
          </cell>
          <cell r="E418">
            <v>2681854</v>
          </cell>
          <cell r="F418" t="str">
            <v xml:space="preserve">LAB DE APLICACIONES </v>
          </cell>
          <cell r="K418" t="str">
            <v>HERRERA STELLA</v>
          </cell>
          <cell r="L418" t="str">
            <v xml:space="preserve"> </v>
          </cell>
          <cell r="M418" t="str">
            <v xml:space="preserve"> </v>
          </cell>
          <cell r="N418" t="str">
            <v>PROVISIONAL</v>
          </cell>
          <cell r="O418" t="str">
            <v>HERRERA STELLA</v>
          </cell>
        </row>
        <row r="419">
          <cell r="A419" t="str">
            <v>6°2°6226IFTLP6</v>
          </cell>
          <cell r="B419" t="str">
            <v>6°2°</v>
          </cell>
          <cell r="C419">
            <v>622</v>
          </cell>
          <cell r="D419" t="str">
            <v>6IFTLP6</v>
          </cell>
          <cell r="E419">
            <v>2681857</v>
          </cell>
          <cell r="F419" t="str">
            <v xml:space="preserve">LAB DE PROGRAM </v>
          </cell>
          <cell r="G419" t="str">
            <v xml:space="preserve"> 27-21.065.864-0</v>
          </cell>
          <cell r="K419" t="str">
            <v>WITT  GERARDO</v>
          </cell>
          <cell r="L419" t="str">
            <v xml:space="preserve"> </v>
          </cell>
          <cell r="M419" t="str">
            <v xml:space="preserve"> </v>
          </cell>
          <cell r="N419" t="str">
            <v>PROVISIONAL</v>
          </cell>
          <cell r="O419" t="str">
            <v>WITT  GERARDO</v>
          </cell>
        </row>
        <row r="420">
          <cell r="A420" t="str">
            <v>6°2°6226IFTLH6</v>
          </cell>
          <cell r="B420" t="str">
            <v>6°2°</v>
          </cell>
          <cell r="C420">
            <v>622</v>
          </cell>
          <cell r="D420" t="str">
            <v>6IFTLH6</v>
          </cell>
          <cell r="E420">
            <v>2681860</v>
          </cell>
          <cell r="F420" t="str">
            <v xml:space="preserve">LAB DE HARDWARE </v>
          </cell>
          <cell r="K420" t="str">
            <v xml:space="preserve"> </v>
          </cell>
          <cell r="L420" t="str">
            <v xml:space="preserve"> </v>
          </cell>
          <cell r="M420" t="str">
            <v xml:space="preserve"> </v>
          </cell>
          <cell r="N420" t="str">
            <v>PROVISIONAL</v>
          </cell>
          <cell r="O420" t="str">
            <v xml:space="preserve"> </v>
          </cell>
        </row>
        <row r="421">
          <cell r="A421" t="str">
            <v>6°2°6226IFHLS6</v>
          </cell>
          <cell r="B421" t="str">
            <v>6°2°</v>
          </cell>
          <cell r="C421">
            <v>622</v>
          </cell>
          <cell r="D421" t="str">
            <v>6IFHLS6</v>
          </cell>
          <cell r="E421">
            <v>2681867</v>
          </cell>
          <cell r="F421" t="str">
            <v xml:space="preserve">LAB DE SIST OPERATIVOS </v>
          </cell>
          <cell r="J421">
            <v>29615231</v>
          </cell>
          <cell r="K421" t="str">
            <v xml:space="preserve">BARCENILLA, JAVIER </v>
          </cell>
          <cell r="L421" t="str">
            <v xml:space="preserve"> </v>
          </cell>
          <cell r="M421" t="str">
            <v xml:space="preserve"> </v>
          </cell>
          <cell r="N421" t="str">
            <v>PROVISIONAL</v>
          </cell>
          <cell r="O421" t="str">
            <v xml:space="preserve">BARCENILLA, JAVIER </v>
          </cell>
        </row>
        <row r="422">
          <cell r="A422" t="str">
            <v>6°2°6226IFTLA6</v>
          </cell>
          <cell r="B422" t="str">
            <v>6°2°</v>
          </cell>
          <cell r="C422">
            <v>622</v>
          </cell>
          <cell r="D422" t="str">
            <v>6IFTLA6</v>
          </cell>
          <cell r="E422">
            <v>2681873</v>
          </cell>
          <cell r="F422" t="str">
            <v xml:space="preserve">LAB DE APLICACIONES </v>
          </cell>
          <cell r="G422">
            <v>26174351</v>
          </cell>
          <cell r="I422" t="str">
            <v xml:space="preserve">GOMEZ ANALIA </v>
          </cell>
          <cell r="L422">
            <v>27378801678</v>
          </cell>
          <cell r="M422" t="str">
            <v>AGUIRRE ISABEL ITATI</v>
          </cell>
          <cell r="N422" t="str">
            <v>SUPLENTE</v>
          </cell>
          <cell r="O422" t="str">
            <v>AGUIRRE ISABEL ITATI</v>
          </cell>
        </row>
        <row r="423">
          <cell r="A423" t="str">
            <v>6°4°6ELITS</v>
          </cell>
          <cell r="B423" t="str">
            <v>6°4°</v>
          </cell>
          <cell r="D423" t="str">
            <v>6ELITS</v>
          </cell>
          <cell r="E423">
            <v>2683102</v>
          </cell>
          <cell r="F423" t="str">
            <v>LITERATURA</v>
          </cell>
          <cell r="G423" t="str">
            <v>27-23.441.991-4</v>
          </cell>
          <cell r="I423" t="str">
            <v>ALFONSO</v>
          </cell>
          <cell r="L423" t="str">
            <v xml:space="preserve"> </v>
          </cell>
          <cell r="M423" t="str">
            <v xml:space="preserve"> </v>
          </cell>
          <cell r="N423" t="str">
            <v>TITULAR</v>
          </cell>
          <cell r="O423" t="str">
            <v>ALFONSO</v>
          </cell>
        </row>
        <row r="424">
          <cell r="A424" t="str">
            <v>6°4°6EINGS</v>
          </cell>
          <cell r="B424" t="str">
            <v>6°4°</v>
          </cell>
          <cell r="D424" t="str">
            <v>6EINGS</v>
          </cell>
          <cell r="E424">
            <v>2683103</v>
          </cell>
          <cell r="F424" t="str">
            <v>INGLÉS</v>
          </cell>
          <cell r="G424" t="str">
            <v>27-29.433.432-2</v>
          </cell>
          <cell r="I424" t="str">
            <v xml:space="preserve">ARCE KARINA </v>
          </cell>
          <cell r="L424" t="str">
            <v xml:space="preserve"> </v>
          </cell>
          <cell r="M424" t="str">
            <v xml:space="preserve"> </v>
          </cell>
          <cell r="N424" t="str">
            <v>TITULAR</v>
          </cell>
          <cell r="O424" t="str">
            <v xml:space="preserve">ARCE KARINA </v>
          </cell>
        </row>
        <row r="425">
          <cell r="A425" t="str">
            <v>6°4°6EEFIS</v>
          </cell>
          <cell r="B425" t="str">
            <v>6°4°</v>
          </cell>
          <cell r="D425" t="str">
            <v>6EEFIS</v>
          </cell>
          <cell r="E425">
            <v>2683104</v>
          </cell>
          <cell r="F425" t="str">
            <v>EDUCACIÓN FISICA</v>
          </cell>
          <cell r="I425" t="str">
            <v>RIOS, LEONARDO  20-34020185-0</v>
          </cell>
          <cell r="L425" t="str">
            <v xml:space="preserve"> </v>
          </cell>
          <cell r="M425" t="str">
            <v xml:space="preserve"> </v>
          </cell>
          <cell r="N425" t="str">
            <v>TITULAR</v>
          </cell>
          <cell r="O425" t="str">
            <v>RIOS, LEONARDO  20-34020185-0</v>
          </cell>
        </row>
        <row r="426">
          <cell r="A426" t="str">
            <v>6°4°6EFILO</v>
          </cell>
          <cell r="B426" t="str">
            <v>6°4°</v>
          </cell>
          <cell r="D426" t="str">
            <v>6EFILO</v>
          </cell>
          <cell r="E426">
            <v>2683105</v>
          </cell>
          <cell r="F426" t="str">
            <v>FILOSOFIA</v>
          </cell>
          <cell r="H426">
            <v>26705268</v>
          </cell>
          <cell r="I426" t="str">
            <v>LETIERI, MANUEL</v>
          </cell>
          <cell r="L426" t="str">
            <v xml:space="preserve"> </v>
          </cell>
          <cell r="M426" t="str">
            <v xml:space="preserve"> </v>
          </cell>
          <cell r="N426" t="str">
            <v>TITULAR</v>
          </cell>
          <cell r="O426" t="str">
            <v>LETIERI, MANUEL</v>
          </cell>
        </row>
        <row r="427">
          <cell r="A427" t="str">
            <v>6°4°6EARTE</v>
          </cell>
          <cell r="B427" t="str">
            <v>6°4°</v>
          </cell>
          <cell r="D427" t="str">
            <v>6EARTE</v>
          </cell>
          <cell r="E427">
            <v>2683106</v>
          </cell>
          <cell r="F427" t="str">
            <v>ARTE</v>
          </cell>
          <cell r="G427">
            <v>34789999</v>
          </cell>
          <cell r="K427" t="str">
            <v>FERNANDEZ MAXIMILIANO</v>
          </cell>
          <cell r="L427" t="str">
            <v xml:space="preserve"> </v>
          </cell>
          <cell r="M427" t="str">
            <v xml:space="preserve"> </v>
          </cell>
          <cell r="N427" t="str">
            <v>PROVISIONAL</v>
          </cell>
          <cell r="O427" t="str">
            <v>FERNANDEZ MAXIMILIANO</v>
          </cell>
        </row>
        <row r="428">
          <cell r="A428" t="str">
            <v>6°4°6EMATAP</v>
          </cell>
          <cell r="B428" t="str">
            <v>6°4°</v>
          </cell>
          <cell r="D428" t="str">
            <v>6EMATAP</v>
          </cell>
          <cell r="E428">
            <v>2683107</v>
          </cell>
          <cell r="F428" t="str">
            <v>MATEMATICA APLICADA</v>
          </cell>
          <cell r="G428">
            <v>23944999</v>
          </cell>
          <cell r="J428">
            <v>27464627</v>
          </cell>
          <cell r="K428" t="str">
            <v>WEBBER BRIAN</v>
          </cell>
          <cell r="L428" t="str">
            <v xml:space="preserve"> </v>
          </cell>
          <cell r="M428" t="str">
            <v xml:space="preserve"> </v>
          </cell>
          <cell r="N428" t="str">
            <v>PROVISIONAL</v>
          </cell>
          <cell r="O428" t="str">
            <v>WEBBER BRIAN</v>
          </cell>
        </row>
        <row r="429">
          <cell r="A429" t="str">
            <v>6°4°6ESISCO</v>
          </cell>
          <cell r="B429" t="str">
            <v>6°4°</v>
          </cell>
          <cell r="D429" t="str">
            <v>6ESISCO</v>
          </cell>
          <cell r="E429">
            <v>2683108</v>
          </cell>
          <cell r="F429" t="str">
            <v>SISTEMA DE COMUNICACIONES</v>
          </cell>
          <cell r="J429">
            <v>44655</v>
          </cell>
          <cell r="K429" t="str">
            <v>DELGADO ARIEL</v>
          </cell>
          <cell r="L429" t="str">
            <v xml:space="preserve"> </v>
          </cell>
          <cell r="M429" t="str">
            <v xml:space="preserve"> </v>
          </cell>
          <cell r="N429" t="str">
            <v>PROVISIONAL</v>
          </cell>
          <cell r="O429" t="str">
            <v>DELGADO ARIEL</v>
          </cell>
        </row>
        <row r="430">
          <cell r="A430" t="str">
            <v>6°4°6EINSMA</v>
          </cell>
          <cell r="B430" t="str">
            <v>6°4°</v>
          </cell>
          <cell r="D430" t="str">
            <v>6EINSMA</v>
          </cell>
          <cell r="E430">
            <v>2683109</v>
          </cell>
          <cell r="F430" t="str">
            <v>INSTALACIONES Y MAQUINAS ELECTRICAS</v>
          </cell>
          <cell r="J430">
            <v>26024164</v>
          </cell>
          <cell r="K430" t="str">
            <v xml:space="preserve">SAUCEDO GUSTAVO </v>
          </cell>
          <cell r="L430" t="str">
            <v xml:space="preserve"> </v>
          </cell>
          <cell r="M430" t="str">
            <v xml:space="preserve"> </v>
          </cell>
          <cell r="N430" t="str">
            <v>PROVISIONAL</v>
          </cell>
          <cell r="O430" t="str">
            <v xml:space="preserve">SAUCEDO GUSTAVO </v>
          </cell>
        </row>
        <row r="431">
          <cell r="A431" t="str">
            <v>6°4°6ESIPRO</v>
          </cell>
          <cell r="B431" t="str">
            <v>6°4°</v>
          </cell>
          <cell r="D431" t="str">
            <v>6ESIPRO</v>
          </cell>
          <cell r="E431">
            <v>2683110</v>
          </cell>
          <cell r="F431" t="str">
            <v>SISTEMA PRODUCTIVO</v>
          </cell>
          <cell r="J431" t="str">
            <v>20-25.454.930-5</v>
          </cell>
          <cell r="K431" t="str">
            <v>CORDOBA ALEJANDRO</v>
          </cell>
          <cell r="L431">
            <v>23086757</v>
          </cell>
          <cell r="M431" t="str">
            <v>VERON, DAIANA A 27-34985561-0</v>
          </cell>
          <cell r="N431" t="str">
            <v>SUPLENTE</v>
          </cell>
          <cell r="O431" t="str">
            <v>VERON, DAIANA A 27-34985561-0</v>
          </cell>
        </row>
        <row r="432">
          <cell r="A432" t="str">
            <v>6°4°6EDETRA</v>
          </cell>
          <cell r="B432" t="str">
            <v>6°4°</v>
          </cell>
          <cell r="D432" t="str">
            <v>6EDETRA</v>
          </cell>
          <cell r="E432">
            <v>2683111</v>
          </cell>
          <cell r="F432" t="str">
            <v>DERECHO DE TRABAJO</v>
          </cell>
          <cell r="G432">
            <v>27946097</v>
          </cell>
          <cell r="I432" t="str">
            <v xml:space="preserve">GORDILLO NORA </v>
          </cell>
          <cell r="L432" t="str">
            <v xml:space="preserve"> </v>
          </cell>
          <cell r="M432" t="str">
            <v xml:space="preserve"> </v>
          </cell>
          <cell r="N432" t="str">
            <v>TITULAR</v>
          </cell>
          <cell r="O432" t="str">
            <v xml:space="preserve">GORDILLO NORA </v>
          </cell>
        </row>
        <row r="433">
          <cell r="A433" t="str">
            <v>6°4°6416ELENE6</v>
          </cell>
          <cell r="B433" t="str">
            <v>6°4°</v>
          </cell>
          <cell r="C433">
            <v>641</v>
          </cell>
          <cell r="D433" t="str">
            <v>6ELENE6</v>
          </cell>
          <cell r="E433">
            <v>2683112</v>
          </cell>
          <cell r="F433" t="str">
            <v>LENGUAJES ELECTRONICOS</v>
          </cell>
          <cell r="K433" t="str">
            <v>GONANO, GERMAN S</v>
          </cell>
          <cell r="L433" t="str">
            <v xml:space="preserve"> </v>
          </cell>
          <cell r="M433" t="str">
            <v xml:space="preserve"> </v>
          </cell>
          <cell r="N433" t="str">
            <v>PROVISIONAL</v>
          </cell>
          <cell r="O433" t="str">
            <v>GONANO, GERMAN S</v>
          </cell>
        </row>
        <row r="434">
          <cell r="A434" t="str">
            <v>6°4°6416EFTAE6</v>
          </cell>
          <cell r="B434" t="str">
            <v>6°4°</v>
          </cell>
          <cell r="C434">
            <v>641</v>
          </cell>
          <cell r="D434" t="str">
            <v>6EFTAE6</v>
          </cell>
          <cell r="E434">
            <v>2683113</v>
          </cell>
          <cell r="F434" t="str">
            <v>APLIC ELECT ANALOG</v>
          </cell>
          <cell r="J434">
            <v>18383726</v>
          </cell>
          <cell r="K434" t="str">
            <v xml:space="preserve">MARTINEZ, SILVIO </v>
          </cell>
          <cell r="L434" t="str">
            <v xml:space="preserve"> </v>
          </cell>
          <cell r="M434" t="str">
            <v xml:space="preserve"> </v>
          </cell>
          <cell r="N434" t="str">
            <v>PROVISIONAL</v>
          </cell>
          <cell r="O434" t="str">
            <v xml:space="preserve">MARTINEZ, SILVIO </v>
          </cell>
        </row>
        <row r="435">
          <cell r="A435" t="str">
            <v>6°4°6416EFTED6</v>
          </cell>
          <cell r="B435" t="str">
            <v>6°4°</v>
          </cell>
          <cell r="C435">
            <v>641</v>
          </cell>
          <cell r="D435" t="str">
            <v>6EFTED6</v>
          </cell>
          <cell r="E435">
            <v>2683114</v>
          </cell>
          <cell r="F435" t="str">
            <v xml:space="preserve">APLIC ELECTR DIGITAL </v>
          </cell>
          <cell r="J435">
            <v>26114670</v>
          </cell>
          <cell r="K435" t="str">
            <v>BULACIO ARIEL</v>
          </cell>
          <cell r="L435" t="str">
            <v xml:space="preserve"> </v>
          </cell>
          <cell r="M435" t="str">
            <v xml:space="preserve"> </v>
          </cell>
          <cell r="N435" t="str">
            <v>PROVISIONAL</v>
          </cell>
          <cell r="O435" t="str">
            <v>BULACIO ARIEL</v>
          </cell>
        </row>
        <row r="436">
          <cell r="A436" t="str">
            <v>6°4°6416EFTMP6</v>
          </cell>
          <cell r="B436" t="str">
            <v>6°4°</v>
          </cell>
          <cell r="C436">
            <v>641</v>
          </cell>
          <cell r="D436" t="str">
            <v>6EFTMP6</v>
          </cell>
          <cell r="E436">
            <v>2683116</v>
          </cell>
          <cell r="F436" t="str">
            <v xml:space="preserve">MONTAJE DE PROYECTO ELECTRONICOS </v>
          </cell>
          <cell r="G436">
            <v>26024164</v>
          </cell>
          <cell r="H436" t="str">
            <v>(MASIVA)</v>
          </cell>
          <cell r="I436" t="str">
            <v>SAUCEDO GUSTAVO</v>
          </cell>
          <cell r="L436" t="str">
            <v xml:space="preserve"> </v>
          </cell>
          <cell r="M436" t="str">
            <v xml:space="preserve"> </v>
          </cell>
          <cell r="N436" t="str">
            <v>TITULAR</v>
          </cell>
          <cell r="O436" t="str">
            <v>SAUCEDO GUSTAVO</v>
          </cell>
        </row>
        <row r="437">
          <cell r="A437" t="str">
            <v>6°4°6426ELENE6</v>
          </cell>
          <cell r="B437" t="str">
            <v>6°4°</v>
          </cell>
          <cell r="C437">
            <v>642</v>
          </cell>
          <cell r="D437" t="str">
            <v>6ELENE6</v>
          </cell>
          <cell r="E437">
            <v>2683118</v>
          </cell>
          <cell r="F437" t="str">
            <v>LENGUAJES ELECTRONICOS</v>
          </cell>
          <cell r="G437">
            <v>18192893</v>
          </cell>
          <cell r="H437" t="str">
            <v xml:space="preserve"> (MASIVA)</v>
          </cell>
          <cell r="K437" t="str">
            <v>GONANO GERMAN</v>
          </cell>
          <cell r="L437" t="str">
            <v xml:space="preserve"> </v>
          </cell>
          <cell r="M437" t="str">
            <v xml:space="preserve"> </v>
          </cell>
          <cell r="N437" t="str">
            <v>PROVISIONAL</v>
          </cell>
          <cell r="O437" t="str">
            <v>GONANO GERMAN</v>
          </cell>
        </row>
        <row r="438">
          <cell r="A438" t="str">
            <v>6°4°6426EFTAE6</v>
          </cell>
          <cell r="B438" t="str">
            <v>6°4°</v>
          </cell>
          <cell r="C438">
            <v>642</v>
          </cell>
          <cell r="D438" t="str">
            <v>6EFTAE6</v>
          </cell>
          <cell r="E438">
            <v>2683119</v>
          </cell>
          <cell r="F438" t="str">
            <v>APLIC ELECT ANALOG</v>
          </cell>
          <cell r="J438">
            <v>26114670</v>
          </cell>
          <cell r="K438" t="str">
            <v>BULACIO ARIEL</v>
          </cell>
          <cell r="N438" t="str">
            <v>SUPLENTE</v>
          </cell>
          <cell r="O438">
            <v>0</v>
          </cell>
        </row>
        <row r="439">
          <cell r="A439" t="str">
            <v>6°4°6426EFTED6</v>
          </cell>
          <cell r="B439" t="str">
            <v>6°4°</v>
          </cell>
          <cell r="C439">
            <v>642</v>
          </cell>
          <cell r="D439" t="str">
            <v>6EFTED6</v>
          </cell>
          <cell r="E439">
            <v>2683120</v>
          </cell>
          <cell r="F439" t="str">
            <v xml:space="preserve">APLIC ELECTR DIGITAL </v>
          </cell>
          <cell r="G439">
            <v>16354054</v>
          </cell>
          <cell r="H439" t="str">
            <v>(MASIVA)</v>
          </cell>
          <cell r="J439">
            <v>20274646277</v>
          </cell>
          <cell r="K439" t="str">
            <v>BARONI ROBERTO ALEJANDRO</v>
          </cell>
          <cell r="L439" t="str">
            <v xml:space="preserve"> </v>
          </cell>
          <cell r="M439" t="str">
            <v xml:space="preserve"> </v>
          </cell>
          <cell r="N439" t="str">
            <v>PROVISIONAL</v>
          </cell>
          <cell r="O439" t="str">
            <v>BARONI ROBERTO ALEJANDRO</v>
          </cell>
        </row>
        <row r="440">
          <cell r="A440" t="str">
            <v>6°4°6426EFTMP6</v>
          </cell>
          <cell r="B440" t="str">
            <v>6°4°</v>
          </cell>
          <cell r="C440">
            <v>642</v>
          </cell>
          <cell r="D440" t="str">
            <v>6EFTMP6</v>
          </cell>
          <cell r="E440">
            <v>2683121</v>
          </cell>
          <cell r="F440" t="str">
            <v xml:space="preserve">MONTAJE DE PROYECTO ELECTRONICOS </v>
          </cell>
          <cell r="G440">
            <v>26024164</v>
          </cell>
          <cell r="H440" t="str">
            <v>(MASIVA)</v>
          </cell>
          <cell r="I440" t="str">
            <v>SAUCEDO GUSTAVO</v>
          </cell>
          <cell r="L440" t="str">
            <v xml:space="preserve"> </v>
          </cell>
          <cell r="M440" t="str">
            <v xml:space="preserve"> </v>
          </cell>
          <cell r="N440" t="str">
            <v>TITULAR</v>
          </cell>
          <cell r="O440" t="str">
            <v>SAUCEDO GUSTAVO</v>
          </cell>
        </row>
        <row r="441">
          <cell r="A441" t="str">
            <v>7°1°7117IPPSIN</v>
          </cell>
          <cell r="B441" t="str">
            <v>7°1°</v>
          </cell>
          <cell r="C441">
            <v>711</v>
          </cell>
          <cell r="D441" t="str">
            <v>7IPPSIN</v>
          </cell>
          <cell r="E441">
            <v>1913682</v>
          </cell>
          <cell r="F441" t="str">
            <v>PRACTICAS PROFESIONALIZANTES</v>
          </cell>
          <cell r="K441" t="str">
            <v>DANIEL PAZ</v>
          </cell>
          <cell r="L441" t="str">
            <v xml:space="preserve"> </v>
          </cell>
          <cell r="M441" t="str">
            <v xml:space="preserve"> </v>
          </cell>
          <cell r="N441" t="str">
            <v>PROVISIONAL</v>
          </cell>
          <cell r="O441" t="str">
            <v>DANIEL PAZ</v>
          </cell>
        </row>
        <row r="442">
          <cell r="A442" t="str">
            <v>7°1°7IPPDLO</v>
          </cell>
          <cell r="B442" t="str">
            <v>7°1°</v>
          </cell>
          <cell r="D442" t="str">
            <v>7IPPDLO</v>
          </cell>
          <cell r="E442">
            <v>1913687</v>
          </cell>
          <cell r="F442" t="str">
            <v>EMPRENDIMIENTO PRODUCTIVO Y DESARROLLO LOCAL</v>
          </cell>
          <cell r="K442" t="str">
            <v>CARPITELLA FABIAN</v>
          </cell>
          <cell r="L442" t="str">
            <v xml:space="preserve"> </v>
          </cell>
          <cell r="M442" t="str">
            <v xml:space="preserve"> </v>
          </cell>
          <cell r="N442" t="str">
            <v>PROVISIONAL</v>
          </cell>
          <cell r="O442" t="str">
            <v>CARPITELLA FABIAN</v>
          </cell>
        </row>
        <row r="443">
          <cell r="A443" t="str">
            <v>7°1°7IEVPRO</v>
          </cell>
          <cell r="B443" t="str">
            <v>7°1°</v>
          </cell>
          <cell r="D443" t="str">
            <v>7IEVPRO</v>
          </cell>
          <cell r="E443">
            <v>1913689</v>
          </cell>
          <cell r="F443" t="str">
            <v>EVALUACION DE PROYECTO</v>
          </cell>
          <cell r="K443" t="str">
            <v>ROCHA JULIETA</v>
          </cell>
          <cell r="L443" t="str">
            <v xml:space="preserve"> </v>
          </cell>
          <cell r="M443" t="str">
            <v xml:space="preserve"> </v>
          </cell>
          <cell r="N443" t="str">
            <v>PROVISIONAL</v>
          </cell>
          <cell r="O443" t="str">
            <v>ROCHA JULIETA</v>
          </cell>
        </row>
        <row r="444">
          <cell r="A444" t="str">
            <v>7°1°7IMOSIS</v>
          </cell>
          <cell r="B444" t="str">
            <v>7°1°</v>
          </cell>
          <cell r="D444" t="str">
            <v>7IMOSIS</v>
          </cell>
          <cell r="E444">
            <v>1913692</v>
          </cell>
          <cell r="F444" t="str">
            <v>MODELOS Y SISTEMAS</v>
          </cell>
          <cell r="G444" t="str">
            <v xml:space="preserve"> 27-21.065.864-0</v>
          </cell>
          <cell r="K444" t="str">
            <v>ROCHA JULIETA</v>
          </cell>
          <cell r="L444" t="str">
            <v xml:space="preserve"> </v>
          </cell>
          <cell r="M444" t="str">
            <v xml:space="preserve"> </v>
          </cell>
          <cell r="N444" t="str">
            <v>PROVISIONAL</v>
          </cell>
          <cell r="O444" t="str">
            <v>ROCHA JULIETA</v>
          </cell>
        </row>
        <row r="445">
          <cell r="A445" t="str">
            <v>7°1°7IBADAT</v>
          </cell>
          <cell r="B445" t="str">
            <v>7°1°</v>
          </cell>
          <cell r="D445" t="str">
            <v>7IBADAT</v>
          </cell>
          <cell r="E445">
            <v>1913695</v>
          </cell>
          <cell r="F445" t="str">
            <v>BASE DE DATOS</v>
          </cell>
          <cell r="K445" t="str">
            <v>WITT  GERARDO</v>
          </cell>
          <cell r="L445" t="str">
            <v xml:space="preserve"> </v>
          </cell>
          <cell r="M445" t="str">
            <v xml:space="preserve"> </v>
          </cell>
          <cell r="N445" t="str">
            <v>PROVISIONAL</v>
          </cell>
          <cell r="O445" t="str">
            <v>WITT  GERARDO</v>
          </cell>
        </row>
        <row r="446">
          <cell r="A446" t="str">
            <v>7°1°7117IPDISC</v>
          </cell>
          <cell r="B446" t="str">
            <v>7°1°</v>
          </cell>
          <cell r="C446">
            <v>711</v>
          </cell>
          <cell r="D446" t="str">
            <v>7IPDISC</v>
          </cell>
          <cell r="E446">
            <v>1913696</v>
          </cell>
          <cell r="F446" t="str">
            <v>PROYECTO, DISEÑO E IMPLEMENTACION DE SISTEMAS COMPUTACIONALES</v>
          </cell>
          <cell r="J446">
            <v>20051192</v>
          </cell>
          <cell r="K446" t="str">
            <v>CARPITELLA FABIAN</v>
          </cell>
          <cell r="L446" t="str">
            <v xml:space="preserve"> </v>
          </cell>
          <cell r="M446" t="str">
            <v xml:space="preserve"> </v>
          </cell>
          <cell r="N446" t="str">
            <v>PROVISIONAL</v>
          </cell>
          <cell r="O446" t="str">
            <v>CARPITELLA FABIAN</v>
          </cell>
        </row>
        <row r="447">
          <cell r="A447" t="str">
            <v>7°1°7117IIMRSC</v>
          </cell>
          <cell r="B447" t="str">
            <v>7°1°</v>
          </cell>
          <cell r="C447">
            <v>711</v>
          </cell>
          <cell r="D447" t="str">
            <v>7IIMRSC</v>
          </cell>
          <cell r="E447">
            <v>1913702</v>
          </cell>
          <cell r="F447" t="str">
            <v>INSTALACION, MANTENIMIENTO Y REPARACION DE SISTEMAS COMPUTACIONALES-</v>
          </cell>
          <cell r="G447">
            <v>16019055</v>
          </cell>
          <cell r="K447" t="str">
            <v>AÑASCO, GABRIEL  20-36089659-6</v>
          </cell>
          <cell r="L447" t="str">
            <v xml:space="preserve"> </v>
          </cell>
          <cell r="M447" t="str">
            <v xml:space="preserve"> </v>
          </cell>
          <cell r="N447" t="str">
            <v>PROVISIONAL</v>
          </cell>
          <cell r="O447" t="str">
            <v>AÑASCO, GABRIEL  20-36089659-6</v>
          </cell>
        </row>
        <row r="448">
          <cell r="A448" t="str">
            <v>7°1°7117IIMRRI</v>
          </cell>
          <cell r="B448" t="str">
            <v>7°1°</v>
          </cell>
          <cell r="C448">
            <v>711</v>
          </cell>
          <cell r="D448" t="str">
            <v>7IIMRRI</v>
          </cell>
          <cell r="E448">
            <v>1913707</v>
          </cell>
          <cell r="F448" t="str">
            <v xml:space="preserve">INSTALACION, MANTENIMIENTO Y REPARACION DE REDES INFORMATICAS- </v>
          </cell>
          <cell r="G448">
            <v>24862276</v>
          </cell>
          <cell r="I448" t="str">
            <v xml:space="preserve">COLINA PATRICIA </v>
          </cell>
          <cell r="L448">
            <v>23086757</v>
          </cell>
          <cell r="M448" t="str">
            <v>DELLA VECCHIA</v>
          </cell>
          <cell r="N448" t="str">
            <v>SUPLENTE</v>
          </cell>
          <cell r="O448" t="str">
            <v>DELLA VECCHIA</v>
          </cell>
        </row>
        <row r="449">
          <cell r="A449" t="str">
            <v>7°1°7127IPDISC</v>
          </cell>
          <cell r="B449" t="str">
            <v>7°1°</v>
          </cell>
          <cell r="C449">
            <v>712</v>
          </cell>
          <cell r="D449" t="str">
            <v>7IPDISC</v>
          </cell>
          <cell r="E449">
            <v>1913712</v>
          </cell>
          <cell r="F449" t="str">
            <v>PROYECTO, DISEÑO E IMPLEMENTACION DE SISTEMAS COMPUTACIONALES</v>
          </cell>
          <cell r="J449">
            <v>20051192</v>
          </cell>
          <cell r="K449" t="str">
            <v>CARPITELLA FABIAN</v>
          </cell>
          <cell r="L449" t="str">
            <v xml:space="preserve"> </v>
          </cell>
          <cell r="M449" t="str">
            <v xml:space="preserve"> </v>
          </cell>
          <cell r="N449" t="str">
            <v>PROVISIONAL</v>
          </cell>
          <cell r="O449" t="str">
            <v>CARPITELLA FABIAN</v>
          </cell>
        </row>
        <row r="450">
          <cell r="A450" t="str">
            <v>7°1°7127IIMRSC</v>
          </cell>
          <cell r="B450" t="str">
            <v>7°1°</v>
          </cell>
          <cell r="C450">
            <v>712</v>
          </cell>
          <cell r="D450" t="str">
            <v>7IIMRSC</v>
          </cell>
          <cell r="E450">
            <v>1913725</v>
          </cell>
          <cell r="F450" t="str">
            <v>INSTALACION, MANTENIMIENTO Y REPARACION DE SISTEMAS COMPUTACIONALES-</v>
          </cell>
          <cell r="G450">
            <v>24862276</v>
          </cell>
          <cell r="H450" t="str">
            <v>(MASIVA)</v>
          </cell>
          <cell r="I450" t="str">
            <v>COLINA PATRICIA</v>
          </cell>
          <cell r="L450">
            <v>23086757</v>
          </cell>
          <cell r="M450" t="str">
            <v>MELGARJO. GARCIA V</v>
          </cell>
          <cell r="N450" t="str">
            <v>SUPLENTE</v>
          </cell>
          <cell r="O450" t="str">
            <v>MELGARJO. GARCIA V</v>
          </cell>
        </row>
        <row r="451">
          <cell r="A451" t="str">
            <v>7°1°7127IIMRRI</v>
          </cell>
          <cell r="B451" t="str">
            <v>7°1°</v>
          </cell>
          <cell r="C451">
            <v>712</v>
          </cell>
          <cell r="D451" t="str">
            <v>7IIMRRI</v>
          </cell>
          <cell r="E451">
            <v>1913731</v>
          </cell>
          <cell r="F451" t="str">
            <v xml:space="preserve">INSTALACION, MANTENIMIENTO Y REPARACION DE REDES INFORMATICAS- </v>
          </cell>
          <cell r="G451" t="str">
            <v xml:space="preserve"> 27-21.065.864-0</v>
          </cell>
          <cell r="K451" t="str">
            <v xml:space="preserve">DELLA VECCHIA </v>
          </cell>
          <cell r="L451">
            <v>0</v>
          </cell>
          <cell r="M451" t="str">
            <v>DELLA VECCHIA I</v>
          </cell>
          <cell r="N451" t="str">
            <v>SUPLENTE</v>
          </cell>
          <cell r="O451" t="str">
            <v>DELLA VECCHIA I</v>
          </cell>
        </row>
        <row r="452">
          <cell r="A452" t="str">
            <v>7°2°7EPPSEL</v>
          </cell>
          <cell r="B452" t="str">
            <v>7°2°</v>
          </cell>
          <cell r="D452" t="str">
            <v>7EPPSEL</v>
          </cell>
          <cell r="E452">
            <v>1913823</v>
          </cell>
          <cell r="F452" t="str">
            <v>PRACTICAS PROFESIONALIZANTES</v>
          </cell>
          <cell r="J452">
            <v>26024164</v>
          </cell>
          <cell r="K452" t="str">
            <v>SAUCEDO GUSTAVO</v>
          </cell>
          <cell r="L452" t="str">
            <v xml:space="preserve"> </v>
          </cell>
          <cell r="M452" t="str">
            <v xml:space="preserve"> </v>
          </cell>
          <cell r="N452" t="str">
            <v>PROVISIONAL</v>
          </cell>
          <cell r="O452" t="str">
            <v>SAUCEDO GUSTAVO</v>
          </cell>
        </row>
        <row r="453">
          <cell r="A453" t="str">
            <v>7°2°7EPPDLO</v>
          </cell>
          <cell r="B453" t="str">
            <v>7°2°</v>
          </cell>
          <cell r="D453" t="str">
            <v>7EPPDLO</v>
          </cell>
          <cell r="E453">
            <v>1913829</v>
          </cell>
          <cell r="F453" t="str">
            <v>EMPRENDIMIENTO PRODUCTIVO Y DESARROLLO LOCAL</v>
          </cell>
          <cell r="J453">
            <v>34777466</v>
          </cell>
          <cell r="K453" t="str">
            <v>QUINTANA RAMON</v>
          </cell>
          <cell r="L453">
            <v>23086757</v>
          </cell>
          <cell r="M453" t="str">
            <v>GUTIERREZ NICOLAS</v>
          </cell>
          <cell r="N453" t="str">
            <v>SUPLENTE</v>
          </cell>
          <cell r="O453" t="str">
            <v>GUTIERREZ NICOLAS</v>
          </cell>
        </row>
        <row r="454">
          <cell r="A454" t="str">
            <v>7°2°7ESIDCO</v>
          </cell>
          <cell r="B454" t="str">
            <v>7°2°</v>
          </cell>
          <cell r="D454" t="str">
            <v>7ESIDCO</v>
          </cell>
          <cell r="E454">
            <v>1913831</v>
          </cell>
          <cell r="F454" t="str">
            <v>SISTEMA DE CONTROL</v>
          </cell>
          <cell r="J454">
            <v>26024164</v>
          </cell>
          <cell r="K454" t="str">
            <v>SAUCEDO GUSTAVO</v>
          </cell>
          <cell r="L454" t="str">
            <v xml:space="preserve"> </v>
          </cell>
          <cell r="M454" t="str">
            <v xml:space="preserve"> </v>
          </cell>
          <cell r="N454" t="str">
            <v>PROVISIONAL</v>
          </cell>
          <cell r="O454" t="str">
            <v>SAUCEDO GUSTAVO</v>
          </cell>
        </row>
        <row r="455">
          <cell r="A455" t="str">
            <v>7°2°7ESISDC</v>
          </cell>
          <cell r="B455" t="str">
            <v>7°2°</v>
          </cell>
          <cell r="D455" t="str">
            <v>7ESISDC</v>
          </cell>
          <cell r="E455">
            <v>1913836</v>
          </cell>
          <cell r="F455" t="str">
            <v>SISTEMAS DE COMUNICACIONES</v>
          </cell>
          <cell r="J455">
            <v>34777466</v>
          </cell>
          <cell r="K455" t="str">
            <v>QUINTANA RAMON</v>
          </cell>
          <cell r="L455">
            <v>23086757</v>
          </cell>
          <cell r="M455" t="str">
            <v>SERENO, LEONEL</v>
          </cell>
          <cell r="N455" t="str">
            <v>SUPLENTE</v>
          </cell>
          <cell r="O455" t="str">
            <v>SERENO, LEONEL</v>
          </cell>
        </row>
        <row r="456">
          <cell r="A456" t="str">
            <v>7°2°7ESEHPA</v>
          </cell>
          <cell r="B456" t="str">
            <v>7°2°</v>
          </cell>
          <cell r="D456" t="str">
            <v>7ESEHPA</v>
          </cell>
          <cell r="E456">
            <v>1913839</v>
          </cell>
          <cell r="F456" t="str">
            <v>SEGURIDAD, HIGIENE Y PROTECCION AMBIENTAL</v>
          </cell>
          <cell r="J456">
            <v>25515302</v>
          </cell>
          <cell r="K456" t="str">
            <v>ARGAÑARAZ ANGEL</v>
          </cell>
          <cell r="L456" t="str">
            <v xml:space="preserve"> </v>
          </cell>
          <cell r="M456" t="str">
            <v xml:space="preserve"> </v>
          </cell>
          <cell r="N456" t="str">
            <v>PROVISIONAL</v>
          </cell>
          <cell r="O456" t="str">
            <v>ARGAÑARAZ ANGEL</v>
          </cell>
        </row>
        <row r="457">
          <cell r="A457" t="str">
            <v>7°2°7217EPRODE</v>
          </cell>
          <cell r="B457" t="str">
            <v>7°2°</v>
          </cell>
          <cell r="C457">
            <v>721</v>
          </cell>
          <cell r="D457" t="str">
            <v>7EPRODE</v>
          </cell>
          <cell r="E457">
            <v>1913842</v>
          </cell>
          <cell r="F457" t="str">
            <v xml:space="preserve">PROYECTO Y DISEÑO ELECTRONICO </v>
          </cell>
          <cell r="J457" t="str">
            <v>20-25.454.930-5</v>
          </cell>
          <cell r="K457" t="str">
            <v>CORDOBA ALEJANDRO</v>
          </cell>
          <cell r="L457">
            <v>0</v>
          </cell>
          <cell r="M457" t="str">
            <v>GUTIERREZ NICOLAS</v>
          </cell>
          <cell r="N457" t="str">
            <v>SUPLENTE</v>
          </cell>
          <cell r="O457" t="str">
            <v>GUTIERREZ NICOLAS</v>
          </cell>
        </row>
        <row r="458">
          <cell r="A458" t="str">
            <v>7°2°7217EINSIN</v>
          </cell>
          <cell r="B458" t="str">
            <v>7°2°</v>
          </cell>
          <cell r="C458">
            <v>721</v>
          </cell>
          <cell r="D458" t="str">
            <v>7EINSIN</v>
          </cell>
          <cell r="E458">
            <v>1913852</v>
          </cell>
          <cell r="F458" t="str">
            <v>INSTALACIONES INDUSTRIALES</v>
          </cell>
          <cell r="J458">
            <v>26024164</v>
          </cell>
          <cell r="K458" t="str">
            <v>SAUCEDO GUSTAVO</v>
          </cell>
          <cell r="L458" t="str">
            <v xml:space="preserve"> </v>
          </cell>
          <cell r="M458" t="str">
            <v xml:space="preserve"> </v>
          </cell>
          <cell r="N458" t="str">
            <v>PROVISIONAL</v>
          </cell>
          <cell r="O458" t="str">
            <v>SAUCEDO GUSTAVO</v>
          </cell>
        </row>
        <row r="459">
          <cell r="A459" t="str">
            <v>7°2°7217EELEAP</v>
          </cell>
          <cell r="B459" t="str">
            <v>7°2°</v>
          </cell>
          <cell r="C459">
            <v>721</v>
          </cell>
          <cell r="D459" t="str">
            <v>7EELEAP</v>
          </cell>
          <cell r="E459">
            <v>1913862</v>
          </cell>
          <cell r="F459" t="str">
            <v>ELECTRONICA APLICADA</v>
          </cell>
          <cell r="K459" t="str">
            <v>GUTIERREZ NICOLAS</v>
          </cell>
          <cell r="L459" t="str">
            <v xml:space="preserve"> </v>
          </cell>
          <cell r="M459" t="str">
            <v xml:space="preserve"> </v>
          </cell>
          <cell r="N459" t="str">
            <v>PROVISIONAL</v>
          </cell>
          <cell r="O459" t="str">
            <v>GUTIERREZ NICOLAS</v>
          </cell>
        </row>
        <row r="460">
          <cell r="A460" t="str">
            <v>7°2°7227EPRODE</v>
          </cell>
          <cell r="B460" t="str">
            <v>7°2°</v>
          </cell>
          <cell r="C460">
            <v>722</v>
          </cell>
          <cell r="D460" t="str">
            <v>7EPRODE</v>
          </cell>
          <cell r="E460">
            <v>1913848</v>
          </cell>
          <cell r="F460" t="str">
            <v xml:space="preserve">PROYECTO Y DISEÑO ELECTRONICO </v>
          </cell>
          <cell r="J460" t="str">
            <v>20-25.454.930-5</v>
          </cell>
          <cell r="K460" t="str">
            <v>CORDOBA ALEJANDRO</v>
          </cell>
          <cell r="L460" t="str">
            <v xml:space="preserve"> </v>
          </cell>
          <cell r="M460" t="str">
            <v xml:space="preserve"> </v>
          </cell>
          <cell r="N460" t="str">
            <v>PROVISIONAL</v>
          </cell>
          <cell r="O460" t="str">
            <v>CORDOBA ALEJANDRO</v>
          </cell>
        </row>
        <row r="461">
          <cell r="A461" t="str">
            <v>7°2°7227EINSIN</v>
          </cell>
          <cell r="B461" t="str">
            <v>7°2°</v>
          </cell>
          <cell r="C461">
            <v>722</v>
          </cell>
          <cell r="D461" t="str">
            <v>7EINSIN</v>
          </cell>
          <cell r="E461">
            <v>1913857</v>
          </cell>
          <cell r="F461" t="str">
            <v>INSTALACIONES INDUSTRIALES</v>
          </cell>
          <cell r="J461">
            <v>23086757</v>
          </cell>
          <cell r="K461" t="str">
            <v>SERENO, LEONEL</v>
          </cell>
          <cell r="L461" t="str">
            <v xml:space="preserve"> </v>
          </cell>
          <cell r="M461" t="str">
            <v xml:space="preserve"> </v>
          </cell>
          <cell r="N461" t="str">
            <v>PROVISIONAL</v>
          </cell>
          <cell r="O461" t="str">
            <v>SERENO, LEONEL</v>
          </cell>
        </row>
        <row r="462">
          <cell r="A462" t="str">
            <v>7°2°7227EELEAP</v>
          </cell>
          <cell r="B462" t="str">
            <v>7°2°</v>
          </cell>
          <cell r="C462">
            <v>722</v>
          </cell>
          <cell r="D462" t="str">
            <v>7EELEAP</v>
          </cell>
          <cell r="E462">
            <v>1913864</v>
          </cell>
          <cell r="F462" t="str">
            <v>ELECTRONICA APLICADA</v>
          </cell>
          <cell r="K462" t="str">
            <v>MARTINCUS, GASTON</v>
          </cell>
          <cell r="L462">
            <v>0</v>
          </cell>
          <cell r="M462" t="str">
            <v>GUTIERREZ NICOLAS</v>
          </cell>
          <cell r="N462" t="str">
            <v>SUPLENTE</v>
          </cell>
          <cell r="O462" t="str">
            <v>GUTIERREZ NICOLAS</v>
          </cell>
        </row>
        <row r="463">
          <cell r="A463" t="str">
            <v>6°3°6ELITS</v>
          </cell>
          <cell r="B463" t="str">
            <v>6°3°</v>
          </cell>
          <cell r="D463" t="str">
            <v>6ELITS</v>
          </cell>
          <cell r="E463">
            <v>2625739</v>
          </cell>
          <cell r="F463" t="str">
            <v>LITERATURA</v>
          </cell>
          <cell r="G463" t="str">
            <v>17.521.161-1 ACREC. 2020</v>
          </cell>
          <cell r="I463" t="str">
            <v>ARANDA NELIDA 27-</v>
          </cell>
          <cell r="L463" t="str">
            <v xml:space="preserve"> </v>
          </cell>
          <cell r="M463" t="str">
            <v xml:space="preserve"> </v>
          </cell>
          <cell r="N463" t="str">
            <v>TITULAR</v>
          </cell>
          <cell r="O463" t="str">
            <v>ARANDA NELIDA 27-</v>
          </cell>
        </row>
        <row r="464">
          <cell r="A464" t="str">
            <v>6°3°6EINGS</v>
          </cell>
          <cell r="B464" t="str">
            <v>6°3°</v>
          </cell>
          <cell r="D464" t="str">
            <v>6EINGS</v>
          </cell>
          <cell r="E464">
            <v>2625763</v>
          </cell>
          <cell r="F464" t="str">
            <v>INGLÉS</v>
          </cell>
          <cell r="G464" t="str">
            <v>27-38.178432-6</v>
          </cell>
          <cell r="I464" t="str">
            <v xml:space="preserve">FERNANDEZ SOLANGE </v>
          </cell>
          <cell r="L464" t="str">
            <v xml:space="preserve"> </v>
          </cell>
          <cell r="M464" t="str">
            <v xml:space="preserve"> </v>
          </cell>
          <cell r="N464" t="str">
            <v>TITULAR</v>
          </cell>
          <cell r="O464" t="str">
            <v xml:space="preserve">FERNANDEZ SOLANGE </v>
          </cell>
        </row>
        <row r="465">
          <cell r="A465" t="str">
            <v>6°3°6EEFIS</v>
          </cell>
          <cell r="B465" t="str">
            <v>6°3°</v>
          </cell>
          <cell r="D465" t="str">
            <v>6EEFIS</v>
          </cell>
          <cell r="E465">
            <v>2625769</v>
          </cell>
          <cell r="F465" t="str">
            <v>EDUCACIÓN FISICA</v>
          </cell>
          <cell r="K465" t="str">
            <v>LUDUEÑA NELSON 29.569.203</v>
          </cell>
          <cell r="L465" t="str">
            <v xml:space="preserve"> </v>
          </cell>
          <cell r="M465" t="str">
            <v xml:space="preserve"> </v>
          </cell>
          <cell r="N465" t="str">
            <v>PROVISIONAL</v>
          </cell>
          <cell r="O465" t="str">
            <v>LUDUEÑA NELSON 29.569.203</v>
          </cell>
        </row>
        <row r="466">
          <cell r="A466" t="str">
            <v>6°3°6EFILO</v>
          </cell>
          <cell r="B466" t="str">
            <v>6°3°</v>
          </cell>
          <cell r="D466" t="str">
            <v>6EFILO</v>
          </cell>
          <cell r="E466">
            <v>2625787</v>
          </cell>
          <cell r="F466" t="str">
            <v>FILOSOFIA</v>
          </cell>
          <cell r="I466" t="str">
            <v>LETIERI, MANUEL</v>
          </cell>
          <cell r="L466" t="str">
            <v xml:space="preserve"> </v>
          </cell>
          <cell r="M466" t="str">
            <v xml:space="preserve"> </v>
          </cell>
          <cell r="N466" t="str">
            <v>TITULAR</v>
          </cell>
          <cell r="O466" t="str">
            <v>LETIERI, MANUEL</v>
          </cell>
        </row>
        <row r="467">
          <cell r="A467" t="str">
            <v>6°3°6EARTE</v>
          </cell>
          <cell r="B467" t="str">
            <v>6°3°</v>
          </cell>
          <cell r="D467" t="str">
            <v>6EARTE</v>
          </cell>
          <cell r="E467">
            <v>2625794</v>
          </cell>
          <cell r="F467" t="str">
            <v>ARTE</v>
          </cell>
          <cell r="I467" t="str">
            <v>ISSETA LORENA</v>
          </cell>
          <cell r="L467" t="str">
            <v xml:space="preserve"> </v>
          </cell>
          <cell r="M467" t="str">
            <v xml:space="preserve"> </v>
          </cell>
          <cell r="N467" t="str">
            <v>TITULAR</v>
          </cell>
          <cell r="O467" t="str">
            <v>ISSETA LORENA</v>
          </cell>
        </row>
        <row r="468">
          <cell r="A468" t="str">
            <v>6°3°6EMATAP</v>
          </cell>
          <cell r="B468" t="str">
            <v>6°3°</v>
          </cell>
          <cell r="D468" t="str">
            <v>6EMATAP</v>
          </cell>
          <cell r="E468">
            <v>2625798</v>
          </cell>
          <cell r="F468" t="str">
            <v>MATEMATICA APLICADA</v>
          </cell>
          <cell r="G468">
            <v>23944999</v>
          </cell>
          <cell r="K468" t="str">
            <v>GARCIA CLAUDIA</v>
          </cell>
          <cell r="L468" t="str">
            <v xml:space="preserve"> </v>
          </cell>
          <cell r="M468" t="str">
            <v xml:space="preserve"> </v>
          </cell>
          <cell r="N468" t="str">
            <v>PROVISIONAL</v>
          </cell>
          <cell r="O468" t="str">
            <v>GARCIA CLAUDIA</v>
          </cell>
        </row>
        <row r="469">
          <cell r="A469" t="str">
            <v>6°3°6ESISCO</v>
          </cell>
          <cell r="B469" t="str">
            <v>6°3°</v>
          </cell>
          <cell r="D469" t="str">
            <v>6ESISCO</v>
          </cell>
          <cell r="E469">
            <v>2625804</v>
          </cell>
          <cell r="F469" t="str">
            <v>SISTEMA DE COMUNICACIONES</v>
          </cell>
          <cell r="K469" t="str">
            <v>PARTOR SOLORZANO</v>
          </cell>
          <cell r="L469" t="str">
            <v xml:space="preserve"> </v>
          </cell>
          <cell r="M469" t="str">
            <v xml:space="preserve"> </v>
          </cell>
          <cell r="N469" t="str">
            <v>PROVISIONAL</v>
          </cell>
          <cell r="O469" t="str">
            <v>PARTOR SOLORZANO</v>
          </cell>
        </row>
        <row r="470">
          <cell r="A470" t="str">
            <v>6°3°6EINSMA</v>
          </cell>
          <cell r="B470" t="str">
            <v>6°3°</v>
          </cell>
          <cell r="D470" t="str">
            <v>6EINSMA</v>
          </cell>
          <cell r="E470">
            <v>2625811</v>
          </cell>
          <cell r="F470" t="str">
            <v>INSTALACIONES Y MAQUINAS ELECTRICAS</v>
          </cell>
          <cell r="K470" t="str">
            <v>GUTIERREZ NICOLAS</v>
          </cell>
          <cell r="L470" t="str">
            <v xml:space="preserve"> </v>
          </cell>
          <cell r="M470" t="str">
            <v xml:space="preserve"> </v>
          </cell>
          <cell r="N470" t="str">
            <v>PROVISIONAL</v>
          </cell>
          <cell r="O470" t="str">
            <v>GUTIERREZ NICOLAS</v>
          </cell>
        </row>
        <row r="471">
          <cell r="A471" t="str">
            <v>6°3°6ESIPRO</v>
          </cell>
          <cell r="B471" t="str">
            <v>6°3°</v>
          </cell>
          <cell r="D471" t="str">
            <v>6ESIPRO</v>
          </cell>
          <cell r="E471">
            <v>2625816</v>
          </cell>
          <cell r="F471" t="str">
            <v>SISTEMA PRODUCTIVO</v>
          </cell>
          <cell r="K471" t="str">
            <v xml:space="preserve">LOIS, EDUARDO </v>
          </cell>
          <cell r="L471" t="str">
            <v xml:space="preserve"> </v>
          </cell>
          <cell r="M471" t="str">
            <v xml:space="preserve"> </v>
          </cell>
          <cell r="N471" t="str">
            <v>PROVISIONAL</v>
          </cell>
          <cell r="O471" t="str">
            <v xml:space="preserve">LOIS, EDUARDO </v>
          </cell>
        </row>
        <row r="472">
          <cell r="A472" t="str">
            <v>6°3°6EDETRA</v>
          </cell>
          <cell r="B472" t="str">
            <v>6°3°</v>
          </cell>
          <cell r="D472" t="str">
            <v>6EDETRA</v>
          </cell>
          <cell r="E472">
            <v>2625823</v>
          </cell>
          <cell r="F472" t="str">
            <v>DERECHO DE TRABAJO</v>
          </cell>
          <cell r="J472">
            <v>27370189299</v>
          </cell>
          <cell r="K472" t="str">
            <v>IRIGOYTIA PECCORELLI JULIE</v>
          </cell>
          <cell r="L472" t="str">
            <v xml:space="preserve"> </v>
          </cell>
          <cell r="M472" t="str">
            <v xml:space="preserve"> </v>
          </cell>
          <cell r="N472" t="str">
            <v>PROVISIONAL</v>
          </cell>
          <cell r="O472" t="str">
            <v>IRIGOYTIA PECCORELLI JULIE</v>
          </cell>
        </row>
        <row r="473">
          <cell r="A473" t="str">
            <v>6°3°6316ELENE6</v>
          </cell>
          <cell r="B473" t="str">
            <v>6°3°</v>
          </cell>
          <cell r="C473">
            <v>631</v>
          </cell>
          <cell r="D473" t="str">
            <v>6ELENE6</v>
          </cell>
          <cell r="E473">
            <v>2625831</v>
          </cell>
          <cell r="F473" t="str">
            <v>LENGUAJES ELECTRONICOS</v>
          </cell>
          <cell r="K473" t="str">
            <v xml:space="preserve">BARONI, ROBERTO </v>
          </cell>
          <cell r="L473" t="str">
            <v xml:space="preserve"> </v>
          </cell>
          <cell r="M473" t="str">
            <v xml:space="preserve"> </v>
          </cell>
          <cell r="N473" t="str">
            <v>PROVISIONAL</v>
          </cell>
          <cell r="O473" t="str">
            <v xml:space="preserve">BARONI, ROBERTO </v>
          </cell>
        </row>
        <row r="474">
          <cell r="A474" t="str">
            <v>6°3°6316EFTAE6</v>
          </cell>
          <cell r="B474" t="str">
            <v>6°3°</v>
          </cell>
          <cell r="C474">
            <v>631</v>
          </cell>
          <cell r="D474" t="str">
            <v>6EFTAE6</v>
          </cell>
          <cell r="E474">
            <v>2625837</v>
          </cell>
          <cell r="F474" t="str">
            <v>APLIC ELECT ANALOG</v>
          </cell>
          <cell r="K474" t="str">
            <v>GUTIERREZ NICOLAS</v>
          </cell>
          <cell r="L474" t="str">
            <v xml:space="preserve"> </v>
          </cell>
          <cell r="M474" t="str">
            <v xml:space="preserve"> </v>
          </cell>
          <cell r="N474" t="str">
            <v>PROVISIONAL</v>
          </cell>
          <cell r="O474" t="str">
            <v>GUTIERREZ NICOLAS</v>
          </cell>
        </row>
        <row r="475">
          <cell r="A475" t="str">
            <v>6°3°6316EFTED6</v>
          </cell>
          <cell r="B475" t="str">
            <v>6°3°</v>
          </cell>
          <cell r="C475">
            <v>631</v>
          </cell>
          <cell r="D475" t="str">
            <v>6EFTED6</v>
          </cell>
          <cell r="E475">
            <v>2625846</v>
          </cell>
          <cell r="F475" t="str">
            <v xml:space="preserve">APLIC ELECTR DIGITAL </v>
          </cell>
          <cell r="K475" t="str">
            <v xml:space="preserve">FISTER (Serv.Prov) </v>
          </cell>
          <cell r="L475" t="str">
            <v xml:space="preserve"> </v>
          </cell>
          <cell r="M475" t="str">
            <v xml:space="preserve"> </v>
          </cell>
          <cell r="N475" t="str">
            <v>PROVISIONAL</v>
          </cell>
          <cell r="O475" t="str">
            <v xml:space="preserve">FISTER (Serv.Prov) </v>
          </cell>
        </row>
        <row r="476">
          <cell r="A476" t="str">
            <v>6°3°6316EFTMP6</v>
          </cell>
          <cell r="B476" t="str">
            <v>6°3°</v>
          </cell>
          <cell r="C476">
            <v>631</v>
          </cell>
          <cell r="D476" t="str">
            <v>6EFTMP6</v>
          </cell>
          <cell r="E476">
            <v>2625254</v>
          </cell>
          <cell r="F476" t="str">
            <v xml:space="preserve">MONTAJE DE PROYECTO ELECTRONICOS </v>
          </cell>
          <cell r="K476" t="str">
            <v>GUTIERREZ NICOLAS</v>
          </cell>
          <cell r="L476" t="str">
            <v xml:space="preserve"> </v>
          </cell>
          <cell r="M476" t="str">
            <v xml:space="preserve"> </v>
          </cell>
          <cell r="N476" t="str">
            <v>PROVISIONAL</v>
          </cell>
          <cell r="O476" t="str">
            <v>GUTIERREZ NICOLAS</v>
          </cell>
        </row>
        <row r="477">
          <cell r="A477" t="str">
            <v>6°3°6326ELENE6</v>
          </cell>
          <cell r="B477" t="str">
            <v>6°3°</v>
          </cell>
          <cell r="C477">
            <v>632</v>
          </cell>
          <cell r="D477" t="str">
            <v>6ELENE6</v>
          </cell>
          <cell r="E477">
            <v>2625861</v>
          </cell>
          <cell r="F477" t="str">
            <v>LENGUAJES ELECTRONICOS</v>
          </cell>
          <cell r="K477" t="str">
            <v>HERRERA, STELLA</v>
          </cell>
          <cell r="L477" t="str">
            <v xml:space="preserve"> </v>
          </cell>
          <cell r="M477" t="str">
            <v xml:space="preserve"> </v>
          </cell>
          <cell r="N477" t="str">
            <v>PROVISIONAL</v>
          </cell>
          <cell r="O477" t="str">
            <v>HERRERA, STELLA</v>
          </cell>
        </row>
        <row r="478">
          <cell r="A478" t="str">
            <v>6°3°6326EFTAE6</v>
          </cell>
          <cell r="B478" t="str">
            <v>6°3°</v>
          </cell>
          <cell r="C478">
            <v>632</v>
          </cell>
          <cell r="D478" t="str">
            <v>6EFTAE6</v>
          </cell>
          <cell r="E478">
            <v>2625867</v>
          </cell>
          <cell r="F478" t="str">
            <v>APLIC ELECT ANALOG</v>
          </cell>
          <cell r="K478" t="str">
            <v>LOPEZ, JONATHAN</v>
          </cell>
          <cell r="L478" t="str">
            <v xml:space="preserve"> </v>
          </cell>
          <cell r="M478" t="str">
            <v xml:space="preserve"> </v>
          </cell>
          <cell r="N478" t="str">
            <v>PROVISIONAL</v>
          </cell>
          <cell r="O478" t="str">
            <v>LOPEZ, JONATHAN</v>
          </cell>
        </row>
        <row r="479">
          <cell r="A479" t="str">
            <v>6°3°6326EFTED6</v>
          </cell>
          <cell r="B479" t="str">
            <v>6°3°</v>
          </cell>
          <cell r="C479">
            <v>632</v>
          </cell>
          <cell r="D479" t="str">
            <v>6EFTED6</v>
          </cell>
          <cell r="E479">
            <v>2625874</v>
          </cell>
          <cell r="F479" t="str">
            <v xml:space="preserve">APLIC ELECTR DIGITAL </v>
          </cell>
          <cell r="K479" t="str">
            <v>GONANO, GERMAN S</v>
          </cell>
          <cell r="L479" t="str">
            <v xml:space="preserve"> </v>
          </cell>
          <cell r="M479" t="str">
            <v xml:space="preserve"> </v>
          </cell>
          <cell r="N479" t="str">
            <v>PROVISIONAL</v>
          </cell>
          <cell r="O479" t="str">
            <v>GONANO, GERMAN S</v>
          </cell>
        </row>
        <row r="480">
          <cell r="A480" t="str">
            <v>6°3°6326EFTMP6</v>
          </cell>
          <cell r="B480" t="str">
            <v>6°3°</v>
          </cell>
          <cell r="C480">
            <v>632</v>
          </cell>
          <cell r="D480" t="str">
            <v>6EFTMP6</v>
          </cell>
          <cell r="E480">
            <v>2625876</v>
          </cell>
          <cell r="F480" t="str">
            <v xml:space="preserve">MONTAJE DE PROYECTO ELECTRONICOS </v>
          </cell>
          <cell r="K480" t="str">
            <v>GUTIERREZ NICOLAS</v>
          </cell>
          <cell r="L480" t="str">
            <v xml:space="preserve"> </v>
          </cell>
          <cell r="M480" t="str">
            <v xml:space="preserve"> </v>
          </cell>
          <cell r="N480" t="str">
            <v>PROVISIONAL</v>
          </cell>
          <cell r="O480" t="str">
            <v>GUTIERREZ NICOLAS</v>
          </cell>
        </row>
        <row r="481">
          <cell r="A481" t="str">
            <v>7°3°7IPPDLO</v>
          </cell>
          <cell r="B481" t="str">
            <v>7°3°</v>
          </cell>
          <cell r="D481" t="str">
            <v>7IPPDLO</v>
          </cell>
          <cell r="E481">
            <v>2775762</v>
          </cell>
          <cell r="F481" t="str">
            <v>EMPRENDIMIENTO PRODUCTIVO Y DESARROLLO LOCAL</v>
          </cell>
          <cell r="J481" t="str">
            <v>23-41.942.264-4</v>
          </cell>
          <cell r="K481" t="str">
            <v xml:space="preserve">ROCHA JULIETA </v>
          </cell>
          <cell r="M481" t="str">
            <v xml:space="preserve"> </v>
          </cell>
          <cell r="N481" t="str">
            <v>PROVISIONAL</v>
          </cell>
          <cell r="O481" t="str">
            <v xml:space="preserve">ROCHA JULIETA </v>
          </cell>
        </row>
        <row r="482">
          <cell r="A482" t="str">
            <v>7°3°7IEVPRO</v>
          </cell>
          <cell r="B482" t="str">
            <v>7°3°</v>
          </cell>
          <cell r="D482" t="str">
            <v>7IEVPRO</v>
          </cell>
          <cell r="E482">
            <v>2775764</v>
          </cell>
          <cell r="F482" t="str">
            <v>EVALUACION DE PROYECTO</v>
          </cell>
          <cell r="J482" t="str">
            <v>23-41.942.264-4</v>
          </cell>
          <cell r="K482" t="str">
            <v xml:space="preserve">ROCHA JULIETA </v>
          </cell>
          <cell r="M482" t="str">
            <v xml:space="preserve"> </v>
          </cell>
          <cell r="N482" t="str">
            <v>PROVISIONAL</v>
          </cell>
          <cell r="O482" t="str">
            <v xml:space="preserve">ROCHA JULIETA </v>
          </cell>
        </row>
        <row r="483">
          <cell r="A483" t="str">
            <v>7°3°7IMOSIS</v>
          </cell>
          <cell r="B483" t="str">
            <v>7°3°</v>
          </cell>
          <cell r="D483" t="str">
            <v>7IMOSIS</v>
          </cell>
          <cell r="E483">
            <v>2775766</v>
          </cell>
          <cell r="F483" t="str">
            <v>MODELOS Y SISTEMAS</v>
          </cell>
          <cell r="J483" t="str">
            <v>27-20.205.124-9</v>
          </cell>
          <cell r="K483" t="str">
            <v xml:space="preserve">MONTENEGRO CLAUDIA </v>
          </cell>
          <cell r="M483" t="str">
            <v xml:space="preserve"> </v>
          </cell>
          <cell r="N483" t="str">
            <v>PROVISIONAL</v>
          </cell>
          <cell r="O483" t="str">
            <v xml:space="preserve">MONTENEGRO CLAUDIA </v>
          </cell>
        </row>
        <row r="484">
          <cell r="A484" t="str">
            <v>7°3°7IBADAT</v>
          </cell>
          <cell r="B484" t="str">
            <v>7°3°</v>
          </cell>
          <cell r="D484" t="str">
            <v>7IBADAT</v>
          </cell>
          <cell r="E484">
            <v>2775768</v>
          </cell>
          <cell r="F484" t="str">
            <v>BASE DE DATOS</v>
          </cell>
          <cell r="J484" t="str">
            <v>20-27.704.739-0</v>
          </cell>
          <cell r="K484" t="str">
            <v xml:space="preserve">WITT GERARDO </v>
          </cell>
          <cell r="M484" t="str">
            <v xml:space="preserve"> </v>
          </cell>
          <cell r="N484" t="str">
            <v>PROVISIONAL</v>
          </cell>
          <cell r="O484" t="str">
            <v xml:space="preserve">WITT GERARDO </v>
          </cell>
        </row>
        <row r="485">
          <cell r="A485" t="str">
            <v>7°3°7317IPPSIN</v>
          </cell>
          <cell r="B485" t="str">
            <v>7°3°</v>
          </cell>
          <cell r="C485">
            <v>731</v>
          </cell>
          <cell r="D485" t="str">
            <v>7IPPSIN</v>
          </cell>
          <cell r="E485">
            <v>2775770</v>
          </cell>
          <cell r="F485" t="str">
            <v>PRACTICAS PROFESIONALIZANTES</v>
          </cell>
          <cell r="J485" t="str">
            <v xml:space="preserve">           20-23.639.282-2</v>
          </cell>
          <cell r="K485" t="str">
            <v xml:space="preserve">PAZ DANIEL                </v>
          </cell>
          <cell r="M485" t="str">
            <v xml:space="preserve"> </v>
          </cell>
          <cell r="N485" t="str">
            <v>PROVISIONAL</v>
          </cell>
          <cell r="O485" t="str">
            <v xml:space="preserve">PAZ DANIEL                </v>
          </cell>
        </row>
        <row r="486">
          <cell r="A486" t="str">
            <v>7°3°7317IPDISC</v>
          </cell>
          <cell r="B486" t="str">
            <v>7°3°</v>
          </cell>
          <cell r="C486">
            <v>731</v>
          </cell>
          <cell r="D486" t="str">
            <v>7IPDISC</v>
          </cell>
          <cell r="E486">
            <v>2775772</v>
          </cell>
          <cell r="F486" t="str">
            <v>PROYECTO, DISEÑO E IMPLEMENTACION DE SISTEMAS COMPUTACIONALES</v>
          </cell>
          <cell r="J486" t="str">
            <v xml:space="preserve"> 20-40252178-4</v>
          </cell>
          <cell r="K486" t="str">
            <v>GUTIERREZ ANGEL</v>
          </cell>
          <cell r="M486" t="str">
            <v xml:space="preserve"> </v>
          </cell>
          <cell r="N486" t="str">
            <v>PROVISIONAL</v>
          </cell>
          <cell r="O486" t="str">
            <v>GUTIERREZ ANGEL</v>
          </cell>
        </row>
        <row r="487">
          <cell r="A487" t="str">
            <v>7°3°7317IIMRSC</v>
          </cell>
          <cell r="B487" t="str">
            <v>7°3°</v>
          </cell>
          <cell r="C487">
            <v>731</v>
          </cell>
          <cell r="D487" t="str">
            <v>7IIMRSC</v>
          </cell>
          <cell r="E487">
            <v>2775774</v>
          </cell>
          <cell r="F487" t="str">
            <v>INSTALACION, MANTENIMIENTO Y REPARACION DE SISTEMAS COMPUTACIONALES-</v>
          </cell>
          <cell r="J487">
            <v>20274642913</v>
          </cell>
          <cell r="K487" t="str">
            <v xml:space="preserve"> GUZZO HUGO DANIEL</v>
          </cell>
          <cell r="M487" t="str">
            <v xml:space="preserve"> </v>
          </cell>
          <cell r="N487" t="str">
            <v>PROVISIONAL</v>
          </cell>
          <cell r="O487" t="str">
            <v xml:space="preserve"> GUZZO HUGO DANIEL</v>
          </cell>
        </row>
        <row r="488">
          <cell r="A488" t="str">
            <v>7°3°7317IIMRRI</v>
          </cell>
          <cell r="B488" t="str">
            <v>7°3°</v>
          </cell>
          <cell r="C488">
            <v>731</v>
          </cell>
          <cell r="D488" t="str">
            <v>7IIMRRI</v>
          </cell>
          <cell r="E488">
            <v>2775776</v>
          </cell>
          <cell r="F488" t="str">
            <v xml:space="preserve">INSTALACION, MANTENIMIENTO Y REPARACION DE REDES INFORMATICAS- </v>
          </cell>
          <cell r="J488" t="str">
            <v>CUIT  20279899041</v>
          </cell>
          <cell r="K488" t="str">
            <v xml:space="preserve">BECERRO MARIO </v>
          </cell>
          <cell r="M488" t="str">
            <v xml:space="preserve"> </v>
          </cell>
          <cell r="N488" t="str">
            <v>PROVISIONAL</v>
          </cell>
          <cell r="O488" t="str">
            <v xml:space="preserve">BECERRO MARIO </v>
          </cell>
        </row>
        <row r="489">
          <cell r="A489" t="str">
            <v>7°3°7327IPPSIN</v>
          </cell>
          <cell r="B489" t="str">
            <v>7°3°</v>
          </cell>
          <cell r="C489">
            <v>732</v>
          </cell>
          <cell r="D489" t="str">
            <v>7IPPSIN</v>
          </cell>
          <cell r="E489">
            <v>2775778</v>
          </cell>
          <cell r="F489" t="str">
            <v>PRACTICAS PROFESIONALIZANTES</v>
          </cell>
          <cell r="J489" t="str">
            <v xml:space="preserve">           20-23.639.282-2</v>
          </cell>
          <cell r="K489" t="str">
            <v xml:space="preserve">PAZ DANIEL                </v>
          </cell>
          <cell r="M489" t="str">
            <v xml:space="preserve"> </v>
          </cell>
          <cell r="N489" t="str">
            <v>PROVISIONAL</v>
          </cell>
          <cell r="O489" t="str">
            <v xml:space="preserve">PAZ DANIEL                </v>
          </cell>
        </row>
        <row r="490">
          <cell r="A490" t="str">
            <v>7°3°7327IPDISC</v>
          </cell>
          <cell r="B490" t="str">
            <v>7°3°</v>
          </cell>
          <cell r="C490">
            <v>732</v>
          </cell>
          <cell r="D490" t="str">
            <v>7IPDISC</v>
          </cell>
          <cell r="E490">
            <v>2775780</v>
          </cell>
          <cell r="F490" t="str">
            <v>PROYECTO, DISEÑO E IMPLEMENTACION DE SISTEMAS COMPUTACIONALES</v>
          </cell>
          <cell r="J490" t="str">
            <v xml:space="preserve"> 20-40252178-4</v>
          </cell>
          <cell r="K490" t="str">
            <v>GUTIERREZ ANGEL</v>
          </cell>
          <cell r="M490" t="str">
            <v xml:space="preserve"> </v>
          </cell>
          <cell r="N490" t="str">
            <v>PROVISIONAL</v>
          </cell>
          <cell r="O490" t="str">
            <v>GUTIERREZ ANGEL</v>
          </cell>
        </row>
        <row r="491">
          <cell r="A491" t="str">
            <v>7°3°7327IIMRSC</v>
          </cell>
          <cell r="B491" t="str">
            <v>7°3°</v>
          </cell>
          <cell r="C491">
            <v>732</v>
          </cell>
          <cell r="D491" t="str">
            <v>7IIMRSC</v>
          </cell>
          <cell r="E491">
            <v>2775781</v>
          </cell>
          <cell r="F491" t="str">
            <v>INSTALACION, MANTENIMIENTO Y REPARACION DE SISTEMAS COMPUTACIONALES-</v>
          </cell>
          <cell r="J491" t="str">
            <v xml:space="preserve"> CUIT 20338123125</v>
          </cell>
          <cell r="K491" t="str">
            <v>VILLALVA ESTEBAN</v>
          </cell>
          <cell r="M491" t="str">
            <v>GIGILIOTTI JONATHAN</v>
          </cell>
          <cell r="N491" t="str">
            <v>SUPLENTE</v>
          </cell>
          <cell r="O491" t="str">
            <v>GIGILIOTTI JONATHAN</v>
          </cell>
        </row>
        <row r="492">
          <cell r="A492" t="str">
            <v>7°3°7327IIMRRI</v>
          </cell>
          <cell r="B492" t="str">
            <v>7°3°</v>
          </cell>
          <cell r="C492">
            <v>732</v>
          </cell>
          <cell r="D492" t="str">
            <v>7IIMRRI</v>
          </cell>
          <cell r="E492">
            <v>2775788</v>
          </cell>
          <cell r="F492" t="str">
            <v xml:space="preserve">INSTALACION, MANTENIMIENTO Y REPARACION DE REDES INFORMATICAS- </v>
          </cell>
          <cell r="J492" t="str">
            <v>CUIT 20392879677</v>
          </cell>
          <cell r="K492" t="str">
            <v xml:space="preserve"> GIGILIOTTI JONATHAN </v>
          </cell>
          <cell r="M492" t="str">
            <v xml:space="preserve"> </v>
          </cell>
          <cell r="N492" t="str">
            <v>PROVISIONAL</v>
          </cell>
          <cell r="O492" t="str">
            <v xml:space="preserve"> GIGILIOTTI JONATHAN </v>
          </cell>
        </row>
        <row r="493">
          <cell r="A493" t="str">
            <v>7°1°7127IPPSIN</v>
          </cell>
          <cell r="B493" t="str">
            <v>7°1°</v>
          </cell>
          <cell r="C493">
            <v>712</v>
          </cell>
          <cell r="D493" t="str">
            <v>7IPPSIN</v>
          </cell>
          <cell r="E493">
            <v>2779867</v>
          </cell>
          <cell r="F493" t="str">
            <v>PRACTICAS PROFESIONALIZANTES</v>
          </cell>
          <cell r="K493" t="str">
            <v>DANIEL PAZ</v>
          </cell>
          <cell r="L493" t="str">
            <v xml:space="preserve"> </v>
          </cell>
          <cell r="M493" t="str">
            <v xml:space="preserve"> </v>
          </cell>
          <cell r="N493" t="str">
            <v>PROVISIONAL</v>
          </cell>
          <cell r="O493" t="str">
            <v>DANIEL PAZ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2"/>
  <sheetViews>
    <sheetView tabSelected="1" topLeftCell="A104" zoomScale="85" zoomScaleNormal="85" workbookViewId="0">
      <selection activeCell="D125" sqref="D125:D131"/>
    </sheetView>
  </sheetViews>
  <sheetFormatPr baseColWidth="10" defaultRowHeight="15" x14ac:dyDescent="0.25"/>
  <cols>
    <col min="1" max="1" width="10.7109375" style="15" customWidth="1"/>
    <col min="2" max="2" width="3" customWidth="1"/>
    <col min="3" max="3" width="24.42578125" customWidth="1"/>
    <col min="4" max="4" width="91.5703125" customWidth="1"/>
    <col min="5" max="5" width="7.5703125" style="15" customWidth="1"/>
    <col min="6" max="6" width="5.85546875" style="15" customWidth="1"/>
    <col min="7" max="7" width="8.28515625" style="15" customWidth="1"/>
    <col min="8" max="8" width="8.42578125" style="15" customWidth="1"/>
    <col min="9" max="9" width="5.85546875" style="15" customWidth="1"/>
    <col min="10" max="10" width="37.5703125" style="15" customWidth="1"/>
    <col min="11" max="11" width="39.42578125" customWidth="1"/>
    <col min="12" max="12" width="11.85546875" hidden="1" customWidth="1"/>
    <col min="13" max="14" width="18.42578125" customWidth="1"/>
    <col min="15" max="15" width="26.7109375" customWidth="1"/>
    <col min="16" max="16" width="19.140625" customWidth="1"/>
    <col min="17" max="17" width="31.85546875" bestFit="1" customWidth="1"/>
    <col min="18" max="18" width="21.7109375" customWidth="1"/>
    <col min="19" max="19" width="27.85546875" customWidth="1"/>
    <col min="20" max="20" width="27" customWidth="1"/>
    <col min="21" max="21" width="28.5703125" bestFit="1" customWidth="1"/>
    <col min="22" max="22" width="20.5703125" customWidth="1"/>
    <col min="23" max="23" width="25.85546875" customWidth="1"/>
    <col min="24" max="24" width="19.140625" customWidth="1"/>
  </cols>
  <sheetData>
    <row r="1" spans="1:36" ht="21.75" thickBot="1" x14ac:dyDescent="0.3">
      <c r="A1" s="2" t="s">
        <v>0</v>
      </c>
      <c r="B1" s="1" t="s">
        <v>1</v>
      </c>
      <c r="C1" s="1" t="s">
        <v>2</v>
      </c>
      <c r="D1" s="1" t="s">
        <v>2</v>
      </c>
      <c r="E1" s="2" t="s">
        <v>3</v>
      </c>
      <c r="F1" s="2" t="s">
        <v>4</v>
      </c>
      <c r="G1" s="20" t="s">
        <v>5</v>
      </c>
      <c r="H1" s="20" t="s">
        <v>6</v>
      </c>
      <c r="I1" s="20" t="s">
        <v>7</v>
      </c>
      <c r="J1" s="2" t="s">
        <v>8</v>
      </c>
      <c r="K1" s="21" t="s">
        <v>9</v>
      </c>
      <c r="L1" t="s">
        <v>292</v>
      </c>
      <c r="M1" s="21" t="s">
        <v>308</v>
      </c>
      <c r="N1" s="62"/>
      <c r="O1" s="57">
        <v>1</v>
      </c>
      <c r="P1" s="58" t="s">
        <v>297</v>
      </c>
      <c r="Q1" s="57">
        <v>2</v>
      </c>
      <c r="R1" s="58" t="s">
        <v>296</v>
      </c>
      <c r="S1" s="57">
        <v>3</v>
      </c>
      <c r="T1" s="58" t="s">
        <v>295</v>
      </c>
      <c r="U1" s="57">
        <v>4</v>
      </c>
      <c r="V1" s="58" t="s">
        <v>294</v>
      </c>
      <c r="W1" s="57">
        <v>5</v>
      </c>
      <c r="X1" s="58" t="s">
        <v>293</v>
      </c>
    </row>
    <row r="2" spans="1:36" x14ac:dyDescent="0.25">
      <c r="A2" s="24" t="str">
        <f t="shared" ref="A2:A13" si="0">CONCATENATE(B2,G2)</f>
        <v>1NAT</v>
      </c>
      <c r="B2" s="25">
        <v>1</v>
      </c>
      <c r="C2" s="25" t="s">
        <v>10</v>
      </c>
      <c r="D2" s="25"/>
      <c r="E2" s="26" t="s">
        <v>11</v>
      </c>
      <c r="F2" s="27">
        <v>1</v>
      </c>
      <c r="G2" s="25" t="s">
        <v>12</v>
      </c>
      <c r="H2" s="25" t="s">
        <v>13</v>
      </c>
      <c r="I2" s="27">
        <v>4</v>
      </c>
      <c r="J2" s="28" t="s">
        <v>14</v>
      </c>
      <c r="K2" s="29" t="s">
        <v>283</v>
      </c>
      <c r="L2" t="str">
        <f>B2&amp;"°"&amp;F2</f>
        <v>1°1</v>
      </c>
      <c r="M2" s="29"/>
      <c r="N2" s="63" t="str">
        <f>B2&amp;"°"&amp;F2</f>
        <v>1°1</v>
      </c>
      <c r="O2" s="45" t="str">
        <f>IF($J2="Formación Técnica Específica",VLOOKUP(IF($J2="Formación Técnica Específica",$B2&amp;"°"&amp;O$1&amp;"°"&amp;$B2&amp;O$1&amp;1&amp;$A2,$B2&amp;"°"&amp;O$1&amp;"°"&amp;$A2),[1]Hoja1!$A:$O,15,0),VLOOKUP(IF($J2="Formación Técnica Específica",$B2&amp;"°"&amp;O$1&amp;"°"&amp;$B2&amp;O$1&amp;1&amp;$A2,$B2&amp;"°"&amp;O$1&amp;"°"&amp;$A2),[1]Hoja1!$A:$O,15,0))</f>
        <v xml:space="preserve">OLIVIERI NESTOR            </v>
      </c>
      <c r="P2" s="52" t="str">
        <f>IF($J2="Formación Técnica Específica",VLOOKUP(IF($J2="Formación Técnica Específica",$B2&amp;"°"&amp;O$1&amp;"°"&amp;$B2&amp;O$1&amp;1&amp;$A2,$B2&amp;"°"&amp;O$1&amp;"°"&amp;$A2),[1]Hoja1!$A:$O,15,0)," ")</f>
        <v xml:space="preserve"> </v>
      </c>
      <c r="Q2" s="45" t="str">
        <f>IF($J2="Formación Técnica Específica",VLOOKUP(IF($J2="Formación Técnica Específica",$B2&amp;"°"&amp;Q$1&amp;"°"&amp;$B2&amp;Q$1&amp;1&amp;$A2,$B2&amp;"°"&amp;Q$1&amp;"°"&amp;$A2),[1]Hoja1!$A:$O,15,0),VLOOKUP(IF($J2="Formación Técnica Específica",$B2&amp;"°"&amp;Q$1&amp;"°"&amp;$B2&amp;Q$1&amp;1&amp;$A2,$B2&amp;"°"&amp;Q$1&amp;"°"&amp;$A2),[1]Hoja1!$A:$O,15,0))</f>
        <v xml:space="preserve">ESPINDOLA SERGIO                          </v>
      </c>
      <c r="R2" s="52" t="str">
        <f>IF($J2="Formación Técnica Específica",VLOOKUP(IF($J2="Formación Técnica Específica",$B2&amp;"°"&amp;Q$1&amp;"°"&amp;$B2&amp;Q$1&amp;1&amp;$A2,$B2&amp;"°"&amp;Q$1&amp;"°"&amp;$A2),[1]Hoja1!$A:$O,15,0)," ")</f>
        <v xml:space="preserve"> </v>
      </c>
      <c r="S2" s="45" t="str">
        <f>IF($J2="Formación Técnica Específica",VLOOKUP(IF($J2="Formación Técnica Específica",$B2&amp;"°"&amp;S$1&amp;"°"&amp;$B2&amp;S$1&amp;1&amp;$A2,$B2&amp;"°"&amp;S$1&amp;"°"&amp;$A2),[1]Hoja1!$A:$O,15,0),VLOOKUP(IF($J2="Formación Técnica Específica",$B2&amp;"°"&amp;S$1&amp;"°"&amp;$B2&amp;S$1&amp;1&amp;$A2,$B2&amp;"°"&amp;S$1&amp;"°"&amp;$A2),[1]Hoja1!$A:$O,15,0))</f>
        <v>FARIAS CLAUDIA ANTONIA</v>
      </c>
      <c r="T2" s="52" t="str">
        <f>IF($J2="Formación Técnica Específica",VLOOKUP(IF($J2="Formación Técnica Específica",$B2&amp;"°"&amp;S$1&amp;"°"&amp;$B2&amp;S$1&amp;1&amp;$A2,$B2&amp;"°"&amp;S$1&amp;"°"&amp;$A2),[1]Hoja1!$A:$O,15,0)," ")</f>
        <v xml:space="preserve"> </v>
      </c>
      <c r="U2" s="45" t="str">
        <f>IF($J2="Formación Técnica Específica",VLOOKUP(IF($J2="Formación Técnica Específica",$B2&amp;"°"&amp;U$1&amp;"°"&amp;$B2&amp;U$1&amp;1&amp;$A2,$B2&amp;"°"&amp;U$1&amp;"°"&amp;$A2),[1]Hoja1!$A:$O,15,0),VLOOKUP(IF($J2="Formación Técnica Específica",$B2&amp;"°"&amp;U$1&amp;"°"&amp;$B2&amp;U$1&amp;1&amp;$A2,$B2&amp;"°"&amp;U$1&amp;"°"&amp;$A2),[1]Hoja1!$A:$O,15,0))</f>
        <v xml:space="preserve">DA CHILE IGLESIAS V                 </v>
      </c>
      <c r="V2" s="52" t="str">
        <f>IF($J2="Formación Técnica Específica",VLOOKUP(IF($J2="Formación Técnica Específica",$B2&amp;"°"&amp;U$1&amp;"°"&amp;$B2&amp;U$1&amp;1&amp;$A2,$B2&amp;"°"&amp;U$1&amp;"°"&amp;$A2),[1]Hoja1!$A:$O,15,0)," ")</f>
        <v xml:space="preserve"> </v>
      </c>
      <c r="W2" s="45" t="e">
        <f>IF($J2="Formación Técnica Específica",VLOOKUP(IF($J2="Formación Técnica Específica",$B2&amp;"°"&amp;W$1&amp;"°"&amp;$B2&amp;W$1&amp;1&amp;$A2,$B2&amp;"°"&amp;W$1&amp;"°"&amp;$A2),[1]Hoja1!$A:$O,15,0),VLOOKUP(IF($J2="Formación Técnica Específica",$B2&amp;"°"&amp;W$1&amp;"°"&amp;$B2&amp;W$1&amp;1&amp;$A2,$B2&amp;"°"&amp;W$1&amp;"°"&amp;$A2),[1]Hoja1!$A:$O,15,0))</f>
        <v>#N/A</v>
      </c>
      <c r="X2" s="52" t="str">
        <f>IF($J2="Formación Técnica Específica",VLOOKUP(IF($J2="Formación Técnica Específica",$B2&amp;"°"&amp;W$1&amp;"°"&amp;$B2&amp;W$1&amp;1&amp;$A2,$B2&amp;"°"&amp;W$1&amp;"°"&amp;$A2),[1]Hoja1!$A:$O,15,0)," ")</f>
        <v xml:space="preserve"> </v>
      </c>
    </row>
    <row r="3" spans="1:36" x14ac:dyDescent="0.25">
      <c r="A3" s="30" t="str">
        <f t="shared" si="0"/>
        <v>1SOC</v>
      </c>
      <c r="B3" s="4">
        <v>1</v>
      </c>
      <c r="C3" s="4" t="s">
        <v>10</v>
      </c>
      <c r="D3" s="4"/>
      <c r="E3" s="7" t="s">
        <v>11</v>
      </c>
      <c r="F3" s="3">
        <v>2</v>
      </c>
      <c r="G3" s="4" t="s">
        <v>15</v>
      </c>
      <c r="H3" s="4" t="s">
        <v>16</v>
      </c>
      <c r="I3" s="3">
        <v>4</v>
      </c>
      <c r="J3" s="6" t="s">
        <v>14</v>
      </c>
      <c r="K3" s="31" t="s">
        <v>17</v>
      </c>
      <c r="L3" t="str">
        <f t="shared" ref="L3:L66" si="1">B3&amp;"°"&amp;F3</f>
        <v>1°2</v>
      </c>
      <c r="M3" s="31"/>
      <c r="N3" s="63" t="str">
        <f t="shared" ref="N3:N66" si="2">B3&amp;"°"&amp;F3</f>
        <v>1°2</v>
      </c>
      <c r="O3" s="45" t="str">
        <f>IF($J3="Formación Técnica Específica",VLOOKUP(IF($J3="Formación Técnica Específica",$B3&amp;"°"&amp;O$1&amp;"°"&amp;$B3&amp;O$1&amp;1&amp;$A3,$B3&amp;"°"&amp;O$1&amp;"°"&amp;$A3),[1]Hoja1!$A:$O,15,0),VLOOKUP(IF($J3="Formación Técnica Específica",$B3&amp;"°"&amp;O$1&amp;"°"&amp;$B3&amp;O$1&amp;1&amp;$A3,$B3&amp;"°"&amp;O$1&amp;"°"&amp;$A3),[1]Hoja1!$A:$O,15,0))</f>
        <v>PEREYRA, DANIEL</v>
      </c>
      <c r="P3" s="55" t="str">
        <f>IF($J3="Formación Técnica Específica",VLOOKUP(IF($J3="Formación Técnica Específica",$B3&amp;"°"&amp;O$1&amp;"°"&amp;$B3&amp;O$1&amp;1&amp;$A3,$B3&amp;"°"&amp;O$1&amp;"°"&amp;$A3),[1]Hoja1!$A:$O,15,0)," ")</f>
        <v xml:space="preserve"> </v>
      </c>
      <c r="Q3" s="45" t="str">
        <f>IF($J3="Formación Técnica Específica",VLOOKUP(IF($J3="Formación Técnica Específica",$B3&amp;"°"&amp;Q$1&amp;"°"&amp;$B3&amp;Q$1&amp;1&amp;$A3,$B3&amp;"°"&amp;Q$1&amp;"°"&amp;$A3),[1]Hoja1!$A:$O,15,0),VLOOKUP(IF($J3="Formación Técnica Específica",$B3&amp;"°"&amp;Q$1&amp;"°"&amp;$B3&amp;Q$1&amp;1&amp;$A3,$B3&amp;"°"&amp;Q$1&amp;"°"&amp;$A3),[1]Hoja1!$A:$O,15,0))</f>
        <v xml:space="preserve">LOPEZ MARINA  </v>
      </c>
      <c r="R3" s="55" t="str">
        <f>IF($J3="Formación Técnica Específica",VLOOKUP(IF($J3="Formación Técnica Específica",$B3&amp;"°"&amp;Q$1&amp;"°"&amp;$B3&amp;Q$1&amp;1&amp;$A3,$B3&amp;"°"&amp;Q$1&amp;"°"&amp;$A3),[1]Hoja1!$A:$O,15,0)," ")</f>
        <v xml:space="preserve"> </v>
      </c>
      <c r="S3" s="45" t="str">
        <f>IF($J3="Formación Técnica Específica",VLOOKUP(IF($J3="Formación Técnica Específica",$B3&amp;"°"&amp;S$1&amp;"°"&amp;$B3&amp;S$1&amp;1&amp;$A3,$B3&amp;"°"&amp;S$1&amp;"°"&amp;$A3),[1]Hoja1!$A:$O,15,0),VLOOKUP(IF($J3="Formación Técnica Específica",$B3&amp;"°"&amp;S$1&amp;"°"&amp;$B3&amp;S$1&amp;1&amp;$A3,$B3&amp;"°"&amp;S$1&amp;"°"&amp;$A3),[1]Hoja1!$A:$O,15,0))</f>
        <v xml:space="preserve">TORRES LUIS                    </v>
      </c>
      <c r="T3" s="55" t="str">
        <f>IF($J3="Formación Técnica Específica",VLOOKUP(IF($J3="Formación Técnica Específica",$B3&amp;"°"&amp;S$1&amp;"°"&amp;$B3&amp;S$1&amp;1&amp;$A3,$B3&amp;"°"&amp;S$1&amp;"°"&amp;$A3),[1]Hoja1!$A:$O,15,0)," ")</f>
        <v xml:space="preserve"> </v>
      </c>
      <c r="U3" s="45" t="str">
        <f>IF($J3="Formación Técnica Específica",VLOOKUP(IF($J3="Formación Técnica Específica",$B3&amp;"°"&amp;U$1&amp;"°"&amp;$B3&amp;U$1&amp;1&amp;$A3,$B3&amp;"°"&amp;U$1&amp;"°"&amp;$A3),[1]Hoja1!$A:$O,15,0),VLOOKUP(IF($J3="Formación Técnica Específica",$B3&amp;"°"&amp;U$1&amp;"°"&amp;$B3&amp;U$1&amp;1&amp;$A3,$B3&amp;"°"&amp;U$1&amp;"°"&amp;$A3),[1]Hoja1!$A:$O,15,0))</f>
        <v>COLMAN SOFIA DE LA MERCED</v>
      </c>
      <c r="V3" s="55" t="str">
        <f>IF($J3="Formación Técnica Específica",VLOOKUP(IF($J3="Formación Técnica Específica",$B3&amp;"°"&amp;U$1&amp;"°"&amp;$B3&amp;U$1&amp;1&amp;$A3,$B3&amp;"°"&amp;U$1&amp;"°"&amp;$A3),[1]Hoja1!$A:$O,15,0)," ")</f>
        <v xml:space="preserve"> </v>
      </c>
      <c r="W3" s="45" t="e">
        <f>IF($J3="Formación Técnica Específica",VLOOKUP(IF($J3="Formación Técnica Específica",$B3&amp;"°"&amp;W$1&amp;"°"&amp;$B3&amp;W$1&amp;1&amp;$A3,$B3&amp;"°"&amp;W$1&amp;"°"&amp;$A3),[1]Hoja1!$A:$O,15,0),VLOOKUP(IF($J3="Formación Técnica Específica",$B3&amp;"°"&amp;W$1&amp;"°"&amp;$B3&amp;W$1&amp;1&amp;$A3,$B3&amp;"°"&amp;W$1&amp;"°"&amp;$A3),[1]Hoja1!$A:$O,15,0))</f>
        <v>#N/A</v>
      </c>
      <c r="X3" s="55" t="str">
        <f>IF($J3="Formación Técnica Específica",VLOOKUP(IF($J3="Formación Técnica Específica",$B3&amp;"°"&amp;W$1&amp;"°"&amp;$B3&amp;W$1&amp;1&amp;$A3,$B3&amp;"°"&amp;W$1&amp;"°"&amp;$A3),[1]Hoja1!$A:$O,15,0)," ")</f>
        <v xml:space="preserve"> </v>
      </c>
    </row>
    <row r="4" spans="1:36" x14ac:dyDescent="0.25">
      <c r="A4" s="30" t="str">
        <f t="shared" si="0"/>
        <v>1ART</v>
      </c>
      <c r="B4" s="4">
        <v>1</v>
      </c>
      <c r="C4" s="4" t="s">
        <v>10</v>
      </c>
      <c r="D4" s="4"/>
      <c r="E4" s="7" t="s">
        <v>11</v>
      </c>
      <c r="F4" s="3">
        <v>3</v>
      </c>
      <c r="G4" s="4" t="s">
        <v>18</v>
      </c>
      <c r="H4" s="4" t="s">
        <v>19</v>
      </c>
      <c r="I4" s="3">
        <v>2</v>
      </c>
      <c r="J4" s="6" t="s">
        <v>14</v>
      </c>
      <c r="K4" s="31" t="s">
        <v>42</v>
      </c>
      <c r="L4" t="str">
        <f t="shared" si="1"/>
        <v>1°3</v>
      </c>
      <c r="M4" s="31"/>
      <c r="N4" s="63" t="str">
        <f t="shared" si="2"/>
        <v>1°3</v>
      </c>
      <c r="O4" s="45" t="str">
        <f>IF($J4="Formación Técnica Específica",VLOOKUP(IF($J4="Formación Técnica Específica",$B4&amp;"°"&amp;O$1&amp;"°"&amp;$B4&amp;O$1&amp;1&amp;$A4,$B4&amp;"°"&amp;O$1&amp;"°"&amp;$A4),[1]Hoja1!$A:$O,15,0),VLOOKUP(IF($J4="Formación Técnica Específica",$B4&amp;"°"&amp;O$1&amp;"°"&amp;$B4&amp;O$1&amp;1&amp;$A4,$B4&amp;"°"&amp;O$1&amp;"°"&amp;$A4),[1]Hoja1!$A:$O,15,0))</f>
        <v xml:space="preserve">DESIMONI, JESICA                       </v>
      </c>
      <c r="P4" s="55" t="str">
        <f>IF($J4="Formación Técnica Específica",VLOOKUP(IF($J4="Formación Técnica Específica",$B4&amp;"°"&amp;O$1&amp;"°"&amp;$B4&amp;O$1&amp;1&amp;$A4,$B4&amp;"°"&amp;O$1&amp;"°"&amp;$A4),[1]Hoja1!$A:$O,15,0)," ")</f>
        <v xml:space="preserve"> </v>
      </c>
      <c r="Q4" s="45" t="str">
        <f>IF($J4="Formación Técnica Específica",VLOOKUP(IF($J4="Formación Técnica Específica",$B4&amp;"°"&amp;Q$1&amp;"°"&amp;$B4&amp;Q$1&amp;1&amp;$A4,$B4&amp;"°"&amp;Q$1&amp;"°"&amp;$A4),[1]Hoja1!$A:$O,15,0),VLOOKUP(IF($J4="Formación Técnica Específica",$B4&amp;"°"&amp;Q$1&amp;"°"&amp;$B4&amp;Q$1&amp;1&amp;$A4,$B4&amp;"°"&amp;Q$1&amp;"°"&amp;$A4),[1]Hoja1!$A:$O,15,0))</f>
        <v xml:space="preserve">FIGUEROA CARLOS </v>
      </c>
      <c r="R4" s="55" t="str">
        <f>IF($J4="Formación Técnica Específica",VLOOKUP(IF($J4="Formación Técnica Específica",$B4&amp;"°"&amp;Q$1&amp;"°"&amp;$B4&amp;Q$1&amp;1&amp;$A4,$B4&amp;"°"&amp;Q$1&amp;"°"&amp;$A4),[1]Hoja1!$A:$O,15,0)," ")</f>
        <v xml:space="preserve"> </v>
      </c>
      <c r="S4" s="45" t="str">
        <f>IF($J4="Formación Técnica Específica",VLOOKUP(IF($J4="Formación Técnica Específica",$B4&amp;"°"&amp;S$1&amp;"°"&amp;$B4&amp;S$1&amp;1&amp;$A4,$B4&amp;"°"&amp;S$1&amp;"°"&amp;$A4),[1]Hoja1!$A:$O,15,0),VLOOKUP(IF($J4="Formación Técnica Específica",$B4&amp;"°"&amp;S$1&amp;"°"&amp;$B4&amp;S$1&amp;1&amp;$A4,$B4&amp;"°"&amp;S$1&amp;"°"&amp;$A4),[1]Hoja1!$A:$O,15,0))</f>
        <v>CHAWET MATIAS</v>
      </c>
      <c r="T4" s="55" t="str">
        <f>IF($J4="Formación Técnica Específica",VLOOKUP(IF($J4="Formación Técnica Específica",$B4&amp;"°"&amp;S$1&amp;"°"&amp;$B4&amp;S$1&amp;1&amp;$A4,$B4&amp;"°"&amp;S$1&amp;"°"&amp;$A4),[1]Hoja1!$A:$O,15,0)," ")</f>
        <v xml:space="preserve"> </v>
      </c>
      <c r="U4" s="45" t="str">
        <f>IF($J4="Formación Técnica Específica",VLOOKUP(IF($J4="Formación Técnica Específica",$B4&amp;"°"&amp;U$1&amp;"°"&amp;$B4&amp;U$1&amp;1&amp;$A4,$B4&amp;"°"&amp;U$1&amp;"°"&amp;$A4),[1]Hoja1!$A:$O,15,0),VLOOKUP(IF($J4="Formación Técnica Específica",$B4&amp;"°"&amp;U$1&amp;"°"&amp;$B4&amp;U$1&amp;1&amp;$A4,$B4&amp;"°"&amp;U$1&amp;"°"&amp;$A4),[1]Hoja1!$A:$O,15,0))</f>
        <v>CHAVVET, MATIAS</v>
      </c>
      <c r="V4" s="55" t="str">
        <f>IF($J4="Formación Técnica Específica",VLOOKUP(IF($J4="Formación Técnica Específica",$B4&amp;"°"&amp;U$1&amp;"°"&amp;$B4&amp;U$1&amp;1&amp;$A4,$B4&amp;"°"&amp;U$1&amp;"°"&amp;$A4),[1]Hoja1!$A:$O,15,0)," ")</f>
        <v xml:space="preserve"> </v>
      </c>
      <c r="W4" s="45" t="e">
        <f>IF($J4="Formación Técnica Específica",VLOOKUP(IF($J4="Formación Técnica Específica",$B4&amp;"°"&amp;W$1&amp;"°"&amp;$B4&amp;W$1&amp;1&amp;$A4,$B4&amp;"°"&amp;W$1&amp;"°"&amp;$A4),[1]Hoja1!$A:$O,15,0),VLOOKUP(IF($J4="Formación Técnica Específica",$B4&amp;"°"&amp;W$1&amp;"°"&amp;$B4&amp;W$1&amp;1&amp;$A4,$B4&amp;"°"&amp;W$1&amp;"°"&amp;$A4),[1]Hoja1!$A:$O,15,0))</f>
        <v>#N/A</v>
      </c>
      <c r="X4" s="55" t="str">
        <f>IF($J4="Formación Técnica Específica",VLOOKUP(IF($J4="Formación Técnica Específica",$B4&amp;"°"&amp;W$1&amp;"°"&amp;$B4&amp;W$1&amp;1&amp;$A4,$B4&amp;"°"&amp;W$1&amp;"°"&amp;$A4),[1]Hoja1!$A:$O,15,0)," ")</f>
        <v xml:space="preserve"> </v>
      </c>
    </row>
    <row r="5" spans="1:36" x14ac:dyDescent="0.25">
      <c r="A5" s="30" t="str">
        <f t="shared" si="0"/>
        <v>1EFI</v>
      </c>
      <c r="B5" s="4">
        <v>1</v>
      </c>
      <c r="C5" s="4" t="s">
        <v>10</v>
      </c>
      <c r="D5" s="4"/>
      <c r="E5" s="7" t="s">
        <v>11</v>
      </c>
      <c r="F5" s="3">
        <v>4</v>
      </c>
      <c r="G5" s="4" t="s">
        <v>20</v>
      </c>
      <c r="H5" s="4" t="s">
        <v>21</v>
      </c>
      <c r="I5" s="3">
        <v>2</v>
      </c>
      <c r="J5" s="6" t="s">
        <v>14</v>
      </c>
      <c r="K5" s="31" t="s">
        <v>172</v>
      </c>
      <c r="L5" t="str">
        <f t="shared" si="1"/>
        <v>1°4</v>
      </c>
      <c r="M5" s="31"/>
      <c r="N5" s="63" t="str">
        <f t="shared" si="2"/>
        <v>1°4</v>
      </c>
      <c r="O5" s="45" t="str">
        <f>IF($J5="Formación Técnica Específica",VLOOKUP(IF($J5="Formación Técnica Específica",$B5&amp;"°"&amp;O$1&amp;"°"&amp;$B5&amp;O$1&amp;1&amp;$A5,$B5&amp;"°"&amp;O$1&amp;"°"&amp;$A5),[1]Hoja1!$A:$O,15,0),VLOOKUP(IF($J5="Formación Técnica Específica",$B5&amp;"°"&amp;O$1&amp;"°"&amp;$B5&amp;O$1&amp;1&amp;$A5,$B5&amp;"°"&amp;O$1&amp;"°"&amp;$A5),[1]Hoja1!$A:$O,15,0))</f>
        <v xml:space="preserve">SANCHEZ CARLOS        </v>
      </c>
      <c r="P5" s="55" t="str">
        <f>IF($J5="Formación Técnica Específica",VLOOKUP(IF($J5="Formación Técnica Específica",$B5&amp;"°"&amp;O$1&amp;"°"&amp;$B5&amp;O$1&amp;1&amp;$A5,$B5&amp;"°"&amp;O$1&amp;"°"&amp;$A5),[1]Hoja1!$A:$O,15,0)," ")</f>
        <v xml:space="preserve"> </v>
      </c>
      <c r="Q5" s="45" t="str">
        <f>IF($J5="Formación Técnica Específica",VLOOKUP(IF($J5="Formación Técnica Específica",$B5&amp;"°"&amp;Q$1&amp;"°"&amp;$B5&amp;Q$1&amp;1&amp;$A5,$B5&amp;"°"&amp;Q$1&amp;"°"&amp;$A5),[1]Hoja1!$A:$O,15,0),VLOOKUP(IF($J5="Formación Técnica Específica",$B5&amp;"°"&amp;Q$1&amp;"°"&amp;$B5&amp;Q$1&amp;1&amp;$A5,$B5&amp;"°"&amp;Q$1&amp;"°"&amp;$A5),[1]Hoja1!$A:$O,15,0))</f>
        <v xml:space="preserve">DE LA FUENTE F.        </v>
      </c>
      <c r="R5" s="55" t="str">
        <f>IF($J5="Formación Técnica Específica",VLOOKUP(IF($J5="Formación Técnica Específica",$B5&amp;"°"&amp;Q$1&amp;"°"&amp;$B5&amp;Q$1&amp;1&amp;$A5,$B5&amp;"°"&amp;Q$1&amp;"°"&amp;$A5),[1]Hoja1!$A:$O,15,0)," ")</f>
        <v xml:space="preserve"> </v>
      </c>
      <c r="S5" s="45" t="str">
        <f>IF($J5="Formación Técnica Específica",VLOOKUP(IF($J5="Formación Técnica Específica",$B5&amp;"°"&amp;S$1&amp;"°"&amp;$B5&amp;S$1&amp;1&amp;$A5,$B5&amp;"°"&amp;S$1&amp;"°"&amp;$A5),[1]Hoja1!$A:$O,15,0),VLOOKUP(IF($J5="Formación Técnica Específica",$B5&amp;"°"&amp;S$1&amp;"°"&amp;$B5&amp;S$1&amp;1&amp;$A5,$B5&amp;"°"&amp;S$1&amp;"°"&amp;$A5),[1]Hoja1!$A:$O,15,0))</f>
        <v>LUDUEÑA NELSON           20-29.569.203-1</v>
      </c>
      <c r="T5" s="55" t="str">
        <f>IF($J5="Formación Técnica Específica",VLOOKUP(IF($J5="Formación Técnica Específica",$B5&amp;"°"&amp;S$1&amp;"°"&amp;$B5&amp;S$1&amp;1&amp;$A5,$B5&amp;"°"&amp;S$1&amp;"°"&amp;$A5),[1]Hoja1!$A:$O,15,0)," ")</f>
        <v xml:space="preserve"> </v>
      </c>
      <c r="U5" s="45" t="str">
        <f>IF($J5="Formación Técnica Específica",VLOOKUP(IF($J5="Formación Técnica Específica",$B5&amp;"°"&amp;U$1&amp;"°"&amp;$B5&amp;U$1&amp;1&amp;$A5,$B5&amp;"°"&amp;U$1&amp;"°"&amp;$A5),[1]Hoja1!$A:$O,15,0),VLOOKUP(IF($J5="Formación Técnica Específica",$B5&amp;"°"&amp;U$1&amp;"°"&amp;$B5&amp;U$1&amp;1&amp;$A5,$B5&amp;"°"&amp;U$1&amp;"°"&amp;$A5),[1]Hoja1!$A:$O,15,0))</f>
        <v xml:space="preserve">DE LA FUENTE F.                         </v>
      </c>
      <c r="V5" s="55" t="str">
        <f>IF($J5="Formación Técnica Específica",VLOOKUP(IF($J5="Formación Técnica Específica",$B5&amp;"°"&amp;U$1&amp;"°"&amp;$B5&amp;U$1&amp;1&amp;$A5,$B5&amp;"°"&amp;U$1&amp;"°"&amp;$A5),[1]Hoja1!$A:$O,15,0)," ")</f>
        <v xml:space="preserve"> </v>
      </c>
      <c r="W5" s="45" t="e">
        <f>IF($J5="Formación Técnica Específica",VLOOKUP(IF($J5="Formación Técnica Específica",$B5&amp;"°"&amp;W$1&amp;"°"&amp;$B5&amp;W$1&amp;1&amp;$A5,$B5&amp;"°"&amp;W$1&amp;"°"&amp;$A5),[1]Hoja1!$A:$O,15,0),VLOOKUP(IF($J5="Formación Técnica Específica",$B5&amp;"°"&amp;W$1&amp;"°"&amp;$B5&amp;W$1&amp;1&amp;$A5,$B5&amp;"°"&amp;W$1&amp;"°"&amp;$A5),[1]Hoja1!$A:$O,15,0))</f>
        <v>#N/A</v>
      </c>
      <c r="X5" s="55" t="str">
        <f>IF($J5="Formación Técnica Específica",VLOOKUP(IF($J5="Formación Técnica Específica",$B5&amp;"°"&amp;W$1&amp;"°"&amp;$B5&amp;W$1&amp;1&amp;$A5,$B5&amp;"°"&amp;W$1&amp;"°"&amp;$A5),[1]Hoja1!$A:$O,15,0)," ")</f>
        <v xml:space="preserve"> </v>
      </c>
    </row>
    <row r="6" spans="1:36" x14ac:dyDescent="0.25">
      <c r="A6" s="30" t="str">
        <f t="shared" si="0"/>
        <v>1ING</v>
      </c>
      <c r="B6" s="4">
        <v>1</v>
      </c>
      <c r="C6" s="4" t="s">
        <v>10</v>
      </c>
      <c r="D6" s="4"/>
      <c r="E6" s="7" t="s">
        <v>11</v>
      </c>
      <c r="F6" s="3">
        <v>5</v>
      </c>
      <c r="G6" s="4" t="s">
        <v>22</v>
      </c>
      <c r="H6" s="4" t="s">
        <v>23</v>
      </c>
      <c r="I6" s="3">
        <v>2</v>
      </c>
      <c r="J6" s="6" t="s">
        <v>14</v>
      </c>
      <c r="K6" s="31" t="s">
        <v>170</v>
      </c>
      <c r="L6" t="str">
        <f t="shared" si="1"/>
        <v>1°5</v>
      </c>
      <c r="M6" s="31"/>
      <c r="N6" s="63" t="str">
        <f t="shared" si="2"/>
        <v>1°5</v>
      </c>
      <c r="O6" s="45" t="str">
        <f>IF($J6="Formación Técnica Específica",VLOOKUP(IF($J6="Formación Técnica Específica",$B6&amp;"°"&amp;O$1&amp;"°"&amp;$B6&amp;O$1&amp;1&amp;$A6,$B6&amp;"°"&amp;O$1&amp;"°"&amp;$A6),[1]Hoja1!$A:$O,15,0),VLOOKUP(IF($J6="Formación Técnica Específica",$B6&amp;"°"&amp;O$1&amp;"°"&amp;$B6&amp;O$1&amp;1&amp;$A6,$B6&amp;"°"&amp;O$1&amp;"°"&amp;$A6),[1]Hoja1!$A:$O,15,0))</f>
        <v xml:space="preserve">LEGUIZAMO  ANA </v>
      </c>
      <c r="P6" s="55" t="str">
        <f>IF($J6="Formación Técnica Específica",VLOOKUP(IF($J6="Formación Técnica Específica",$B6&amp;"°"&amp;O$1&amp;"°"&amp;$B6&amp;O$1&amp;1&amp;$A6,$B6&amp;"°"&amp;O$1&amp;"°"&amp;$A6),[1]Hoja1!$A:$O,15,0)," ")</f>
        <v xml:space="preserve"> </v>
      </c>
      <c r="Q6" s="45" t="str">
        <f>IF($J6="Formación Técnica Específica",VLOOKUP(IF($J6="Formación Técnica Específica",$B6&amp;"°"&amp;Q$1&amp;"°"&amp;$B6&amp;Q$1&amp;1&amp;$A6,$B6&amp;"°"&amp;Q$1&amp;"°"&amp;$A6),[1]Hoja1!$A:$O,15,0),VLOOKUP(IF($J6="Formación Técnica Específica",$B6&amp;"°"&amp;Q$1&amp;"°"&amp;$B6&amp;Q$1&amp;1&amp;$A6,$B6&amp;"°"&amp;Q$1&amp;"°"&amp;$A6),[1]Hoja1!$A:$O,15,0))</f>
        <v xml:space="preserve">ARCE KARINA </v>
      </c>
      <c r="R6" s="55" t="str">
        <f>IF($J6="Formación Técnica Específica",VLOOKUP(IF($J6="Formación Técnica Específica",$B6&amp;"°"&amp;Q$1&amp;"°"&amp;$B6&amp;Q$1&amp;1&amp;$A6,$B6&amp;"°"&amp;Q$1&amp;"°"&amp;$A6),[1]Hoja1!$A:$O,15,0)," ")</f>
        <v xml:space="preserve"> </v>
      </c>
      <c r="S6" s="45" t="str">
        <f>IF($J6="Formación Técnica Específica",VLOOKUP(IF($J6="Formación Técnica Específica",$B6&amp;"°"&amp;S$1&amp;"°"&amp;$B6&amp;S$1&amp;1&amp;$A6,$B6&amp;"°"&amp;S$1&amp;"°"&amp;$A6),[1]Hoja1!$A:$O,15,0),VLOOKUP(IF($J6="Formación Técnica Específica",$B6&amp;"°"&amp;S$1&amp;"°"&amp;$B6&amp;S$1&amp;1&amp;$A6,$B6&amp;"°"&amp;S$1&amp;"°"&amp;$A6),[1]Hoja1!$A:$O,15,0))</f>
        <v>RAMIREZ GISELE</v>
      </c>
      <c r="T6" s="55" t="str">
        <f>IF($J6="Formación Técnica Específica",VLOOKUP(IF($J6="Formación Técnica Específica",$B6&amp;"°"&amp;S$1&amp;"°"&amp;$B6&amp;S$1&amp;1&amp;$A6,$B6&amp;"°"&amp;S$1&amp;"°"&amp;$A6),[1]Hoja1!$A:$O,15,0)," ")</f>
        <v xml:space="preserve"> </v>
      </c>
      <c r="U6" s="45" t="str">
        <f>IF($J6="Formación Técnica Específica",VLOOKUP(IF($J6="Formación Técnica Específica",$B6&amp;"°"&amp;U$1&amp;"°"&amp;$B6&amp;U$1&amp;1&amp;$A6,$B6&amp;"°"&amp;U$1&amp;"°"&amp;$A6),[1]Hoja1!$A:$O,15,0),VLOOKUP(IF($J6="Formación Técnica Específica",$B6&amp;"°"&amp;U$1&amp;"°"&amp;$B6&amp;U$1&amp;1&amp;$A6,$B6&amp;"°"&amp;U$1&amp;"°"&amp;$A6),[1]Hoja1!$A:$O,15,0))</f>
        <v xml:space="preserve">LEGUIZAMO ANA   </v>
      </c>
      <c r="V6" s="55" t="str">
        <f>IF($J6="Formación Técnica Específica",VLOOKUP(IF($J6="Formación Técnica Específica",$B6&amp;"°"&amp;U$1&amp;"°"&amp;$B6&amp;U$1&amp;1&amp;$A6,$B6&amp;"°"&amp;U$1&amp;"°"&amp;$A6),[1]Hoja1!$A:$O,15,0)," ")</f>
        <v xml:space="preserve"> </v>
      </c>
      <c r="W6" s="45" t="e">
        <f>IF($J6="Formación Técnica Específica",VLOOKUP(IF($J6="Formación Técnica Específica",$B6&amp;"°"&amp;W$1&amp;"°"&amp;$B6&amp;W$1&amp;1&amp;$A6,$B6&amp;"°"&amp;W$1&amp;"°"&amp;$A6),[1]Hoja1!$A:$O,15,0),VLOOKUP(IF($J6="Formación Técnica Específica",$B6&amp;"°"&amp;W$1&amp;"°"&amp;$B6&amp;W$1&amp;1&amp;$A6,$B6&amp;"°"&amp;W$1&amp;"°"&amp;$A6),[1]Hoja1!$A:$O,15,0))</f>
        <v>#N/A</v>
      </c>
      <c r="X6" s="55" t="str">
        <f>IF($J6="Formación Técnica Específica",VLOOKUP(IF($J6="Formación Técnica Específica",$B6&amp;"°"&amp;W$1&amp;"°"&amp;$B6&amp;W$1&amp;1&amp;$A6,$B6&amp;"°"&amp;W$1&amp;"°"&amp;$A6),[1]Hoja1!$A:$O,15,0)," ")</f>
        <v xml:space="preserve"> </v>
      </c>
    </row>
    <row r="7" spans="1:36" x14ac:dyDescent="0.25">
      <c r="A7" s="30" t="str">
        <f t="shared" si="0"/>
        <v>1MAT</v>
      </c>
      <c r="B7" s="4">
        <v>1</v>
      </c>
      <c r="C7" s="4" t="s">
        <v>10</v>
      </c>
      <c r="D7" s="4"/>
      <c r="E7" s="7" t="s">
        <v>58</v>
      </c>
      <c r="F7" s="3">
        <v>6</v>
      </c>
      <c r="G7" s="4" t="s">
        <v>24</v>
      </c>
      <c r="H7" s="4" t="s">
        <v>25</v>
      </c>
      <c r="I7" s="3">
        <v>4</v>
      </c>
      <c r="J7" s="6" t="s">
        <v>14</v>
      </c>
      <c r="K7" s="31" t="s">
        <v>26</v>
      </c>
      <c r="L7" t="str">
        <f t="shared" si="1"/>
        <v>1°6</v>
      </c>
      <c r="M7" s="31"/>
      <c r="N7" s="63" t="str">
        <f t="shared" si="2"/>
        <v>1°6</v>
      </c>
      <c r="O7" s="45" t="str">
        <f>IF($J7="Formación Técnica Específica",VLOOKUP(IF($J7="Formación Técnica Específica",$B7&amp;"°"&amp;O$1&amp;"°"&amp;$B7&amp;O$1&amp;1&amp;$A7,$B7&amp;"°"&amp;O$1&amp;"°"&amp;$A7),[1]Hoja1!$A:$O,15,0),VLOOKUP(IF($J7="Formación Técnica Específica",$B7&amp;"°"&amp;O$1&amp;"°"&amp;$B7&amp;O$1&amp;1&amp;$A7,$B7&amp;"°"&amp;O$1&amp;"°"&amp;$A7),[1]Hoja1!$A:$O,15,0))</f>
        <v xml:space="preserve">GONZALEZ M EUGENIA </v>
      </c>
      <c r="P7" s="55" t="str">
        <f>IF($J7="Formación Técnica Específica",VLOOKUP(IF($J7="Formación Técnica Específica",$B7&amp;"°"&amp;O$1&amp;"°"&amp;$B7&amp;O$1&amp;1&amp;$A7,$B7&amp;"°"&amp;O$1&amp;"°"&amp;$A7),[1]Hoja1!$A:$O,15,0)," ")</f>
        <v xml:space="preserve"> </v>
      </c>
      <c r="Q7" s="45" t="str">
        <f>IF($J7="Formación Técnica Específica",VLOOKUP(IF($J7="Formación Técnica Específica",$B7&amp;"°"&amp;Q$1&amp;"°"&amp;$B7&amp;Q$1&amp;1&amp;$A7,$B7&amp;"°"&amp;Q$1&amp;"°"&amp;$A7),[1]Hoja1!$A:$O,15,0),VLOOKUP(IF($J7="Formación Técnica Específica",$B7&amp;"°"&amp;Q$1&amp;"°"&amp;$B7&amp;Q$1&amp;1&amp;$A7,$B7&amp;"°"&amp;Q$1&amp;"°"&amp;$A7),[1]Hoja1!$A:$O,15,0))</f>
        <v xml:space="preserve">OVEJERO, JAVIER </v>
      </c>
      <c r="R7" s="55" t="str">
        <f>IF($J7="Formación Técnica Específica",VLOOKUP(IF($J7="Formación Técnica Específica",$B7&amp;"°"&amp;Q$1&amp;"°"&amp;$B7&amp;Q$1&amp;1&amp;$A7,$B7&amp;"°"&amp;Q$1&amp;"°"&amp;$A7),[1]Hoja1!$A:$O,15,0)," ")</f>
        <v xml:space="preserve"> </v>
      </c>
      <c r="S7" s="45" t="str">
        <f>IF($J7="Formación Técnica Específica",VLOOKUP(IF($J7="Formación Técnica Específica",$B7&amp;"°"&amp;S$1&amp;"°"&amp;$B7&amp;S$1&amp;1&amp;$A7,$B7&amp;"°"&amp;S$1&amp;"°"&amp;$A7),[1]Hoja1!$A:$O,15,0),VLOOKUP(IF($J7="Formación Técnica Específica",$B7&amp;"°"&amp;S$1&amp;"°"&amp;$B7&amp;S$1&amp;1&amp;$A7,$B7&amp;"°"&amp;S$1&amp;"°"&amp;$A7),[1]Hoja1!$A:$O,15,0))</f>
        <v xml:space="preserve">ESPINDOLA SERGIO                          </v>
      </c>
      <c r="T7" s="55" t="str">
        <f>IF($J7="Formación Técnica Específica",VLOOKUP(IF($J7="Formación Técnica Específica",$B7&amp;"°"&amp;S$1&amp;"°"&amp;$B7&amp;S$1&amp;1&amp;$A7,$B7&amp;"°"&amp;S$1&amp;"°"&amp;$A7),[1]Hoja1!$A:$O,15,0)," ")</f>
        <v xml:space="preserve"> </v>
      </c>
      <c r="U7" s="45" t="str">
        <f>IF($J7="Formación Técnica Específica",VLOOKUP(IF($J7="Formación Técnica Específica",$B7&amp;"°"&amp;U$1&amp;"°"&amp;$B7&amp;U$1&amp;1&amp;$A7,$B7&amp;"°"&amp;U$1&amp;"°"&amp;$A7),[1]Hoja1!$A:$O,15,0),VLOOKUP(IF($J7="Formación Técnica Específica",$B7&amp;"°"&amp;U$1&amp;"°"&amp;$B7&amp;U$1&amp;1&amp;$A7,$B7&amp;"°"&amp;U$1&amp;"°"&amp;$A7),[1]Hoja1!$A:$O,15,0))</f>
        <v xml:space="preserve">OVEJERO, JAVIER               </v>
      </c>
      <c r="V7" s="55" t="str">
        <f>IF($J7="Formación Técnica Específica",VLOOKUP(IF($J7="Formación Técnica Específica",$B7&amp;"°"&amp;U$1&amp;"°"&amp;$B7&amp;U$1&amp;1&amp;$A7,$B7&amp;"°"&amp;U$1&amp;"°"&amp;$A7),[1]Hoja1!$A:$O,15,0)," ")</f>
        <v xml:space="preserve"> </v>
      </c>
      <c r="W7" s="45" t="e">
        <f>IF($J7="Formación Técnica Específica",VLOOKUP(IF($J7="Formación Técnica Específica",$B7&amp;"°"&amp;W$1&amp;"°"&amp;$B7&amp;W$1&amp;1&amp;$A7,$B7&amp;"°"&amp;W$1&amp;"°"&amp;$A7),[1]Hoja1!$A:$O,15,0),VLOOKUP(IF($J7="Formación Técnica Específica",$B7&amp;"°"&amp;W$1&amp;"°"&amp;$B7&amp;W$1&amp;1&amp;$A7,$B7&amp;"°"&amp;W$1&amp;"°"&amp;$A7),[1]Hoja1!$A:$O,15,0))</f>
        <v>#N/A</v>
      </c>
      <c r="X7" s="55" t="str">
        <f>IF($J7="Formación Técnica Específica",VLOOKUP(IF($J7="Formación Técnica Específica",$B7&amp;"°"&amp;W$1&amp;"°"&amp;$B7&amp;W$1&amp;1&amp;$A7,$B7&amp;"°"&amp;W$1&amp;"°"&amp;$A7),[1]Hoja1!$A:$O,15,0)," ")</f>
        <v xml:space="preserve"> </v>
      </c>
    </row>
    <row r="8" spans="1:36" x14ac:dyDescent="0.25">
      <c r="A8" s="30" t="str">
        <f t="shared" si="0"/>
        <v>1LEN</v>
      </c>
      <c r="B8" s="4">
        <v>1</v>
      </c>
      <c r="C8" s="4" t="s">
        <v>10</v>
      </c>
      <c r="D8" s="4"/>
      <c r="E8" s="7" t="s">
        <v>11</v>
      </c>
      <c r="F8" s="3">
        <v>7</v>
      </c>
      <c r="G8" s="4" t="s">
        <v>27</v>
      </c>
      <c r="H8" s="4" t="s">
        <v>28</v>
      </c>
      <c r="I8" s="3">
        <v>4</v>
      </c>
      <c r="J8" s="6" t="s">
        <v>14</v>
      </c>
      <c r="K8" s="31" t="s">
        <v>29</v>
      </c>
      <c r="L8" t="str">
        <f t="shared" si="1"/>
        <v>1°7</v>
      </c>
      <c r="M8" s="31"/>
      <c r="N8" s="63" t="str">
        <f t="shared" si="2"/>
        <v>1°7</v>
      </c>
      <c r="O8" s="45" t="str">
        <f>IF($J8="Formación Técnica Específica",VLOOKUP(IF($J8="Formación Técnica Específica",$B8&amp;"°"&amp;O$1&amp;"°"&amp;$B8&amp;O$1&amp;1&amp;$A8,$B8&amp;"°"&amp;O$1&amp;"°"&amp;$A8),[1]Hoja1!$A:$O,15,0),VLOOKUP(IF($J8="Formación Técnica Específica",$B8&amp;"°"&amp;O$1&amp;"°"&amp;$B8&amp;O$1&amp;1&amp;$A8,$B8&amp;"°"&amp;O$1&amp;"°"&amp;$A8),[1]Hoja1!$A:$O,15,0))</f>
        <v>ZURITA REINA</v>
      </c>
      <c r="P8" s="55" t="str">
        <f>IF($J8="Formación Técnica Específica",VLOOKUP(IF($J8="Formación Técnica Específica",$B8&amp;"°"&amp;O$1&amp;"°"&amp;$B8&amp;O$1&amp;1&amp;$A8,$B8&amp;"°"&amp;O$1&amp;"°"&amp;$A8),[1]Hoja1!$A:$O,15,0)," ")</f>
        <v xml:space="preserve"> </v>
      </c>
      <c r="Q8" s="45" t="str">
        <f>IF($J8="Formación Técnica Específica",VLOOKUP(IF($J8="Formación Técnica Específica",$B8&amp;"°"&amp;Q$1&amp;"°"&amp;$B8&amp;Q$1&amp;1&amp;$A8,$B8&amp;"°"&amp;Q$1&amp;"°"&amp;$A8),[1]Hoja1!$A:$O,15,0),VLOOKUP(IF($J8="Formación Técnica Específica",$B8&amp;"°"&amp;Q$1&amp;"°"&amp;$B8&amp;Q$1&amp;1&amp;$A8,$B8&amp;"°"&amp;Q$1&amp;"°"&amp;$A8),[1]Hoja1!$A:$O,15,0))</f>
        <v xml:space="preserve">CAÑETE, JOHANA  </v>
      </c>
      <c r="R8" s="55" t="str">
        <f>IF($J8="Formación Técnica Específica",VLOOKUP(IF($J8="Formación Técnica Específica",$B8&amp;"°"&amp;Q$1&amp;"°"&amp;$B8&amp;Q$1&amp;1&amp;$A8,$B8&amp;"°"&amp;Q$1&amp;"°"&amp;$A8),[1]Hoja1!$A:$O,15,0)," ")</f>
        <v xml:space="preserve"> </v>
      </c>
      <c r="S8" s="45" t="str">
        <f>IF($J8="Formación Técnica Específica",VLOOKUP(IF($J8="Formación Técnica Específica",$B8&amp;"°"&amp;S$1&amp;"°"&amp;$B8&amp;S$1&amp;1&amp;$A8,$B8&amp;"°"&amp;S$1&amp;"°"&amp;$A8),[1]Hoja1!$A:$O,15,0),VLOOKUP(IF($J8="Formación Técnica Específica",$B8&amp;"°"&amp;S$1&amp;"°"&amp;$B8&amp;S$1&amp;1&amp;$A8,$B8&amp;"°"&amp;S$1&amp;"°"&amp;$A8),[1]Hoja1!$A:$O,15,0))</f>
        <v xml:space="preserve"> ANA CELESTE ROJAS</v>
      </c>
      <c r="T8" s="55" t="str">
        <f>IF($J8="Formación Técnica Específica",VLOOKUP(IF($J8="Formación Técnica Específica",$B8&amp;"°"&amp;S$1&amp;"°"&amp;$B8&amp;S$1&amp;1&amp;$A8,$B8&amp;"°"&amp;S$1&amp;"°"&amp;$A8),[1]Hoja1!$A:$O,15,0)," ")</f>
        <v xml:space="preserve"> </v>
      </c>
      <c r="U8" s="45" t="str">
        <f>IF($J8="Formación Técnica Específica",VLOOKUP(IF($J8="Formación Técnica Específica",$B8&amp;"°"&amp;U$1&amp;"°"&amp;$B8&amp;U$1&amp;1&amp;$A8,$B8&amp;"°"&amp;U$1&amp;"°"&amp;$A8),[1]Hoja1!$A:$O,15,0),VLOOKUP(IF($J8="Formación Técnica Específica",$B8&amp;"°"&amp;U$1&amp;"°"&amp;$B8&amp;U$1&amp;1&amp;$A8,$B8&amp;"°"&amp;U$1&amp;"°"&amp;$A8),[1]Hoja1!$A:$O,15,0))</f>
        <v>BECERRO PERLA FLORENCIA</v>
      </c>
      <c r="V8" s="55" t="str">
        <f>IF($J8="Formación Técnica Específica",VLOOKUP(IF($J8="Formación Técnica Específica",$B8&amp;"°"&amp;U$1&amp;"°"&amp;$B8&amp;U$1&amp;1&amp;$A8,$B8&amp;"°"&amp;U$1&amp;"°"&amp;$A8),[1]Hoja1!$A:$O,15,0)," ")</f>
        <v xml:space="preserve"> </v>
      </c>
      <c r="W8" s="45" t="e">
        <f>IF($J8="Formación Técnica Específica",VLOOKUP(IF($J8="Formación Técnica Específica",$B8&amp;"°"&amp;W$1&amp;"°"&amp;$B8&amp;W$1&amp;1&amp;$A8,$B8&amp;"°"&amp;W$1&amp;"°"&amp;$A8),[1]Hoja1!$A:$O,15,0),VLOOKUP(IF($J8="Formación Técnica Específica",$B8&amp;"°"&amp;W$1&amp;"°"&amp;$B8&amp;W$1&amp;1&amp;$A8,$B8&amp;"°"&amp;W$1&amp;"°"&amp;$A8),[1]Hoja1!$A:$O,15,0))</f>
        <v>#N/A</v>
      </c>
      <c r="X8" s="55" t="str">
        <f>IF($J8="Formación Técnica Específica",VLOOKUP(IF($J8="Formación Técnica Específica",$B8&amp;"°"&amp;W$1&amp;"°"&amp;$B8&amp;W$1&amp;1&amp;$A8,$B8&amp;"°"&amp;W$1&amp;"°"&amp;$A8),[1]Hoja1!$A:$O,15,0)," ")</f>
        <v xml:space="preserve"> </v>
      </c>
    </row>
    <row r="9" spans="1:36" x14ac:dyDescent="0.25">
      <c r="A9" s="30" t="str">
        <f t="shared" si="0"/>
        <v>1CCD</v>
      </c>
      <c r="B9" s="4">
        <v>1</v>
      </c>
      <c r="C9" s="4" t="s">
        <v>10</v>
      </c>
      <c r="D9" s="4"/>
      <c r="E9" s="7" t="s">
        <v>11</v>
      </c>
      <c r="F9" s="3">
        <v>8</v>
      </c>
      <c r="G9" s="4" t="s">
        <v>30</v>
      </c>
      <c r="H9" s="4" t="s">
        <v>30</v>
      </c>
      <c r="I9" s="3">
        <v>2</v>
      </c>
      <c r="J9" s="6" t="s">
        <v>14</v>
      </c>
      <c r="K9" s="31" t="s">
        <v>41</v>
      </c>
      <c r="L9" t="str">
        <f t="shared" si="1"/>
        <v>1°8</v>
      </c>
      <c r="M9" s="31"/>
      <c r="N9" s="63" t="str">
        <f t="shared" si="2"/>
        <v>1°8</v>
      </c>
      <c r="O9" s="45" t="str">
        <f>IF($J9="Formación Técnica Específica",VLOOKUP(IF($J9="Formación Técnica Específica",$B9&amp;"°"&amp;O$1&amp;"°"&amp;$B9&amp;O$1&amp;1&amp;$A9,$B9&amp;"°"&amp;O$1&amp;"°"&amp;$A9),[1]Hoja1!$A:$O,15,0),VLOOKUP(IF($J9="Formación Técnica Específica",$B9&amp;"°"&amp;O$1&amp;"°"&amp;$B9&amp;O$1&amp;1&amp;$A9,$B9&amp;"°"&amp;O$1&amp;"°"&amp;$A9),[1]Hoja1!$A:$O,15,0))</f>
        <v>MEDINA</v>
      </c>
      <c r="P9" s="55" t="str">
        <f>IF($J9="Formación Técnica Específica",VLOOKUP(IF($J9="Formación Técnica Específica",$B9&amp;"°"&amp;O$1&amp;"°"&amp;$B9&amp;O$1&amp;1&amp;$A9,$B9&amp;"°"&amp;O$1&amp;"°"&amp;$A9),[1]Hoja1!$A:$O,15,0)," ")</f>
        <v xml:space="preserve"> </v>
      </c>
      <c r="Q9" s="45" t="str">
        <f>IF($J9="Formación Técnica Específica",VLOOKUP(IF($J9="Formación Técnica Específica",$B9&amp;"°"&amp;Q$1&amp;"°"&amp;$B9&amp;Q$1&amp;1&amp;$A9,$B9&amp;"°"&amp;Q$1&amp;"°"&amp;$A9),[1]Hoja1!$A:$O,15,0),VLOOKUP(IF($J9="Formación Técnica Específica",$B9&amp;"°"&amp;Q$1&amp;"°"&amp;$B9&amp;Q$1&amp;1&amp;$A9,$B9&amp;"°"&amp;Q$1&amp;"°"&amp;$A9),[1]Hoja1!$A:$O,15,0))</f>
        <v xml:space="preserve">CHAMORRO CRISTIAN </v>
      </c>
      <c r="R9" s="55" t="str">
        <f>IF($J9="Formación Técnica Específica",VLOOKUP(IF($J9="Formación Técnica Específica",$B9&amp;"°"&amp;Q$1&amp;"°"&amp;$B9&amp;Q$1&amp;1&amp;$A9,$B9&amp;"°"&amp;Q$1&amp;"°"&amp;$A9),[1]Hoja1!$A:$O,15,0)," ")</f>
        <v xml:space="preserve"> </v>
      </c>
      <c r="S9" s="45" t="str">
        <f>IF($J9="Formación Técnica Específica",VLOOKUP(IF($J9="Formación Técnica Específica",$B9&amp;"°"&amp;S$1&amp;"°"&amp;$B9&amp;S$1&amp;1&amp;$A9,$B9&amp;"°"&amp;S$1&amp;"°"&amp;$A9),[1]Hoja1!$A:$O,15,0),VLOOKUP(IF($J9="Formación Técnica Específica",$B9&amp;"°"&amp;S$1&amp;"°"&amp;$B9&amp;S$1&amp;1&amp;$A9,$B9&amp;"°"&amp;S$1&amp;"°"&amp;$A9),[1]Hoja1!$A:$O,15,0))</f>
        <v xml:space="preserve">HERRERA CARMEN                    </v>
      </c>
      <c r="T9" s="55" t="str">
        <f>IF($J9="Formación Técnica Específica",VLOOKUP(IF($J9="Formación Técnica Específica",$B9&amp;"°"&amp;S$1&amp;"°"&amp;$B9&amp;S$1&amp;1&amp;$A9,$B9&amp;"°"&amp;S$1&amp;"°"&amp;$A9),[1]Hoja1!$A:$O,15,0)," ")</f>
        <v xml:space="preserve"> </v>
      </c>
      <c r="U9" s="45" t="str">
        <f>IF($J9="Formación Técnica Específica",VLOOKUP(IF($J9="Formación Técnica Específica",$B9&amp;"°"&amp;U$1&amp;"°"&amp;$B9&amp;U$1&amp;1&amp;$A9,$B9&amp;"°"&amp;U$1&amp;"°"&amp;$A9),[1]Hoja1!$A:$O,15,0),VLOOKUP(IF($J9="Formación Técnica Específica",$B9&amp;"°"&amp;U$1&amp;"°"&amp;$B9&amp;U$1&amp;1&amp;$A9,$B9&amp;"°"&amp;U$1&amp;"°"&amp;$A9),[1]Hoja1!$A:$O,15,0))</f>
        <v>KUSNIER CUPAIOLO</v>
      </c>
      <c r="V9" s="55" t="str">
        <f>IF($J9="Formación Técnica Específica",VLOOKUP(IF($J9="Formación Técnica Específica",$B9&amp;"°"&amp;U$1&amp;"°"&amp;$B9&amp;U$1&amp;1&amp;$A9,$B9&amp;"°"&amp;U$1&amp;"°"&amp;$A9),[1]Hoja1!$A:$O,15,0)," ")</f>
        <v xml:space="preserve"> </v>
      </c>
      <c r="W9" s="45" t="e">
        <f>IF($J9="Formación Técnica Específica",VLOOKUP(IF($J9="Formación Técnica Específica",$B9&amp;"°"&amp;W$1&amp;"°"&amp;$B9&amp;W$1&amp;1&amp;$A9,$B9&amp;"°"&amp;W$1&amp;"°"&amp;$A9),[1]Hoja1!$A:$O,15,0),VLOOKUP(IF($J9="Formación Técnica Específica",$B9&amp;"°"&amp;W$1&amp;"°"&amp;$B9&amp;W$1&amp;1&amp;$A9,$B9&amp;"°"&amp;W$1&amp;"°"&amp;$A9),[1]Hoja1!$A:$O,15,0))</f>
        <v>#N/A</v>
      </c>
      <c r="X9" s="55" t="str">
        <f>IF($J9="Formación Técnica Específica",VLOOKUP(IF($J9="Formación Técnica Específica",$B9&amp;"°"&amp;W$1&amp;"°"&amp;$B9&amp;W$1&amp;1&amp;$A9,$B9&amp;"°"&amp;W$1&amp;"°"&amp;$A9),[1]Hoja1!$A:$O,15,0)," ")</f>
        <v xml:space="preserve"> </v>
      </c>
    </row>
    <row r="10" spans="1:36" x14ac:dyDescent="0.25">
      <c r="A10" s="30" t="str">
        <f t="shared" si="0"/>
        <v>1TPT</v>
      </c>
      <c r="B10" s="4">
        <v>1</v>
      </c>
      <c r="C10" s="4" t="s">
        <v>10</v>
      </c>
      <c r="D10" s="4"/>
      <c r="E10" s="7" t="s">
        <v>11</v>
      </c>
      <c r="F10" s="3">
        <v>9</v>
      </c>
      <c r="G10" s="4" t="s">
        <v>31</v>
      </c>
      <c r="H10" s="4" t="s">
        <v>32</v>
      </c>
      <c r="I10" s="3">
        <v>2</v>
      </c>
      <c r="J10" s="6" t="s">
        <v>33</v>
      </c>
      <c r="K10" s="31" t="s">
        <v>34</v>
      </c>
      <c r="L10" t="str">
        <f t="shared" si="1"/>
        <v>1°9</v>
      </c>
      <c r="M10" s="31"/>
      <c r="N10" s="63" t="str">
        <f t="shared" si="2"/>
        <v>1°9</v>
      </c>
      <c r="O10" s="45" t="str">
        <f>IF($J10="Formación Técnica Específica",VLOOKUP(IF($J10="Formación Técnica Específica",$B10&amp;"°"&amp;O$1&amp;"°"&amp;$B10&amp;O$1&amp;1&amp;$A10,$B10&amp;"°"&amp;O$1&amp;"°"&amp;$A10),[1]Hoja1!$A:$O,15,0),VLOOKUP(IF($J10="Formación Técnica Específica",$B10&amp;"°"&amp;O$1&amp;"°"&amp;$B10&amp;O$1&amp;1&amp;$A10,$B10&amp;"°"&amp;O$1&amp;"°"&amp;$A10),[1]Hoja1!$A:$O,15,0))</f>
        <v xml:space="preserve">GUTIERREZ FERNANDO </v>
      </c>
      <c r="P10" s="55" t="str">
        <f>IF($J10="Formación Técnica Específica",VLOOKUP(IF($J10="Formación Técnica Específica",$B10&amp;"°"&amp;O$1&amp;"°"&amp;$B10&amp;O$1&amp;1&amp;$A10,$B10&amp;"°"&amp;O$1&amp;"°"&amp;$A10),[1]Hoja1!$A:$O,15,0)," ")</f>
        <v xml:space="preserve">GUTIERREZ FERNANDO </v>
      </c>
      <c r="Q10" s="45" t="str">
        <f>IF($J10="Formación Técnica Específica",VLOOKUP(IF($J10="Formación Técnica Específica",$B10&amp;"°"&amp;Q$1&amp;"°"&amp;$B10&amp;Q$1&amp;1&amp;$A10,$B10&amp;"°"&amp;Q$1&amp;"°"&amp;$A10),[1]Hoja1!$A:$O,15,0),VLOOKUP(IF($J10="Formación Técnica Específica",$B10&amp;"°"&amp;Q$1&amp;"°"&amp;$B10&amp;Q$1&amp;1&amp;$A10,$B10&amp;"°"&amp;Q$1&amp;"°"&amp;$A10),[1]Hoja1!$A:$O,15,0))</f>
        <v xml:space="preserve">ETCHEVERRY MARTIN                            </v>
      </c>
      <c r="R10" s="55" t="str">
        <f>IF($J10="Formación Técnica Específica",VLOOKUP(IF($J10="Formación Técnica Específica",$B10&amp;"°"&amp;Q$1&amp;"°"&amp;$B10&amp;Q$1&amp;1&amp;$A10,$B10&amp;"°"&amp;Q$1&amp;"°"&amp;$A10),[1]Hoja1!$A:$O,15,0)," ")</f>
        <v xml:space="preserve">ETCHEVERRY MARTIN                            </v>
      </c>
      <c r="S10" s="45" t="str">
        <f>IF($J10="Formación Técnica Específica",VLOOKUP(IF($J10="Formación Técnica Específica",$B10&amp;"°"&amp;S$1&amp;"°"&amp;$B10&amp;S$1&amp;1&amp;$A10,$B10&amp;"°"&amp;S$1&amp;"°"&amp;$A10),[1]Hoja1!$A:$O,15,0),VLOOKUP(IF($J10="Formación Técnica Específica",$B10&amp;"°"&amp;S$1&amp;"°"&amp;$B10&amp;S$1&amp;1&amp;$A10,$B10&amp;"°"&amp;S$1&amp;"°"&amp;$A10),[1]Hoja1!$A:$O,15,0))</f>
        <v xml:space="preserve">GUTIERREZ FERNANDO           </v>
      </c>
      <c r="T10" s="55" t="str">
        <f>IF($J10="Formación Técnica Específica",VLOOKUP(IF($J10="Formación Técnica Específica",$B10&amp;"°"&amp;S$1&amp;"°"&amp;$B10&amp;S$1&amp;1&amp;$A10,$B10&amp;"°"&amp;S$1&amp;"°"&amp;$A10),[1]Hoja1!$A:$O,15,0)," ")</f>
        <v xml:space="preserve">GUTIERREZ FERNANDO           </v>
      </c>
      <c r="U10" s="45" t="str">
        <f>IF($J10="Formación Técnica Específica",VLOOKUP(IF($J10="Formación Técnica Específica",$B10&amp;"°"&amp;U$1&amp;"°"&amp;$B10&amp;U$1&amp;1&amp;$A10,$B10&amp;"°"&amp;U$1&amp;"°"&amp;$A10),[1]Hoja1!$A:$O,15,0),VLOOKUP(IF($J10="Formación Técnica Específica",$B10&amp;"°"&amp;U$1&amp;"°"&amp;$B10&amp;U$1&amp;1&amp;$A10,$B10&amp;"°"&amp;U$1&amp;"°"&amp;$A10),[1]Hoja1!$A:$O,15,0))</f>
        <v xml:space="preserve">ESPINDOLA SERGIO                          </v>
      </c>
      <c r="V10" s="55" t="str">
        <f>IF($J10="Formación Técnica Específica",VLOOKUP(IF($J10="Formación Técnica Específica",$B10&amp;"°"&amp;U$1&amp;"°"&amp;$B10&amp;U$1&amp;1&amp;$A10,$B10&amp;"°"&amp;U$1&amp;"°"&amp;$A10),[1]Hoja1!$A:$O,15,0)," ")</f>
        <v xml:space="preserve">ESPINDOLA SERGIO                          </v>
      </c>
      <c r="W10" s="45" t="e">
        <f>IF($J10="Formación Técnica Específica",VLOOKUP(IF($J10="Formación Técnica Específica",$B10&amp;"°"&amp;W$1&amp;"°"&amp;$B10&amp;W$1&amp;1&amp;$A10,$B10&amp;"°"&amp;W$1&amp;"°"&amp;$A10),[1]Hoja1!$A:$O,15,0),VLOOKUP(IF($J10="Formación Técnica Específica",$B10&amp;"°"&amp;W$1&amp;"°"&amp;$B10&amp;W$1&amp;1&amp;$A10,$B10&amp;"°"&amp;W$1&amp;"°"&amp;$A10),[1]Hoja1!$A:$O,15,0))</f>
        <v>#N/A</v>
      </c>
      <c r="X10" s="55" t="e">
        <f>IF($J10="Formación Técnica Específica",VLOOKUP(IF($J10="Formación Técnica Específica",$B10&amp;"°"&amp;W$1&amp;"°"&amp;$B10&amp;W$1&amp;1&amp;$A10,$B10&amp;"°"&amp;W$1&amp;"°"&amp;$A10),[1]Hoja1!$A:$O,15,0)," ")</f>
        <v>#N/A</v>
      </c>
    </row>
    <row r="11" spans="1:36" x14ac:dyDescent="0.25">
      <c r="A11" s="30" t="str">
        <f t="shared" si="0"/>
        <v>1TLT</v>
      </c>
      <c r="B11" s="4">
        <v>1</v>
      </c>
      <c r="C11" s="4" t="s">
        <v>10</v>
      </c>
      <c r="D11" s="4"/>
      <c r="E11" s="7" t="s">
        <v>11</v>
      </c>
      <c r="F11" s="3">
        <v>10</v>
      </c>
      <c r="G11" s="4" t="s">
        <v>35</v>
      </c>
      <c r="H11" s="4" t="s">
        <v>36</v>
      </c>
      <c r="I11" s="3">
        <v>2</v>
      </c>
      <c r="J11" s="6" t="s">
        <v>33</v>
      </c>
      <c r="K11" s="31" t="s">
        <v>298</v>
      </c>
      <c r="L11" t="str">
        <f t="shared" si="1"/>
        <v>1°10</v>
      </c>
      <c r="M11" s="31"/>
      <c r="N11" s="63" t="str">
        <f t="shared" si="2"/>
        <v>1°10</v>
      </c>
      <c r="O11" s="45" t="str">
        <f>IF($J11="Formación Técnica Específica",VLOOKUP(IF($J11="Formación Técnica Específica",$B11&amp;"°"&amp;O$1&amp;"°"&amp;$B11&amp;O$1&amp;1&amp;$A11,$B11&amp;"°"&amp;O$1&amp;"°"&amp;$A11),[1]Hoja1!$A:$O,15,0),VLOOKUP(IF($J11="Formación Técnica Específica",$B11&amp;"°"&amp;O$1&amp;"°"&amp;$B11&amp;O$1&amp;1&amp;$A11,$B11&amp;"°"&amp;O$1&amp;"°"&amp;$A11),[1]Hoja1!$A:$O,15,0))</f>
        <v>LEYES RICARDO</v>
      </c>
      <c r="P11" s="55" t="str">
        <f>IF($J11="Formación Técnica Específica",VLOOKUP(IF($J11="Formación Técnica Específica",$B11&amp;"°"&amp;O$1&amp;"°"&amp;$B11&amp;O$1&amp;1&amp;$A11,$B11&amp;"°"&amp;O$1&amp;"°"&amp;$A11),[1]Hoja1!$A:$O,15,0)," ")</f>
        <v>LEYES RICARDO</v>
      </c>
      <c r="Q11" s="45" t="str">
        <f>IF($J11="Formación Técnica Específica",VLOOKUP(IF($J11="Formación Técnica Específica",$B11&amp;"°"&amp;Q$1&amp;"°"&amp;$B11&amp;Q$1&amp;1&amp;$A11,$B11&amp;"°"&amp;Q$1&amp;"°"&amp;$A11),[1]Hoja1!$A:$O,15,0),VLOOKUP(IF($J11="Formación Técnica Específica",$B11&amp;"°"&amp;Q$1&amp;"°"&amp;$B11&amp;Q$1&amp;1&amp;$A11,$B11&amp;"°"&amp;Q$1&amp;"°"&amp;$A11),[1]Hoja1!$A:$O,15,0))</f>
        <v>VALLBONA MIRNA SOLEDAD</v>
      </c>
      <c r="R11" s="55" t="str">
        <f>IF($J11="Formación Técnica Específica",VLOOKUP(IF($J11="Formación Técnica Específica",$B11&amp;"°"&amp;Q$1&amp;"°"&amp;$B11&amp;Q$1&amp;1&amp;$A11,$B11&amp;"°"&amp;Q$1&amp;"°"&amp;$A11),[1]Hoja1!$A:$O,15,0)," ")</f>
        <v>VALLBONA MIRNA SOLEDAD</v>
      </c>
      <c r="S11" s="45" t="str">
        <f>IF($J11="Formación Técnica Específica",VLOOKUP(IF($J11="Formación Técnica Específica",$B11&amp;"°"&amp;S$1&amp;"°"&amp;$B11&amp;S$1&amp;1&amp;$A11,$B11&amp;"°"&amp;S$1&amp;"°"&amp;$A11),[1]Hoja1!$A:$O,15,0),VLOOKUP(IF($J11="Formación Técnica Específica",$B11&amp;"°"&amp;S$1&amp;"°"&amp;$B11&amp;S$1&amp;1&amp;$A11,$B11&amp;"°"&amp;S$1&amp;"°"&amp;$A11),[1]Hoja1!$A:$O,15,0))</f>
        <v>BELIZAN</v>
      </c>
      <c r="T11" s="55" t="str">
        <f>IF($J11="Formación Técnica Específica",VLOOKUP(IF($J11="Formación Técnica Específica",$B11&amp;"°"&amp;S$1&amp;"°"&amp;$B11&amp;S$1&amp;1&amp;$A11,$B11&amp;"°"&amp;S$1&amp;"°"&amp;$A11),[1]Hoja1!$A:$O,15,0)," ")</f>
        <v>BELIZAN</v>
      </c>
      <c r="U11" s="45" t="str">
        <f>IF($J11="Formación Técnica Específica",VLOOKUP(IF($J11="Formación Técnica Específica",$B11&amp;"°"&amp;U$1&amp;"°"&amp;$B11&amp;U$1&amp;1&amp;$A11,$B11&amp;"°"&amp;U$1&amp;"°"&amp;$A11),[1]Hoja1!$A:$O,15,0),VLOOKUP(IF($J11="Formación Técnica Específica",$B11&amp;"°"&amp;U$1&amp;"°"&amp;$B11&amp;U$1&amp;1&amp;$A11,$B11&amp;"°"&amp;U$1&amp;"°"&amp;$A11),[1]Hoja1!$A:$O,15,0))</f>
        <v xml:space="preserve">VERA LORENA </v>
      </c>
      <c r="V11" s="55" t="str">
        <f>IF($J11="Formación Técnica Específica",VLOOKUP(IF($J11="Formación Técnica Específica",$B11&amp;"°"&amp;U$1&amp;"°"&amp;$B11&amp;U$1&amp;1&amp;$A11,$B11&amp;"°"&amp;U$1&amp;"°"&amp;$A11),[1]Hoja1!$A:$O,15,0)," ")</f>
        <v xml:space="preserve">VERA LORENA </v>
      </c>
      <c r="W11" s="45" t="e">
        <f>IF($J11="Formación Técnica Específica",VLOOKUP(IF($J11="Formación Técnica Específica",$B11&amp;"°"&amp;W$1&amp;"°"&amp;$B11&amp;W$1&amp;1&amp;$A11,$B11&amp;"°"&amp;W$1&amp;"°"&amp;$A11),[1]Hoja1!$A:$O,15,0),VLOOKUP(IF($J11="Formación Técnica Específica",$B11&amp;"°"&amp;W$1&amp;"°"&amp;$B11&amp;W$1&amp;1&amp;$A11,$B11&amp;"°"&amp;W$1&amp;"°"&amp;$A11),[1]Hoja1!$A:$O,15,0))</f>
        <v>#N/A</v>
      </c>
      <c r="X11" s="55" t="e">
        <f>IF($J11="Formación Técnica Específica",VLOOKUP(IF($J11="Formación Técnica Específica",$B11&amp;"°"&amp;W$1&amp;"°"&amp;$B11&amp;W$1&amp;1&amp;$A11,$B11&amp;"°"&amp;W$1&amp;"°"&amp;$A11),[1]Hoja1!$A:$O,15,0)," ")</f>
        <v>#N/A</v>
      </c>
    </row>
    <row r="12" spans="1:36" x14ac:dyDescent="0.25">
      <c r="A12" s="30" t="str">
        <f t="shared" si="0"/>
        <v>1TST</v>
      </c>
      <c r="B12" s="4">
        <v>1</v>
      </c>
      <c r="C12" s="4" t="s">
        <v>10</v>
      </c>
      <c r="D12" s="4"/>
      <c r="E12" s="7" t="s">
        <v>11</v>
      </c>
      <c r="F12" s="3">
        <v>11</v>
      </c>
      <c r="G12" s="4" t="s">
        <v>37</v>
      </c>
      <c r="H12" s="4" t="s">
        <v>289</v>
      </c>
      <c r="I12" s="3">
        <v>2</v>
      </c>
      <c r="J12" s="6" t="s">
        <v>33</v>
      </c>
      <c r="K12" s="31" t="s">
        <v>299</v>
      </c>
      <c r="L12" t="str">
        <f t="shared" si="1"/>
        <v>1°11</v>
      </c>
      <c r="M12" s="31"/>
      <c r="N12" s="63" t="str">
        <f t="shared" si="2"/>
        <v>1°11</v>
      </c>
      <c r="O12" s="45" t="str">
        <f>IF($J12="Formación Técnica Específica",VLOOKUP(IF($J12="Formación Técnica Específica",$B12&amp;"°"&amp;O$1&amp;"°"&amp;$B12&amp;O$1&amp;1&amp;$A12,$B12&amp;"°"&amp;O$1&amp;"°"&amp;$A12),[1]Hoja1!$A:$O,15,0),VLOOKUP(IF($J12="Formación Técnica Específica",$B12&amp;"°"&amp;O$1&amp;"°"&amp;$B12&amp;O$1&amp;1&amp;$A12,$B12&amp;"°"&amp;O$1&amp;"°"&amp;$A12),[1]Hoja1!$A:$O,15,0))</f>
        <v>VERA LORENA</v>
      </c>
      <c r="P12" s="55" t="str">
        <f>IF($J12="Formación Técnica Específica",VLOOKUP(IF($J12="Formación Técnica Específica",$B12&amp;"°"&amp;O$1&amp;"°"&amp;$B12&amp;O$1&amp;1&amp;$A12,$B12&amp;"°"&amp;O$1&amp;"°"&amp;$A12),[1]Hoja1!$A:$O,15,0)," ")</f>
        <v>VERA LORENA</v>
      </c>
      <c r="Q12" s="45" t="str">
        <f>IF($J12="Formación Técnica Específica",VLOOKUP(IF($J12="Formación Técnica Específica",$B12&amp;"°"&amp;Q$1&amp;"°"&amp;$B12&amp;Q$1&amp;1&amp;$A12,$B12&amp;"°"&amp;Q$1&amp;"°"&amp;$A12),[1]Hoja1!$A:$O,15,0),VLOOKUP(IF($J12="Formación Técnica Específica",$B12&amp;"°"&amp;Q$1&amp;"°"&amp;$B12&amp;Q$1&amp;1&amp;$A12,$B12&amp;"°"&amp;Q$1&amp;"°"&amp;$A12),[1]Hoja1!$A:$O,15,0))</f>
        <v xml:space="preserve">ETCHEVERRY MARTIN                            </v>
      </c>
      <c r="R12" s="55" t="str">
        <f>IF($J12="Formación Técnica Específica",VLOOKUP(IF($J12="Formación Técnica Específica",$B12&amp;"°"&amp;Q$1&amp;"°"&amp;$B12&amp;Q$1&amp;1&amp;$A12,$B12&amp;"°"&amp;Q$1&amp;"°"&amp;$A12),[1]Hoja1!$A:$O,15,0)," ")</f>
        <v xml:space="preserve">ETCHEVERRY MARTIN                            </v>
      </c>
      <c r="S12" s="45" t="str">
        <f>IF($J12="Formación Técnica Específica",VLOOKUP(IF($J12="Formación Técnica Específica",$B12&amp;"°"&amp;S$1&amp;"°"&amp;$B12&amp;S$1&amp;1&amp;$A12,$B12&amp;"°"&amp;S$1&amp;"°"&amp;$A12),[1]Hoja1!$A:$O,15,0),VLOOKUP(IF($J12="Formación Técnica Específica",$B12&amp;"°"&amp;S$1&amp;"°"&amp;$B12&amp;S$1&amp;1&amp;$A12,$B12&amp;"°"&amp;S$1&amp;"°"&amp;$A12),[1]Hoja1!$A:$O,15,0))</f>
        <v>CASTILLO MARISOL ANABEL</v>
      </c>
      <c r="T12" s="55" t="str">
        <f>IF($J12="Formación Técnica Específica",VLOOKUP(IF($J12="Formación Técnica Específica",$B12&amp;"°"&amp;S$1&amp;"°"&amp;$B12&amp;S$1&amp;1&amp;$A12,$B12&amp;"°"&amp;S$1&amp;"°"&amp;$A12),[1]Hoja1!$A:$O,15,0)," ")</f>
        <v>CASTILLO MARISOL ANABEL</v>
      </c>
      <c r="U12" s="45" t="str">
        <f>IF($J12="Formación Técnica Específica",VLOOKUP(IF($J12="Formación Técnica Específica",$B12&amp;"°"&amp;U$1&amp;"°"&amp;$B12&amp;U$1&amp;1&amp;$A12,$B12&amp;"°"&amp;U$1&amp;"°"&amp;$A12),[1]Hoja1!$A:$O,15,0),VLOOKUP(IF($J12="Formación Técnica Específica",$B12&amp;"°"&amp;U$1&amp;"°"&amp;$B12&amp;U$1&amp;1&amp;$A12,$B12&amp;"°"&amp;U$1&amp;"°"&amp;$A12),[1]Hoja1!$A:$O,15,0))</f>
        <v>ETCHEVERRY MARTIN</v>
      </c>
      <c r="V12" s="55" t="str">
        <f>IF($J12="Formación Técnica Específica",VLOOKUP(IF($J12="Formación Técnica Específica",$B12&amp;"°"&amp;U$1&amp;"°"&amp;$B12&amp;U$1&amp;1&amp;$A12,$B12&amp;"°"&amp;U$1&amp;"°"&amp;$A12),[1]Hoja1!$A:$O,15,0)," ")</f>
        <v>ETCHEVERRY MARTIN</v>
      </c>
      <c r="W12" s="45" t="e">
        <f>IF($J12="Formación Técnica Específica",VLOOKUP(IF($J12="Formación Técnica Específica",$B12&amp;"°"&amp;W$1&amp;"°"&amp;$B12&amp;W$1&amp;1&amp;$A12,$B12&amp;"°"&amp;W$1&amp;"°"&amp;$A12),[1]Hoja1!$A:$O,15,0),VLOOKUP(IF($J12="Formación Técnica Específica",$B12&amp;"°"&amp;W$1&amp;"°"&amp;$B12&amp;W$1&amp;1&amp;$A12,$B12&amp;"°"&amp;W$1&amp;"°"&amp;$A12),[1]Hoja1!$A:$O,15,0))</f>
        <v>#N/A</v>
      </c>
      <c r="X12" s="55" t="e">
        <f>IF($J12="Formación Técnica Específica",VLOOKUP(IF($J12="Formación Técnica Específica",$B12&amp;"°"&amp;W$1&amp;"°"&amp;$B12&amp;W$1&amp;1&amp;$A12,$B12&amp;"°"&amp;W$1&amp;"°"&amp;$A12),[1]Hoja1!$A:$O,15,0)," ")</f>
        <v>#N/A</v>
      </c>
      <c r="AC12" s="17"/>
      <c r="AD12" s="18"/>
      <c r="AE12" s="18"/>
      <c r="AF12" s="18"/>
      <c r="AG12" s="19"/>
      <c r="AH12" s="17"/>
      <c r="AI12" s="18"/>
      <c r="AJ12" s="18"/>
    </row>
    <row r="13" spans="1:36" ht="15.75" thickBot="1" x14ac:dyDescent="0.3">
      <c r="A13" s="32" t="str">
        <f t="shared" si="0"/>
        <v>1TALLER</v>
      </c>
      <c r="B13" s="33">
        <v>1</v>
      </c>
      <c r="C13" s="33" t="s">
        <v>10</v>
      </c>
      <c r="D13" s="33"/>
      <c r="E13" s="34" t="s">
        <v>11</v>
      </c>
      <c r="F13" s="35">
        <v>12</v>
      </c>
      <c r="G13" s="33" t="s">
        <v>284</v>
      </c>
      <c r="H13" s="33"/>
      <c r="I13" s="35"/>
      <c r="J13" s="36" t="s">
        <v>33</v>
      </c>
      <c r="K13" s="37" t="s">
        <v>288</v>
      </c>
      <c r="L13" t="str">
        <f t="shared" si="1"/>
        <v>1°12</v>
      </c>
      <c r="M13" s="37"/>
      <c r="N13" s="63" t="str">
        <f t="shared" si="2"/>
        <v>1°12</v>
      </c>
      <c r="O13" s="46" t="e">
        <f>IF($J13="Formación Técnica Específica",VLOOKUP(IF($J13="Formación Técnica Específica",$B13&amp;"°"&amp;O$1&amp;"°"&amp;$B13&amp;O$1&amp;1&amp;$A13,$B13&amp;"°"&amp;O$1&amp;"°"&amp;$A13),[1]Hoja1!$A:$O,15,0),VLOOKUP(IF($J13="Formación Técnica Específica",$B13&amp;"°"&amp;O$1&amp;"°"&amp;$B13&amp;O$1&amp;1&amp;$A13,$B13&amp;"°"&amp;O$1&amp;"°"&amp;$A13),[1]Hoja1!$A:$O,15,0))</f>
        <v>#N/A</v>
      </c>
      <c r="P13" s="56" t="e">
        <f>IF($J13="Formación Técnica Específica",VLOOKUP(IF($J13="Formación Técnica Específica",$B13&amp;"°"&amp;O$1&amp;"°"&amp;$B13&amp;O$1&amp;1&amp;$A13,$B13&amp;"°"&amp;O$1&amp;"°"&amp;$A13),[1]Hoja1!$A:$O,15,0)," ")</f>
        <v>#N/A</v>
      </c>
      <c r="Q13" s="46" t="e">
        <f>IF($J13="Formación Técnica Específica",VLOOKUP(IF($J13="Formación Técnica Específica",$B13&amp;"°"&amp;Q$1&amp;"°"&amp;$B13&amp;Q$1&amp;1&amp;$A13,$B13&amp;"°"&amp;Q$1&amp;"°"&amp;$A13),[1]Hoja1!$A:$O,15,0),VLOOKUP(IF($J13="Formación Técnica Específica",$B13&amp;"°"&amp;Q$1&amp;"°"&amp;$B13&amp;Q$1&amp;1&amp;$A13,$B13&amp;"°"&amp;Q$1&amp;"°"&amp;$A13),[1]Hoja1!$A:$O,15,0))</f>
        <v>#N/A</v>
      </c>
      <c r="R13" s="56" t="e">
        <f>IF($J13="Formación Técnica Específica",VLOOKUP(IF($J13="Formación Técnica Específica",$B13&amp;"°"&amp;Q$1&amp;"°"&amp;$B13&amp;Q$1&amp;1&amp;$A13,$B13&amp;"°"&amp;Q$1&amp;"°"&amp;$A13),[1]Hoja1!$A:$O,15,0)," ")</f>
        <v>#N/A</v>
      </c>
      <c r="S13" s="46" t="e">
        <f>IF($J13="Formación Técnica Específica",VLOOKUP(IF($J13="Formación Técnica Específica",$B13&amp;"°"&amp;S$1&amp;"°"&amp;$B13&amp;S$1&amp;1&amp;$A13,$B13&amp;"°"&amp;S$1&amp;"°"&amp;$A13),[1]Hoja1!$A:$O,15,0),VLOOKUP(IF($J13="Formación Técnica Específica",$B13&amp;"°"&amp;S$1&amp;"°"&amp;$B13&amp;S$1&amp;1&amp;$A13,$B13&amp;"°"&amp;S$1&amp;"°"&amp;$A13),[1]Hoja1!$A:$O,15,0))</f>
        <v>#N/A</v>
      </c>
      <c r="T13" s="56" t="e">
        <f>IF($J13="Formación Técnica Específica",VLOOKUP(IF($J13="Formación Técnica Específica",$B13&amp;"°"&amp;S$1&amp;"°"&amp;$B13&amp;S$1&amp;1&amp;$A13,$B13&amp;"°"&amp;S$1&amp;"°"&amp;$A13),[1]Hoja1!$A:$O,15,0)," ")</f>
        <v>#N/A</v>
      </c>
      <c r="U13" s="46" t="e">
        <f>IF($J13="Formación Técnica Específica",VLOOKUP(IF($J13="Formación Técnica Específica",$B13&amp;"°"&amp;U$1&amp;"°"&amp;$B13&amp;U$1&amp;1&amp;$A13,$B13&amp;"°"&amp;U$1&amp;"°"&amp;$A13),[1]Hoja1!$A:$O,15,0),VLOOKUP(IF($J13="Formación Técnica Específica",$B13&amp;"°"&amp;U$1&amp;"°"&amp;$B13&amp;U$1&amp;1&amp;$A13,$B13&amp;"°"&amp;U$1&amp;"°"&amp;$A13),[1]Hoja1!$A:$O,15,0))</f>
        <v>#N/A</v>
      </c>
      <c r="V13" s="56" t="e">
        <f>IF($J13="Formación Técnica Específica",VLOOKUP(IF($J13="Formación Técnica Específica",$B13&amp;"°"&amp;U$1&amp;"°"&amp;$B13&amp;U$1&amp;1&amp;$A13,$B13&amp;"°"&amp;U$1&amp;"°"&amp;$A13),[1]Hoja1!$A:$O,15,0)," ")</f>
        <v>#N/A</v>
      </c>
      <c r="W13" s="46" t="e">
        <f>IF($J13="Formación Técnica Específica",VLOOKUP(IF($J13="Formación Técnica Específica",$B13&amp;"°"&amp;W$1&amp;"°"&amp;$B13&amp;W$1&amp;1&amp;$A13,$B13&amp;"°"&amp;W$1&amp;"°"&amp;$A13),[1]Hoja1!$A:$O,15,0),VLOOKUP(IF($J13="Formación Técnica Específica",$B13&amp;"°"&amp;W$1&amp;"°"&amp;$B13&amp;W$1&amp;1&amp;$A13,$B13&amp;"°"&amp;W$1&amp;"°"&amp;$A13),[1]Hoja1!$A:$O,15,0))</f>
        <v>#N/A</v>
      </c>
      <c r="X13" s="56" t="e">
        <f>IF($J13="Formación Técnica Específica",VLOOKUP(IF($J13="Formación Técnica Específica",$B13&amp;"°"&amp;W$1&amp;"°"&amp;$B13&amp;W$1&amp;1&amp;$A13,$B13&amp;"°"&amp;W$1&amp;"°"&amp;$A13),[1]Hoja1!$A:$O,15,0)," ")</f>
        <v>#N/A</v>
      </c>
    </row>
    <row r="14" spans="1:36" x14ac:dyDescent="0.25">
      <c r="A14" s="24" t="str">
        <f t="shared" ref="A14:A27" si="3">CONCATENATE(B14,G14)</f>
        <v>2BIO</v>
      </c>
      <c r="B14" s="25">
        <v>2</v>
      </c>
      <c r="C14" s="25" t="s">
        <v>10</v>
      </c>
      <c r="D14" s="25"/>
      <c r="E14" s="26" t="s">
        <v>11</v>
      </c>
      <c r="F14" s="27">
        <v>1</v>
      </c>
      <c r="G14" s="25" t="s">
        <v>38</v>
      </c>
      <c r="H14" s="25" t="s">
        <v>39</v>
      </c>
      <c r="I14" s="27">
        <v>2</v>
      </c>
      <c r="J14" s="28" t="s">
        <v>14</v>
      </c>
      <c r="K14" s="29" t="s">
        <v>40</v>
      </c>
      <c r="L14" t="str">
        <f t="shared" si="1"/>
        <v>2°1</v>
      </c>
      <c r="M14" s="29"/>
      <c r="N14" s="63" t="str">
        <f t="shared" si="2"/>
        <v>2°1</v>
      </c>
      <c r="O14" s="50" t="str">
        <f>IF($J14="Formación Técnica Específica",VLOOKUP(IF($J14="Formación Técnica Específica",$B14&amp;"°"&amp;O$1&amp;"°"&amp;$B14&amp;O$1&amp;1&amp;$A14,$B14&amp;"°"&amp;O$1&amp;"°"&amp;$A14),[1]Hoja1!$A:$O,15,0),VLOOKUP(IF($J14="Formación Técnica Específica",$B14&amp;"°"&amp;O$1&amp;"°"&amp;$B14&amp;O$1&amp;1&amp;$A14,$B14&amp;"°"&amp;O$1&amp;"°"&amp;$A14),[1]Hoja1!$A:$O,15,0))</f>
        <v xml:space="preserve">FARIAS CLAUDIA ANTONIA MAD 2026  </v>
      </c>
      <c r="P14" s="51" t="str">
        <f>IF($J14="Formación Técnica Específica",VLOOKUP(IF($J14="Formación Técnica Específica",$B14&amp;"°"&amp;O$1&amp;"°"&amp;$B14&amp;O$1&amp;1&amp;$A14,$B14&amp;"°"&amp;O$1&amp;"°"&amp;$A14),[1]Hoja1!$A:$O,15,0)," ")</f>
        <v xml:space="preserve"> </v>
      </c>
      <c r="Q14" s="50" t="str">
        <f>IF($J14="Formación Técnica Específica",VLOOKUP(IF($J14="Formación Técnica Específica",$B14&amp;"°"&amp;Q$1&amp;"°"&amp;$B14&amp;Q$1&amp;1&amp;$A14,$B14&amp;"°"&amp;Q$1&amp;"°"&amp;$A14),[1]Hoja1!$A:$O,15,0),VLOOKUP(IF($J14="Formación Técnica Específica",$B14&amp;"°"&amp;Q$1&amp;"°"&amp;$B14&amp;Q$1&amp;1&amp;$A14,$B14&amp;"°"&amp;Q$1&amp;"°"&amp;$A14),[1]Hoja1!$A:$O,15,0))</f>
        <v xml:space="preserve"> ARIAS YANINA</v>
      </c>
      <c r="R14" s="51" t="str">
        <f>IF($J14="Formación Técnica Específica",VLOOKUP(IF($J14="Formación Técnica Específica",$B14&amp;"°"&amp;Q$1&amp;"°"&amp;$B14&amp;Q$1&amp;1&amp;$A14,$B14&amp;"°"&amp;Q$1&amp;"°"&amp;$A14),[1]Hoja1!$A:$O,15,0)," ")</f>
        <v xml:space="preserve"> </v>
      </c>
      <c r="S14" s="50" t="str">
        <f>IF($J14="Formación Técnica Específica",VLOOKUP(IF($J14="Formación Técnica Específica",$B14&amp;"°"&amp;S$1&amp;"°"&amp;$B14&amp;S$1&amp;1&amp;$A14,$B14&amp;"°"&amp;S$1&amp;"°"&amp;$A14),[1]Hoja1!$A:$O,15,0),VLOOKUP(IF($J14="Formación Técnica Específica",$B14&amp;"°"&amp;S$1&amp;"°"&amp;$B14&amp;S$1&amp;1&amp;$A14,$B14&amp;"°"&amp;S$1&amp;"°"&amp;$A14),[1]Hoja1!$A:$O,15,0))</f>
        <v>YBARRA MAXIMILIANO ELIAS</v>
      </c>
      <c r="T14" s="51" t="str">
        <f>IF($J14="Formación Técnica Específica",VLOOKUP(IF($J14="Formación Técnica Específica",$B14&amp;"°"&amp;S$1&amp;"°"&amp;$B14&amp;S$1&amp;1&amp;$A14,$B14&amp;"°"&amp;S$1&amp;"°"&amp;$A14),[1]Hoja1!$A:$O,15,0)," ")</f>
        <v xml:space="preserve"> </v>
      </c>
      <c r="U14" s="50" t="str">
        <f>IF($J14="Formación Técnica Específica",VLOOKUP(IF($J14="Formación Técnica Específica",$B14&amp;"°"&amp;U$1&amp;"°"&amp;$B14&amp;U$1&amp;1&amp;$A14,$B14&amp;"°"&amp;U$1&amp;"°"&amp;$A14),[1]Hoja1!$A:$O,15,0),VLOOKUP(IF($J14="Formación Técnica Específica",$B14&amp;"°"&amp;U$1&amp;"°"&amp;$B14&amp;U$1&amp;1&amp;$A14,$B14&amp;"°"&amp;U$1&amp;"°"&amp;$A14),[1]Hoja1!$A:$O,15,0))</f>
        <v>BARRIONUEVO MARIANELA</v>
      </c>
      <c r="V14" s="51" t="str">
        <f>IF($J14="Formación Técnica Específica",VLOOKUP(IF($J14="Formación Técnica Específica",$B14&amp;"°"&amp;U$1&amp;"°"&amp;$B14&amp;U$1&amp;1&amp;$A14,$B14&amp;"°"&amp;U$1&amp;"°"&amp;$A14),[1]Hoja1!$A:$O,15,0)," ")</f>
        <v xml:space="preserve"> </v>
      </c>
      <c r="W14" s="50" t="str">
        <f>IF($J14="Formación Técnica Específica",VLOOKUP(IF($J14="Formación Técnica Específica",$B14&amp;"°"&amp;W$1&amp;"°"&amp;$B14&amp;W$1&amp;1&amp;$A14,$B14&amp;"°"&amp;W$1&amp;"°"&amp;$A14),[1]Hoja1!$A:$O,15,0),VLOOKUP(IF($J14="Formación Técnica Específica",$B14&amp;"°"&amp;W$1&amp;"°"&amp;$B14&amp;W$1&amp;1&amp;$A14,$B14&amp;"°"&amp;W$1&amp;"°"&amp;$A14),[1]Hoja1!$A:$O,15,0))</f>
        <v>FARIAS CLAUDIA ANTONIA</v>
      </c>
      <c r="X14" s="51" t="str">
        <f>IF($J14="Formación Técnica Específica",VLOOKUP(IF($J14="Formación Técnica Específica",$B14&amp;"°"&amp;W$1&amp;"°"&amp;$B14&amp;W$1&amp;1&amp;$A14,$B14&amp;"°"&amp;W$1&amp;"°"&amp;$A14),[1]Hoja1!$A:$O,15,0)," ")</f>
        <v xml:space="preserve"> </v>
      </c>
    </row>
    <row r="15" spans="1:36" x14ac:dyDescent="0.25">
      <c r="A15" s="30" t="str">
        <f t="shared" si="3"/>
        <v>2CCD</v>
      </c>
      <c r="B15" s="4">
        <v>2</v>
      </c>
      <c r="C15" s="4" t="s">
        <v>10</v>
      </c>
      <c r="D15" s="4"/>
      <c r="E15" s="7" t="s">
        <v>11</v>
      </c>
      <c r="F15" s="3">
        <v>2</v>
      </c>
      <c r="G15" s="4" t="s">
        <v>30</v>
      </c>
      <c r="H15" s="4" t="s">
        <v>30</v>
      </c>
      <c r="I15" s="3">
        <v>2</v>
      </c>
      <c r="J15" s="6" t="s">
        <v>14</v>
      </c>
      <c r="K15" s="31" t="s">
        <v>41</v>
      </c>
      <c r="L15" t="str">
        <f t="shared" si="1"/>
        <v>2°2</v>
      </c>
      <c r="M15" s="31"/>
      <c r="N15" s="63" t="str">
        <f t="shared" si="2"/>
        <v>2°2</v>
      </c>
      <c r="O15" s="44" t="str">
        <f>IF($J15="Formación Técnica Específica",VLOOKUP(IF($J15="Formación Técnica Específica",$B15&amp;"°"&amp;O$1&amp;"°"&amp;$B15&amp;O$1&amp;1&amp;$A15,$B15&amp;"°"&amp;O$1&amp;"°"&amp;$A15),[1]Hoja1!$A:$O,15,0),VLOOKUP(IF($J15="Formación Técnica Específica",$B15&amp;"°"&amp;O$1&amp;"°"&amp;$B15&amp;O$1&amp;1&amp;$A15,$B15&amp;"°"&amp;O$1&amp;"°"&amp;$A15),[1]Hoja1!$A:$O,15,0))</f>
        <v xml:space="preserve">AMAYA SILVIA                        </v>
      </c>
      <c r="P15" s="52" t="str">
        <f>IF($J15="Formación Técnica Específica",VLOOKUP(IF($J15="Formación Técnica Específica",$B15&amp;"°"&amp;O$1&amp;"°"&amp;$B15&amp;O$1&amp;1&amp;$A15,$B15&amp;"°"&amp;O$1&amp;"°"&amp;$A15),[1]Hoja1!$A:$O,15,0)," ")</f>
        <v xml:space="preserve"> </v>
      </c>
      <c r="Q15" s="44" t="str">
        <f>IF($J15="Formación Técnica Específica",VLOOKUP(IF($J15="Formación Técnica Específica",$B15&amp;"°"&amp;Q$1&amp;"°"&amp;$B15&amp;Q$1&amp;1&amp;$A15,$B15&amp;"°"&amp;Q$1&amp;"°"&amp;$A15),[1]Hoja1!$A:$O,15,0),VLOOKUP(IF($J15="Formación Técnica Específica",$B15&amp;"°"&amp;Q$1&amp;"°"&amp;$B15&amp;Q$1&amp;1&amp;$A15,$B15&amp;"°"&amp;Q$1&amp;"°"&amp;$A15),[1]Hoja1!$A:$O,15,0))</f>
        <v xml:space="preserve">HERRERA CARMEN                   </v>
      </c>
      <c r="R15" s="52" t="str">
        <f>IF($J15="Formación Técnica Específica",VLOOKUP(IF($J15="Formación Técnica Específica",$B15&amp;"°"&amp;Q$1&amp;"°"&amp;$B15&amp;Q$1&amp;1&amp;$A15,$B15&amp;"°"&amp;Q$1&amp;"°"&amp;$A15),[1]Hoja1!$A:$O,15,0)," ")</f>
        <v xml:space="preserve"> </v>
      </c>
      <c r="S15" s="44" t="str">
        <f>IF($J15="Formación Técnica Específica",VLOOKUP(IF($J15="Formación Técnica Específica",$B15&amp;"°"&amp;S$1&amp;"°"&amp;$B15&amp;S$1&amp;1&amp;$A15,$B15&amp;"°"&amp;S$1&amp;"°"&amp;$A15),[1]Hoja1!$A:$O,15,0),VLOOKUP(IF($J15="Formación Técnica Específica",$B15&amp;"°"&amp;S$1&amp;"°"&amp;$B15&amp;S$1&amp;1&amp;$A15,$B15&amp;"°"&amp;S$1&amp;"°"&amp;$A15),[1]Hoja1!$A:$O,15,0))</f>
        <v>ARCE MIRTA</v>
      </c>
      <c r="T15" s="52" t="str">
        <f>IF($J15="Formación Técnica Específica",VLOOKUP(IF($J15="Formación Técnica Específica",$B15&amp;"°"&amp;S$1&amp;"°"&amp;$B15&amp;S$1&amp;1&amp;$A15,$B15&amp;"°"&amp;S$1&amp;"°"&amp;$A15),[1]Hoja1!$A:$O,15,0)," ")</f>
        <v xml:space="preserve"> </v>
      </c>
      <c r="U15" s="44" t="str">
        <f>IF($J15="Formación Técnica Específica",VLOOKUP(IF($J15="Formación Técnica Específica",$B15&amp;"°"&amp;U$1&amp;"°"&amp;$B15&amp;U$1&amp;1&amp;$A15,$B15&amp;"°"&amp;U$1&amp;"°"&amp;$A15),[1]Hoja1!$A:$O,15,0),VLOOKUP(IF($J15="Formación Técnica Específica",$B15&amp;"°"&amp;U$1&amp;"°"&amp;$B15&amp;U$1&amp;1&amp;$A15,$B15&amp;"°"&amp;U$1&amp;"°"&amp;$A15),[1]Hoja1!$A:$O,15,0))</f>
        <v>AMAYA SILVIA</v>
      </c>
      <c r="V15" s="52" t="str">
        <f>IF($J15="Formación Técnica Específica",VLOOKUP(IF($J15="Formación Técnica Específica",$B15&amp;"°"&amp;U$1&amp;"°"&amp;$B15&amp;U$1&amp;1&amp;$A15,$B15&amp;"°"&amp;U$1&amp;"°"&amp;$A15),[1]Hoja1!$A:$O,15,0)," ")</f>
        <v xml:space="preserve"> </v>
      </c>
      <c r="W15" s="44" t="str">
        <f>IF($J15="Formación Técnica Específica",VLOOKUP(IF($J15="Formación Técnica Específica",$B15&amp;"°"&amp;W$1&amp;"°"&amp;$B15&amp;W$1&amp;1&amp;$A15,$B15&amp;"°"&amp;W$1&amp;"°"&amp;$A15),[1]Hoja1!$A:$O,15,0),VLOOKUP(IF($J15="Formación Técnica Específica",$B15&amp;"°"&amp;W$1&amp;"°"&amp;$B15&amp;W$1&amp;1&amp;$A15,$B15&amp;"°"&amp;W$1&amp;"°"&amp;$A15),[1]Hoja1!$A:$O,15,0))</f>
        <v xml:space="preserve">AMAYA SILVIA </v>
      </c>
      <c r="X15" s="52" t="str">
        <f>IF($J15="Formación Técnica Específica",VLOOKUP(IF($J15="Formación Técnica Específica",$B15&amp;"°"&amp;W$1&amp;"°"&amp;$B15&amp;W$1&amp;1&amp;$A15,$B15&amp;"°"&amp;W$1&amp;"°"&amp;$A15),[1]Hoja1!$A:$O,15,0)," ")</f>
        <v xml:space="preserve"> </v>
      </c>
    </row>
    <row r="16" spans="1:36" x14ac:dyDescent="0.25">
      <c r="A16" s="30" t="str">
        <f t="shared" si="3"/>
        <v>2ART</v>
      </c>
      <c r="B16" s="4">
        <v>2</v>
      </c>
      <c r="C16" s="4" t="s">
        <v>10</v>
      </c>
      <c r="D16" s="4"/>
      <c r="E16" s="7" t="s">
        <v>11</v>
      </c>
      <c r="F16" s="3">
        <v>3</v>
      </c>
      <c r="G16" s="4" t="s">
        <v>18</v>
      </c>
      <c r="H16" s="4" t="s">
        <v>19</v>
      </c>
      <c r="I16" s="3">
        <v>2</v>
      </c>
      <c r="J16" s="6" t="s">
        <v>14</v>
      </c>
      <c r="K16" s="31" t="s">
        <v>42</v>
      </c>
      <c r="L16" t="str">
        <f t="shared" si="1"/>
        <v>2°3</v>
      </c>
      <c r="M16" s="31"/>
      <c r="N16" s="63" t="str">
        <f t="shared" si="2"/>
        <v>2°3</v>
      </c>
      <c r="O16" s="44" t="str">
        <f>IF($J16="Formación Técnica Específica",VLOOKUP(IF($J16="Formación Técnica Específica",$B16&amp;"°"&amp;O$1&amp;"°"&amp;$B16&amp;O$1&amp;1&amp;$A16,$B16&amp;"°"&amp;O$1&amp;"°"&amp;$A16),[1]Hoja1!$A:$O,15,0),VLOOKUP(IF($J16="Formación Técnica Específica",$B16&amp;"°"&amp;O$1&amp;"°"&amp;$B16&amp;O$1&amp;1&amp;$A16,$B16&amp;"°"&amp;O$1&amp;"°"&amp;$A16),[1]Hoja1!$A:$O,15,0))</f>
        <v xml:space="preserve">ISSETTA LORENA                        </v>
      </c>
      <c r="P16" s="52" t="str">
        <f>IF($J16="Formación Técnica Específica",VLOOKUP(IF($J16="Formación Técnica Específica",$B16&amp;"°"&amp;O$1&amp;"°"&amp;$B16&amp;O$1&amp;1&amp;$A16,$B16&amp;"°"&amp;O$1&amp;"°"&amp;$A16),[1]Hoja1!$A:$O,15,0)," ")</f>
        <v xml:space="preserve"> </v>
      </c>
      <c r="Q16" s="44" t="str">
        <f>IF($J16="Formación Técnica Específica",VLOOKUP(IF($J16="Formación Técnica Específica",$B16&amp;"°"&amp;Q$1&amp;"°"&amp;$B16&amp;Q$1&amp;1&amp;$A16,$B16&amp;"°"&amp;Q$1&amp;"°"&amp;$A16),[1]Hoja1!$A:$O,15,0),VLOOKUP(IF($J16="Formación Técnica Específica",$B16&amp;"°"&amp;Q$1&amp;"°"&amp;$B16&amp;Q$1&amp;1&amp;$A16,$B16&amp;"°"&amp;Q$1&amp;"°"&amp;$A16),[1]Hoja1!$A:$O,15,0))</f>
        <v>MELGAREJO, PAULA</v>
      </c>
      <c r="R16" s="52" t="str">
        <f>IF($J16="Formación Técnica Específica",VLOOKUP(IF($J16="Formación Técnica Específica",$B16&amp;"°"&amp;Q$1&amp;"°"&amp;$B16&amp;Q$1&amp;1&amp;$A16,$B16&amp;"°"&amp;Q$1&amp;"°"&amp;$A16),[1]Hoja1!$A:$O,15,0)," ")</f>
        <v xml:space="preserve"> </v>
      </c>
      <c r="S16" s="44" t="str">
        <f>IF($J16="Formación Técnica Específica",VLOOKUP(IF($J16="Formación Técnica Específica",$B16&amp;"°"&amp;S$1&amp;"°"&amp;$B16&amp;S$1&amp;1&amp;$A16,$B16&amp;"°"&amp;S$1&amp;"°"&amp;$A16),[1]Hoja1!$A:$O,15,0),VLOOKUP(IF($J16="Formación Técnica Específica",$B16&amp;"°"&amp;S$1&amp;"°"&amp;$B16&amp;S$1&amp;1&amp;$A16,$B16&amp;"°"&amp;S$1&amp;"°"&amp;$A16),[1]Hoja1!$A:$O,15,0))</f>
        <v xml:space="preserve">ISSETTA LORENA </v>
      </c>
      <c r="T16" s="52" t="str">
        <f>IF($J16="Formación Técnica Específica",VLOOKUP(IF($J16="Formación Técnica Específica",$B16&amp;"°"&amp;S$1&amp;"°"&amp;$B16&amp;S$1&amp;1&amp;$A16,$B16&amp;"°"&amp;S$1&amp;"°"&amp;$A16),[1]Hoja1!$A:$O,15,0)," ")</f>
        <v xml:space="preserve"> </v>
      </c>
      <c r="U16" s="44" t="str">
        <f>IF($J16="Formación Técnica Específica",VLOOKUP(IF($J16="Formación Técnica Específica",$B16&amp;"°"&amp;U$1&amp;"°"&amp;$B16&amp;U$1&amp;1&amp;$A16,$B16&amp;"°"&amp;U$1&amp;"°"&amp;$A16),[1]Hoja1!$A:$O,15,0),VLOOKUP(IF($J16="Formación Técnica Específica",$B16&amp;"°"&amp;U$1&amp;"°"&amp;$B16&amp;U$1&amp;1&amp;$A16,$B16&amp;"°"&amp;U$1&amp;"°"&amp;$A16),[1]Hoja1!$A:$O,15,0))</f>
        <v xml:space="preserve">QUEVEDO OMAR </v>
      </c>
      <c r="V16" s="52" t="str">
        <f>IF($J16="Formación Técnica Específica",VLOOKUP(IF($J16="Formación Técnica Específica",$B16&amp;"°"&amp;U$1&amp;"°"&amp;$B16&amp;U$1&amp;1&amp;$A16,$B16&amp;"°"&amp;U$1&amp;"°"&amp;$A16),[1]Hoja1!$A:$O,15,0)," ")</f>
        <v xml:space="preserve"> </v>
      </c>
      <c r="W16" s="44" t="str">
        <f>IF($J16="Formación Técnica Específica",VLOOKUP(IF($J16="Formación Técnica Específica",$B16&amp;"°"&amp;W$1&amp;"°"&amp;$B16&amp;W$1&amp;1&amp;$A16,$B16&amp;"°"&amp;W$1&amp;"°"&amp;$A16),[1]Hoja1!$A:$O,15,0),VLOOKUP(IF($J16="Formación Técnica Específica",$B16&amp;"°"&amp;W$1&amp;"°"&amp;$B16&amp;W$1&amp;1&amp;$A16,$B16&amp;"°"&amp;W$1&amp;"°"&amp;$A16),[1]Hoja1!$A:$O,15,0))</f>
        <v xml:space="preserve">ISSETTA LORENA </v>
      </c>
      <c r="X16" s="52" t="str">
        <f>IF($J16="Formación Técnica Específica",VLOOKUP(IF($J16="Formación Técnica Específica",$B16&amp;"°"&amp;W$1&amp;"°"&amp;$B16&amp;W$1&amp;1&amp;$A16,$B16&amp;"°"&amp;W$1&amp;"°"&amp;$A16),[1]Hoja1!$A:$O,15,0)," ")</f>
        <v xml:space="preserve"> </v>
      </c>
    </row>
    <row r="17" spans="1:24" x14ac:dyDescent="0.25">
      <c r="A17" s="30" t="str">
        <f t="shared" si="3"/>
        <v>2EFI</v>
      </c>
      <c r="B17" s="4">
        <v>2</v>
      </c>
      <c r="C17" s="4" t="s">
        <v>10</v>
      </c>
      <c r="D17" s="4"/>
      <c r="E17" s="7" t="s">
        <v>11</v>
      </c>
      <c r="F17" s="3">
        <v>4</v>
      </c>
      <c r="G17" s="4" t="s">
        <v>20</v>
      </c>
      <c r="H17" s="4" t="s">
        <v>21</v>
      </c>
      <c r="I17" s="3">
        <v>2</v>
      </c>
      <c r="J17" s="6" t="s">
        <v>14</v>
      </c>
      <c r="K17" s="31" t="s">
        <v>172</v>
      </c>
      <c r="L17" t="str">
        <f t="shared" si="1"/>
        <v>2°4</v>
      </c>
      <c r="M17" s="31"/>
      <c r="N17" s="63" t="str">
        <f t="shared" si="2"/>
        <v>2°4</v>
      </c>
      <c r="O17" s="44" t="str">
        <f>IF($J17="Formación Técnica Específica",VLOOKUP(IF($J17="Formación Técnica Específica",$B17&amp;"°"&amp;O$1&amp;"°"&amp;$B17&amp;O$1&amp;1&amp;$A17,$B17&amp;"°"&amp;O$1&amp;"°"&amp;$A17),[1]Hoja1!$A:$O,15,0),VLOOKUP(IF($J17="Formación Técnica Específica",$B17&amp;"°"&amp;O$1&amp;"°"&amp;$B17&amp;O$1&amp;1&amp;$A17,$B17&amp;"°"&amp;O$1&amp;"°"&amp;$A17),[1]Hoja1!$A:$O,15,0))</f>
        <v xml:space="preserve">LUDUEÑA NELSON           </v>
      </c>
      <c r="P17" s="52" t="str">
        <f>IF($J17="Formación Técnica Específica",VLOOKUP(IF($J17="Formación Técnica Específica",$B17&amp;"°"&amp;O$1&amp;"°"&amp;$B17&amp;O$1&amp;1&amp;$A17,$B17&amp;"°"&amp;O$1&amp;"°"&amp;$A17),[1]Hoja1!$A:$O,15,0)," ")</f>
        <v xml:space="preserve"> </v>
      </c>
      <c r="Q17" s="44" t="str">
        <f>IF($J17="Formación Técnica Específica",VLOOKUP(IF($J17="Formación Técnica Específica",$B17&amp;"°"&amp;Q$1&amp;"°"&amp;$B17&amp;Q$1&amp;1&amp;$A17,$B17&amp;"°"&amp;Q$1&amp;"°"&amp;$A17),[1]Hoja1!$A:$O,15,0),VLOOKUP(IF($J17="Formación Técnica Específica",$B17&amp;"°"&amp;Q$1&amp;"°"&amp;$B17&amp;Q$1&amp;1&amp;$A17,$B17&amp;"°"&amp;Q$1&amp;"°"&amp;$A17),[1]Hoja1!$A:$O,15,0))</f>
        <v xml:space="preserve">LUDUEÑA NELSON           </v>
      </c>
      <c r="R17" s="52" t="str">
        <f>IF($J17="Formación Técnica Específica",VLOOKUP(IF($J17="Formación Técnica Específica",$B17&amp;"°"&amp;Q$1&amp;"°"&amp;$B17&amp;Q$1&amp;1&amp;$A17,$B17&amp;"°"&amp;Q$1&amp;"°"&amp;$A17),[1]Hoja1!$A:$O,15,0)," ")</f>
        <v xml:space="preserve"> </v>
      </c>
      <c r="S17" s="44" t="str">
        <f>IF($J17="Formación Técnica Específica",VLOOKUP(IF($J17="Formación Técnica Específica",$B17&amp;"°"&amp;S$1&amp;"°"&amp;$B17&amp;S$1&amp;1&amp;$A17,$B17&amp;"°"&amp;S$1&amp;"°"&amp;$A17),[1]Hoja1!$A:$O,15,0),VLOOKUP(IF($J17="Formación Técnica Específica",$B17&amp;"°"&amp;S$1&amp;"°"&amp;$B17&amp;S$1&amp;1&amp;$A17,$B17&amp;"°"&amp;S$1&amp;"°"&amp;$A17),[1]Hoja1!$A:$O,15,0))</f>
        <v xml:space="preserve">AMAYA SILVIA </v>
      </c>
      <c r="T17" s="52" t="str">
        <f>IF($J17="Formación Técnica Específica",VLOOKUP(IF($J17="Formación Técnica Específica",$B17&amp;"°"&amp;S$1&amp;"°"&amp;$B17&amp;S$1&amp;1&amp;$A17,$B17&amp;"°"&amp;S$1&amp;"°"&amp;$A17),[1]Hoja1!$A:$O,15,0)," ")</f>
        <v xml:space="preserve"> </v>
      </c>
      <c r="U17" s="44" t="str">
        <f>IF($J17="Formación Técnica Específica",VLOOKUP(IF($J17="Formación Técnica Específica",$B17&amp;"°"&amp;U$1&amp;"°"&amp;$B17&amp;U$1&amp;1&amp;$A17,$B17&amp;"°"&amp;U$1&amp;"°"&amp;$A17),[1]Hoja1!$A:$O,15,0),VLOOKUP(IF($J17="Formación Técnica Específica",$B17&amp;"°"&amp;U$1&amp;"°"&amp;$B17&amp;U$1&amp;1&amp;$A17,$B17&amp;"°"&amp;U$1&amp;"°"&amp;$A17),[1]Hoja1!$A:$O,15,0))</f>
        <v>SANCHEZ CARLOS</v>
      </c>
      <c r="V17" s="52" t="str">
        <f>IF($J17="Formación Técnica Específica",VLOOKUP(IF($J17="Formación Técnica Específica",$B17&amp;"°"&amp;U$1&amp;"°"&amp;$B17&amp;U$1&amp;1&amp;$A17,$B17&amp;"°"&amp;U$1&amp;"°"&amp;$A17),[1]Hoja1!$A:$O,15,0)," ")</f>
        <v xml:space="preserve"> </v>
      </c>
      <c r="W17" s="44" t="str">
        <f>IF($J17="Formación Técnica Específica",VLOOKUP(IF($J17="Formación Técnica Específica",$B17&amp;"°"&amp;W$1&amp;"°"&amp;$B17&amp;W$1&amp;1&amp;$A17,$B17&amp;"°"&amp;W$1&amp;"°"&amp;$A17),[1]Hoja1!$A:$O,15,0),VLOOKUP(IF($J17="Formación Técnica Específica",$B17&amp;"°"&amp;W$1&amp;"°"&amp;$B17&amp;W$1&amp;1&amp;$A17,$B17&amp;"°"&amp;W$1&amp;"°"&amp;$A17),[1]Hoja1!$A:$O,15,0))</f>
        <v xml:space="preserve">GUERRERO DANIEL </v>
      </c>
      <c r="X17" s="52" t="str">
        <f>IF($J17="Formación Técnica Específica",VLOOKUP(IF($J17="Formación Técnica Específica",$B17&amp;"°"&amp;W$1&amp;"°"&amp;$B17&amp;W$1&amp;1&amp;$A17,$B17&amp;"°"&amp;W$1&amp;"°"&amp;$A17),[1]Hoja1!$A:$O,15,0)," ")</f>
        <v xml:space="preserve"> </v>
      </c>
    </row>
    <row r="18" spans="1:24" x14ac:dyDescent="0.25">
      <c r="A18" s="30" t="str">
        <f>CONCATENATE(B18,G18)</f>
        <v>2FI/QUI</v>
      </c>
      <c r="B18" s="4">
        <v>2</v>
      </c>
      <c r="C18" s="4" t="s">
        <v>10</v>
      </c>
      <c r="D18" s="4"/>
      <c r="E18" s="7" t="s">
        <v>11</v>
      </c>
      <c r="F18" s="3">
        <v>5</v>
      </c>
      <c r="G18" s="4" t="s">
        <v>43</v>
      </c>
      <c r="H18" s="4" t="s">
        <v>44</v>
      </c>
      <c r="I18" s="3">
        <v>2</v>
      </c>
      <c r="J18" s="6" t="s">
        <v>14</v>
      </c>
      <c r="K18" s="31" t="s">
        <v>45</v>
      </c>
      <c r="L18" t="str">
        <f t="shared" si="1"/>
        <v>2°5</v>
      </c>
      <c r="M18" s="31"/>
      <c r="N18" s="63" t="str">
        <f t="shared" si="2"/>
        <v>2°5</v>
      </c>
      <c r="O18" s="44" t="str">
        <f>IF($J18="Formación Técnica Específica",VLOOKUP(IF($J18="Formación Técnica Específica",$B18&amp;"°"&amp;O$1&amp;"°"&amp;$B18&amp;O$1&amp;1&amp;$A18,$B18&amp;"°"&amp;O$1&amp;"°"&amp;$A18),[1]Hoja1!$A:$O,15,0),VLOOKUP(IF($J18="Formación Técnica Específica",$B18&amp;"°"&amp;O$1&amp;"°"&amp;$B18&amp;O$1&amp;1&amp;$A18,$B18&amp;"°"&amp;O$1&amp;"°"&amp;$A18),[1]Hoja1!$A:$O,15,0))</f>
        <v xml:space="preserve">ESPINDOLA SERGIO                          </v>
      </c>
      <c r="P18" s="52" t="str">
        <f>IF($J18="Formación Técnica Específica",VLOOKUP(IF($J18="Formación Técnica Específica",$B18&amp;"°"&amp;O$1&amp;"°"&amp;$B18&amp;O$1&amp;1&amp;$A18,$B18&amp;"°"&amp;O$1&amp;"°"&amp;$A18),[1]Hoja1!$A:$O,15,0)," ")</f>
        <v xml:space="preserve"> </v>
      </c>
      <c r="Q18" s="44" t="str">
        <f>IF($J18="Formación Técnica Específica",VLOOKUP(IF($J18="Formación Técnica Específica",$B18&amp;"°"&amp;Q$1&amp;"°"&amp;$B18&amp;Q$1&amp;1&amp;$A18,$B18&amp;"°"&amp;Q$1&amp;"°"&amp;$A18),[1]Hoja1!$A:$O,15,0),VLOOKUP(IF($J18="Formación Técnica Específica",$B18&amp;"°"&amp;Q$1&amp;"°"&amp;$B18&amp;Q$1&amp;1&amp;$A18,$B18&amp;"°"&amp;Q$1&amp;"°"&amp;$A18),[1]Hoja1!$A:$O,15,0))</f>
        <v xml:space="preserve">AGUIRRE VALERIA                            </v>
      </c>
      <c r="R18" s="52" t="str">
        <f>IF($J18="Formación Técnica Específica",VLOOKUP(IF($J18="Formación Técnica Específica",$B18&amp;"°"&amp;Q$1&amp;"°"&amp;$B18&amp;Q$1&amp;1&amp;$A18,$B18&amp;"°"&amp;Q$1&amp;"°"&amp;$A18),[1]Hoja1!$A:$O,15,0)," ")</f>
        <v xml:space="preserve"> </v>
      </c>
      <c r="S18" s="44" t="str">
        <f>IF($J18="Formación Técnica Específica",VLOOKUP(IF($J18="Formación Técnica Específica",$B18&amp;"°"&amp;S$1&amp;"°"&amp;$B18&amp;S$1&amp;1&amp;$A18,$B18&amp;"°"&amp;S$1&amp;"°"&amp;$A18),[1]Hoja1!$A:$O,15,0),VLOOKUP(IF($J18="Formación Técnica Específica",$B18&amp;"°"&amp;S$1&amp;"°"&amp;$B18&amp;S$1&amp;1&amp;$A18,$B18&amp;"°"&amp;S$1&amp;"°"&amp;$A18),[1]Hoja1!$A:$O,15,0))</f>
        <v xml:space="preserve">PEREYRA MARISA ALEJANDR </v>
      </c>
      <c r="T18" s="52" t="str">
        <f>IF($J18="Formación Técnica Específica",VLOOKUP(IF($J18="Formación Técnica Específica",$B18&amp;"°"&amp;S$1&amp;"°"&amp;$B18&amp;S$1&amp;1&amp;$A18,$B18&amp;"°"&amp;S$1&amp;"°"&amp;$A18),[1]Hoja1!$A:$O,15,0)," ")</f>
        <v xml:space="preserve"> </v>
      </c>
      <c r="U18" s="44" t="str">
        <f>IF($J18="Formación Técnica Específica",VLOOKUP(IF($J18="Formación Técnica Específica",$B18&amp;"°"&amp;U$1&amp;"°"&amp;$B18&amp;U$1&amp;1&amp;$A18,$B18&amp;"°"&amp;U$1&amp;"°"&amp;$A18),[1]Hoja1!$A:$O,15,0),VLOOKUP(IF($J18="Formación Técnica Específica",$B18&amp;"°"&amp;U$1&amp;"°"&amp;$B18&amp;U$1&amp;1&amp;$A18,$B18&amp;"°"&amp;U$1&amp;"°"&amp;$A18),[1]Hoja1!$A:$O,15,0))</f>
        <v xml:space="preserve">DA CHILE IGLESIAS V                 </v>
      </c>
      <c r="V18" s="52" t="str">
        <f>IF($J18="Formación Técnica Específica",VLOOKUP(IF($J18="Formación Técnica Específica",$B18&amp;"°"&amp;U$1&amp;"°"&amp;$B18&amp;U$1&amp;1&amp;$A18,$B18&amp;"°"&amp;U$1&amp;"°"&amp;$A18),[1]Hoja1!$A:$O,15,0)," ")</f>
        <v xml:space="preserve"> </v>
      </c>
      <c r="W18" s="44" t="str">
        <f>IF($J18="Formación Técnica Específica",VLOOKUP(IF($J18="Formación Técnica Específica",$B18&amp;"°"&amp;W$1&amp;"°"&amp;$B18&amp;W$1&amp;1&amp;$A18,$B18&amp;"°"&amp;W$1&amp;"°"&amp;$A18),[1]Hoja1!$A:$O,15,0),VLOOKUP(IF($J18="Formación Técnica Específica",$B18&amp;"°"&amp;W$1&amp;"°"&amp;$B18&amp;W$1&amp;1&amp;$A18,$B18&amp;"°"&amp;W$1&amp;"°"&amp;$A18),[1]Hoja1!$A:$O,15,0))</f>
        <v>MARTINEZ, CARLA</v>
      </c>
      <c r="X18" s="52" t="str">
        <f>IF($J18="Formación Técnica Específica",VLOOKUP(IF($J18="Formación Técnica Específica",$B18&amp;"°"&amp;W$1&amp;"°"&amp;$B18&amp;W$1&amp;1&amp;$A18,$B18&amp;"°"&amp;W$1&amp;"°"&amp;$A18),[1]Hoja1!$A:$O,15,0)," ")</f>
        <v xml:space="preserve"> </v>
      </c>
    </row>
    <row r="19" spans="1:24" x14ac:dyDescent="0.25">
      <c r="A19" s="30" t="str">
        <f t="shared" si="3"/>
        <v>2GEO</v>
      </c>
      <c r="B19" s="4">
        <v>2</v>
      </c>
      <c r="C19" s="4" t="s">
        <v>10</v>
      </c>
      <c r="D19" s="4"/>
      <c r="E19" s="7" t="s">
        <v>11</v>
      </c>
      <c r="F19" s="3">
        <v>6</v>
      </c>
      <c r="G19" s="4" t="s">
        <v>46</v>
      </c>
      <c r="H19" s="4" t="s">
        <v>47</v>
      </c>
      <c r="I19" s="3">
        <v>2</v>
      </c>
      <c r="J19" s="6" t="s">
        <v>14</v>
      </c>
      <c r="K19" s="31" t="s">
        <v>48</v>
      </c>
      <c r="L19" t="str">
        <f t="shared" si="1"/>
        <v>2°6</v>
      </c>
      <c r="M19" s="31"/>
      <c r="N19" s="63" t="str">
        <f t="shared" si="2"/>
        <v>2°6</v>
      </c>
      <c r="O19" s="44" t="str">
        <f>IF($J19="Formación Técnica Específica",VLOOKUP(IF($J19="Formación Técnica Específica",$B19&amp;"°"&amp;O$1&amp;"°"&amp;$B19&amp;O$1&amp;1&amp;$A19,$B19&amp;"°"&amp;O$1&amp;"°"&amp;$A19),[1]Hoja1!$A:$O,15,0),VLOOKUP(IF($J19="Formación Técnica Específica",$B19&amp;"°"&amp;O$1&amp;"°"&amp;$B19&amp;O$1&amp;1&amp;$A19,$B19&amp;"°"&amp;O$1&amp;"°"&amp;$A19),[1]Hoja1!$A:$O,15,0))</f>
        <v>ANTONELLO, FERNANDO</v>
      </c>
      <c r="P19" s="52" t="str">
        <f>IF($J19="Formación Técnica Específica",VLOOKUP(IF($J19="Formación Técnica Específica",$B19&amp;"°"&amp;O$1&amp;"°"&amp;$B19&amp;O$1&amp;1&amp;$A19,$B19&amp;"°"&amp;O$1&amp;"°"&amp;$A19),[1]Hoja1!$A:$O,15,0)," ")</f>
        <v xml:space="preserve"> </v>
      </c>
      <c r="Q19" s="44" t="str">
        <f>IF($J19="Formación Técnica Específica",VLOOKUP(IF($J19="Formación Técnica Específica",$B19&amp;"°"&amp;Q$1&amp;"°"&amp;$B19&amp;Q$1&amp;1&amp;$A19,$B19&amp;"°"&amp;Q$1&amp;"°"&amp;$A19),[1]Hoja1!$A:$O,15,0),VLOOKUP(IF($J19="Formación Técnica Específica",$B19&amp;"°"&amp;Q$1&amp;"°"&amp;$B19&amp;Q$1&amp;1&amp;$A19,$B19&amp;"°"&amp;Q$1&amp;"°"&amp;$A19),[1]Hoja1!$A:$O,15,0))</f>
        <v>AYALA VICORIA</v>
      </c>
      <c r="R19" s="52" t="str">
        <f>IF($J19="Formación Técnica Específica",VLOOKUP(IF($J19="Formación Técnica Específica",$B19&amp;"°"&amp;Q$1&amp;"°"&amp;$B19&amp;Q$1&amp;1&amp;$A19,$B19&amp;"°"&amp;Q$1&amp;"°"&amp;$A19),[1]Hoja1!$A:$O,15,0)," ")</f>
        <v xml:space="preserve"> </v>
      </c>
      <c r="S19" s="44" t="str">
        <f>IF($J19="Formación Técnica Específica",VLOOKUP(IF($J19="Formación Técnica Específica",$B19&amp;"°"&amp;S$1&amp;"°"&amp;$B19&amp;S$1&amp;1&amp;$A19,$B19&amp;"°"&amp;S$1&amp;"°"&amp;$A19),[1]Hoja1!$A:$O,15,0),VLOOKUP(IF($J19="Formación Técnica Específica",$B19&amp;"°"&amp;S$1&amp;"°"&amp;$B19&amp;S$1&amp;1&amp;$A19,$B19&amp;"°"&amp;S$1&amp;"°"&amp;$A19),[1]Hoja1!$A:$O,15,0))</f>
        <v>ANTONELLO, FERNANDO</v>
      </c>
      <c r="T19" s="52" t="str">
        <f>IF($J19="Formación Técnica Específica",VLOOKUP(IF($J19="Formación Técnica Específica",$B19&amp;"°"&amp;S$1&amp;"°"&amp;$B19&amp;S$1&amp;1&amp;$A19,$B19&amp;"°"&amp;S$1&amp;"°"&amp;$A19),[1]Hoja1!$A:$O,15,0)," ")</f>
        <v xml:space="preserve"> </v>
      </c>
      <c r="U19" s="44" t="str">
        <f>IF($J19="Formación Técnica Específica",VLOOKUP(IF($J19="Formación Técnica Específica",$B19&amp;"°"&amp;U$1&amp;"°"&amp;$B19&amp;U$1&amp;1&amp;$A19,$B19&amp;"°"&amp;U$1&amp;"°"&amp;$A19),[1]Hoja1!$A:$O,15,0),VLOOKUP(IF($J19="Formación Técnica Específica",$B19&amp;"°"&amp;U$1&amp;"°"&amp;$B19&amp;U$1&amp;1&amp;$A19,$B19&amp;"°"&amp;U$1&amp;"°"&amp;$A19),[1]Hoja1!$A:$O,15,0))</f>
        <v>ANTONELLO, FERNANDO</v>
      </c>
      <c r="V19" s="52" t="str">
        <f>IF($J19="Formación Técnica Específica",VLOOKUP(IF($J19="Formación Técnica Específica",$B19&amp;"°"&amp;U$1&amp;"°"&amp;$B19&amp;U$1&amp;1&amp;$A19,$B19&amp;"°"&amp;U$1&amp;"°"&amp;$A19),[1]Hoja1!$A:$O,15,0)," ")</f>
        <v xml:space="preserve"> </v>
      </c>
      <c r="W19" s="44" t="str">
        <f>IF($J19="Formación Técnica Específica",VLOOKUP(IF($J19="Formación Técnica Específica",$B19&amp;"°"&amp;W$1&amp;"°"&amp;$B19&amp;W$1&amp;1&amp;$A19,$B19&amp;"°"&amp;W$1&amp;"°"&amp;$A19),[1]Hoja1!$A:$O,15,0),VLOOKUP(IF($J19="Formación Técnica Específica",$B19&amp;"°"&amp;W$1&amp;"°"&amp;$B19&amp;W$1&amp;1&amp;$A19,$B19&amp;"°"&amp;W$1&amp;"°"&amp;$A19),[1]Hoja1!$A:$O,15,0))</f>
        <v>ANTONELLO, FERNANDO</v>
      </c>
      <c r="X19" s="52" t="str">
        <f>IF($J19="Formación Técnica Específica",VLOOKUP(IF($J19="Formación Técnica Específica",$B19&amp;"°"&amp;W$1&amp;"°"&amp;$B19&amp;W$1&amp;1&amp;$A19,$B19&amp;"°"&amp;W$1&amp;"°"&amp;$A19),[1]Hoja1!$A:$O,15,0)," ")</f>
        <v xml:space="preserve"> </v>
      </c>
    </row>
    <row r="20" spans="1:24" x14ac:dyDescent="0.25">
      <c r="A20" s="30" t="str">
        <f t="shared" si="3"/>
        <v>2HIS</v>
      </c>
      <c r="B20" s="4">
        <v>2</v>
      </c>
      <c r="C20" s="4" t="s">
        <v>10</v>
      </c>
      <c r="D20" s="4"/>
      <c r="E20" s="7" t="s">
        <v>11</v>
      </c>
      <c r="F20" s="3">
        <v>7</v>
      </c>
      <c r="G20" s="4" t="s">
        <v>49</v>
      </c>
      <c r="H20" s="4" t="s">
        <v>50</v>
      </c>
      <c r="I20" s="3">
        <v>2</v>
      </c>
      <c r="J20" s="6" t="s">
        <v>14</v>
      </c>
      <c r="K20" s="31" t="s">
        <v>51</v>
      </c>
      <c r="L20" t="str">
        <f t="shared" si="1"/>
        <v>2°7</v>
      </c>
      <c r="M20" s="31"/>
      <c r="N20" s="63" t="str">
        <f t="shared" si="2"/>
        <v>2°7</v>
      </c>
      <c r="O20" s="44" t="str">
        <f>IF($J20="Formación Técnica Específica",VLOOKUP(IF($J20="Formación Técnica Específica",$B20&amp;"°"&amp;O$1&amp;"°"&amp;$B20&amp;O$1&amp;1&amp;$A20,$B20&amp;"°"&amp;O$1&amp;"°"&amp;$A20),[1]Hoja1!$A:$O,15,0),VLOOKUP(IF($J20="Formación Técnica Específica",$B20&amp;"°"&amp;O$1&amp;"°"&amp;$B20&amp;O$1&amp;1&amp;$A20,$B20&amp;"°"&amp;O$1&amp;"°"&amp;$A20),[1]Hoja1!$A:$O,15,0))</f>
        <v xml:space="preserve">TORRES LUIS                    </v>
      </c>
      <c r="P20" s="52" t="str">
        <f>IF($J20="Formación Técnica Específica",VLOOKUP(IF($J20="Formación Técnica Específica",$B20&amp;"°"&amp;O$1&amp;"°"&amp;$B20&amp;O$1&amp;1&amp;$A20,$B20&amp;"°"&amp;O$1&amp;"°"&amp;$A20),[1]Hoja1!$A:$O,15,0)," ")</f>
        <v xml:space="preserve"> </v>
      </c>
      <c r="Q20" s="44" t="str">
        <f>IF($J20="Formación Técnica Específica",VLOOKUP(IF($J20="Formación Técnica Específica",$B20&amp;"°"&amp;Q$1&amp;"°"&amp;$B20&amp;Q$1&amp;1&amp;$A20,$B20&amp;"°"&amp;Q$1&amp;"°"&amp;$A20),[1]Hoja1!$A:$O,15,0),VLOOKUP(IF($J20="Formación Técnica Específica",$B20&amp;"°"&amp;Q$1&amp;"°"&amp;$B20&amp;Q$1&amp;1&amp;$A20,$B20&amp;"°"&amp;Q$1&amp;"°"&amp;$A20),[1]Hoja1!$A:$O,15,0))</f>
        <v xml:space="preserve">JUAREZ NORMA </v>
      </c>
      <c r="R20" s="52" t="str">
        <f>IF($J20="Formación Técnica Específica",VLOOKUP(IF($J20="Formación Técnica Específica",$B20&amp;"°"&amp;Q$1&amp;"°"&amp;$B20&amp;Q$1&amp;1&amp;$A20,$B20&amp;"°"&amp;Q$1&amp;"°"&amp;$A20),[1]Hoja1!$A:$O,15,0)," ")</f>
        <v xml:space="preserve"> </v>
      </c>
      <c r="S20" s="44" t="str">
        <f>IF($J20="Formación Técnica Específica",VLOOKUP(IF($J20="Formación Técnica Específica",$B20&amp;"°"&amp;S$1&amp;"°"&amp;$B20&amp;S$1&amp;1&amp;$A20,$B20&amp;"°"&amp;S$1&amp;"°"&amp;$A20),[1]Hoja1!$A:$O,15,0),VLOOKUP(IF($J20="Formación Técnica Específica",$B20&amp;"°"&amp;S$1&amp;"°"&amp;$B20&amp;S$1&amp;1&amp;$A20,$B20&amp;"°"&amp;S$1&amp;"°"&amp;$A20),[1]Hoja1!$A:$O,15,0))</f>
        <v>JUAREZ NORMA</v>
      </c>
      <c r="T20" s="52" t="str">
        <f>IF($J20="Formación Técnica Específica",VLOOKUP(IF($J20="Formación Técnica Específica",$B20&amp;"°"&amp;S$1&amp;"°"&amp;$B20&amp;S$1&amp;1&amp;$A20,$B20&amp;"°"&amp;S$1&amp;"°"&amp;$A20),[1]Hoja1!$A:$O,15,0)," ")</f>
        <v xml:space="preserve"> </v>
      </c>
      <c r="U20" s="44" t="str">
        <f>IF($J20="Formación Técnica Específica",VLOOKUP(IF($J20="Formación Técnica Específica",$B20&amp;"°"&amp;U$1&amp;"°"&amp;$B20&amp;U$1&amp;1&amp;$A20,$B20&amp;"°"&amp;U$1&amp;"°"&amp;$A20),[1]Hoja1!$A:$O,15,0),VLOOKUP(IF($J20="Formación Técnica Específica",$B20&amp;"°"&amp;U$1&amp;"°"&amp;$B20&amp;U$1&amp;1&amp;$A20,$B20&amp;"°"&amp;U$1&amp;"°"&amp;$A20),[1]Hoja1!$A:$O,15,0))</f>
        <v xml:space="preserve">TORRES LUIS                    </v>
      </c>
      <c r="V20" s="52" t="str">
        <f>IF($J20="Formación Técnica Específica",VLOOKUP(IF($J20="Formación Técnica Específica",$B20&amp;"°"&amp;U$1&amp;"°"&amp;$B20&amp;U$1&amp;1&amp;$A20,$B20&amp;"°"&amp;U$1&amp;"°"&amp;$A20),[1]Hoja1!$A:$O,15,0)," ")</f>
        <v xml:space="preserve"> </v>
      </c>
      <c r="W20" s="44" t="str">
        <f>IF($J20="Formación Técnica Específica",VLOOKUP(IF($J20="Formación Técnica Específica",$B20&amp;"°"&amp;W$1&amp;"°"&amp;$B20&amp;W$1&amp;1&amp;$A20,$B20&amp;"°"&amp;W$1&amp;"°"&amp;$A20),[1]Hoja1!$A:$O,15,0),VLOOKUP(IF($J20="Formación Técnica Específica",$B20&amp;"°"&amp;W$1&amp;"°"&amp;$B20&amp;W$1&amp;1&amp;$A20,$B20&amp;"°"&amp;W$1&amp;"°"&amp;$A20),[1]Hoja1!$A:$O,15,0))</f>
        <v>LOPEZ NARINA</v>
      </c>
      <c r="X20" s="52" t="str">
        <f>IF($J20="Formación Técnica Específica",VLOOKUP(IF($J20="Formación Técnica Específica",$B20&amp;"°"&amp;W$1&amp;"°"&amp;$B20&amp;W$1&amp;1&amp;$A20,$B20&amp;"°"&amp;W$1&amp;"°"&amp;$A20),[1]Hoja1!$A:$O,15,0)," ")</f>
        <v xml:space="preserve"> </v>
      </c>
    </row>
    <row r="21" spans="1:24" x14ac:dyDescent="0.25">
      <c r="A21" s="30" t="str">
        <f t="shared" si="3"/>
        <v>2ING</v>
      </c>
      <c r="B21" s="4">
        <v>2</v>
      </c>
      <c r="C21" s="4" t="s">
        <v>10</v>
      </c>
      <c r="D21" s="4"/>
      <c r="E21" s="7" t="s">
        <v>11</v>
      </c>
      <c r="F21" s="3">
        <v>8</v>
      </c>
      <c r="G21" s="4" t="s">
        <v>22</v>
      </c>
      <c r="H21" s="4" t="s">
        <v>23</v>
      </c>
      <c r="I21" s="3">
        <v>2</v>
      </c>
      <c r="J21" s="6" t="s">
        <v>14</v>
      </c>
      <c r="K21" s="31" t="s">
        <v>170</v>
      </c>
      <c r="L21" t="str">
        <f t="shared" si="1"/>
        <v>2°8</v>
      </c>
      <c r="M21" s="31"/>
      <c r="N21" s="63" t="str">
        <f t="shared" si="2"/>
        <v>2°8</v>
      </c>
      <c r="O21" s="44" t="str">
        <f>IF($J21="Formación Técnica Específica",VLOOKUP(IF($J21="Formación Técnica Específica",$B21&amp;"°"&amp;O$1&amp;"°"&amp;$B21&amp;O$1&amp;1&amp;$A21,$B21&amp;"°"&amp;O$1&amp;"°"&amp;$A21),[1]Hoja1!$A:$O,15,0),VLOOKUP(IF($J21="Formación Técnica Específica",$B21&amp;"°"&amp;O$1&amp;"°"&amp;$B21&amp;O$1&amp;1&amp;$A21,$B21&amp;"°"&amp;O$1&amp;"°"&amp;$A21),[1]Hoja1!$A:$O,15,0))</f>
        <v xml:space="preserve">BONELLI PAMELA                                </v>
      </c>
      <c r="P21" s="52" t="str">
        <f>IF($J21="Formación Técnica Específica",VLOOKUP(IF($J21="Formación Técnica Específica",$B21&amp;"°"&amp;O$1&amp;"°"&amp;$B21&amp;O$1&amp;1&amp;$A21,$B21&amp;"°"&amp;O$1&amp;"°"&amp;$A21),[1]Hoja1!$A:$O,15,0)," ")</f>
        <v xml:space="preserve"> </v>
      </c>
      <c r="Q21" s="44" t="str">
        <f>IF($J21="Formación Técnica Específica",VLOOKUP(IF($J21="Formación Técnica Específica",$B21&amp;"°"&amp;Q$1&amp;"°"&amp;$B21&amp;Q$1&amp;1&amp;$A21,$B21&amp;"°"&amp;Q$1&amp;"°"&amp;$A21),[1]Hoja1!$A:$O,15,0),VLOOKUP(IF($J21="Formación Técnica Específica",$B21&amp;"°"&amp;Q$1&amp;"°"&amp;$B21&amp;Q$1&amp;1&amp;$A21,$B21&amp;"°"&amp;Q$1&amp;"°"&amp;$A21),[1]Hoja1!$A:$O,15,0))</f>
        <v>RAMIREZ GISELE</v>
      </c>
      <c r="R21" s="52" t="str">
        <f>IF($J21="Formación Técnica Específica",VLOOKUP(IF($J21="Formación Técnica Específica",$B21&amp;"°"&amp;Q$1&amp;"°"&amp;$B21&amp;Q$1&amp;1&amp;$A21,$B21&amp;"°"&amp;Q$1&amp;"°"&amp;$A21),[1]Hoja1!$A:$O,15,0)," ")</f>
        <v xml:space="preserve"> </v>
      </c>
      <c r="S21" s="44" t="str">
        <f>IF($J21="Formación Técnica Específica",VLOOKUP(IF($J21="Formación Técnica Específica",$B21&amp;"°"&amp;S$1&amp;"°"&amp;$B21&amp;S$1&amp;1&amp;$A21,$B21&amp;"°"&amp;S$1&amp;"°"&amp;$A21),[1]Hoja1!$A:$O,15,0),VLOOKUP(IF($J21="Formación Técnica Específica",$B21&amp;"°"&amp;S$1&amp;"°"&amp;$B21&amp;S$1&amp;1&amp;$A21,$B21&amp;"°"&amp;S$1&amp;"°"&amp;$A21),[1]Hoja1!$A:$O,15,0))</f>
        <v>RAMIREZ GISELE</v>
      </c>
      <c r="T21" s="52" t="str">
        <f>IF($J21="Formación Técnica Específica",VLOOKUP(IF($J21="Formación Técnica Específica",$B21&amp;"°"&amp;S$1&amp;"°"&amp;$B21&amp;S$1&amp;1&amp;$A21,$B21&amp;"°"&amp;S$1&amp;"°"&amp;$A21),[1]Hoja1!$A:$O,15,0)," ")</f>
        <v xml:space="preserve"> </v>
      </c>
      <c r="U21" s="44" t="str">
        <f>IF($J21="Formación Técnica Específica",VLOOKUP(IF($J21="Formación Técnica Específica",$B21&amp;"°"&amp;U$1&amp;"°"&amp;$B21&amp;U$1&amp;1&amp;$A21,$B21&amp;"°"&amp;U$1&amp;"°"&amp;$A21),[1]Hoja1!$A:$O,15,0),VLOOKUP(IF($J21="Formación Técnica Específica",$B21&amp;"°"&amp;U$1&amp;"°"&amp;$B21&amp;U$1&amp;1&amp;$A21,$B21&amp;"°"&amp;U$1&amp;"°"&amp;$A21),[1]Hoja1!$A:$O,15,0))</f>
        <v>ORTIZ SOFIA</v>
      </c>
      <c r="V21" s="52" t="str">
        <f>IF($J21="Formación Técnica Específica",VLOOKUP(IF($J21="Formación Técnica Específica",$B21&amp;"°"&amp;U$1&amp;"°"&amp;$B21&amp;U$1&amp;1&amp;$A21,$B21&amp;"°"&amp;U$1&amp;"°"&amp;$A21),[1]Hoja1!$A:$O,15,0)," ")</f>
        <v xml:space="preserve"> </v>
      </c>
      <c r="W21" s="44" t="str">
        <f>IF($J21="Formación Técnica Específica",VLOOKUP(IF($J21="Formación Técnica Específica",$B21&amp;"°"&amp;W$1&amp;"°"&amp;$B21&amp;W$1&amp;1&amp;$A21,$B21&amp;"°"&amp;W$1&amp;"°"&amp;$A21),[1]Hoja1!$A:$O,15,0),VLOOKUP(IF($J21="Formación Técnica Específica",$B21&amp;"°"&amp;W$1&amp;"°"&amp;$B21&amp;W$1&amp;1&amp;$A21,$B21&amp;"°"&amp;W$1&amp;"°"&amp;$A21),[1]Hoja1!$A:$O,15,0))</f>
        <v xml:space="preserve"> MONTOYA SONIA ISABEL</v>
      </c>
      <c r="X21" s="52" t="str">
        <f>IF($J21="Formación Técnica Específica",VLOOKUP(IF($J21="Formación Técnica Específica",$B21&amp;"°"&amp;W$1&amp;"°"&amp;$B21&amp;W$1&amp;1&amp;$A21,$B21&amp;"°"&amp;W$1&amp;"°"&amp;$A21),[1]Hoja1!$A:$O,15,0)," ")</f>
        <v xml:space="preserve"> </v>
      </c>
    </row>
    <row r="22" spans="1:24" x14ac:dyDescent="0.25">
      <c r="A22" s="30" t="str">
        <f t="shared" si="3"/>
        <v>2MAT</v>
      </c>
      <c r="B22" s="4">
        <v>2</v>
      </c>
      <c r="C22" s="4" t="s">
        <v>10</v>
      </c>
      <c r="D22" s="4"/>
      <c r="E22" s="7" t="s">
        <v>11</v>
      </c>
      <c r="F22" s="3">
        <v>9</v>
      </c>
      <c r="G22" s="4" t="s">
        <v>24</v>
      </c>
      <c r="H22" s="4" t="s">
        <v>25</v>
      </c>
      <c r="I22" s="3">
        <v>4</v>
      </c>
      <c r="J22" s="6" t="s">
        <v>14</v>
      </c>
      <c r="K22" s="31" t="s">
        <v>26</v>
      </c>
      <c r="L22" t="str">
        <f t="shared" si="1"/>
        <v>2°9</v>
      </c>
      <c r="M22" s="31"/>
      <c r="N22" s="63" t="str">
        <f t="shared" si="2"/>
        <v>2°9</v>
      </c>
      <c r="O22" s="44" t="str">
        <f>IF($J22="Formación Técnica Específica",VLOOKUP(IF($J22="Formación Técnica Específica",$B22&amp;"°"&amp;O$1&amp;"°"&amp;$B22&amp;O$1&amp;1&amp;$A22,$B22&amp;"°"&amp;O$1&amp;"°"&amp;$A22),[1]Hoja1!$A:$O,15,0),VLOOKUP(IF($J22="Formación Técnica Específica",$B22&amp;"°"&amp;O$1&amp;"°"&amp;$B22&amp;O$1&amp;1&amp;$A22,$B22&amp;"°"&amp;O$1&amp;"°"&amp;$A22),[1]Hoja1!$A:$O,15,0))</f>
        <v>GARCIA. C.</v>
      </c>
      <c r="P22" s="52" t="str">
        <f>IF($J22="Formación Técnica Específica",VLOOKUP(IF($J22="Formación Técnica Específica",$B22&amp;"°"&amp;O$1&amp;"°"&amp;$B22&amp;O$1&amp;1&amp;$A22,$B22&amp;"°"&amp;O$1&amp;"°"&amp;$A22),[1]Hoja1!$A:$O,15,0)," ")</f>
        <v xml:space="preserve"> </v>
      </c>
      <c r="Q22" s="44" t="str">
        <f>IF($J22="Formación Técnica Específica",VLOOKUP(IF($J22="Formación Técnica Específica",$B22&amp;"°"&amp;Q$1&amp;"°"&amp;$B22&amp;Q$1&amp;1&amp;$A22,$B22&amp;"°"&amp;Q$1&amp;"°"&amp;$A22),[1]Hoja1!$A:$O,15,0),VLOOKUP(IF($J22="Formación Técnica Específica",$B22&amp;"°"&amp;Q$1&amp;"°"&amp;$B22&amp;Q$1&amp;1&amp;$A22,$B22&amp;"°"&amp;Q$1&amp;"°"&amp;$A22),[1]Hoja1!$A:$O,15,0))</f>
        <v>VARCHETTA, GABRIEL</v>
      </c>
      <c r="R22" s="52" t="str">
        <f>IF($J22="Formación Técnica Específica",VLOOKUP(IF($J22="Formación Técnica Específica",$B22&amp;"°"&amp;Q$1&amp;"°"&amp;$B22&amp;Q$1&amp;1&amp;$A22,$B22&amp;"°"&amp;Q$1&amp;"°"&amp;$A22),[1]Hoja1!$A:$O,15,0)," ")</f>
        <v xml:space="preserve"> </v>
      </c>
      <c r="S22" s="44" t="str">
        <f>IF($J22="Formación Técnica Específica",VLOOKUP(IF($J22="Formación Técnica Específica",$B22&amp;"°"&amp;S$1&amp;"°"&amp;$B22&amp;S$1&amp;1&amp;$A22,$B22&amp;"°"&amp;S$1&amp;"°"&amp;$A22),[1]Hoja1!$A:$O,15,0),VLOOKUP(IF($J22="Formación Técnica Específica",$B22&amp;"°"&amp;S$1&amp;"°"&amp;$B22&amp;S$1&amp;1&amp;$A22,$B22&amp;"°"&amp;S$1&amp;"°"&amp;$A22),[1]Hoja1!$A:$O,15,0))</f>
        <v>ALARCON, MARIA</v>
      </c>
      <c r="T22" s="52" t="str">
        <f>IF($J22="Formación Técnica Específica",VLOOKUP(IF($J22="Formación Técnica Específica",$B22&amp;"°"&amp;S$1&amp;"°"&amp;$B22&amp;S$1&amp;1&amp;$A22,$B22&amp;"°"&amp;S$1&amp;"°"&amp;$A22),[1]Hoja1!$A:$O,15,0)," ")</f>
        <v xml:space="preserve"> </v>
      </c>
      <c r="U22" s="44" t="str">
        <f>IF($J22="Formación Técnica Específica",VLOOKUP(IF($J22="Formación Técnica Específica",$B22&amp;"°"&amp;U$1&amp;"°"&amp;$B22&amp;U$1&amp;1&amp;$A22,$B22&amp;"°"&amp;U$1&amp;"°"&amp;$A22),[1]Hoja1!$A:$O,15,0),VLOOKUP(IF($J22="Formación Técnica Específica",$B22&amp;"°"&amp;U$1&amp;"°"&amp;$B22&amp;U$1&amp;1&amp;$A22,$B22&amp;"°"&amp;U$1&amp;"°"&amp;$A22),[1]Hoja1!$A:$O,15,0))</f>
        <v>FERRARIS OJEDA JULIETA</v>
      </c>
      <c r="V22" s="52" t="str">
        <f>IF($J22="Formación Técnica Específica",VLOOKUP(IF($J22="Formación Técnica Específica",$B22&amp;"°"&amp;U$1&amp;"°"&amp;$B22&amp;U$1&amp;1&amp;$A22,$B22&amp;"°"&amp;U$1&amp;"°"&amp;$A22),[1]Hoja1!$A:$O,15,0)," ")</f>
        <v xml:space="preserve"> </v>
      </c>
      <c r="W22" s="44" t="str">
        <f>IF($J22="Formación Técnica Específica",VLOOKUP(IF($J22="Formación Técnica Específica",$B22&amp;"°"&amp;W$1&amp;"°"&amp;$B22&amp;W$1&amp;1&amp;$A22,$B22&amp;"°"&amp;W$1&amp;"°"&amp;$A22),[1]Hoja1!$A:$O,15,0),VLOOKUP(IF($J22="Formación Técnica Específica",$B22&amp;"°"&amp;W$1&amp;"°"&amp;$B22&amp;W$1&amp;1&amp;$A22,$B22&amp;"°"&amp;W$1&amp;"°"&amp;$A22),[1]Hoja1!$A:$O,15,0))</f>
        <v xml:space="preserve">CENTURION SILVIA BEATRIZ   </v>
      </c>
      <c r="X22" s="52" t="str">
        <f>IF($J22="Formación Técnica Específica",VLOOKUP(IF($J22="Formación Técnica Específica",$B22&amp;"°"&amp;W$1&amp;"°"&amp;$B22&amp;W$1&amp;1&amp;$A22,$B22&amp;"°"&amp;W$1&amp;"°"&amp;$A22),[1]Hoja1!$A:$O,15,0)," ")</f>
        <v xml:space="preserve"> </v>
      </c>
    </row>
    <row r="23" spans="1:24" x14ac:dyDescent="0.25">
      <c r="A23" s="30" t="str">
        <f t="shared" si="3"/>
        <v>2PLG</v>
      </c>
      <c r="B23" s="4">
        <v>2</v>
      </c>
      <c r="C23" s="4" t="s">
        <v>10</v>
      </c>
      <c r="D23" s="4"/>
      <c r="E23" s="7" t="s">
        <v>11</v>
      </c>
      <c r="F23" s="3">
        <v>10</v>
      </c>
      <c r="G23" s="4" t="s">
        <v>28</v>
      </c>
      <c r="H23" s="4" t="s">
        <v>28</v>
      </c>
      <c r="I23" s="3">
        <v>4</v>
      </c>
      <c r="J23" s="6" t="s">
        <v>14</v>
      </c>
      <c r="K23" s="31" t="s">
        <v>29</v>
      </c>
      <c r="L23" t="str">
        <f t="shared" si="1"/>
        <v>2°10</v>
      </c>
      <c r="M23" s="31"/>
      <c r="N23" s="63" t="str">
        <f t="shared" si="2"/>
        <v>2°10</v>
      </c>
      <c r="O23" s="44" t="str">
        <f>IF($J23="Formación Técnica Específica",VLOOKUP(IF($J23="Formación Técnica Específica",$B23&amp;"°"&amp;O$1&amp;"°"&amp;$B23&amp;O$1&amp;1&amp;$A23,$B23&amp;"°"&amp;O$1&amp;"°"&amp;$A23),[1]Hoja1!$A:$O,15,0),VLOOKUP(IF($J23="Formación Técnica Específica",$B23&amp;"°"&amp;O$1&amp;"°"&amp;$B23&amp;O$1&amp;1&amp;$A23,$B23&amp;"°"&amp;O$1&amp;"°"&amp;$A23),[1]Hoja1!$A:$O,15,0))</f>
        <v>CAÑETE YOHANA</v>
      </c>
      <c r="P23" s="52" t="str">
        <f>IF($J23="Formación Técnica Específica",VLOOKUP(IF($J23="Formación Técnica Específica",$B23&amp;"°"&amp;O$1&amp;"°"&amp;$B23&amp;O$1&amp;1&amp;$A23,$B23&amp;"°"&amp;O$1&amp;"°"&amp;$A23),[1]Hoja1!$A:$O,15,0)," ")</f>
        <v xml:space="preserve"> </v>
      </c>
      <c r="Q23" s="44" t="str">
        <f>IF($J23="Formación Técnica Específica",VLOOKUP(IF($J23="Formación Técnica Específica",$B23&amp;"°"&amp;Q$1&amp;"°"&amp;$B23&amp;Q$1&amp;1&amp;$A23,$B23&amp;"°"&amp;Q$1&amp;"°"&amp;$A23),[1]Hoja1!$A:$O,15,0),VLOOKUP(IF($J23="Formación Técnica Específica",$B23&amp;"°"&amp;Q$1&amp;"°"&amp;$B23&amp;Q$1&amp;1&amp;$A23,$B23&amp;"°"&amp;Q$1&amp;"°"&amp;$A23),[1]Hoja1!$A:$O,15,0))</f>
        <v xml:space="preserve">GONZALEZ DANIELA                                 </v>
      </c>
      <c r="R23" s="52" t="str">
        <f>IF($J23="Formación Técnica Específica",VLOOKUP(IF($J23="Formación Técnica Específica",$B23&amp;"°"&amp;Q$1&amp;"°"&amp;$B23&amp;Q$1&amp;1&amp;$A23,$B23&amp;"°"&amp;Q$1&amp;"°"&amp;$A23),[1]Hoja1!$A:$O,15,0)," ")</f>
        <v xml:space="preserve"> </v>
      </c>
      <c r="S23" s="44" t="str">
        <f>IF($J23="Formación Técnica Específica",VLOOKUP(IF($J23="Formación Técnica Específica",$B23&amp;"°"&amp;S$1&amp;"°"&amp;$B23&amp;S$1&amp;1&amp;$A23,$B23&amp;"°"&amp;S$1&amp;"°"&amp;$A23),[1]Hoja1!$A:$O,15,0),VLOOKUP(IF($J23="Formación Técnica Específica",$B23&amp;"°"&amp;S$1&amp;"°"&amp;$B23&amp;S$1&amp;1&amp;$A23,$B23&amp;"°"&amp;S$1&amp;"°"&amp;$A23),[1]Hoja1!$A:$O,15,0))</f>
        <v>VELAZQUEZ VALERIA</v>
      </c>
      <c r="T23" s="52" t="str">
        <f>IF($J23="Formación Técnica Específica",VLOOKUP(IF($J23="Formación Técnica Específica",$B23&amp;"°"&amp;S$1&amp;"°"&amp;$B23&amp;S$1&amp;1&amp;$A23,$B23&amp;"°"&amp;S$1&amp;"°"&amp;$A23),[1]Hoja1!$A:$O,15,0)," ")</f>
        <v xml:space="preserve"> </v>
      </c>
      <c r="U23" s="44" t="str">
        <f>IF($J23="Formación Técnica Específica",VLOOKUP(IF($J23="Formación Técnica Específica",$B23&amp;"°"&amp;U$1&amp;"°"&amp;$B23&amp;U$1&amp;1&amp;$A23,$B23&amp;"°"&amp;U$1&amp;"°"&amp;$A23),[1]Hoja1!$A:$O,15,0),VLOOKUP(IF($J23="Formación Técnica Específica",$B23&amp;"°"&amp;U$1&amp;"°"&amp;$B23&amp;U$1&amp;1&amp;$A23,$B23&amp;"°"&amp;U$1&amp;"°"&amp;$A23),[1]Hoja1!$A:$O,15,0))</f>
        <v>ARANDA NELIDA</v>
      </c>
      <c r="V23" s="52" t="str">
        <f>IF($J23="Formación Técnica Específica",VLOOKUP(IF($J23="Formación Técnica Específica",$B23&amp;"°"&amp;U$1&amp;"°"&amp;$B23&amp;U$1&amp;1&amp;$A23,$B23&amp;"°"&amp;U$1&amp;"°"&amp;$A23),[1]Hoja1!$A:$O,15,0)," ")</f>
        <v xml:space="preserve"> </v>
      </c>
      <c r="W23" s="44" t="str">
        <f>IF($J23="Formación Técnica Específica",VLOOKUP(IF($J23="Formación Técnica Específica",$B23&amp;"°"&amp;W$1&amp;"°"&amp;$B23&amp;W$1&amp;1&amp;$A23,$B23&amp;"°"&amp;W$1&amp;"°"&amp;$A23),[1]Hoja1!$A:$O,15,0),VLOOKUP(IF($J23="Formación Técnica Específica",$B23&amp;"°"&amp;W$1&amp;"°"&amp;$B23&amp;W$1&amp;1&amp;$A23,$B23&amp;"°"&amp;W$1&amp;"°"&amp;$A23),[1]Hoja1!$A:$O,15,0))</f>
        <v xml:space="preserve">MEDINA, CLAUDIA B  </v>
      </c>
      <c r="X23" s="52" t="str">
        <f>IF($J23="Formación Técnica Específica",VLOOKUP(IF($J23="Formación Técnica Específica",$B23&amp;"°"&amp;W$1&amp;"°"&amp;$B23&amp;W$1&amp;1&amp;$A23,$B23&amp;"°"&amp;W$1&amp;"°"&amp;$A23),[1]Hoja1!$A:$O,15,0)," ")</f>
        <v xml:space="preserve"> </v>
      </c>
    </row>
    <row r="24" spans="1:24" x14ac:dyDescent="0.25">
      <c r="A24" s="30" t="str">
        <f t="shared" si="3"/>
        <v>2TPT2</v>
      </c>
      <c r="B24" s="4">
        <v>2</v>
      </c>
      <c r="C24" s="4" t="s">
        <v>10</v>
      </c>
      <c r="D24" s="4"/>
      <c r="E24" s="7" t="s">
        <v>11</v>
      </c>
      <c r="F24" s="3">
        <v>11</v>
      </c>
      <c r="G24" s="4" t="s">
        <v>52</v>
      </c>
      <c r="H24" s="4" t="s">
        <v>53</v>
      </c>
      <c r="I24" s="3">
        <v>4</v>
      </c>
      <c r="J24" s="6" t="s">
        <v>33</v>
      </c>
      <c r="K24" s="31" t="s">
        <v>34</v>
      </c>
      <c r="L24" t="str">
        <f t="shared" si="1"/>
        <v>2°11</v>
      </c>
      <c r="M24" s="31"/>
      <c r="N24" s="63" t="str">
        <f t="shared" si="2"/>
        <v>2°11</v>
      </c>
      <c r="O24" s="44" t="str">
        <f>IF($J24="Formación Técnica Específica",VLOOKUP(IF($J24="Formación Técnica Específica",$B24&amp;"°"&amp;O$1&amp;"°"&amp;$B24&amp;O$1&amp;1&amp;$A24,$B24&amp;"°"&amp;O$1&amp;"°"&amp;$A24),[1]Hoja1!$A:$O,15,0),VLOOKUP(IF($J24="Formación Técnica Específica",$B24&amp;"°"&amp;O$1&amp;"°"&amp;$B24&amp;O$1&amp;1&amp;$A24,$B24&amp;"°"&amp;O$1&amp;"°"&amp;$A24),[1]Hoja1!$A:$O,15,0))</f>
        <v xml:space="preserve">RODRIGUEZ RAUL                            </v>
      </c>
      <c r="P24" s="52" t="str">
        <f>IF($J24="Formación Técnica Específica",VLOOKUP(IF($J24="Formación Técnica Específica",$B24&amp;"°"&amp;O$1&amp;"°"&amp;$B24&amp;O$1&amp;1&amp;$A24,$B24&amp;"°"&amp;O$1&amp;"°"&amp;$A24),[1]Hoja1!$A:$O,15,0)," ")</f>
        <v xml:space="preserve">RODRIGUEZ RAUL                            </v>
      </c>
      <c r="Q24" s="44" t="str">
        <f>IF($J24="Formación Técnica Específica",VLOOKUP(IF($J24="Formación Técnica Específica",$B24&amp;"°"&amp;Q$1&amp;"°"&amp;$B24&amp;Q$1&amp;1&amp;$A24,$B24&amp;"°"&amp;Q$1&amp;"°"&amp;$A24),[1]Hoja1!$A:$O,15,0),VLOOKUP(IF($J24="Formación Técnica Específica",$B24&amp;"°"&amp;Q$1&amp;"°"&amp;$B24&amp;Q$1&amp;1&amp;$A24,$B24&amp;"°"&amp;Q$1&amp;"°"&amp;$A24),[1]Hoja1!$A:$O,15,0))</f>
        <v>CRUZ DAVID</v>
      </c>
      <c r="R24" s="52" t="str">
        <f>IF($J24="Formación Técnica Específica",VLOOKUP(IF($J24="Formación Técnica Específica",$B24&amp;"°"&amp;Q$1&amp;"°"&amp;$B24&amp;Q$1&amp;1&amp;$A24,$B24&amp;"°"&amp;Q$1&amp;"°"&amp;$A24),[1]Hoja1!$A:$O,15,0)," ")</f>
        <v>CRUZ DAVID</v>
      </c>
      <c r="S24" s="44" t="str">
        <f>IF($J24="Formación Técnica Específica",VLOOKUP(IF($J24="Formación Técnica Específica",$B24&amp;"°"&amp;S$1&amp;"°"&amp;$B24&amp;S$1&amp;1&amp;$A24,$B24&amp;"°"&amp;S$1&amp;"°"&amp;$A24),[1]Hoja1!$A:$O,15,0),VLOOKUP(IF($J24="Formación Técnica Específica",$B24&amp;"°"&amp;S$1&amp;"°"&amp;$B24&amp;S$1&amp;1&amp;$A24,$B24&amp;"°"&amp;S$1&amp;"°"&amp;$A24),[1]Hoja1!$A:$O,15,0))</f>
        <v>CHAMORRO CRISTIAN</v>
      </c>
      <c r="T24" s="52" t="str">
        <f>IF($J24="Formación Técnica Específica",VLOOKUP(IF($J24="Formación Técnica Específica",$B24&amp;"°"&amp;S$1&amp;"°"&amp;$B24&amp;S$1&amp;1&amp;$A24,$B24&amp;"°"&amp;S$1&amp;"°"&amp;$A24),[1]Hoja1!$A:$O,15,0)," ")</f>
        <v>CHAMORRO CRISTIAN</v>
      </c>
      <c r="U24" s="44" t="str">
        <f>IF($J24="Formación Técnica Específica",VLOOKUP(IF($J24="Formación Técnica Específica",$B24&amp;"°"&amp;U$1&amp;"°"&amp;$B24&amp;U$1&amp;1&amp;$A24,$B24&amp;"°"&amp;U$1&amp;"°"&amp;$A24),[1]Hoja1!$A:$O,15,0),VLOOKUP(IF($J24="Formación Técnica Específica",$B24&amp;"°"&amp;U$1&amp;"°"&amp;$B24&amp;U$1&amp;1&amp;$A24,$B24&amp;"°"&amp;U$1&amp;"°"&amp;$A24),[1]Hoja1!$A:$O,15,0))</f>
        <v>CRUZ DAVID</v>
      </c>
      <c r="V24" s="52" t="str">
        <f>IF($J24="Formación Técnica Específica",VLOOKUP(IF($J24="Formación Técnica Específica",$B24&amp;"°"&amp;U$1&amp;"°"&amp;$B24&amp;U$1&amp;1&amp;$A24,$B24&amp;"°"&amp;U$1&amp;"°"&amp;$A24),[1]Hoja1!$A:$O,15,0)," ")</f>
        <v>CRUZ DAVID</v>
      </c>
      <c r="W24" s="44" t="str">
        <f>IF($J24="Formación Técnica Específica",VLOOKUP(IF($J24="Formación Técnica Específica",$B24&amp;"°"&amp;W$1&amp;"°"&amp;$B24&amp;W$1&amp;1&amp;$A24,$B24&amp;"°"&amp;W$1&amp;"°"&amp;$A24),[1]Hoja1!$A:$O,15,0),VLOOKUP(IF($J24="Formación Técnica Específica",$B24&amp;"°"&amp;W$1&amp;"°"&amp;$B24&amp;W$1&amp;1&amp;$A24,$B24&amp;"°"&amp;W$1&amp;"°"&amp;$A24),[1]Hoja1!$A:$O,15,0))</f>
        <v>MONTENEGRO JUILIO</v>
      </c>
      <c r="X24" s="52" t="str">
        <f>IF($J24="Formación Técnica Específica",VLOOKUP(IF($J24="Formación Técnica Específica",$B24&amp;"°"&amp;W$1&amp;"°"&amp;$B24&amp;W$1&amp;1&amp;$A24,$B24&amp;"°"&amp;W$1&amp;"°"&amp;$A24),[1]Hoja1!$A:$O,15,0)," ")</f>
        <v>MONTENEGRO JUILIO</v>
      </c>
    </row>
    <row r="25" spans="1:24" x14ac:dyDescent="0.25">
      <c r="A25" s="30" t="str">
        <f t="shared" si="3"/>
        <v>2TLT2</v>
      </c>
      <c r="B25" s="4">
        <v>2</v>
      </c>
      <c r="C25" s="4" t="s">
        <v>10</v>
      </c>
      <c r="D25" s="4"/>
      <c r="E25" s="7" t="s">
        <v>11</v>
      </c>
      <c r="F25" s="3">
        <v>12</v>
      </c>
      <c r="G25" s="4" t="s">
        <v>54</v>
      </c>
      <c r="H25" s="4" t="s">
        <v>55</v>
      </c>
      <c r="I25" s="3">
        <v>2</v>
      </c>
      <c r="J25" s="6" t="s">
        <v>33</v>
      </c>
      <c r="K25" s="31" t="s">
        <v>298</v>
      </c>
      <c r="L25" t="str">
        <f t="shared" si="1"/>
        <v>2°12</v>
      </c>
      <c r="M25" s="31"/>
      <c r="N25" s="63" t="str">
        <f t="shared" si="2"/>
        <v>2°12</v>
      </c>
      <c r="O25" s="44" t="str">
        <f>IF($J25="Formación Técnica Específica",VLOOKUP(IF($J25="Formación Técnica Específica",$B25&amp;"°"&amp;O$1&amp;"°"&amp;$B25&amp;O$1&amp;1&amp;$A25,$B25&amp;"°"&amp;O$1&amp;"°"&amp;$A25),[1]Hoja1!$A:$O,15,0),VLOOKUP(IF($J25="Formación Técnica Específica",$B25&amp;"°"&amp;O$1&amp;"°"&amp;$B25&amp;O$1&amp;1&amp;$A25,$B25&amp;"°"&amp;O$1&amp;"°"&amp;$A25),[1]Hoja1!$A:$O,15,0))</f>
        <v xml:space="preserve">VILLALVA ESTEBAN  CUIT 20338123125 </v>
      </c>
      <c r="P25" s="52" t="str">
        <f>IF($J25="Formación Técnica Específica",VLOOKUP(IF($J25="Formación Técnica Específica",$B25&amp;"°"&amp;O$1&amp;"°"&amp;$B25&amp;O$1&amp;1&amp;$A25,$B25&amp;"°"&amp;O$1&amp;"°"&amp;$A25),[1]Hoja1!$A:$O,15,0)," ")</f>
        <v xml:space="preserve">VILLALVA ESTEBAN  CUIT 20338123125 </v>
      </c>
      <c r="Q25" s="44" t="str">
        <f>IF($J25="Formación Técnica Específica",VLOOKUP(IF($J25="Formación Técnica Específica",$B25&amp;"°"&amp;Q$1&amp;"°"&amp;$B25&amp;Q$1&amp;1&amp;$A25,$B25&amp;"°"&amp;Q$1&amp;"°"&amp;$A25),[1]Hoja1!$A:$O,15,0),VLOOKUP(IF($J25="Formación Técnica Específica",$B25&amp;"°"&amp;Q$1&amp;"°"&amp;$B25&amp;Q$1&amp;1&amp;$A25,$B25&amp;"°"&amp;Q$1&amp;"°"&amp;$A25),[1]Hoja1!$A:$O,15,0))</f>
        <v xml:space="preserve">RIVAROLA NORMA                            </v>
      </c>
      <c r="R25" s="52" t="str">
        <f>IF($J25="Formación Técnica Específica",VLOOKUP(IF($J25="Formación Técnica Específica",$B25&amp;"°"&amp;Q$1&amp;"°"&amp;$B25&amp;Q$1&amp;1&amp;$A25,$B25&amp;"°"&amp;Q$1&amp;"°"&amp;$A25),[1]Hoja1!$A:$O,15,0)," ")</f>
        <v xml:space="preserve">RIVAROLA NORMA                            </v>
      </c>
      <c r="S25" s="44" t="str">
        <f>IF($J25="Formación Técnica Específica",VLOOKUP(IF($J25="Formación Técnica Específica",$B25&amp;"°"&amp;S$1&amp;"°"&amp;$B25&amp;S$1&amp;1&amp;$A25,$B25&amp;"°"&amp;S$1&amp;"°"&amp;$A25),[1]Hoja1!$A:$O,15,0),VLOOKUP(IF($J25="Formación Técnica Específica",$B25&amp;"°"&amp;S$1&amp;"°"&amp;$B25&amp;S$1&amp;1&amp;$A25,$B25&amp;"°"&amp;S$1&amp;"°"&amp;$A25),[1]Hoja1!$A:$O,15,0))</f>
        <v>CRUZ JESUS NAZARENO 20256926157</v>
      </c>
      <c r="T25" s="52" t="str">
        <f>IF($J25="Formación Técnica Específica",VLOOKUP(IF($J25="Formación Técnica Específica",$B25&amp;"°"&amp;S$1&amp;"°"&amp;$B25&amp;S$1&amp;1&amp;$A25,$B25&amp;"°"&amp;S$1&amp;"°"&amp;$A25),[1]Hoja1!$A:$O,15,0)," ")</f>
        <v>CRUZ JESUS NAZARENO 20256926157</v>
      </c>
      <c r="U25" s="44" t="str">
        <f>IF($J25="Formación Técnica Específica",VLOOKUP(IF($J25="Formación Técnica Específica",$B25&amp;"°"&amp;U$1&amp;"°"&amp;$B25&amp;U$1&amp;1&amp;$A25,$B25&amp;"°"&amp;U$1&amp;"°"&amp;$A25),[1]Hoja1!$A:$O,15,0),VLOOKUP(IF($J25="Formación Técnica Específica",$B25&amp;"°"&amp;U$1&amp;"°"&amp;$B25&amp;U$1&amp;1&amp;$A25,$B25&amp;"°"&amp;U$1&amp;"°"&amp;$A25),[1]Hoja1!$A:$O,15,0))</f>
        <v>FISTER, VICTOR</v>
      </c>
      <c r="V25" s="52" t="str">
        <f>IF($J25="Formación Técnica Específica",VLOOKUP(IF($J25="Formación Técnica Específica",$B25&amp;"°"&amp;U$1&amp;"°"&amp;$B25&amp;U$1&amp;1&amp;$A25,$B25&amp;"°"&amp;U$1&amp;"°"&amp;$A25),[1]Hoja1!$A:$O,15,0)," ")</f>
        <v>FISTER, VICTOR</v>
      </c>
      <c r="W25" s="44" t="str">
        <f>IF($J25="Formación Técnica Específica",VLOOKUP(IF($J25="Formación Técnica Específica",$B25&amp;"°"&amp;W$1&amp;"°"&amp;$B25&amp;W$1&amp;1&amp;$A25,$B25&amp;"°"&amp;W$1&amp;"°"&amp;$A25),[1]Hoja1!$A:$O,15,0),VLOOKUP(IF($J25="Formación Técnica Específica",$B25&amp;"°"&amp;W$1&amp;"°"&amp;$B25&amp;W$1&amp;1&amp;$A25,$B25&amp;"°"&amp;W$1&amp;"°"&amp;$A25),[1]Hoja1!$A:$O,15,0))</f>
        <v>BELIZAN JUAN</v>
      </c>
      <c r="X25" s="52" t="str">
        <f>IF($J25="Formación Técnica Específica",VLOOKUP(IF($J25="Formación Técnica Específica",$B25&amp;"°"&amp;W$1&amp;"°"&amp;$B25&amp;W$1&amp;1&amp;$A25,$B25&amp;"°"&amp;W$1&amp;"°"&amp;$A25),[1]Hoja1!$A:$O,15,0)," ")</f>
        <v>BELIZAN JUAN</v>
      </c>
    </row>
    <row r="26" spans="1:24" x14ac:dyDescent="0.25">
      <c r="A26" s="30" t="str">
        <f t="shared" si="3"/>
        <v>2TST2</v>
      </c>
      <c r="B26" s="4">
        <v>2</v>
      </c>
      <c r="C26" s="4" t="s">
        <v>10</v>
      </c>
      <c r="D26" s="4"/>
      <c r="E26" s="7" t="s">
        <v>11</v>
      </c>
      <c r="F26" s="3">
        <v>13</v>
      </c>
      <c r="G26" s="4" t="s">
        <v>56</v>
      </c>
      <c r="H26" s="4" t="s">
        <v>57</v>
      </c>
      <c r="I26" s="3">
        <v>2</v>
      </c>
      <c r="J26" s="6" t="s">
        <v>33</v>
      </c>
      <c r="K26" s="31" t="s">
        <v>299</v>
      </c>
      <c r="L26" t="str">
        <f t="shared" si="1"/>
        <v>2°13</v>
      </c>
      <c r="M26" s="31"/>
      <c r="N26" s="63" t="str">
        <f t="shared" si="2"/>
        <v>2°13</v>
      </c>
      <c r="O26" s="44" t="str">
        <f>IF($J26="Formación Técnica Específica",VLOOKUP(IF($J26="Formación Técnica Específica",$B26&amp;"°"&amp;O$1&amp;"°"&amp;$B26&amp;O$1&amp;1&amp;$A26,$B26&amp;"°"&amp;O$1&amp;"°"&amp;$A26),[1]Hoja1!$A:$O,15,0),VLOOKUP(IF($J26="Formación Técnica Específica",$B26&amp;"°"&amp;O$1&amp;"°"&amp;$B26&amp;O$1&amp;1&amp;$A26,$B26&amp;"°"&amp;O$1&amp;"°"&amp;$A26),[1]Hoja1!$A:$O,15,0))</f>
        <v xml:space="preserve">CRUZ DAVID   </v>
      </c>
      <c r="P26" s="52" t="str">
        <f>IF($J26="Formación Técnica Específica",VLOOKUP(IF($J26="Formación Técnica Específica",$B26&amp;"°"&amp;O$1&amp;"°"&amp;$B26&amp;O$1&amp;1&amp;$A26,$B26&amp;"°"&amp;O$1&amp;"°"&amp;$A26),[1]Hoja1!$A:$O,15,0)," ")</f>
        <v xml:space="preserve">CRUZ DAVID   </v>
      </c>
      <c r="Q26" s="44" t="str">
        <f>IF($J26="Formación Técnica Específica",VLOOKUP(IF($J26="Formación Técnica Específica",$B26&amp;"°"&amp;Q$1&amp;"°"&amp;$B26&amp;Q$1&amp;1&amp;$A26,$B26&amp;"°"&amp;Q$1&amp;"°"&amp;$A26),[1]Hoja1!$A:$O,15,0),VLOOKUP(IF($J26="Formación Técnica Específica",$B26&amp;"°"&amp;Q$1&amp;"°"&amp;$B26&amp;Q$1&amp;1&amp;$A26,$B26&amp;"°"&amp;Q$1&amp;"°"&amp;$A26),[1]Hoja1!$A:$O,15,0))</f>
        <v xml:space="preserve"> AVILA MAURO GASTÓN</v>
      </c>
      <c r="R26" s="52" t="str">
        <f>IF($J26="Formación Técnica Específica",VLOOKUP(IF($J26="Formación Técnica Específica",$B26&amp;"°"&amp;Q$1&amp;"°"&amp;$B26&amp;Q$1&amp;1&amp;$A26,$B26&amp;"°"&amp;Q$1&amp;"°"&amp;$A26),[1]Hoja1!$A:$O,15,0)," ")</f>
        <v xml:space="preserve"> AVILA MAURO GASTÓN</v>
      </c>
      <c r="S26" s="44" t="str">
        <f>IF($J26="Formación Técnica Específica",VLOOKUP(IF($J26="Formación Técnica Específica",$B26&amp;"°"&amp;S$1&amp;"°"&amp;$B26&amp;S$1&amp;1&amp;$A26,$B26&amp;"°"&amp;S$1&amp;"°"&amp;$A26),[1]Hoja1!$A:$O,15,0),VLOOKUP(IF($J26="Formación Técnica Específica",$B26&amp;"°"&amp;S$1&amp;"°"&amp;$B26&amp;S$1&amp;1&amp;$A26,$B26&amp;"°"&amp;S$1&amp;"°"&amp;$A26),[1]Hoja1!$A:$O,15,0))</f>
        <v>MIRTA GABRIELA ZEBALLOS</v>
      </c>
      <c r="T26" s="52" t="str">
        <f>IF($J26="Formación Técnica Específica",VLOOKUP(IF($J26="Formación Técnica Específica",$B26&amp;"°"&amp;S$1&amp;"°"&amp;$B26&amp;S$1&amp;1&amp;$A26,$B26&amp;"°"&amp;S$1&amp;"°"&amp;$A26),[1]Hoja1!$A:$O,15,0)," ")</f>
        <v>MIRTA GABRIELA ZEBALLOS</v>
      </c>
      <c r="U26" s="44" t="str">
        <f>IF($J26="Formación Técnica Específica",VLOOKUP(IF($J26="Formación Técnica Específica",$B26&amp;"°"&amp;U$1&amp;"°"&amp;$B26&amp;U$1&amp;1&amp;$A26,$B26&amp;"°"&amp;U$1&amp;"°"&amp;$A26),[1]Hoja1!$A:$O,15,0),VLOOKUP(IF($J26="Formación Técnica Específica",$B26&amp;"°"&amp;U$1&amp;"°"&amp;$B26&amp;U$1&amp;1&amp;$A26,$B26&amp;"°"&amp;U$1&amp;"°"&amp;$A26),[1]Hoja1!$A:$O,15,0))</f>
        <v xml:space="preserve">AVILA </v>
      </c>
      <c r="V26" s="52" t="str">
        <f>IF($J26="Formación Técnica Específica",VLOOKUP(IF($J26="Formación Técnica Específica",$B26&amp;"°"&amp;U$1&amp;"°"&amp;$B26&amp;U$1&amp;1&amp;$A26,$B26&amp;"°"&amp;U$1&amp;"°"&amp;$A26),[1]Hoja1!$A:$O,15,0)," ")</f>
        <v xml:space="preserve">AVILA </v>
      </c>
      <c r="W26" s="44" t="str">
        <f>IF($J26="Formación Técnica Específica",VLOOKUP(IF($J26="Formación Técnica Específica",$B26&amp;"°"&amp;W$1&amp;"°"&amp;$B26&amp;W$1&amp;1&amp;$A26,$B26&amp;"°"&amp;W$1&amp;"°"&amp;$A26),[1]Hoja1!$A:$O,15,0),VLOOKUP(IF($J26="Formación Técnica Específica",$B26&amp;"°"&amp;W$1&amp;"°"&amp;$B26&amp;W$1&amp;1&amp;$A26,$B26&amp;"°"&amp;W$1&amp;"°"&amp;$A26),[1]Hoja1!$A:$O,15,0))</f>
        <v xml:space="preserve"> PAZ ALEX GABRIEL</v>
      </c>
      <c r="X26" s="52" t="str">
        <f>IF($J26="Formación Técnica Específica",VLOOKUP(IF($J26="Formación Técnica Específica",$B26&amp;"°"&amp;W$1&amp;"°"&amp;$B26&amp;W$1&amp;1&amp;$A26,$B26&amp;"°"&amp;W$1&amp;"°"&amp;$A26),[1]Hoja1!$A:$O,15,0)," ")</f>
        <v xml:space="preserve"> PAZ ALEX GABRIEL</v>
      </c>
    </row>
    <row r="27" spans="1:24" ht="15.75" thickBot="1" x14ac:dyDescent="0.3">
      <c r="A27" s="32" t="str">
        <f t="shared" si="3"/>
        <v>2TALLER</v>
      </c>
      <c r="B27" s="33">
        <v>2</v>
      </c>
      <c r="C27" s="33" t="s">
        <v>10</v>
      </c>
      <c r="D27" s="33"/>
      <c r="E27" s="34" t="s">
        <v>11</v>
      </c>
      <c r="F27" s="35">
        <v>14</v>
      </c>
      <c r="G27" s="33" t="s">
        <v>284</v>
      </c>
      <c r="H27" s="33"/>
      <c r="I27" s="35"/>
      <c r="J27" s="36" t="s">
        <v>33</v>
      </c>
      <c r="K27" s="37" t="s">
        <v>285</v>
      </c>
      <c r="L27" t="str">
        <f t="shared" si="1"/>
        <v>2°14</v>
      </c>
      <c r="M27" s="37"/>
      <c r="N27" s="63" t="str">
        <f t="shared" si="2"/>
        <v>2°14</v>
      </c>
      <c r="O27" s="53" t="e">
        <f>IF($J27="Formación Técnica Específica",VLOOKUP(IF($J27="Formación Técnica Específica",$B27&amp;"°"&amp;O$1&amp;"°"&amp;$B27&amp;O$1&amp;1&amp;$A27,$B27&amp;"°"&amp;O$1&amp;"°"&amp;$A27),[1]Hoja1!$A:$O,15,0),VLOOKUP(IF($J27="Formación Técnica Específica",$B27&amp;"°"&amp;O$1&amp;"°"&amp;$B27&amp;O$1&amp;1&amp;$A27,$B27&amp;"°"&amp;O$1&amp;"°"&amp;$A27),[1]Hoja1!$A:$O,15,0))</f>
        <v>#N/A</v>
      </c>
      <c r="P27" s="54" t="e">
        <f>IF($J27="Formación Técnica Específica",VLOOKUP(IF($J27="Formación Técnica Específica",$B27&amp;"°"&amp;O$1&amp;"°"&amp;$B27&amp;O$1&amp;1&amp;$A27,$B27&amp;"°"&amp;O$1&amp;"°"&amp;$A27),[1]Hoja1!$A:$O,15,0)," ")</f>
        <v>#N/A</v>
      </c>
      <c r="Q27" s="53" t="e">
        <f>IF($J27="Formación Técnica Específica",VLOOKUP(IF($J27="Formación Técnica Específica",$B27&amp;"°"&amp;Q$1&amp;"°"&amp;$B27&amp;Q$1&amp;1&amp;$A27,$B27&amp;"°"&amp;Q$1&amp;"°"&amp;$A27),[1]Hoja1!$A:$O,15,0),VLOOKUP(IF($J27="Formación Técnica Específica",$B27&amp;"°"&amp;Q$1&amp;"°"&amp;$B27&amp;Q$1&amp;1&amp;$A27,$B27&amp;"°"&amp;Q$1&amp;"°"&amp;$A27),[1]Hoja1!$A:$O,15,0))</f>
        <v>#N/A</v>
      </c>
      <c r="R27" s="54" t="e">
        <f>IF($J27="Formación Técnica Específica",VLOOKUP(IF($J27="Formación Técnica Específica",$B27&amp;"°"&amp;Q$1&amp;"°"&amp;$B27&amp;Q$1&amp;1&amp;$A27,$B27&amp;"°"&amp;Q$1&amp;"°"&amp;$A27),[1]Hoja1!$A:$O,15,0)," ")</f>
        <v>#N/A</v>
      </c>
      <c r="S27" s="53" t="e">
        <f>IF($J27="Formación Técnica Específica",VLOOKUP(IF($J27="Formación Técnica Específica",$B27&amp;"°"&amp;S$1&amp;"°"&amp;$B27&amp;S$1&amp;1&amp;$A27,$B27&amp;"°"&amp;S$1&amp;"°"&amp;$A27),[1]Hoja1!$A:$O,15,0),VLOOKUP(IF($J27="Formación Técnica Específica",$B27&amp;"°"&amp;S$1&amp;"°"&amp;$B27&amp;S$1&amp;1&amp;$A27,$B27&amp;"°"&amp;S$1&amp;"°"&amp;$A27),[1]Hoja1!$A:$O,15,0))</f>
        <v>#N/A</v>
      </c>
      <c r="T27" s="54" t="e">
        <f>IF($J27="Formación Técnica Específica",VLOOKUP(IF($J27="Formación Técnica Específica",$B27&amp;"°"&amp;S$1&amp;"°"&amp;$B27&amp;S$1&amp;1&amp;$A27,$B27&amp;"°"&amp;S$1&amp;"°"&amp;$A27),[1]Hoja1!$A:$O,15,0)," ")</f>
        <v>#N/A</v>
      </c>
      <c r="U27" s="53" t="e">
        <f>IF($J27="Formación Técnica Específica",VLOOKUP(IF($J27="Formación Técnica Específica",$B27&amp;"°"&amp;U$1&amp;"°"&amp;$B27&amp;U$1&amp;1&amp;$A27,$B27&amp;"°"&amp;U$1&amp;"°"&amp;$A27),[1]Hoja1!$A:$O,15,0),VLOOKUP(IF($J27="Formación Técnica Específica",$B27&amp;"°"&amp;U$1&amp;"°"&amp;$B27&amp;U$1&amp;1&amp;$A27,$B27&amp;"°"&amp;U$1&amp;"°"&amp;$A27),[1]Hoja1!$A:$O,15,0))</f>
        <v>#N/A</v>
      </c>
      <c r="V27" s="54" t="e">
        <f>IF($J27="Formación Técnica Específica",VLOOKUP(IF($J27="Formación Técnica Específica",$B27&amp;"°"&amp;U$1&amp;"°"&amp;$B27&amp;U$1&amp;1&amp;$A27,$B27&amp;"°"&amp;U$1&amp;"°"&amp;$A27),[1]Hoja1!$A:$O,15,0)," ")</f>
        <v>#N/A</v>
      </c>
      <c r="W27" s="53" t="e">
        <f>IF($J27="Formación Técnica Específica",VLOOKUP(IF($J27="Formación Técnica Específica",$B27&amp;"°"&amp;W$1&amp;"°"&amp;$B27&amp;W$1&amp;1&amp;$A27,$B27&amp;"°"&amp;W$1&amp;"°"&amp;$A27),[1]Hoja1!$A:$O,15,0),VLOOKUP(IF($J27="Formación Técnica Específica",$B27&amp;"°"&amp;W$1&amp;"°"&amp;$B27&amp;W$1&amp;1&amp;$A27,$B27&amp;"°"&amp;W$1&amp;"°"&amp;$A27),[1]Hoja1!$A:$O,15,0))</f>
        <v>#N/A</v>
      </c>
      <c r="X27" s="54" t="e">
        <f>IF($J27="Formación Técnica Específica",VLOOKUP(IF($J27="Formación Técnica Específica",$B27&amp;"°"&amp;W$1&amp;"°"&amp;$B27&amp;W$1&amp;1&amp;$A27,$B27&amp;"°"&amp;W$1&amp;"°"&amp;$A27),[1]Hoja1!$A:$O,15,0)," ")</f>
        <v>#N/A</v>
      </c>
    </row>
    <row r="28" spans="1:24" x14ac:dyDescent="0.25">
      <c r="A28" s="24" t="str">
        <f>CONCATENATE(B28,G28)</f>
        <v>3BIO</v>
      </c>
      <c r="B28" s="25">
        <v>3</v>
      </c>
      <c r="C28" s="25" t="s">
        <v>10</v>
      </c>
      <c r="D28" s="25"/>
      <c r="E28" s="26" t="s">
        <v>11</v>
      </c>
      <c r="F28" s="27">
        <v>1</v>
      </c>
      <c r="G28" s="25" t="s">
        <v>38</v>
      </c>
      <c r="H28" s="25" t="s">
        <v>58</v>
      </c>
      <c r="I28" s="27">
        <v>2</v>
      </c>
      <c r="J28" s="28" t="s">
        <v>14</v>
      </c>
      <c r="K28" s="29" t="s">
        <v>40</v>
      </c>
      <c r="L28" t="str">
        <f t="shared" si="1"/>
        <v>3°1</v>
      </c>
      <c r="M28" s="29"/>
      <c r="N28" s="63" t="str">
        <f t="shared" si="2"/>
        <v>3°1</v>
      </c>
      <c r="O28" s="50" t="str">
        <f>IF($J28="Formación Técnica Específica",VLOOKUP(IF($J28="Formación Técnica Específica",$B28&amp;"°"&amp;O$1&amp;"°"&amp;$B28&amp;O$1&amp;1&amp;$A28,$B28&amp;"°"&amp;O$1&amp;"°"&amp;$A28),[1]Hoja1!$A:$O,15,0),VLOOKUP(IF($J28="Formación Técnica Específica",$B28&amp;"°"&amp;O$1&amp;"°"&amp;$B28&amp;O$1&amp;1&amp;$A28,$B28&amp;"°"&amp;O$1&amp;"°"&amp;$A28),[1]Hoja1!$A:$O,15,0))</f>
        <v xml:space="preserve">FARIAS CLAUDIA ANTONIA </v>
      </c>
      <c r="P28" s="51" t="str">
        <f>IF($J28="Formación Técnica Específica",VLOOKUP(IF($J28="Formación Técnica Específica",$B28&amp;"°"&amp;O$1&amp;"°"&amp;$B28&amp;O$1&amp;1&amp;$A28,$B28&amp;"°"&amp;O$1&amp;"°"&amp;$A28),[1]Hoja1!$A:$O,15,0)," ")</f>
        <v xml:space="preserve"> </v>
      </c>
      <c r="Q28" s="50" t="str">
        <f>IF($J28="Formación Técnica Específica",VLOOKUP(IF($J28="Formación Técnica Específica",$B28&amp;"°"&amp;Q$1&amp;"°"&amp;$B28&amp;Q$1&amp;1&amp;$A28,$B28&amp;"°"&amp;Q$1&amp;"°"&amp;$A28),[1]Hoja1!$A:$O,15,0),VLOOKUP(IF($J28="Formación Técnica Específica",$B28&amp;"°"&amp;Q$1&amp;"°"&amp;$B28&amp;Q$1&amp;1&amp;$A28,$B28&amp;"°"&amp;Q$1&amp;"°"&amp;$A28),[1]Hoja1!$A:$O,15,0))</f>
        <v>ARIAS, YANINA</v>
      </c>
      <c r="R28" s="51" t="str">
        <f>IF($J28="Formación Técnica Específica",VLOOKUP(IF($J28="Formación Técnica Específica",$B28&amp;"°"&amp;Q$1&amp;"°"&amp;$B28&amp;Q$1&amp;1&amp;$A28,$B28&amp;"°"&amp;Q$1&amp;"°"&amp;$A28),[1]Hoja1!$A:$O,15,0)," ")</f>
        <v xml:space="preserve"> </v>
      </c>
      <c r="S28" s="50" t="str">
        <f>IF($J28="Formación Técnica Específica",VLOOKUP(IF($J28="Formación Técnica Específica",$B28&amp;"°"&amp;S$1&amp;"°"&amp;$B28&amp;S$1&amp;1&amp;$A28,$B28&amp;"°"&amp;S$1&amp;"°"&amp;$A28),[1]Hoja1!$A:$O,15,0),VLOOKUP(IF($J28="Formación Técnica Específica",$B28&amp;"°"&amp;S$1&amp;"°"&amp;$B28&amp;S$1&amp;1&amp;$A28,$B28&amp;"°"&amp;S$1&amp;"°"&amp;$A28),[1]Hoja1!$A:$O,15,0))</f>
        <v xml:space="preserve">CANCELA GONZALEZ M </v>
      </c>
      <c r="T28" s="51" t="str">
        <f>IF($J28="Formación Técnica Específica",VLOOKUP(IF($J28="Formación Técnica Específica",$B28&amp;"°"&amp;S$1&amp;"°"&amp;$B28&amp;S$1&amp;1&amp;$A28,$B28&amp;"°"&amp;S$1&amp;"°"&amp;$A28),[1]Hoja1!$A:$O,15,0)," ")</f>
        <v xml:space="preserve"> </v>
      </c>
      <c r="U28" s="50" t="str">
        <f>IF($J28="Formación Técnica Específica",VLOOKUP(IF($J28="Formación Técnica Específica",$B28&amp;"°"&amp;U$1&amp;"°"&amp;$B28&amp;U$1&amp;1&amp;$A28,$B28&amp;"°"&amp;U$1&amp;"°"&amp;$A28),[1]Hoja1!$A:$O,15,0),VLOOKUP(IF($J28="Formación Técnica Específica",$B28&amp;"°"&amp;U$1&amp;"°"&amp;$B28&amp;U$1&amp;1&amp;$A28,$B28&amp;"°"&amp;U$1&amp;"°"&amp;$A28),[1]Hoja1!$A:$O,15,0))</f>
        <v>OLIVIERI, ROMINA DE LOS MILAGR</v>
      </c>
      <c r="V28" s="51" t="str">
        <f>IF($J28="Formación Técnica Específica",VLOOKUP(IF($J28="Formación Técnica Específica",$B28&amp;"°"&amp;U$1&amp;"°"&amp;$B28&amp;U$1&amp;1&amp;$A28,$B28&amp;"°"&amp;U$1&amp;"°"&amp;$A28),[1]Hoja1!$A:$O,15,0)," ")</f>
        <v xml:space="preserve"> </v>
      </c>
      <c r="W28" s="50" t="str">
        <f>IF($J28="Formación Técnica Específica",VLOOKUP(IF($J28="Formación Técnica Específica",$B28&amp;"°"&amp;W$1&amp;"°"&amp;$B28&amp;W$1&amp;1&amp;$A28,$B28&amp;"°"&amp;W$1&amp;"°"&amp;$A28),[1]Hoja1!$A:$O,15,0),VLOOKUP(IF($J28="Formación Técnica Específica",$B28&amp;"°"&amp;W$1&amp;"°"&amp;$B28&amp;W$1&amp;1&amp;$A28,$B28&amp;"°"&amp;W$1&amp;"°"&amp;$A28),[1]Hoja1!$A:$O,15,0))</f>
        <v>FARIAS CLAUDIA</v>
      </c>
      <c r="X28" s="51" t="str">
        <f>IF($J28="Formación Técnica Específica",VLOOKUP(IF($J28="Formación Técnica Específica",$B28&amp;"°"&amp;W$1&amp;"°"&amp;$B28&amp;W$1&amp;1&amp;$A28,$B28&amp;"°"&amp;W$1&amp;"°"&amp;$A28),[1]Hoja1!$A:$O,15,0)," ")</f>
        <v xml:space="preserve"> </v>
      </c>
    </row>
    <row r="29" spans="1:24" x14ac:dyDescent="0.25">
      <c r="A29" s="30" t="str">
        <f t="shared" ref="A29:A41" si="4">CONCATENATE(B29,G29)</f>
        <v>3CCD</v>
      </c>
      <c r="B29" s="4">
        <v>3</v>
      </c>
      <c r="C29" s="4" t="s">
        <v>10</v>
      </c>
      <c r="D29" s="4"/>
      <c r="E29" s="7" t="s">
        <v>11</v>
      </c>
      <c r="F29" s="3">
        <v>2</v>
      </c>
      <c r="G29" s="4" t="s">
        <v>30</v>
      </c>
      <c r="H29" s="4" t="s">
        <v>30</v>
      </c>
      <c r="I29" s="3">
        <v>2</v>
      </c>
      <c r="J29" s="6" t="s">
        <v>14</v>
      </c>
      <c r="K29" s="31" t="s">
        <v>41</v>
      </c>
      <c r="L29" t="str">
        <f t="shared" si="1"/>
        <v>3°2</v>
      </c>
      <c r="M29" s="31"/>
      <c r="N29" s="63" t="str">
        <f t="shared" si="2"/>
        <v>3°2</v>
      </c>
      <c r="O29" s="44" t="str">
        <f>IF($J29="Formación Técnica Específica",VLOOKUP(IF($J29="Formación Técnica Específica",$B29&amp;"°"&amp;O$1&amp;"°"&amp;$B29&amp;O$1&amp;1&amp;$A29,$B29&amp;"°"&amp;O$1&amp;"°"&amp;$A29),[1]Hoja1!$A:$O,15,0),VLOOKUP(IF($J29="Formación Técnica Específica",$B29&amp;"°"&amp;O$1&amp;"°"&amp;$B29&amp;O$1&amp;1&amp;$A29,$B29&amp;"°"&amp;O$1&amp;"°"&amp;$A29),[1]Hoja1!$A:$O,15,0))</f>
        <v xml:space="preserve">TORRES GABRIEL </v>
      </c>
      <c r="P29" s="52" t="str">
        <f>IF($J29="Formación Técnica Específica",VLOOKUP(IF($J29="Formación Técnica Específica",$B29&amp;"°"&amp;O$1&amp;"°"&amp;$B29&amp;O$1&amp;1&amp;$A29,$B29&amp;"°"&amp;O$1&amp;"°"&amp;$A29),[1]Hoja1!$A:$O,15,0)," ")</f>
        <v xml:space="preserve"> </v>
      </c>
      <c r="Q29" s="44" t="str">
        <f>IF($J29="Formación Técnica Específica",VLOOKUP(IF($J29="Formación Técnica Específica",$B29&amp;"°"&amp;Q$1&amp;"°"&amp;$B29&amp;Q$1&amp;1&amp;$A29,$B29&amp;"°"&amp;Q$1&amp;"°"&amp;$A29),[1]Hoja1!$A:$O,15,0),VLOOKUP(IF($J29="Formación Técnica Específica",$B29&amp;"°"&amp;Q$1&amp;"°"&amp;$B29&amp;Q$1&amp;1&amp;$A29,$B29&amp;"°"&amp;Q$1&amp;"°"&amp;$A29),[1]Hoja1!$A:$O,15,0))</f>
        <v xml:space="preserve">TORRES GABRIEL </v>
      </c>
      <c r="R29" s="52" t="str">
        <f>IF($J29="Formación Técnica Específica",VLOOKUP(IF($J29="Formación Técnica Específica",$B29&amp;"°"&amp;Q$1&amp;"°"&amp;$B29&amp;Q$1&amp;1&amp;$A29,$B29&amp;"°"&amp;Q$1&amp;"°"&amp;$A29),[1]Hoja1!$A:$O,15,0)," ")</f>
        <v xml:space="preserve"> </v>
      </c>
      <c r="S29" s="44" t="str">
        <f>IF($J29="Formación Técnica Específica",VLOOKUP(IF($J29="Formación Técnica Específica",$B29&amp;"°"&amp;S$1&amp;"°"&amp;$B29&amp;S$1&amp;1&amp;$A29,$B29&amp;"°"&amp;S$1&amp;"°"&amp;$A29),[1]Hoja1!$A:$O,15,0),VLOOKUP(IF($J29="Formación Técnica Específica",$B29&amp;"°"&amp;S$1&amp;"°"&amp;$B29&amp;S$1&amp;1&amp;$A29,$B29&amp;"°"&amp;S$1&amp;"°"&amp;$A29),[1]Hoja1!$A:$O,15,0))</f>
        <v>HERRERA CARMEN</v>
      </c>
      <c r="T29" s="52" t="str">
        <f>IF($J29="Formación Técnica Específica",VLOOKUP(IF($J29="Formación Técnica Específica",$B29&amp;"°"&amp;S$1&amp;"°"&amp;$B29&amp;S$1&amp;1&amp;$A29,$B29&amp;"°"&amp;S$1&amp;"°"&amp;$A29),[1]Hoja1!$A:$O,15,0)," ")</f>
        <v xml:space="preserve"> </v>
      </c>
      <c r="U29" s="44" t="str">
        <f>IF($J29="Formación Técnica Específica",VLOOKUP(IF($J29="Formación Técnica Específica",$B29&amp;"°"&amp;U$1&amp;"°"&amp;$B29&amp;U$1&amp;1&amp;$A29,$B29&amp;"°"&amp;U$1&amp;"°"&amp;$A29),[1]Hoja1!$A:$O,15,0),VLOOKUP(IF($J29="Formación Técnica Específica",$B29&amp;"°"&amp;U$1&amp;"°"&amp;$B29&amp;U$1&amp;1&amp;$A29,$B29&amp;"°"&amp;U$1&amp;"°"&amp;$A29),[1]Hoja1!$A:$O,15,0))</f>
        <v xml:space="preserve">GORDILLO NORA </v>
      </c>
      <c r="V29" s="52" t="str">
        <f>IF($J29="Formación Técnica Específica",VLOOKUP(IF($J29="Formación Técnica Específica",$B29&amp;"°"&amp;U$1&amp;"°"&amp;$B29&amp;U$1&amp;1&amp;$A29,$B29&amp;"°"&amp;U$1&amp;"°"&amp;$A29),[1]Hoja1!$A:$O,15,0)," ")</f>
        <v xml:space="preserve"> </v>
      </c>
      <c r="W29" s="44" t="str">
        <f>IF($J29="Formación Técnica Específica",VLOOKUP(IF($J29="Formación Técnica Específica",$B29&amp;"°"&amp;W$1&amp;"°"&amp;$B29&amp;W$1&amp;1&amp;$A29,$B29&amp;"°"&amp;W$1&amp;"°"&amp;$A29),[1]Hoja1!$A:$O,15,0),VLOOKUP(IF($J29="Formación Técnica Específica",$B29&amp;"°"&amp;W$1&amp;"°"&amp;$B29&amp;W$1&amp;1&amp;$A29,$B29&amp;"°"&amp;W$1&amp;"°"&amp;$A29),[1]Hoja1!$A:$O,15,0))</f>
        <v xml:space="preserve">AMAYA SILVIA                      </v>
      </c>
      <c r="X29" s="52" t="str">
        <f>IF($J29="Formación Técnica Específica",VLOOKUP(IF($J29="Formación Técnica Específica",$B29&amp;"°"&amp;W$1&amp;"°"&amp;$B29&amp;W$1&amp;1&amp;$A29,$B29&amp;"°"&amp;W$1&amp;"°"&amp;$A29),[1]Hoja1!$A:$O,15,0)," ")</f>
        <v xml:space="preserve"> </v>
      </c>
    </row>
    <row r="30" spans="1:24" x14ac:dyDescent="0.25">
      <c r="A30" s="30" t="str">
        <f t="shared" si="4"/>
        <v>3ART</v>
      </c>
      <c r="B30" s="4">
        <v>3</v>
      </c>
      <c r="C30" s="4" t="s">
        <v>10</v>
      </c>
      <c r="D30" s="4"/>
      <c r="E30" s="7" t="s">
        <v>11</v>
      </c>
      <c r="F30" s="3">
        <v>3</v>
      </c>
      <c r="G30" s="4" t="s">
        <v>18</v>
      </c>
      <c r="H30" s="4" t="s">
        <v>19</v>
      </c>
      <c r="I30" s="3">
        <v>2</v>
      </c>
      <c r="J30" s="6" t="s">
        <v>14</v>
      </c>
      <c r="K30" s="31" t="s">
        <v>42</v>
      </c>
      <c r="L30" t="str">
        <f t="shared" si="1"/>
        <v>3°3</v>
      </c>
      <c r="M30" s="31"/>
      <c r="N30" s="63" t="str">
        <f t="shared" si="2"/>
        <v>3°3</v>
      </c>
      <c r="O30" s="44" t="str">
        <f>IF($J30="Formación Técnica Específica",VLOOKUP(IF($J30="Formación Técnica Específica",$B30&amp;"°"&amp;O$1&amp;"°"&amp;$B30&amp;O$1&amp;1&amp;$A30,$B30&amp;"°"&amp;O$1&amp;"°"&amp;$A30),[1]Hoja1!$A:$O,15,0),VLOOKUP(IF($J30="Formación Técnica Específica",$B30&amp;"°"&amp;O$1&amp;"°"&amp;$B30&amp;O$1&amp;1&amp;$A30,$B30&amp;"°"&amp;O$1&amp;"°"&amp;$A30),[1]Hoja1!$A:$O,15,0))</f>
        <v>ISSETTA LORENA</v>
      </c>
      <c r="P30" s="52" t="str">
        <f>IF($J30="Formación Técnica Específica",VLOOKUP(IF($J30="Formación Técnica Específica",$B30&amp;"°"&amp;O$1&amp;"°"&amp;$B30&amp;O$1&amp;1&amp;$A30,$B30&amp;"°"&amp;O$1&amp;"°"&amp;$A30),[1]Hoja1!$A:$O,15,0)," ")</f>
        <v xml:space="preserve"> </v>
      </c>
      <c r="Q30" s="44" t="str">
        <f>IF($J30="Formación Técnica Específica",VLOOKUP(IF($J30="Formación Técnica Específica",$B30&amp;"°"&amp;Q$1&amp;"°"&amp;$B30&amp;Q$1&amp;1&amp;$A30,$B30&amp;"°"&amp;Q$1&amp;"°"&amp;$A30),[1]Hoja1!$A:$O,15,0),VLOOKUP(IF($J30="Formación Técnica Específica",$B30&amp;"°"&amp;Q$1&amp;"°"&amp;$B30&amp;Q$1&amp;1&amp;$A30,$B30&amp;"°"&amp;Q$1&amp;"°"&amp;$A30),[1]Hoja1!$A:$O,15,0))</f>
        <v xml:space="preserve">TAPIA EVANGELINA EMILCE  </v>
      </c>
      <c r="R30" s="52" t="str">
        <f>IF($J30="Formación Técnica Específica",VLOOKUP(IF($J30="Formación Técnica Específica",$B30&amp;"°"&amp;Q$1&amp;"°"&amp;$B30&amp;Q$1&amp;1&amp;$A30,$B30&amp;"°"&amp;Q$1&amp;"°"&amp;$A30),[1]Hoja1!$A:$O,15,0)," ")</f>
        <v xml:space="preserve"> </v>
      </c>
      <c r="S30" s="44" t="str">
        <f>IF($J30="Formación Técnica Específica",VLOOKUP(IF($J30="Formación Técnica Específica",$B30&amp;"°"&amp;S$1&amp;"°"&amp;$B30&amp;S$1&amp;1&amp;$A30,$B30&amp;"°"&amp;S$1&amp;"°"&amp;$A30),[1]Hoja1!$A:$O,15,0),VLOOKUP(IF($J30="Formación Técnica Específica",$B30&amp;"°"&amp;S$1&amp;"°"&amp;$B30&amp;S$1&amp;1&amp;$A30,$B30&amp;"°"&amp;S$1&amp;"°"&amp;$A30),[1]Hoja1!$A:$O,15,0))</f>
        <v xml:space="preserve">ISSETTA LORENA  </v>
      </c>
      <c r="T30" s="52" t="str">
        <f>IF($J30="Formación Técnica Específica",VLOOKUP(IF($J30="Formación Técnica Específica",$B30&amp;"°"&amp;S$1&amp;"°"&amp;$B30&amp;S$1&amp;1&amp;$A30,$B30&amp;"°"&amp;S$1&amp;"°"&amp;$A30),[1]Hoja1!$A:$O,15,0)," ")</f>
        <v xml:space="preserve"> </v>
      </c>
      <c r="U30" s="44" t="str">
        <f>IF($J30="Formación Técnica Específica",VLOOKUP(IF($J30="Formación Técnica Específica",$B30&amp;"°"&amp;U$1&amp;"°"&amp;$B30&amp;U$1&amp;1&amp;$A30,$B30&amp;"°"&amp;U$1&amp;"°"&amp;$A30),[1]Hoja1!$A:$O,15,0),VLOOKUP(IF($J30="Formación Técnica Específica",$B30&amp;"°"&amp;U$1&amp;"°"&amp;$B30&amp;U$1&amp;1&amp;$A30,$B30&amp;"°"&amp;U$1&amp;"°"&amp;$A30),[1]Hoja1!$A:$O,15,0))</f>
        <v>GOMEZ MARCELA</v>
      </c>
      <c r="V30" s="52" t="str">
        <f>IF($J30="Formación Técnica Específica",VLOOKUP(IF($J30="Formación Técnica Específica",$B30&amp;"°"&amp;U$1&amp;"°"&amp;$B30&amp;U$1&amp;1&amp;$A30,$B30&amp;"°"&amp;U$1&amp;"°"&amp;$A30),[1]Hoja1!$A:$O,15,0)," ")</f>
        <v xml:space="preserve"> </v>
      </c>
      <c r="W30" s="44" t="str">
        <f>IF($J30="Formación Técnica Específica",VLOOKUP(IF($J30="Formación Técnica Específica",$B30&amp;"°"&amp;W$1&amp;"°"&amp;$B30&amp;W$1&amp;1&amp;$A30,$B30&amp;"°"&amp;W$1&amp;"°"&amp;$A30),[1]Hoja1!$A:$O,15,0),VLOOKUP(IF($J30="Formación Técnica Específica",$B30&amp;"°"&amp;W$1&amp;"°"&amp;$B30&amp;W$1&amp;1&amp;$A30,$B30&amp;"°"&amp;W$1&amp;"°"&amp;$A30),[1]Hoja1!$A:$O,15,0))</f>
        <v xml:space="preserve">ISSETTA LORENA </v>
      </c>
      <c r="X30" s="52" t="str">
        <f>IF($J30="Formación Técnica Específica",VLOOKUP(IF($J30="Formación Técnica Específica",$B30&amp;"°"&amp;W$1&amp;"°"&amp;$B30&amp;W$1&amp;1&amp;$A30,$B30&amp;"°"&amp;W$1&amp;"°"&amp;$A30),[1]Hoja1!$A:$O,15,0)," ")</f>
        <v xml:space="preserve"> </v>
      </c>
    </row>
    <row r="31" spans="1:24" x14ac:dyDescent="0.25">
      <c r="A31" s="30" t="str">
        <f t="shared" si="4"/>
        <v>3EFI</v>
      </c>
      <c r="B31" s="4">
        <v>3</v>
      </c>
      <c r="C31" s="4" t="s">
        <v>10</v>
      </c>
      <c r="D31" s="4"/>
      <c r="E31" s="7" t="s">
        <v>11</v>
      </c>
      <c r="F31" s="3">
        <v>4</v>
      </c>
      <c r="G31" s="4" t="s">
        <v>20</v>
      </c>
      <c r="H31" s="4" t="s">
        <v>21</v>
      </c>
      <c r="I31" s="3">
        <v>2</v>
      </c>
      <c r="J31" s="6" t="s">
        <v>14</v>
      </c>
      <c r="K31" s="31" t="s">
        <v>172</v>
      </c>
      <c r="L31" t="str">
        <f t="shared" si="1"/>
        <v>3°4</v>
      </c>
      <c r="M31" s="31"/>
      <c r="N31" s="63" t="str">
        <f t="shared" si="2"/>
        <v>3°4</v>
      </c>
      <c r="O31" s="44" t="str">
        <f>IF($J31="Formación Técnica Específica",VLOOKUP(IF($J31="Formación Técnica Específica",$B31&amp;"°"&amp;O$1&amp;"°"&amp;$B31&amp;O$1&amp;1&amp;$A31,$B31&amp;"°"&amp;O$1&amp;"°"&amp;$A31),[1]Hoja1!$A:$O,15,0),VLOOKUP(IF($J31="Formación Técnica Específica",$B31&amp;"°"&amp;O$1&amp;"°"&amp;$B31&amp;O$1&amp;1&amp;$A31,$B31&amp;"°"&amp;O$1&amp;"°"&amp;$A31),[1]Hoja1!$A:$O,15,0))</f>
        <v xml:space="preserve">SANCHEZ CARLOS </v>
      </c>
      <c r="P31" s="52" t="str">
        <f>IF($J31="Formación Técnica Específica",VLOOKUP(IF($J31="Formación Técnica Específica",$B31&amp;"°"&amp;O$1&amp;"°"&amp;$B31&amp;O$1&amp;1&amp;$A31,$B31&amp;"°"&amp;O$1&amp;"°"&amp;$A31),[1]Hoja1!$A:$O,15,0)," ")</f>
        <v xml:space="preserve"> </v>
      </c>
      <c r="Q31" s="44" t="str">
        <f>IF($J31="Formación Técnica Específica",VLOOKUP(IF($J31="Formación Técnica Específica",$B31&amp;"°"&amp;Q$1&amp;"°"&amp;$B31&amp;Q$1&amp;1&amp;$A31,$B31&amp;"°"&amp;Q$1&amp;"°"&amp;$A31),[1]Hoja1!$A:$O,15,0),VLOOKUP(IF($J31="Formación Técnica Específica",$B31&amp;"°"&amp;Q$1&amp;"°"&amp;$B31&amp;Q$1&amp;1&amp;$A31,$B31&amp;"°"&amp;Q$1&amp;"°"&amp;$A31),[1]Hoja1!$A:$O,15,0))</f>
        <v>DE LA FUENTE F.</v>
      </c>
      <c r="R31" s="52" t="str">
        <f>IF($J31="Formación Técnica Específica",VLOOKUP(IF($J31="Formación Técnica Específica",$B31&amp;"°"&amp;Q$1&amp;"°"&amp;$B31&amp;Q$1&amp;1&amp;$A31,$B31&amp;"°"&amp;Q$1&amp;"°"&amp;$A31),[1]Hoja1!$A:$O,15,0)," ")</f>
        <v xml:space="preserve"> </v>
      </c>
      <c r="S31" s="44" t="str">
        <f>IF($J31="Formación Técnica Específica",VLOOKUP(IF($J31="Formación Técnica Específica",$B31&amp;"°"&amp;S$1&amp;"°"&amp;$B31&amp;S$1&amp;1&amp;$A31,$B31&amp;"°"&amp;S$1&amp;"°"&amp;$A31),[1]Hoja1!$A:$O,15,0),VLOOKUP(IF($J31="Formación Técnica Específica",$B31&amp;"°"&amp;S$1&amp;"°"&amp;$B31&amp;S$1&amp;1&amp;$A31,$B31&amp;"°"&amp;S$1&amp;"°"&amp;$A31),[1]Hoja1!$A:$O,15,0))</f>
        <v xml:space="preserve">RIOS, LEONARDO  </v>
      </c>
      <c r="T31" s="52" t="str">
        <f>IF($J31="Formación Técnica Específica",VLOOKUP(IF($J31="Formación Técnica Específica",$B31&amp;"°"&amp;S$1&amp;"°"&amp;$B31&amp;S$1&amp;1&amp;$A31,$B31&amp;"°"&amp;S$1&amp;"°"&amp;$A31),[1]Hoja1!$A:$O,15,0)," ")</f>
        <v xml:space="preserve"> </v>
      </c>
      <c r="U31" s="44" t="str">
        <f>IF($J31="Formación Técnica Específica",VLOOKUP(IF($J31="Formación Técnica Específica",$B31&amp;"°"&amp;U$1&amp;"°"&amp;$B31&amp;U$1&amp;1&amp;$A31,$B31&amp;"°"&amp;U$1&amp;"°"&amp;$A31),[1]Hoja1!$A:$O,15,0),VLOOKUP(IF($J31="Formación Técnica Específica",$B31&amp;"°"&amp;U$1&amp;"°"&amp;$B31&amp;U$1&amp;1&amp;$A31,$B31&amp;"°"&amp;U$1&amp;"°"&amp;$A31),[1]Hoja1!$A:$O,15,0))</f>
        <v>PERALTA ARIANA INT 2026</v>
      </c>
      <c r="V31" s="52" t="str">
        <f>IF($J31="Formación Técnica Específica",VLOOKUP(IF($J31="Formación Técnica Específica",$B31&amp;"°"&amp;U$1&amp;"°"&amp;$B31&amp;U$1&amp;1&amp;$A31,$B31&amp;"°"&amp;U$1&amp;"°"&amp;$A31),[1]Hoja1!$A:$O,15,0)," ")</f>
        <v xml:space="preserve"> </v>
      </c>
      <c r="W31" s="44" t="str">
        <f>IF($J31="Formación Técnica Específica",VLOOKUP(IF($J31="Formación Técnica Específica",$B31&amp;"°"&amp;W$1&amp;"°"&amp;$B31&amp;W$1&amp;1&amp;$A31,$B31&amp;"°"&amp;W$1&amp;"°"&amp;$A31),[1]Hoja1!$A:$O,15,0),VLOOKUP(IF($J31="Formación Técnica Específica",$B31&amp;"°"&amp;W$1&amp;"°"&amp;$B31&amp;W$1&amp;1&amp;$A31,$B31&amp;"°"&amp;W$1&amp;"°"&amp;$A31),[1]Hoja1!$A:$O,15,0))</f>
        <v xml:space="preserve">LUDUEÑA NELSON </v>
      </c>
      <c r="X31" s="52" t="str">
        <f>IF($J31="Formación Técnica Específica",VLOOKUP(IF($J31="Formación Técnica Específica",$B31&amp;"°"&amp;W$1&amp;"°"&amp;$B31&amp;W$1&amp;1&amp;$A31,$B31&amp;"°"&amp;W$1&amp;"°"&amp;$A31),[1]Hoja1!$A:$O,15,0)," ")</f>
        <v xml:space="preserve"> </v>
      </c>
    </row>
    <row r="32" spans="1:24" x14ac:dyDescent="0.25">
      <c r="A32" s="30" t="str">
        <f t="shared" si="4"/>
        <v>3FI/QUI</v>
      </c>
      <c r="B32" s="4">
        <v>3</v>
      </c>
      <c r="C32" s="4" t="s">
        <v>10</v>
      </c>
      <c r="D32" s="4"/>
      <c r="E32" s="7" t="s">
        <v>11</v>
      </c>
      <c r="F32" s="3">
        <v>5</v>
      </c>
      <c r="G32" s="4" t="s">
        <v>43</v>
      </c>
      <c r="H32" s="4" t="s">
        <v>44</v>
      </c>
      <c r="I32" s="3">
        <v>2</v>
      </c>
      <c r="J32" s="6" t="s">
        <v>14</v>
      </c>
      <c r="K32" s="31" t="s">
        <v>45</v>
      </c>
      <c r="L32" t="str">
        <f t="shared" si="1"/>
        <v>3°5</v>
      </c>
      <c r="M32" s="31"/>
      <c r="N32" s="63" t="str">
        <f t="shared" si="2"/>
        <v>3°5</v>
      </c>
      <c r="O32" s="44" t="str">
        <f>IF($J32="Formación Técnica Específica",VLOOKUP(IF($J32="Formación Técnica Específica",$B32&amp;"°"&amp;O$1&amp;"°"&amp;$B32&amp;O$1&amp;1&amp;$A32,$B32&amp;"°"&amp;O$1&amp;"°"&amp;$A32),[1]Hoja1!$A:$O,15,0),VLOOKUP(IF($J32="Formación Técnica Específica",$B32&amp;"°"&amp;O$1&amp;"°"&amp;$B32&amp;O$1&amp;1&amp;$A32,$B32&amp;"°"&amp;O$1&amp;"°"&amp;$A32),[1]Hoja1!$A:$O,15,0))</f>
        <v xml:space="preserve">ESPINDOLA SERGIO                          </v>
      </c>
      <c r="P32" s="52" t="str">
        <f>IF($J32="Formación Técnica Específica",VLOOKUP(IF($J32="Formación Técnica Específica",$B32&amp;"°"&amp;O$1&amp;"°"&amp;$B32&amp;O$1&amp;1&amp;$A32,$B32&amp;"°"&amp;O$1&amp;"°"&amp;$A32),[1]Hoja1!$A:$O,15,0)," ")</f>
        <v xml:space="preserve"> </v>
      </c>
      <c r="Q32" s="44" t="str">
        <f>IF($J32="Formación Técnica Específica",VLOOKUP(IF($J32="Formación Técnica Específica",$B32&amp;"°"&amp;Q$1&amp;"°"&amp;$B32&amp;Q$1&amp;1&amp;$A32,$B32&amp;"°"&amp;Q$1&amp;"°"&amp;$A32),[1]Hoja1!$A:$O,15,0),VLOOKUP(IF($J32="Formación Técnica Específica",$B32&amp;"°"&amp;Q$1&amp;"°"&amp;$B32&amp;Q$1&amp;1&amp;$A32,$B32&amp;"°"&amp;Q$1&amp;"°"&amp;$A32),[1]Hoja1!$A:$O,15,0))</f>
        <v xml:space="preserve">AGUIRRE VALERIA </v>
      </c>
      <c r="R32" s="52" t="str">
        <f>IF($J32="Formación Técnica Específica",VLOOKUP(IF($J32="Formación Técnica Específica",$B32&amp;"°"&amp;Q$1&amp;"°"&amp;$B32&amp;Q$1&amp;1&amp;$A32,$B32&amp;"°"&amp;Q$1&amp;"°"&amp;$A32),[1]Hoja1!$A:$O,15,0)," ")</f>
        <v xml:space="preserve"> </v>
      </c>
      <c r="S32" s="44" t="str">
        <f>IF($J32="Formación Técnica Específica",VLOOKUP(IF($J32="Formación Técnica Específica",$B32&amp;"°"&amp;S$1&amp;"°"&amp;$B32&amp;S$1&amp;1&amp;$A32,$B32&amp;"°"&amp;S$1&amp;"°"&amp;$A32),[1]Hoja1!$A:$O,15,0),VLOOKUP(IF($J32="Formación Técnica Específica",$B32&amp;"°"&amp;S$1&amp;"°"&amp;$B32&amp;S$1&amp;1&amp;$A32,$B32&amp;"°"&amp;S$1&amp;"°"&amp;$A32),[1]Hoja1!$A:$O,15,0))</f>
        <v xml:space="preserve"> MARTINEZ CARLA</v>
      </c>
      <c r="T32" s="52" t="str">
        <f>IF($J32="Formación Técnica Específica",VLOOKUP(IF($J32="Formación Técnica Específica",$B32&amp;"°"&amp;S$1&amp;"°"&amp;$B32&amp;S$1&amp;1&amp;$A32,$B32&amp;"°"&amp;S$1&amp;"°"&amp;$A32),[1]Hoja1!$A:$O,15,0)," ")</f>
        <v xml:space="preserve"> </v>
      </c>
      <c r="U32" s="44" t="str">
        <f>IF($J32="Formación Técnica Específica",VLOOKUP(IF($J32="Formación Técnica Específica",$B32&amp;"°"&amp;U$1&amp;"°"&amp;$B32&amp;U$1&amp;1&amp;$A32,$B32&amp;"°"&amp;U$1&amp;"°"&amp;$A32),[1]Hoja1!$A:$O,15,0),VLOOKUP(IF($J32="Formación Técnica Específica",$B32&amp;"°"&amp;U$1&amp;"°"&amp;$B32&amp;U$1&amp;1&amp;$A32,$B32&amp;"°"&amp;U$1&amp;"°"&amp;$A32),[1]Hoja1!$A:$O,15,0))</f>
        <v xml:space="preserve">PORQUERES, MATIAS </v>
      </c>
      <c r="V32" s="52" t="str">
        <f>IF($J32="Formación Técnica Específica",VLOOKUP(IF($J32="Formación Técnica Específica",$B32&amp;"°"&amp;U$1&amp;"°"&amp;$B32&amp;U$1&amp;1&amp;$A32,$B32&amp;"°"&amp;U$1&amp;"°"&amp;$A32),[1]Hoja1!$A:$O,15,0)," ")</f>
        <v xml:space="preserve"> </v>
      </c>
      <c r="W32" s="44" t="str">
        <f>IF($J32="Formación Técnica Específica",VLOOKUP(IF($J32="Formación Técnica Específica",$B32&amp;"°"&amp;W$1&amp;"°"&amp;$B32&amp;W$1&amp;1&amp;$A32,$B32&amp;"°"&amp;W$1&amp;"°"&amp;$A32),[1]Hoja1!$A:$O,15,0),VLOOKUP(IF($J32="Formación Técnica Específica",$B32&amp;"°"&amp;W$1&amp;"°"&amp;$B32&amp;W$1&amp;1&amp;$A32,$B32&amp;"°"&amp;W$1&amp;"°"&amp;$A32),[1]Hoja1!$A:$O,15,0))</f>
        <v>CANTONI PABLO MARTIN</v>
      </c>
      <c r="X32" s="52" t="str">
        <f>IF($J32="Formación Técnica Específica",VLOOKUP(IF($J32="Formación Técnica Específica",$B32&amp;"°"&amp;W$1&amp;"°"&amp;$B32&amp;W$1&amp;1&amp;$A32,$B32&amp;"°"&amp;W$1&amp;"°"&amp;$A32),[1]Hoja1!$A:$O,15,0)," ")</f>
        <v xml:space="preserve"> </v>
      </c>
    </row>
    <row r="33" spans="1:24" x14ac:dyDescent="0.25">
      <c r="A33" s="30" t="str">
        <f t="shared" si="4"/>
        <v>3GEO</v>
      </c>
      <c r="B33" s="4">
        <v>3</v>
      </c>
      <c r="C33" s="4" t="s">
        <v>10</v>
      </c>
      <c r="D33" s="4"/>
      <c r="E33" s="7" t="s">
        <v>11</v>
      </c>
      <c r="F33" s="3">
        <v>6</v>
      </c>
      <c r="G33" s="4" t="s">
        <v>46</v>
      </c>
      <c r="H33" s="4" t="s">
        <v>47</v>
      </c>
      <c r="I33" s="3">
        <v>2</v>
      </c>
      <c r="J33" s="6" t="s">
        <v>14</v>
      </c>
      <c r="K33" s="31" t="s">
        <v>48</v>
      </c>
      <c r="L33" t="str">
        <f t="shared" si="1"/>
        <v>3°6</v>
      </c>
      <c r="M33" s="31"/>
      <c r="N33" s="63" t="str">
        <f t="shared" si="2"/>
        <v>3°6</v>
      </c>
      <c r="O33" s="44" t="str">
        <f>IF($J33="Formación Técnica Específica",VLOOKUP(IF($J33="Formación Técnica Específica",$B33&amp;"°"&amp;O$1&amp;"°"&amp;$B33&amp;O$1&amp;1&amp;$A33,$B33&amp;"°"&amp;O$1&amp;"°"&amp;$A33),[1]Hoja1!$A:$O,15,0),VLOOKUP(IF($J33="Formación Técnica Específica",$B33&amp;"°"&amp;O$1&amp;"°"&amp;$B33&amp;O$1&amp;1&amp;$A33,$B33&amp;"°"&amp;O$1&amp;"°"&amp;$A33),[1]Hoja1!$A:$O,15,0))</f>
        <v>ANTONELLO, FERNANDO</v>
      </c>
      <c r="P33" s="52" t="str">
        <f>IF($J33="Formación Técnica Específica",VLOOKUP(IF($J33="Formación Técnica Específica",$B33&amp;"°"&amp;O$1&amp;"°"&amp;$B33&amp;O$1&amp;1&amp;$A33,$B33&amp;"°"&amp;O$1&amp;"°"&amp;$A33),[1]Hoja1!$A:$O,15,0)," ")</f>
        <v xml:space="preserve"> </v>
      </c>
      <c r="Q33" s="44" t="str">
        <f>IF($J33="Formación Técnica Específica",VLOOKUP(IF($J33="Formación Técnica Específica",$B33&amp;"°"&amp;Q$1&amp;"°"&amp;$B33&amp;Q$1&amp;1&amp;$A33,$B33&amp;"°"&amp;Q$1&amp;"°"&amp;$A33),[1]Hoja1!$A:$O,15,0),VLOOKUP(IF($J33="Formación Técnica Específica",$B33&amp;"°"&amp;Q$1&amp;"°"&amp;$B33&amp;Q$1&amp;1&amp;$A33,$B33&amp;"°"&amp;Q$1&amp;"°"&amp;$A33),[1]Hoja1!$A:$O,15,0))</f>
        <v>MALDONADO DAIANA</v>
      </c>
      <c r="R33" s="52" t="str">
        <f>IF($J33="Formación Técnica Específica",VLOOKUP(IF($J33="Formación Técnica Específica",$B33&amp;"°"&amp;Q$1&amp;"°"&amp;$B33&amp;Q$1&amp;1&amp;$A33,$B33&amp;"°"&amp;Q$1&amp;"°"&amp;$A33),[1]Hoja1!$A:$O,15,0)," ")</f>
        <v xml:space="preserve"> </v>
      </c>
      <c r="S33" s="44" t="str">
        <f>IF($J33="Formación Técnica Específica",VLOOKUP(IF($J33="Formación Técnica Específica",$B33&amp;"°"&amp;S$1&amp;"°"&amp;$B33&amp;S$1&amp;1&amp;$A33,$B33&amp;"°"&amp;S$1&amp;"°"&amp;$A33),[1]Hoja1!$A:$O,15,0),VLOOKUP(IF($J33="Formación Técnica Específica",$B33&amp;"°"&amp;S$1&amp;"°"&amp;$B33&amp;S$1&amp;1&amp;$A33,$B33&amp;"°"&amp;S$1&amp;"°"&amp;$A33),[1]Hoja1!$A:$O,15,0))</f>
        <v xml:space="preserve">SPERONI ADRIAN  </v>
      </c>
      <c r="T33" s="52" t="str">
        <f>IF($J33="Formación Técnica Específica",VLOOKUP(IF($J33="Formación Técnica Específica",$B33&amp;"°"&amp;S$1&amp;"°"&amp;$B33&amp;S$1&amp;1&amp;$A33,$B33&amp;"°"&amp;S$1&amp;"°"&amp;$A33),[1]Hoja1!$A:$O,15,0)," ")</f>
        <v xml:space="preserve"> </v>
      </c>
      <c r="U33" s="44" t="str">
        <f>IF($J33="Formación Técnica Específica",VLOOKUP(IF($J33="Formación Técnica Específica",$B33&amp;"°"&amp;U$1&amp;"°"&amp;$B33&amp;U$1&amp;1&amp;$A33,$B33&amp;"°"&amp;U$1&amp;"°"&amp;$A33),[1]Hoja1!$A:$O,15,0),VLOOKUP(IF($J33="Formación Técnica Específica",$B33&amp;"°"&amp;U$1&amp;"°"&amp;$B33&amp;U$1&amp;1&amp;$A33,$B33&amp;"°"&amp;U$1&amp;"°"&amp;$A33),[1]Hoja1!$A:$O,15,0))</f>
        <v>ANTONELLO FERNANDO                          20-24.636.852-0</v>
      </c>
      <c r="V33" s="52" t="str">
        <f>IF($J33="Formación Técnica Específica",VLOOKUP(IF($J33="Formación Técnica Específica",$B33&amp;"°"&amp;U$1&amp;"°"&amp;$B33&amp;U$1&amp;1&amp;$A33,$B33&amp;"°"&amp;U$1&amp;"°"&amp;$A33),[1]Hoja1!$A:$O,15,0)," ")</f>
        <v xml:space="preserve"> </v>
      </c>
      <c r="W33" s="44" t="str">
        <f>IF($J33="Formación Técnica Específica",VLOOKUP(IF($J33="Formación Técnica Específica",$B33&amp;"°"&amp;W$1&amp;"°"&amp;$B33&amp;W$1&amp;1&amp;$A33,$B33&amp;"°"&amp;W$1&amp;"°"&amp;$A33),[1]Hoja1!$A:$O,15,0),VLOOKUP(IF($J33="Formación Técnica Específica",$B33&amp;"°"&amp;W$1&amp;"°"&amp;$B33&amp;W$1&amp;1&amp;$A33,$B33&amp;"°"&amp;W$1&amp;"°"&amp;$A33),[1]Hoja1!$A:$O,15,0))</f>
        <v xml:space="preserve"> ROJAS SOLEDAD</v>
      </c>
      <c r="X33" s="52" t="str">
        <f>IF($J33="Formación Técnica Específica",VLOOKUP(IF($J33="Formación Técnica Específica",$B33&amp;"°"&amp;W$1&amp;"°"&amp;$B33&amp;W$1&amp;1&amp;$A33,$B33&amp;"°"&amp;W$1&amp;"°"&amp;$A33),[1]Hoja1!$A:$O,15,0)," ")</f>
        <v xml:space="preserve"> </v>
      </c>
    </row>
    <row r="34" spans="1:24" x14ac:dyDescent="0.25">
      <c r="A34" s="30" t="str">
        <f t="shared" si="4"/>
        <v>3HIS</v>
      </c>
      <c r="B34" s="4">
        <v>3</v>
      </c>
      <c r="C34" s="4" t="s">
        <v>10</v>
      </c>
      <c r="D34" s="4"/>
      <c r="E34" s="7" t="s">
        <v>11</v>
      </c>
      <c r="F34" s="3">
        <v>7</v>
      </c>
      <c r="G34" s="4" t="s">
        <v>49</v>
      </c>
      <c r="H34" s="4" t="s">
        <v>50</v>
      </c>
      <c r="I34" s="3">
        <v>2</v>
      </c>
      <c r="J34" s="6" t="s">
        <v>14</v>
      </c>
      <c r="K34" s="31" t="s">
        <v>51</v>
      </c>
      <c r="L34" t="str">
        <f t="shared" si="1"/>
        <v>3°7</v>
      </c>
      <c r="M34" s="31"/>
      <c r="N34" s="63" t="str">
        <f t="shared" si="2"/>
        <v>3°7</v>
      </c>
      <c r="O34" s="44" t="str">
        <f>IF($J34="Formación Técnica Específica",VLOOKUP(IF($J34="Formación Técnica Específica",$B34&amp;"°"&amp;O$1&amp;"°"&amp;$B34&amp;O$1&amp;1&amp;$A34,$B34&amp;"°"&amp;O$1&amp;"°"&amp;$A34),[1]Hoja1!$A:$O,15,0),VLOOKUP(IF($J34="Formación Técnica Específica",$B34&amp;"°"&amp;O$1&amp;"°"&amp;$B34&amp;O$1&amp;1&amp;$A34,$B34&amp;"°"&amp;O$1&amp;"°"&amp;$A34),[1]Hoja1!$A:$O,15,0))</f>
        <v>JUAREZ NORMA</v>
      </c>
      <c r="P34" s="52" t="str">
        <f>IF($J34="Formación Técnica Específica",VLOOKUP(IF($J34="Formación Técnica Específica",$B34&amp;"°"&amp;O$1&amp;"°"&amp;$B34&amp;O$1&amp;1&amp;$A34,$B34&amp;"°"&amp;O$1&amp;"°"&amp;$A34),[1]Hoja1!$A:$O,15,0)," ")</f>
        <v xml:space="preserve"> </v>
      </c>
      <c r="Q34" s="44" t="str">
        <f>IF($J34="Formación Técnica Específica",VLOOKUP(IF($J34="Formación Técnica Específica",$B34&amp;"°"&amp;Q$1&amp;"°"&amp;$B34&amp;Q$1&amp;1&amp;$A34,$B34&amp;"°"&amp;Q$1&amp;"°"&amp;$A34),[1]Hoja1!$A:$O,15,0),VLOOKUP(IF($J34="Formación Técnica Específica",$B34&amp;"°"&amp;Q$1&amp;"°"&amp;$B34&amp;Q$1&amp;1&amp;$A34,$B34&amp;"°"&amp;Q$1&amp;"°"&amp;$A34),[1]Hoja1!$A:$O,15,0))</f>
        <v xml:space="preserve">TORRES LUIS                    </v>
      </c>
      <c r="R34" s="52" t="str">
        <f>IF($J34="Formación Técnica Específica",VLOOKUP(IF($J34="Formación Técnica Específica",$B34&amp;"°"&amp;Q$1&amp;"°"&amp;$B34&amp;Q$1&amp;1&amp;$A34,$B34&amp;"°"&amp;Q$1&amp;"°"&amp;$A34),[1]Hoja1!$A:$O,15,0)," ")</f>
        <v xml:space="preserve"> </v>
      </c>
      <c r="S34" s="44" t="str">
        <f>IF($J34="Formación Técnica Específica",VLOOKUP(IF($J34="Formación Técnica Específica",$B34&amp;"°"&amp;S$1&amp;"°"&amp;$B34&amp;S$1&amp;1&amp;$A34,$B34&amp;"°"&amp;S$1&amp;"°"&amp;$A34),[1]Hoja1!$A:$O,15,0),VLOOKUP(IF($J34="Formación Técnica Específica",$B34&amp;"°"&amp;S$1&amp;"°"&amp;$B34&amp;S$1&amp;1&amp;$A34,$B34&amp;"°"&amp;S$1&amp;"°"&amp;$A34),[1]Hoja1!$A:$O,15,0))</f>
        <v xml:space="preserve">TORRES LUIS                    </v>
      </c>
      <c r="T34" s="52" t="str">
        <f>IF($J34="Formación Técnica Específica",VLOOKUP(IF($J34="Formación Técnica Específica",$B34&amp;"°"&amp;S$1&amp;"°"&amp;$B34&amp;S$1&amp;1&amp;$A34,$B34&amp;"°"&amp;S$1&amp;"°"&amp;$A34),[1]Hoja1!$A:$O,15,0)," ")</f>
        <v xml:space="preserve"> </v>
      </c>
      <c r="U34" s="44" t="str">
        <f>IF($J34="Formación Técnica Específica",VLOOKUP(IF($J34="Formación Técnica Específica",$B34&amp;"°"&amp;U$1&amp;"°"&amp;$B34&amp;U$1&amp;1&amp;$A34,$B34&amp;"°"&amp;U$1&amp;"°"&amp;$A34),[1]Hoja1!$A:$O,15,0),VLOOKUP(IF($J34="Formación Técnica Específica",$B34&amp;"°"&amp;U$1&amp;"°"&amp;$B34&amp;U$1&amp;1&amp;$A34,$B34&amp;"°"&amp;U$1&amp;"°"&amp;$A34),[1]Hoja1!$A:$O,15,0))</f>
        <v xml:space="preserve">TORRES LUIS                    </v>
      </c>
      <c r="V34" s="52" t="str">
        <f>IF($J34="Formación Técnica Específica",VLOOKUP(IF($J34="Formación Técnica Específica",$B34&amp;"°"&amp;U$1&amp;"°"&amp;$B34&amp;U$1&amp;1&amp;$A34,$B34&amp;"°"&amp;U$1&amp;"°"&amp;$A34),[1]Hoja1!$A:$O,15,0)," ")</f>
        <v xml:space="preserve"> </v>
      </c>
      <c r="W34" s="44" t="str">
        <f>IF($J34="Formación Técnica Específica",VLOOKUP(IF($J34="Formación Técnica Específica",$B34&amp;"°"&amp;W$1&amp;"°"&amp;$B34&amp;W$1&amp;1&amp;$A34,$B34&amp;"°"&amp;W$1&amp;"°"&amp;$A34),[1]Hoja1!$A:$O,15,0),VLOOKUP(IF($J34="Formación Técnica Específica",$B34&amp;"°"&amp;W$1&amp;"°"&amp;$B34&amp;W$1&amp;1&amp;$A34,$B34&amp;"°"&amp;W$1&amp;"°"&amp;$A34),[1]Hoja1!$A:$O,15,0))</f>
        <v xml:space="preserve">LOPEZ MARINA  </v>
      </c>
      <c r="X34" s="52" t="str">
        <f>IF($J34="Formación Técnica Específica",VLOOKUP(IF($J34="Formación Técnica Específica",$B34&amp;"°"&amp;W$1&amp;"°"&amp;$B34&amp;W$1&amp;1&amp;$A34,$B34&amp;"°"&amp;W$1&amp;"°"&amp;$A34),[1]Hoja1!$A:$O,15,0)," ")</f>
        <v xml:space="preserve"> </v>
      </c>
    </row>
    <row r="35" spans="1:24" x14ac:dyDescent="0.25">
      <c r="A35" s="30" t="str">
        <f t="shared" si="4"/>
        <v>3ING</v>
      </c>
      <c r="B35" s="4">
        <v>3</v>
      </c>
      <c r="C35" s="4" t="s">
        <v>10</v>
      </c>
      <c r="D35" s="4"/>
      <c r="E35" s="7" t="s">
        <v>11</v>
      </c>
      <c r="F35" s="3">
        <v>8</v>
      </c>
      <c r="G35" s="4" t="s">
        <v>22</v>
      </c>
      <c r="H35" s="4" t="s">
        <v>23</v>
      </c>
      <c r="I35" s="3">
        <v>2</v>
      </c>
      <c r="J35" s="6" t="s">
        <v>14</v>
      </c>
      <c r="K35" s="31" t="s">
        <v>170</v>
      </c>
      <c r="L35" t="str">
        <f t="shared" si="1"/>
        <v>3°8</v>
      </c>
      <c r="M35" s="31"/>
      <c r="N35" s="63" t="str">
        <f t="shared" si="2"/>
        <v>3°8</v>
      </c>
      <c r="O35" s="44" t="str">
        <f>IF($J35="Formación Técnica Específica",VLOOKUP(IF($J35="Formación Técnica Específica",$B35&amp;"°"&amp;O$1&amp;"°"&amp;$B35&amp;O$1&amp;1&amp;$A35,$B35&amp;"°"&amp;O$1&amp;"°"&amp;$A35),[1]Hoja1!$A:$O,15,0),VLOOKUP(IF($J35="Formación Técnica Específica",$B35&amp;"°"&amp;O$1&amp;"°"&amp;$B35&amp;O$1&amp;1&amp;$A35,$B35&amp;"°"&amp;O$1&amp;"°"&amp;$A35),[1]Hoja1!$A:$O,15,0))</f>
        <v xml:space="preserve">BONELLI PAMELA   </v>
      </c>
      <c r="P35" s="52" t="str">
        <f>IF($J35="Formación Técnica Específica",VLOOKUP(IF($J35="Formación Técnica Específica",$B35&amp;"°"&amp;O$1&amp;"°"&amp;$B35&amp;O$1&amp;1&amp;$A35,$B35&amp;"°"&amp;O$1&amp;"°"&amp;$A35),[1]Hoja1!$A:$O,15,0)," ")</f>
        <v xml:space="preserve"> </v>
      </c>
      <c r="Q35" s="44" t="str">
        <f>IF($J35="Formación Técnica Específica",VLOOKUP(IF($J35="Formación Técnica Específica",$B35&amp;"°"&amp;Q$1&amp;"°"&amp;$B35&amp;Q$1&amp;1&amp;$A35,$B35&amp;"°"&amp;Q$1&amp;"°"&amp;$A35),[1]Hoja1!$A:$O,15,0),VLOOKUP(IF($J35="Formación Técnica Específica",$B35&amp;"°"&amp;Q$1&amp;"°"&amp;$B35&amp;Q$1&amp;1&amp;$A35,$B35&amp;"°"&amp;Q$1&amp;"°"&amp;$A35),[1]Hoja1!$A:$O,15,0))</f>
        <v xml:space="preserve">ARCE KARINA </v>
      </c>
      <c r="R35" s="52" t="str">
        <f>IF($J35="Formación Técnica Específica",VLOOKUP(IF($J35="Formación Técnica Específica",$B35&amp;"°"&amp;Q$1&amp;"°"&amp;$B35&amp;Q$1&amp;1&amp;$A35,$B35&amp;"°"&amp;Q$1&amp;"°"&amp;$A35),[1]Hoja1!$A:$O,15,0)," ")</f>
        <v xml:space="preserve"> </v>
      </c>
      <c r="S35" s="44" t="str">
        <f>IF($J35="Formación Técnica Específica",VLOOKUP(IF($J35="Formación Técnica Específica",$B35&amp;"°"&amp;S$1&amp;"°"&amp;$B35&amp;S$1&amp;1&amp;$A35,$B35&amp;"°"&amp;S$1&amp;"°"&amp;$A35),[1]Hoja1!$A:$O,15,0),VLOOKUP(IF($J35="Formación Técnica Específica",$B35&amp;"°"&amp;S$1&amp;"°"&amp;$B35&amp;S$1&amp;1&amp;$A35,$B35&amp;"°"&amp;S$1&amp;"°"&amp;$A35),[1]Hoja1!$A:$O,15,0))</f>
        <v xml:space="preserve">LEGUIZAMON ANA </v>
      </c>
      <c r="T35" s="52" t="str">
        <f>IF($J35="Formación Técnica Específica",VLOOKUP(IF($J35="Formación Técnica Específica",$B35&amp;"°"&amp;S$1&amp;"°"&amp;$B35&amp;S$1&amp;1&amp;$A35,$B35&amp;"°"&amp;S$1&amp;"°"&amp;$A35),[1]Hoja1!$A:$O,15,0)," ")</f>
        <v xml:space="preserve"> </v>
      </c>
      <c r="U35" s="44" t="str">
        <f>IF($J35="Formación Técnica Específica",VLOOKUP(IF($J35="Formación Técnica Específica",$B35&amp;"°"&amp;U$1&amp;"°"&amp;$B35&amp;U$1&amp;1&amp;$A35,$B35&amp;"°"&amp;U$1&amp;"°"&amp;$A35),[1]Hoja1!$A:$O,15,0),VLOOKUP(IF($J35="Formación Técnica Específica",$B35&amp;"°"&amp;U$1&amp;"°"&amp;$B35&amp;U$1&amp;1&amp;$A35,$B35&amp;"°"&amp;U$1&amp;"°"&amp;$A35),[1]Hoja1!$A:$O,15,0))</f>
        <v xml:space="preserve"> SUAVE ROMINA R</v>
      </c>
      <c r="V35" s="52" t="str">
        <f>IF($J35="Formación Técnica Específica",VLOOKUP(IF($J35="Formación Técnica Específica",$B35&amp;"°"&amp;U$1&amp;"°"&amp;$B35&amp;U$1&amp;1&amp;$A35,$B35&amp;"°"&amp;U$1&amp;"°"&amp;$A35),[1]Hoja1!$A:$O,15,0)," ")</f>
        <v xml:space="preserve"> </v>
      </c>
      <c r="W35" s="44" t="str">
        <f>IF($J35="Formación Técnica Específica",VLOOKUP(IF($J35="Formación Técnica Específica",$B35&amp;"°"&amp;W$1&amp;"°"&amp;$B35&amp;W$1&amp;1&amp;$A35,$B35&amp;"°"&amp;W$1&amp;"°"&amp;$A35),[1]Hoja1!$A:$O,15,0),VLOOKUP(IF($J35="Formación Técnica Específica",$B35&amp;"°"&amp;W$1&amp;"°"&amp;$B35&amp;W$1&amp;1&amp;$A35,$B35&amp;"°"&amp;W$1&amp;"°"&amp;$A35),[1]Hoja1!$A:$O,15,0))</f>
        <v>LOPEZ LILIANA CUIT 27176913881</v>
      </c>
      <c r="X35" s="52" t="str">
        <f>IF($J35="Formación Técnica Específica",VLOOKUP(IF($J35="Formación Técnica Específica",$B35&amp;"°"&amp;W$1&amp;"°"&amp;$B35&amp;W$1&amp;1&amp;$A35,$B35&amp;"°"&amp;W$1&amp;"°"&amp;$A35),[1]Hoja1!$A:$O,15,0)," ")</f>
        <v xml:space="preserve"> </v>
      </c>
    </row>
    <row r="36" spans="1:24" x14ac:dyDescent="0.25">
      <c r="A36" s="30" t="str">
        <f t="shared" si="4"/>
        <v>3MAT</v>
      </c>
      <c r="B36" s="4">
        <v>3</v>
      </c>
      <c r="C36" s="4" t="s">
        <v>10</v>
      </c>
      <c r="D36" s="4"/>
      <c r="E36" s="7" t="s">
        <v>11</v>
      </c>
      <c r="F36" s="3">
        <v>9</v>
      </c>
      <c r="G36" s="4" t="s">
        <v>24</v>
      </c>
      <c r="H36" s="4" t="s">
        <v>25</v>
      </c>
      <c r="I36" s="3">
        <v>4</v>
      </c>
      <c r="J36" s="6" t="s">
        <v>14</v>
      </c>
      <c r="K36" s="31" t="s">
        <v>26</v>
      </c>
      <c r="L36" t="str">
        <f t="shared" si="1"/>
        <v>3°9</v>
      </c>
      <c r="M36" s="31"/>
      <c r="N36" s="63" t="str">
        <f t="shared" si="2"/>
        <v>3°9</v>
      </c>
      <c r="O36" s="44" t="str">
        <f>IF($J36="Formación Técnica Específica",VLOOKUP(IF($J36="Formación Técnica Específica",$B36&amp;"°"&amp;O$1&amp;"°"&amp;$B36&amp;O$1&amp;1&amp;$A36,$B36&amp;"°"&amp;O$1&amp;"°"&amp;$A36),[1]Hoja1!$A:$O,15,0),VLOOKUP(IF($J36="Formación Técnica Específica",$B36&amp;"°"&amp;O$1&amp;"°"&amp;$B36&amp;O$1&amp;1&amp;$A36,$B36&amp;"°"&amp;O$1&amp;"°"&amp;$A36),[1]Hoja1!$A:$O,15,0))</f>
        <v xml:space="preserve"> MAZU LEILA ANABELLA SOLED</v>
      </c>
      <c r="P36" s="52" t="str">
        <f>IF($J36="Formación Técnica Específica",VLOOKUP(IF($J36="Formación Técnica Específica",$B36&amp;"°"&amp;O$1&amp;"°"&amp;$B36&amp;O$1&amp;1&amp;$A36,$B36&amp;"°"&amp;O$1&amp;"°"&amp;$A36),[1]Hoja1!$A:$O,15,0)," ")</f>
        <v xml:space="preserve"> </v>
      </c>
      <c r="Q36" s="44" t="str">
        <f>IF($J36="Formación Técnica Específica",VLOOKUP(IF($J36="Formación Técnica Específica",$B36&amp;"°"&amp;Q$1&amp;"°"&amp;$B36&amp;Q$1&amp;1&amp;$A36,$B36&amp;"°"&amp;Q$1&amp;"°"&amp;$A36),[1]Hoja1!$A:$O,15,0),VLOOKUP(IF($J36="Formación Técnica Específica",$B36&amp;"°"&amp;Q$1&amp;"°"&amp;$B36&amp;Q$1&amp;1&amp;$A36,$B36&amp;"°"&amp;Q$1&amp;"°"&amp;$A36),[1]Hoja1!$A:$O,15,0))</f>
        <v xml:space="preserve"> DOMINGUEZ FACUNDO OSVALDO</v>
      </c>
      <c r="R36" s="52" t="str">
        <f>IF($J36="Formación Técnica Específica",VLOOKUP(IF($J36="Formación Técnica Específica",$B36&amp;"°"&amp;Q$1&amp;"°"&amp;$B36&amp;Q$1&amp;1&amp;$A36,$B36&amp;"°"&amp;Q$1&amp;"°"&amp;$A36),[1]Hoja1!$A:$O,15,0)," ")</f>
        <v xml:space="preserve"> </v>
      </c>
      <c r="S36" s="44" t="str">
        <f>IF($J36="Formación Técnica Específica",VLOOKUP(IF($J36="Formación Técnica Específica",$B36&amp;"°"&amp;S$1&amp;"°"&amp;$B36&amp;S$1&amp;1&amp;$A36,$B36&amp;"°"&amp;S$1&amp;"°"&amp;$A36),[1]Hoja1!$A:$O,15,0),VLOOKUP(IF($J36="Formación Técnica Específica",$B36&amp;"°"&amp;S$1&amp;"°"&amp;$B36&amp;S$1&amp;1&amp;$A36,$B36&amp;"°"&amp;S$1&amp;"°"&amp;$A36),[1]Hoja1!$A:$O,15,0))</f>
        <v xml:space="preserve">VARCHETTA, GABRIEL OMAR </v>
      </c>
      <c r="T36" s="52" t="str">
        <f>IF($J36="Formación Técnica Específica",VLOOKUP(IF($J36="Formación Técnica Específica",$B36&amp;"°"&amp;S$1&amp;"°"&amp;$B36&amp;S$1&amp;1&amp;$A36,$B36&amp;"°"&amp;S$1&amp;"°"&amp;$A36),[1]Hoja1!$A:$O,15,0)," ")</f>
        <v xml:space="preserve"> </v>
      </c>
      <c r="U36" s="44" t="str">
        <f>IF($J36="Formación Técnica Específica",VLOOKUP(IF($J36="Formación Técnica Específica",$B36&amp;"°"&amp;U$1&amp;"°"&amp;$B36&amp;U$1&amp;1&amp;$A36,$B36&amp;"°"&amp;U$1&amp;"°"&amp;$A36),[1]Hoja1!$A:$O,15,0),VLOOKUP(IF($J36="Formación Técnica Específica",$B36&amp;"°"&amp;U$1&amp;"°"&amp;$B36&amp;U$1&amp;1&amp;$A36,$B36&amp;"°"&amp;U$1&amp;"°"&amp;$A36),[1]Hoja1!$A:$O,15,0))</f>
        <v xml:space="preserve">GARCIA CLAUDIA </v>
      </c>
      <c r="V36" s="52" t="str">
        <f>IF($J36="Formación Técnica Específica",VLOOKUP(IF($J36="Formación Técnica Específica",$B36&amp;"°"&amp;U$1&amp;"°"&amp;$B36&amp;U$1&amp;1&amp;$A36,$B36&amp;"°"&amp;U$1&amp;"°"&amp;$A36),[1]Hoja1!$A:$O,15,0)," ")</f>
        <v xml:space="preserve"> </v>
      </c>
      <c r="W36" s="44" t="str">
        <f>IF($J36="Formación Técnica Específica",VLOOKUP(IF($J36="Formación Técnica Específica",$B36&amp;"°"&amp;W$1&amp;"°"&amp;$B36&amp;W$1&amp;1&amp;$A36,$B36&amp;"°"&amp;W$1&amp;"°"&amp;$A36),[1]Hoja1!$A:$O,15,0),VLOOKUP(IF($J36="Formación Técnica Específica",$B36&amp;"°"&amp;W$1&amp;"°"&amp;$B36&amp;W$1&amp;1&amp;$A36,$B36&amp;"°"&amp;W$1&amp;"°"&amp;$A36),[1]Hoja1!$A:$O,15,0))</f>
        <v xml:space="preserve"> FERRARIS OJEDA JULIETA MAR</v>
      </c>
      <c r="X36" s="52" t="str">
        <f>IF($J36="Formación Técnica Específica",VLOOKUP(IF($J36="Formación Técnica Específica",$B36&amp;"°"&amp;W$1&amp;"°"&amp;$B36&amp;W$1&amp;1&amp;$A36,$B36&amp;"°"&amp;W$1&amp;"°"&amp;$A36),[1]Hoja1!$A:$O,15,0)," ")</f>
        <v xml:space="preserve"> </v>
      </c>
    </row>
    <row r="37" spans="1:24" x14ac:dyDescent="0.25">
      <c r="A37" s="30" t="str">
        <f t="shared" si="4"/>
        <v>3PLG</v>
      </c>
      <c r="B37" s="4">
        <v>3</v>
      </c>
      <c r="C37" s="4" t="s">
        <v>10</v>
      </c>
      <c r="D37" s="4"/>
      <c r="E37" s="7" t="s">
        <v>11</v>
      </c>
      <c r="F37" s="3">
        <v>10</v>
      </c>
      <c r="G37" s="4" t="s">
        <v>28</v>
      </c>
      <c r="H37" s="4" t="s">
        <v>28</v>
      </c>
      <c r="I37" s="3">
        <v>4</v>
      </c>
      <c r="J37" s="6" t="s">
        <v>14</v>
      </c>
      <c r="K37" s="31" t="s">
        <v>29</v>
      </c>
      <c r="L37" t="str">
        <f t="shared" si="1"/>
        <v>3°10</v>
      </c>
      <c r="M37" s="31"/>
      <c r="N37" s="63" t="str">
        <f t="shared" si="2"/>
        <v>3°10</v>
      </c>
      <c r="O37" s="44" t="str">
        <f>IF($J37="Formación Técnica Específica",VLOOKUP(IF($J37="Formación Técnica Específica",$B37&amp;"°"&amp;O$1&amp;"°"&amp;$B37&amp;O$1&amp;1&amp;$A37,$B37&amp;"°"&amp;O$1&amp;"°"&amp;$A37),[1]Hoja1!$A:$O,15,0),VLOOKUP(IF($J37="Formación Técnica Específica",$B37&amp;"°"&amp;O$1&amp;"°"&amp;$B37&amp;O$1&amp;1&amp;$A37,$B37&amp;"°"&amp;O$1&amp;"°"&amp;$A37),[1]Hoja1!$A:$O,15,0))</f>
        <v>CAÑETE YOHANA</v>
      </c>
      <c r="P37" s="52" t="str">
        <f>IF($J37="Formación Técnica Específica",VLOOKUP(IF($J37="Formación Técnica Específica",$B37&amp;"°"&amp;O$1&amp;"°"&amp;$B37&amp;O$1&amp;1&amp;$A37,$B37&amp;"°"&amp;O$1&amp;"°"&amp;$A37),[1]Hoja1!$A:$O,15,0)," ")</f>
        <v xml:space="preserve"> </v>
      </c>
      <c r="Q37" s="44" t="str">
        <f>IF($J37="Formación Técnica Específica",VLOOKUP(IF($J37="Formación Técnica Específica",$B37&amp;"°"&amp;Q$1&amp;"°"&amp;$B37&amp;Q$1&amp;1&amp;$A37,$B37&amp;"°"&amp;Q$1&amp;"°"&amp;$A37),[1]Hoja1!$A:$O,15,0),VLOOKUP(IF($J37="Formación Técnica Específica",$B37&amp;"°"&amp;Q$1&amp;"°"&amp;$B37&amp;Q$1&amp;1&amp;$A37,$B37&amp;"°"&amp;Q$1&amp;"°"&amp;$A37),[1]Hoja1!$A:$O,15,0))</f>
        <v>GONZALEZ DANIELA</v>
      </c>
      <c r="R37" s="52" t="str">
        <f>IF($J37="Formación Técnica Específica",VLOOKUP(IF($J37="Formación Técnica Específica",$B37&amp;"°"&amp;Q$1&amp;"°"&amp;$B37&amp;Q$1&amp;1&amp;$A37,$B37&amp;"°"&amp;Q$1&amp;"°"&amp;$A37),[1]Hoja1!$A:$O,15,0)," ")</f>
        <v xml:space="preserve"> </v>
      </c>
      <c r="S37" s="44" t="str">
        <f>IF($J37="Formación Técnica Específica",VLOOKUP(IF($J37="Formación Técnica Específica",$B37&amp;"°"&amp;S$1&amp;"°"&amp;$B37&amp;S$1&amp;1&amp;$A37,$B37&amp;"°"&amp;S$1&amp;"°"&amp;$A37),[1]Hoja1!$A:$O,15,0),VLOOKUP(IF($J37="Formación Técnica Específica",$B37&amp;"°"&amp;S$1&amp;"°"&amp;$B37&amp;S$1&amp;1&amp;$A37,$B37&amp;"°"&amp;S$1&amp;"°"&amp;$A37),[1]Hoja1!$A:$O,15,0))</f>
        <v>SANTILLAN ESTELA ISIDORA</v>
      </c>
      <c r="T37" s="52" t="str">
        <f>IF($J37="Formación Técnica Específica",VLOOKUP(IF($J37="Formación Técnica Específica",$B37&amp;"°"&amp;S$1&amp;"°"&amp;$B37&amp;S$1&amp;1&amp;$A37,$B37&amp;"°"&amp;S$1&amp;"°"&amp;$A37),[1]Hoja1!$A:$O,15,0)," ")</f>
        <v xml:space="preserve"> </v>
      </c>
      <c r="U37" s="44" t="str">
        <f>IF($J37="Formación Técnica Específica",VLOOKUP(IF($J37="Formación Técnica Específica",$B37&amp;"°"&amp;U$1&amp;"°"&amp;$B37&amp;U$1&amp;1&amp;$A37,$B37&amp;"°"&amp;U$1&amp;"°"&amp;$A37),[1]Hoja1!$A:$O,15,0),VLOOKUP(IF($J37="Formación Técnica Específica",$B37&amp;"°"&amp;U$1&amp;"°"&amp;$B37&amp;U$1&amp;1&amp;$A37,$B37&amp;"°"&amp;U$1&amp;"°"&amp;$A37),[1]Hoja1!$A:$O,15,0))</f>
        <v xml:space="preserve">SANTILLAN ESTELA </v>
      </c>
      <c r="V37" s="52" t="str">
        <f>IF($J37="Formación Técnica Específica",VLOOKUP(IF($J37="Formación Técnica Específica",$B37&amp;"°"&amp;U$1&amp;"°"&amp;$B37&amp;U$1&amp;1&amp;$A37,$B37&amp;"°"&amp;U$1&amp;"°"&amp;$A37),[1]Hoja1!$A:$O,15,0)," ")</f>
        <v xml:space="preserve"> </v>
      </c>
      <c r="W37" s="44" t="str">
        <f>IF($J37="Formación Técnica Específica",VLOOKUP(IF($J37="Formación Técnica Específica",$B37&amp;"°"&amp;W$1&amp;"°"&amp;$B37&amp;W$1&amp;1&amp;$A37,$B37&amp;"°"&amp;W$1&amp;"°"&amp;$A37),[1]Hoja1!$A:$O,15,0),VLOOKUP(IF($J37="Formación Técnica Específica",$B37&amp;"°"&amp;W$1&amp;"°"&amp;$B37&amp;W$1&amp;1&amp;$A37,$B37&amp;"°"&amp;W$1&amp;"°"&amp;$A37),[1]Hoja1!$A:$O,15,0))</f>
        <v xml:space="preserve"> BECERRO PERLA FLORENCIA</v>
      </c>
      <c r="X37" s="52" t="str">
        <f>IF($J37="Formación Técnica Específica",VLOOKUP(IF($J37="Formación Técnica Específica",$B37&amp;"°"&amp;W$1&amp;"°"&amp;$B37&amp;W$1&amp;1&amp;$A37,$B37&amp;"°"&amp;W$1&amp;"°"&amp;$A37),[1]Hoja1!$A:$O,15,0)," ")</f>
        <v xml:space="preserve"> </v>
      </c>
    </row>
    <row r="38" spans="1:24" x14ac:dyDescent="0.25">
      <c r="A38" s="30" t="str">
        <f t="shared" si="4"/>
        <v>3TPT3</v>
      </c>
      <c r="B38" s="4">
        <v>3</v>
      </c>
      <c r="C38" s="4" t="s">
        <v>10</v>
      </c>
      <c r="D38" s="4"/>
      <c r="E38" s="7" t="s">
        <v>11</v>
      </c>
      <c r="F38" s="3">
        <v>11</v>
      </c>
      <c r="G38" s="4" t="s">
        <v>59</v>
      </c>
      <c r="H38" s="4" t="s">
        <v>60</v>
      </c>
      <c r="I38" s="3">
        <v>2</v>
      </c>
      <c r="J38" s="6" t="s">
        <v>33</v>
      </c>
      <c r="K38" s="31" t="s">
        <v>34</v>
      </c>
      <c r="L38" t="str">
        <f t="shared" si="1"/>
        <v>3°11</v>
      </c>
      <c r="M38" s="31"/>
      <c r="N38" s="63" t="str">
        <f t="shared" si="2"/>
        <v>3°11</v>
      </c>
      <c r="O38" s="44" t="str">
        <f>IF($J38="Formación Técnica Específica",VLOOKUP(IF($J38="Formación Técnica Específica",$B38&amp;"°"&amp;O$1&amp;"°"&amp;$B38&amp;O$1&amp;1&amp;$A38,$B38&amp;"°"&amp;O$1&amp;"°"&amp;$A38),[1]Hoja1!$A:$O,15,0),VLOOKUP(IF($J38="Formación Técnica Específica",$B38&amp;"°"&amp;O$1&amp;"°"&amp;$B38&amp;O$1&amp;1&amp;$A38,$B38&amp;"°"&amp;O$1&amp;"°"&amp;$A38),[1]Hoja1!$A:$O,15,0))</f>
        <v>CRUZ DAVID FRANCISCO</v>
      </c>
      <c r="P38" s="52" t="str">
        <f>IF($J38="Formación Técnica Específica",VLOOKUP(IF($J38="Formación Técnica Específica",$B38&amp;"°"&amp;O$1&amp;"°"&amp;$B38&amp;O$1&amp;1&amp;$A38,$B38&amp;"°"&amp;O$1&amp;"°"&amp;$A38),[1]Hoja1!$A:$O,15,0)," ")</f>
        <v>CRUZ DAVID FRANCISCO</v>
      </c>
      <c r="Q38" s="44" t="str">
        <f>IF($J38="Formación Técnica Específica",VLOOKUP(IF($J38="Formación Técnica Específica",$B38&amp;"°"&amp;Q$1&amp;"°"&amp;$B38&amp;Q$1&amp;1&amp;$A38,$B38&amp;"°"&amp;Q$1&amp;"°"&amp;$A38),[1]Hoja1!$A:$O,15,0),VLOOKUP(IF($J38="Formación Técnica Específica",$B38&amp;"°"&amp;Q$1&amp;"°"&amp;$B38&amp;Q$1&amp;1&amp;$A38,$B38&amp;"°"&amp;Q$1&amp;"°"&amp;$A38),[1]Hoja1!$A:$O,15,0))</f>
        <v>LEYES RICARDO</v>
      </c>
      <c r="R38" s="52" t="str">
        <f>IF($J38="Formación Técnica Específica",VLOOKUP(IF($J38="Formación Técnica Específica",$B38&amp;"°"&amp;Q$1&amp;"°"&amp;$B38&amp;Q$1&amp;1&amp;$A38,$B38&amp;"°"&amp;Q$1&amp;"°"&amp;$A38),[1]Hoja1!$A:$O,15,0)," ")</f>
        <v>LEYES RICARDO</v>
      </c>
      <c r="S38" s="44" t="str">
        <f>IF($J38="Formación Técnica Específica",VLOOKUP(IF($J38="Formación Técnica Específica",$B38&amp;"°"&amp;S$1&amp;"°"&amp;$B38&amp;S$1&amp;1&amp;$A38,$B38&amp;"°"&amp;S$1&amp;"°"&amp;$A38),[1]Hoja1!$A:$O,15,0),VLOOKUP(IF($J38="Formación Técnica Específica",$B38&amp;"°"&amp;S$1&amp;"°"&amp;$B38&amp;S$1&amp;1&amp;$A38,$B38&amp;"°"&amp;S$1&amp;"°"&amp;$A38),[1]Hoja1!$A:$O,15,0))</f>
        <v xml:space="preserve">CHAMORRO CRISTIAN </v>
      </c>
      <c r="T38" s="52" t="str">
        <f>IF($J38="Formación Técnica Específica",VLOOKUP(IF($J38="Formación Técnica Específica",$B38&amp;"°"&amp;S$1&amp;"°"&amp;$B38&amp;S$1&amp;1&amp;$A38,$B38&amp;"°"&amp;S$1&amp;"°"&amp;$A38),[1]Hoja1!$A:$O,15,0)," ")</f>
        <v xml:space="preserve">CHAMORRO CRISTIAN </v>
      </c>
      <c r="U38" s="44" t="str">
        <f>IF($J38="Formación Técnica Específica",VLOOKUP(IF($J38="Formación Técnica Específica",$B38&amp;"°"&amp;U$1&amp;"°"&amp;$B38&amp;U$1&amp;1&amp;$A38,$B38&amp;"°"&amp;U$1&amp;"°"&amp;$A38),[1]Hoja1!$A:$O,15,0),VLOOKUP(IF($J38="Formación Técnica Específica",$B38&amp;"°"&amp;U$1&amp;"°"&amp;$B38&amp;U$1&amp;1&amp;$A38,$B38&amp;"°"&amp;U$1&amp;"°"&amp;$A38),[1]Hoja1!$A:$O,15,0))</f>
        <v>CRUZ JESUS</v>
      </c>
      <c r="V38" s="52" t="str">
        <f>IF($J38="Formación Técnica Específica",VLOOKUP(IF($J38="Formación Técnica Específica",$B38&amp;"°"&amp;U$1&amp;"°"&amp;$B38&amp;U$1&amp;1&amp;$A38,$B38&amp;"°"&amp;U$1&amp;"°"&amp;$A38),[1]Hoja1!$A:$O,15,0)," ")</f>
        <v>CRUZ JESUS</v>
      </c>
      <c r="W38" s="44" t="str">
        <f>IF($J38="Formación Técnica Específica",VLOOKUP(IF($J38="Formación Técnica Específica",$B38&amp;"°"&amp;W$1&amp;"°"&amp;$B38&amp;W$1&amp;1&amp;$A38,$B38&amp;"°"&amp;W$1&amp;"°"&amp;$A38),[1]Hoja1!$A:$O,15,0),VLOOKUP(IF($J38="Formación Técnica Específica",$B38&amp;"°"&amp;W$1&amp;"°"&amp;$B38&amp;W$1&amp;1&amp;$A38,$B38&amp;"°"&amp;W$1&amp;"°"&amp;$A38),[1]Hoja1!$A:$O,15,0))</f>
        <v xml:space="preserve">CRUZ JESUS NAZARENO </v>
      </c>
      <c r="X38" s="52" t="str">
        <f>IF($J38="Formación Técnica Específica",VLOOKUP(IF($J38="Formación Técnica Específica",$B38&amp;"°"&amp;W$1&amp;"°"&amp;$B38&amp;W$1&amp;1&amp;$A38,$B38&amp;"°"&amp;W$1&amp;"°"&amp;$A38),[1]Hoja1!$A:$O,15,0)," ")</f>
        <v xml:space="preserve">CRUZ JESUS NAZARENO </v>
      </c>
    </row>
    <row r="39" spans="1:24" x14ac:dyDescent="0.25">
      <c r="A39" s="30" t="str">
        <f t="shared" si="4"/>
        <v>3TLT3</v>
      </c>
      <c r="B39" s="4">
        <v>3</v>
      </c>
      <c r="C39" s="4" t="s">
        <v>10</v>
      </c>
      <c r="D39" s="4"/>
      <c r="E39" s="7" t="s">
        <v>11</v>
      </c>
      <c r="F39" s="3">
        <v>12</v>
      </c>
      <c r="G39" s="4" t="s">
        <v>61</v>
      </c>
      <c r="H39" s="4" t="s">
        <v>36</v>
      </c>
      <c r="I39" s="3">
        <v>2</v>
      </c>
      <c r="J39" s="6" t="s">
        <v>33</v>
      </c>
      <c r="K39" s="31" t="s">
        <v>298</v>
      </c>
      <c r="L39" t="str">
        <f t="shared" si="1"/>
        <v>3°12</v>
      </c>
      <c r="M39" s="31"/>
      <c r="N39" s="63" t="str">
        <f t="shared" si="2"/>
        <v>3°12</v>
      </c>
      <c r="O39" s="44" t="str">
        <f>IF($J39="Formación Técnica Específica",VLOOKUP(IF($J39="Formación Técnica Específica",$B39&amp;"°"&amp;O$1&amp;"°"&amp;$B39&amp;O$1&amp;1&amp;$A39,$B39&amp;"°"&amp;O$1&amp;"°"&amp;$A39),[1]Hoja1!$A:$O,15,0),VLOOKUP(IF($J39="Formación Técnica Específica",$B39&amp;"°"&amp;O$1&amp;"°"&amp;$B39&amp;O$1&amp;1&amp;$A39,$B39&amp;"°"&amp;O$1&amp;"°"&amp;$A39),[1]Hoja1!$A:$O,15,0))</f>
        <v xml:space="preserve">GUTIERREZ FERNANDO  </v>
      </c>
      <c r="P39" s="52" t="str">
        <f>IF($J39="Formación Técnica Específica",VLOOKUP(IF($J39="Formación Técnica Específica",$B39&amp;"°"&amp;O$1&amp;"°"&amp;$B39&amp;O$1&amp;1&amp;$A39,$B39&amp;"°"&amp;O$1&amp;"°"&amp;$A39),[1]Hoja1!$A:$O,15,0)," ")</f>
        <v xml:space="preserve">GUTIERREZ FERNANDO  </v>
      </c>
      <c r="Q39" s="44" t="str">
        <f>IF($J39="Formación Técnica Específica",VLOOKUP(IF($J39="Formación Técnica Específica",$B39&amp;"°"&amp;Q$1&amp;"°"&amp;$B39&amp;Q$1&amp;1&amp;$A39,$B39&amp;"°"&amp;Q$1&amp;"°"&amp;$A39),[1]Hoja1!$A:$O,15,0),VLOOKUP(IF($J39="Formación Técnica Específica",$B39&amp;"°"&amp;Q$1&amp;"°"&amp;$B39&amp;Q$1&amp;1&amp;$A39,$B39&amp;"°"&amp;Q$1&amp;"°"&amp;$A39),[1]Hoja1!$A:$O,15,0))</f>
        <v>TITO JUAN MANUEL</v>
      </c>
      <c r="R39" s="52" t="str">
        <f>IF($J39="Formación Técnica Específica",VLOOKUP(IF($J39="Formación Técnica Específica",$B39&amp;"°"&amp;Q$1&amp;"°"&amp;$B39&amp;Q$1&amp;1&amp;$A39,$B39&amp;"°"&amp;Q$1&amp;"°"&amp;$A39),[1]Hoja1!$A:$O,15,0)," ")</f>
        <v>TITO JUAN MANUEL</v>
      </c>
      <c r="S39" s="44" t="str">
        <f>IF($J39="Formación Técnica Específica",VLOOKUP(IF($J39="Formación Técnica Específica",$B39&amp;"°"&amp;S$1&amp;"°"&amp;$B39&amp;S$1&amp;1&amp;$A39,$B39&amp;"°"&amp;S$1&amp;"°"&amp;$A39),[1]Hoja1!$A:$O,15,0),VLOOKUP(IF($J39="Formación Técnica Específica",$B39&amp;"°"&amp;S$1&amp;"°"&amp;$B39&amp;S$1&amp;1&amp;$A39,$B39&amp;"°"&amp;S$1&amp;"°"&amp;$A39),[1]Hoja1!$A:$O,15,0))</f>
        <v xml:space="preserve">GUTIERREZ FERNANDO </v>
      </c>
      <c r="T39" s="52" t="str">
        <f>IF($J39="Formación Técnica Específica",VLOOKUP(IF($J39="Formación Técnica Específica",$B39&amp;"°"&amp;S$1&amp;"°"&amp;$B39&amp;S$1&amp;1&amp;$A39,$B39&amp;"°"&amp;S$1&amp;"°"&amp;$A39),[1]Hoja1!$A:$O,15,0)," ")</f>
        <v xml:space="preserve">GUTIERREZ FERNANDO </v>
      </c>
      <c r="U39" s="44" t="str">
        <f>IF($J39="Formación Técnica Específica",VLOOKUP(IF($J39="Formación Técnica Específica",$B39&amp;"°"&amp;U$1&amp;"°"&amp;$B39&amp;U$1&amp;1&amp;$A39,$B39&amp;"°"&amp;U$1&amp;"°"&amp;$A39),[1]Hoja1!$A:$O,15,0),VLOOKUP(IF($J39="Formación Técnica Específica",$B39&amp;"°"&amp;U$1&amp;"°"&amp;$B39&amp;U$1&amp;1&amp;$A39,$B39&amp;"°"&amp;U$1&amp;"°"&amp;$A39),[1]Hoja1!$A:$O,15,0))</f>
        <v xml:space="preserve">RIVAROLA NORMA </v>
      </c>
      <c r="V39" s="52" t="str">
        <f>IF($J39="Formación Técnica Específica",VLOOKUP(IF($J39="Formación Técnica Específica",$B39&amp;"°"&amp;U$1&amp;"°"&amp;$B39&amp;U$1&amp;1&amp;$A39,$B39&amp;"°"&amp;U$1&amp;"°"&amp;$A39),[1]Hoja1!$A:$O,15,0)," ")</f>
        <v xml:space="preserve">RIVAROLA NORMA </v>
      </c>
      <c r="W39" s="44" t="str">
        <f>IF($J39="Formación Técnica Específica",VLOOKUP(IF($J39="Formación Técnica Específica",$B39&amp;"°"&amp;W$1&amp;"°"&amp;$B39&amp;W$1&amp;1&amp;$A39,$B39&amp;"°"&amp;W$1&amp;"°"&amp;$A39),[1]Hoja1!$A:$O,15,0),VLOOKUP(IF($J39="Formación Técnica Específica",$B39&amp;"°"&amp;W$1&amp;"°"&amp;$B39&amp;W$1&amp;1&amp;$A39,$B39&amp;"°"&amp;W$1&amp;"°"&amp;$A39),[1]Hoja1!$A:$O,15,0))</f>
        <v xml:space="preserve">PROCHOR JUAN PABLO   </v>
      </c>
      <c r="X39" s="52" t="str">
        <f>IF($J39="Formación Técnica Específica",VLOOKUP(IF($J39="Formación Técnica Específica",$B39&amp;"°"&amp;W$1&amp;"°"&amp;$B39&amp;W$1&amp;1&amp;$A39,$B39&amp;"°"&amp;W$1&amp;"°"&amp;$A39),[1]Hoja1!$A:$O,15,0)," ")</f>
        <v xml:space="preserve">PROCHOR JUAN PABLO   </v>
      </c>
    </row>
    <row r="40" spans="1:24" x14ac:dyDescent="0.25">
      <c r="A40" s="30" t="str">
        <f t="shared" si="4"/>
        <v>3TST3</v>
      </c>
      <c r="B40" s="4">
        <v>3</v>
      </c>
      <c r="C40" s="4" t="s">
        <v>10</v>
      </c>
      <c r="D40" s="4"/>
      <c r="E40" s="7" t="s">
        <v>11</v>
      </c>
      <c r="F40" s="3">
        <v>13</v>
      </c>
      <c r="G40" s="4" t="s">
        <v>62</v>
      </c>
      <c r="H40" s="4" t="s">
        <v>63</v>
      </c>
      <c r="I40" s="3">
        <v>4</v>
      </c>
      <c r="J40" s="6" t="s">
        <v>33</v>
      </c>
      <c r="K40" s="31" t="s">
        <v>299</v>
      </c>
      <c r="L40" t="str">
        <f t="shared" si="1"/>
        <v>3°13</v>
      </c>
      <c r="M40" s="31"/>
      <c r="N40" s="63" t="str">
        <f t="shared" si="2"/>
        <v>3°13</v>
      </c>
      <c r="O40" s="44" t="str">
        <f>IF($J40="Formación Técnica Específica",VLOOKUP(IF($J40="Formación Técnica Específica",$B40&amp;"°"&amp;O$1&amp;"°"&amp;$B40&amp;O$1&amp;1&amp;$A40,$B40&amp;"°"&amp;O$1&amp;"°"&amp;$A40),[1]Hoja1!$A:$O,15,0),VLOOKUP(IF($J40="Formación Técnica Específica",$B40&amp;"°"&amp;O$1&amp;"°"&amp;$B40&amp;O$1&amp;1&amp;$A40,$B40&amp;"°"&amp;O$1&amp;"°"&amp;$A40),[1]Hoja1!$A:$O,15,0))</f>
        <v>ECHAZU FARIAS  ANALIA</v>
      </c>
      <c r="P40" s="52" t="str">
        <f>IF($J40="Formación Técnica Específica",VLOOKUP(IF($J40="Formación Técnica Específica",$B40&amp;"°"&amp;O$1&amp;"°"&amp;$B40&amp;O$1&amp;1&amp;$A40,$B40&amp;"°"&amp;O$1&amp;"°"&amp;$A40),[1]Hoja1!$A:$O,15,0)," ")</f>
        <v>ECHAZU FARIAS  ANALIA</v>
      </c>
      <c r="Q40" s="44" t="str">
        <f>IF($J40="Formación Técnica Específica",VLOOKUP(IF($J40="Formación Técnica Específica",$B40&amp;"°"&amp;Q$1&amp;"°"&amp;$B40&amp;Q$1&amp;1&amp;$A40,$B40&amp;"°"&amp;Q$1&amp;"°"&amp;$A40),[1]Hoja1!$A:$O,15,0),VLOOKUP(IF($J40="Formación Técnica Específica",$B40&amp;"°"&amp;Q$1&amp;"°"&amp;$B40&amp;Q$1&amp;1&amp;$A40,$B40&amp;"°"&amp;Q$1&amp;"°"&amp;$A40),[1]Hoja1!$A:$O,15,0))</f>
        <v>CRUZ JESUS</v>
      </c>
      <c r="R40" s="52" t="str">
        <f>IF($J40="Formación Técnica Específica",VLOOKUP(IF($J40="Formación Técnica Específica",$B40&amp;"°"&amp;Q$1&amp;"°"&amp;$B40&amp;Q$1&amp;1&amp;$A40,$B40&amp;"°"&amp;Q$1&amp;"°"&amp;$A40),[1]Hoja1!$A:$O,15,0)," ")</f>
        <v>CRUZ JESUS</v>
      </c>
      <c r="S40" s="44" t="str">
        <f>IF($J40="Formación Técnica Específica",VLOOKUP(IF($J40="Formación Técnica Específica",$B40&amp;"°"&amp;S$1&amp;"°"&amp;$B40&amp;S$1&amp;1&amp;$A40,$B40&amp;"°"&amp;S$1&amp;"°"&amp;$A40),[1]Hoja1!$A:$O,15,0),VLOOKUP(IF($J40="Formación Técnica Específica",$B40&amp;"°"&amp;S$1&amp;"°"&amp;$B40&amp;S$1&amp;1&amp;$A40,$B40&amp;"°"&amp;S$1&amp;"°"&amp;$A40),[1]Hoja1!$A:$O,15,0))</f>
        <v>DANIEL PAZ</v>
      </c>
      <c r="T40" s="52" t="str">
        <f>IF($J40="Formación Técnica Específica",VLOOKUP(IF($J40="Formación Técnica Específica",$B40&amp;"°"&amp;S$1&amp;"°"&amp;$B40&amp;S$1&amp;1&amp;$A40,$B40&amp;"°"&amp;S$1&amp;"°"&amp;$A40),[1]Hoja1!$A:$O,15,0)," ")</f>
        <v>DANIEL PAZ</v>
      </c>
      <c r="U40" s="44" t="str">
        <f>IF($J40="Formación Técnica Específica",VLOOKUP(IF($J40="Formación Técnica Específica",$B40&amp;"°"&amp;U$1&amp;"°"&amp;$B40&amp;U$1&amp;1&amp;$A40,$B40&amp;"°"&amp;U$1&amp;"°"&amp;$A40),[1]Hoja1!$A:$O,15,0),VLOOKUP(IF($J40="Formación Técnica Específica",$B40&amp;"°"&amp;U$1&amp;"°"&amp;$B40&amp;U$1&amp;1&amp;$A40,$B40&amp;"°"&amp;U$1&amp;"°"&amp;$A40),[1]Hoja1!$A:$O,15,0))</f>
        <v>AGUIRRE JUAN ANTONIO</v>
      </c>
      <c r="V40" s="52" t="str">
        <f>IF($J40="Formación Técnica Específica",VLOOKUP(IF($J40="Formación Técnica Específica",$B40&amp;"°"&amp;U$1&amp;"°"&amp;$B40&amp;U$1&amp;1&amp;$A40,$B40&amp;"°"&amp;U$1&amp;"°"&amp;$A40),[1]Hoja1!$A:$O,15,0)," ")</f>
        <v>AGUIRRE JUAN ANTONIO</v>
      </c>
      <c r="W40" s="44" t="str">
        <f>IF($J40="Formación Técnica Específica",VLOOKUP(IF($J40="Formación Técnica Específica",$B40&amp;"°"&amp;W$1&amp;"°"&amp;$B40&amp;W$1&amp;1&amp;$A40,$B40&amp;"°"&amp;W$1&amp;"°"&amp;$A40),[1]Hoja1!$A:$O,15,0),VLOOKUP(IF($J40="Formación Técnica Específica",$B40&amp;"°"&amp;W$1&amp;"°"&amp;$B40&amp;W$1&amp;1&amp;$A40,$B40&amp;"°"&amp;W$1&amp;"°"&amp;$A40),[1]Hoja1!$A:$O,15,0))</f>
        <v>CRUZ JESUS  NAZARENO</v>
      </c>
      <c r="X40" s="52" t="str">
        <f>IF($J40="Formación Técnica Específica",VLOOKUP(IF($J40="Formación Técnica Específica",$B40&amp;"°"&amp;W$1&amp;"°"&amp;$B40&amp;W$1&amp;1&amp;$A40,$B40&amp;"°"&amp;W$1&amp;"°"&amp;$A40),[1]Hoja1!$A:$O,15,0)," ")</f>
        <v>CRUZ JESUS  NAZARENO</v>
      </c>
    </row>
    <row r="41" spans="1:24" ht="15.75" thickBot="1" x14ac:dyDescent="0.3">
      <c r="A41" s="32" t="str">
        <f t="shared" si="4"/>
        <v>3TALLER</v>
      </c>
      <c r="B41" s="33">
        <v>3</v>
      </c>
      <c r="C41" s="33" t="s">
        <v>10</v>
      </c>
      <c r="D41" s="33"/>
      <c r="E41" s="34" t="s">
        <v>11</v>
      </c>
      <c r="F41" s="35">
        <v>14</v>
      </c>
      <c r="G41" s="33" t="s">
        <v>284</v>
      </c>
      <c r="H41" s="33"/>
      <c r="I41" s="35"/>
      <c r="J41" s="36" t="s">
        <v>33</v>
      </c>
      <c r="K41" s="37" t="s">
        <v>286</v>
      </c>
      <c r="L41" t="str">
        <f t="shared" si="1"/>
        <v>3°14</v>
      </c>
      <c r="M41" s="37"/>
      <c r="N41" s="63" t="str">
        <f t="shared" si="2"/>
        <v>3°14</v>
      </c>
      <c r="O41" s="53" t="e">
        <f>IF($J41="Formación Técnica Específica",VLOOKUP(IF($J41="Formación Técnica Específica",$B41&amp;"°"&amp;O$1&amp;"°"&amp;$B41&amp;O$1&amp;1&amp;$A41,$B41&amp;"°"&amp;O$1&amp;"°"&amp;$A41),[1]Hoja1!$A:$O,15,0),VLOOKUP(IF($J41="Formación Técnica Específica",$B41&amp;"°"&amp;O$1&amp;"°"&amp;$B41&amp;O$1&amp;1&amp;$A41,$B41&amp;"°"&amp;O$1&amp;"°"&amp;$A41),[1]Hoja1!$A:$O,15,0))</f>
        <v>#N/A</v>
      </c>
      <c r="P41" s="54" t="e">
        <f>IF($J41="Formación Técnica Específica",VLOOKUP(IF($J41="Formación Técnica Específica",$B41&amp;"°"&amp;O$1&amp;"°"&amp;$B41&amp;O$1&amp;1&amp;$A41,$B41&amp;"°"&amp;O$1&amp;"°"&amp;$A41),[1]Hoja1!$A:$O,15,0)," ")</f>
        <v>#N/A</v>
      </c>
      <c r="Q41" s="53" t="e">
        <f>IF($J41="Formación Técnica Específica",VLOOKUP(IF($J41="Formación Técnica Específica",$B41&amp;"°"&amp;Q$1&amp;"°"&amp;$B41&amp;Q$1&amp;1&amp;$A41,$B41&amp;"°"&amp;Q$1&amp;"°"&amp;$A41),[1]Hoja1!$A:$O,15,0),VLOOKUP(IF($J41="Formación Técnica Específica",$B41&amp;"°"&amp;Q$1&amp;"°"&amp;$B41&amp;Q$1&amp;1&amp;$A41,$B41&amp;"°"&amp;Q$1&amp;"°"&amp;$A41),[1]Hoja1!$A:$O,15,0))</f>
        <v>#N/A</v>
      </c>
      <c r="R41" s="54" t="e">
        <f>IF($J41="Formación Técnica Específica",VLOOKUP(IF($J41="Formación Técnica Específica",$B41&amp;"°"&amp;Q$1&amp;"°"&amp;$B41&amp;Q$1&amp;1&amp;$A41,$B41&amp;"°"&amp;Q$1&amp;"°"&amp;$A41),[1]Hoja1!$A:$O,15,0)," ")</f>
        <v>#N/A</v>
      </c>
      <c r="S41" s="53" t="e">
        <f>IF($J41="Formación Técnica Específica",VLOOKUP(IF($J41="Formación Técnica Específica",$B41&amp;"°"&amp;S$1&amp;"°"&amp;$B41&amp;S$1&amp;1&amp;$A41,$B41&amp;"°"&amp;S$1&amp;"°"&amp;$A41),[1]Hoja1!$A:$O,15,0),VLOOKUP(IF($J41="Formación Técnica Específica",$B41&amp;"°"&amp;S$1&amp;"°"&amp;$B41&amp;S$1&amp;1&amp;$A41,$B41&amp;"°"&amp;S$1&amp;"°"&amp;$A41),[1]Hoja1!$A:$O,15,0))</f>
        <v>#N/A</v>
      </c>
      <c r="T41" s="54" t="e">
        <f>IF($J41="Formación Técnica Específica",VLOOKUP(IF($J41="Formación Técnica Específica",$B41&amp;"°"&amp;S$1&amp;"°"&amp;$B41&amp;S$1&amp;1&amp;$A41,$B41&amp;"°"&amp;S$1&amp;"°"&amp;$A41),[1]Hoja1!$A:$O,15,0)," ")</f>
        <v>#N/A</v>
      </c>
      <c r="U41" s="53" t="e">
        <f>IF($J41="Formación Técnica Específica",VLOOKUP(IF($J41="Formación Técnica Específica",$B41&amp;"°"&amp;U$1&amp;"°"&amp;$B41&amp;U$1&amp;1&amp;$A41,$B41&amp;"°"&amp;U$1&amp;"°"&amp;$A41),[1]Hoja1!$A:$O,15,0),VLOOKUP(IF($J41="Formación Técnica Específica",$B41&amp;"°"&amp;U$1&amp;"°"&amp;$B41&amp;U$1&amp;1&amp;$A41,$B41&amp;"°"&amp;U$1&amp;"°"&amp;$A41),[1]Hoja1!$A:$O,15,0))</f>
        <v>#N/A</v>
      </c>
      <c r="V41" s="54" t="e">
        <f>IF($J41="Formación Técnica Específica",VLOOKUP(IF($J41="Formación Técnica Específica",$B41&amp;"°"&amp;U$1&amp;"°"&amp;$B41&amp;U$1&amp;1&amp;$A41,$B41&amp;"°"&amp;U$1&amp;"°"&amp;$A41),[1]Hoja1!$A:$O,15,0)," ")</f>
        <v>#N/A</v>
      </c>
      <c r="W41" s="53" t="e">
        <f>IF($J41="Formación Técnica Específica",VLOOKUP(IF($J41="Formación Técnica Específica",$B41&amp;"°"&amp;W$1&amp;"°"&amp;$B41&amp;W$1&amp;1&amp;$A41,$B41&amp;"°"&amp;W$1&amp;"°"&amp;$A41),[1]Hoja1!$A:$O,15,0),VLOOKUP(IF($J41="Formación Técnica Específica",$B41&amp;"°"&amp;W$1&amp;"°"&amp;$B41&amp;W$1&amp;1&amp;$A41,$B41&amp;"°"&amp;W$1&amp;"°"&amp;$A41),[1]Hoja1!$A:$O,15,0))</f>
        <v>#N/A</v>
      </c>
      <c r="X41" s="54" t="e">
        <f>IF($J41="Formación Técnica Específica",VLOOKUP(IF($J41="Formación Técnica Específica",$B41&amp;"°"&amp;W$1&amp;"°"&amp;$B41&amp;W$1&amp;1&amp;$A41,$B41&amp;"°"&amp;W$1&amp;"°"&amp;$A41),[1]Hoja1!$A:$O,15,0)," ")</f>
        <v>#N/A</v>
      </c>
    </row>
    <row r="42" spans="1:24" x14ac:dyDescent="0.25">
      <c r="A42" s="24" t="s">
        <v>64</v>
      </c>
      <c r="B42" s="25">
        <v>4</v>
      </c>
      <c r="C42" s="25" t="s">
        <v>10</v>
      </c>
      <c r="D42" s="25" t="s">
        <v>65</v>
      </c>
      <c r="E42" s="26" t="s">
        <v>66</v>
      </c>
      <c r="F42" s="27">
        <v>1</v>
      </c>
      <c r="G42" s="25" t="s">
        <v>67</v>
      </c>
      <c r="H42" s="25" t="s">
        <v>68</v>
      </c>
      <c r="I42" s="27">
        <v>2</v>
      </c>
      <c r="J42" s="28" t="s">
        <v>290</v>
      </c>
      <c r="K42" s="29" t="s">
        <v>69</v>
      </c>
      <c r="L42" t="str">
        <f t="shared" si="1"/>
        <v>4°1</v>
      </c>
      <c r="M42" s="29"/>
      <c r="N42" s="63" t="str">
        <f t="shared" si="2"/>
        <v>4°1</v>
      </c>
      <c r="O42" s="50" t="str">
        <f>IF($J42="Formación Técnica Específica",VLOOKUP(IF($J42="Formación Técnica Específica",$B42&amp;"°"&amp;O$1&amp;"°"&amp;$B42&amp;O$1&amp;1&amp;$A42,$B42&amp;"°"&amp;O$1&amp;"°"&amp;$A42),[1]Hoja1!$A:$O,15,0),VLOOKUP(IF($J42="Formación Técnica Específica",$B42&amp;"°"&amp;O$1&amp;"°"&amp;$B42&amp;O$1&amp;1&amp;$A42,$B42&amp;"°"&amp;O$1&amp;"°"&amp;$A42),[1]Hoja1!$A:$O,15,0))</f>
        <v>ESCALADA SILVANA</v>
      </c>
      <c r="P42" s="51" t="str">
        <f>IF($J42="Formación Técnica Específica",VLOOKUP(IF($J42="Formación Técnica Específica",$B42&amp;"°"&amp;O$1&amp;"°"&amp;$B42&amp;O$1&amp;1&amp;$A42,$B42&amp;"°"&amp;O$1&amp;"°"&amp;$A42),[1]Hoja1!$A:$O,15,0)," ")</f>
        <v xml:space="preserve"> </v>
      </c>
      <c r="Q42" s="50" t="str">
        <f>IF($J42="Formación Técnica Específica",VLOOKUP(IF($J42="Formación Técnica Específica",$B42&amp;"°"&amp;Q$1&amp;"°"&amp;$B42&amp;Q$1&amp;1&amp;$A42,$B42&amp;"°"&amp;Q$1&amp;"°"&amp;$A42),[1]Hoja1!$A:$O,15,0),VLOOKUP(IF($J42="Formación Técnica Específica",$B42&amp;"°"&amp;Q$1&amp;"°"&amp;$B42&amp;Q$1&amp;1&amp;$A42,$B42&amp;"°"&amp;Q$1&amp;"°"&amp;$A42),[1]Hoja1!$A:$O,15,0))</f>
        <v>CASCIANO CLAUDIO RUBEN</v>
      </c>
      <c r="R42" s="51" t="str">
        <f>IF($J42="Formación Técnica Específica",VLOOKUP(IF($J42="Formación Técnica Específica",$B42&amp;"°"&amp;Q$1&amp;"°"&amp;$B42&amp;Q$1&amp;1&amp;$A42,$B42&amp;"°"&amp;Q$1&amp;"°"&amp;$A42),[1]Hoja1!$A:$O,15,0)," ")</f>
        <v xml:space="preserve"> </v>
      </c>
      <c r="S42" s="50" t="e">
        <f>IF($J42="Formación Técnica Específica",VLOOKUP(IF($J42="Formación Técnica Específica",$B42&amp;"°"&amp;S$1&amp;"°"&amp;$B42&amp;S$1&amp;1&amp;$A42,$B42&amp;"°"&amp;S$1&amp;"°"&amp;$A42),[1]Hoja1!$A:$O,15,0),VLOOKUP(IF($J42="Formación Técnica Específica",$B42&amp;"°"&amp;S$1&amp;"°"&amp;$B42&amp;S$1&amp;1&amp;$A42,$B42&amp;"°"&amp;S$1&amp;"°"&amp;$A42),[1]Hoja1!$A:$O,15,0))</f>
        <v>#N/A</v>
      </c>
      <c r="T42" s="51" t="str">
        <f>IF($J42="Formación Técnica Específica",VLOOKUP(IF($J42="Formación Técnica Específica",$B42&amp;"°"&amp;S$1&amp;"°"&amp;$B42&amp;S$1&amp;1&amp;$A42,$B42&amp;"°"&amp;S$1&amp;"°"&amp;$A42),[1]Hoja1!$A:$O,15,0)," ")</f>
        <v xml:space="preserve"> </v>
      </c>
      <c r="U42" s="50" t="e">
        <f>IF($J42="Formación Técnica Específica",VLOOKUP(IF($J42="Formación Técnica Específica",$B42&amp;"°"&amp;U$1&amp;"°"&amp;$B42&amp;U$1&amp;1&amp;$A42,$B42&amp;"°"&amp;U$1&amp;"°"&amp;$A42),[1]Hoja1!$A:$O,15,0),VLOOKUP(IF($J42="Formación Técnica Específica",$B42&amp;"°"&amp;U$1&amp;"°"&amp;$B42&amp;U$1&amp;1&amp;$A42,$B42&amp;"°"&amp;U$1&amp;"°"&amp;$A42),[1]Hoja1!$A:$O,15,0))</f>
        <v>#N/A</v>
      </c>
      <c r="V42" s="51" t="str">
        <f>IF($J42="Formación Técnica Específica",VLOOKUP(IF($J42="Formación Técnica Específica",$B42&amp;"°"&amp;U$1&amp;"°"&amp;$B42&amp;U$1&amp;1&amp;$A42,$B42&amp;"°"&amp;U$1&amp;"°"&amp;$A42),[1]Hoja1!$A:$O,15,0)," ")</f>
        <v xml:space="preserve"> </v>
      </c>
      <c r="W42" s="50" t="e">
        <f>IF($J42="Formación Técnica Específica",VLOOKUP(IF($J42="Formación Técnica Específica",$B42&amp;"°"&amp;W$1&amp;"°"&amp;$B42&amp;W$1&amp;1&amp;$A42,$B42&amp;"°"&amp;W$1&amp;"°"&amp;$A42),[1]Hoja1!$A:$O,15,0),VLOOKUP(IF($J42="Formación Técnica Específica",$B42&amp;"°"&amp;W$1&amp;"°"&amp;$B42&amp;W$1&amp;1&amp;$A42,$B42&amp;"°"&amp;W$1&amp;"°"&amp;$A42),[1]Hoja1!$A:$O,15,0))</f>
        <v>#N/A</v>
      </c>
      <c r="X42" s="51" t="str">
        <f>IF($J42="Formación Técnica Específica",VLOOKUP(IF($J42="Formación Técnica Específica",$B42&amp;"°"&amp;W$1&amp;"°"&amp;$B42&amp;W$1&amp;1&amp;$A42,$B42&amp;"°"&amp;W$1&amp;"°"&amp;$A42),[1]Hoja1!$A:$O,15,0)," ")</f>
        <v xml:space="preserve"> </v>
      </c>
    </row>
    <row r="43" spans="1:24" x14ac:dyDescent="0.25">
      <c r="A43" s="30" t="s">
        <v>70</v>
      </c>
      <c r="B43" s="4">
        <v>4</v>
      </c>
      <c r="C43" s="4" t="s">
        <v>10</v>
      </c>
      <c r="D43" s="4" t="s">
        <v>65</v>
      </c>
      <c r="E43" s="7" t="s">
        <v>66</v>
      </c>
      <c r="F43" s="3">
        <v>2</v>
      </c>
      <c r="G43" s="4" t="s">
        <v>71</v>
      </c>
      <c r="H43" s="4" t="s">
        <v>72</v>
      </c>
      <c r="I43" s="3">
        <v>4</v>
      </c>
      <c r="J43" s="6" t="s">
        <v>290</v>
      </c>
      <c r="K43" s="31" t="s">
        <v>26</v>
      </c>
      <c r="L43" t="str">
        <f t="shared" si="1"/>
        <v>4°2</v>
      </c>
      <c r="M43" s="31"/>
      <c r="N43" s="63" t="str">
        <f t="shared" si="2"/>
        <v>4°2</v>
      </c>
      <c r="O43" s="44" t="str">
        <f>IF($J43="Formación Técnica Específica",VLOOKUP(IF($J43="Formación Técnica Específica",$B43&amp;"°"&amp;O$1&amp;"°"&amp;$B43&amp;O$1&amp;1&amp;$A43,$B43&amp;"°"&amp;O$1&amp;"°"&amp;$A43),[1]Hoja1!$A:$O,15,0),VLOOKUP(IF($J43="Formación Técnica Específica",$B43&amp;"°"&amp;O$1&amp;"°"&amp;$B43&amp;O$1&amp;1&amp;$A43,$B43&amp;"°"&amp;O$1&amp;"°"&amp;$A43),[1]Hoja1!$A:$O,15,0))</f>
        <v>WEBBER JONATHAN</v>
      </c>
      <c r="P43" s="52" t="str">
        <f>IF($J43="Formación Técnica Específica",VLOOKUP(IF($J43="Formación Técnica Específica",$B43&amp;"°"&amp;O$1&amp;"°"&amp;$B43&amp;O$1&amp;1&amp;$A43,$B43&amp;"°"&amp;O$1&amp;"°"&amp;$A43),[1]Hoja1!$A:$O,15,0)," ")</f>
        <v xml:space="preserve"> </v>
      </c>
      <c r="Q43" s="44" t="str">
        <f>IF($J43="Formación Técnica Específica",VLOOKUP(IF($J43="Formación Técnica Específica",$B43&amp;"°"&amp;Q$1&amp;"°"&amp;$B43&amp;Q$1&amp;1&amp;$A43,$B43&amp;"°"&amp;Q$1&amp;"°"&amp;$A43),[1]Hoja1!$A:$O,15,0),VLOOKUP(IF($J43="Formación Técnica Específica",$B43&amp;"°"&amp;Q$1&amp;"°"&amp;$B43&amp;Q$1&amp;1&amp;$A43,$B43&amp;"°"&amp;Q$1&amp;"°"&amp;$A43),[1]Hoja1!$A:$O,15,0))</f>
        <v>CENTURION SILVIA</v>
      </c>
      <c r="R43" s="52" t="str">
        <f>IF($J43="Formación Técnica Específica",VLOOKUP(IF($J43="Formación Técnica Específica",$B43&amp;"°"&amp;Q$1&amp;"°"&amp;$B43&amp;Q$1&amp;1&amp;$A43,$B43&amp;"°"&amp;Q$1&amp;"°"&amp;$A43),[1]Hoja1!$A:$O,15,0)," ")</f>
        <v xml:space="preserve"> </v>
      </c>
      <c r="S43" s="44" t="e">
        <f>IF($J43="Formación Técnica Específica",VLOOKUP(IF($J43="Formación Técnica Específica",$B43&amp;"°"&amp;S$1&amp;"°"&amp;$B43&amp;S$1&amp;1&amp;$A43,$B43&amp;"°"&amp;S$1&amp;"°"&amp;$A43),[1]Hoja1!$A:$O,15,0),VLOOKUP(IF($J43="Formación Técnica Específica",$B43&amp;"°"&amp;S$1&amp;"°"&amp;$B43&amp;S$1&amp;1&amp;$A43,$B43&amp;"°"&amp;S$1&amp;"°"&amp;$A43),[1]Hoja1!$A:$O,15,0))</f>
        <v>#N/A</v>
      </c>
      <c r="T43" s="52" t="str">
        <f>IF($J43="Formación Técnica Específica",VLOOKUP(IF($J43="Formación Técnica Específica",$B43&amp;"°"&amp;S$1&amp;"°"&amp;$B43&amp;S$1&amp;1&amp;$A43,$B43&amp;"°"&amp;S$1&amp;"°"&amp;$A43),[1]Hoja1!$A:$O,15,0)," ")</f>
        <v xml:space="preserve"> </v>
      </c>
      <c r="U43" s="44" t="e">
        <f>IF($J43="Formación Técnica Específica",VLOOKUP(IF($J43="Formación Técnica Específica",$B43&amp;"°"&amp;U$1&amp;"°"&amp;$B43&amp;U$1&amp;1&amp;$A43,$B43&amp;"°"&amp;U$1&amp;"°"&amp;$A43),[1]Hoja1!$A:$O,15,0),VLOOKUP(IF($J43="Formación Técnica Específica",$B43&amp;"°"&amp;U$1&amp;"°"&amp;$B43&amp;U$1&amp;1&amp;$A43,$B43&amp;"°"&amp;U$1&amp;"°"&amp;$A43),[1]Hoja1!$A:$O,15,0))</f>
        <v>#N/A</v>
      </c>
      <c r="V43" s="52" t="str">
        <f>IF($J43="Formación Técnica Específica",VLOOKUP(IF($J43="Formación Técnica Específica",$B43&amp;"°"&amp;U$1&amp;"°"&amp;$B43&amp;U$1&amp;1&amp;$A43,$B43&amp;"°"&amp;U$1&amp;"°"&amp;$A43),[1]Hoja1!$A:$O,15,0)," ")</f>
        <v xml:space="preserve"> </v>
      </c>
      <c r="W43" s="44" t="e">
        <f>IF($J43="Formación Técnica Específica",VLOOKUP(IF($J43="Formación Técnica Específica",$B43&amp;"°"&amp;W$1&amp;"°"&amp;$B43&amp;W$1&amp;1&amp;$A43,$B43&amp;"°"&amp;W$1&amp;"°"&amp;$A43),[1]Hoja1!$A:$O,15,0),VLOOKUP(IF($J43="Formación Técnica Específica",$B43&amp;"°"&amp;W$1&amp;"°"&amp;$B43&amp;W$1&amp;1&amp;$A43,$B43&amp;"°"&amp;W$1&amp;"°"&amp;$A43),[1]Hoja1!$A:$O,15,0))</f>
        <v>#N/A</v>
      </c>
      <c r="X43" s="52" t="str">
        <f>IF($J43="Formación Técnica Específica",VLOOKUP(IF($J43="Formación Técnica Específica",$B43&amp;"°"&amp;W$1&amp;"°"&amp;$B43&amp;W$1&amp;1&amp;$A43,$B43&amp;"°"&amp;W$1&amp;"°"&amp;$A43),[1]Hoja1!$A:$O,15,0)," ")</f>
        <v xml:space="preserve"> </v>
      </c>
    </row>
    <row r="44" spans="1:24" x14ac:dyDescent="0.25">
      <c r="A44" s="30" t="s">
        <v>73</v>
      </c>
      <c r="B44" s="4">
        <v>4</v>
      </c>
      <c r="C44" s="4" t="s">
        <v>10</v>
      </c>
      <c r="D44" s="4" t="s">
        <v>65</v>
      </c>
      <c r="E44" s="7" t="s">
        <v>66</v>
      </c>
      <c r="F44" s="3">
        <v>3</v>
      </c>
      <c r="G44" s="4" t="s">
        <v>74</v>
      </c>
      <c r="H44" s="4" t="s">
        <v>75</v>
      </c>
      <c r="I44" s="3">
        <v>2</v>
      </c>
      <c r="J44" s="6" t="s">
        <v>290</v>
      </c>
      <c r="K44" s="31" t="s">
        <v>76</v>
      </c>
      <c r="L44" t="str">
        <f t="shared" si="1"/>
        <v>4°3</v>
      </c>
      <c r="M44" s="31"/>
      <c r="N44" s="63" t="str">
        <f t="shared" si="2"/>
        <v>4°3</v>
      </c>
      <c r="O44" s="44" t="str">
        <f>IF($J44="Formación Técnica Específica",VLOOKUP(IF($J44="Formación Técnica Específica",$B44&amp;"°"&amp;O$1&amp;"°"&amp;$B44&amp;O$1&amp;1&amp;$A44,$B44&amp;"°"&amp;O$1&amp;"°"&amp;$A44),[1]Hoja1!$A:$O,15,0),VLOOKUP(IF($J44="Formación Técnica Específica",$B44&amp;"°"&amp;O$1&amp;"°"&amp;$B44&amp;O$1&amp;1&amp;$A44,$B44&amp;"°"&amp;O$1&amp;"°"&amp;$A44),[1]Hoja1!$A:$O,15,0))</f>
        <v xml:space="preserve"> NAZAR VALERIA LUCIA</v>
      </c>
      <c r="P44" s="52" t="str">
        <f>IF($J44="Formación Técnica Específica",VLOOKUP(IF($J44="Formación Técnica Específica",$B44&amp;"°"&amp;O$1&amp;"°"&amp;$B44&amp;O$1&amp;1&amp;$A44,$B44&amp;"°"&amp;O$1&amp;"°"&amp;$A44),[1]Hoja1!$A:$O,15,0)," ")</f>
        <v xml:space="preserve"> </v>
      </c>
      <c r="Q44" s="44" t="str">
        <f>IF($J44="Formación Técnica Específica",VLOOKUP(IF($J44="Formación Técnica Específica",$B44&amp;"°"&amp;Q$1&amp;"°"&amp;$B44&amp;Q$1&amp;1&amp;$A44,$B44&amp;"°"&amp;Q$1&amp;"°"&amp;$A44),[1]Hoja1!$A:$O,15,0),VLOOKUP(IF($J44="Formación Técnica Específica",$B44&amp;"°"&amp;Q$1&amp;"°"&amp;$B44&amp;Q$1&amp;1&amp;$A44,$B44&amp;"°"&amp;Q$1&amp;"°"&amp;$A44),[1]Hoja1!$A:$O,15,0))</f>
        <v>ALONSO, MARIA</v>
      </c>
      <c r="R44" s="52" t="str">
        <f>IF($J44="Formación Técnica Específica",VLOOKUP(IF($J44="Formación Técnica Específica",$B44&amp;"°"&amp;Q$1&amp;"°"&amp;$B44&amp;Q$1&amp;1&amp;$A44,$B44&amp;"°"&amp;Q$1&amp;"°"&amp;$A44),[1]Hoja1!$A:$O,15,0)," ")</f>
        <v xml:space="preserve"> </v>
      </c>
      <c r="S44" s="44" t="e">
        <f>IF($J44="Formación Técnica Específica",VLOOKUP(IF($J44="Formación Técnica Específica",$B44&amp;"°"&amp;S$1&amp;"°"&amp;$B44&amp;S$1&amp;1&amp;$A44,$B44&amp;"°"&amp;S$1&amp;"°"&amp;$A44),[1]Hoja1!$A:$O,15,0),VLOOKUP(IF($J44="Formación Técnica Específica",$B44&amp;"°"&amp;S$1&amp;"°"&amp;$B44&amp;S$1&amp;1&amp;$A44,$B44&amp;"°"&amp;S$1&amp;"°"&amp;$A44),[1]Hoja1!$A:$O,15,0))</f>
        <v>#N/A</v>
      </c>
      <c r="T44" s="52" t="str">
        <f>IF($J44="Formación Técnica Específica",VLOOKUP(IF($J44="Formación Técnica Específica",$B44&amp;"°"&amp;S$1&amp;"°"&amp;$B44&amp;S$1&amp;1&amp;$A44,$B44&amp;"°"&amp;S$1&amp;"°"&amp;$A44),[1]Hoja1!$A:$O,15,0)," ")</f>
        <v xml:space="preserve"> </v>
      </c>
      <c r="U44" s="44" t="e">
        <f>IF($J44="Formación Técnica Específica",VLOOKUP(IF($J44="Formación Técnica Específica",$B44&amp;"°"&amp;U$1&amp;"°"&amp;$B44&amp;U$1&amp;1&amp;$A44,$B44&amp;"°"&amp;U$1&amp;"°"&amp;$A44),[1]Hoja1!$A:$O,15,0),VLOOKUP(IF($J44="Formación Técnica Específica",$B44&amp;"°"&amp;U$1&amp;"°"&amp;$B44&amp;U$1&amp;1&amp;$A44,$B44&amp;"°"&amp;U$1&amp;"°"&amp;$A44),[1]Hoja1!$A:$O,15,0))</f>
        <v>#N/A</v>
      </c>
      <c r="V44" s="52" t="str">
        <f>IF($J44="Formación Técnica Específica",VLOOKUP(IF($J44="Formación Técnica Específica",$B44&amp;"°"&amp;U$1&amp;"°"&amp;$B44&amp;U$1&amp;1&amp;$A44,$B44&amp;"°"&amp;U$1&amp;"°"&amp;$A44),[1]Hoja1!$A:$O,15,0)," ")</f>
        <v xml:space="preserve"> </v>
      </c>
      <c r="W44" s="44" t="e">
        <f>IF($J44="Formación Técnica Específica",VLOOKUP(IF($J44="Formación Técnica Específica",$B44&amp;"°"&amp;W$1&amp;"°"&amp;$B44&amp;W$1&amp;1&amp;$A44,$B44&amp;"°"&amp;W$1&amp;"°"&amp;$A44),[1]Hoja1!$A:$O,15,0),VLOOKUP(IF($J44="Formación Técnica Específica",$B44&amp;"°"&amp;W$1&amp;"°"&amp;$B44&amp;W$1&amp;1&amp;$A44,$B44&amp;"°"&amp;W$1&amp;"°"&amp;$A44),[1]Hoja1!$A:$O,15,0))</f>
        <v>#N/A</v>
      </c>
      <c r="X44" s="52" t="str">
        <f>IF($J44="Formación Técnica Específica",VLOOKUP(IF($J44="Formación Técnica Específica",$B44&amp;"°"&amp;W$1&amp;"°"&amp;$B44&amp;W$1&amp;1&amp;$A44,$B44&amp;"°"&amp;W$1&amp;"°"&amp;$A44),[1]Hoja1!$A:$O,15,0)," ")</f>
        <v xml:space="preserve"> </v>
      </c>
    </row>
    <row r="45" spans="1:24" x14ac:dyDescent="0.25">
      <c r="A45" s="30" t="s">
        <v>77</v>
      </c>
      <c r="B45" s="4">
        <v>4</v>
      </c>
      <c r="C45" s="4" t="s">
        <v>10</v>
      </c>
      <c r="D45" s="4" t="s">
        <v>65</v>
      </c>
      <c r="E45" s="7" t="s">
        <v>66</v>
      </c>
      <c r="F45" s="3">
        <v>4</v>
      </c>
      <c r="G45" s="4" t="s">
        <v>78</v>
      </c>
      <c r="H45" s="4" t="s">
        <v>23</v>
      </c>
      <c r="I45" s="3">
        <v>2</v>
      </c>
      <c r="J45" s="6" t="s">
        <v>290</v>
      </c>
      <c r="K45" s="31" t="s">
        <v>170</v>
      </c>
      <c r="L45" t="str">
        <f t="shared" si="1"/>
        <v>4°4</v>
      </c>
      <c r="M45" s="31"/>
      <c r="N45" s="63" t="str">
        <f t="shared" si="2"/>
        <v>4°4</v>
      </c>
      <c r="O45" s="44" t="str">
        <f>IF($J45="Formación Técnica Específica",VLOOKUP(IF($J45="Formación Técnica Específica",$B45&amp;"°"&amp;O$1&amp;"°"&amp;$B45&amp;O$1&amp;1&amp;$A45,$B45&amp;"°"&amp;O$1&amp;"°"&amp;$A45),[1]Hoja1!$A:$O,15,0),VLOOKUP(IF($J45="Formación Técnica Específica",$B45&amp;"°"&amp;O$1&amp;"°"&amp;$B45&amp;O$1&amp;1&amp;$A45,$B45&amp;"°"&amp;O$1&amp;"°"&amp;$A45),[1]Hoja1!$A:$O,15,0))</f>
        <v xml:space="preserve">LEGUIZAMON ANA </v>
      </c>
      <c r="P45" s="52" t="str">
        <f>IF($J45="Formación Técnica Específica",VLOOKUP(IF($J45="Formación Técnica Específica",$B45&amp;"°"&amp;O$1&amp;"°"&amp;$B45&amp;O$1&amp;1&amp;$A45,$B45&amp;"°"&amp;O$1&amp;"°"&amp;$A45),[1]Hoja1!$A:$O,15,0)," ")</f>
        <v xml:space="preserve"> </v>
      </c>
      <c r="Q45" s="44" t="str">
        <f>IF($J45="Formación Técnica Específica",VLOOKUP(IF($J45="Formación Técnica Específica",$B45&amp;"°"&amp;Q$1&amp;"°"&amp;$B45&amp;Q$1&amp;1&amp;$A45,$B45&amp;"°"&amp;Q$1&amp;"°"&amp;$A45),[1]Hoja1!$A:$O,15,0),VLOOKUP(IF($J45="Formación Técnica Específica",$B45&amp;"°"&amp;Q$1&amp;"°"&amp;$B45&amp;Q$1&amp;1&amp;$A45,$B45&amp;"°"&amp;Q$1&amp;"°"&amp;$A45),[1]Hoja1!$A:$O,15,0))</f>
        <v xml:space="preserve">ARCE KARINA </v>
      </c>
      <c r="R45" s="52" t="str">
        <f>IF($J45="Formación Técnica Específica",VLOOKUP(IF($J45="Formación Técnica Específica",$B45&amp;"°"&amp;Q$1&amp;"°"&amp;$B45&amp;Q$1&amp;1&amp;$A45,$B45&amp;"°"&amp;Q$1&amp;"°"&amp;$A45),[1]Hoja1!$A:$O,15,0)," ")</f>
        <v xml:space="preserve"> </v>
      </c>
      <c r="S45" s="44" t="e">
        <f>IF($J45="Formación Técnica Específica",VLOOKUP(IF($J45="Formación Técnica Específica",$B45&amp;"°"&amp;S$1&amp;"°"&amp;$B45&amp;S$1&amp;1&amp;$A45,$B45&amp;"°"&amp;S$1&amp;"°"&amp;$A45),[1]Hoja1!$A:$O,15,0),VLOOKUP(IF($J45="Formación Técnica Específica",$B45&amp;"°"&amp;S$1&amp;"°"&amp;$B45&amp;S$1&amp;1&amp;$A45,$B45&amp;"°"&amp;S$1&amp;"°"&amp;$A45),[1]Hoja1!$A:$O,15,0))</f>
        <v>#N/A</v>
      </c>
      <c r="T45" s="52" t="str">
        <f>IF($J45="Formación Técnica Específica",VLOOKUP(IF($J45="Formación Técnica Específica",$B45&amp;"°"&amp;S$1&amp;"°"&amp;$B45&amp;S$1&amp;1&amp;$A45,$B45&amp;"°"&amp;S$1&amp;"°"&amp;$A45),[1]Hoja1!$A:$O,15,0)," ")</f>
        <v xml:space="preserve"> </v>
      </c>
      <c r="U45" s="44" t="e">
        <f>IF($J45="Formación Técnica Específica",VLOOKUP(IF($J45="Formación Técnica Específica",$B45&amp;"°"&amp;U$1&amp;"°"&amp;$B45&amp;U$1&amp;1&amp;$A45,$B45&amp;"°"&amp;U$1&amp;"°"&amp;$A45),[1]Hoja1!$A:$O,15,0),VLOOKUP(IF($J45="Formación Técnica Específica",$B45&amp;"°"&amp;U$1&amp;"°"&amp;$B45&amp;U$1&amp;1&amp;$A45,$B45&amp;"°"&amp;U$1&amp;"°"&amp;$A45),[1]Hoja1!$A:$O,15,0))</f>
        <v>#N/A</v>
      </c>
      <c r="V45" s="52" t="str">
        <f>IF($J45="Formación Técnica Específica",VLOOKUP(IF($J45="Formación Técnica Específica",$B45&amp;"°"&amp;U$1&amp;"°"&amp;$B45&amp;U$1&amp;1&amp;$A45,$B45&amp;"°"&amp;U$1&amp;"°"&amp;$A45),[1]Hoja1!$A:$O,15,0)," ")</f>
        <v xml:space="preserve"> </v>
      </c>
      <c r="W45" s="44" t="e">
        <f>IF($J45="Formación Técnica Específica",VLOOKUP(IF($J45="Formación Técnica Específica",$B45&amp;"°"&amp;W$1&amp;"°"&amp;$B45&amp;W$1&amp;1&amp;$A45,$B45&amp;"°"&amp;W$1&amp;"°"&amp;$A45),[1]Hoja1!$A:$O,15,0),VLOOKUP(IF($J45="Formación Técnica Específica",$B45&amp;"°"&amp;W$1&amp;"°"&amp;$B45&amp;W$1&amp;1&amp;$A45,$B45&amp;"°"&amp;W$1&amp;"°"&amp;$A45),[1]Hoja1!$A:$O,15,0))</f>
        <v>#N/A</v>
      </c>
      <c r="X45" s="52" t="str">
        <f>IF($J45="Formación Técnica Específica",VLOOKUP(IF($J45="Formación Técnica Específica",$B45&amp;"°"&amp;W$1&amp;"°"&amp;$B45&amp;W$1&amp;1&amp;$A45,$B45&amp;"°"&amp;W$1&amp;"°"&amp;$A45),[1]Hoja1!$A:$O,15,0)," ")</f>
        <v xml:space="preserve"> </v>
      </c>
    </row>
    <row r="46" spans="1:24" x14ac:dyDescent="0.25">
      <c r="A46" s="30" t="s">
        <v>79</v>
      </c>
      <c r="B46" s="4">
        <v>4</v>
      </c>
      <c r="C46" s="4" t="s">
        <v>10</v>
      </c>
      <c r="D46" s="4" t="s">
        <v>65</v>
      </c>
      <c r="E46" s="7" t="s">
        <v>66</v>
      </c>
      <c r="F46" s="3">
        <v>5</v>
      </c>
      <c r="G46" s="4" t="s">
        <v>80</v>
      </c>
      <c r="H46" s="4" t="s">
        <v>21</v>
      </c>
      <c r="I46" s="3">
        <v>2</v>
      </c>
      <c r="J46" s="6" t="s">
        <v>290</v>
      </c>
      <c r="K46" s="31" t="s">
        <v>172</v>
      </c>
      <c r="L46" t="str">
        <f t="shared" si="1"/>
        <v>4°5</v>
      </c>
      <c r="M46" s="31"/>
      <c r="N46" s="63" t="str">
        <f t="shared" si="2"/>
        <v>4°5</v>
      </c>
      <c r="O46" s="44" t="str">
        <f>IF($J46="Formación Técnica Específica",VLOOKUP(IF($J46="Formación Técnica Específica",$B46&amp;"°"&amp;O$1&amp;"°"&amp;$B46&amp;O$1&amp;1&amp;$A46,$B46&amp;"°"&amp;O$1&amp;"°"&amp;$A46),[1]Hoja1!$A:$O,15,0),VLOOKUP(IF($J46="Formación Técnica Específica",$B46&amp;"°"&amp;O$1&amp;"°"&amp;$B46&amp;O$1&amp;1&amp;$A46,$B46&amp;"°"&amp;O$1&amp;"°"&amp;$A46),[1]Hoja1!$A:$O,15,0))</f>
        <v xml:space="preserve">RIOS LEOINARDO </v>
      </c>
      <c r="P46" s="52" t="str">
        <f>IF($J46="Formación Técnica Específica",VLOOKUP(IF($J46="Formación Técnica Específica",$B46&amp;"°"&amp;O$1&amp;"°"&amp;$B46&amp;O$1&amp;1&amp;$A46,$B46&amp;"°"&amp;O$1&amp;"°"&amp;$A46),[1]Hoja1!$A:$O,15,0)," ")</f>
        <v xml:space="preserve"> </v>
      </c>
      <c r="Q46" s="44" t="str">
        <f>IF($J46="Formación Técnica Específica",VLOOKUP(IF($J46="Formación Técnica Específica",$B46&amp;"°"&amp;Q$1&amp;"°"&amp;$B46&amp;Q$1&amp;1&amp;$A46,$B46&amp;"°"&amp;Q$1&amp;"°"&amp;$A46),[1]Hoja1!$A:$O,15,0),VLOOKUP(IF($J46="Formación Técnica Específica",$B46&amp;"°"&amp;Q$1&amp;"°"&amp;$B46&amp;Q$1&amp;1&amp;$A46,$B46&amp;"°"&amp;Q$1&amp;"°"&amp;$A46),[1]Hoja1!$A:$O,15,0))</f>
        <v>RIOS, LEONARDO</v>
      </c>
      <c r="R46" s="52" t="str">
        <f>IF($J46="Formación Técnica Específica",VLOOKUP(IF($J46="Formación Técnica Específica",$B46&amp;"°"&amp;Q$1&amp;"°"&amp;$B46&amp;Q$1&amp;1&amp;$A46,$B46&amp;"°"&amp;Q$1&amp;"°"&amp;$A46),[1]Hoja1!$A:$O,15,0)," ")</f>
        <v xml:space="preserve"> </v>
      </c>
      <c r="S46" s="44" t="e">
        <f>IF($J46="Formación Técnica Específica",VLOOKUP(IF($J46="Formación Técnica Específica",$B46&amp;"°"&amp;S$1&amp;"°"&amp;$B46&amp;S$1&amp;1&amp;$A46,$B46&amp;"°"&amp;S$1&amp;"°"&amp;$A46),[1]Hoja1!$A:$O,15,0),VLOOKUP(IF($J46="Formación Técnica Específica",$B46&amp;"°"&amp;S$1&amp;"°"&amp;$B46&amp;S$1&amp;1&amp;$A46,$B46&amp;"°"&amp;S$1&amp;"°"&amp;$A46),[1]Hoja1!$A:$O,15,0))</f>
        <v>#N/A</v>
      </c>
      <c r="T46" s="52" t="str">
        <f>IF($J46="Formación Técnica Específica",VLOOKUP(IF($J46="Formación Técnica Específica",$B46&amp;"°"&amp;S$1&amp;"°"&amp;$B46&amp;S$1&amp;1&amp;$A46,$B46&amp;"°"&amp;S$1&amp;"°"&amp;$A46),[1]Hoja1!$A:$O,15,0)," ")</f>
        <v xml:space="preserve"> </v>
      </c>
      <c r="U46" s="44" t="e">
        <f>IF($J46="Formación Técnica Específica",VLOOKUP(IF($J46="Formación Técnica Específica",$B46&amp;"°"&amp;U$1&amp;"°"&amp;$B46&amp;U$1&amp;1&amp;$A46,$B46&amp;"°"&amp;U$1&amp;"°"&amp;$A46),[1]Hoja1!$A:$O,15,0),VLOOKUP(IF($J46="Formación Técnica Específica",$B46&amp;"°"&amp;U$1&amp;"°"&amp;$B46&amp;U$1&amp;1&amp;$A46,$B46&amp;"°"&amp;U$1&amp;"°"&amp;$A46),[1]Hoja1!$A:$O,15,0))</f>
        <v>#N/A</v>
      </c>
      <c r="V46" s="52" t="str">
        <f>IF($J46="Formación Técnica Específica",VLOOKUP(IF($J46="Formación Técnica Específica",$B46&amp;"°"&amp;U$1&amp;"°"&amp;$B46&amp;U$1&amp;1&amp;$A46,$B46&amp;"°"&amp;U$1&amp;"°"&amp;$A46),[1]Hoja1!$A:$O,15,0)," ")</f>
        <v xml:space="preserve"> </v>
      </c>
      <c r="W46" s="44" t="e">
        <f>IF($J46="Formación Técnica Específica",VLOOKUP(IF($J46="Formación Técnica Específica",$B46&amp;"°"&amp;W$1&amp;"°"&amp;$B46&amp;W$1&amp;1&amp;$A46,$B46&amp;"°"&amp;W$1&amp;"°"&amp;$A46),[1]Hoja1!$A:$O,15,0),VLOOKUP(IF($J46="Formación Técnica Específica",$B46&amp;"°"&amp;W$1&amp;"°"&amp;$B46&amp;W$1&amp;1&amp;$A46,$B46&amp;"°"&amp;W$1&amp;"°"&amp;$A46),[1]Hoja1!$A:$O,15,0))</f>
        <v>#N/A</v>
      </c>
      <c r="X46" s="52" t="str">
        <f>IF($J46="Formación Técnica Específica",VLOOKUP(IF($J46="Formación Técnica Específica",$B46&amp;"°"&amp;W$1&amp;"°"&amp;$B46&amp;W$1&amp;1&amp;$A46,$B46&amp;"°"&amp;W$1&amp;"°"&amp;$A46),[1]Hoja1!$A:$O,15,0)," ")</f>
        <v xml:space="preserve"> </v>
      </c>
    </row>
    <row r="47" spans="1:24" x14ac:dyDescent="0.25">
      <c r="A47" s="30" t="s">
        <v>81</v>
      </c>
      <c r="B47" s="4">
        <v>4</v>
      </c>
      <c r="C47" s="4" t="s">
        <v>10</v>
      </c>
      <c r="D47" s="4" t="s">
        <v>65</v>
      </c>
      <c r="E47" s="7" t="s">
        <v>66</v>
      </c>
      <c r="F47" s="3">
        <v>6</v>
      </c>
      <c r="G47" s="4" t="s">
        <v>49</v>
      </c>
      <c r="H47" s="4" t="s">
        <v>50</v>
      </c>
      <c r="I47" s="3">
        <v>2</v>
      </c>
      <c r="J47" s="6" t="s">
        <v>290</v>
      </c>
      <c r="K47" s="31" t="s">
        <v>51</v>
      </c>
      <c r="L47" t="str">
        <f t="shared" si="1"/>
        <v>4°6</v>
      </c>
      <c r="M47" s="31"/>
      <c r="N47" s="63" t="str">
        <f t="shared" si="2"/>
        <v>4°6</v>
      </c>
      <c r="O47" s="44" t="str">
        <f>IF($J47="Formación Técnica Específica",VLOOKUP(IF($J47="Formación Técnica Específica",$B47&amp;"°"&amp;O$1&amp;"°"&amp;$B47&amp;O$1&amp;1&amp;$A47,$B47&amp;"°"&amp;O$1&amp;"°"&amp;$A47),[1]Hoja1!$A:$O,15,0),VLOOKUP(IF($J47="Formación Técnica Específica",$B47&amp;"°"&amp;O$1&amp;"°"&amp;$B47&amp;O$1&amp;1&amp;$A47,$B47&amp;"°"&amp;O$1&amp;"°"&amp;$A47),[1]Hoja1!$A:$O,15,0))</f>
        <v xml:space="preserve">LOPEZ MARINA  </v>
      </c>
      <c r="P47" s="52" t="str">
        <f>IF($J47="Formación Técnica Específica",VLOOKUP(IF($J47="Formación Técnica Específica",$B47&amp;"°"&amp;O$1&amp;"°"&amp;$B47&amp;O$1&amp;1&amp;$A47,$B47&amp;"°"&amp;O$1&amp;"°"&amp;$A47),[1]Hoja1!$A:$O,15,0)," ")</f>
        <v xml:space="preserve"> </v>
      </c>
      <c r="Q47" s="44" t="str">
        <f>IF($J47="Formación Técnica Específica",VLOOKUP(IF($J47="Formación Técnica Específica",$B47&amp;"°"&amp;Q$1&amp;"°"&amp;$B47&amp;Q$1&amp;1&amp;$A47,$B47&amp;"°"&amp;Q$1&amp;"°"&amp;$A47),[1]Hoja1!$A:$O,15,0),VLOOKUP(IF($J47="Formación Técnica Específica",$B47&amp;"°"&amp;Q$1&amp;"°"&amp;$B47&amp;Q$1&amp;1&amp;$A47,$B47&amp;"°"&amp;Q$1&amp;"°"&amp;$A47),[1]Hoja1!$A:$O,15,0))</f>
        <v>VIEYRA CARLOS</v>
      </c>
      <c r="R47" s="52" t="str">
        <f>IF($J47="Formación Técnica Específica",VLOOKUP(IF($J47="Formación Técnica Específica",$B47&amp;"°"&amp;Q$1&amp;"°"&amp;$B47&amp;Q$1&amp;1&amp;$A47,$B47&amp;"°"&amp;Q$1&amp;"°"&amp;$A47),[1]Hoja1!$A:$O,15,0)," ")</f>
        <v xml:space="preserve"> </v>
      </c>
      <c r="S47" s="44" t="e">
        <f>IF($J47="Formación Técnica Específica",VLOOKUP(IF($J47="Formación Técnica Específica",$B47&amp;"°"&amp;S$1&amp;"°"&amp;$B47&amp;S$1&amp;1&amp;$A47,$B47&amp;"°"&amp;S$1&amp;"°"&amp;$A47),[1]Hoja1!$A:$O,15,0),VLOOKUP(IF($J47="Formación Técnica Específica",$B47&amp;"°"&amp;S$1&amp;"°"&amp;$B47&amp;S$1&amp;1&amp;$A47,$B47&amp;"°"&amp;S$1&amp;"°"&amp;$A47),[1]Hoja1!$A:$O,15,0))</f>
        <v>#N/A</v>
      </c>
      <c r="T47" s="52" t="str">
        <f>IF($J47="Formación Técnica Específica",VLOOKUP(IF($J47="Formación Técnica Específica",$B47&amp;"°"&amp;S$1&amp;"°"&amp;$B47&amp;S$1&amp;1&amp;$A47,$B47&amp;"°"&amp;S$1&amp;"°"&amp;$A47),[1]Hoja1!$A:$O,15,0)," ")</f>
        <v xml:space="preserve"> </v>
      </c>
      <c r="U47" s="44" t="e">
        <f>IF($J47="Formación Técnica Específica",VLOOKUP(IF($J47="Formación Técnica Específica",$B47&amp;"°"&amp;U$1&amp;"°"&amp;$B47&amp;U$1&amp;1&amp;$A47,$B47&amp;"°"&amp;U$1&amp;"°"&amp;$A47),[1]Hoja1!$A:$O,15,0),VLOOKUP(IF($J47="Formación Técnica Específica",$B47&amp;"°"&amp;U$1&amp;"°"&amp;$B47&amp;U$1&amp;1&amp;$A47,$B47&amp;"°"&amp;U$1&amp;"°"&amp;$A47),[1]Hoja1!$A:$O,15,0))</f>
        <v>#N/A</v>
      </c>
      <c r="V47" s="52" t="str">
        <f>IF($J47="Formación Técnica Específica",VLOOKUP(IF($J47="Formación Técnica Específica",$B47&amp;"°"&amp;U$1&amp;"°"&amp;$B47&amp;U$1&amp;1&amp;$A47,$B47&amp;"°"&amp;U$1&amp;"°"&amp;$A47),[1]Hoja1!$A:$O,15,0)," ")</f>
        <v xml:space="preserve"> </v>
      </c>
      <c r="W47" s="44" t="e">
        <f>IF($J47="Formación Técnica Específica",VLOOKUP(IF($J47="Formación Técnica Específica",$B47&amp;"°"&amp;W$1&amp;"°"&amp;$B47&amp;W$1&amp;1&amp;$A47,$B47&amp;"°"&amp;W$1&amp;"°"&amp;$A47),[1]Hoja1!$A:$O,15,0),VLOOKUP(IF($J47="Formación Técnica Específica",$B47&amp;"°"&amp;W$1&amp;"°"&amp;$B47&amp;W$1&amp;1&amp;$A47,$B47&amp;"°"&amp;W$1&amp;"°"&amp;$A47),[1]Hoja1!$A:$O,15,0))</f>
        <v>#N/A</v>
      </c>
      <c r="X47" s="52" t="str">
        <f>IF($J47="Formación Técnica Específica",VLOOKUP(IF($J47="Formación Técnica Específica",$B47&amp;"°"&amp;W$1&amp;"°"&amp;$B47&amp;W$1&amp;1&amp;$A47,$B47&amp;"°"&amp;W$1&amp;"°"&amp;$A47),[1]Hoja1!$A:$O,15,0)," ")</f>
        <v xml:space="preserve"> </v>
      </c>
    </row>
    <row r="48" spans="1:24" x14ac:dyDescent="0.25">
      <c r="A48" s="30" t="s">
        <v>82</v>
      </c>
      <c r="B48" s="4">
        <v>4</v>
      </c>
      <c r="C48" s="4" t="s">
        <v>10</v>
      </c>
      <c r="D48" s="4" t="s">
        <v>65</v>
      </c>
      <c r="E48" s="7" t="s">
        <v>66</v>
      </c>
      <c r="F48" s="3">
        <v>7</v>
      </c>
      <c r="G48" s="4" t="s">
        <v>83</v>
      </c>
      <c r="H48" s="4" t="s">
        <v>47</v>
      </c>
      <c r="I48" s="3">
        <v>2</v>
      </c>
      <c r="J48" s="6" t="s">
        <v>290</v>
      </c>
      <c r="K48" s="31" t="s">
        <v>48</v>
      </c>
      <c r="L48" t="str">
        <f t="shared" si="1"/>
        <v>4°7</v>
      </c>
      <c r="M48" s="31"/>
      <c r="N48" s="63" t="str">
        <f t="shared" si="2"/>
        <v>4°7</v>
      </c>
      <c r="O48" s="44" t="str">
        <f>IF($J48="Formación Técnica Específica",VLOOKUP(IF($J48="Formación Técnica Específica",$B48&amp;"°"&amp;O$1&amp;"°"&amp;$B48&amp;O$1&amp;1&amp;$A48,$B48&amp;"°"&amp;O$1&amp;"°"&amp;$A48),[1]Hoja1!$A:$O,15,0),VLOOKUP(IF($J48="Formación Técnica Específica",$B48&amp;"°"&amp;O$1&amp;"°"&amp;$B48&amp;O$1&amp;1&amp;$A48,$B48&amp;"°"&amp;O$1&amp;"°"&amp;$A48),[1]Hoja1!$A:$O,15,0))</f>
        <v>JUAREZ VANESA</v>
      </c>
      <c r="P48" s="52" t="str">
        <f>IF($J48="Formación Técnica Específica",VLOOKUP(IF($J48="Formación Técnica Específica",$B48&amp;"°"&amp;O$1&amp;"°"&amp;$B48&amp;O$1&amp;1&amp;$A48,$B48&amp;"°"&amp;O$1&amp;"°"&amp;$A48),[1]Hoja1!$A:$O,15,0)," ")</f>
        <v xml:space="preserve"> </v>
      </c>
      <c r="Q48" s="44" t="str">
        <f>IF($J48="Formación Técnica Específica",VLOOKUP(IF($J48="Formación Técnica Específica",$B48&amp;"°"&amp;Q$1&amp;"°"&amp;$B48&amp;Q$1&amp;1&amp;$A48,$B48&amp;"°"&amp;Q$1&amp;"°"&amp;$A48),[1]Hoja1!$A:$O,15,0),VLOOKUP(IF($J48="Formación Técnica Específica",$B48&amp;"°"&amp;Q$1&amp;"°"&amp;$B48&amp;Q$1&amp;1&amp;$A48,$B48&amp;"°"&amp;Q$1&amp;"°"&amp;$A48),[1]Hoja1!$A:$O,15,0))</f>
        <v>ANTONELLO, FERNANDO</v>
      </c>
      <c r="R48" s="52" t="str">
        <f>IF($J48="Formación Técnica Específica",VLOOKUP(IF($J48="Formación Técnica Específica",$B48&amp;"°"&amp;Q$1&amp;"°"&amp;$B48&amp;Q$1&amp;1&amp;$A48,$B48&amp;"°"&amp;Q$1&amp;"°"&amp;$A48),[1]Hoja1!$A:$O,15,0)," ")</f>
        <v xml:space="preserve"> </v>
      </c>
      <c r="S48" s="44" t="e">
        <f>IF($J48="Formación Técnica Específica",VLOOKUP(IF($J48="Formación Técnica Específica",$B48&amp;"°"&amp;S$1&amp;"°"&amp;$B48&amp;S$1&amp;1&amp;$A48,$B48&amp;"°"&amp;S$1&amp;"°"&amp;$A48),[1]Hoja1!$A:$O,15,0),VLOOKUP(IF($J48="Formación Técnica Específica",$B48&amp;"°"&amp;S$1&amp;"°"&amp;$B48&amp;S$1&amp;1&amp;$A48,$B48&amp;"°"&amp;S$1&amp;"°"&amp;$A48),[1]Hoja1!$A:$O,15,0))</f>
        <v>#N/A</v>
      </c>
      <c r="T48" s="52" t="str">
        <f>IF($J48="Formación Técnica Específica",VLOOKUP(IF($J48="Formación Técnica Específica",$B48&amp;"°"&amp;S$1&amp;"°"&amp;$B48&amp;S$1&amp;1&amp;$A48,$B48&amp;"°"&amp;S$1&amp;"°"&amp;$A48),[1]Hoja1!$A:$O,15,0)," ")</f>
        <v xml:space="preserve"> </v>
      </c>
      <c r="U48" s="44" t="e">
        <f>IF($J48="Formación Técnica Específica",VLOOKUP(IF($J48="Formación Técnica Específica",$B48&amp;"°"&amp;U$1&amp;"°"&amp;$B48&amp;U$1&amp;1&amp;$A48,$B48&amp;"°"&amp;U$1&amp;"°"&amp;$A48),[1]Hoja1!$A:$O,15,0),VLOOKUP(IF($J48="Formación Técnica Específica",$B48&amp;"°"&amp;U$1&amp;"°"&amp;$B48&amp;U$1&amp;1&amp;$A48,$B48&amp;"°"&amp;U$1&amp;"°"&amp;$A48),[1]Hoja1!$A:$O,15,0))</f>
        <v>#N/A</v>
      </c>
      <c r="V48" s="52" t="str">
        <f>IF($J48="Formación Técnica Específica",VLOOKUP(IF($J48="Formación Técnica Específica",$B48&amp;"°"&amp;U$1&amp;"°"&amp;$B48&amp;U$1&amp;1&amp;$A48,$B48&amp;"°"&amp;U$1&amp;"°"&amp;$A48),[1]Hoja1!$A:$O,15,0)," ")</f>
        <v xml:space="preserve"> </v>
      </c>
      <c r="W48" s="44" t="e">
        <f>IF($J48="Formación Técnica Específica",VLOOKUP(IF($J48="Formación Técnica Específica",$B48&amp;"°"&amp;W$1&amp;"°"&amp;$B48&amp;W$1&amp;1&amp;$A48,$B48&amp;"°"&amp;W$1&amp;"°"&amp;$A48),[1]Hoja1!$A:$O,15,0),VLOOKUP(IF($J48="Formación Técnica Específica",$B48&amp;"°"&amp;W$1&amp;"°"&amp;$B48&amp;W$1&amp;1&amp;$A48,$B48&amp;"°"&amp;W$1&amp;"°"&amp;$A48),[1]Hoja1!$A:$O,15,0))</f>
        <v>#N/A</v>
      </c>
      <c r="X48" s="52" t="str">
        <f>IF($J48="Formación Técnica Específica",VLOOKUP(IF($J48="Formación Técnica Específica",$B48&amp;"°"&amp;W$1&amp;"°"&amp;$B48&amp;W$1&amp;1&amp;$A48,$B48&amp;"°"&amp;W$1&amp;"°"&amp;$A48),[1]Hoja1!$A:$O,15,0)," ")</f>
        <v xml:space="preserve"> </v>
      </c>
    </row>
    <row r="49" spans="1:24" x14ac:dyDescent="0.25">
      <c r="A49" s="30" t="s">
        <v>84</v>
      </c>
      <c r="B49" s="4">
        <v>4</v>
      </c>
      <c r="C49" s="4" t="s">
        <v>10</v>
      </c>
      <c r="D49" s="4" t="s">
        <v>65</v>
      </c>
      <c r="E49" s="7" t="s">
        <v>66</v>
      </c>
      <c r="F49" s="3">
        <v>8</v>
      </c>
      <c r="G49" s="4" t="s">
        <v>85</v>
      </c>
      <c r="H49" s="4" t="s">
        <v>85</v>
      </c>
      <c r="I49" s="3">
        <v>3</v>
      </c>
      <c r="J49" s="6" t="s">
        <v>290</v>
      </c>
      <c r="K49" s="31" t="s">
        <v>86</v>
      </c>
      <c r="L49" t="str">
        <f t="shared" si="1"/>
        <v>4°8</v>
      </c>
      <c r="M49" s="31"/>
      <c r="N49" s="63" t="str">
        <f t="shared" si="2"/>
        <v>4°8</v>
      </c>
      <c r="O49" s="44" t="str">
        <f>IF($J49="Formación Técnica Específica",VLOOKUP(IF($J49="Formación Técnica Específica",$B49&amp;"°"&amp;O$1&amp;"°"&amp;$B49&amp;O$1&amp;1&amp;$A49,$B49&amp;"°"&amp;O$1&amp;"°"&amp;$A49),[1]Hoja1!$A:$O,15,0),VLOOKUP(IF($J49="Formación Técnica Específica",$B49&amp;"°"&amp;O$1&amp;"°"&amp;$B49&amp;O$1&amp;1&amp;$A49,$B49&amp;"°"&amp;O$1&amp;"°"&amp;$A49),[1]Hoja1!$A:$O,15,0))</f>
        <v xml:space="preserve">ESPINDOLA SERGIO                          </v>
      </c>
      <c r="P49" s="52" t="str">
        <f>IF($J49="Formación Técnica Específica",VLOOKUP(IF($J49="Formación Técnica Específica",$B49&amp;"°"&amp;O$1&amp;"°"&amp;$B49&amp;O$1&amp;1&amp;$A49,$B49&amp;"°"&amp;O$1&amp;"°"&amp;$A49),[1]Hoja1!$A:$O,15,0)," ")</f>
        <v xml:space="preserve"> </v>
      </c>
      <c r="Q49" s="44" t="str">
        <f>IF($J49="Formación Técnica Específica",VLOOKUP(IF($J49="Formación Técnica Específica",$B49&amp;"°"&amp;Q$1&amp;"°"&amp;$B49&amp;Q$1&amp;1&amp;$A49,$B49&amp;"°"&amp;Q$1&amp;"°"&amp;$A49),[1]Hoja1!$A:$O,15,0),VLOOKUP(IF($J49="Formación Técnica Específica",$B49&amp;"°"&amp;Q$1&amp;"°"&amp;$B49&amp;Q$1&amp;1&amp;$A49,$B49&amp;"°"&amp;Q$1&amp;"°"&amp;$A49),[1]Hoja1!$A:$O,15,0))</f>
        <v>ESPINDOLA, S</v>
      </c>
      <c r="R49" s="52" t="str">
        <f>IF($J49="Formación Técnica Específica",VLOOKUP(IF($J49="Formación Técnica Específica",$B49&amp;"°"&amp;Q$1&amp;"°"&amp;$B49&amp;Q$1&amp;1&amp;$A49,$B49&amp;"°"&amp;Q$1&amp;"°"&amp;$A49),[1]Hoja1!$A:$O,15,0)," ")</f>
        <v xml:space="preserve"> </v>
      </c>
      <c r="S49" s="44" t="e">
        <f>IF($J49="Formación Técnica Específica",VLOOKUP(IF($J49="Formación Técnica Específica",$B49&amp;"°"&amp;S$1&amp;"°"&amp;$B49&amp;S$1&amp;1&amp;$A49,$B49&amp;"°"&amp;S$1&amp;"°"&amp;$A49),[1]Hoja1!$A:$O,15,0),VLOOKUP(IF($J49="Formación Técnica Específica",$B49&amp;"°"&amp;S$1&amp;"°"&amp;$B49&amp;S$1&amp;1&amp;$A49,$B49&amp;"°"&amp;S$1&amp;"°"&amp;$A49),[1]Hoja1!$A:$O,15,0))</f>
        <v>#N/A</v>
      </c>
      <c r="T49" s="52" t="str">
        <f>IF($J49="Formación Técnica Específica",VLOOKUP(IF($J49="Formación Técnica Específica",$B49&amp;"°"&amp;S$1&amp;"°"&amp;$B49&amp;S$1&amp;1&amp;$A49,$B49&amp;"°"&amp;S$1&amp;"°"&amp;$A49),[1]Hoja1!$A:$O,15,0)," ")</f>
        <v xml:space="preserve"> </v>
      </c>
      <c r="U49" s="44" t="e">
        <f>IF($J49="Formación Técnica Específica",VLOOKUP(IF($J49="Formación Técnica Específica",$B49&amp;"°"&amp;U$1&amp;"°"&amp;$B49&amp;U$1&amp;1&amp;$A49,$B49&amp;"°"&amp;U$1&amp;"°"&amp;$A49),[1]Hoja1!$A:$O,15,0),VLOOKUP(IF($J49="Formación Técnica Específica",$B49&amp;"°"&amp;U$1&amp;"°"&amp;$B49&amp;U$1&amp;1&amp;$A49,$B49&amp;"°"&amp;U$1&amp;"°"&amp;$A49),[1]Hoja1!$A:$O,15,0))</f>
        <v>#N/A</v>
      </c>
      <c r="V49" s="52" t="str">
        <f>IF($J49="Formación Técnica Específica",VLOOKUP(IF($J49="Formación Técnica Específica",$B49&amp;"°"&amp;U$1&amp;"°"&amp;$B49&amp;U$1&amp;1&amp;$A49,$B49&amp;"°"&amp;U$1&amp;"°"&amp;$A49),[1]Hoja1!$A:$O,15,0)," ")</f>
        <v xml:space="preserve"> </v>
      </c>
      <c r="W49" s="44" t="e">
        <f>IF($J49="Formación Técnica Específica",VLOOKUP(IF($J49="Formación Técnica Específica",$B49&amp;"°"&amp;W$1&amp;"°"&amp;$B49&amp;W$1&amp;1&amp;$A49,$B49&amp;"°"&amp;W$1&amp;"°"&amp;$A49),[1]Hoja1!$A:$O,15,0),VLOOKUP(IF($J49="Formación Técnica Específica",$B49&amp;"°"&amp;W$1&amp;"°"&amp;$B49&amp;W$1&amp;1&amp;$A49,$B49&amp;"°"&amp;W$1&amp;"°"&amp;$A49),[1]Hoja1!$A:$O,15,0))</f>
        <v>#N/A</v>
      </c>
      <c r="X49" s="52" t="str">
        <f>IF($J49="Formación Técnica Específica",VLOOKUP(IF($J49="Formación Técnica Específica",$B49&amp;"°"&amp;W$1&amp;"°"&amp;$B49&amp;W$1&amp;1&amp;$A49,$B49&amp;"°"&amp;W$1&amp;"°"&amp;$A49),[1]Hoja1!$A:$O,15,0)," ")</f>
        <v xml:space="preserve"> </v>
      </c>
    </row>
    <row r="50" spans="1:24" x14ac:dyDescent="0.25">
      <c r="A50" s="30" t="s">
        <v>87</v>
      </c>
      <c r="B50" s="4">
        <v>4</v>
      </c>
      <c r="C50" s="4" t="s">
        <v>10</v>
      </c>
      <c r="D50" s="4" t="s">
        <v>65</v>
      </c>
      <c r="E50" s="7" t="s">
        <v>66</v>
      </c>
      <c r="F50" s="3">
        <v>9</v>
      </c>
      <c r="G50" s="4" t="s">
        <v>88</v>
      </c>
      <c r="H50" s="4" t="s">
        <v>89</v>
      </c>
      <c r="I50" s="3">
        <v>2</v>
      </c>
      <c r="J50" s="6" t="s">
        <v>290</v>
      </c>
      <c r="K50" s="31" t="s">
        <v>90</v>
      </c>
      <c r="L50" t="str">
        <f t="shared" si="1"/>
        <v>4°9</v>
      </c>
      <c r="M50" s="31"/>
      <c r="N50" s="63" t="str">
        <f t="shared" si="2"/>
        <v>4°9</v>
      </c>
      <c r="O50" s="44" t="str">
        <f>IF($J50="Formación Técnica Específica",VLOOKUP(IF($J50="Formación Técnica Específica",$B50&amp;"°"&amp;O$1&amp;"°"&amp;$B50&amp;O$1&amp;1&amp;$A50,$B50&amp;"°"&amp;O$1&amp;"°"&amp;$A50),[1]Hoja1!$A:$O,15,0),VLOOKUP(IF($J50="Formación Técnica Específica",$B50&amp;"°"&amp;O$1&amp;"°"&amp;$B50&amp;O$1&amp;1&amp;$A50,$B50&amp;"°"&amp;O$1&amp;"°"&amp;$A50),[1]Hoja1!$A:$O,15,0))</f>
        <v>DIAZ HECTOR</v>
      </c>
      <c r="P50" s="52" t="str">
        <f>IF($J50="Formación Técnica Específica",VLOOKUP(IF($J50="Formación Técnica Específica",$B50&amp;"°"&amp;O$1&amp;"°"&amp;$B50&amp;O$1&amp;1&amp;$A50,$B50&amp;"°"&amp;O$1&amp;"°"&amp;$A50),[1]Hoja1!$A:$O,15,0)," ")</f>
        <v xml:space="preserve"> </v>
      </c>
      <c r="Q50" s="44" t="str">
        <f>IF($J50="Formación Técnica Específica",VLOOKUP(IF($J50="Formación Técnica Específica",$B50&amp;"°"&amp;Q$1&amp;"°"&amp;$B50&amp;Q$1&amp;1&amp;$A50,$B50&amp;"°"&amp;Q$1&amp;"°"&amp;$A50),[1]Hoja1!$A:$O,15,0),VLOOKUP(IF($J50="Formación Técnica Específica",$B50&amp;"°"&amp;Q$1&amp;"°"&amp;$B50&amp;Q$1&amp;1&amp;$A50,$B50&amp;"°"&amp;Q$1&amp;"°"&amp;$A50),[1]Hoja1!$A:$O,15,0))</f>
        <v>RODRIGUEZ GUTIERRES, PAOLA</v>
      </c>
      <c r="R50" s="52" t="str">
        <f>IF($J50="Formación Técnica Específica",VLOOKUP(IF($J50="Formación Técnica Específica",$B50&amp;"°"&amp;Q$1&amp;"°"&amp;$B50&amp;Q$1&amp;1&amp;$A50,$B50&amp;"°"&amp;Q$1&amp;"°"&amp;$A50),[1]Hoja1!$A:$O,15,0)," ")</f>
        <v xml:space="preserve"> </v>
      </c>
      <c r="S50" s="44" t="e">
        <f>IF($J50="Formación Técnica Específica",VLOOKUP(IF($J50="Formación Técnica Específica",$B50&amp;"°"&amp;S$1&amp;"°"&amp;$B50&amp;S$1&amp;1&amp;$A50,$B50&amp;"°"&amp;S$1&amp;"°"&amp;$A50),[1]Hoja1!$A:$O,15,0),VLOOKUP(IF($J50="Formación Técnica Específica",$B50&amp;"°"&amp;S$1&amp;"°"&amp;$B50&amp;S$1&amp;1&amp;$A50,$B50&amp;"°"&amp;S$1&amp;"°"&amp;$A50),[1]Hoja1!$A:$O,15,0))</f>
        <v>#N/A</v>
      </c>
      <c r="T50" s="52" t="str">
        <f>IF($J50="Formación Técnica Específica",VLOOKUP(IF($J50="Formación Técnica Específica",$B50&amp;"°"&amp;S$1&amp;"°"&amp;$B50&amp;S$1&amp;1&amp;$A50,$B50&amp;"°"&amp;S$1&amp;"°"&amp;$A50),[1]Hoja1!$A:$O,15,0)," ")</f>
        <v xml:space="preserve"> </v>
      </c>
      <c r="U50" s="44" t="e">
        <f>IF($J50="Formación Técnica Específica",VLOOKUP(IF($J50="Formación Técnica Específica",$B50&amp;"°"&amp;U$1&amp;"°"&amp;$B50&amp;U$1&amp;1&amp;$A50,$B50&amp;"°"&amp;U$1&amp;"°"&amp;$A50),[1]Hoja1!$A:$O,15,0),VLOOKUP(IF($J50="Formación Técnica Específica",$B50&amp;"°"&amp;U$1&amp;"°"&amp;$B50&amp;U$1&amp;1&amp;$A50,$B50&amp;"°"&amp;U$1&amp;"°"&amp;$A50),[1]Hoja1!$A:$O,15,0))</f>
        <v>#N/A</v>
      </c>
      <c r="V50" s="52" t="str">
        <f>IF($J50="Formación Técnica Específica",VLOOKUP(IF($J50="Formación Técnica Específica",$B50&amp;"°"&amp;U$1&amp;"°"&amp;$B50&amp;U$1&amp;1&amp;$A50,$B50&amp;"°"&amp;U$1&amp;"°"&amp;$A50),[1]Hoja1!$A:$O,15,0)," ")</f>
        <v xml:space="preserve"> </v>
      </c>
      <c r="W50" s="44" t="e">
        <f>IF($J50="Formación Técnica Específica",VLOOKUP(IF($J50="Formación Técnica Específica",$B50&amp;"°"&amp;W$1&amp;"°"&amp;$B50&amp;W$1&amp;1&amp;$A50,$B50&amp;"°"&amp;W$1&amp;"°"&amp;$A50),[1]Hoja1!$A:$O,15,0),VLOOKUP(IF($J50="Formación Técnica Específica",$B50&amp;"°"&amp;W$1&amp;"°"&amp;$B50&amp;W$1&amp;1&amp;$A50,$B50&amp;"°"&amp;W$1&amp;"°"&amp;$A50),[1]Hoja1!$A:$O,15,0))</f>
        <v>#N/A</v>
      </c>
      <c r="X50" s="52" t="str">
        <f>IF($J50="Formación Técnica Específica",VLOOKUP(IF($J50="Formación Técnica Específica",$B50&amp;"°"&amp;W$1&amp;"°"&amp;$B50&amp;W$1&amp;1&amp;$A50,$B50&amp;"°"&amp;W$1&amp;"°"&amp;$A50),[1]Hoja1!$A:$O,15,0)," ")</f>
        <v xml:space="preserve"> </v>
      </c>
    </row>
    <row r="51" spans="1:24" x14ac:dyDescent="0.25">
      <c r="A51" s="30" t="s">
        <v>91</v>
      </c>
      <c r="B51" s="4">
        <v>4</v>
      </c>
      <c r="C51" s="4" t="s">
        <v>10</v>
      </c>
      <c r="D51" s="4" t="s">
        <v>65</v>
      </c>
      <c r="E51" s="7" t="s">
        <v>66</v>
      </c>
      <c r="F51" s="3">
        <v>10</v>
      </c>
      <c r="G51" s="4" t="s">
        <v>92</v>
      </c>
      <c r="H51" s="4" t="s">
        <v>93</v>
      </c>
      <c r="I51" s="3">
        <v>2</v>
      </c>
      <c r="J51" s="6" t="s">
        <v>290</v>
      </c>
      <c r="K51" s="31" t="s">
        <v>94</v>
      </c>
      <c r="L51" t="str">
        <f t="shared" si="1"/>
        <v>4°10</v>
      </c>
      <c r="M51" s="31"/>
      <c r="N51" s="63" t="str">
        <f t="shared" si="2"/>
        <v>4°10</v>
      </c>
      <c r="O51" s="44" t="str">
        <f>IF($J51="Formación Técnica Específica",VLOOKUP(IF($J51="Formación Técnica Específica",$B51&amp;"°"&amp;O$1&amp;"°"&amp;$B51&amp;O$1&amp;1&amp;$A51,$B51&amp;"°"&amp;O$1&amp;"°"&amp;$A51),[1]Hoja1!$A:$O,15,0),VLOOKUP(IF($J51="Formación Técnica Específica",$B51&amp;"°"&amp;O$1&amp;"°"&amp;$B51&amp;O$1&amp;1&amp;$A51,$B51&amp;"°"&amp;O$1&amp;"°"&amp;$A51),[1]Hoja1!$A:$O,15,0))</f>
        <v>FEDERICO GAUNA</v>
      </c>
      <c r="P51" s="52" t="str">
        <f>IF($J51="Formación Técnica Específica",VLOOKUP(IF($J51="Formación Técnica Específica",$B51&amp;"°"&amp;O$1&amp;"°"&amp;$B51&amp;O$1&amp;1&amp;$A51,$B51&amp;"°"&amp;O$1&amp;"°"&amp;$A51),[1]Hoja1!$A:$O,15,0)," ")</f>
        <v xml:space="preserve"> </v>
      </c>
      <c r="Q51" s="44" t="str">
        <f>IF($J51="Formación Técnica Específica",VLOOKUP(IF($J51="Formación Técnica Específica",$B51&amp;"°"&amp;Q$1&amp;"°"&amp;$B51&amp;Q$1&amp;1&amp;$A51,$B51&amp;"°"&amp;Q$1&amp;"°"&amp;$A51),[1]Hoja1!$A:$O,15,0),VLOOKUP(IF($J51="Formación Técnica Específica",$B51&amp;"°"&amp;Q$1&amp;"°"&amp;$B51&amp;Q$1&amp;1&amp;$A51,$B51&amp;"°"&amp;Q$1&amp;"°"&amp;$A51),[1]Hoja1!$A:$O,15,0))</f>
        <v>BARONI, ROBERTO</v>
      </c>
      <c r="R51" s="52" t="str">
        <f>IF($J51="Formación Técnica Específica",VLOOKUP(IF($J51="Formación Técnica Específica",$B51&amp;"°"&amp;Q$1&amp;"°"&amp;$B51&amp;Q$1&amp;1&amp;$A51,$B51&amp;"°"&amp;Q$1&amp;"°"&amp;$A51),[1]Hoja1!$A:$O,15,0)," ")</f>
        <v xml:space="preserve"> </v>
      </c>
      <c r="S51" s="44" t="e">
        <f>IF($J51="Formación Técnica Específica",VLOOKUP(IF($J51="Formación Técnica Específica",$B51&amp;"°"&amp;S$1&amp;"°"&amp;$B51&amp;S$1&amp;1&amp;$A51,$B51&amp;"°"&amp;S$1&amp;"°"&amp;$A51),[1]Hoja1!$A:$O,15,0),VLOOKUP(IF($J51="Formación Técnica Específica",$B51&amp;"°"&amp;S$1&amp;"°"&amp;$B51&amp;S$1&amp;1&amp;$A51,$B51&amp;"°"&amp;S$1&amp;"°"&amp;$A51),[1]Hoja1!$A:$O,15,0))</f>
        <v>#N/A</v>
      </c>
      <c r="T51" s="52" t="str">
        <f>IF($J51="Formación Técnica Específica",VLOOKUP(IF($J51="Formación Técnica Específica",$B51&amp;"°"&amp;S$1&amp;"°"&amp;$B51&amp;S$1&amp;1&amp;$A51,$B51&amp;"°"&amp;S$1&amp;"°"&amp;$A51),[1]Hoja1!$A:$O,15,0)," ")</f>
        <v xml:space="preserve"> </v>
      </c>
      <c r="U51" s="44" t="e">
        <f>IF($J51="Formación Técnica Específica",VLOOKUP(IF($J51="Formación Técnica Específica",$B51&amp;"°"&amp;U$1&amp;"°"&amp;$B51&amp;U$1&amp;1&amp;$A51,$B51&amp;"°"&amp;U$1&amp;"°"&amp;$A51),[1]Hoja1!$A:$O,15,0),VLOOKUP(IF($J51="Formación Técnica Específica",$B51&amp;"°"&amp;U$1&amp;"°"&amp;$B51&amp;U$1&amp;1&amp;$A51,$B51&amp;"°"&amp;U$1&amp;"°"&amp;$A51),[1]Hoja1!$A:$O,15,0))</f>
        <v>#N/A</v>
      </c>
      <c r="V51" s="52" t="str">
        <f>IF($J51="Formación Técnica Específica",VLOOKUP(IF($J51="Formación Técnica Específica",$B51&amp;"°"&amp;U$1&amp;"°"&amp;$B51&amp;U$1&amp;1&amp;$A51,$B51&amp;"°"&amp;U$1&amp;"°"&amp;$A51),[1]Hoja1!$A:$O,15,0)," ")</f>
        <v xml:space="preserve"> </v>
      </c>
      <c r="W51" s="44" t="e">
        <f>IF($J51="Formación Técnica Específica",VLOOKUP(IF($J51="Formación Técnica Específica",$B51&amp;"°"&amp;W$1&amp;"°"&amp;$B51&amp;W$1&amp;1&amp;$A51,$B51&amp;"°"&amp;W$1&amp;"°"&amp;$A51),[1]Hoja1!$A:$O,15,0),VLOOKUP(IF($J51="Formación Técnica Específica",$B51&amp;"°"&amp;W$1&amp;"°"&amp;$B51&amp;W$1&amp;1&amp;$A51,$B51&amp;"°"&amp;W$1&amp;"°"&amp;$A51),[1]Hoja1!$A:$O,15,0))</f>
        <v>#N/A</v>
      </c>
      <c r="X51" s="52" t="str">
        <f>IF($J51="Formación Técnica Específica",VLOOKUP(IF($J51="Formación Técnica Específica",$B51&amp;"°"&amp;W$1&amp;"°"&amp;$B51&amp;W$1&amp;1&amp;$A51,$B51&amp;"°"&amp;W$1&amp;"°"&amp;$A51),[1]Hoja1!$A:$O,15,0)," ")</f>
        <v xml:space="preserve"> </v>
      </c>
    </row>
    <row r="52" spans="1:24" x14ac:dyDescent="0.25">
      <c r="A52" s="30" t="s">
        <v>95</v>
      </c>
      <c r="B52" s="4">
        <v>4</v>
      </c>
      <c r="C52" s="4" t="s">
        <v>10</v>
      </c>
      <c r="D52" s="4" t="s">
        <v>65</v>
      </c>
      <c r="E52" s="7" t="s">
        <v>66</v>
      </c>
      <c r="F52" s="3">
        <v>11</v>
      </c>
      <c r="G52" s="4" t="s">
        <v>96</v>
      </c>
      <c r="H52" s="4" t="s">
        <v>97</v>
      </c>
      <c r="I52" s="3">
        <v>2</v>
      </c>
      <c r="J52" s="6" t="s">
        <v>33</v>
      </c>
      <c r="K52" s="31" t="s">
        <v>98</v>
      </c>
      <c r="L52" t="str">
        <f t="shared" si="1"/>
        <v>4°11</v>
      </c>
      <c r="M52" s="31"/>
      <c r="N52" s="63" t="str">
        <f t="shared" si="2"/>
        <v>4°11</v>
      </c>
      <c r="O52" s="44" t="str">
        <f>IF($J52="Formación Técnica Específica",VLOOKUP(IF($J52="Formación Técnica Específica",$B52&amp;"°"&amp;O$1&amp;"°"&amp;$B52&amp;O$1&amp;1&amp;$A52,$B52&amp;"°"&amp;O$1&amp;"°"&amp;$A52),[1]Hoja1!$A:$O,15,0),VLOOKUP(IF($J52="Formación Técnica Específica",$B52&amp;"°"&amp;O$1&amp;"°"&amp;$B52&amp;O$1&amp;1&amp;$A52,$B52&amp;"°"&amp;O$1&amp;"°"&amp;$A52),[1]Hoja1!$A:$O,15,0))</f>
        <v>HERRERA STELLA MARIS</v>
      </c>
      <c r="P52" s="52" t="str">
        <f>IF($J52="Formación Técnica Específica",VLOOKUP(IF($J52="Formación Técnica Específica",$B52&amp;"°"&amp;O$1&amp;"°"&amp;$B52&amp;O$1&amp;1&amp;$A52,$B52&amp;"°"&amp;O$1&amp;"°"&amp;$A52),[1]Hoja1!$A:$O,15,0)," ")</f>
        <v>HERRERA STELLA MARIS</v>
      </c>
      <c r="Q52" s="44" t="str">
        <f>IF($J52="Formación Técnica Específica",VLOOKUP(IF($J52="Formación Técnica Específica",$B52&amp;"°"&amp;Q$1&amp;"°"&amp;$B52&amp;Q$1&amp;1&amp;$A52,$B52&amp;"°"&amp;Q$1&amp;"°"&amp;$A52),[1]Hoja1!$A:$O,15,0),VLOOKUP(IF($J52="Formación Técnica Específica",$B52&amp;"°"&amp;Q$1&amp;"°"&amp;$B52&amp;Q$1&amp;1&amp;$A52,$B52&amp;"°"&amp;Q$1&amp;"°"&amp;$A52),[1]Hoja1!$A:$O,15,0))</f>
        <v>PROCHOR GLORIA</v>
      </c>
      <c r="R52" s="52" t="str">
        <f>IF($J52="Formación Técnica Específica",VLOOKUP(IF($J52="Formación Técnica Específica",$B52&amp;"°"&amp;Q$1&amp;"°"&amp;$B52&amp;Q$1&amp;1&amp;$A52,$B52&amp;"°"&amp;Q$1&amp;"°"&amp;$A52),[1]Hoja1!$A:$O,15,0)," ")</f>
        <v>PROCHOR GLORIA</v>
      </c>
      <c r="S52" s="44" t="e">
        <f>IF($J52="Formación Técnica Específica",VLOOKUP(IF($J52="Formación Técnica Específica",$B52&amp;"°"&amp;S$1&amp;"°"&amp;$B52&amp;S$1&amp;1&amp;$A52,$B52&amp;"°"&amp;S$1&amp;"°"&amp;$A52),[1]Hoja1!$A:$O,15,0),VLOOKUP(IF($J52="Formación Técnica Específica",$B52&amp;"°"&amp;S$1&amp;"°"&amp;$B52&amp;S$1&amp;1&amp;$A52,$B52&amp;"°"&amp;S$1&amp;"°"&amp;$A52),[1]Hoja1!$A:$O,15,0))</f>
        <v>#N/A</v>
      </c>
      <c r="T52" s="52" t="e">
        <f>IF($J52="Formación Técnica Específica",VLOOKUP(IF($J52="Formación Técnica Específica",$B52&amp;"°"&amp;S$1&amp;"°"&amp;$B52&amp;S$1&amp;1&amp;$A52,$B52&amp;"°"&amp;S$1&amp;"°"&amp;$A52),[1]Hoja1!$A:$O,15,0)," ")</f>
        <v>#N/A</v>
      </c>
      <c r="U52" s="44" t="e">
        <f>IF($J52="Formación Técnica Específica",VLOOKUP(IF($J52="Formación Técnica Específica",$B52&amp;"°"&amp;U$1&amp;"°"&amp;$B52&amp;U$1&amp;1&amp;$A52,$B52&amp;"°"&amp;U$1&amp;"°"&amp;$A52),[1]Hoja1!$A:$O,15,0),VLOOKUP(IF($J52="Formación Técnica Específica",$B52&amp;"°"&amp;U$1&amp;"°"&amp;$B52&amp;U$1&amp;1&amp;$A52,$B52&amp;"°"&amp;U$1&amp;"°"&amp;$A52),[1]Hoja1!$A:$O,15,0))</f>
        <v>#N/A</v>
      </c>
      <c r="V52" s="52" t="e">
        <f>IF($J52="Formación Técnica Específica",VLOOKUP(IF($J52="Formación Técnica Específica",$B52&amp;"°"&amp;U$1&amp;"°"&amp;$B52&amp;U$1&amp;1&amp;$A52,$B52&amp;"°"&amp;U$1&amp;"°"&amp;$A52),[1]Hoja1!$A:$O,15,0)," ")</f>
        <v>#N/A</v>
      </c>
      <c r="W52" s="44" t="e">
        <f>IF($J52="Formación Técnica Específica",VLOOKUP(IF($J52="Formación Técnica Específica",$B52&amp;"°"&amp;W$1&amp;"°"&amp;$B52&amp;W$1&amp;1&amp;$A52,$B52&amp;"°"&amp;W$1&amp;"°"&amp;$A52),[1]Hoja1!$A:$O,15,0),VLOOKUP(IF($J52="Formación Técnica Específica",$B52&amp;"°"&amp;W$1&amp;"°"&amp;$B52&amp;W$1&amp;1&amp;$A52,$B52&amp;"°"&amp;W$1&amp;"°"&amp;$A52),[1]Hoja1!$A:$O,15,0))</f>
        <v>#N/A</v>
      </c>
      <c r="X52" s="52" t="e">
        <f>IF($J52="Formación Técnica Específica",VLOOKUP(IF($J52="Formación Técnica Específica",$B52&amp;"°"&amp;W$1&amp;"°"&amp;$B52&amp;W$1&amp;1&amp;$A52,$B52&amp;"°"&amp;W$1&amp;"°"&amp;$A52),[1]Hoja1!$A:$O,15,0)," ")</f>
        <v>#N/A</v>
      </c>
    </row>
    <row r="53" spans="1:24" x14ac:dyDescent="0.25">
      <c r="A53" s="30" t="s">
        <v>99</v>
      </c>
      <c r="B53" s="4">
        <v>4</v>
      </c>
      <c r="C53" s="4" t="s">
        <v>10</v>
      </c>
      <c r="D53" s="4" t="s">
        <v>65</v>
      </c>
      <c r="E53" s="7" t="s">
        <v>66</v>
      </c>
      <c r="F53" s="3">
        <v>12</v>
      </c>
      <c r="G53" s="4" t="s">
        <v>100</v>
      </c>
      <c r="H53" s="4" t="s">
        <v>101</v>
      </c>
      <c r="I53" s="3">
        <v>4</v>
      </c>
      <c r="J53" s="6" t="s">
        <v>33</v>
      </c>
      <c r="K53" s="31" t="s">
        <v>102</v>
      </c>
      <c r="L53" t="str">
        <f t="shared" si="1"/>
        <v>4°12</v>
      </c>
      <c r="M53" s="31"/>
      <c r="N53" s="63" t="str">
        <f t="shared" si="2"/>
        <v>4°12</v>
      </c>
      <c r="O53" s="44" t="str">
        <f>IF($J53="Formación Técnica Específica",VLOOKUP(IF($J53="Formación Técnica Específica",$B53&amp;"°"&amp;O$1&amp;"°"&amp;$B53&amp;O$1&amp;1&amp;$A53,$B53&amp;"°"&amp;O$1&amp;"°"&amp;$A53),[1]Hoja1!$A:$O,15,0),VLOOKUP(IF($J53="Formación Técnica Específica",$B53&amp;"°"&amp;O$1&amp;"°"&amp;$B53&amp;O$1&amp;1&amp;$A53,$B53&amp;"°"&amp;O$1&amp;"°"&amp;$A53),[1]Hoja1!$A:$O,15,0))</f>
        <v>HERRERA STELLA 27- 29.873.235-7</v>
      </c>
      <c r="P53" s="52" t="str">
        <f>IF($J53="Formación Técnica Específica",VLOOKUP(IF($J53="Formación Técnica Específica",$B53&amp;"°"&amp;O$1&amp;"°"&amp;$B53&amp;O$1&amp;1&amp;$A53,$B53&amp;"°"&amp;O$1&amp;"°"&amp;$A53),[1]Hoja1!$A:$O,15,0)," ")</f>
        <v>HERRERA STELLA 27- 29.873.235-7</v>
      </c>
      <c r="Q53" s="44" t="str">
        <f>IF($J53="Formación Técnica Específica",VLOOKUP(IF($J53="Formación Técnica Específica",$B53&amp;"°"&amp;Q$1&amp;"°"&amp;$B53&amp;Q$1&amp;1&amp;$A53,$B53&amp;"°"&amp;Q$1&amp;"°"&amp;$A53),[1]Hoja1!$A:$O,15,0),VLOOKUP(IF($J53="Formación Técnica Específica",$B53&amp;"°"&amp;Q$1&amp;"°"&amp;$B53&amp;Q$1&amp;1&amp;$A53,$B53&amp;"°"&amp;Q$1&amp;"°"&amp;$A53),[1]Hoja1!$A:$O,15,0))</f>
        <v>GAUNA FEDERICO</v>
      </c>
      <c r="R53" s="52" t="str">
        <f>IF($J53="Formación Técnica Específica",VLOOKUP(IF($J53="Formación Técnica Específica",$B53&amp;"°"&amp;Q$1&amp;"°"&amp;$B53&amp;Q$1&amp;1&amp;$A53,$B53&amp;"°"&amp;Q$1&amp;"°"&amp;$A53),[1]Hoja1!$A:$O,15,0)," ")</f>
        <v>GAUNA FEDERICO</v>
      </c>
      <c r="S53" s="44" t="e">
        <f>IF($J53="Formación Técnica Específica",VLOOKUP(IF($J53="Formación Técnica Específica",$B53&amp;"°"&amp;S$1&amp;"°"&amp;$B53&amp;S$1&amp;1&amp;$A53,$B53&amp;"°"&amp;S$1&amp;"°"&amp;$A53),[1]Hoja1!$A:$O,15,0),VLOOKUP(IF($J53="Formación Técnica Específica",$B53&amp;"°"&amp;S$1&amp;"°"&amp;$B53&amp;S$1&amp;1&amp;$A53,$B53&amp;"°"&amp;S$1&amp;"°"&amp;$A53),[1]Hoja1!$A:$O,15,0))</f>
        <v>#N/A</v>
      </c>
      <c r="T53" s="52" t="e">
        <f>IF($J53="Formación Técnica Específica",VLOOKUP(IF($J53="Formación Técnica Específica",$B53&amp;"°"&amp;S$1&amp;"°"&amp;$B53&amp;S$1&amp;1&amp;$A53,$B53&amp;"°"&amp;S$1&amp;"°"&amp;$A53),[1]Hoja1!$A:$O,15,0)," ")</f>
        <v>#N/A</v>
      </c>
      <c r="U53" s="44" t="e">
        <f>IF($J53="Formación Técnica Específica",VLOOKUP(IF($J53="Formación Técnica Específica",$B53&amp;"°"&amp;U$1&amp;"°"&amp;$B53&amp;U$1&amp;1&amp;$A53,$B53&amp;"°"&amp;U$1&amp;"°"&amp;$A53),[1]Hoja1!$A:$O,15,0),VLOOKUP(IF($J53="Formación Técnica Específica",$B53&amp;"°"&amp;U$1&amp;"°"&amp;$B53&amp;U$1&amp;1&amp;$A53,$B53&amp;"°"&amp;U$1&amp;"°"&amp;$A53),[1]Hoja1!$A:$O,15,0))</f>
        <v>#N/A</v>
      </c>
      <c r="V53" s="52" t="e">
        <f>IF($J53="Formación Técnica Específica",VLOOKUP(IF($J53="Formación Técnica Específica",$B53&amp;"°"&amp;U$1&amp;"°"&amp;$B53&amp;U$1&amp;1&amp;$A53,$B53&amp;"°"&amp;U$1&amp;"°"&amp;$A53),[1]Hoja1!$A:$O,15,0)," ")</f>
        <v>#N/A</v>
      </c>
      <c r="W53" s="44" t="e">
        <f>IF($J53="Formación Técnica Específica",VLOOKUP(IF($J53="Formación Técnica Específica",$B53&amp;"°"&amp;W$1&amp;"°"&amp;$B53&amp;W$1&amp;1&amp;$A53,$B53&amp;"°"&amp;W$1&amp;"°"&amp;$A53),[1]Hoja1!$A:$O,15,0),VLOOKUP(IF($J53="Formación Técnica Específica",$B53&amp;"°"&amp;W$1&amp;"°"&amp;$B53&amp;W$1&amp;1&amp;$A53,$B53&amp;"°"&amp;W$1&amp;"°"&amp;$A53),[1]Hoja1!$A:$O,15,0))</f>
        <v>#N/A</v>
      </c>
      <c r="X53" s="52" t="e">
        <f>IF($J53="Formación Técnica Específica",VLOOKUP(IF($J53="Formación Técnica Específica",$B53&amp;"°"&amp;W$1&amp;"°"&amp;$B53&amp;W$1&amp;1&amp;$A53,$B53&amp;"°"&amp;W$1&amp;"°"&amp;$A53),[1]Hoja1!$A:$O,15,0)," ")</f>
        <v>#N/A</v>
      </c>
    </row>
    <row r="54" spans="1:24" x14ac:dyDescent="0.25">
      <c r="A54" s="30" t="s">
        <v>103</v>
      </c>
      <c r="B54" s="4">
        <v>4</v>
      </c>
      <c r="C54" s="4" t="s">
        <v>10</v>
      </c>
      <c r="D54" s="4" t="s">
        <v>65</v>
      </c>
      <c r="E54" s="7" t="s">
        <v>66</v>
      </c>
      <c r="F54" s="3">
        <v>13</v>
      </c>
      <c r="G54" s="4" t="s">
        <v>104</v>
      </c>
      <c r="H54" s="4" t="s">
        <v>105</v>
      </c>
      <c r="I54" s="3">
        <v>4</v>
      </c>
      <c r="J54" s="6" t="s">
        <v>33</v>
      </c>
      <c r="K54" s="31" t="s">
        <v>106</v>
      </c>
      <c r="L54" t="str">
        <f t="shared" si="1"/>
        <v>4°13</v>
      </c>
      <c r="M54" s="31"/>
      <c r="N54" s="63" t="str">
        <f t="shared" si="2"/>
        <v>4°13</v>
      </c>
      <c r="O54" s="44" t="str">
        <f>IF($J54="Formación Técnica Específica",VLOOKUP(IF($J54="Formación Técnica Específica",$B54&amp;"°"&amp;O$1&amp;"°"&amp;$B54&amp;O$1&amp;1&amp;$A54,$B54&amp;"°"&amp;O$1&amp;"°"&amp;$A54),[1]Hoja1!$A:$O,15,0),VLOOKUP(IF($J54="Formación Técnica Específica",$B54&amp;"°"&amp;O$1&amp;"°"&amp;$B54&amp;O$1&amp;1&amp;$A54,$B54&amp;"°"&amp;O$1&amp;"°"&amp;$A54),[1]Hoja1!$A:$O,15,0))</f>
        <v>HERRERA LEONEL</v>
      </c>
      <c r="P54" s="52" t="str">
        <f>IF($J54="Formación Técnica Específica",VLOOKUP(IF($J54="Formación Técnica Específica",$B54&amp;"°"&amp;O$1&amp;"°"&amp;$B54&amp;O$1&amp;1&amp;$A54,$B54&amp;"°"&amp;O$1&amp;"°"&amp;$A54),[1]Hoja1!$A:$O,15,0)," ")</f>
        <v>HERRERA LEONEL</v>
      </c>
      <c r="Q54" s="44" t="str">
        <f>IF($J54="Formación Técnica Específica",VLOOKUP(IF($J54="Formación Técnica Específica",$B54&amp;"°"&amp;Q$1&amp;"°"&amp;$B54&amp;Q$1&amp;1&amp;$A54,$B54&amp;"°"&amp;Q$1&amp;"°"&amp;$A54),[1]Hoja1!$A:$O,15,0),VLOOKUP(IF($J54="Formación Técnica Específica",$B54&amp;"°"&amp;Q$1&amp;"°"&amp;$B54&amp;Q$1&amp;1&amp;$A54,$B54&amp;"°"&amp;Q$1&amp;"°"&amp;$A54),[1]Hoja1!$A:$O,15,0))</f>
        <v>AGUIRRE ISABEL ITATI</v>
      </c>
      <c r="R54" s="52" t="str">
        <f>IF($J54="Formación Técnica Específica",VLOOKUP(IF($J54="Formación Técnica Específica",$B54&amp;"°"&amp;Q$1&amp;"°"&amp;$B54&amp;Q$1&amp;1&amp;$A54,$B54&amp;"°"&amp;Q$1&amp;"°"&amp;$A54),[1]Hoja1!$A:$O,15,0)," ")</f>
        <v>AGUIRRE ISABEL ITATI</v>
      </c>
      <c r="S54" s="44" t="e">
        <f>IF($J54="Formación Técnica Específica",VLOOKUP(IF($J54="Formación Técnica Específica",$B54&amp;"°"&amp;S$1&amp;"°"&amp;$B54&amp;S$1&amp;1&amp;$A54,$B54&amp;"°"&amp;S$1&amp;"°"&amp;$A54),[1]Hoja1!$A:$O,15,0),VLOOKUP(IF($J54="Formación Técnica Específica",$B54&amp;"°"&amp;S$1&amp;"°"&amp;$B54&amp;S$1&amp;1&amp;$A54,$B54&amp;"°"&amp;S$1&amp;"°"&amp;$A54),[1]Hoja1!$A:$O,15,0))</f>
        <v>#N/A</v>
      </c>
      <c r="T54" s="52" t="e">
        <f>IF($J54="Formación Técnica Específica",VLOOKUP(IF($J54="Formación Técnica Específica",$B54&amp;"°"&amp;S$1&amp;"°"&amp;$B54&amp;S$1&amp;1&amp;$A54,$B54&amp;"°"&amp;S$1&amp;"°"&amp;$A54),[1]Hoja1!$A:$O,15,0)," ")</f>
        <v>#N/A</v>
      </c>
      <c r="U54" s="44" t="e">
        <f>IF($J54="Formación Técnica Específica",VLOOKUP(IF($J54="Formación Técnica Específica",$B54&amp;"°"&amp;U$1&amp;"°"&amp;$B54&amp;U$1&amp;1&amp;$A54,$B54&amp;"°"&amp;U$1&amp;"°"&amp;$A54),[1]Hoja1!$A:$O,15,0),VLOOKUP(IF($J54="Formación Técnica Específica",$B54&amp;"°"&amp;U$1&amp;"°"&amp;$B54&amp;U$1&amp;1&amp;$A54,$B54&amp;"°"&amp;U$1&amp;"°"&amp;$A54),[1]Hoja1!$A:$O,15,0))</f>
        <v>#N/A</v>
      </c>
      <c r="V54" s="52" t="e">
        <f>IF($J54="Formación Técnica Específica",VLOOKUP(IF($J54="Formación Técnica Específica",$B54&amp;"°"&amp;U$1&amp;"°"&amp;$B54&amp;U$1&amp;1&amp;$A54,$B54&amp;"°"&amp;U$1&amp;"°"&amp;$A54),[1]Hoja1!$A:$O,15,0)," ")</f>
        <v>#N/A</v>
      </c>
      <c r="W54" s="44" t="e">
        <f>IF($J54="Formación Técnica Específica",VLOOKUP(IF($J54="Formación Técnica Específica",$B54&amp;"°"&amp;W$1&amp;"°"&amp;$B54&amp;W$1&amp;1&amp;$A54,$B54&amp;"°"&amp;W$1&amp;"°"&amp;$A54),[1]Hoja1!$A:$O,15,0),VLOOKUP(IF($J54="Formación Técnica Específica",$B54&amp;"°"&amp;W$1&amp;"°"&amp;$B54&amp;W$1&amp;1&amp;$A54,$B54&amp;"°"&amp;W$1&amp;"°"&amp;$A54),[1]Hoja1!$A:$O,15,0))</f>
        <v>#N/A</v>
      </c>
      <c r="X54" s="52" t="e">
        <f>IF($J54="Formación Técnica Específica",VLOOKUP(IF($J54="Formación Técnica Específica",$B54&amp;"°"&amp;W$1&amp;"°"&amp;$B54&amp;W$1&amp;1&amp;$A54,$B54&amp;"°"&amp;W$1&amp;"°"&amp;$A54),[1]Hoja1!$A:$O,15,0)," ")</f>
        <v>#N/A</v>
      </c>
    </row>
    <row r="55" spans="1:24" ht="15.75" thickBot="1" x14ac:dyDescent="0.3">
      <c r="A55" s="32" t="s">
        <v>107</v>
      </c>
      <c r="B55" s="33">
        <v>4</v>
      </c>
      <c r="C55" s="33" t="s">
        <v>10</v>
      </c>
      <c r="D55" s="33" t="s">
        <v>65</v>
      </c>
      <c r="E55" s="34" t="s">
        <v>66</v>
      </c>
      <c r="F55" s="35">
        <v>14</v>
      </c>
      <c r="G55" s="33" t="s">
        <v>108</v>
      </c>
      <c r="H55" s="33" t="s">
        <v>109</v>
      </c>
      <c r="I55" s="35">
        <v>2</v>
      </c>
      <c r="J55" s="6" t="s">
        <v>33</v>
      </c>
      <c r="K55" s="37" t="s">
        <v>110</v>
      </c>
      <c r="L55" t="str">
        <f t="shared" si="1"/>
        <v>4°14</v>
      </c>
      <c r="M55" s="37"/>
      <c r="N55" s="63" t="str">
        <f t="shared" si="2"/>
        <v>4°14</v>
      </c>
      <c r="O55" s="53" t="str">
        <f>IF($J55="Formación Técnica Específica",VLOOKUP(IF($J55="Formación Técnica Específica",$B55&amp;"°"&amp;O$1&amp;"°"&amp;$B55&amp;O$1&amp;1&amp;$A55,$B55&amp;"°"&amp;O$1&amp;"°"&amp;$A55),[1]Hoja1!$A:$O,15,0),VLOOKUP(IF($J55="Formación Técnica Específica",$B55&amp;"°"&amp;O$1&amp;"°"&amp;$B55&amp;O$1&amp;1&amp;$A55,$B55&amp;"°"&amp;O$1&amp;"°"&amp;$A55),[1]Hoja1!$A:$O,15,0))</f>
        <v xml:space="preserve"> AGUIRRE ISABEL ITATI</v>
      </c>
      <c r="P55" s="54" t="str">
        <f>IF($J55="Formación Técnica Específica",VLOOKUP(IF($J55="Formación Técnica Específica",$B55&amp;"°"&amp;O$1&amp;"°"&amp;$B55&amp;O$1&amp;1&amp;$A55,$B55&amp;"°"&amp;O$1&amp;"°"&amp;$A55),[1]Hoja1!$A:$O,15,0)," ")</f>
        <v xml:space="preserve"> AGUIRRE ISABEL ITATI</v>
      </c>
      <c r="Q55" s="53" t="str">
        <f>IF($J55="Formación Técnica Específica",VLOOKUP(IF($J55="Formación Técnica Específica",$B55&amp;"°"&amp;Q$1&amp;"°"&amp;$B55&amp;Q$1&amp;1&amp;$A55,$B55&amp;"°"&amp;Q$1&amp;"°"&amp;$A55),[1]Hoja1!$A:$O,15,0),VLOOKUP(IF($J55="Formación Técnica Específica",$B55&amp;"°"&amp;Q$1&amp;"°"&amp;$B55&amp;Q$1&amp;1&amp;$A55,$B55&amp;"°"&amp;Q$1&amp;"°"&amp;$A55),[1]Hoja1!$A:$O,15,0))</f>
        <v>PROCHOR GLORIA</v>
      </c>
      <c r="R55" s="54" t="str">
        <f>IF($J55="Formación Técnica Específica",VLOOKUP(IF($J55="Formación Técnica Específica",$B55&amp;"°"&amp;Q$1&amp;"°"&amp;$B55&amp;Q$1&amp;1&amp;$A55,$B55&amp;"°"&amp;Q$1&amp;"°"&amp;$A55),[1]Hoja1!$A:$O,15,0)," ")</f>
        <v>PROCHOR GLORIA</v>
      </c>
      <c r="S55" s="53" t="e">
        <f>IF($J55="Formación Técnica Específica",VLOOKUP(IF($J55="Formación Técnica Específica",$B55&amp;"°"&amp;S$1&amp;"°"&amp;$B55&amp;S$1&amp;1&amp;$A55,$B55&amp;"°"&amp;S$1&amp;"°"&amp;$A55),[1]Hoja1!$A:$O,15,0),VLOOKUP(IF($J55="Formación Técnica Específica",$B55&amp;"°"&amp;S$1&amp;"°"&amp;$B55&amp;S$1&amp;1&amp;$A55,$B55&amp;"°"&amp;S$1&amp;"°"&amp;$A55),[1]Hoja1!$A:$O,15,0))</f>
        <v>#N/A</v>
      </c>
      <c r="T55" s="54" t="e">
        <f>IF($J55="Formación Técnica Específica",VLOOKUP(IF($J55="Formación Técnica Específica",$B55&amp;"°"&amp;S$1&amp;"°"&amp;$B55&amp;S$1&amp;1&amp;$A55,$B55&amp;"°"&amp;S$1&amp;"°"&amp;$A55),[1]Hoja1!$A:$O,15,0)," ")</f>
        <v>#N/A</v>
      </c>
      <c r="U55" s="53" t="e">
        <f>IF($J55="Formación Técnica Específica",VLOOKUP(IF($J55="Formación Técnica Específica",$B55&amp;"°"&amp;U$1&amp;"°"&amp;$B55&amp;U$1&amp;1&amp;$A55,$B55&amp;"°"&amp;U$1&amp;"°"&amp;$A55),[1]Hoja1!$A:$O,15,0),VLOOKUP(IF($J55="Formación Técnica Específica",$B55&amp;"°"&amp;U$1&amp;"°"&amp;$B55&amp;U$1&amp;1&amp;$A55,$B55&amp;"°"&amp;U$1&amp;"°"&amp;$A55),[1]Hoja1!$A:$O,15,0))</f>
        <v>#N/A</v>
      </c>
      <c r="V55" s="54" t="e">
        <f>IF($J55="Formación Técnica Específica",VLOOKUP(IF($J55="Formación Técnica Específica",$B55&amp;"°"&amp;U$1&amp;"°"&amp;$B55&amp;U$1&amp;1&amp;$A55,$B55&amp;"°"&amp;U$1&amp;"°"&amp;$A55),[1]Hoja1!$A:$O,15,0)," ")</f>
        <v>#N/A</v>
      </c>
      <c r="W55" s="53" t="e">
        <f>IF($J55="Formación Técnica Específica",VLOOKUP(IF($J55="Formación Técnica Específica",$B55&amp;"°"&amp;W$1&amp;"°"&amp;$B55&amp;W$1&amp;1&amp;$A55,$B55&amp;"°"&amp;W$1&amp;"°"&amp;$A55),[1]Hoja1!$A:$O,15,0),VLOOKUP(IF($J55="Formación Técnica Específica",$B55&amp;"°"&amp;W$1&amp;"°"&amp;$B55&amp;W$1&amp;1&amp;$A55,$B55&amp;"°"&amp;W$1&amp;"°"&amp;$A55),[1]Hoja1!$A:$O,15,0))</f>
        <v>#N/A</v>
      </c>
      <c r="X55" s="54" t="e">
        <f>IF($J55="Formación Técnica Específica",VLOOKUP(IF($J55="Formación Técnica Específica",$B55&amp;"°"&amp;W$1&amp;"°"&amp;$B55&amp;W$1&amp;1&amp;$A55,$B55&amp;"°"&amp;W$1&amp;"°"&amp;$A55),[1]Hoja1!$A:$O,15,0)," ")</f>
        <v>#N/A</v>
      </c>
    </row>
    <row r="56" spans="1:24" x14ac:dyDescent="0.25">
      <c r="A56" s="24" t="s">
        <v>111</v>
      </c>
      <c r="B56" s="25">
        <v>4</v>
      </c>
      <c r="C56" s="25" t="s">
        <v>10</v>
      </c>
      <c r="D56" s="25" t="s">
        <v>112</v>
      </c>
      <c r="E56" s="26" t="s">
        <v>66</v>
      </c>
      <c r="F56" s="27">
        <v>1</v>
      </c>
      <c r="G56" s="25" t="s">
        <v>67</v>
      </c>
      <c r="H56" s="25" t="s">
        <v>68</v>
      </c>
      <c r="I56" s="27">
        <v>2</v>
      </c>
      <c r="J56" s="28" t="s">
        <v>290</v>
      </c>
      <c r="K56" s="29" t="s">
        <v>69</v>
      </c>
      <c r="L56" t="str">
        <f t="shared" si="1"/>
        <v>4°1</v>
      </c>
      <c r="M56" s="29"/>
      <c r="N56" s="63" t="str">
        <f t="shared" si="2"/>
        <v>4°1</v>
      </c>
      <c r="O56" s="50" t="e">
        <f>IF($J56="Formación Técnica Específica",VLOOKUP(IF($J56="Formación Técnica Específica",$B56&amp;"°"&amp;O$1&amp;"°"&amp;$B56&amp;O$1&amp;1&amp;$A56,$B56&amp;"°"&amp;O$1&amp;"°"&amp;$A56),[1]Hoja1!$A:$O,15,0),VLOOKUP(IF($J56="Formación Técnica Específica",$B56&amp;"°"&amp;O$1&amp;"°"&amp;$B56&amp;O$1&amp;1&amp;$A56,$B56&amp;"°"&amp;O$1&amp;"°"&amp;$A56),[1]Hoja1!$A:$O,15,0))</f>
        <v>#N/A</v>
      </c>
      <c r="P56" s="51" t="str">
        <f>IF($J56="Formación Técnica Específica",VLOOKUP(IF($J56="Formación Técnica Específica",$B56&amp;"°"&amp;O$1&amp;"°"&amp;$B56&amp;O$1&amp;1&amp;$A56,$B56&amp;"°"&amp;O$1&amp;"°"&amp;$A56),[1]Hoja1!$A:$O,15,0)," ")</f>
        <v xml:space="preserve"> </v>
      </c>
      <c r="Q56" s="50" t="e">
        <f>IF($J56="Formación Técnica Específica",VLOOKUP(IF($J56="Formación Técnica Específica",$B56&amp;"°"&amp;Q$1&amp;"°"&amp;$B56&amp;Q$1&amp;1&amp;$A56,$B56&amp;"°"&amp;Q$1&amp;"°"&amp;$A56),[1]Hoja1!$A:$O,15,0),VLOOKUP(IF($J56="Formación Técnica Específica",$B56&amp;"°"&amp;Q$1&amp;"°"&amp;$B56&amp;Q$1&amp;1&amp;$A56,$B56&amp;"°"&amp;Q$1&amp;"°"&amp;$A56),[1]Hoja1!$A:$O,15,0))</f>
        <v>#N/A</v>
      </c>
      <c r="R56" s="51" t="str">
        <f>IF($J56="Formación Técnica Específica",VLOOKUP(IF($J56="Formación Técnica Específica",$B56&amp;"°"&amp;Q$1&amp;"°"&amp;$B56&amp;Q$1&amp;1&amp;$A56,$B56&amp;"°"&amp;Q$1&amp;"°"&amp;$A56),[1]Hoja1!$A:$O,15,0)," ")</f>
        <v xml:space="preserve"> </v>
      </c>
      <c r="S56" s="50" t="str">
        <f>IF($J56="Formación Técnica Específica",VLOOKUP(IF($J56="Formación Técnica Específica",$B56&amp;"°"&amp;S$1&amp;"°"&amp;$B56&amp;S$1&amp;1&amp;$A56,$B56&amp;"°"&amp;S$1&amp;"°"&amp;$A56),[1]Hoja1!$A:$O,15,0),VLOOKUP(IF($J56="Formación Técnica Específica",$B56&amp;"°"&amp;S$1&amp;"°"&amp;$B56&amp;S$1&amp;1&amp;$A56,$B56&amp;"°"&amp;S$1&amp;"°"&amp;$A56),[1]Hoja1!$A:$O,15,0))</f>
        <v>FERNANDEZ JUAN</v>
      </c>
      <c r="T56" s="51" t="str">
        <f>IF($J56="Formación Técnica Específica",VLOOKUP(IF($J56="Formación Técnica Específica",$B56&amp;"°"&amp;S$1&amp;"°"&amp;$B56&amp;S$1&amp;1&amp;$A56,$B56&amp;"°"&amp;S$1&amp;"°"&amp;$A56),[1]Hoja1!$A:$O,15,0)," ")</f>
        <v xml:space="preserve"> </v>
      </c>
      <c r="U56" s="50" t="str">
        <f>IF($J56="Formación Técnica Específica",VLOOKUP(IF($J56="Formación Técnica Específica",$B56&amp;"°"&amp;U$1&amp;"°"&amp;$B56&amp;U$1&amp;1&amp;$A56,$B56&amp;"°"&amp;U$1&amp;"°"&amp;$A56),[1]Hoja1!$A:$O,15,0),VLOOKUP(IF($J56="Formación Técnica Específica",$B56&amp;"°"&amp;U$1&amp;"°"&amp;$B56&amp;U$1&amp;1&amp;$A56,$B56&amp;"°"&amp;U$1&amp;"°"&amp;$A56),[1]Hoja1!$A:$O,15,0))</f>
        <v xml:space="preserve">STEIN PAMELA </v>
      </c>
      <c r="V56" s="51" t="str">
        <f>IF($J56="Formación Técnica Específica",VLOOKUP(IF($J56="Formación Técnica Específica",$B56&amp;"°"&amp;U$1&amp;"°"&amp;$B56&amp;U$1&amp;1&amp;$A56,$B56&amp;"°"&amp;U$1&amp;"°"&amp;$A56),[1]Hoja1!$A:$O,15,0)," ")</f>
        <v xml:space="preserve"> </v>
      </c>
      <c r="W56" s="50" t="e">
        <f>IF($J56="Formación Técnica Específica",VLOOKUP(IF($J56="Formación Técnica Específica",$B56&amp;"°"&amp;W$1&amp;"°"&amp;$B56&amp;W$1&amp;1&amp;$A56,$B56&amp;"°"&amp;W$1&amp;"°"&amp;$A56),[1]Hoja1!$A:$O,15,0),VLOOKUP(IF($J56="Formación Técnica Específica",$B56&amp;"°"&amp;W$1&amp;"°"&amp;$B56&amp;W$1&amp;1&amp;$A56,$B56&amp;"°"&amp;W$1&amp;"°"&amp;$A56),[1]Hoja1!$A:$O,15,0))</f>
        <v>#N/A</v>
      </c>
      <c r="X56" s="51" t="str">
        <f>IF($J56="Formación Técnica Específica",VLOOKUP(IF($J56="Formación Técnica Específica",$B56&amp;"°"&amp;W$1&amp;"°"&amp;$B56&amp;W$1&amp;1&amp;$A56,$B56&amp;"°"&amp;W$1&amp;"°"&amp;$A56),[1]Hoja1!$A:$O,15,0)," ")</f>
        <v xml:space="preserve"> </v>
      </c>
    </row>
    <row r="57" spans="1:24" x14ac:dyDescent="0.25">
      <c r="A57" s="30" t="s">
        <v>113</v>
      </c>
      <c r="B57" s="4">
        <v>4</v>
      </c>
      <c r="C57" s="4" t="s">
        <v>10</v>
      </c>
      <c r="D57" s="4" t="s">
        <v>112</v>
      </c>
      <c r="E57" s="7" t="s">
        <v>66</v>
      </c>
      <c r="F57" s="3">
        <v>2</v>
      </c>
      <c r="G57" s="4" t="s">
        <v>71</v>
      </c>
      <c r="H57" s="4" t="s">
        <v>72</v>
      </c>
      <c r="I57" s="3">
        <v>4</v>
      </c>
      <c r="J57" s="6" t="s">
        <v>290</v>
      </c>
      <c r="K57" s="31" t="s">
        <v>26</v>
      </c>
      <c r="L57" t="str">
        <f t="shared" si="1"/>
        <v>4°2</v>
      </c>
      <c r="M57" s="31"/>
      <c r="N57" s="63" t="str">
        <f t="shared" si="2"/>
        <v>4°2</v>
      </c>
      <c r="O57" s="44" t="e">
        <f>IF($J57="Formación Técnica Específica",VLOOKUP(IF($J57="Formación Técnica Específica",$B57&amp;"°"&amp;O$1&amp;"°"&amp;$B57&amp;O$1&amp;1&amp;$A57,$B57&amp;"°"&amp;O$1&amp;"°"&amp;$A57),[1]Hoja1!$A:$O,15,0),VLOOKUP(IF($J57="Formación Técnica Específica",$B57&amp;"°"&amp;O$1&amp;"°"&amp;$B57&amp;O$1&amp;1&amp;$A57,$B57&amp;"°"&amp;O$1&amp;"°"&amp;$A57),[1]Hoja1!$A:$O,15,0))</f>
        <v>#N/A</v>
      </c>
      <c r="P57" s="52" t="str">
        <f>IF($J57="Formación Técnica Específica",VLOOKUP(IF($J57="Formación Técnica Específica",$B57&amp;"°"&amp;O$1&amp;"°"&amp;$B57&amp;O$1&amp;1&amp;$A57,$B57&amp;"°"&amp;O$1&amp;"°"&amp;$A57),[1]Hoja1!$A:$O,15,0)," ")</f>
        <v xml:space="preserve"> </v>
      </c>
      <c r="Q57" s="44" t="e">
        <f>IF($J57="Formación Técnica Específica",VLOOKUP(IF($J57="Formación Técnica Específica",$B57&amp;"°"&amp;Q$1&amp;"°"&amp;$B57&amp;Q$1&amp;1&amp;$A57,$B57&amp;"°"&amp;Q$1&amp;"°"&amp;$A57),[1]Hoja1!$A:$O,15,0),VLOOKUP(IF($J57="Formación Técnica Específica",$B57&amp;"°"&amp;Q$1&amp;"°"&amp;$B57&amp;Q$1&amp;1&amp;$A57,$B57&amp;"°"&amp;Q$1&amp;"°"&amp;$A57),[1]Hoja1!$A:$O,15,0))</f>
        <v>#N/A</v>
      </c>
      <c r="R57" s="52" t="str">
        <f>IF($J57="Formación Técnica Específica",VLOOKUP(IF($J57="Formación Técnica Específica",$B57&amp;"°"&amp;Q$1&amp;"°"&amp;$B57&amp;Q$1&amp;1&amp;$A57,$B57&amp;"°"&amp;Q$1&amp;"°"&amp;$A57),[1]Hoja1!$A:$O,15,0)," ")</f>
        <v xml:space="preserve"> </v>
      </c>
      <c r="S57" s="44" t="str">
        <f>IF($J57="Formación Técnica Específica",VLOOKUP(IF($J57="Formación Técnica Específica",$B57&amp;"°"&amp;S$1&amp;"°"&amp;$B57&amp;S$1&amp;1&amp;$A57,$B57&amp;"°"&amp;S$1&amp;"°"&amp;$A57),[1]Hoja1!$A:$O,15,0),VLOOKUP(IF($J57="Formación Técnica Específica",$B57&amp;"°"&amp;S$1&amp;"°"&amp;$B57&amp;S$1&amp;1&amp;$A57,$B57&amp;"°"&amp;S$1&amp;"°"&amp;$A57),[1]Hoja1!$A:$O,15,0))</f>
        <v>LENCINAS NOELIA</v>
      </c>
      <c r="T57" s="52" t="str">
        <f>IF($J57="Formación Técnica Específica",VLOOKUP(IF($J57="Formación Técnica Específica",$B57&amp;"°"&amp;S$1&amp;"°"&amp;$B57&amp;S$1&amp;1&amp;$A57,$B57&amp;"°"&amp;S$1&amp;"°"&amp;$A57),[1]Hoja1!$A:$O,15,0)," ")</f>
        <v xml:space="preserve"> </v>
      </c>
      <c r="U57" s="44" t="str">
        <f>IF($J57="Formación Técnica Específica",VLOOKUP(IF($J57="Formación Técnica Específica",$B57&amp;"°"&amp;U$1&amp;"°"&amp;$B57&amp;U$1&amp;1&amp;$A57,$B57&amp;"°"&amp;U$1&amp;"°"&amp;$A57),[1]Hoja1!$A:$O,15,0),VLOOKUP(IF($J57="Formación Técnica Específica",$B57&amp;"°"&amp;U$1&amp;"°"&amp;$B57&amp;U$1&amp;1&amp;$A57,$B57&amp;"°"&amp;U$1&amp;"°"&amp;$A57),[1]Hoja1!$A:$O,15,0))</f>
        <v>FISTER VICTOR</v>
      </c>
      <c r="V57" s="52" t="str">
        <f>IF($J57="Formación Técnica Específica",VLOOKUP(IF($J57="Formación Técnica Específica",$B57&amp;"°"&amp;U$1&amp;"°"&amp;$B57&amp;U$1&amp;1&amp;$A57,$B57&amp;"°"&amp;U$1&amp;"°"&amp;$A57),[1]Hoja1!$A:$O,15,0)," ")</f>
        <v xml:space="preserve"> </v>
      </c>
      <c r="W57" s="44" t="e">
        <f>IF($J57="Formación Técnica Específica",VLOOKUP(IF($J57="Formación Técnica Específica",$B57&amp;"°"&amp;W$1&amp;"°"&amp;$B57&amp;W$1&amp;1&amp;$A57,$B57&amp;"°"&amp;W$1&amp;"°"&amp;$A57),[1]Hoja1!$A:$O,15,0),VLOOKUP(IF($J57="Formación Técnica Específica",$B57&amp;"°"&amp;W$1&amp;"°"&amp;$B57&amp;W$1&amp;1&amp;$A57,$B57&amp;"°"&amp;W$1&amp;"°"&amp;$A57),[1]Hoja1!$A:$O,15,0))</f>
        <v>#N/A</v>
      </c>
      <c r="X57" s="52" t="str">
        <f>IF($J57="Formación Técnica Específica",VLOOKUP(IF($J57="Formación Técnica Específica",$B57&amp;"°"&amp;W$1&amp;"°"&amp;$B57&amp;W$1&amp;1&amp;$A57,$B57&amp;"°"&amp;W$1&amp;"°"&amp;$A57),[1]Hoja1!$A:$O,15,0)," ")</f>
        <v xml:space="preserve"> </v>
      </c>
    </row>
    <row r="58" spans="1:24" x14ac:dyDescent="0.25">
      <c r="A58" s="30" t="s">
        <v>114</v>
      </c>
      <c r="B58" s="4">
        <v>4</v>
      </c>
      <c r="C58" s="4" t="s">
        <v>10</v>
      </c>
      <c r="D58" s="4" t="s">
        <v>112</v>
      </c>
      <c r="E58" s="7" t="s">
        <v>66</v>
      </c>
      <c r="F58" s="3">
        <v>3</v>
      </c>
      <c r="G58" s="4" t="s">
        <v>74</v>
      </c>
      <c r="H58" s="4" t="s">
        <v>75</v>
      </c>
      <c r="I58" s="3">
        <v>2</v>
      </c>
      <c r="J58" s="6" t="s">
        <v>290</v>
      </c>
      <c r="K58" s="31" t="s">
        <v>76</v>
      </c>
      <c r="L58" t="str">
        <f t="shared" si="1"/>
        <v>4°3</v>
      </c>
      <c r="M58" s="31"/>
      <c r="N58" s="63" t="str">
        <f t="shared" si="2"/>
        <v>4°3</v>
      </c>
      <c r="O58" s="44" t="e">
        <f>IF($J58="Formación Técnica Específica",VLOOKUP(IF($J58="Formación Técnica Específica",$B58&amp;"°"&amp;O$1&amp;"°"&amp;$B58&amp;O$1&amp;1&amp;$A58,$B58&amp;"°"&amp;O$1&amp;"°"&amp;$A58),[1]Hoja1!$A:$O,15,0),VLOOKUP(IF($J58="Formación Técnica Específica",$B58&amp;"°"&amp;O$1&amp;"°"&amp;$B58&amp;O$1&amp;1&amp;$A58,$B58&amp;"°"&amp;O$1&amp;"°"&amp;$A58),[1]Hoja1!$A:$O,15,0))</f>
        <v>#N/A</v>
      </c>
      <c r="P58" s="52" t="str">
        <f>IF($J58="Formación Técnica Específica",VLOOKUP(IF($J58="Formación Técnica Específica",$B58&amp;"°"&amp;O$1&amp;"°"&amp;$B58&amp;O$1&amp;1&amp;$A58,$B58&amp;"°"&amp;O$1&amp;"°"&amp;$A58),[1]Hoja1!$A:$O,15,0)," ")</f>
        <v xml:space="preserve"> </v>
      </c>
      <c r="Q58" s="44" t="e">
        <f>IF($J58="Formación Técnica Específica",VLOOKUP(IF($J58="Formación Técnica Específica",$B58&amp;"°"&amp;Q$1&amp;"°"&amp;$B58&amp;Q$1&amp;1&amp;$A58,$B58&amp;"°"&amp;Q$1&amp;"°"&amp;$A58),[1]Hoja1!$A:$O,15,0),VLOOKUP(IF($J58="Formación Técnica Específica",$B58&amp;"°"&amp;Q$1&amp;"°"&amp;$B58&amp;Q$1&amp;1&amp;$A58,$B58&amp;"°"&amp;Q$1&amp;"°"&amp;$A58),[1]Hoja1!$A:$O,15,0))</f>
        <v>#N/A</v>
      </c>
      <c r="R58" s="52" t="str">
        <f>IF($J58="Formación Técnica Específica",VLOOKUP(IF($J58="Formación Técnica Específica",$B58&amp;"°"&amp;Q$1&amp;"°"&amp;$B58&amp;Q$1&amp;1&amp;$A58,$B58&amp;"°"&amp;Q$1&amp;"°"&amp;$A58),[1]Hoja1!$A:$O,15,0)," ")</f>
        <v xml:space="preserve"> </v>
      </c>
      <c r="S58" s="44" t="str">
        <f>IF($J58="Formación Técnica Específica",VLOOKUP(IF($J58="Formación Técnica Específica",$B58&amp;"°"&amp;S$1&amp;"°"&amp;$B58&amp;S$1&amp;1&amp;$A58,$B58&amp;"°"&amp;S$1&amp;"°"&amp;$A58),[1]Hoja1!$A:$O,15,0),VLOOKUP(IF($J58="Formación Técnica Específica",$B58&amp;"°"&amp;S$1&amp;"°"&amp;$B58&amp;S$1&amp;1&amp;$A58,$B58&amp;"°"&amp;S$1&amp;"°"&amp;$A58),[1]Hoja1!$A:$O,15,0))</f>
        <v xml:space="preserve">SANTILLAN ESTELA   </v>
      </c>
      <c r="T58" s="52" t="str">
        <f>IF($J58="Formación Técnica Específica",VLOOKUP(IF($J58="Formación Técnica Específica",$B58&amp;"°"&amp;S$1&amp;"°"&amp;$B58&amp;S$1&amp;1&amp;$A58,$B58&amp;"°"&amp;S$1&amp;"°"&amp;$A58),[1]Hoja1!$A:$O,15,0)," ")</f>
        <v xml:space="preserve"> </v>
      </c>
      <c r="U58" s="44" t="str">
        <f>IF($J58="Formación Técnica Específica",VLOOKUP(IF($J58="Formación Técnica Específica",$B58&amp;"°"&amp;U$1&amp;"°"&amp;$B58&amp;U$1&amp;1&amp;$A58,$B58&amp;"°"&amp;U$1&amp;"°"&amp;$A58),[1]Hoja1!$A:$O,15,0),VLOOKUP(IF($J58="Formación Técnica Específica",$B58&amp;"°"&amp;U$1&amp;"°"&amp;$B58&amp;U$1&amp;1&amp;$A58,$B58&amp;"°"&amp;U$1&amp;"°"&amp;$A58),[1]Hoja1!$A:$O,15,0))</f>
        <v>BARROS MELANIE</v>
      </c>
      <c r="V58" s="52" t="str">
        <f>IF($J58="Formación Técnica Específica",VLOOKUP(IF($J58="Formación Técnica Específica",$B58&amp;"°"&amp;U$1&amp;"°"&amp;$B58&amp;U$1&amp;1&amp;$A58,$B58&amp;"°"&amp;U$1&amp;"°"&amp;$A58),[1]Hoja1!$A:$O,15,0)," ")</f>
        <v xml:space="preserve"> </v>
      </c>
      <c r="W58" s="44" t="e">
        <f>IF($J58="Formación Técnica Específica",VLOOKUP(IF($J58="Formación Técnica Específica",$B58&amp;"°"&amp;W$1&amp;"°"&amp;$B58&amp;W$1&amp;1&amp;$A58,$B58&amp;"°"&amp;W$1&amp;"°"&amp;$A58),[1]Hoja1!$A:$O,15,0),VLOOKUP(IF($J58="Formación Técnica Específica",$B58&amp;"°"&amp;W$1&amp;"°"&amp;$B58&amp;W$1&amp;1&amp;$A58,$B58&amp;"°"&amp;W$1&amp;"°"&amp;$A58),[1]Hoja1!$A:$O,15,0))</f>
        <v>#N/A</v>
      </c>
      <c r="X58" s="52" t="str">
        <f>IF($J58="Formación Técnica Específica",VLOOKUP(IF($J58="Formación Técnica Específica",$B58&amp;"°"&amp;W$1&amp;"°"&amp;$B58&amp;W$1&amp;1&amp;$A58,$B58&amp;"°"&amp;W$1&amp;"°"&amp;$A58),[1]Hoja1!$A:$O,15,0)," ")</f>
        <v xml:space="preserve"> </v>
      </c>
    </row>
    <row r="59" spans="1:24" x14ac:dyDescent="0.25">
      <c r="A59" s="30" t="s">
        <v>115</v>
      </c>
      <c r="B59" s="4">
        <v>4</v>
      </c>
      <c r="C59" s="4" t="s">
        <v>10</v>
      </c>
      <c r="D59" s="4" t="s">
        <v>112</v>
      </c>
      <c r="E59" s="7" t="s">
        <v>66</v>
      </c>
      <c r="F59" s="3">
        <v>4</v>
      </c>
      <c r="G59" s="4" t="s">
        <v>78</v>
      </c>
      <c r="H59" s="4" t="s">
        <v>23</v>
      </c>
      <c r="I59" s="3">
        <v>2</v>
      </c>
      <c r="J59" s="6" t="s">
        <v>290</v>
      </c>
      <c r="K59" s="31" t="s">
        <v>170</v>
      </c>
      <c r="L59" t="str">
        <f t="shared" si="1"/>
        <v>4°4</v>
      </c>
      <c r="M59" s="31"/>
      <c r="N59" s="63" t="str">
        <f t="shared" si="2"/>
        <v>4°4</v>
      </c>
      <c r="O59" s="44" t="e">
        <f>IF($J59="Formación Técnica Específica",VLOOKUP(IF($J59="Formación Técnica Específica",$B59&amp;"°"&amp;O$1&amp;"°"&amp;$B59&amp;O$1&amp;1&amp;$A59,$B59&amp;"°"&amp;O$1&amp;"°"&amp;$A59),[1]Hoja1!$A:$O,15,0),VLOOKUP(IF($J59="Formación Técnica Específica",$B59&amp;"°"&amp;O$1&amp;"°"&amp;$B59&amp;O$1&amp;1&amp;$A59,$B59&amp;"°"&amp;O$1&amp;"°"&amp;$A59),[1]Hoja1!$A:$O,15,0))</f>
        <v>#N/A</v>
      </c>
      <c r="P59" s="52" t="str">
        <f>IF($J59="Formación Técnica Específica",VLOOKUP(IF($J59="Formación Técnica Específica",$B59&amp;"°"&amp;O$1&amp;"°"&amp;$B59&amp;O$1&amp;1&amp;$A59,$B59&amp;"°"&amp;O$1&amp;"°"&amp;$A59),[1]Hoja1!$A:$O,15,0)," ")</f>
        <v xml:space="preserve"> </v>
      </c>
      <c r="Q59" s="44" t="e">
        <f>IF($J59="Formación Técnica Específica",VLOOKUP(IF($J59="Formación Técnica Específica",$B59&amp;"°"&amp;Q$1&amp;"°"&amp;$B59&amp;Q$1&amp;1&amp;$A59,$B59&amp;"°"&amp;Q$1&amp;"°"&amp;$A59),[1]Hoja1!$A:$O,15,0),VLOOKUP(IF($J59="Formación Técnica Específica",$B59&amp;"°"&amp;Q$1&amp;"°"&amp;$B59&amp;Q$1&amp;1&amp;$A59,$B59&amp;"°"&amp;Q$1&amp;"°"&amp;$A59),[1]Hoja1!$A:$O,15,0))</f>
        <v>#N/A</v>
      </c>
      <c r="R59" s="52" t="str">
        <f>IF($J59="Formación Técnica Específica",VLOOKUP(IF($J59="Formación Técnica Específica",$B59&amp;"°"&amp;Q$1&amp;"°"&amp;$B59&amp;Q$1&amp;1&amp;$A59,$B59&amp;"°"&amp;Q$1&amp;"°"&amp;$A59),[1]Hoja1!$A:$O,15,0)," ")</f>
        <v xml:space="preserve"> </v>
      </c>
      <c r="S59" s="44" t="str">
        <f>IF($J59="Formación Técnica Específica",VLOOKUP(IF($J59="Formación Técnica Específica",$B59&amp;"°"&amp;S$1&amp;"°"&amp;$B59&amp;S$1&amp;1&amp;$A59,$B59&amp;"°"&amp;S$1&amp;"°"&amp;$A59),[1]Hoja1!$A:$O,15,0),VLOOKUP(IF($J59="Formación Técnica Específica",$B59&amp;"°"&amp;S$1&amp;"°"&amp;$B59&amp;S$1&amp;1&amp;$A59,$B59&amp;"°"&amp;S$1&amp;"°"&amp;$A59),[1]Hoja1!$A:$O,15,0))</f>
        <v xml:space="preserve">LEGUIZAMO ANA </v>
      </c>
      <c r="T59" s="52" t="str">
        <f>IF($J59="Formación Técnica Específica",VLOOKUP(IF($J59="Formación Técnica Específica",$B59&amp;"°"&amp;S$1&amp;"°"&amp;$B59&amp;S$1&amp;1&amp;$A59,$B59&amp;"°"&amp;S$1&amp;"°"&amp;$A59),[1]Hoja1!$A:$O,15,0)," ")</f>
        <v xml:space="preserve"> </v>
      </c>
      <c r="U59" s="44" t="str">
        <f>IF($J59="Formación Técnica Específica",VLOOKUP(IF($J59="Formación Técnica Específica",$B59&amp;"°"&amp;U$1&amp;"°"&amp;$B59&amp;U$1&amp;1&amp;$A59,$B59&amp;"°"&amp;U$1&amp;"°"&amp;$A59),[1]Hoja1!$A:$O,15,0),VLOOKUP(IF($J59="Formación Técnica Específica",$B59&amp;"°"&amp;U$1&amp;"°"&amp;$B59&amp;U$1&amp;1&amp;$A59,$B59&amp;"°"&amp;U$1&amp;"°"&amp;$A59),[1]Hoja1!$A:$O,15,0))</f>
        <v xml:space="preserve">ARCE KARINA </v>
      </c>
      <c r="V59" s="52" t="str">
        <f>IF($J59="Formación Técnica Específica",VLOOKUP(IF($J59="Formación Técnica Específica",$B59&amp;"°"&amp;U$1&amp;"°"&amp;$B59&amp;U$1&amp;1&amp;$A59,$B59&amp;"°"&amp;U$1&amp;"°"&amp;$A59),[1]Hoja1!$A:$O,15,0)," ")</f>
        <v xml:space="preserve"> </v>
      </c>
      <c r="W59" s="44" t="e">
        <f>IF($J59="Formación Técnica Específica",VLOOKUP(IF($J59="Formación Técnica Específica",$B59&amp;"°"&amp;W$1&amp;"°"&amp;$B59&amp;W$1&amp;1&amp;$A59,$B59&amp;"°"&amp;W$1&amp;"°"&amp;$A59),[1]Hoja1!$A:$O,15,0),VLOOKUP(IF($J59="Formación Técnica Específica",$B59&amp;"°"&amp;W$1&amp;"°"&amp;$B59&amp;W$1&amp;1&amp;$A59,$B59&amp;"°"&amp;W$1&amp;"°"&amp;$A59),[1]Hoja1!$A:$O,15,0))</f>
        <v>#N/A</v>
      </c>
      <c r="X59" s="52" t="str">
        <f>IF($J59="Formación Técnica Específica",VLOOKUP(IF($J59="Formación Técnica Específica",$B59&amp;"°"&amp;W$1&amp;"°"&amp;$B59&amp;W$1&amp;1&amp;$A59,$B59&amp;"°"&amp;W$1&amp;"°"&amp;$A59),[1]Hoja1!$A:$O,15,0)," ")</f>
        <v xml:space="preserve"> </v>
      </c>
    </row>
    <row r="60" spans="1:24" x14ac:dyDescent="0.25">
      <c r="A60" s="30" t="s">
        <v>116</v>
      </c>
      <c r="B60" s="4">
        <v>4</v>
      </c>
      <c r="C60" s="4" t="s">
        <v>10</v>
      </c>
      <c r="D60" s="4" t="s">
        <v>112</v>
      </c>
      <c r="E60" s="7" t="s">
        <v>66</v>
      </c>
      <c r="F60" s="3">
        <v>5</v>
      </c>
      <c r="G60" s="4" t="s">
        <v>80</v>
      </c>
      <c r="H60" s="4" t="s">
        <v>21</v>
      </c>
      <c r="I60" s="3">
        <v>2</v>
      </c>
      <c r="J60" s="6" t="s">
        <v>290</v>
      </c>
      <c r="K60" s="31" t="s">
        <v>172</v>
      </c>
      <c r="L60" t="str">
        <f t="shared" si="1"/>
        <v>4°5</v>
      </c>
      <c r="M60" s="31"/>
      <c r="N60" s="63" t="str">
        <f t="shared" si="2"/>
        <v>4°5</v>
      </c>
      <c r="O60" s="44" t="e">
        <f>IF($J60="Formación Técnica Específica",VLOOKUP(IF($J60="Formación Técnica Específica",$B60&amp;"°"&amp;O$1&amp;"°"&amp;$B60&amp;O$1&amp;1&amp;$A60,$B60&amp;"°"&amp;O$1&amp;"°"&amp;$A60),[1]Hoja1!$A:$O,15,0),VLOOKUP(IF($J60="Formación Técnica Específica",$B60&amp;"°"&amp;O$1&amp;"°"&amp;$B60&amp;O$1&amp;1&amp;$A60,$B60&amp;"°"&amp;O$1&amp;"°"&amp;$A60),[1]Hoja1!$A:$O,15,0))</f>
        <v>#N/A</v>
      </c>
      <c r="P60" s="52" t="str">
        <f>IF($J60="Formación Técnica Específica",VLOOKUP(IF($J60="Formación Técnica Específica",$B60&amp;"°"&amp;O$1&amp;"°"&amp;$B60&amp;O$1&amp;1&amp;$A60,$B60&amp;"°"&amp;O$1&amp;"°"&amp;$A60),[1]Hoja1!$A:$O,15,0)," ")</f>
        <v xml:space="preserve"> </v>
      </c>
      <c r="Q60" s="44" t="e">
        <f>IF($J60="Formación Técnica Específica",VLOOKUP(IF($J60="Formación Técnica Específica",$B60&amp;"°"&amp;Q$1&amp;"°"&amp;$B60&amp;Q$1&amp;1&amp;$A60,$B60&amp;"°"&amp;Q$1&amp;"°"&amp;$A60),[1]Hoja1!$A:$O,15,0),VLOOKUP(IF($J60="Formación Técnica Específica",$B60&amp;"°"&amp;Q$1&amp;"°"&amp;$B60&amp;Q$1&amp;1&amp;$A60,$B60&amp;"°"&amp;Q$1&amp;"°"&amp;$A60),[1]Hoja1!$A:$O,15,0))</f>
        <v>#N/A</v>
      </c>
      <c r="R60" s="52" t="str">
        <f>IF($J60="Formación Técnica Específica",VLOOKUP(IF($J60="Formación Técnica Específica",$B60&amp;"°"&amp;Q$1&amp;"°"&amp;$B60&amp;Q$1&amp;1&amp;$A60,$B60&amp;"°"&amp;Q$1&amp;"°"&amp;$A60),[1]Hoja1!$A:$O,15,0)," ")</f>
        <v xml:space="preserve"> </v>
      </c>
      <c r="S60" s="44" t="str">
        <f>IF($J60="Formación Técnica Específica",VLOOKUP(IF($J60="Formación Técnica Específica",$B60&amp;"°"&amp;S$1&amp;"°"&amp;$B60&amp;S$1&amp;1&amp;$A60,$B60&amp;"°"&amp;S$1&amp;"°"&amp;$A60),[1]Hoja1!$A:$O,15,0),VLOOKUP(IF($J60="Formación Técnica Específica",$B60&amp;"°"&amp;S$1&amp;"°"&amp;$B60&amp;S$1&amp;1&amp;$A60,$B60&amp;"°"&amp;S$1&amp;"°"&amp;$A60),[1]Hoja1!$A:$O,15,0))</f>
        <v xml:space="preserve">SANCHEZ CARLOS </v>
      </c>
      <c r="T60" s="52" t="str">
        <f>IF($J60="Formación Técnica Específica",VLOOKUP(IF($J60="Formación Técnica Específica",$B60&amp;"°"&amp;S$1&amp;"°"&amp;$B60&amp;S$1&amp;1&amp;$A60,$B60&amp;"°"&amp;S$1&amp;"°"&amp;$A60),[1]Hoja1!$A:$O,15,0)," ")</f>
        <v xml:space="preserve"> </v>
      </c>
      <c r="U60" s="44" t="str">
        <f>IF($J60="Formación Técnica Específica",VLOOKUP(IF($J60="Formación Técnica Específica",$B60&amp;"°"&amp;U$1&amp;"°"&amp;$B60&amp;U$1&amp;1&amp;$A60,$B60&amp;"°"&amp;U$1&amp;"°"&amp;$A60),[1]Hoja1!$A:$O,15,0),VLOOKUP(IF($J60="Formación Técnica Específica",$B60&amp;"°"&amp;U$1&amp;"°"&amp;$B60&amp;U$1&amp;1&amp;$A60,$B60&amp;"°"&amp;U$1&amp;"°"&amp;$A60),[1]Hoja1!$A:$O,15,0))</f>
        <v>SANCHEZ CARLOS</v>
      </c>
      <c r="V60" s="52" t="str">
        <f>IF($J60="Formación Técnica Específica",VLOOKUP(IF($J60="Formación Técnica Específica",$B60&amp;"°"&amp;U$1&amp;"°"&amp;$B60&amp;U$1&amp;1&amp;$A60,$B60&amp;"°"&amp;U$1&amp;"°"&amp;$A60),[1]Hoja1!$A:$O,15,0)," ")</f>
        <v xml:space="preserve"> </v>
      </c>
      <c r="W60" s="44" t="e">
        <f>IF($J60="Formación Técnica Específica",VLOOKUP(IF($J60="Formación Técnica Específica",$B60&amp;"°"&amp;W$1&amp;"°"&amp;$B60&amp;W$1&amp;1&amp;$A60,$B60&amp;"°"&amp;W$1&amp;"°"&amp;$A60),[1]Hoja1!$A:$O,15,0),VLOOKUP(IF($J60="Formación Técnica Específica",$B60&amp;"°"&amp;W$1&amp;"°"&amp;$B60&amp;W$1&amp;1&amp;$A60,$B60&amp;"°"&amp;W$1&amp;"°"&amp;$A60),[1]Hoja1!$A:$O,15,0))</f>
        <v>#N/A</v>
      </c>
      <c r="X60" s="52" t="str">
        <f>IF($J60="Formación Técnica Específica",VLOOKUP(IF($J60="Formación Técnica Específica",$B60&amp;"°"&amp;W$1&amp;"°"&amp;$B60&amp;W$1&amp;1&amp;$A60,$B60&amp;"°"&amp;W$1&amp;"°"&amp;$A60),[1]Hoja1!$A:$O,15,0)," ")</f>
        <v xml:space="preserve"> </v>
      </c>
    </row>
    <row r="61" spans="1:24" x14ac:dyDescent="0.25">
      <c r="A61" s="30" t="s">
        <v>117</v>
      </c>
      <c r="B61" s="4">
        <v>4</v>
      </c>
      <c r="C61" s="4" t="s">
        <v>10</v>
      </c>
      <c r="D61" s="4" t="s">
        <v>112</v>
      </c>
      <c r="E61" s="7" t="s">
        <v>66</v>
      </c>
      <c r="F61" s="3">
        <v>6</v>
      </c>
      <c r="G61" s="4" t="s">
        <v>49</v>
      </c>
      <c r="H61" s="4" t="s">
        <v>50</v>
      </c>
      <c r="I61" s="3">
        <v>2</v>
      </c>
      <c r="J61" s="6" t="s">
        <v>290</v>
      </c>
      <c r="K61" s="31" t="s">
        <v>51</v>
      </c>
      <c r="L61" t="str">
        <f t="shared" si="1"/>
        <v>4°6</v>
      </c>
      <c r="M61" s="31"/>
      <c r="N61" s="63" t="str">
        <f t="shared" si="2"/>
        <v>4°6</v>
      </c>
      <c r="O61" s="44" t="e">
        <f>IF($J61="Formación Técnica Específica",VLOOKUP(IF($J61="Formación Técnica Específica",$B61&amp;"°"&amp;O$1&amp;"°"&amp;$B61&amp;O$1&amp;1&amp;$A61,$B61&amp;"°"&amp;O$1&amp;"°"&amp;$A61),[1]Hoja1!$A:$O,15,0),VLOOKUP(IF($J61="Formación Técnica Específica",$B61&amp;"°"&amp;O$1&amp;"°"&amp;$B61&amp;O$1&amp;1&amp;$A61,$B61&amp;"°"&amp;O$1&amp;"°"&amp;$A61),[1]Hoja1!$A:$O,15,0))</f>
        <v>#N/A</v>
      </c>
      <c r="P61" s="52" t="str">
        <f>IF($J61="Formación Técnica Específica",VLOOKUP(IF($J61="Formación Técnica Específica",$B61&amp;"°"&amp;O$1&amp;"°"&amp;$B61&amp;O$1&amp;1&amp;$A61,$B61&amp;"°"&amp;O$1&amp;"°"&amp;$A61),[1]Hoja1!$A:$O,15,0)," ")</f>
        <v xml:space="preserve"> </v>
      </c>
      <c r="Q61" s="44" t="e">
        <f>IF($J61="Formación Técnica Específica",VLOOKUP(IF($J61="Formación Técnica Específica",$B61&amp;"°"&amp;Q$1&amp;"°"&amp;$B61&amp;Q$1&amp;1&amp;$A61,$B61&amp;"°"&amp;Q$1&amp;"°"&amp;$A61),[1]Hoja1!$A:$O,15,0),VLOOKUP(IF($J61="Formación Técnica Específica",$B61&amp;"°"&amp;Q$1&amp;"°"&amp;$B61&amp;Q$1&amp;1&amp;$A61,$B61&amp;"°"&amp;Q$1&amp;"°"&amp;$A61),[1]Hoja1!$A:$O,15,0))</f>
        <v>#N/A</v>
      </c>
      <c r="R61" s="52" t="str">
        <f>IF($J61="Formación Técnica Específica",VLOOKUP(IF($J61="Formación Técnica Específica",$B61&amp;"°"&amp;Q$1&amp;"°"&amp;$B61&amp;Q$1&amp;1&amp;$A61,$B61&amp;"°"&amp;Q$1&amp;"°"&amp;$A61),[1]Hoja1!$A:$O,15,0)," ")</f>
        <v xml:space="preserve"> </v>
      </c>
      <c r="S61" s="44" t="str">
        <f>IF($J61="Formación Técnica Específica",VLOOKUP(IF($J61="Formación Técnica Específica",$B61&amp;"°"&amp;S$1&amp;"°"&amp;$B61&amp;S$1&amp;1&amp;$A61,$B61&amp;"°"&amp;S$1&amp;"°"&amp;$A61),[1]Hoja1!$A:$O,15,0),VLOOKUP(IF($J61="Formación Técnica Específica",$B61&amp;"°"&amp;S$1&amp;"°"&amp;$B61&amp;S$1&amp;1&amp;$A61,$B61&amp;"°"&amp;S$1&amp;"°"&amp;$A61),[1]Hoja1!$A:$O,15,0))</f>
        <v>PALACIOS GUSTAVO</v>
      </c>
      <c r="T61" s="52" t="str">
        <f>IF($J61="Formación Técnica Específica",VLOOKUP(IF($J61="Formación Técnica Específica",$B61&amp;"°"&amp;S$1&amp;"°"&amp;$B61&amp;S$1&amp;1&amp;$A61,$B61&amp;"°"&amp;S$1&amp;"°"&amp;$A61),[1]Hoja1!$A:$O,15,0)," ")</f>
        <v xml:space="preserve"> </v>
      </c>
      <c r="U61" s="44" t="str">
        <f>IF($J61="Formación Técnica Específica",VLOOKUP(IF($J61="Formación Técnica Específica",$B61&amp;"°"&amp;U$1&amp;"°"&amp;$B61&amp;U$1&amp;1&amp;$A61,$B61&amp;"°"&amp;U$1&amp;"°"&amp;$A61),[1]Hoja1!$A:$O,15,0),VLOOKUP(IF($J61="Formación Técnica Específica",$B61&amp;"°"&amp;U$1&amp;"°"&amp;$B61&amp;U$1&amp;1&amp;$A61,$B61&amp;"°"&amp;U$1&amp;"°"&amp;$A61),[1]Hoja1!$A:$O,15,0))</f>
        <v xml:space="preserve">PALACIOS GUSTAVO </v>
      </c>
      <c r="V61" s="52" t="str">
        <f>IF($J61="Formación Técnica Específica",VLOOKUP(IF($J61="Formación Técnica Específica",$B61&amp;"°"&amp;U$1&amp;"°"&amp;$B61&amp;U$1&amp;1&amp;$A61,$B61&amp;"°"&amp;U$1&amp;"°"&amp;$A61),[1]Hoja1!$A:$O,15,0)," ")</f>
        <v xml:space="preserve"> </v>
      </c>
      <c r="W61" s="44" t="e">
        <f>IF($J61="Formación Técnica Específica",VLOOKUP(IF($J61="Formación Técnica Específica",$B61&amp;"°"&amp;W$1&amp;"°"&amp;$B61&amp;W$1&amp;1&amp;$A61,$B61&amp;"°"&amp;W$1&amp;"°"&amp;$A61),[1]Hoja1!$A:$O,15,0),VLOOKUP(IF($J61="Formación Técnica Específica",$B61&amp;"°"&amp;W$1&amp;"°"&amp;$B61&amp;W$1&amp;1&amp;$A61,$B61&amp;"°"&amp;W$1&amp;"°"&amp;$A61),[1]Hoja1!$A:$O,15,0))</f>
        <v>#N/A</v>
      </c>
      <c r="X61" s="52" t="str">
        <f>IF($J61="Formación Técnica Específica",VLOOKUP(IF($J61="Formación Técnica Específica",$B61&amp;"°"&amp;W$1&amp;"°"&amp;$B61&amp;W$1&amp;1&amp;$A61,$B61&amp;"°"&amp;W$1&amp;"°"&amp;$A61),[1]Hoja1!$A:$O,15,0)," ")</f>
        <v xml:space="preserve"> </v>
      </c>
    </row>
    <row r="62" spans="1:24" x14ac:dyDescent="0.25">
      <c r="A62" s="30" t="s">
        <v>118</v>
      </c>
      <c r="B62" s="4">
        <v>4</v>
      </c>
      <c r="C62" s="4" t="s">
        <v>10</v>
      </c>
      <c r="D62" s="4" t="s">
        <v>112</v>
      </c>
      <c r="E62" s="7" t="s">
        <v>66</v>
      </c>
      <c r="F62" s="3">
        <v>7</v>
      </c>
      <c r="G62" s="4" t="s">
        <v>83</v>
      </c>
      <c r="H62" s="4" t="s">
        <v>47</v>
      </c>
      <c r="I62" s="3">
        <v>2</v>
      </c>
      <c r="J62" s="6" t="s">
        <v>290</v>
      </c>
      <c r="K62" s="31" t="s">
        <v>48</v>
      </c>
      <c r="L62" t="str">
        <f t="shared" si="1"/>
        <v>4°7</v>
      </c>
      <c r="M62" s="31"/>
      <c r="N62" s="63" t="str">
        <f t="shared" si="2"/>
        <v>4°7</v>
      </c>
      <c r="O62" s="44" t="e">
        <f>IF($J62="Formación Técnica Específica",VLOOKUP(IF($J62="Formación Técnica Específica",$B62&amp;"°"&amp;O$1&amp;"°"&amp;$B62&amp;O$1&amp;1&amp;$A62,$B62&amp;"°"&amp;O$1&amp;"°"&amp;$A62),[1]Hoja1!$A:$O,15,0),VLOOKUP(IF($J62="Formación Técnica Específica",$B62&amp;"°"&amp;O$1&amp;"°"&amp;$B62&amp;O$1&amp;1&amp;$A62,$B62&amp;"°"&amp;O$1&amp;"°"&amp;$A62),[1]Hoja1!$A:$O,15,0))</f>
        <v>#N/A</v>
      </c>
      <c r="P62" s="52" t="str">
        <f>IF($J62="Formación Técnica Específica",VLOOKUP(IF($J62="Formación Técnica Específica",$B62&amp;"°"&amp;O$1&amp;"°"&amp;$B62&amp;O$1&amp;1&amp;$A62,$B62&amp;"°"&amp;O$1&amp;"°"&amp;$A62),[1]Hoja1!$A:$O,15,0)," ")</f>
        <v xml:space="preserve"> </v>
      </c>
      <c r="Q62" s="44" t="e">
        <f>IF($J62="Formación Técnica Específica",VLOOKUP(IF($J62="Formación Técnica Específica",$B62&amp;"°"&amp;Q$1&amp;"°"&amp;$B62&amp;Q$1&amp;1&amp;$A62,$B62&amp;"°"&amp;Q$1&amp;"°"&amp;$A62),[1]Hoja1!$A:$O,15,0),VLOOKUP(IF($J62="Formación Técnica Específica",$B62&amp;"°"&amp;Q$1&amp;"°"&amp;$B62&amp;Q$1&amp;1&amp;$A62,$B62&amp;"°"&amp;Q$1&amp;"°"&amp;$A62),[1]Hoja1!$A:$O,15,0))</f>
        <v>#N/A</v>
      </c>
      <c r="R62" s="52" t="str">
        <f>IF($J62="Formación Técnica Específica",VLOOKUP(IF($J62="Formación Técnica Específica",$B62&amp;"°"&amp;Q$1&amp;"°"&amp;$B62&amp;Q$1&amp;1&amp;$A62,$B62&amp;"°"&amp;Q$1&amp;"°"&amp;$A62),[1]Hoja1!$A:$O,15,0)," ")</f>
        <v xml:space="preserve"> </v>
      </c>
      <c r="S62" s="44" t="str">
        <f>IF($J62="Formación Técnica Específica",VLOOKUP(IF($J62="Formación Técnica Específica",$B62&amp;"°"&amp;S$1&amp;"°"&amp;$B62&amp;S$1&amp;1&amp;$A62,$B62&amp;"°"&amp;S$1&amp;"°"&amp;$A62),[1]Hoja1!$A:$O,15,0),VLOOKUP(IF($J62="Formación Técnica Específica",$B62&amp;"°"&amp;S$1&amp;"°"&amp;$B62&amp;S$1&amp;1&amp;$A62,$B62&amp;"°"&amp;S$1&amp;"°"&amp;$A62),[1]Hoja1!$A:$O,15,0))</f>
        <v xml:space="preserve">ROJAS SOLEDAD </v>
      </c>
      <c r="T62" s="52" t="str">
        <f>IF($J62="Formación Técnica Específica",VLOOKUP(IF($J62="Formación Técnica Específica",$B62&amp;"°"&amp;S$1&amp;"°"&amp;$B62&amp;S$1&amp;1&amp;$A62,$B62&amp;"°"&amp;S$1&amp;"°"&amp;$A62),[1]Hoja1!$A:$O,15,0)," ")</f>
        <v xml:space="preserve"> </v>
      </c>
      <c r="U62" s="44" t="str">
        <f>IF($J62="Formación Técnica Específica",VLOOKUP(IF($J62="Formación Técnica Específica",$B62&amp;"°"&amp;U$1&amp;"°"&amp;$B62&amp;U$1&amp;1&amp;$A62,$B62&amp;"°"&amp;U$1&amp;"°"&amp;$A62),[1]Hoja1!$A:$O,15,0),VLOOKUP(IF($J62="Formación Técnica Específica",$B62&amp;"°"&amp;U$1&amp;"°"&amp;$B62&amp;U$1&amp;1&amp;$A62,$B62&amp;"°"&amp;U$1&amp;"°"&amp;$A62),[1]Hoja1!$A:$O,15,0))</f>
        <v>ANTONELLO, FERNANDO</v>
      </c>
      <c r="V62" s="52" t="str">
        <f>IF($J62="Formación Técnica Específica",VLOOKUP(IF($J62="Formación Técnica Específica",$B62&amp;"°"&amp;U$1&amp;"°"&amp;$B62&amp;U$1&amp;1&amp;$A62,$B62&amp;"°"&amp;U$1&amp;"°"&amp;$A62),[1]Hoja1!$A:$O,15,0)," ")</f>
        <v xml:space="preserve"> </v>
      </c>
      <c r="W62" s="44" t="e">
        <f>IF($J62="Formación Técnica Específica",VLOOKUP(IF($J62="Formación Técnica Específica",$B62&amp;"°"&amp;W$1&amp;"°"&amp;$B62&amp;W$1&amp;1&amp;$A62,$B62&amp;"°"&amp;W$1&amp;"°"&amp;$A62),[1]Hoja1!$A:$O,15,0),VLOOKUP(IF($J62="Formación Técnica Específica",$B62&amp;"°"&amp;W$1&amp;"°"&amp;$B62&amp;W$1&amp;1&amp;$A62,$B62&amp;"°"&amp;W$1&amp;"°"&amp;$A62),[1]Hoja1!$A:$O,15,0))</f>
        <v>#N/A</v>
      </c>
      <c r="X62" s="52" t="str">
        <f>IF($J62="Formación Técnica Específica",VLOOKUP(IF($J62="Formación Técnica Específica",$B62&amp;"°"&amp;W$1&amp;"°"&amp;$B62&amp;W$1&amp;1&amp;$A62,$B62&amp;"°"&amp;W$1&amp;"°"&amp;$A62),[1]Hoja1!$A:$O,15,0)," ")</f>
        <v xml:space="preserve"> </v>
      </c>
    </row>
    <row r="63" spans="1:24" x14ac:dyDescent="0.25">
      <c r="A63" s="30" t="s">
        <v>119</v>
      </c>
      <c r="B63" s="4">
        <v>4</v>
      </c>
      <c r="C63" s="4" t="s">
        <v>10</v>
      </c>
      <c r="D63" s="4" t="s">
        <v>112</v>
      </c>
      <c r="E63" s="7" t="s">
        <v>66</v>
      </c>
      <c r="F63" s="3">
        <v>8</v>
      </c>
      <c r="G63" s="4" t="s">
        <v>85</v>
      </c>
      <c r="H63" s="4" t="s">
        <v>85</v>
      </c>
      <c r="I63" s="3">
        <v>3</v>
      </c>
      <c r="J63" s="6" t="s">
        <v>290</v>
      </c>
      <c r="K63" s="31" t="s">
        <v>86</v>
      </c>
      <c r="L63" t="str">
        <f t="shared" si="1"/>
        <v>4°8</v>
      </c>
      <c r="M63" s="31"/>
      <c r="N63" s="63" t="str">
        <f t="shared" si="2"/>
        <v>4°8</v>
      </c>
      <c r="O63" s="44" t="e">
        <f>IF($J63="Formación Técnica Específica",VLOOKUP(IF($J63="Formación Técnica Específica",$B63&amp;"°"&amp;O$1&amp;"°"&amp;$B63&amp;O$1&amp;1&amp;$A63,$B63&amp;"°"&amp;O$1&amp;"°"&amp;$A63),[1]Hoja1!$A:$O,15,0),VLOOKUP(IF($J63="Formación Técnica Específica",$B63&amp;"°"&amp;O$1&amp;"°"&amp;$B63&amp;O$1&amp;1&amp;$A63,$B63&amp;"°"&amp;O$1&amp;"°"&amp;$A63),[1]Hoja1!$A:$O,15,0))</f>
        <v>#N/A</v>
      </c>
      <c r="P63" s="52" t="str">
        <f>IF($J63="Formación Técnica Específica",VLOOKUP(IF($J63="Formación Técnica Específica",$B63&amp;"°"&amp;O$1&amp;"°"&amp;$B63&amp;O$1&amp;1&amp;$A63,$B63&amp;"°"&amp;O$1&amp;"°"&amp;$A63),[1]Hoja1!$A:$O,15,0)," ")</f>
        <v xml:space="preserve"> </v>
      </c>
      <c r="Q63" s="44" t="e">
        <f>IF($J63="Formación Técnica Específica",VLOOKUP(IF($J63="Formación Técnica Específica",$B63&amp;"°"&amp;Q$1&amp;"°"&amp;$B63&amp;Q$1&amp;1&amp;$A63,$B63&amp;"°"&amp;Q$1&amp;"°"&amp;$A63),[1]Hoja1!$A:$O,15,0),VLOOKUP(IF($J63="Formación Técnica Específica",$B63&amp;"°"&amp;Q$1&amp;"°"&amp;$B63&amp;Q$1&amp;1&amp;$A63,$B63&amp;"°"&amp;Q$1&amp;"°"&amp;$A63),[1]Hoja1!$A:$O,15,0))</f>
        <v>#N/A</v>
      </c>
      <c r="R63" s="52" t="str">
        <f>IF($J63="Formación Técnica Específica",VLOOKUP(IF($J63="Formación Técnica Específica",$B63&amp;"°"&amp;Q$1&amp;"°"&amp;$B63&amp;Q$1&amp;1&amp;$A63,$B63&amp;"°"&amp;Q$1&amp;"°"&amp;$A63),[1]Hoja1!$A:$O,15,0)," ")</f>
        <v xml:space="preserve"> </v>
      </c>
      <c r="S63" s="44" t="str">
        <f>IF($J63="Formación Técnica Específica",VLOOKUP(IF($J63="Formación Técnica Específica",$B63&amp;"°"&amp;S$1&amp;"°"&amp;$B63&amp;S$1&amp;1&amp;$A63,$B63&amp;"°"&amp;S$1&amp;"°"&amp;$A63),[1]Hoja1!$A:$O,15,0),VLOOKUP(IF($J63="Formación Técnica Específica",$B63&amp;"°"&amp;S$1&amp;"°"&amp;$B63&amp;S$1&amp;1&amp;$A63,$B63&amp;"°"&amp;S$1&amp;"°"&amp;$A63),[1]Hoja1!$A:$O,15,0))</f>
        <v xml:space="preserve">ESPINDOLA SERGIO                          </v>
      </c>
      <c r="T63" s="52" t="str">
        <f>IF($J63="Formación Técnica Específica",VLOOKUP(IF($J63="Formación Técnica Específica",$B63&amp;"°"&amp;S$1&amp;"°"&amp;$B63&amp;S$1&amp;1&amp;$A63,$B63&amp;"°"&amp;S$1&amp;"°"&amp;$A63),[1]Hoja1!$A:$O,15,0)," ")</f>
        <v xml:space="preserve"> </v>
      </c>
      <c r="U63" s="44" t="str">
        <f>IF($J63="Formación Técnica Específica",VLOOKUP(IF($J63="Formación Técnica Específica",$B63&amp;"°"&amp;U$1&amp;"°"&amp;$B63&amp;U$1&amp;1&amp;$A63,$B63&amp;"°"&amp;U$1&amp;"°"&amp;$A63),[1]Hoja1!$A:$O,15,0),VLOOKUP(IF($J63="Formación Técnica Específica",$B63&amp;"°"&amp;U$1&amp;"°"&amp;$B63&amp;U$1&amp;1&amp;$A63,$B63&amp;"°"&amp;U$1&amp;"°"&amp;$A63),[1]Hoja1!$A:$O,15,0))</f>
        <v>PROCHOR JUAN</v>
      </c>
      <c r="V63" s="52" t="str">
        <f>IF($J63="Formación Técnica Específica",VLOOKUP(IF($J63="Formación Técnica Específica",$B63&amp;"°"&amp;U$1&amp;"°"&amp;$B63&amp;U$1&amp;1&amp;$A63,$B63&amp;"°"&amp;U$1&amp;"°"&amp;$A63),[1]Hoja1!$A:$O,15,0)," ")</f>
        <v xml:space="preserve"> </v>
      </c>
      <c r="W63" s="44" t="e">
        <f>IF($J63="Formación Técnica Específica",VLOOKUP(IF($J63="Formación Técnica Específica",$B63&amp;"°"&amp;W$1&amp;"°"&amp;$B63&amp;W$1&amp;1&amp;$A63,$B63&amp;"°"&amp;W$1&amp;"°"&amp;$A63),[1]Hoja1!$A:$O,15,0),VLOOKUP(IF($J63="Formación Técnica Específica",$B63&amp;"°"&amp;W$1&amp;"°"&amp;$B63&amp;W$1&amp;1&amp;$A63,$B63&amp;"°"&amp;W$1&amp;"°"&amp;$A63),[1]Hoja1!$A:$O,15,0))</f>
        <v>#N/A</v>
      </c>
      <c r="X63" s="52" t="str">
        <f>IF($J63="Formación Técnica Específica",VLOOKUP(IF($J63="Formación Técnica Específica",$B63&amp;"°"&amp;W$1&amp;"°"&amp;$B63&amp;W$1&amp;1&amp;$A63,$B63&amp;"°"&amp;W$1&amp;"°"&amp;$A63),[1]Hoja1!$A:$O,15,0)," ")</f>
        <v xml:space="preserve"> </v>
      </c>
    </row>
    <row r="64" spans="1:24" x14ac:dyDescent="0.25">
      <c r="A64" s="30" t="s">
        <v>120</v>
      </c>
      <c r="B64" s="4">
        <v>4</v>
      </c>
      <c r="C64" s="4" t="s">
        <v>10</v>
      </c>
      <c r="D64" s="4" t="s">
        <v>112</v>
      </c>
      <c r="E64" s="7" t="s">
        <v>66</v>
      </c>
      <c r="F64" s="3">
        <v>9</v>
      </c>
      <c r="G64" s="4" t="s">
        <v>88</v>
      </c>
      <c r="H64" s="4" t="s">
        <v>89</v>
      </c>
      <c r="I64" s="3">
        <v>2</v>
      </c>
      <c r="J64" s="6" t="s">
        <v>290</v>
      </c>
      <c r="K64" s="31" t="s">
        <v>90</v>
      </c>
      <c r="L64" t="str">
        <f t="shared" si="1"/>
        <v>4°9</v>
      </c>
      <c r="M64" s="31"/>
      <c r="N64" s="63" t="str">
        <f t="shared" si="2"/>
        <v>4°9</v>
      </c>
      <c r="O64" s="44" t="e">
        <f>IF($J64="Formación Técnica Específica",VLOOKUP(IF($J64="Formación Técnica Específica",$B64&amp;"°"&amp;O$1&amp;"°"&amp;$B64&amp;O$1&amp;1&amp;$A64,$B64&amp;"°"&amp;O$1&amp;"°"&amp;$A64),[1]Hoja1!$A:$O,15,0),VLOOKUP(IF($J64="Formación Técnica Específica",$B64&amp;"°"&amp;O$1&amp;"°"&amp;$B64&amp;O$1&amp;1&amp;$A64,$B64&amp;"°"&amp;O$1&amp;"°"&amp;$A64),[1]Hoja1!$A:$O,15,0))</f>
        <v>#N/A</v>
      </c>
      <c r="P64" s="52" t="str">
        <f>IF($J64="Formación Técnica Específica",VLOOKUP(IF($J64="Formación Técnica Específica",$B64&amp;"°"&amp;O$1&amp;"°"&amp;$B64&amp;O$1&amp;1&amp;$A64,$B64&amp;"°"&amp;O$1&amp;"°"&amp;$A64),[1]Hoja1!$A:$O,15,0)," ")</f>
        <v xml:space="preserve"> </v>
      </c>
      <c r="Q64" s="44" t="e">
        <f>IF($J64="Formación Técnica Específica",VLOOKUP(IF($J64="Formación Técnica Específica",$B64&amp;"°"&amp;Q$1&amp;"°"&amp;$B64&amp;Q$1&amp;1&amp;$A64,$B64&amp;"°"&amp;Q$1&amp;"°"&amp;$A64),[1]Hoja1!$A:$O,15,0),VLOOKUP(IF($J64="Formación Técnica Específica",$B64&amp;"°"&amp;Q$1&amp;"°"&amp;$B64&amp;Q$1&amp;1&amp;$A64,$B64&amp;"°"&amp;Q$1&amp;"°"&amp;$A64),[1]Hoja1!$A:$O,15,0))</f>
        <v>#N/A</v>
      </c>
      <c r="R64" s="52" t="str">
        <f>IF($J64="Formación Técnica Específica",VLOOKUP(IF($J64="Formación Técnica Específica",$B64&amp;"°"&amp;Q$1&amp;"°"&amp;$B64&amp;Q$1&amp;1&amp;$A64,$B64&amp;"°"&amp;Q$1&amp;"°"&amp;$A64),[1]Hoja1!$A:$O,15,0)," ")</f>
        <v xml:space="preserve"> </v>
      </c>
      <c r="S64" s="44" t="str">
        <f>IF($J64="Formación Técnica Específica",VLOOKUP(IF($J64="Formación Técnica Específica",$B64&amp;"°"&amp;S$1&amp;"°"&amp;$B64&amp;S$1&amp;1&amp;$A64,$B64&amp;"°"&amp;S$1&amp;"°"&amp;$A64),[1]Hoja1!$A:$O,15,0),VLOOKUP(IF($J64="Formación Técnica Específica",$B64&amp;"°"&amp;S$1&amp;"°"&amp;$B64&amp;S$1&amp;1&amp;$A64,$B64&amp;"°"&amp;S$1&amp;"°"&amp;$A64),[1]Hoja1!$A:$O,15,0))</f>
        <v xml:space="preserve">CANCELA GONZALEZ M </v>
      </c>
      <c r="T64" s="52" t="str">
        <f>IF($J64="Formación Técnica Específica",VLOOKUP(IF($J64="Formación Técnica Específica",$B64&amp;"°"&amp;S$1&amp;"°"&amp;$B64&amp;S$1&amp;1&amp;$A64,$B64&amp;"°"&amp;S$1&amp;"°"&amp;$A64),[1]Hoja1!$A:$O,15,0)," ")</f>
        <v xml:space="preserve"> </v>
      </c>
      <c r="U64" s="44" t="str">
        <f>IF($J64="Formación Técnica Específica",VLOOKUP(IF($J64="Formación Técnica Específica",$B64&amp;"°"&amp;U$1&amp;"°"&amp;$B64&amp;U$1&amp;1&amp;$A64,$B64&amp;"°"&amp;U$1&amp;"°"&amp;$A64),[1]Hoja1!$A:$O,15,0),VLOOKUP(IF($J64="Formación Técnica Específica",$B64&amp;"°"&amp;U$1&amp;"°"&amp;$B64&amp;U$1&amp;1&amp;$A64,$B64&amp;"°"&amp;U$1&amp;"°"&amp;$A64),[1]Hoja1!$A:$O,15,0))</f>
        <v>TORRES VANINA</v>
      </c>
      <c r="V64" s="52" t="str">
        <f>IF($J64="Formación Técnica Específica",VLOOKUP(IF($J64="Formación Técnica Específica",$B64&amp;"°"&amp;U$1&amp;"°"&amp;$B64&amp;U$1&amp;1&amp;$A64,$B64&amp;"°"&amp;U$1&amp;"°"&amp;$A64),[1]Hoja1!$A:$O,15,0)," ")</f>
        <v xml:space="preserve"> </v>
      </c>
      <c r="W64" s="44" t="e">
        <f>IF($J64="Formación Técnica Específica",VLOOKUP(IF($J64="Formación Técnica Específica",$B64&amp;"°"&amp;W$1&amp;"°"&amp;$B64&amp;W$1&amp;1&amp;$A64,$B64&amp;"°"&amp;W$1&amp;"°"&amp;$A64),[1]Hoja1!$A:$O,15,0),VLOOKUP(IF($J64="Formación Técnica Específica",$B64&amp;"°"&amp;W$1&amp;"°"&amp;$B64&amp;W$1&amp;1&amp;$A64,$B64&amp;"°"&amp;W$1&amp;"°"&amp;$A64),[1]Hoja1!$A:$O,15,0))</f>
        <v>#N/A</v>
      </c>
      <c r="X64" s="52" t="str">
        <f>IF($J64="Formación Técnica Específica",VLOOKUP(IF($J64="Formación Técnica Específica",$B64&amp;"°"&amp;W$1&amp;"°"&amp;$B64&amp;W$1&amp;1&amp;$A64,$B64&amp;"°"&amp;W$1&amp;"°"&amp;$A64),[1]Hoja1!$A:$O,15,0)," ")</f>
        <v xml:space="preserve"> </v>
      </c>
    </row>
    <row r="65" spans="1:24" x14ac:dyDescent="0.25">
      <c r="A65" s="30" t="s">
        <v>121</v>
      </c>
      <c r="B65" s="4">
        <v>4</v>
      </c>
      <c r="C65" s="4" t="s">
        <v>10</v>
      </c>
      <c r="D65" s="4" t="s">
        <v>112</v>
      </c>
      <c r="E65" s="7" t="s">
        <v>66</v>
      </c>
      <c r="F65" s="3">
        <v>10</v>
      </c>
      <c r="G65" s="4" t="s">
        <v>122</v>
      </c>
      <c r="H65" s="4" t="s">
        <v>122</v>
      </c>
      <c r="I65" s="3">
        <v>2</v>
      </c>
      <c r="J65" s="6" t="s">
        <v>290</v>
      </c>
      <c r="K65" s="31" t="s">
        <v>123</v>
      </c>
      <c r="L65" t="str">
        <f t="shared" si="1"/>
        <v>4°10</v>
      </c>
      <c r="M65" s="31" t="s">
        <v>282</v>
      </c>
      <c r="N65" s="63" t="str">
        <f t="shared" si="2"/>
        <v>4°10</v>
      </c>
      <c r="O65" s="44" t="e">
        <f>IF($J65="Formación Técnica Específica",VLOOKUP(IF($J65="Formación Técnica Específica",$B65&amp;"°"&amp;O$1&amp;"°"&amp;$B65&amp;O$1&amp;1&amp;$A65,$B65&amp;"°"&amp;O$1&amp;"°"&amp;$A65),[1]Hoja1!$A:$O,15,0),VLOOKUP(IF($J65="Formación Técnica Específica",$B65&amp;"°"&amp;O$1&amp;"°"&amp;$B65&amp;O$1&amp;1&amp;$A65,$B65&amp;"°"&amp;O$1&amp;"°"&amp;$A65),[1]Hoja1!$A:$O,15,0))</f>
        <v>#N/A</v>
      </c>
      <c r="P65" s="52" t="str">
        <f>IF($J65="Formación Técnica Específica",VLOOKUP(IF($J65="Formación Técnica Específica",$B65&amp;"°"&amp;O$1&amp;"°"&amp;$B65&amp;O$1&amp;1&amp;$A65,$B65&amp;"°"&amp;O$1&amp;"°"&amp;$A65),[1]Hoja1!$A:$O,15,0)," ")</f>
        <v xml:space="preserve"> </v>
      </c>
      <c r="Q65" s="44" t="e">
        <f>IF($J65="Formación Técnica Específica",VLOOKUP(IF($J65="Formación Técnica Específica",$B65&amp;"°"&amp;Q$1&amp;"°"&amp;$B65&amp;Q$1&amp;1&amp;$A65,$B65&amp;"°"&amp;Q$1&amp;"°"&amp;$A65),[1]Hoja1!$A:$O,15,0),VLOOKUP(IF($J65="Formación Técnica Específica",$B65&amp;"°"&amp;Q$1&amp;"°"&amp;$B65&amp;Q$1&amp;1&amp;$A65,$B65&amp;"°"&amp;Q$1&amp;"°"&amp;$A65),[1]Hoja1!$A:$O,15,0))</f>
        <v>#N/A</v>
      </c>
      <c r="R65" s="52" t="str">
        <f>IF($J65="Formación Técnica Específica",VLOOKUP(IF($J65="Formación Técnica Específica",$B65&amp;"°"&amp;Q$1&amp;"°"&amp;$B65&amp;Q$1&amp;1&amp;$A65,$B65&amp;"°"&amp;Q$1&amp;"°"&amp;$A65),[1]Hoja1!$A:$O,15,0)," ")</f>
        <v xml:space="preserve"> </v>
      </c>
      <c r="S65" s="44" t="str">
        <f>IF($J65="Formación Técnica Específica",VLOOKUP(IF($J65="Formación Técnica Específica",$B65&amp;"°"&amp;S$1&amp;"°"&amp;$B65&amp;S$1&amp;1&amp;$A65,$B65&amp;"°"&amp;S$1&amp;"°"&amp;$A65),[1]Hoja1!$A:$O,15,0),VLOOKUP(IF($J65="Formación Técnica Específica",$B65&amp;"°"&amp;S$1&amp;"°"&amp;$B65&amp;S$1&amp;1&amp;$A65,$B65&amp;"°"&amp;S$1&amp;"°"&amp;$A65),[1]Hoja1!$A:$O,15,0))</f>
        <v xml:space="preserve">VIANA MAURO                  </v>
      </c>
      <c r="T65" s="52" t="str">
        <f>IF($J65="Formación Técnica Específica",VLOOKUP(IF($J65="Formación Técnica Específica",$B65&amp;"°"&amp;S$1&amp;"°"&amp;$B65&amp;S$1&amp;1&amp;$A65,$B65&amp;"°"&amp;S$1&amp;"°"&amp;$A65),[1]Hoja1!$A:$O,15,0)," ")</f>
        <v xml:space="preserve"> </v>
      </c>
      <c r="U65" s="44" t="str">
        <f>IF($J65="Formación Técnica Específica",VLOOKUP(IF($J65="Formación Técnica Específica",$B65&amp;"°"&amp;U$1&amp;"°"&amp;$B65&amp;U$1&amp;1&amp;$A65,$B65&amp;"°"&amp;U$1&amp;"°"&amp;$A65),[1]Hoja1!$A:$O,15,0),VLOOKUP(IF($J65="Formación Técnica Específica",$B65&amp;"°"&amp;U$1&amp;"°"&amp;$B65&amp;U$1&amp;1&amp;$A65,$B65&amp;"°"&amp;U$1&amp;"°"&amp;$A65),[1]Hoja1!$A:$O,15,0))</f>
        <v xml:space="preserve">VIANA MAURO                  </v>
      </c>
      <c r="V65" s="52" t="str">
        <f>IF($J65="Formación Técnica Específica",VLOOKUP(IF($J65="Formación Técnica Específica",$B65&amp;"°"&amp;U$1&amp;"°"&amp;$B65&amp;U$1&amp;1&amp;$A65,$B65&amp;"°"&amp;U$1&amp;"°"&amp;$A65),[1]Hoja1!$A:$O,15,0)," ")</f>
        <v xml:space="preserve"> </v>
      </c>
      <c r="W65" s="44" t="e">
        <f>IF($J65="Formación Técnica Específica",VLOOKUP(IF($J65="Formación Técnica Específica",$B65&amp;"°"&amp;W$1&amp;"°"&amp;$B65&amp;W$1&amp;1&amp;$A65,$B65&amp;"°"&amp;W$1&amp;"°"&amp;$A65),[1]Hoja1!$A:$O,15,0),VLOOKUP(IF($J65="Formación Técnica Específica",$B65&amp;"°"&amp;W$1&amp;"°"&amp;$B65&amp;W$1&amp;1&amp;$A65,$B65&amp;"°"&amp;W$1&amp;"°"&amp;$A65),[1]Hoja1!$A:$O,15,0))</f>
        <v>#N/A</v>
      </c>
      <c r="X65" s="52" t="str">
        <f>IF($J65="Formación Técnica Específica",VLOOKUP(IF($J65="Formación Técnica Específica",$B65&amp;"°"&amp;W$1&amp;"°"&amp;$B65&amp;W$1&amp;1&amp;$A65,$B65&amp;"°"&amp;W$1&amp;"°"&amp;$A65),[1]Hoja1!$A:$O,15,0)," ")</f>
        <v xml:space="preserve"> </v>
      </c>
    </row>
    <row r="66" spans="1:24" x14ac:dyDescent="0.25">
      <c r="A66" s="30" t="s">
        <v>124</v>
      </c>
      <c r="B66" s="4">
        <v>4</v>
      </c>
      <c r="C66" s="4" t="s">
        <v>10</v>
      </c>
      <c r="D66" s="4" t="s">
        <v>112</v>
      </c>
      <c r="E66" s="7" t="s">
        <v>66</v>
      </c>
      <c r="F66" s="3">
        <v>11</v>
      </c>
      <c r="G66" s="4" t="s">
        <v>92</v>
      </c>
      <c r="H66" s="4" t="s">
        <v>93</v>
      </c>
      <c r="I66" s="3">
        <v>2</v>
      </c>
      <c r="J66" s="6" t="s">
        <v>290</v>
      </c>
      <c r="K66" s="31" t="s">
        <v>94</v>
      </c>
      <c r="L66" t="str">
        <f t="shared" si="1"/>
        <v>4°11</v>
      </c>
      <c r="M66" s="31" t="s">
        <v>282</v>
      </c>
      <c r="N66" s="63" t="str">
        <f t="shared" si="2"/>
        <v>4°11</v>
      </c>
      <c r="O66" s="44" t="e">
        <f>IF($J66="Formación Técnica Específica",VLOOKUP(IF($J66="Formación Técnica Específica",$B66&amp;"°"&amp;O$1&amp;"°"&amp;$B66&amp;O$1&amp;1&amp;$A66,$B66&amp;"°"&amp;O$1&amp;"°"&amp;$A66),[1]Hoja1!$A:$O,15,0),VLOOKUP(IF($J66="Formación Técnica Específica",$B66&amp;"°"&amp;O$1&amp;"°"&amp;$B66&amp;O$1&amp;1&amp;$A66,$B66&amp;"°"&amp;O$1&amp;"°"&amp;$A66),[1]Hoja1!$A:$O,15,0))</f>
        <v>#N/A</v>
      </c>
      <c r="P66" s="52" t="str">
        <f>IF($J66="Formación Técnica Específica",VLOOKUP(IF($J66="Formación Técnica Específica",$B66&amp;"°"&amp;O$1&amp;"°"&amp;$B66&amp;O$1&amp;1&amp;$A66,$B66&amp;"°"&amp;O$1&amp;"°"&amp;$A66),[1]Hoja1!$A:$O,15,0)," ")</f>
        <v xml:space="preserve"> </v>
      </c>
      <c r="Q66" s="44" t="e">
        <f>IF($J66="Formación Técnica Específica",VLOOKUP(IF($J66="Formación Técnica Específica",$B66&amp;"°"&amp;Q$1&amp;"°"&amp;$B66&amp;Q$1&amp;1&amp;$A66,$B66&amp;"°"&amp;Q$1&amp;"°"&amp;$A66),[1]Hoja1!$A:$O,15,0),VLOOKUP(IF($J66="Formación Técnica Específica",$B66&amp;"°"&amp;Q$1&amp;"°"&amp;$B66&amp;Q$1&amp;1&amp;$A66,$B66&amp;"°"&amp;Q$1&amp;"°"&amp;$A66),[1]Hoja1!$A:$O,15,0))</f>
        <v>#N/A</v>
      </c>
      <c r="R66" s="52" t="str">
        <f>IF($J66="Formación Técnica Específica",VLOOKUP(IF($J66="Formación Técnica Específica",$B66&amp;"°"&amp;Q$1&amp;"°"&amp;$B66&amp;Q$1&amp;1&amp;$A66,$B66&amp;"°"&amp;Q$1&amp;"°"&amp;$A66),[1]Hoja1!$A:$O,15,0)," ")</f>
        <v xml:space="preserve"> </v>
      </c>
      <c r="S66" s="44" t="str">
        <f>IF($J66="Formación Técnica Específica",VLOOKUP(IF($J66="Formación Técnica Específica",$B66&amp;"°"&amp;S$1&amp;"°"&amp;$B66&amp;S$1&amp;1&amp;$A66,$B66&amp;"°"&amp;S$1&amp;"°"&amp;$A66),[1]Hoja1!$A:$O,15,0),VLOOKUP(IF($J66="Formación Técnica Específica",$B66&amp;"°"&amp;S$1&amp;"°"&amp;$B66&amp;S$1&amp;1&amp;$A66,$B66&amp;"°"&amp;S$1&amp;"°"&amp;$A66),[1]Hoja1!$A:$O,15,0))</f>
        <v>ATAMAÑUK, FLORENCIA</v>
      </c>
      <c r="T66" s="52" t="str">
        <f>IF($J66="Formación Técnica Específica",VLOOKUP(IF($J66="Formación Técnica Específica",$B66&amp;"°"&amp;S$1&amp;"°"&amp;$B66&amp;S$1&amp;1&amp;$A66,$B66&amp;"°"&amp;S$1&amp;"°"&amp;$A66),[1]Hoja1!$A:$O,15,0)," ")</f>
        <v xml:space="preserve"> </v>
      </c>
      <c r="U66" s="44" t="str">
        <f>IF($J66="Formación Técnica Específica",VLOOKUP(IF($J66="Formación Técnica Específica",$B66&amp;"°"&amp;U$1&amp;"°"&amp;$B66&amp;U$1&amp;1&amp;$A66,$B66&amp;"°"&amp;U$1&amp;"°"&amp;$A66),[1]Hoja1!$A:$O,15,0),VLOOKUP(IF($J66="Formación Técnica Específica",$B66&amp;"°"&amp;U$1&amp;"°"&amp;$B66&amp;U$1&amp;1&amp;$A66,$B66&amp;"°"&amp;U$1&amp;"°"&amp;$A66),[1]Hoja1!$A:$O,15,0))</f>
        <v>SERENO, LEONEL</v>
      </c>
      <c r="V66" s="52" t="str">
        <f>IF($J66="Formación Técnica Específica",VLOOKUP(IF($J66="Formación Técnica Específica",$B66&amp;"°"&amp;U$1&amp;"°"&amp;$B66&amp;U$1&amp;1&amp;$A66,$B66&amp;"°"&amp;U$1&amp;"°"&amp;$A66),[1]Hoja1!$A:$O,15,0)," ")</f>
        <v xml:space="preserve"> </v>
      </c>
      <c r="W66" s="44" t="e">
        <f>IF($J66="Formación Técnica Específica",VLOOKUP(IF($J66="Formación Técnica Específica",$B66&amp;"°"&amp;W$1&amp;"°"&amp;$B66&amp;W$1&amp;1&amp;$A66,$B66&amp;"°"&amp;W$1&amp;"°"&amp;$A66),[1]Hoja1!$A:$O,15,0),VLOOKUP(IF($J66="Formación Técnica Específica",$B66&amp;"°"&amp;W$1&amp;"°"&amp;$B66&amp;W$1&amp;1&amp;$A66,$B66&amp;"°"&amp;W$1&amp;"°"&amp;$A66),[1]Hoja1!$A:$O,15,0))</f>
        <v>#N/A</v>
      </c>
      <c r="X66" s="52" t="str">
        <f>IF($J66="Formación Técnica Específica",VLOOKUP(IF($J66="Formación Técnica Específica",$B66&amp;"°"&amp;W$1&amp;"°"&amp;$B66&amp;W$1&amp;1&amp;$A66,$B66&amp;"°"&amp;W$1&amp;"°"&amp;$A66),[1]Hoja1!$A:$O,15,0)," ")</f>
        <v xml:space="preserve"> </v>
      </c>
    </row>
    <row r="67" spans="1:24" x14ac:dyDescent="0.25">
      <c r="A67" s="30" t="s">
        <v>125</v>
      </c>
      <c r="B67" s="4">
        <v>4</v>
      </c>
      <c r="C67" s="4" t="s">
        <v>10</v>
      </c>
      <c r="D67" s="4" t="s">
        <v>112</v>
      </c>
      <c r="E67" s="7" t="s">
        <v>66</v>
      </c>
      <c r="F67" s="3">
        <v>12</v>
      </c>
      <c r="G67" s="4" t="s">
        <v>126</v>
      </c>
      <c r="H67" s="4" t="s">
        <v>127</v>
      </c>
      <c r="I67" s="3">
        <v>4</v>
      </c>
      <c r="J67" s="6" t="s">
        <v>33</v>
      </c>
      <c r="K67" s="31" t="s">
        <v>287</v>
      </c>
      <c r="L67" t="str">
        <f t="shared" ref="L67:L130" si="5">B67&amp;"°"&amp;F67</f>
        <v>4°12</v>
      </c>
      <c r="M67" s="31" t="s">
        <v>282</v>
      </c>
      <c r="N67" s="63" t="str">
        <f t="shared" ref="N67:N130" si="6">B67&amp;"°"&amp;F67</f>
        <v>4°12</v>
      </c>
      <c r="O67" s="44" t="e">
        <f>IF($J67="Formación Técnica Específica",VLOOKUP(IF($J67="Formación Técnica Específica",$B67&amp;"°"&amp;O$1&amp;"°"&amp;$B67&amp;O$1&amp;1&amp;$A67,$B67&amp;"°"&amp;O$1&amp;"°"&amp;$A67),[1]Hoja1!$A:$O,15,0),VLOOKUP(IF($J67="Formación Técnica Específica",$B67&amp;"°"&amp;O$1&amp;"°"&amp;$B67&amp;O$1&amp;1&amp;$A67,$B67&amp;"°"&amp;O$1&amp;"°"&amp;$A67),[1]Hoja1!$A:$O,15,0))</f>
        <v>#N/A</v>
      </c>
      <c r="P67" s="52" t="e">
        <f>IF($J67="Formación Técnica Específica",VLOOKUP(IF($J67="Formación Técnica Específica",$B67&amp;"°"&amp;O$1&amp;"°"&amp;$B67&amp;O$1&amp;1&amp;$A67,$B67&amp;"°"&amp;O$1&amp;"°"&amp;$A67),[1]Hoja1!$A:$O,15,0)," ")</f>
        <v>#N/A</v>
      </c>
      <c r="Q67" s="44" t="e">
        <f>IF($J67="Formación Técnica Específica",VLOOKUP(IF($J67="Formación Técnica Específica",$B67&amp;"°"&amp;Q$1&amp;"°"&amp;$B67&amp;Q$1&amp;1&amp;$A67,$B67&amp;"°"&amp;Q$1&amp;"°"&amp;$A67),[1]Hoja1!$A:$O,15,0),VLOOKUP(IF($J67="Formación Técnica Específica",$B67&amp;"°"&amp;Q$1&amp;"°"&amp;$B67&amp;Q$1&amp;1&amp;$A67,$B67&amp;"°"&amp;Q$1&amp;"°"&amp;$A67),[1]Hoja1!$A:$O,15,0))</f>
        <v>#N/A</v>
      </c>
      <c r="R67" s="52" t="e">
        <f>IF($J67="Formación Técnica Específica",VLOOKUP(IF($J67="Formación Técnica Específica",$B67&amp;"°"&amp;Q$1&amp;"°"&amp;$B67&amp;Q$1&amp;1&amp;$A67,$B67&amp;"°"&amp;Q$1&amp;"°"&amp;$A67),[1]Hoja1!$A:$O,15,0)," ")</f>
        <v>#N/A</v>
      </c>
      <c r="S67" s="44" t="str">
        <f>IF($J67="Formación Técnica Específica",VLOOKUP(IF($J67="Formación Técnica Específica",$B67&amp;"°"&amp;S$1&amp;"°"&amp;$B67&amp;S$1&amp;1&amp;$A67,$B67&amp;"°"&amp;S$1&amp;"°"&amp;$A67),[1]Hoja1!$A:$O,15,0),VLOOKUP(IF($J67="Formación Técnica Específica",$B67&amp;"°"&amp;S$1&amp;"°"&amp;$B67&amp;S$1&amp;1&amp;$A67,$B67&amp;"°"&amp;S$1&amp;"°"&amp;$A67),[1]Hoja1!$A:$O,15,0))</f>
        <v>escalada arnaldo</v>
      </c>
      <c r="T67" s="52" t="str">
        <f>IF($J67="Formación Técnica Específica",VLOOKUP(IF($J67="Formación Técnica Específica",$B67&amp;"°"&amp;S$1&amp;"°"&amp;$B67&amp;S$1&amp;1&amp;$A67,$B67&amp;"°"&amp;S$1&amp;"°"&amp;$A67),[1]Hoja1!$A:$O,15,0)," ")</f>
        <v>escalada arnaldo</v>
      </c>
      <c r="U67" s="44" t="str">
        <f>IF($J67="Formación Técnica Específica",VLOOKUP(IF($J67="Formación Técnica Específica",$B67&amp;"°"&amp;U$1&amp;"°"&amp;$B67&amp;U$1&amp;1&amp;$A67,$B67&amp;"°"&amp;U$1&amp;"°"&amp;$A67),[1]Hoja1!$A:$O,15,0),VLOOKUP(IF($J67="Formación Técnica Específica",$B67&amp;"°"&amp;U$1&amp;"°"&amp;$B67&amp;U$1&amp;1&amp;$A67,$B67&amp;"°"&amp;U$1&amp;"°"&amp;$A67),[1]Hoja1!$A:$O,15,0))</f>
        <v xml:space="preserve">VELAZQUEZ GERARDO </v>
      </c>
      <c r="V67" s="52" t="str">
        <f>IF($J67="Formación Técnica Específica",VLOOKUP(IF($J67="Formación Técnica Específica",$B67&amp;"°"&amp;U$1&amp;"°"&amp;$B67&amp;U$1&amp;1&amp;$A67,$B67&amp;"°"&amp;U$1&amp;"°"&amp;$A67),[1]Hoja1!$A:$O,15,0)," ")</f>
        <v xml:space="preserve">VELAZQUEZ GERARDO </v>
      </c>
      <c r="W67" s="44" t="e">
        <f>IF($J67="Formación Técnica Específica",VLOOKUP(IF($J67="Formación Técnica Específica",$B67&amp;"°"&amp;W$1&amp;"°"&amp;$B67&amp;W$1&amp;1&amp;$A67,$B67&amp;"°"&amp;W$1&amp;"°"&amp;$A67),[1]Hoja1!$A:$O,15,0),VLOOKUP(IF($J67="Formación Técnica Específica",$B67&amp;"°"&amp;W$1&amp;"°"&amp;$B67&amp;W$1&amp;1&amp;$A67,$B67&amp;"°"&amp;W$1&amp;"°"&amp;$A67),[1]Hoja1!$A:$O,15,0))</f>
        <v>#N/A</v>
      </c>
      <c r="X67" s="52" t="e">
        <f>IF($J67="Formación Técnica Específica",VLOOKUP(IF($J67="Formación Técnica Específica",$B67&amp;"°"&amp;W$1&amp;"°"&amp;$B67&amp;W$1&amp;1&amp;$A67,$B67&amp;"°"&amp;W$1&amp;"°"&amp;$A67),[1]Hoja1!$A:$O,15,0)," ")</f>
        <v>#N/A</v>
      </c>
    </row>
    <row r="68" spans="1:24" x14ac:dyDescent="0.25">
      <c r="A68" s="30" t="s">
        <v>128</v>
      </c>
      <c r="B68" s="4">
        <v>4</v>
      </c>
      <c r="C68" s="4" t="s">
        <v>10</v>
      </c>
      <c r="D68" s="4" t="s">
        <v>112</v>
      </c>
      <c r="E68" s="7" t="s">
        <v>66</v>
      </c>
      <c r="F68" s="3">
        <v>13</v>
      </c>
      <c r="G68" s="4" t="s">
        <v>129</v>
      </c>
      <c r="H68" s="4" t="s">
        <v>130</v>
      </c>
      <c r="I68" s="3">
        <v>4</v>
      </c>
      <c r="J68" s="6" t="s">
        <v>33</v>
      </c>
      <c r="K68" s="31" t="s">
        <v>194</v>
      </c>
      <c r="L68" t="str">
        <f t="shared" si="5"/>
        <v>4°13</v>
      </c>
      <c r="M68" s="31" t="s">
        <v>282</v>
      </c>
      <c r="N68" s="63" t="str">
        <f t="shared" si="6"/>
        <v>4°13</v>
      </c>
      <c r="O68" s="44" t="e">
        <f>IF($J68="Formación Técnica Específica",VLOOKUP(IF($J68="Formación Técnica Específica",$B68&amp;"°"&amp;O$1&amp;"°"&amp;$B68&amp;O$1&amp;1&amp;$A68,$B68&amp;"°"&amp;O$1&amp;"°"&amp;$A68),[1]Hoja1!$A:$O,15,0),VLOOKUP(IF($J68="Formación Técnica Específica",$B68&amp;"°"&amp;O$1&amp;"°"&amp;$B68&amp;O$1&amp;1&amp;$A68,$B68&amp;"°"&amp;O$1&amp;"°"&amp;$A68),[1]Hoja1!$A:$O,15,0))</f>
        <v>#N/A</v>
      </c>
      <c r="P68" s="52" t="e">
        <f>IF($J68="Formación Técnica Específica",VLOOKUP(IF($J68="Formación Técnica Específica",$B68&amp;"°"&amp;O$1&amp;"°"&amp;$B68&amp;O$1&amp;1&amp;$A68,$B68&amp;"°"&amp;O$1&amp;"°"&amp;$A68),[1]Hoja1!$A:$O,15,0)," ")</f>
        <v>#N/A</v>
      </c>
      <c r="Q68" s="44" t="e">
        <f>IF($J68="Formación Técnica Específica",VLOOKUP(IF($J68="Formación Técnica Específica",$B68&amp;"°"&amp;Q$1&amp;"°"&amp;$B68&amp;Q$1&amp;1&amp;$A68,$B68&amp;"°"&amp;Q$1&amp;"°"&amp;$A68),[1]Hoja1!$A:$O,15,0),VLOOKUP(IF($J68="Formación Técnica Específica",$B68&amp;"°"&amp;Q$1&amp;"°"&amp;$B68&amp;Q$1&amp;1&amp;$A68,$B68&amp;"°"&amp;Q$1&amp;"°"&amp;$A68),[1]Hoja1!$A:$O,15,0))</f>
        <v>#N/A</v>
      </c>
      <c r="R68" s="52" t="e">
        <f>IF($J68="Formación Técnica Específica",VLOOKUP(IF($J68="Formación Técnica Específica",$B68&amp;"°"&amp;Q$1&amp;"°"&amp;$B68&amp;Q$1&amp;1&amp;$A68,$B68&amp;"°"&amp;Q$1&amp;"°"&amp;$A68),[1]Hoja1!$A:$O,15,0)," ")</f>
        <v>#N/A</v>
      </c>
      <c r="S68" s="44" t="str">
        <f>IF($J68="Formación Técnica Específica",VLOOKUP(IF($J68="Formación Técnica Específica",$B68&amp;"°"&amp;S$1&amp;"°"&amp;$B68&amp;S$1&amp;1&amp;$A68,$B68&amp;"°"&amp;S$1&amp;"°"&amp;$A68),[1]Hoja1!$A:$O,15,0),VLOOKUP(IF($J68="Formación Técnica Específica",$B68&amp;"°"&amp;S$1&amp;"°"&amp;$B68&amp;S$1&amp;1&amp;$A68,$B68&amp;"°"&amp;S$1&amp;"°"&amp;$A68),[1]Hoja1!$A:$O,15,0))</f>
        <v>CORDOBA ERNESTO</v>
      </c>
      <c r="T68" s="52" t="str">
        <f>IF($J68="Formación Técnica Específica",VLOOKUP(IF($J68="Formación Técnica Específica",$B68&amp;"°"&amp;S$1&amp;"°"&amp;$B68&amp;S$1&amp;1&amp;$A68,$B68&amp;"°"&amp;S$1&amp;"°"&amp;$A68),[1]Hoja1!$A:$O,15,0)," ")</f>
        <v>CORDOBA ERNESTO</v>
      </c>
      <c r="U68" s="44" t="str">
        <f>IF($J68="Formación Técnica Específica",VLOOKUP(IF($J68="Formación Técnica Específica",$B68&amp;"°"&amp;U$1&amp;"°"&amp;$B68&amp;U$1&amp;1&amp;$A68,$B68&amp;"°"&amp;U$1&amp;"°"&amp;$A68),[1]Hoja1!$A:$O,15,0),VLOOKUP(IF($J68="Formación Técnica Específica",$B68&amp;"°"&amp;U$1&amp;"°"&amp;$B68&amp;U$1&amp;1&amp;$A68,$B68&amp;"°"&amp;U$1&amp;"°"&amp;$A68),[1]Hoja1!$A:$O,15,0))</f>
        <v>MARTINEZ, SILVIO</v>
      </c>
      <c r="V68" s="52" t="str">
        <f>IF($J68="Formación Técnica Específica",VLOOKUP(IF($J68="Formación Técnica Específica",$B68&amp;"°"&amp;U$1&amp;"°"&amp;$B68&amp;U$1&amp;1&amp;$A68,$B68&amp;"°"&amp;U$1&amp;"°"&amp;$A68),[1]Hoja1!$A:$O,15,0)," ")</f>
        <v>MARTINEZ, SILVIO</v>
      </c>
      <c r="W68" s="44" t="e">
        <f>IF($J68="Formación Técnica Específica",VLOOKUP(IF($J68="Formación Técnica Específica",$B68&amp;"°"&amp;W$1&amp;"°"&amp;$B68&amp;W$1&amp;1&amp;$A68,$B68&amp;"°"&amp;W$1&amp;"°"&amp;$A68),[1]Hoja1!$A:$O,15,0),VLOOKUP(IF($J68="Formación Técnica Específica",$B68&amp;"°"&amp;W$1&amp;"°"&amp;$B68&amp;W$1&amp;1&amp;$A68,$B68&amp;"°"&amp;W$1&amp;"°"&amp;$A68),[1]Hoja1!$A:$O,15,0))</f>
        <v>#N/A</v>
      </c>
      <c r="X68" s="52" t="e">
        <f>IF($J68="Formación Técnica Específica",VLOOKUP(IF($J68="Formación Técnica Específica",$B68&amp;"°"&amp;W$1&amp;"°"&amp;$B68&amp;W$1&amp;1&amp;$A68,$B68&amp;"°"&amp;W$1&amp;"°"&amp;$A68),[1]Hoja1!$A:$O,15,0)," ")</f>
        <v>#N/A</v>
      </c>
    </row>
    <row r="69" spans="1:24" ht="15.75" thickBot="1" x14ac:dyDescent="0.3">
      <c r="A69" s="32" t="s">
        <v>131</v>
      </c>
      <c r="B69" s="33">
        <v>4</v>
      </c>
      <c r="C69" s="33" t="s">
        <v>10</v>
      </c>
      <c r="D69" s="33" t="s">
        <v>112</v>
      </c>
      <c r="E69" s="34" t="s">
        <v>66</v>
      </c>
      <c r="F69" s="35">
        <v>14</v>
      </c>
      <c r="G69" s="33" t="s">
        <v>132</v>
      </c>
      <c r="H69" s="33" t="s">
        <v>133</v>
      </c>
      <c r="I69" s="35">
        <v>4</v>
      </c>
      <c r="J69" s="6" t="s">
        <v>33</v>
      </c>
      <c r="K69" s="37" t="s">
        <v>235</v>
      </c>
      <c r="L69" t="str">
        <f t="shared" si="5"/>
        <v>4°14</v>
      </c>
      <c r="M69" s="37" t="s">
        <v>282</v>
      </c>
      <c r="N69" s="63" t="str">
        <f t="shared" si="6"/>
        <v>4°14</v>
      </c>
      <c r="O69" s="53" t="e">
        <f>IF($J69="Formación Técnica Específica",VLOOKUP(IF($J69="Formación Técnica Específica",$B69&amp;"°"&amp;O$1&amp;"°"&amp;$B69&amp;O$1&amp;1&amp;$A69,$B69&amp;"°"&amp;O$1&amp;"°"&amp;$A69),[1]Hoja1!$A:$O,15,0),VLOOKUP(IF($J69="Formación Técnica Específica",$B69&amp;"°"&amp;O$1&amp;"°"&amp;$B69&amp;O$1&amp;1&amp;$A69,$B69&amp;"°"&amp;O$1&amp;"°"&amp;$A69),[1]Hoja1!$A:$O,15,0))</f>
        <v>#N/A</v>
      </c>
      <c r="P69" s="54" t="e">
        <f>IF($J69="Formación Técnica Específica",VLOOKUP(IF($J69="Formación Técnica Específica",$B69&amp;"°"&amp;O$1&amp;"°"&amp;$B69&amp;O$1&amp;1&amp;$A69,$B69&amp;"°"&amp;O$1&amp;"°"&amp;$A69),[1]Hoja1!$A:$O,15,0)," ")</f>
        <v>#N/A</v>
      </c>
      <c r="Q69" s="53" t="e">
        <f>IF($J69="Formación Técnica Específica",VLOOKUP(IF($J69="Formación Técnica Específica",$B69&amp;"°"&amp;Q$1&amp;"°"&amp;$B69&amp;Q$1&amp;1&amp;$A69,$B69&amp;"°"&amp;Q$1&amp;"°"&amp;$A69),[1]Hoja1!$A:$O,15,0),VLOOKUP(IF($J69="Formación Técnica Específica",$B69&amp;"°"&amp;Q$1&amp;"°"&amp;$B69&amp;Q$1&amp;1&amp;$A69,$B69&amp;"°"&amp;Q$1&amp;"°"&amp;$A69),[1]Hoja1!$A:$O,15,0))</f>
        <v>#N/A</v>
      </c>
      <c r="R69" s="54" t="e">
        <f>IF($J69="Formación Técnica Específica",VLOOKUP(IF($J69="Formación Técnica Específica",$B69&amp;"°"&amp;Q$1&amp;"°"&amp;$B69&amp;Q$1&amp;1&amp;$A69,$B69&amp;"°"&amp;Q$1&amp;"°"&amp;$A69),[1]Hoja1!$A:$O,15,0)," ")</f>
        <v>#N/A</v>
      </c>
      <c r="S69" s="53" t="str">
        <f>IF($J69="Formación Técnica Específica",VLOOKUP(IF($J69="Formación Técnica Específica",$B69&amp;"°"&amp;S$1&amp;"°"&amp;$B69&amp;S$1&amp;1&amp;$A69,$B69&amp;"°"&amp;S$1&amp;"°"&amp;$A69),[1]Hoja1!$A:$O,15,0),VLOOKUP(IF($J69="Formación Técnica Específica",$B69&amp;"°"&amp;S$1&amp;"°"&amp;$B69&amp;S$1&amp;1&amp;$A69,$B69&amp;"°"&amp;S$1&amp;"°"&amp;$A69),[1]Hoja1!$A:$O,15,0))</f>
        <v xml:space="preserve">SAUCEDO GUSTAVO </v>
      </c>
      <c r="T69" s="54" t="str">
        <f>IF($J69="Formación Técnica Específica",VLOOKUP(IF($J69="Formación Técnica Específica",$B69&amp;"°"&amp;S$1&amp;"°"&amp;$B69&amp;S$1&amp;1&amp;$A69,$B69&amp;"°"&amp;S$1&amp;"°"&amp;$A69),[1]Hoja1!$A:$O,15,0)," ")</f>
        <v xml:space="preserve">SAUCEDO GUSTAVO </v>
      </c>
      <c r="U69" s="53" t="str">
        <f>IF($J69="Formación Técnica Específica",VLOOKUP(IF($J69="Formación Técnica Específica",$B69&amp;"°"&amp;U$1&amp;"°"&amp;$B69&amp;U$1&amp;1&amp;$A69,$B69&amp;"°"&amp;U$1&amp;"°"&amp;$A69),[1]Hoja1!$A:$O,15,0),VLOOKUP(IF($J69="Formación Técnica Específica",$B69&amp;"°"&amp;U$1&amp;"°"&amp;$B69&amp;U$1&amp;1&amp;$A69,$B69&amp;"°"&amp;U$1&amp;"°"&amp;$A69),[1]Hoja1!$A:$O,15,0))</f>
        <v xml:space="preserve">QUINTANA RAMON </v>
      </c>
      <c r="V69" s="54" t="str">
        <f>IF($J69="Formación Técnica Específica",VLOOKUP(IF($J69="Formación Técnica Específica",$B69&amp;"°"&amp;U$1&amp;"°"&amp;$B69&amp;U$1&amp;1&amp;$A69,$B69&amp;"°"&amp;U$1&amp;"°"&amp;$A69),[1]Hoja1!$A:$O,15,0)," ")</f>
        <v xml:space="preserve">QUINTANA RAMON </v>
      </c>
      <c r="W69" s="53" t="e">
        <f>IF($J69="Formación Técnica Específica",VLOOKUP(IF($J69="Formación Técnica Específica",$B69&amp;"°"&amp;W$1&amp;"°"&amp;$B69&amp;W$1&amp;1&amp;$A69,$B69&amp;"°"&amp;W$1&amp;"°"&amp;$A69),[1]Hoja1!$A:$O,15,0),VLOOKUP(IF($J69="Formación Técnica Específica",$B69&amp;"°"&amp;W$1&amp;"°"&amp;$B69&amp;W$1&amp;1&amp;$A69,$B69&amp;"°"&amp;W$1&amp;"°"&amp;$A69),[1]Hoja1!$A:$O,15,0))</f>
        <v>#N/A</v>
      </c>
      <c r="X69" s="54" t="e">
        <f>IF($J69="Formación Técnica Específica",VLOOKUP(IF($J69="Formación Técnica Específica",$B69&amp;"°"&amp;W$1&amp;"°"&amp;$B69&amp;W$1&amp;1&amp;$A69,$B69&amp;"°"&amp;W$1&amp;"°"&amp;$A69),[1]Hoja1!$A:$O,15,0)," ")</f>
        <v>#N/A</v>
      </c>
    </row>
    <row r="70" spans="1:24" x14ac:dyDescent="0.25">
      <c r="A70" s="24" t="s">
        <v>134</v>
      </c>
      <c r="B70" s="25">
        <v>5</v>
      </c>
      <c r="C70" s="25" t="s">
        <v>10</v>
      </c>
      <c r="D70" s="25" t="s">
        <v>65</v>
      </c>
      <c r="E70" s="26" t="s">
        <v>66</v>
      </c>
      <c r="F70" s="27">
        <v>1</v>
      </c>
      <c r="G70" s="25" t="s">
        <v>74</v>
      </c>
      <c r="H70" s="25" t="s">
        <v>75</v>
      </c>
      <c r="I70" s="27">
        <v>2</v>
      </c>
      <c r="J70" s="28" t="s">
        <v>290</v>
      </c>
      <c r="K70" s="29" t="s">
        <v>76</v>
      </c>
      <c r="L70" t="str">
        <f t="shared" si="5"/>
        <v>5°1</v>
      </c>
      <c r="M70" s="29"/>
      <c r="N70" s="63" t="str">
        <f t="shared" si="6"/>
        <v>5°1</v>
      </c>
      <c r="O70" s="50" t="str">
        <f>IF($J70="Formación Técnica Específica",VLOOKUP(IF($J70="Formación Técnica Específica",$B70&amp;"°"&amp;O$1&amp;"°"&amp;$B70&amp;O$1&amp;1&amp;$A70,$B70&amp;"°"&amp;O$1&amp;"°"&amp;$A70),[1]Hoja1!$A:$O,15,0),VLOOKUP(IF($J70="Formación Técnica Específica",$B70&amp;"°"&amp;O$1&amp;"°"&amp;$B70&amp;O$1&amp;1&amp;$A70,$B70&amp;"°"&amp;O$1&amp;"°"&amp;$A70),[1]Hoja1!$A:$O,15,0))</f>
        <v>MIRAFIORI, N   0</v>
      </c>
      <c r="P70" s="51" t="str">
        <f>IF($J70="Formación Técnica Específica",VLOOKUP(IF($J70="Formación Técnica Específica",$B70&amp;"°"&amp;O$1&amp;"°"&amp;$B70&amp;O$1&amp;1&amp;$A70,$B70&amp;"°"&amp;O$1&amp;"°"&amp;$A70),[1]Hoja1!$A:$O,15,0)," ")</f>
        <v xml:space="preserve"> </v>
      </c>
      <c r="Q70" s="50">
        <f>IF($J70="Formación Técnica Específica",VLOOKUP(IF($J70="Formación Técnica Específica",$B70&amp;"°"&amp;Q$1&amp;"°"&amp;$B70&amp;Q$1&amp;1&amp;$A70,$B70&amp;"°"&amp;Q$1&amp;"°"&amp;$A70),[1]Hoja1!$A:$O,15,0),VLOOKUP(IF($J70="Formación Técnica Específica",$B70&amp;"°"&amp;Q$1&amp;"°"&amp;$B70&amp;Q$1&amp;1&amp;$A70,$B70&amp;"°"&amp;Q$1&amp;"°"&amp;$A70),[1]Hoja1!$A:$O,15,0))</f>
        <v>0</v>
      </c>
      <c r="R70" s="51" t="str">
        <f>IF($J70="Formación Técnica Específica",VLOOKUP(IF($J70="Formación Técnica Específica",$B70&amp;"°"&amp;Q$1&amp;"°"&amp;$B70&amp;Q$1&amp;1&amp;$A70,$B70&amp;"°"&amp;Q$1&amp;"°"&amp;$A70),[1]Hoja1!$A:$O,15,0)," ")</f>
        <v xml:space="preserve"> </v>
      </c>
      <c r="S70" s="50" t="e">
        <f>IF($J70="Formación Técnica Específica",VLOOKUP(IF($J70="Formación Técnica Específica",$B70&amp;"°"&amp;S$1&amp;"°"&amp;$B70&amp;S$1&amp;1&amp;$A70,$B70&amp;"°"&amp;S$1&amp;"°"&amp;$A70),[1]Hoja1!$A:$O,15,0),VLOOKUP(IF($J70="Formación Técnica Específica",$B70&amp;"°"&amp;S$1&amp;"°"&amp;$B70&amp;S$1&amp;1&amp;$A70,$B70&amp;"°"&amp;S$1&amp;"°"&amp;$A70),[1]Hoja1!$A:$O,15,0))</f>
        <v>#N/A</v>
      </c>
      <c r="T70" s="51" t="str">
        <f>IF($J70="Formación Técnica Específica",VLOOKUP(IF($J70="Formación Técnica Específica",$B70&amp;"°"&amp;S$1&amp;"°"&amp;$B70&amp;S$1&amp;1&amp;$A70,$B70&amp;"°"&amp;S$1&amp;"°"&amp;$A70),[1]Hoja1!$A:$O,15,0)," ")</f>
        <v xml:space="preserve"> </v>
      </c>
      <c r="U70" s="50" t="e">
        <f>IF($J70="Formación Técnica Específica",VLOOKUP(IF($J70="Formación Técnica Específica",$B70&amp;"°"&amp;U$1&amp;"°"&amp;$B70&amp;U$1&amp;1&amp;$A70,$B70&amp;"°"&amp;U$1&amp;"°"&amp;$A70),[1]Hoja1!$A:$O,15,0),VLOOKUP(IF($J70="Formación Técnica Específica",$B70&amp;"°"&amp;U$1&amp;"°"&amp;$B70&amp;U$1&amp;1&amp;$A70,$B70&amp;"°"&amp;U$1&amp;"°"&amp;$A70),[1]Hoja1!$A:$O,15,0))</f>
        <v>#N/A</v>
      </c>
      <c r="V70" s="51" t="str">
        <f>IF($J70="Formación Técnica Específica",VLOOKUP(IF($J70="Formación Técnica Específica",$B70&amp;"°"&amp;U$1&amp;"°"&amp;$B70&amp;U$1&amp;1&amp;$A70,$B70&amp;"°"&amp;U$1&amp;"°"&amp;$A70),[1]Hoja1!$A:$O,15,0)," ")</f>
        <v xml:space="preserve"> </v>
      </c>
      <c r="W70" s="50" t="str">
        <f>IF($J70="Formación Técnica Específica",VLOOKUP(IF($J70="Formación Técnica Específica",$B70&amp;"°"&amp;W$1&amp;"°"&amp;$B70&amp;W$1&amp;1&amp;$A70,$B70&amp;"°"&amp;W$1&amp;"°"&amp;$A70),[1]Hoja1!$A:$O,15,0),VLOOKUP(IF($J70="Formación Técnica Específica",$B70&amp;"°"&amp;W$1&amp;"°"&amp;$B70&amp;W$1&amp;1&amp;$A70,$B70&amp;"°"&amp;W$1&amp;"°"&amp;$A70),[1]Hoja1!$A:$O,15,0))</f>
        <v>NEGRETE, DANIELA</v>
      </c>
      <c r="X70" s="51" t="str">
        <f>IF($J70="Formación Técnica Específica",VLOOKUP(IF($J70="Formación Técnica Específica",$B70&amp;"°"&amp;W$1&amp;"°"&amp;$B70&amp;W$1&amp;1&amp;$A70,$B70&amp;"°"&amp;W$1&amp;"°"&amp;$A70),[1]Hoja1!$A:$O,15,0)," ")</f>
        <v xml:space="preserve"> </v>
      </c>
    </row>
    <row r="71" spans="1:24" x14ac:dyDescent="0.25">
      <c r="A71" s="30" t="s">
        <v>135</v>
      </c>
      <c r="B71" s="4">
        <v>5</v>
      </c>
      <c r="C71" s="4" t="s">
        <v>10</v>
      </c>
      <c r="D71" s="4" t="s">
        <v>65</v>
      </c>
      <c r="E71" s="7" t="s">
        <v>66</v>
      </c>
      <c r="F71" s="3">
        <v>2</v>
      </c>
      <c r="G71" s="4" t="s">
        <v>78</v>
      </c>
      <c r="H71" s="4" t="s">
        <v>23</v>
      </c>
      <c r="I71" s="3">
        <v>2</v>
      </c>
      <c r="J71" s="6" t="s">
        <v>290</v>
      </c>
      <c r="K71" s="31" t="s">
        <v>170</v>
      </c>
      <c r="L71" t="str">
        <f t="shared" si="5"/>
        <v>5°2</v>
      </c>
      <c r="M71" s="31"/>
      <c r="N71" s="63" t="str">
        <f t="shared" si="6"/>
        <v>5°2</v>
      </c>
      <c r="O71" s="44" t="str">
        <f>IF($J71="Formación Técnica Específica",VLOOKUP(IF($J71="Formación Técnica Específica",$B71&amp;"°"&amp;O$1&amp;"°"&amp;$B71&amp;O$1&amp;1&amp;$A71,$B71&amp;"°"&amp;O$1&amp;"°"&amp;$A71),[1]Hoja1!$A:$O,15,0),VLOOKUP(IF($J71="Formación Técnica Específica",$B71&amp;"°"&amp;O$1&amp;"°"&amp;$B71&amp;O$1&amp;1&amp;$A71,$B71&amp;"°"&amp;O$1&amp;"°"&amp;$A71),[1]Hoja1!$A:$O,15,0))</f>
        <v xml:space="preserve">ARCE KARINA </v>
      </c>
      <c r="P71" s="52" t="str">
        <f>IF($J71="Formación Técnica Específica",VLOOKUP(IF($J71="Formación Técnica Específica",$B71&amp;"°"&amp;O$1&amp;"°"&amp;$B71&amp;O$1&amp;1&amp;$A71,$B71&amp;"°"&amp;O$1&amp;"°"&amp;$A71),[1]Hoja1!$A:$O,15,0)," ")</f>
        <v xml:space="preserve"> </v>
      </c>
      <c r="Q71" s="44">
        <f>IF($J71="Formación Técnica Específica",VLOOKUP(IF($J71="Formación Técnica Específica",$B71&amp;"°"&amp;Q$1&amp;"°"&amp;$B71&amp;Q$1&amp;1&amp;$A71,$B71&amp;"°"&amp;Q$1&amp;"°"&amp;$A71),[1]Hoja1!$A:$O,15,0),VLOOKUP(IF($J71="Formación Técnica Específica",$B71&amp;"°"&amp;Q$1&amp;"°"&amp;$B71&amp;Q$1&amp;1&amp;$A71,$B71&amp;"°"&amp;Q$1&amp;"°"&amp;$A71),[1]Hoja1!$A:$O,15,0))</f>
        <v>0</v>
      </c>
      <c r="R71" s="52" t="str">
        <f>IF($J71="Formación Técnica Específica",VLOOKUP(IF($J71="Formación Técnica Específica",$B71&amp;"°"&amp;Q$1&amp;"°"&amp;$B71&amp;Q$1&amp;1&amp;$A71,$B71&amp;"°"&amp;Q$1&amp;"°"&amp;$A71),[1]Hoja1!$A:$O,15,0)," ")</f>
        <v xml:space="preserve"> </v>
      </c>
      <c r="S71" s="44" t="e">
        <f>IF($J71="Formación Técnica Específica",VLOOKUP(IF($J71="Formación Técnica Específica",$B71&amp;"°"&amp;S$1&amp;"°"&amp;$B71&amp;S$1&amp;1&amp;$A71,$B71&amp;"°"&amp;S$1&amp;"°"&amp;$A71),[1]Hoja1!$A:$O,15,0),VLOOKUP(IF($J71="Formación Técnica Específica",$B71&amp;"°"&amp;S$1&amp;"°"&amp;$B71&amp;S$1&amp;1&amp;$A71,$B71&amp;"°"&amp;S$1&amp;"°"&amp;$A71),[1]Hoja1!$A:$O,15,0))</f>
        <v>#N/A</v>
      </c>
      <c r="T71" s="52" t="str">
        <f>IF($J71="Formación Técnica Específica",VLOOKUP(IF($J71="Formación Técnica Específica",$B71&amp;"°"&amp;S$1&amp;"°"&amp;$B71&amp;S$1&amp;1&amp;$A71,$B71&amp;"°"&amp;S$1&amp;"°"&amp;$A71),[1]Hoja1!$A:$O,15,0)," ")</f>
        <v xml:space="preserve"> </v>
      </c>
      <c r="U71" s="44" t="e">
        <f>IF($J71="Formación Técnica Específica",VLOOKUP(IF($J71="Formación Técnica Específica",$B71&amp;"°"&amp;U$1&amp;"°"&amp;$B71&amp;U$1&amp;1&amp;$A71,$B71&amp;"°"&amp;U$1&amp;"°"&amp;$A71),[1]Hoja1!$A:$O,15,0),VLOOKUP(IF($J71="Formación Técnica Específica",$B71&amp;"°"&amp;U$1&amp;"°"&amp;$B71&amp;U$1&amp;1&amp;$A71,$B71&amp;"°"&amp;U$1&amp;"°"&amp;$A71),[1]Hoja1!$A:$O,15,0))</f>
        <v>#N/A</v>
      </c>
      <c r="V71" s="52" t="str">
        <f>IF($J71="Formación Técnica Específica",VLOOKUP(IF($J71="Formación Técnica Específica",$B71&amp;"°"&amp;U$1&amp;"°"&amp;$B71&amp;U$1&amp;1&amp;$A71,$B71&amp;"°"&amp;U$1&amp;"°"&amp;$A71),[1]Hoja1!$A:$O,15,0)," ")</f>
        <v xml:space="preserve"> </v>
      </c>
      <c r="W71" s="44" t="str">
        <f>IF($J71="Formación Técnica Específica",VLOOKUP(IF($J71="Formación Técnica Específica",$B71&amp;"°"&amp;W$1&amp;"°"&amp;$B71&amp;W$1&amp;1&amp;$A71,$B71&amp;"°"&amp;W$1&amp;"°"&amp;$A71),[1]Hoja1!$A:$O,15,0),VLOOKUP(IF($J71="Formación Técnica Específica",$B71&amp;"°"&amp;W$1&amp;"°"&amp;$B71&amp;W$1&amp;1&amp;$A71,$B71&amp;"°"&amp;W$1&amp;"°"&amp;$A71),[1]Hoja1!$A:$O,15,0))</f>
        <v>BARBIERI MARIA 27361711800</v>
      </c>
      <c r="X71" s="52" t="str">
        <f>IF($J71="Formación Técnica Específica",VLOOKUP(IF($J71="Formación Técnica Específica",$B71&amp;"°"&amp;W$1&amp;"°"&amp;$B71&amp;W$1&amp;1&amp;$A71,$B71&amp;"°"&amp;W$1&amp;"°"&amp;$A71),[1]Hoja1!$A:$O,15,0)," ")</f>
        <v xml:space="preserve"> </v>
      </c>
    </row>
    <row r="72" spans="1:24" x14ac:dyDescent="0.25">
      <c r="A72" s="30" t="s">
        <v>136</v>
      </c>
      <c r="B72" s="4">
        <v>5</v>
      </c>
      <c r="C72" s="4" t="s">
        <v>10</v>
      </c>
      <c r="D72" s="4" t="s">
        <v>65</v>
      </c>
      <c r="E72" s="7" t="s">
        <v>66</v>
      </c>
      <c r="F72" s="3">
        <v>3</v>
      </c>
      <c r="G72" s="4" t="s">
        <v>80</v>
      </c>
      <c r="H72" s="4" t="s">
        <v>21</v>
      </c>
      <c r="I72" s="3">
        <v>2</v>
      </c>
      <c r="J72" s="6" t="s">
        <v>290</v>
      </c>
      <c r="K72" s="31" t="s">
        <v>172</v>
      </c>
      <c r="L72" t="str">
        <f t="shared" si="5"/>
        <v>5°3</v>
      </c>
      <c r="M72" s="31"/>
      <c r="N72" s="63" t="str">
        <f t="shared" si="6"/>
        <v>5°3</v>
      </c>
      <c r="O72" s="44" t="str">
        <f>IF($J72="Formación Técnica Específica",VLOOKUP(IF($J72="Formación Técnica Específica",$B72&amp;"°"&amp;O$1&amp;"°"&amp;$B72&amp;O$1&amp;1&amp;$A72,$B72&amp;"°"&amp;O$1&amp;"°"&amp;$A72),[1]Hoja1!$A:$O,15,0),VLOOKUP(IF($J72="Formación Técnica Específica",$B72&amp;"°"&amp;O$1&amp;"°"&amp;$B72&amp;O$1&amp;1&amp;$A72,$B72&amp;"°"&amp;O$1&amp;"°"&amp;$A72),[1]Hoja1!$A:$O,15,0))</f>
        <v>LUDUEÑA NELSON</v>
      </c>
      <c r="P72" s="52" t="str">
        <f>IF($J72="Formación Técnica Específica",VLOOKUP(IF($J72="Formación Técnica Específica",$B72&amp;"°"&amp;O$1&amp;"°"&amp;$B72&amp;O$1&amp;1&amp;$A72,$B72&amp;"°"&amp;O$1&amp;"°"&amp;$A72),[1]Hoja1!$A:$O,15,0)," ")</f>
        <v xml:space="preserve"> </v>
      </c>
      <c r="Q72" s="44">
        <f>IF($J72="Formación Técnica Específica",VLOOKUP(IF($J72="Formación Técnica Específica",$B72&amp;"°"&amp;Q$1&amp;"°"&amp;$B72&amp;Q$1&amp;1&amp;$A72,$B72&amp;"°"&amp;Q$1&amp;"°"&amp;$A72),[1]Hoja1!$A:$O,15,0),VLOOKUP(IF($J72="Formación Técnica Específica",$B72&amp;"°"&amp;Q$1&amp;"°"&amp;$B72&amp;Q$1&amp;1&amp;$A72,$B72&amp;"°"&amp;Q$1&amp;"°"&amp;$A72),[1]Hoja1!$A:$O,15,0))</f>
        <v>0</v>
      </c>
      <c r="R72" s="52" t="str">
        <f>IF($J72="Formación Técnica Específica",VLOOKUP(IF($J72="Formación Técnica Específica",$B72&amp;"°"&amp;Q$1&amp;"°"&amp;$B72&amp;Q$1&amp;1&amp;$A72,$B72&amp;"°"&amp;Q$1&amp;"°"&amp;$A72),[1]Hoja1!$A:$O,15,0)," ")</f>
        <v xml:space="preserve"> </v>
      </c>
      <c r="S72" s="44" t="e">
        <f>IF($J72="Formación Técnica Específica",VLOOKUP(IF($J72="Formación Técnica Específica",$B72&amp;"°"&amp;S$1&amp;"°"&amp;$B72&amp;S$1&amp;1&amp;$A72,$B72&amp;"°"&amp;S$1&amp;"°"&amp;$A72),[1]Hoja1!$A:$O,15,0),VLOOKUP(IF($J72="Formación Técnica Específica",$B72&amp;"°"&amp;S$1&amp;"°"&amp;$B72&amp;S$1&amp;1&amp;$A72,$B72&amp;"°"&amp;S$1&amp;"°"&amp;$A72),[1]Hoja1!$A:$O,15,0))</f>
        <v>#N/A</v>
      </c>
      <c r="T72" s="52" t="str">
        <f>IF($J72="Formación Técnica Específica",VLOOKUP(IF($J72="Formación Técnica Específica",$B72&amp;"°"&amp;S$1&amp;"°"&amp;$B72&amp;S$1&amp;1&amp;$A72,$B72&amp;"°"&amp;S$1&amp;"°"&amp;$A72),[1]Hoja1!$A:$O,15,0)," ")</f>
        <v xml:space="preserve"> </v>
      </c>
      <c r="U72" s="44" t="e">
        <f>IF($J72="Formación Técnica Específica",VLOOKUP(IF($J72="Formación Técnica Específica",$B72&amp;"°"&amp;U$1&amp;"°"&amp;$B72&amp;U$1&amp;1&amp;$A72,$B72&amp;"°"&amp;U$1&amp;"°"&amp;$A72),[1]Hoja1!$A:$O,15,0),VLOOKUP(IF($J72="Formación Técnica Específica",$B72&amp;"°"&amp;U$1&amp;"°"&amp;$B72&amp;U$1&amp;1&amp;$A72,$B72&amp;"°"&amp;U$1&amp;"°"&amp;$A72),[1]Hoja1!$A:$O,15,0))</f>
        <v>#N/A</v>
      </c>
      <c r="V72" s="52" t="str">
        <f>IF($J72="Formación Técnica Específica",VLOOKUP(IF($J72="Formación Técnica Específica",$B72&amp;"°"&amp;U$1&amp;"°"&amp;$B72&amp;U$1&amp;1&amp;$A72,$B72&amp;"°"&amp;U$1&amp;"°"&amp;$A72),[1]Hoja1!$A:$O,15,0)," ")</f>
        <v xml:space="preserve"> </v>
      </c>
      <c r="W72" s="44" t="str">
        <f>IF($J72="Formación Técnica Específica",VLOOKUP(IF($J72="Formación Técnica Específica",$B72&amp;"°"&amp;W$1&amp;"°"&amp;$B72&amp;W$1&amp;1&amp;$A72,$B72&amp;"°"&amp;W$1&amp;"°"&amp;$A72),[1]Hoja1!$A:$O,15,0),VLOOKUP(IF($J72="Formación Técnica Específica",$B72&amp;"°"&amp;W$1&amp;"°"&amp;$B72&amp;W$1&amp;1&amp;$A72,$B72&amp;"°"&amp;W$1&amp;"°"&amp;$A72),[1]Hoja1!$A:$O,15,0))</f>
        <v>LUDUEÑA NELSON</v>
      </c>
      <c r="X72" s="52" t="str">
        <f>IF($J72="Formación Técnica Específica",VLOOKUP(IF($J72="Formación Técnica Específica",$B72&amp;"°"&amp;W$1&amp;"°"&amp;$B72&amp;W$1&amp;1&amp;$A72,$B72&amp;"°"&amp;W$1&amp;"°"&amp;$A72),[1]Hoja1!$A:$O,15,0)," ")</f>
        <v xml:space="preserve"> </v>
      </c>
    </row>
    <row r="73" spans="1:24" x14ac:dyDescent="0.25">
      <c r="A73" s="30" t="s">
        <v>137</v>
      </c>
      <c r="B73" s="4">
        <v>5</v>
      </c>
      <c r="C73" s="4" t="s">
        <v>10</v>
      </c>
      <c r="D73" s="4" t="s">
        <v>65</v>
      </c>
      <c r="E73" s="7" t="s">
        <v>66</v>
      </c>
      <c r="F73" s="3">
        <v>4</v>
      </c>
      <c r="G73" s="4" t="s">
        <v>138</v>
      </c>
      <c r="H73" s="4" t="s">
        <v>139</v>
      </c>
      <c r="I73" s="3">
        <v>2</v>
      </c>
      <c r="J73" s="6" t="s">
        <v>290</v>
      </c>
      <c r="K73" s="31" t="s">
        <v>140</v>
      </c>
      <c r="L73" t="str">
        <f t="shared" si="5"/>
        <v>5°4</v>
      </c>
      <c r="M73" s="31"/>
      <c r="N73" s="63" t="str">
        <f t="shared" si="6"/>
        <v>5°4</v>
      </c>
      <c r="O73" s="44" t="str">
        <f>IF($J73="Formación Técnica Específica",VLOOKUP(IF($J73="Formación Técnica Específica",$B73&amp;"°"&amp;O$1&amp;"°"&amp;$B73&amp;O$1&amp;1&amp;$A73,$B73&amp;"°"&amp;O$1&amp;"°"&amp;$A73),[1]Hoja1!$A:$O,15,0),VLOOKUP(IF($J73="Formación Técnica Específica",$B73&amp;"°"&amp;O$1&amp;"°"&amp;$B73&amp;O$1&amp;1&amp;$A73,$B73&amp;"°"&amp;O$1&amp;"°"&amp;$A73),[1]Hoja1!$A:$O,15,0))</f>
        <v xml:space="preserve">GONZALEZ GONZALEZ ROMINA </v>
      </c>
      <c r="P73" s="52" t="str">
        <f>IF($J73="Formación Técnica Específica",VLOOKUP(IF($J73="Formación Técnica Específica",$B73&amp;"°"&amp;O$1&amp;"°"&amp;$B73&amp;O$1&amp;1&amp;$A73,$B73&amp;"°"&amp;O$1&amp;"°"&amp;$A73),[1]Hoja1!$A:$O,15,0)," ")</f>
        <v xml:space="preserve"> </v>
      </c>
      <c r="Q73" s="44">
        <f>IF($J73="Formación Técnica Específica",VLOOKUP(IF($J73="Formación Técnica Específica",$B73&amp;"°"&amp;Q$1&amp;"°"&amp;$B73&amp;Q$1&amp;1&amp;$A73,$B73&amp;"°"&amp;Q$1&amp;"°"&amp;$A73),[1]Hoja1!$A:$O,15,0),VLOOKUP(IF($J73="Formación Técnica Específica",$B73&amp;"°"&amp;Q$1&amp;"°"&amp;$B73&amp;Q$1&amp;1&amp;$A73,$B73&amp;"°"&amp;Q$1&amp;"°"&amp;$A73),[1]Hoja1!$A:$O,15,0))</f>
        <v>0</v>
      </c>
      <c r="R73" s="52" t="str">
        <f>IF($J73="Formación Técnica Específica",VLOOKUP(IF($J73="Formación Técnica Específica",$B73&amp;"°"&amp;Q$1&amp;"°"&amp;$B73&amp;Q$1&amp;1&amp;$A73,$B73&amp;"°"&amp;Q$1&amp;"°"&amp;$A73),[1]Hoja1!$A:$O,15,0)," ")</f>
        <v xml:space="preserve"> </v>
      </c>
      <c r="S73" s="44" t="e">
        <f>IF($J73="Formación Técnica Específica",VLOOKUP(IF($J73="Formación Técnica Específica",$B73&amp;"°"&amp;S$1&amp;"°"&amp;$B73&amp;S$1&amp;1&amp;$A73,$B73&amp;"°"&amp;S$1&amp;"°"&amp;$A73),[1]Hoja1!$A:$O,15,0),VLOOKUP(IF($J73="Formación Técnica Específica",$B73&amp;"°"&amp;S$1&amp;"°"&amp;$B73&amp;S$1&amp;1&amp;$A73,$B73&amp;"°"&amp;S$1&amp;"°"&amp;$A73),[1]Hoja1!$A:$O,15,0))</f>
        <v>#N/A</v>
      </c>
      <c r="T73" s="52" t="str">
        <f>IF($J73="Formación Técnica Específica",VLOOKUP(IF($J73="Formación Técnica Específica",$B73&amp;"°"&amp;S$1&amp;"°"&amp;$B73&amp;S$1&amp;1&amp;$A73,$B73&amp;"°"&amp;S$1&amp;"°"&amp;$A73),[1]Hoja1!$A:$O,15,0)," ")</f>
        <v xml:space="preserve"> </v>
      </c>
      <c r="U73" s="44" t="e">
        <f>IF($J73="Formación Técnica Específica",VLOOKUP(IF($J73="Formación Técnica Específica",$B73&amp;"°"&amp;U$1&amp;"°"&amp;$B73&amp;U$1&amp;1&amp;$A73,$B73&amp;"°"&amp;U$1&amp;"°"&amp;$A73),[1]Hoja1!$A:$O,15,0),VLOOKUP(IF($J73="Formación Técnica Específica",$B73&amp;"°"&amp;U$1&amp;"°"&amp;$B73&amp;U$1&amp;1&amp;$A73,$B73&amp;"°"&amp;U$1&amp;"°"&amp;$A73),[1]Hoja1!$A:$O,15,0))</f>
        <v>#N/A</v>
      </c>
      <c r="V73" s="52" t="str">
        <f>IF($J73="Formación Técnica Específica",VLOOKUP(IF($J73="Formación Técnica Específica",$B73&amp;"°"&amp;U$1&amp;"°"&amp;$B73&amp;U$1&amp;1&amp;$A73,$B73&amp;"°"&amp;U$1&amp;"°"&amp;$A73),[1]Hoja1!$A:$O,15,0)," ")</f>
        <v xml:space="preserve"> </v>
      </c>
      <c r="W73" s="44" t="str">
        <f>IF($J73="Formación Técnica Específica",VLOOKUP(IF($J73="Formación Técnica Específica",$B73&amp;"°"&amp;W$1&amp;"°"&amp;$B73&amp;W$1&amp;1&amp;$A73,$B73&amp;"°"&amp;W$1&amp;"°"&amp;$A73),[1]Hoja1!$A:$O,15,0),VLOOKUP(IF($J73="Formación Técnica Específica",$B73&amp;"°"&amp;W$1&amp;"°"&amp;$B73&amp;W$1&amp;1&amp;$A73,$B73&amp;"°"&amp;W$1&amp;"°"&amp;$A73),[1]Hoja1!$A:$O,15,0))</f>
        <v xml:space="preserve">ANTONIO VALLE, INEES </v>
      </c>
      <c r="X73" s="52" t="str">
        <f>IF($J73="Formación Técnica Específica",VLOOKUP(IF($J73="Formación Técnica Específica",$B73&amp;"°"&amp;W$1&amp;"°"&amp;$B73&amp;W$1&amp;1&amp;$A73,$B73&amp;"°"&amp;W$1&amp;"°"&amp;$A73),[1]Hoja1!$A:$O,15,0)," ")</f>
        <v xml:space="preserve"> </v>
      </c>
    </row>
    <row r="74" spans="1:24" x14ac:dyDescent="0.25">
      <c r="A74" s="30" t="s">
        <v>141</v>
      </c>
      <c r="B74" s="4">
        <v>5</v>
      </c>
      <c r="C74" s="4" t="s">
        <v>10</v>
      </c>
      <c r="D74" s="4" t="s">
        <v>65</v>
      </c>
      <c r="E74" s="7" t="s">
        <v>66</v>
      </c>
      <c r="F74" s="3">
        <v>5</v>
      </c>
      <c r="G74" s="4" t="s">
        <v>142</v>
      </c>
      <c r="H74" s="4" t="s">
        <v>50</v>
      </c>
      <c r="I74" s="3">
        <v>2</v>
      </c>
      <c r="J74" s="6" t="s">
        <v>290</v>
      </c>
      <c r="K74" s="31" t="s">
        <v>51</v>
      </c>
      <c r="L74" t="str">
        <f t="shared" si="5"/>
        <v>5°5</v>
      </c>
      <c r="M74" s="31"/>
      <c r="N74" s="63" t="str">
        <f t="shared" si="6"/>
        <v>5°5</v>
      </c>
      <c r="O74" s="44" t="str">
        <f>IF($J74="Formación Técnica Específica",VLOOKUP(IF($J74="Formación Técnica Específica",$B74&amp;"°"&amp;O$1&amp;"°"&amp;$B74&amp;O$1&amp;1&amp;$A74,$B74&amp;"°"&amp;O$1&amp;"°"&amp;$A74),[1]Hoja1!$A:$O,15,0),VLOOKUP(IF($J74="Formación Técnica Específica",$B74&amp;"°"&amp;O$1&amp;"°"&amp;$B74&amp;O$1&amp;1&amp;$A74,$B74&amp;"°"&amp;O$1&amp;"°"&amp;$A74),[1]Hoja1!$A:$O,15,0))</f>
        <v>PALACIOS GUSTAVO</v>
      </c>
      <c r="P74" s="52" t="str">
        <f>IF($J74="Formación Técnica Específica",VLOOKUP(IF($J74="Formación Técnica Específica",$B74&amp;"°"&amp;O$1&amp;"°"&amp;$B74&amp;O$1&amp;1&amp;$A74,$B74&amp;"°"&amp;O$1&amp;"°"&amp;$A74),[1]Hoja1!$A:$O,15,0)," ")</f>
        <v xml:space="preserve"> </v>
      </c>
      <c r="Q74" s="44">
        <f>IF($J74="Formación Técnica Específica",VLOOKUP(IF($J74="Formación Técnica Específica",$B74&amp;"°"&amp;Q$1&amp;"°"&amp;$B74&amp;Q$1&amp;1&amp;$A74,$B74&amp;"°"&amp;Q$1&amp;"°"&amp;$A74),[1]Hoja1!$A:$O,15,0),VLOOKUP(IF($J74="Formación Técnica Específica",$B74&amp;"°"&amp;Q$1&amp;"°"&amp;$B74&amp;Q$1&amp;1&amp;$A74,$B74&amp;"°"&amp;Q$1&amp;"°"&amp;$A74),[1]Hoja1!$A:$O,15,0))</f>
        <v>0</v>
      </c>
      <c r="R74" s="52" t="str">
        <f>IF($J74="Formación Técnica Específica",VLOOKUP(IF($J74="Formación Técnica Específica",$B74&amp;"°"&amp;Q$1&amp;"°"&amp;$B74&amp;Q$1&amp;1&amp;$A74,$B74&amp;"°"&amp;Q$1&amp;"°"&amp;$A74),[1]Hoja1!$A:$O,15,0)," ")</f>
        <v xml:space="preserve"> </v>
      </c>
      <c r="S74" s="44" t="e">
        <f>IF($J74="Formación Técnica Específica",VLOOKUP(IF($J74="Formación Técnica Específica",$B74&amp;"°"&amp;S$1&amp;"°"&amp;$B74&amp;S$1&amp;1&amp;$A74,$B74&amp;"°"&amp;S$1&amp;"°"&amp;$A74),[1]Hoja1!$A:$O,15,0),VLOOKUP(IF($J74="Formación Técnica Específica",$B74&amp;"°"&amp;S$1&amp;"°"&amp;$B74&amp;S$1&amp;1&amp;$A74,$B74&amp;"°"&amp;S$1&amp;"°"&amp;$A74),[1]Hoja1!$A:$O,15,0))</f>
        <v>#N/A</v>
      </c>
      <c r="T74" s="52" t="str">
        <f>IF($J74="Formación Técnica Específica",VLOOKUP(IF($J74="Formación Técnica Específica",$B74&amp;"°"&amp;S$1&amp;"°"&amp;$B74&amp;S$1&amp;1&amp;$A74,$B74&amp;"°"&amp;S$1&amp;"°"&amp;$A74),[1]Hoja1!$A:$O,15,0)," ")</f>
        <v xml:space="preserve"> </v>
      </c>
      <c r="U74" s="44" t="e">
        <f>IF($J74="Formación Técnica Específica",VLOOKUP(IF($J74="Formación Técnica Específica",$B74&amp;"°"&amp;U$1&amp;"°"&amp;$B74&amp;U$1&amp;1&amp;$A74,$B74&amp;"°"&amp;U$1&amp;"°"&amp;$A74),[1]Hoja1!$A:$O,15,0),VLOOKUP(IF($J74="Formación Técnica Específica",$B74&amp;"°"&amp;U$1&amp;"°"&amp;$B74&amp;U$1&amp;1&amp;$A74,$B74&amp;"°"&amp;U$1&amp;"°"&amp;$A74),[1]Hoja1!$A:$O,15,0))</f>
        <v>#N/A</v>
      </c>
      <c r="V74" s="52" t="str">
        <f>IF($J74="Formación Técnica Específica",VLOOKUP(IF($J74="Formación Técnica Específica",$B74&amp;"°"&amp;U$1&amp;"°"&amp;$B74&amp;U$1&amp;1&amp;$A74,$B74&amp;"°"&amp;U$1&amp;"°"&amp;$A74),[1]Hoja1!$A:$O,15,0)," ")</f>
        <v xml:space="preserve"> </v>
      </c>
      <c r="W74" s="44" t="str">
        <f>IF($J74="Formación Técnica Específica",VLOOKUP(IF($J74="Formación Técnica Específica",$B74&amp;"°"&amp;W$1&amp;"°"&amp;$B74&amp;W$1&amp;1&amp;$A74,$B74&amp;"°"&amp;W$1&amp;"°"&amp;$A74),[1]Hoja1!$A:$O,15,0),VLOOKUP(IF($J74="Formación Técnica Específica",$B74&amp;"°"&amp;W$1&amp;"°"&amp;$B74&amp;W$1&amp;1&amp;$A74,$B74&amp;"°"&amp;W$1&amp;"°"&amp;$A74),[1]Hoja1!$A:$O,15,0))</f>
        <v>GONZALEZ ROCIO NATALIA</v>
      </c>
      <c r="X74" s="52" t="str">
        <f>IF($J74="Formación Técnica Específica",VLOOKUP(IF($J74="Formación Técnica Específica",$B74&amp;"°"&amp;W$1&amp;"°"&amp;$B74&amp;W$1&amp;1&amp;$A74,$B74&amp;"°"&amp;W$1&amp;"°"&amp;$A74),[1]Hoja1!$A:$O,15,0)," ")</f>
        <v xml:space="preserve"> </v>
      </c>
    </row>
    <row r="75" spans="1:24" x14ac:dyDescent="0.25">
      <c r="A75" s="30" t="s">
        <v>143</v>
      </c>
      <c r="B75" s="4">
        <v>5</v>
      </c>
      <c r="C75" s="4" t="s">
        <v>10</v>
      </c>
      <c r="D75" s="4" t="s">
        <v>65</v>
      </c>
      <c r="E75" s="7" t="s">
        <v>66</v>
      </c>
      <c r="F75" s="3">
        <v>6</v>
      </c>
      <c r="G75" s="4" t="s">
        <v>144</v>
      </c>
      <c r="H75" s="4" t="s">
        <v>47</v>
      </c>
      <c r="I75" s="3">
        <v>2</v>
      </c>
      <c r="J75" s="6" t="s">
        <v>290</v>
      </c>
      <c r="K75" s="31" t="s">
        <v>48</v>
      </c>
      <c r="L75" t="str">
        <f t="shared" si="5"/>
        <v>5°6</v>
      </c>
      <c r="M75" s="31"/>
      <c r="N75" s="63" t="str">
        <f t="shared" si="6"/>
        <v>5°6</v>
      </c>
      <c r="O75" s="44" t="str">
        <f>IF($J75="Formación Técnica Específica",VLOOKUP(IF($J75="Formación Técnica Específica",$B75&amp;"°"&amp;O$1&amp;"°"&amp;$B75&amp;O$1&amp;1&amp;$A75,$B75&amp;"°"&amp;O$1&amp;"°"&amp;$A75),[1]Hoja1!$A:$O,15,0),VLOOKUP(IF($J75="Formación Técnica Específica",$B75&amp;"°"&amp;O$1&amp;"°"&amp;$B75&amp;O$1&amp;1&amp;$A75,$B75&amp;"°"&amp;O$1&amp;"°"&amp;$A75),[1]Hoja1!$A:$O,15,0))</f>
        <v xml:space="preserve">SPERONI, ADRIAN </v>
      </c>
      <c r="P75" s="52" t="str">
        <f>IF($J75="Formación Técnica Específica",VLOOKUP(IF($J75="Formación Técnica Específica",$B75&amp;"°"&amp;O$1&amp;"°"&amp;$B75&amp;O$1&amp;1&amp;$A75,$B75&amp;"°"&amp;O$1&amp;"°"&amp;$A75),[1]Hoja1!$A:$O,15,0)," ")</f>
        <v xml:space="preserve"> </v>
      </c>
      <c r="Q75" s="44">
        <f>IF($J75="Formación Técnica Específica",VLOOKUP(IF($J75="Formación Técnica Específica",$B75&amp;"°"&amp;Q$1&amp;"°"&amp;$B75&amp;Q$1&amp;1&amp;$A75,$B75&amp;"°"&amp;Q$1&amp;"°"&amp;$A75),[1]Hoja1!$A:$O,15,0),VLOOKUP(IF($J75="Formación Técnica Específica",$B75&amp;"°"&amp;Q$1&amp;"°"&amp;$B75&amp;Q$1&amp;1&amp;$A75,$B75&amp;"°"&amp;Q$1&amp;"°"&amp;$A75),[1]Hoja1!$A:$O,15,0))</f>
        <v>0</v>
      </c>
      <c r="R75" s="52" t="str">
        <f>IF($J75="Formación Técnica Específica",VLOOKUP(IF($J75="Formación Técnica Específica",$B75&amp;"°"&amp;Q$1&amp;"°"&amp;$B75&amp;Q$1&amp;1&amp;$A75,$B75&amp;"°"&amp;Q$1&amp;"°"&amp;$A75),[1]Hoja1!$A:$O,15,0)," ")</f>
        <v xml:space="preserve"> </v>
      </c>
      <c r="S75" s="44" t="e">
        <f>IF($J75="Formación Técnica Específica",VLOOKUP(IF($J75="Formación Técnica Específica",$B75&amp;"°"&amp;S$1&amp;"°"&amp;$B75&amp;S$1&amp;1&amp;$A75,$B75&amp;"°"&amp;S$1&amp;"°"&amp;$A75),[1]Hoja1!$A:$O,15,0),VLOOKUP(IF($J75="Formación Técnica Específica",$B75&amp;"°"&amp;S$1&amp;"°"&amp;$B75&amp;S$1&amp;1&amp;$A75,$B75&amp;"°"&amp;S$1&amp;"°"&amp;$A75),[1]Hoja1!$A:$O,15,0))</f>
        <v>#N/A</v>
      </c>
      <c r="T75" s="52" t="str">
        <f>IF($J75="Formación Técnica Específica",VLOOKUP(IF($J75="Formación Técnica Específica",$B75&amp;"°"&amp;S$1&amp;"°"&amp;$B75&amp;S$1&amp;1&amp;$A75,$B75&amp;"°"&amp;S$1&amp;"°"&amp;$A75),[1]Hoja1!$A:$O,15,0)," ")</f>
        <v xml:space="preserve"> </v>
      </c>
      <c r="U75" s="44" t="e">
        <f>IF($J75="Formación Técnica Específica",VLOOKUP(IF($J75="Formación Técnica Específica",$B75&amp;"°"&amp;U$1&amp;"°"&amp;$B75&amp;U$1&amp;1&amp;$A75,$B75&amp;"°"&amp;U$1&amp;"°"&amp;$A75),[1]Hoja1!$A:$O,15,0),VLOOKUP(IF($J75="Formación Técnica Específica",$B75&amp;"°"&amp;U$1&amp;"°"&amp;$B75&amp;U$1&amp;1&amp;$A75,$B75&amp;"°"&amp;U$1&amp;"°"&amp;$A75),[1]Hoja1!$A:$O,15,0))</f>
        <v>#N/A</v>
      </c>
      <c r="V75" s="52" t="str">
        <f>IF($J75="Formación Técnica Específica",VLOOKUP(IF($J75="Formación Técnica Específica",$B75&amp;"°"&amp;U$1&amp;"°"&amp;$B75&amp;U$1&amp;1&amp;$A75,$B75&amp;"°"&amp;U$1&amp;"°"&amp;$A75),[1]Hoja1!$A:$O,15,0)," ")</f>
        <v xml:space="preserve"> </v>
      </c>
      <c r="W75" s="44" t="str">
        <f>IF($J75="Formación Técnica Específica",VLOOKUP(IF($J75="Formación Técnica Específica",$B75&amp;"°"&amp;W$1&amp;"°"&amp;$B75&amp;W$1&amp;1&amp;$A75,$B75&amp;"°"&amp;W$1&amp;"°"&amp;$A75),[1]Hoja1!$A:$O,15,0),VLOOKUP(IF($J75="Formación Técnica Específica",$B75&amp;"°"&amp;W$1&amp;"°"&amp;$B75&amp;W$1&amp;1&amp;$A75,$B75&amp;"°"&amp;W$1&amp;"°"&amp;$A75),[1]Hoja1!$A:$O,15,0))</f>
        <v xml:space="preserve"> ROJAS SOLEDAD</v>
      </c>
      <c r="X75" s="52" t="str">
        <f>IF($J75="Formación Técnica Específica",VLOOKUP(IF($J75="Formación Técnica Específica",$B75&amp;"°"&amp;W$1&amp;"°"&amp;$B75&amp;W$1&amp;1&amp;$A75,$B75&amp;"°"&amp;W$1&amp;"°"&amp;$A75),[1]Hoja1!$A:$O,15,0)," ")</f>
        <v xml:space="preserve"> </v>
      </c>
    </row>
    <row r="76" spans="1:24" x14ac:dyDescent="0.25">
      <c r="A76" s="30" t="s">
        <v>145</v>
      </c>
      <c r="B76" s="4">
        <v>5</v>
      </c>
      <c r="C76" s="4" t="s">
        <v>10</v>
      </c>
      <c r="D76" s="4" t="s">
        <v>65</v>
      </c>
      <c r="E76" s="7" t="s">
        <v>66</v>
      </c>
      <c r="F76" s="3">
        <v>7</v>
      </c>
      <c r="G76" s="4" t="s">
        <v>146</v>
      </c>
      <c r="H76" s="4" t="s">
        <v>25</v>
      </c>
      <c r="I76" s="3">
        <v>4</v>
      </c>
      <c r="J76" s="6" t="s">
        <v>290</v>
      </c>
      <c r="K76" s="31" t="s">
        <v>147</v>
      </c>
      <c r="L76" t="str">
        <f t="shared" si="5"/>
        <v>5°7</v>
      </c>
      <c r="M76" s="31"/>
      <c r="N76" s="63" t="str">
        <f t="shared" si="6"/>
        <v>5°7</v>
      </c>
      <c r="O76" s="44" t="str">
        <f>IF($J76="Formación Técnica Específica",VLOOKUP(IF($J76="Formación Técnica Específica",$B76&amp;"°"&amp;O$1&amp;"°"&amp;$B76&amp;O$1&amp;1&amp;$A76,$B76&amp;"°"&amp;O$1&amp;"°"&amp;$A76),[1]Hoja1!$A:$O,15,0),VLOOKUP(IF($J76="Formación Técnica Específica",$B76&amp;"°"&amp;O$1&amp;"°"&amp;$B76&amp;O$1&amp;1&amp;$A76,$B76&amp;"°"&amp;O$1&amp;"°"&amp;$A76),[1]Hoja1!$A:$O,15,0))</f>
        <v>CENTURION SILVIA</v>
      </c>
      <c r="P76" s="52" t="str">
        <f>IF($J76="Formación Técnica Específica",VLOOKUP(IF($J76="Formación Técnica Específica",$B76&amp;"°"&amp;O$1&amp;"°"&amp;$B76&amp;O$1&amp;1&amp;$A76,$B76&amp;"°"&amp;O$1&amp;"°"&amp;$A76),[1]Hoja1!$A:$O,15,0)," ")</f>
        <v xml:space="preserve"> </v>
      </c>
      <c r="Q76" s="44">
        <f>IF($J76="Formación Técnica Específica",VLOOKUP(IF($J76="Formación Técnica Específica",$B76&amp;"°"&amp;Q$1&amp;"°"&amp;$B76&amp;Q$1&amp;1&amp;$A76,$B76&amp;"°"&amp;Q$1&amp;"°"&amp;$A76),[1]Hoja1!$A:$O,15,0),VLOOKUP(IF($J76="Formación Técnica Específica",$B76&amp;"°"&amp;Q$1&amp;"°"&amp;$B76&amp;Q$1&amp;1&amp;$A76,$B76&amp;"°"&amp;Q$1&amp;"°"&amp;$A76),[1]Hoja1!$A:$O,15,0))</f>
        <v>0</v>
      </c>
      <c r="R76" s="52" t="str">
        <f>IF($J76="Formación Técnica Específica",VLOOKUP(IF($J76="Formación Técnica Específica",$B76&amp;"°"&amp;Q$1&amp;"°"&amp;$B76&amp;Q$1&amp;1&amp;$A76,$B76&amp;"°"&amp;Q$1&amp;"°"&amp;$A76),[1]Hoja1!$A:$O,15,0)," ")</f>
        <v xml:space="preserve"> </v>
      </c>
      <c r="S76" s="44" t="e">
        <f>IF($J76="Formación Técnica Específica",VLOOKUP(IF($J76="Formación Técnica Específica",$B76&amp;"°"&amp;S$1&amp;"°"&amp;$B76&amp;S$1&amp;1&amp;$A76,$B76&amp;"°"&amp;S$1&amp;"°"&amp;$A76),[1]Hoja1!$A:$O,15,0),VLOOKUP(IF($J76="Formación Técnica Específica",$B76&amp;"°"&amp;S$1&amp;"°"&amp;$B76&amp;S$1&amp;1&amp;$A76,$B76&amp;"°"&amp;S$1&amp;"°"&amp;$A76),[1]Hoja1!$A:$O,15,0))</f>
        <v>#N/A</v>
      </c>
      <c r="T76" s="52" t="str">
        <f>IF($J76="Formación Técnica Específica",VLOOKUP(IF($J76="Formación Técnica Específica",$B76&amp;"°"&amp;S$1&amp;"°"&amp;$B76&amp;S$1&amp;1&amp;$A76,$B76&amp;"°"&amp;S$1&amp;"°"&amp;$A76),[1]Hoja1!$A:$O,15,0)," ")</f>
        <v xml:space="preserve"> </v>
      </c>
      <c r="U76" s="44" t="e">
        <f>IF($J76="Formación Técnica Específica",VLOOKUP(IF($J76="Formación Técnica Específica",$B76&amp;"°"&amp;U$1&amp;"°"&amp;$B76&amp;U$1&amp;1&amp;$A76,$B76&amp;"°"&amp;U$1&amp;"°"&amp;$A76),[1]Hoja1!$A:$O,15,0),VLOOKUP(IF($J76="Formación Técnica Específica",$B76&amp;"°"&amp;U$1&amp;"°"&amp;$B76&amp;U$1&amp;1&amp;$A76,$B76&amp;"°"&amp;U$1&amp;"°"&amp;$A76),[1]Hoja1!$A:$O,15,0))</f>
        <v>#N/A</v>
      </c>
      <c r="V76" s="52" t="str">
        <f>IF($J76="Formación Técnica Específica",VLOOKUP(IF($J76="Formación Técnica Específica",$B76&amp;"°"&amp;U$1&amp;"°"&amp;$B76&amp;U$1&amp;1&amp;$A76,$B76&amp;"°"&amp;U$1&amp;"°"&amp;$A76),[1]Hoja1!$A:$O,15,0)," ")</f>
        <v xml:space="preserve"> </v>
      </c>
      <c r="W76" s="44" t="str">
        <f>IF($J76="Formación Técnica Específica",VLOOKUP(IF($J76="Formación Técnica Específica",$B76&amp;"°"&amp;W$1&amp;"°"&amp;$B76&amp;W$1&amp;1&amp;$A76,$B76&amp;"°"&amp;W$1&amp;"°"&amp;$A76),[1]Hoja1!$A:$O,15,0),VLOOKUP(IF($J76="Formación Técnica Específica",$B76&amp;"°"&amp;W$1&amp;"°"&amp;$B76&amp;W$1&amp;1&amp;$A76,$B76&amp;"°"&amp;W$1&amp;"°"&amp;$A76),[1]Hoja1!$A:$O,15,0))</f>
        <v>GARCIA CLAUDIA</v>
      </c>
      <c r="X76" s="52" t="str">
        <f>IF($J76="Formación Técnica Específica",VLOOKUP(IF($J76="Formación Técnica Específica",$B76&amp;"°"&amp;W$1&amp;"°"&amp;$B76&amp;W$1&amp;1&amp;$A76,$B76&amp;"°"&amp;W$1&amp;"°"&amp;$A76),[1]Hoja1!$A:$O,15,0)," ")</f>
        <v xml:space="preserve"> </v>
      </c>
    </row>
    <row r="77" spans="1:24" x14ac:dyDescent="0.25">
      <c r="A77" s="30" t="s">
        <v>148</v>
      </c>
      <c r="B77" s="4">
        <v>5</v>
      </c>
      <c r="C77" s="4" t="s">
        <v>10</v>
      </c>
      <c r="D77" s="4" t="s">
        <v>65</v>
      </c>
      <c r="E77" s="7" t="s">
        <v>66</v>
      </c>
      <c r="F77" s="3">
        <v>8</v>
      </c>
      <c r="G77" s="4" t="s">
        <v>149</v>
      </c>
      <c r="H77" s="4" t="s">
        <v>150</v>
      </c>
      <c r="I77" s="3">
        <v>3</v>
      </c>
      <c r="J77" s="6" t="s">
        <v>290</v>
      </c>
      <c r="K77" s="31" t="s">
        <v>151</v>
      </c>
      <c r="L77" t="str">
        <f t="shared" si="5"/>
        <v>5°8</v>
      </c>
      <c r="M77" s="31"/>
      <c r="N77" s="63" t="str">
        <f t="shared" si="6"/>
        <v>5°8</v>
      </c>
      <c r="O77" s="44" t="str">
        <f>IF($J77="Formación Técnica Específica",VLOOKUP(IF($J77="Formación Técnica Específica",$B77&amp;"°"&amp;O$1&amp;"°"&amp;$B77&amp;O$1&amp;1&amp;$A77,$B77&amp;"°"&amp;O$1&amp;"°"&amp;$A77),[1]Hoja1!$A:$O,15,0),VLOOKUP(IF($J77="Formación Técnica Específica",$B77&amp;"°"&amp;O$1&amp;"°"&amp;$B77&amp;O$1&amp;1&amp;$A77,$B77&amp;"°"&amp;O$1&amp;"°"&amp;$A77),[1]Hoja1!$A:$O,15,0))</f>
        <v>MONTENEGRO CLAUDIA</v>
      </c>
      <c r="P77" s="52" t="str">
        <f>IF($J77="Formación Técnica Específica",VLOOKUP(IF($J77="Formación Técnica Específica",$B77&amp;"°"&amp;O$1&amp;"°"&amp;$B77&amp;O$1&amp;1&amp;$A77,$B77&amp;"°"&amp;O$1&amp;"°"&amp;$A77),[1]Hoja1!$A:$O,15,0)," ")</f>
        <v xml:space="preserve"> </v>
      </c>
      <c r="Q77" s="44">
        <f>IF($J77="Formación Técnica Específica",VLOOKUP(IF($J77="Formación Técnica Específica",$B77&amp;"°"&amp;Q$1&amp;"°"&amp;$B77&amp;Q$1&amp;1&amp;$A77,$B77&amp;"°"&amp;Q$1&amp;"°"&amp;$A77),[1]Hoja1!$A:$O,15,0),VLOOKUP(IF($J77="Formación Técnica Específica",$B77&amp;"°"&amp;Q$1&amp;"°"&amp;$B77&amp;Q$1&amp;1&amp;$A77,$B77&amp;"°"&amp;Q$1&amp;"°"&amp;$A77),[1]Hoja1!$A:$O,15,0))</f>
        <v>0</v>
      </c>
      <c r="R77" s="52" t="str">
        <f>IF($J77="Formación Técnica Específica",VLOOKUP(IF($J77="Formación Técnica Específica",$B77&amp;"°"&amp;Q$1&amp;"°"&amp;$B77&amp;Q$1&amp;1&amp;$A77,$B77&amp;"°"&amp;Q$1&amp;"°"&amp;$A77),[1]Hoja1!$A:$O,15,0)," ")</f>
        <v xml:space="preserve"> </v>
      </c>
      <c r="S77" s="44" t="e">
        <f>IF($J77="Formación Técnica Específica",VLOOKUP(IF($J77="Formación Técnica Específica",$B77&amp;"°"&amp;S$1&amp;"°"&amp;$B77&amp;S$1&amp;1&amp;$A77,$B77&amp;"°"&amp;S$1&amp;"°"&amp;$A77),[1]Hoja1!$A:$O,15,0),VLOOKUP(IF($J77="Formación Técnica Específica",$B77&amp;"°"&amp;S$1&amp;"°"&amp;$B77&amp;S$1&amp;1&amp;$A77,$B77&amp;"°"&amp;S$1&amp;"°"&amp;$A77),[1]Hoja1!$A:$O,15,0))</f>
        <v>#N/A</v>
      </c>
      <c r="T77" s="52" t="str">
        <f>IF($J77="Formación Técnica Específica",VLOOKUP(IF($J77="Formación Técnica Específica",$B77&amp;"°"&amp;S$1&amp;"°"&amp;$B77&amp;S$1&amp;1&amp;$A77,$B77&amp;"°"&amp;S$1&amp;"°"&amp;$A77),[1]Hoja1!$A:$O,15,0)," ")</f>
        <v xml:space="preserve"> </v>
      </c>
      <c r="U77" s="44" t="e">
        <f>IF($J77="Formación Técnica Específica",VLOOKUP(IF($J77="Formación Técnica Específica",$B77&amp;"°"&amp;U$1&amp;"°"&amp;$B77&amp;U$1&amp;1&amp;$A77,$B77&amp;"°"&amp;U$1&amp;"°"&amp;$A77),[1]Hoja1!$A:$O,15,0),VLOOKUP(IF($J77="Formación Técnica Específica",$B77&amp;"°"&amp;U$1&amp;"°"&amp;$B77&amp;U$1&amp;1&amp;$A77,$B77&amp;"°"&amp;U$1&amp;"°"&amp;$A77),[1]Hoja1!$A:$O,15,0))</f>
        <v>#N/A</v>
      </c>
      <c r="V77" s="52" t="str">
        <f>IF($J77="Formación Técnica Específica",VLOOKUP(IF($J77="Formación Técnica Específica",$B77&amp;"°"&amp;U$1&amp;"°"&amp;$B77&amp;U$1&amp;1&amp;$A77,$B77&amp;"°"&amp;U$1&amp;"°"&amp;$A77),[1]Hoja1!$A:$O,15,0)," ")</f>
        <v xml:space="preserve"> </v>
      </c>
      <c r="W77" s="44" t="str">
        <f>IF($J77="Formación Técnica Específica",VLOOKUP(IF($J77="Formación Técnica Específica",$B77&amp;"°"&amp;W$1&amp;"°"&amp;$B77&amp;W$1&amp;1&amp;$A77,$B77&amp;"°"&amp;W$1&amp;"°"&amp;$A77),[1]Hoja1!$A:$O,15,0),VLOOKUP(IF($J77="Formación Técnica Específica",$B77&amp;"°"&amp;W$1&amp;"°"&amp;$B77&amp;W$1&amp;1&amp;$A77,$B77&amp;"°"&amp;W$1&amp;"°"&amp;$A77),[1]Hoja1!$A:$O,15,0))</f>
        <v xml:space="preserve">HERNER, CRISTIAN </v>
      </c>
      <c r="X77" s="52" t="str">
        <f>IF($J77="Formación Técnica Específica",VLOOKUP(IF($J77="Formación Técnica Específica",$B77&amp;"°"&amp;W$1&amp;"°"&amp;$B77&amp;W$1&amp;1&amp;$A77,$B77&amp;"°"&amp;W$1&amp;"°"&amp;$A77),[1]Hoja1!$A:$O,15,0)," ")</f>
        <v xml:space="preserve"> </v>
      </c>
    </row>
    <row r="78" spans="1:24" x14ac:dyDescent="0.25">
      <c r="A78" s="30" t="s">
        <v>152</v>
      </c>
      <c r="B78" s="4">
        <v>5</v>
      </c>
      <c r="C78" s="4" t="s">
        <v>10</v>
      </c>
      <c r="D78" s="4" t="s">
        <v>65</v>
      </c>
      <c r="E78" s="7" t="s">
        <v>66</v>
      </c>
      <c r="F78" s="3">
        <v>9</v>
      </c>
      <c r="G78" s="4" t="s">
        <v>153</v>
      </c>
      <c r="H78" s="4" t="s">
        <v>154</v>
      </c>
      <c r="I78" s="3">
        <v>4</v>
      </c>
      <c r="J78" s="6" t="s">
        <v>290</v>
      </c>
      <c r="K78" s="31" t="s">
        <v>155</v>
      </c>
      <c r="L78" t="str">
        <f t="shared" si="5"/>
        <v>5°9</v>
      </c>
      <c r="M78" s="31"/>
      <c r="N78" s="63" t="str">
        <f t="shared" si="6"/>
        <v>5°9</v>
      </c>
      <c r="O78" s="44" t="str">
        <f>IF($J78="Formación Técnica Específica",VLOOKUP(IF($J78="Formación Técnica Específica",$B78&amp;"°"&amp;O$1&amp;"°"&amp;$B78&amp;O$1&amp;1&amp;$A78,$B78&amp;"°"&amp;O$1&amp;"°"&amp;$A78),[1]Hoja1!$A:$O,15,0),VLOOKUP(IF($J78="Formación Técnica Específica",$B78&amp;"°"&amp;O$1&amp;"°"&amp;$B78&amp;O$1&amp;1&amp;$A78,$B78&amp;"°"&amp;O$1&amp;"°"&amp;$A78),[1]Hoja1!$A:$O,15,0))</f>
        <v>MONTENEGRO CLAUDIA</v>
      </c>
      <c r="P78" s="52" t="str">
        <f>IF($J78="Formación Técnica Específica",VLOOKUP(IF($J78="Formación Técnica Específica",$B78&amp;"°"&amp;O$1&amp;"°"&amp;$B78&amp;O$1&amp;1&amp;$A78,$B78&amp;"°"&amp;O$1&amp;"°"&amp;$A78),[1]Hoja1!$A:$O,15,0)," ")</f>
        <v xml:space="preserve"> </v>
      </c>
      <c r="Q78" s="44">
        <f>IF($J78="Formación Técnica Específica",VLOOKUP(IF($J78="Formación Técnica Específica",$B78&amp;"°"&amp;Q$1&amp;"°"&amp;$B78&amp;Q$1&amp;1&amp;$A78,$B78&amp;"°"&amp;Q$1&amp;"°"&amp;$A78),[1]Hoja1!$A:$O,15,0),VLOOKUP(IF($J78="Formación Técnica Específica",$B78&amp;"°"&amp;Q$1&amp;"°"&amp;$B78&amp;Q$1&amp;1&amp;$A78,$B78&amp;"°"&amp;Q$1&amp;"°"&amp;$A78),[1]Hoja1!$A:$O,15,0))</f>
        <v>0</v>
      </c>
      <c r="R78" s="52" t="str">
        <f>IF($J78="Formación Técnica Específica",VLOOKUP(IF($J78="Formación Técnica Específica",$B78&amp;"°"&amp;Q$1&amp;"°"&amp;$B78&amp;Q$1&amp;1&amp;$A78,$B78&amp;"°"&amp;Q$1&amp;"°"&amp;$A78),[1]Hoja1!$A:$O,15,0)," ")</f>
        <v xml:space="preserve"> </v>
      </c>
      <c r="S78" s="44" t="e">
        <f>IF($J78="Formación Técnica Específica",VLOOKUP(IF($J78="Formación Técnica Específica",$B78&amp;"°"&amp;S$1&amp;"°"&amp;$B78&amp;S$1&amp;1&amp;$A78,$B78&amp;"°"&amp;S$1&amp;"°"&amp;$A78),[1]Hoja1!$A:$O,15,0),VLOOKUP(IF($J78="Formación Técnica Específica",$B78&amp;"°"&amp;S$1&amp;"°"&amp;$B78&amp;S$1&amp;1&amp;$A78,$B78&amp;"°"&amp;S$1&amp;"°"&amp;$A78),[1]Hoja1!$A:$O,15,0))</f>
        <v>#N/A</v>
      </c>
      <c r="T78" s="52" t="str">
        <f>IF($J78="Formación Técnica Específica",VLOOKUP(IF($J78="Formación Técnica Específica",$B78&amp;"°"&amp;S$1&amp;"°"&amp;$B78&amp;S$1&amp;1&amp;$A78,$B78&amp;"°"&amp;S$1&amp;"°"&amp;$A78),[1]Hoja1!$A:$O,15,0)," ")</f>
        <v xml:space="preserve"> </v>
      </c>
      <c r="U78" s="44" t="e">
        <f>IF($J78="Formación Técnica Específica",VLOOKUP(IF($J78="Formación Técnica Específica",$B78&amp;"°"&amp;U$1&amp;"°"&amp;$B78&amp;U$1&amp;1&amp;$A78,$B78&amp;"°"&amp;U$1&amp;"°"&amp;$A78),[1]Hoja1!$A:$O,15,0),VLOOKUP(IF($J78="Formación Técnica Específica",$B78&amp;"°"&amp;U$1&amp;"°"&amp;$B78&amp;U$1&amp;1&amp;$A78,$B78&amp;"°"&amp;U$1&amp;"°"&amp;$A78),[1]Hoja1!$A:$O,15,0))</f>
        <v>#N/A</v>
      </c>
      <c r="V78" s="52" t="str">
        <f>IF($J78="Formación Técnica Específica",VLOOKUP(IF($J78="Formación Técnica Específica",$B78&amp;"°"&amp;U$1&amp;"°"&amp;$B78&amp;U$1&amp;1&amp;$A78,$B78&amp;"°"&amp;U$1&amp;"°"&amp;$A78),[1]Hoja1!$A:$O,15,0)," ")</f>
        <v xml:space="preserve"> </v>
      </c>
      <c r="W78" s="44" t="str">
        <f>IF($J78="Formación Técnica Específica",VLOOKUP(IF($J78="Formación Técnica Específica",$B78&amp;"°"&amp;W$1&amp;"°"&amp;$B78&amp;W$1&amp;1&amp;$A78,$B78&amp;"°"&amp;W$1&amp;"°"&amp;$A78),[1]Hoja1!$A:$O,15,0),VLOOKUP(IF($J78="Formación Técnica Específica",$B78&amp;"°"&amp;W$1&amp;"°"&amp;$B78&amp;W$1&amp;1&amp;$A78,$B78&amp;"°"&amp;W$1&amp;"°"&amp;$A78),[1]Hoja1!$A:$O,15,0))</f>
        <v xml:space="preserve">GONANO, GERMAN </v>
      </c>
      <c r="X78" s="52" t="str">
        <f>IF($J78="Formación Técnica Específica",VLOOKUP(IF($J78="Formación Técnica Específica",$B78&amp;"°"&amp;W$1&amp;"°"&amp;$B78&amp;W$1&amp;1&amp;$A78,$B78&amp;"°"&amp;W$1&amp;"°"&amp;$A78),[1]Hoja1!$A:$O,15,0)," ")</f>
        <v xml:space="preserve"> </v>
      </c>
    </row>
    <row r="79" spans="1:24" x14ac:dyDescent="0.25">
      <c r="A79" s="30" t="s">
        <v>156</v>
      </c>
      <c r="B79" s="4">
        <v>5</v>
      </c>
      <c r="C79" s="4" t="s">
        <v>10</v>
      </c>
      <c r="D79" s="4" t="s">
        <v>65</v>
      </c>
      <c r="E79" s="7" t="s">
        <v>66</v>
      </c>
      <c r="F79" s="3">
        <v>10</v>
      </c>
      <c r="G79" s="4" t="s">
        <v>157</v>
      </c>
      <c r="H79" s="4" t="s">
        <v>97</v>
      </c>
      <c r="I79" s="3">
        <v>2</v>
      </c>
      <c r="J79" s="6" t="s">
        <v>33</v>
      </c>
      <c r="K79" s="31" t="s">
        <v>158</v>
      </c>
      <c r="L79" t="str">
        <f t="shared" si="5"/>
        <v>5°10</v>
      </c>
      <c r="M79" s="31"/>
      <c r="N79" s="63" t="str">
        <f t="shared" si="6"/>
        <v>5°10</v>
      </c>
      <c r="O79" s="44" t="str">
        <f>IF($J79="Formación Técnica Específica",VLOOKUP(IF($J79="Formación Técnica Específica",$B79&amp;"°"&amp;O$1&amp;"°"&amp;$B79&amp;O$1&amp;1&amp;$A79,$B79&amp;"°"&amp;O$1&amp;"°"&amp;$A79),[1]Hoja1!$A:$O,15,0),VLOOKUP(IF($J79="Formación Técnica Específica",$B79&amp;"°"&amp;O$1&amp;"°"&amp;$B79&amp;O$1&amp;1&amp;$A79,$B79&amp;"°"&amp;O$1&amp;"°"&amp;$A79),[1]Hoja1!$A:$O,15,0))</f>
        <v>WITT  GERARDO</v>
      </c>
      <c r="P79" s="52" t="str">
        <f>IF($J79="Formación Técnica Específica",VLOOKUP(IF($J79="Formación Técnica Específica",$B79&amp;"°"&amp;O$1&amp;"°"&amp;$B79&amp;O$1&amp;1&amp;$A79,$B79&amp;"°"&amp;O$1&amp;"°"&amp;$A79),[1]Hoja1!$A:$O,15,0)," ")</f>
        <v>WITT  GERARDO</v>
      </c>
      <c r="Q79" s="44">
        <f>IF($J79="Formación Técnica Específica",VLOOKUP(IF($J79="Formación Técnica Específica",$B79&amp;"°"&amp;Q$1&amp;"°"&amp;$B79&amp;Q$1&amp;1&amp;$A79,$B79&amp;"°"&amp;Q$1&amp;"°"&amp;$A79),[1]Hoja1!$A:$O,15,0),VLOOKUP(IF($J79="Formación Técnica Específica",$B79&amp;"°"&amp;Q$1&amp;"°"&amp;$B79&amp;Q$1&amp;1&amp;$A79,$B79&amp;"°"&amp;Q$1&amp;"°"&amp;$A79),[1]Hoja1!$A:$O,15,0))</f>
        <v>0</v>
      </c>
      <c r="R79" s="52">
        <f>IF($J79="Formación Técnica Específica",VLOOKUP(IF($J79="Formación Técnica Específica",$B79&amp;"°"&amp;Q$1&amp;"°"&amp;$B79&amp;Q$1&amp;1&amp;$A79,$B79&amp;"°"&amp;Q$1&amp;"°"&amp;$A79),[1]Hoja1!$A:$O,15,0)," ")</f>
        <v>0</v>
      </c>
      <c r="S79" s="44" t="e">
        <f>IF($J79="Formación Técnica Específica",VLOOKUP(IF($J79="Formación Técnica Específica",$B79&amp;"°"&amp;S$1&amp;"°"&amp;$B79&amp;S$1&amp;1&amp;$A79,$B79&amp;"°"&amp;S$1&amp;"°"&amp;$A79),[1]Hoja1!$A:$O,15,0),VLOOKUP(IF($J79="Formación Técnica Específica",$B79&amp;"°"&amp;S$1&amp;"°"&amp;$B79&amp;S$1&amp;1&amp;$A79,$B79&amp;"°"&amp;S$1&amp;"°"&amp;$A79),[1]Hoja1!$A:$O,15,0))</f>
        <v>#N/A</v>
      </c>
      <c r="T79" s="52" t="e">
        <f>IF($J79="Formación Técnica Específica",VLOOKUP(IF($J79="Formación Técnica Específica",$B79&amp;"°"&amp;S$1&amp;"°"&amp;$B79&amp;S$1&amp;1&amp;$A79,$B79&amp;"°"&amp;S$1&amp;"°"&amp;$A79),[1]Hoja1!$A:$O,15,0)," ")</f>
        <v>#N/A</v>
      </c>
      <c r="U79" s="44" t="e">
        <f>IF($J79="Formación Técnica Específica",VLOOKUP(IF($J79="Formación Técnica Específica",$B79&amp;"°"&amp;U$1&amp;"°"&amp;$B79&amp;U$1&amp;1&amp;$A79,$B79&amp;"°"&amp;U$1&amp;"°"&amp;$A79),[1]Hoja1!$A:$O,15,0),VLOOKUP(IF($J79="Formación Técnica Específica",$B79&amp;"°"&amp;U$1&amp;"°"&amp;$B79&amp;U$1&amp;1&amp;$A79,$B79&amp;"°"&amp;U$1&amp;"°"&amp;$A79),[1]Hoja1!$A:$O,15,0))</f>
        <v>#N/A</v>
      </c>
      <c r="V79" s="52" t="e">
        <f>IF($J79="Formación Técnica Específica",VLOOKUP(IF($J79="Formación Técnica Específica",$B79&amp;"°"&amp;U$1&amp;"°"&amp;$B79&amp;U$1&amp;1&amp;$A79,$B79&amp;"°"&amp;U$1&amp;"°"&amp;$A79),[1]Hoja1!$A:$O,15,0)," ")</f>
        <v>#N/A</v>
      </c>
      <c r="W79" s="44" t="str">
        <f>IF($J79="Formación Técnica Específica",VLOOKUP(IF($J79="Formación Técnica Específica",$B79&amp;"°"&amp;W$1&amp;"°"&amp;$B79&amp;W$1&amp;1&amp;$A79,$B79&amp;"°"&amp;W$1&amp;"°"&amp;$A79),[1]Hoja1!$A:$O,15,0),VLOOKUP(IF($J79="Formación Técnica Específica",$B79&amp;"°"&amp;W$1&amp;"°"&amp;$B79&amp;W$1&amp;1&amp;$A79,$B79&amp;"°"&amp;W$1&amp;"°"&amp;$A79),[1]Hoja1!$A:$O,15,0))</f>
        <v>WITT  GERARDO</v>
      </c>
      <c r="X79" s="52" t="str">
        <f>IF($J79="Formación Técnica Específica",VLOOKUP(IF($J79="Formación Técnica Específica",$B79&amp;"°"&amp;W$1&amp;"°"&amp;$B79&amp;W$1&amp;1&amp;$A79,$B79&amp;"°"&amp;W$1&amp;"°"&amp;$A79),[1]Hoja1!$A:$O,15,0)," ")</f>
        <v>WITT  GERARDO</v>
      </c>
    </row>
    <row r="80" spans="1:24" x14ac:dyDescent="0.25">
      <c r="A80" s="30" t="s">
        <v>159</v>
      </c>
      <c r="B80" s="4">
        <v>5</v>
      </c>
      <c r="C80" s="4" t="s">
        <v>10</v>
      </c>
      <c r="D80" s="4" t="s">
        <v>65</v>
      </c>
      <c r="E80" s="7" t="s">
        <v>66</v>
      </c>
      <c r="F80" s="3">
        <v>11</v>
      </c>
      <c r="G80" s="4" t="s">
        <v>160</v>
      </c>
      <c r="H80" s="4" t="s">
        <v>101</v>
      </c>
      <c r="I80" s="3">
        <v>4</v>
      </c>
      <c r="J80" s="6" t="s">
        <v>33</v>
      </c>
      <c r="K80" s="31" t="s">
        <v>161</v>
      </c>
      <c r="L80" t="str">
        <f t="shared" si="5"/>
        <v>5°11</v>
      </c>
      <c r="M80" s="31"/>
      <c r="N80" s="63" t="str">
        <f t="shared" si="6"/>
        <v>5°11</v>
      </c>
      <c r="O80" s="44" t="str">
        <f>IF($J80="Formación Técnica Específica",VLOOKUP(IF($J80="Formación Técnica Específica",$B80&amp;"°"&amp;O$1&amp;"°"&amp;$B80&amp;O$1&amp;1&amp;$A80,$B80&amp;"°"&amp;O$1&amp;"°"&amp;$A80),[1]Hoja1!$A:$O,15,0),VLOOKUP(IF($J80="Formación Técnica Específica",$B80&amp;"°"&amp;O$1&amp;"°"&amp;$B80&amp;O$1&amp;1&amp;$A80,$B80&amp;"°"&amp;O$1&amp;"°"&amp;$A80),[1]Hoja1!$A:$O,15,0))</f>
        <v>DELGADO ARIEL</v>
      </c>
      <c r="P80" s="52" t="str">
        <f>IF($J80="Formación Técnica Específica",VLOOKUP(IF($J80="Formación Técnica Específica",$B80&amp;"°"&amp;O$1&amp;"°"&amp;$B80&amp;O$1&amp;1&amp;$A80,$B80&amp;"°"&amp;O$1&amp;"°"&amp;$A80),[1]Hoja1!$A:$O,15,0)," ")</f>
        <v>DELGADO ARIEL</v>
      </c>
      <c r="Q80" s="44">
        <f>IF($J80="Formación Técnica Específica",VLOOKUP(IF($J80="Formación Técnica Específica",$B80&amp;"°"&amp;Q$1&amp;"°"&amp;$B80&amp;Q$1&amp;1&amp;$A80,$B80&amp;"°"&amp;Q$1&amp;"°"&amp;$A80),[1]Hoja1!$A:$O,15,0),VLOOKUP(IF($J80="Formación Técnica Específica",$B80&amp;"°"&amp;Q$1&amp;"°"&amp;$B80&amp;Q$1&amp;1&amp;$A80,$B80&amp;"°"&amp;Q$1&amp;"°"&amp;$A80),[1]Hoja1!$A:$O,15,0))</f>
        <v>0</v>
      </c>
      <c r="R80" s="52">
        <f>IF($J80="Formación Técnica Específica",VLOOKUP(IF($J80="Formación Técnica Específica",$B80&amp;"°"&amp;Q$1&amp;"°"&amp;$B80&amp;Q$1&amp;1&amp;$A80,$B80&amp;"°"&amp;Q$1&amp;"°"&amp;$A80),[1]Hoja1!$A:$O,15,0)," ")</f>
        <v>0</v>
      </c>
      <c r="S80" s="44" t="e">
        <f>IF($J80="Formación Técnica Específica",VLOOKUP(IF($J80="Formación Técnica Específica",$B80&amp;"°"&amp;S$1&amp;"°"&amp;$B80&amp;S$1&amp;1&amp;$A80,$B80&amp;"°"&amp;S$1&amp;"°"&amp;$A80),[1]Hoja1!$A:$O,15,0),VLOOKUP(IF($J80="Formación Técnica Específica",$B80&amp;"°"&amp;S$1&amp;"°"&amp;$B80&amp;S$1&amp;1&amp;$A80,$B80&amp;"°"&amp;S$1&amp;"°"&amp;$A80),[1]Hoja1!$A:$O,15,0))</f>
        <v>#N/A</v>
      </c>
      <c r="T80" s="52" t="e">
        <f>IF($J80="Formación Técnica Específica",VLOOKUP(IF($J80="Formación Técnica Específica",$B80&amp;"°"&amp;S$1&amp;"°"&amp;$B80&amp;S$1&amp;1&amp;$A80,$B80&amp;"°"&amp;S$1&amp;"°"&amp;$A80),[1]Hoja1!$A:$O,15,0)," ")</f>
        <v>#N/A</v>
      </c>
      <c r="U80" s="44" t="e">
        <f>IF($J80="Formación Técnica Específica",VLOOKUP(IF($J80="Formación Técnica Específica",$B80&amp;"°"&amp;U$1&amp;"°"&amp;$B80&amp;U$1&amp;1&amp;$A80,$B80&amp;"°"&amp;U$1&amp;"°"&amp;$A80),[1]Hoja1!$A:$O,15,0),VLOOKUP(IF($J80="Formación Técnica Específica",$B80&amp;"°"&amp;U$1&amp;"°"&amp;$B80&amp;U$1&amp;1&amp;$A80,$B80&amp;"°"&amp;U$1&amp;"°"&amp;$A80),[1]Hoja1!$A:$O,15,0))</f>
        <v>#N/A</v>
      </c>
      <c r="V80" s="52" t="e">
        <f>IF($J80="Formación Técnica Específica",VLOOKUP(IF($J80="Formación Técnica Específica",$B80&amp;"°"&amp;U$1&amp;"°"&amp;$B80&amp;U$1&amp;1&amp;$A80,$B80&amp;"°"&amp;U$1&amp;"°"&amp;$A80),[1]Hoja1!$A:$O,15,0)," ")</f>
        <v>#N/A</v>
      </c>
      <c r="W80" s="44" t="str">
        <f>IF($J80="Formación Técnica Específica",VLOOKUP(IF($J80="Formación Técnica Específica",$B80&amp;"°"&amp;W$1&amp;"°"&amp;$B80&amp;W$1&amp;1&amp;$A80,$B80&amp;"°"&amp;W$1&amp;"°"&amp;$A80),[1]Hoja1!$A:$O,15,0),VLOOKUP(IF($J80="Formación Técnica Específica",$B80&amp;"°"&amp;W$1&amp;"°"&amp;$B80&amp;W$1&amp;1&amp;$A80,$B80&amp;"°"&amp;W$1&amp;"°"&amp;$A80),[1]Hoja1!$A:$O,15,0))</f>
        <v>HERRERA, STELLA</v>
      </c>
      <c r="X80" s="52" t="str">
        <f>IF($J80="Formación Técnica Específica",VLOOKUP(IF($J80="Formación Técnica Específica",$B80&amp;"°"&amp;W$1&amp;"°"&amp;$B80&amp;W$1&amp;1&amp;$A80,$B80&amp;"°"&amp;W$1&amp;"°"&amp;$A80),[1]Hoja1!$A:$O,15,0)," ")</f>
        <v>HERRERA, STELLA</v>
      </c>
    </row>
    <row r="81" spans="1:24" x14ac:dyDescent="0.25">
      <c r="A81" s="30" t="s">
        <v>162</v>
      </c>
      <c r="B81" s="4">
        <v>5</v>
      </c>
      <c r="C81" s="4" t="s">
        <v>10</v>
      </c>
      <c r="D81" s="4" t="s">
        <v>65</v>
      </c>
      <c r="E81" s="7" t="s">
        <v>66</v>
      </c>
      <c r="F81" s="3">
        <v>12</v>
      </c>
      <c r="G81" s="4" t="s">
        <v>163</v>
      </c>
      <c r="H81" s="4" t="s">
        <v>105</v>
      </c>
      <c r="I81" s="3">
        <v>4</v>
      </c>
      <c r="J81" s="6" t="s">
        <v>33</v>
      </c>
      <c r="K81" s="31" t="s">
        <v>164</v>
      </c>
      <c r="L81" t="str">
        <f t="shared" si="5"/>
        <v>5°12</v>
      </c>
      <c r="M81" s="31"/>
      <c r="N81" s="63" t="str">
        <f t="shared" si="6"/>
        <v>5°12</v>
      </c>
      <c r="O81" s="44">
        <f>IF($J81="Formación Técnica Específica",VLOOKUP(IF($J81="Formación Técnica Específica",$B81&amp;"°"&amp;O$1&amp;"°"&amp;$B81&amp;O$1&amp;1&amp;$A81,$B81&amp;"°"&amp;O$1&amp;"°"&amp;$A81),[1]Hoja1!$A:$O,15,0),VLOOKUP(IF($J81="Formación Técnica Específica",$B81&amp;"°"&amp;O$1&amp;"°"&amp;$B81&amp;O$1&amp;1&amp;$A81,$B81&amp;"°"&amp;O$1&amp;"°"&amp;$A81),[1]Hoja1!$A:$O,15,0))</f>
        <v>0</v>
      </c>
      <c r="P81" s="52">
        <f>IF($J81="Formación Técnica Específica",VLOOKUP(IF($J81="Formación Técnica Específica",$B81&amp;"°"&amp;O$1&amp;"°"&amp;$B81&amp;O$1&amp;1&amp;$A81,$B81&amp;"°"&amp;O$1&amp;"°"&amp;$A81),[1]Hoja1!$A:$O,15,0)," ")</f>
        <v>0</v>
      </c>
      <c r="Q81" s="44">
        <f>IF($J81="Formación Técnica Específica",VLOOKUP(IF($J81="Formación Técnica Específica",$B81&amp;"°"&amp;Q$1&amp;"°"&amp;$B81&amp;Q$1&amp;1&amp;$A81,$B81&amp;"°"&amp;Q$1&amp;"°"&amp;$A81),[1]Hoja1!$A:$O,15,0),VLOOKUP(IF($J81="Formación Técnica Específica",$B81&amp;"°"&amp;Q$1&amp;"°"&amp;$B81&amp;Q$1&amp;1&amp;$A81,$B81&amp;"°"&amp;Q$1&amp;"°"&amp;$A81),[1]Hoja1!$A:$O,15,0))</f>
        <v>0</v>
      </c>
      <c r="R81" s="52">
        <f>IF($J81="Formación Técnica Específica",VLOOKUP(IF($J81="Formación Técnica Específica",$B81&amp;"°"&amp;Q$1&amp;"°"&amp;$B81&amp;Q$1&amp;1&amp;$A81,$B81&amp;"°"&amp;Q$1&amp;"°"&amp;$A81),[1]Hoja1!$A:$O,15,0)," ")</f>
        <v>0</v>
      </c>
      <c r="S81" s="44" t="e">
        <f>IF($J81="Formación Técnica Específica",VLOOKUP(IF($J81="Formación Técnica Específica",$B81&amp;"°"&amp;S$1&amp;"°"&amp;$B81&amp;S$1&amp;1&amp;$A81,$B81&amp;"°"&amp;S$1&amp;"°"&amp;$A81),[1]Hoja1!$A:$O,15,0),VLOOKUP(IF($J81="Formación Técnica Específica",$B81&amp;"°"&amp;S$1&amp;"°"&amp;$B81&amp;S$1&amp;1&amp;$A81,$B81&amp;"°"&amp;S$1&amp;"°"&amp;$A81),[1]Hoja1!$A:$O,15,0))</f>
        <v>#N/A</v>
      </c>
      <c r="T81" s="52" t="e">
        <f>IF($J81="Formación Técnica Específica",VLOOKUP(IF($J81="Formación Técnica Específica",$B81&amp;"°"&amp;S$1&amp;"°"&amp;$B81&amp;S$1&amp;1&amp;$A81,$B81&amp;"°"&amp;S$1&amp;"°"&amp;$A81),[1]Hoja1!$A:$O,15,0)," ")</f>
        <v>#N/A</v>
      </c>
      <c r="U81" s="44" t="e">
        <f>IF($J81="Formación Técnica Específica",VLOOKUP(IF($J81="Formación Técnica Específica",$B81&amp;"°"&amp;U$1&amp;"°"&amp;$B81&amp;U$1&amp;1&amp;$A81,$B81&amp;"°"&amp;U$1&amp;"°"&amp;$A81),[1]Hoja1!$A:$O,15,0),VLOOKUP(IF($J81="Formación Técnica Específica",$B81&amp;"°"&amp;U$1&amp;"°"&amp;$B81&amp;U$1&amp;1&amp;$A81,$B81&amp;"°"&amp;U$1&amp;"°"&amp;$A81),[1]Hoja1!$A:$O,15,0))</f>
        <v>#N/A</v>
      </c>
      <c r="V81" s="52" t="e">
        <f>IF($J81="Formación Técnica Específica",VLOOKUP(IF($J81="Formación Técnica Específica",$B81&amp;"°"&amp;U$1&amp;"°"&amp;$B81&amp;U$1&amp;1&amp;$A81,$B81&amp;"°"&amp;U$1&amp;"°"&amp;$A81),[1]Hoja1!$A:$O,15,0)," ")</f>
        <v>#N/A</v>
      </c>
      <c r="W81" s="44" t="str">
        <f>IF($J81="Formación Técnica Específica",VLOOKUP(IF($J81="Formación Técnica Específica",$B81&amp;"°"&amp;W$1&amp;"°"&amp;$B81&amp;W$1&amp;1&amp;$A81,$B81&amp;"°"&amp;W$1&amp;"°"&amp;$A81),[1]Hoja1!$A:$O,15,0),VLOOKUP(IF($J81="Formación Técnica Específica",$B81&amp;"°"&amp;W$1&amp;"°"&amp;$B81&amp;W$1&amp;1&amp;$A81,$B81&amp;"°"&amp;W$1&amp;"°"&amp;$A81),[1]Hoja1!$A:$O,15,0))</f>
        <v>WITT  GERARDO</v>
      </c>
      <c r="X81" s="52" t="str">
        <f>IF($J81="Formación Técnica Específica",VLOOKUP(IF($J81="Formación Técnica Específica",$B81&amp;"°"&amp;W$1&amp;"°"&amp;$B81&amp;W$1&amp;1&amp;$A81,$B81&amp;"°"&amp;W$1&amp;"°"&amp;$A81),[1]Hoja1!$A:$O,15,0)," ")</f>
        <v>WITT  GERARDO</v>
      </c>
    </row>
    <row r="82" spans="1:24" ht="15.75" thickBot="1" x14ac:dyDescent="0.3">
      <c r="A82" s="38" t="s">
        <v>165</v>
      </c>
      <c r="B82" s="39">
        <v>5</v>
      </c>
      <c r="C82" s="39" t="s">
        <v>10</v>
      </c>
      <c r="D82" s="39" t="s">
        <v>65</v>
      </c>
      <c r="E82" s="40" t="s">
        <v>66</v>
      </c>
      <c r="F82" s="41">
        <v>13</v>
      </c>
      <c r="G82" s="39" t="s">
        <v>166</v>
      </c>
      <c r="H82" s="39" t="s">
        <v>109</v>
      </c>
      <c r="I82" s="41">
        <v>2</v>
      </c>
      <c r="J82" s="6" t="s">
        <v>33</v>
      </c>
      <c r="K82" s="42" t="s">
        <v>167</v>
      </c>
      <c r="L82" t="str">
        <f t="shared" si="5"/>
        <v>5°13</v>
      </c>
      <c r="M82" s="42"/>
      <c r="N82" s="63" t="str">
        <f t="shared" si="6"/>
        <v>5°13</v>
      </c>
      <c r="O82" s="53" t="str">
        <f>IF($J82="Formación Técnica Específica",VLOOKUP(IF($J82="Formación Técnica Específica",$B82&amp;"°"&amp;O$1&amp;"°"&amp;$B82&amp;O$1&amp;1&amp;$A82,$B82&amp;"°"&amp;O$1&amp;"°"&amp;$A82),[1]Hoja1!$A:$O,15,0),VLOOKUP(IF($J82="Formación Técnica Específica",$B82&amp;"°"&amp;O$1&amp;"°"&amp;$B82&amp;O$1&amp;1&amp;$A82,$B82&amp;"°"&amp;O$1&amp;"°"&amp;$A82),[1]Hoja1!$A:$O,15,0))</f>
        <v xml:space="preserve">BARCENILLA, JAVIER </v>
      </c>
      <c r="P82" s="54" t="str">
        <f>IF($J82="Formación Técnica Específica",VLOOKUP(IF($J82="Formación Técnica Específica",$B82&amp;"°"&amp;O$1&amp;"°"&amp;$B82&amp;O$1&amp;1&amp;$A82,$B82&amp;"°"&amp;O$1&amp;"°"&amp;$A82),[1]Hoja1!$A:$O,15,0)," ")</f>
        <v xml:space="preserve">BARCENILLA, JAVIER </v>
      </c>
      <c r="Q82" s="53">
        <f>IF($J82="Formación Técnica Específica",VLOOKUP(IF($J82="Formación Técnica Específica",$B82&amp;"°"&amp;Q$1&amp;"°"&amp;$B82&amp;Q$1&amp;1&amp;$A82,$B82&amp;"°"&amp;Q$1&amp;"°"&amp;$A82),[1]Hoja1!$A:$O,15,0),VLOOKUP(IF($J82="Formación Técnica Específica",$B82&amp;"°"&amp;Q$1&amp;"°"&amp;$B82&amp;Q$1&amp;1&amp;$A82,$B82&amp;"°"&amp;Q$1&amp;"°"&amp;$A82),[1]Hoja1!$A:$O,15,0))</f>
        <v>0</v>
      </c>
      <c r="R82" s="54">
        <f>IF($J82="Formación Técnica Específica",VLOOKUP(IF($J82="Formación Técnica Específica",$B82&amp;"°"&amp;Q$1&amp;"°"&amp;$B82&amp;Q$1&amp;1&amp;$A82,$B82&amp;"°"&amp;Q$1&amp;"°"&amp;$A82),[1]Hoja1!$A:$O,15,0)," ")</f>
        <v>0</v>
      </c>
      <c r="S82" s="53" t="e">
        <f>IF($J82="Formación Técnica Específica",VLOOKUP(IF($J82="Formación Técnica Específica",$B82&amp;"°"&amp;S$1&amp;"°"&amp;$B82&amp;S$1&amp;1&amp;$A82,$B82&amp;"°"&amp;S$1&amp;"°"&amp;$A82),[1]Hoja1!$A:$O,15,0),VLOOKUP(IF($J82="Formación Técnica Específica",$B82&amp;"°"&amp;S$1&amp;"°"&amp;$B82&amp;S$1&amp;1&amp;$A82,$B82&amp;"°"&amp;S$1&amp;"°"&amp;$A82),[1]Hoja1!$A:$O,15,0))</f>
        <v>#N/A</v>
      </c>
      <c r="T82" s="54" t="e">
        <f>IF($J82="Formación Técnica Específica",VLOOKUP(IF($J82="Formación Técnica Específica",$B82&amp;"°"&amp;S$1&amp;"°"&amp;$B82&amp;S$1&amp;1&amp;$A82,$B82&amp;"°"&amp;S$1&amp;"°"&amp;$A82),[1]Hoja1!$A:$O,15,0)," ")</f>
        <v>#N/A</v>
      </c>
      <c r="U82" s="53" t="e">
        <f>IF($J82="Formación Técnica Específica",VLOOKUP(IF($J82="Formación Técnica Específica",$B82&amp;"°"&amp;U$1&amp;"°"&amp;$B82&amp;U$1&amp;1&amp;$A82,$B82&amp;"°"&amp;U$1&amp;"°"&amp;$A82),[1]Hoja1!$A:$O,15,0),VLOOKUP(IF($J82="Formación Técnica Específica",$B82&amp;"°"&amp;U$1&amp;"°"&amp;$B82&amp;U$1&amp;1&amp;$A82,$B82&amp;"°"&amp;U$1&amp;"°"&amp;$A82),[1]Hoja1!$A:$O,15,0))</f>
        <v>#N/A</v>
      </c>
      <c r="V82" s="54" t="e">
        <f>IF($J82="Formación Técnica Específica",VLOOKUP(IF($J82="Formación Técnica Específica",$B82&amp;"°"&amp;U$1&amp;"°"&amp;$B82&amp;U$1&amp;1&amp;$A82,$B82&amp;"°"&amp;U$1&amp;"°"&amp;$A82),[1]Hoja1!$A:$O,15,0)," ")</f>
        <v>#N/A</v>
      </c>
      <c r="W82" s="53" t="str">
        <f>IF($J82="Formación Técnica Específica",VLOOKUP(IF($J82="Formación Técnica Específica",$B82&amp;"°"&amp;W$1&amp;"°"&amp;$B82&amp;W$1&amp;1&amp;$A82,$B82&amp;"°"&amp;W$1&amp;"°"&amp;$A82),[1]Hoja1!$A:$O,15,0),VLOOKUP(IF($J82="Formación Técnica Específica",$B82&amp;"°"&amp;W$1&amp;"°"&amp;$B82&amp;W$1&amp;1&amp;$A82,$B82&amp;"°"&amp;W$1&amp;"°"&amp;$A82),[1]Hoja1!$A:$O,15,0))</f>
        <v xml:space="preserve"> HERRERA STELLA MARIS</v>
      </c>
      <c r="X82" s="54" t="str">
        <f>IF($J82="Formación Técnica Específica",VLOOKUP(IF($J82="Formación Técnica Específica",$B82&amp;"°"&amp;W$1&amp;"°"&amp;$B82&amp;W$1&amp;1&amp;$A82,$B82&amp;"°"&amp;W$1&amp;"°"&amp;$A82),[1]Hoja1!$A:$O,15,0)," ")</f>
        <v xml:space="preserve"> HERRERA STELLA MARIS</v>
      </c>
    </row>
    <row r="83" spans="1:24" x14ac:dyDescent="0.25">
      <c r="A83" s="24" t="s">
        <v>168</v>
      </c>
      <c r="B83" s="25">
        <v>5</v>
      </c>
      <c r="C83" s="25" t="s">
        <v>10</v>
      </c>
      <c r="D83" s="25" t="s">
        <v>112</v>
      </c>
      <c r="E83" s="26" t="s">
        <v>66</v>
      </c>
      <c r="F83" s="27">
        <v>1</v>
      </c>
      <c r="G83" s="25" t="s">
        <v>74</v>
      </c>
      <c r="H83" s="25" t="s">
        <v>75</v>
      </c>
      <c r="I83" s="27">
        <v>2</v>
      </c>
      <c r="J83" s="28" t="s">
        <v>290</v>
      </c>
      <c r="K83" s="29" t="s">
        <v>76</v>
      </c>
      <c r="L83" t="str">
        <f t="shared" si="5"/>
        <v>5°1</v>
      </c>
      <c r="M83" s="29"/>
      <c r="N83" s="63" t="str">
        <f t="shared" si="6"/>
        <v>5°1</v>
      </c>
      <c r="O83" s="50" t="e">
        <f>IF($J83="Formación Técnica Específica",VLOOKUP(IF($J83="Formación Técnica Específica",$B83&amp;"°"&amp;O$1&amp;"°"&amp;$B83&amp;O$1&amp;1&amp;$A83,$B83&amp;"°"&amp;O$1&amp;"°"&amp;$A83),[1]Hoja1!$A:$O,15,0),VLOOKUP(IF($J83="Formación Técnica Específica",$B83&amp;"°"&amp;O$1&amp;"°"&amp;$B83&amp;O$1&amp;1&amp;$A83,$B83&amp;"°"&amp;O$1&amp;"°"&amp;$A83),[1]Hoja1!$A:$O,15,0))</f>
        <v>#N/A</v>
      </c>
      <c r="P83" s="51" t="str">
        <f>IF($J83="Formación Técnica Específica",VLOOKUP(IF($J83="Formación Técnica Específica",$B83&amp;"°"&amp;O$1&amp;"°"&amp;$B83&amp;O$1&amp;1&amp;$A83,$B83&amp;"°"&amp;O$1&amp;"°"&amp;$A83),[1]Hoja1!$A:$O,15,0)," ")</f>
        <v xml:space="preserve"> </v>
      </c>
      <c r="Q83" s="50" t="e">
        <f>IF($J83="Formación Técnica Específica",VLOOKUP(IF($J83="Formación Técnica Específica",$B83&amp;"°"&amp;Q$1&amp;"°"&amp;$B83&amp;Q$1&amp;1&amp;$A83,$B83&amp;"°"&amp;Q$1&amp;"°"&amp;$A83),[1]Hoja1!$A:$O,15,0),VLOOKUP(IF($J83="Formación Técnica Específica",$B83&amp;"°"&amp;Q$1&amp;"°"&amp;$B83&amp;Q$1&amp;1&amp;$A83,$B83&amp;"°"&amp;Q$1&amp;"°"&amp;$A83),[1]Hoja1!$A:$O,15,0))</f>
        <v>#N/A</v>
      </c>
      <c r="R83" s="51" t="str">
        <f>IF($J83="Formación Técnica Específica",VLOOKUP(IF($J83="Formación Técnica Específica",$B83&amp;"°"&amp;Q$1&amp;"°"&amp;$B83&amp;Q$1&amp;1&amp;$A83,$B83&amp;"°"&amp;Q$1&amp;"°"&amp;$A83),[1]Hoja1!$A:$O,15,0)," ")</f>
        <v xml:space="preserve"> </v>
      </c>
      <c r="S83" s="50" t="str">
        <f>IF($J83="Formación Técnica Específica",VLOOKUP(IF($J83="Formación Técnica Específica",$B83&amp;"°"&amp;S$1&amp;"°"&amp;$B83&amp;S$1&amp;1&amp;$A83,$B83&amp;"°"&amp;S$1&amp;"°"&amp;$A83),[1]Hoja1!$A:$O,15,0),VLOOKUP(IF($J83="Formación Técnica Específica",$B83&amp;"°"&amp;S$1&amp;"°"&amp;$B83&amp;S$1&amp;1&amp;$A83,$B83&amp;"°"&amp;S$1&amp;"°"&amp;$A83),[1]Hoja1!$A:$O,15,0))</f>
        <v>SORIA, HERNAN MAXIMILIANO</v>
      </c>
      <c r="T83" s="51" t="str">
        <f>IF($J83="Formación Técnica Específica",VLOOKUP(IF($J83="Formación Técnica Específica",$B83&amp;"°"&amp;S$1&amp;"°"&amp;$B83&amp;S$1&amp;1&amp;$A83,$B83&amp;"°"&amp;S$1&amp;"°"&amp;$A83),[1]Hoja1!$A:$O,15,0)," ")</f>
        <v xml:space="preserve"> </v>
      </c>
      <c r="U83" s="50" t="str">
        <f>IF($J83="Formación Técnica Específica",VLOOKUP(IF($J83="Formación Técnica Específica",$B83&amp;"°"&amp;U$1&amp;"°"&amp;$B83&amp;U$1&amp;1&amp;$A83,$B83&amp;"°"&amp;U$1&amp;"°"&amp;$A83),[1]Hoja1!$A:$O,15,0),VLOOKUP(IF($J83="Formación Técnica Específica",$B83&amp;"°"&amp;U$1&amp;"°"&amp;$B83&amp;U$1&amp;1&amp;$A83,$B83&amp;"°"&amp;U$1&amp;"°"&amp;$A83),[1]Hoja1!$A:$O,15,0))</f>
        <v>ALONSO, MARIA</v>
      </c>
      <c r="V83" s="51" t="str">
        <f>IF($J83="Formación Técnica Específica",VLOOKUP(IF($J83="Formación Técnica Específica",$B83&amp;"°"&amp;U$1&amp;"°"&amp;$B83&amp;U$1&amp;1&amp;$A83,$B83&amp;"°"&amp;U$1&amp;"°"&amp;$A83),[1]Hoja1!$A:$O,15,0)," ")</f>
        <v xml:space="preserve"> </v>
      </c>
      <c r="W83" s="50" t="e">
        <f>IF($J83="Formación Técnica Específica",VLOOKUP(IF($J83="Formación Técnica Específica",$B83&amp;"°"&amp;W$1&amp;"°"&amp;$B83&amp;W$1&amp;1&amp;$A83,$B83&amp;"°"&amp;W$1&amp;"°"&amp;$A83),[1]Hoja1!$A:$O,15,0),VLOOKUP(IF($J83="Formación Técnica Específica",$B83&amp;"°"&amp;W$1&amp;"°"&amp;$B83&amp;W$1&amp;1&amp;$A83,$B83&amp;"°"&amp;W$1&amp;"°"&amp;$A83),[1]Hoja1!$A:$O,15,0))</f>
        <v>#N/A</v>
      </c>
      <c r="X83" s="51" t="str">
        <f>IF($J83="Formación Técnica Específica",VLOOKUP(IF($J83="Formación Técnica Específica",$B83&amp;"°"&amp;W$1&amp;"°"&amp;$B83&amp;W$1&amp;1&amp;$A83,$B83&amp;"°"&amp;W$1&amp;"°"&amp;$A83),[1]Hoja1!$A:$O,15,0)," ")</f>
        <v xml:space="preserve"> </v>
      </c>
    </row>
    <row r="84" spans="1:24" x14ac:dyDescent="0.25">
      <c r="A84" s="30" t="s">
        <v>169</v>
      </c>
      <c r="B84" s="4">
        <v>5</v>
      </c>
      <c r="C84" s="4" t="s">
        <v>10</v>
      </c>
      <c r="D84" s="4" t="s">
        <v>112</v>
      </c>
      <c r="E84" s="7" t="s">
        <v>66</v>
      </c>
      <c r="F84" s="3">
        <v>2</v>
      </c>
      <c r="G84" s="4" t="s">
        <v>78</v>
      </c>
      <c r="H84" s="4" t="s">
        <v>23</v>
      </c>
      <c r="I84" s="3">
        <v>2</v>
      </c>
      <c r="J84" s="6" t="s">
        <v>290</v>
      </c>
      <c r="K84" s="31" t="s">
        <v>170</v>
      </c>
      <c r="L84" t="str">
        <f t="shared" si="5"/>
        <v>5°2</v>
      </c>
      <c r="M84" s="31"/>
      <c r="N84" s="63" t="str">
        <f t="shared" si="6"/>
        <v>5°2</v>
      </c>
      <c r="O84" s="44" t="e">
        <f>IF($J84="Formación Técnica Específica",VLOOKUP(IF($J84="Formación Técnica Específica",$B84&amp;"°"&amp;O$1&amp;"°"&amp;$B84&amp;O$1&amp;1&amp;$A84,$B84&amp;"°"&amp;O$1&amp;"°"&amp;$A84),[1]Hoja1!$A:$O,15,0),VLOOKUP(IF($J84="Formación Técnica Específica",$B84&amp;"°"&amp;O$1&amp;"°"&amp;$B84&amp;O$1&amp;1&amp;$A84,$B84&amp;"°"&amp;O$1&amp;"°"&amp;$A84),[1]Hoja1!$A:$O,15,0))</f>
        <v>#N/A</v>
      </c>
      <c r="P84" s="52" t="str">
        <f>IF($J84="Formación Técnica Específica",VLOOKUP(IF($J84="Formación Técnica Específica",$B84&amp;"°"&amp;O$1&amp;"°"&amp;$B84&amp;O$1&amp;1&amp;$A84,$B84&amp;"°"&amp;O$1&amp;"°"&amp;$A84),[1]Hoja1!$A:$O,15,0)," ")</f>
        <v xml:space="preserve"> </v>
      </c>
      <c r="Q84" s="44" t="e">
        <f>IF($J84="Formación Técnica Específica",VLOOKUP(IF($J84="Formación Técnica Específica",$B84&amp;"°"&amp;Q$1&amp;"°"&amp;$B84&amp;Q$1&amp;1&amp;$A84,$B84&amp;"°"&amp;Q$1&amp;"°"&amp;$A84),[1]Hoja1!$A:$O,15,0),VLOOKUP(IF($J84="Formación Técnica Específica",$B84&amp;"°"&amp;Q$1&amp;"°"&amp;$B84&amp;Q$1&amp;1&amp;$A84,$B84&amp;"°"&amp;Q$1&amp;"°"&amp;$A84),[1]Hoja1!$A:$O,15,0))</f>
        <v>#N/A</v>
      </c>
      <c r="R84" s="52" t="str">
        <f>IF($J84="Formación Técnica Específica",VLOOKUP(IF($J84="Formación Técnica Específica",$B84&amp;"°"&amp;Q$1&amp;"°"&amp;$B84&amp;Q$1&amp;1&amp;$A84,$B84&amp;"°"&amp;Q$1&amp;"°"&amp;$A84),[1]Hoja1!$A:$O,15,0)," ")</f>
        <v xml:space="preserve"> </v>
      </c>
      <c r="S84" s="44" t="str">
        <f>IF($J84="Formación Técnica Específica",VLOOKUP(IF($J84="Formación Técnica Específica",$B84&amp;"°"&amp;S$1&amp;"°"&amp;$B84&amp;S$1&amp;1&amp;$A84,$B84&amp;"°"&amp;S$1&amp;"°"&amp;$A84),[1]Hoja1!$A:$O,15,0),VLOOKUP(IF($J84="Formación Técnica Específica",$B84&amp;"°"&amp;S$1&amp;"°"&amp;$B84&amp;S$1&amp;1&amp;$A84,$B84&amp;"°"&amp;S$1&amp;"°"&amp;$A84),[1]Hoja1!$A:$O,15,0))</f>
        <v xml:space="preserve">BAIMA KUNTZ MARCELA PAOLA  </v>
      </c>
      <c r="T84" s="52" t="str">
        <f>IF($J84="Formación Técnica Específica",VLOOKUP(IF($J84="Formación Técnica Específica",$B84&amp;"°"&amp;S$1&amp;"°"&amp;$B84&amp;S$1&amp;1&amp;$A84,$B84&amp;"°"&amp;S$1&amp;"°"&amp;$A84),[1]Hoja1!$A:$O,15,0)," ")</f>
        <v xml:space="preserve"> </v>
      </c>
      <c r="U84" s="44" t="str">
        <f>IF($J84="Formación Técnica Específica",VLOOKUP(IF($J84="Formación Técnica Específica",$B84&amp;"°"&amp;U$1&amp;"°"&amp;$B84&amp;U$1&amp;1&amp;$A84,$B84&amp;"°"&amp;U$1&amp;"°"&amp;$A84),[1]Hoja1!$A:$O,15,0),VLOOKUP(IF($J84="Formación Técnica Específica",$B84&amp;"°"&amp;U$1&amp;"°"&amp;$B84&amp;U$1&amp;1&amp;$A84,$B84&amp;"°"&amp;U$1&amp;"°"&amp;$A84),[1]Hoja1!$A:$O,15,0))</f>
        <v xml:space="preserve">ARCE KARINA </v>
      </c>
      <c r="V84" s="52" t="str">
        <f>IF($J84="Formación Técnica Específica",VLOOKUP(IF($J84="Formación Técnica Específica",$B84&amp;"°"&amp;U$1&amp;"°"&amp;$B84&amp;U$1&amp;1&amp;$A84,$B84&amp;"°"&amp;U$1&amp;"°"&amp;$A84),[1]Hoja1!$A:$O,15,0)," ")</f>
        <v xml:space="preserve"> </v>
      </c>
      <c r="W84" s="44" t="e">
        <f>IF($J84="Formación Técnica Específica",VLOOKUP(IF($J84="Formación Técnica Específica",$B84&amp;"°"&amp;W$1&amp;"°"&amp;$B84&amp;W$1&amp;1&amp;$A84,$B84&amp;"°"&amp;W$1&amp;"°"&amp;$A84),[1]Hoja1!$A:$O,15,0),VLOOKUP(IF($J84="Formación Técnica Específica",$B84&amp;"°"&amp;W$1&amp;"°"&amp;$B84&amp;W$1&amp;1&amp;$A84,$B84&amp;"°"&amp;W$1&amp;"°"&amp;$A84),[1]Hoja1!$A:$O,15,0))</f>
        <v>#N/A</v>
      </c>
      <c r="X84" s="52" t="str">
        <f>IF($J84="Formación Técnica Específica",VLOOKUP(IF($J84="Formación Técnica Específica",$B84&amp;"°"&amp;W$1&amp;"°"&amp;$B84&amp;W$1&amp;1&amp;$A84,$B84&amp;"°"&amp;W$1&amp;"°"&amp;$A84),[1]Hoja1!$A:$O,15,0)," ")</f>
        <v xml:space="preserve"> </v>
      </c>
    </row>
    <row r="85" spans="1:24" x14ac:dyDescent="0.25">
      <c r="A85" s="30" t="s">
        <v>171</v>
      </c>
      <c r="B85" s="4">
        <v>5</v>
      </c>
      <c r="C85" s="4" t="s">
        <v>10</v>
      </c>
      <c r="D85" s="4" t="s">
        <v>112</v>
      </c>
      <c r="E85" s="7" t="s">
        <v>66</v>
      </c>
      <c r="F85" s="3">
        <v>3</v>
      </c>
      <c r="G85" s="4" t="s">
        <v>80</v>
      </c>
      <c r="H85" s="4" t="s">
        <v>21</v>
      </c>
      <c r="I85" s="3">
        <v>2</v>
      </c>
      <c r="J85" s="6" t="s">
        <v>290</v>
      </c>
      <c r="K85" s="31" t="s">
        <v>172</v>
      </c>
      <c r="L85" t="str">
        <f t="shared" si="5"/>
        <v>5°3</v>
      </c>
      <c r="M85" s="31"/>
      <c r="N85" s="63" t="str">
        <f t="shared" si="6"/>
        <v>5°3</v>
      </c>
      <c r="O85" s="44" t="e">
        <f>IF($J85="Formación Técnica Específica",VLOOKUP(IF($J85="Formación Técnica Específica",$B85&amp;"°"&amp;O$1&amp;"°"&amp;$B85&amp;O$1&amp;1&amp;$A85,$B85&amp;"°"&amp;O$1&amp;"°"&amp;$A85),[1]Hoja1!$A:$O,15,0),VLOOKUP(IF($J85="Formación Técnica Específica",$B85&amp;"°"&amp;O$1&amp;"°"&amp;$B85&amp;O$1&amp;1&amp;$A85,$B85&amp;"°"&amp;O$1&amp;"°"&amp;$A85),[1]Hoja1!$A:$O,15,0))</f>
        <v>#N/A</v>
      </c>
      <c r="P85" s="52" t="str">
        <f>IF($J85="Formación Técnica Específica",VLOOKUP(IF($J85="Formación Técnica Específica",$B85&amp;"°"&amp;O$1&amp;"°"&amp;$B85&amp;O$1&amp;1&amp;$A85,$B85&amp;"°"&amp;O$1&amp;"°"&amp;$A85),[1]Hoja1!$A:$O,15,0)," ")</f>
        <v xml:space="preserve"> </v>
      </c>
      <c r="Q85" s="44" t="e">
        <f>IF($J85="Formación Técnica Específica",VLOOKUP(IF($J85="Formación Técnica Específica",$B85&amp;"°"&amp;Q$1&amp;"°"&amp;$B85&amp;Q$1&amp;1&amp;$A85,$B85&amp;"°"&amp;Q$1&amp;"°"&amp;$A85),[1]Hoja1!$A:$O,15,0),VLOOKUP(IF($J85="Formación Técnica Específica",$B85&amp;"°"&amp;Q$1&amp;"°"&amp;$B85&amp;Q$1&amp;1&amp;$A85,$B85&amp;"°"&amp;Q$1&amp;"°"&amp;$A85),[1]Hoja1!$A:$O,15,0))</f>
        <v>#N/A</v>
      </c>
      <c r="R85" s="52" t="str">
        <f>IF($J85="Formación Técnica Específica",VLOOKUP(IF($J85="Formación Técnica Específica",$B85&amp;"°"&amp;Q$1&amp;"°"&amp;$B85&amp;Q$1&amp;1&amp;$A85,$B85&amp;"°"&amp;Q$1&amp;"°"&amp;$A85),[1]Hoja1!$A:$O,15,0)," ")</f>
        <v xml:space="preserve"> </v>
      </c>
      <c r="S85" s="44" t="str">
        <f>IF($J85="Formación Técnica Específica",VLOOKUP(IF($J85="Formación Técnica Específica",$B85&amp;"°"&amp;S$1&amp;"°"&amp;$B85&amp;S$1&amp;1&amp;$A85,$B85&amp;"°"&amp;S$1&amp;"°"&amp;$A85),[1]Hoja1!$A:$O,15,0),VLOOKUP(IF($J85="Formación Técnica Específica",$B85&amp;"°"&amp;S$1&amp;"°"&amp;$B85&amp;S$1&amp;1&amp;$A85,$B85&amp;"°"&amp;S$1&amp;"°"&amp;$A85),[1]Hoja1!$A:$O,15,0))</f>
        <v>SANCHEZ CARLOS</v>
      </c>
      <c r="T85" s="52" t="str">
        <f>IF($J85="Formación Técnica Específica",VLOOKUP(IF($J85="Formación Técnica Específica",$B85&amp;"°"&amp;S$1&amp;"°"&amp;$B85&amp;S$1&amp;1&amp;$A85,$B85&amp;"°"&amp;S$1&amp;"°"&amp;$A85),[1]Hoja1!$A:$O,15,0)," ")</f>
        <v xml:space="preserve"> </v>
      </c>
      <c r="U85" s="44" t="str">
        <f>IF($J85="Formación Técnica Específica",VLOOKUP(IF($J85="Formación Técnica Específica",$B85&amp;"°"&amp;U$1&amp;"°"&amp;$B85&amp;U$1&amp;1&amp;$A85,$B85&amp;"°"&amp;U$1&amp;"°"&amp;$A85),[1]Hoja1!$A:$O,15,0),VLOOKUP(IF($J85="Formación Técnica Específica",$B85&amp;"°"&amp;U$1&amp;"°"&amp;$B85&amp;U$1&amp;1&amp;$A85,$B85&amp;"°"&amp;U$1&amp;"°"&amp;$A85),[1]Hoja1!$A:$O,15,0))</f>
        <v>FERNANDEZ MARCELO</v>
      </c>
      <c r="V85" s="52" t="str">
        <f>IF($J85="Formación Técnica Específica",VLOOKUP(IF($J85="Formación Técnica Específica",$B85&amp;"°"&amp;U$1&amp;"°"&amp;$B85&amp;U$1&amp;1&amp;$A85,$B85&amp;"°"&amp;U$1&amp;"°"&amp;$A85),[1]Hoja1!$A:$O,15,0)," ")</f>
        <v xml:space="preserve"> </v>
      </c>
      <c r="W85" s="44" t="e">
        <f>IF($J85="Formación Técnica Específica",VLOOKUP(IF($J85="Formación Técnica Específica",$B85&amp;"°"&amp;W$1&amp;"°"&amp;$B85&amp;W$1&amp;1&amp;$A85,$B85&amp;"°"&amp;W$1&amp;"°"&amp;$A85),[1]Hoja1!$A:$O,15,0),VLOOKUP(IF($J85="Formación Técnica Específica",$B85&amp;"°"&amp;W$1&amp;"°"&amp;$B85&amp;W$1&amp;1&amp;$A85,$B85&amp;"°"&amp;W$1&amp;"°"&amp;$A85),[1]Hoja1!$A:$O,15,0))</f>
        <v>#N/A</v>
      </c>
      <c r="X85" s="52" t="str">
        <f>IF($J85="Formación Técnica Específica",VLOOKUP(IF($J85="Formación Técnica Específica",$B85&amp;"°"&amp;W$1&amp;"°"&amp;$B85&amp;W$1&amp;1&amp;$A85,$B85&amp;"°"&amp;W$1&amp;"°"&amp;$A85),[1]Hoja1!$A:$O,15,0)," ")</f>
        <v xml:space="preserve"> </v>
      </c>
    </row>
    <row r="86" spans="1:24" x14ac:dyDescent="0.25">
      <c r="A86" s="30" t="s">
        <v>173</v>
      </c>
      <c r="B86" s="4">
        <v>5</v>
      </c>
      <c r="C86" s="4" t="s">
        <v>10</v>
      </c>
      <c r="D86" s="4" t="s">
        <v>112</v>
      </c>
      <c r="E86" s="7" t="s">
        <v>66</v>
      </c>
      <c r="F86" s="3">
        <v>4</v>
      </c>
      <c r="G86" s="4" t="s">
        <v>138</v>
      </c>
      <c r="H86" s="4" t="s">
        <v>139</v>
      </c>
      <c r="I86" s="3">
        <v>2</v>
      </c>
      <c r="J86" s="6" t="s">
        <v>290</v>
      </c>
      <c r="K86" s="31" t="s">
        <v>140</v>
      </c>
      <c r="L86" t="str">
        <f t="shared" si="5"/>
        <v>5°4</v>
      </c>
      <c r="M86" s="31"/>
      <c r="N86" s="63" t="str">
        <f t="shared" si="6"/>
        <v>5°4</v>
      </c>
      <c r="O86" s="44" t="e">
        <f>IF($J86="Formación Técnica Específica",VLOOKUP(IF($J86="Formación Técnica Específica",$B86&amp;"°"&amp;O$1&amp;"°"&amp;$B86&amp;O$1&amp;1&amp;$A86,$B86&amp;"°"&amp;O$1&amp;"°"&amp;$A86),[1]Hoja1!$A:$O,15,0),VLOOKUP(IF($J86="Formación Técnica Específica",$B86&amp;"°"&amp;O$1&amp;"°"&amp;$B86&amp;O$1&amp;1&amp;$A86,$B86&amp;"°"&amp;O$1&amp;"°"&amp;$A86),[1]Hoja1!$A:$O,15,0))</f>
        <v>#N/A</v>
      </c>
      <c r="P86" s="52" t="str">
        <f>IF($J86="Formación Técnica Específica",VLOOKUP(IF($J86="Formación Técnica Específica",$B86&amp;"°"&amp;O$1&amp;"°"&amp;$B86&amp;O$1&amp;1&amp;$A86,$B86&amp;"°"&amp;O$1&amp;"°"&amp;$A86),[1]Hoja1!$A:$O,15,0)," ")</f>
        <v xml:space="preserve"> </v>
      </c>
      <c r="Q86" s="44" t="e">
        <f>IF($J86="Formación Técnica Específica",VLOOKUP(IF($J86="Formación Técnica Específica",$B86&amp;"°"&amp;Q$1&amp;"°"&amp;$B86&amp;Q$1&amp;1&amp;$A86,$B86&amp;"°"&amp;Q$1&amp;"°"&amp;$A86),[1]Hoja1!$A:$O,15,0),VLOOKUP(IF($J86="Formación Técnica Específica",$B86&amp;"°"&amp;Q$1&amp;"°"&amp;$B86&amp;Q$1&amp;1&amp;$A86,$B86&amp;"°"&amp;Q$1&amp;"°"&amp;$A86),[1]Hoja1!$A:$O,15,0))</f>
        <v>#N/A</v>
      </c>
      <c r="R86" s="52" t="str">
        <f>IF($J86="Formación Técnica Específica",VLOOKUP(IF($J86="Formación Técnica Específica",$B86&amp;"°"&amp;Q$1&amp;"°"&amp;$B86&amp;Q$1&amp;1&amp;$A86,$B86&amp;"°"&amp;Q$1&amp;"°"&amp;$A86),[1]Hoja1!$A:$O,15,0)," ")</f>
        <v xml:space="preserve"> </v>
      </c>
      <c r="S86" s="44" t="str">
        <f>IF($J86="Formación Técnica Específica",VLOOKUP(IF($J86="Formación Técnica Específica",$B86&amp;"°"&amp;S$1&amp;"°"&amp;$B86&amp;S$1&amp;1&amp;$A86,$B86&amp;"°"&amp;S$1&amp;"°"&amp;$A86),[1]Hoja1!$A:$O,15,0),VLOOKUP(IF($J86="Formación Técnica Específica",$B86&amp;"°"&amp;S$1&amp;"°"&amp;$B86&amp;S$1&amp;1&amp;$A86,$B86&amp;"°"&amp;S$1&amp;"°"&amp;$A86),[1]Hoja1!$A:$O,15,0))</f>
        <v>ARBORIO</v>
      </c>
      <c r="T86" s="52" t="str">
        <f>IF($J86="Formación Técnica Específica",VLOOKUP(IF($J86="Formación Técnica Específica",$B86&amp;"°"&amp;S$1&amp;"°"&amp;$B86&amp;S$1&amp;1&amp;$A86,$B86&amp;"°"&amp;S$1&amp;"°"&amp;$A86),[1]Hoja1!$A:$O,15,0)," ")</f>
        <v xml:space="preserve"> </v>
      </c>
      <c r="U86" s="44" t="str">
        <f>IF($J86="Formación Técnica Específica",VLOOKUP(IF($J86="Formación Técnica Específica",$B86&amp;"°"&amp;U$1&amp;"°"&amp;$B86&amp;U$1&amp;1&amp;$A86,$B86&amp;"°"&amp;U$1&amp;"°"&amp;$A86),[1]Hoja1!$A:$O,15,0),VLOOKUP(IF($J86="Formación Técnica Específica",$B86&amp;"°"&amp;U$1&amp;"°"&amp;$B86&amp;U$1&amp;1&amp;$A86,$B86&amp;"°"&amp;U$1&amp;"°"&amp;$A86),[1]Hoja1!$A:$O,15,0))</f>
        <v xml:space="preserve">GAUTO, ALICIA </v>
      </c>
      <c r="V86" s="52" t="str">
        <f>IF($J86="Formación Técnica Específica",VLOOKUP(IF($J86="Formación Técnica Específica",$B86&amp;"°"&amp;U$1&amp;"°"&amp;$B86&amp;U$1&amp;1&amp;$A86,$B86&amp;"°"&amp;U$1&amp;"°"&amp;$A86),[1]Hoja1!$A:$O,15,0)," ")</f>
        <v xml:space="preserve"> </v>
      </c>
      <c r="W86" s="44" t="e">
        <f>IF($J86="Formación Técnica Específica",VLOOKUP(IF($J86="Formación Técnica Específica",$B86&amp;"°"&amp;W$1&amp;"°"&amp;$B86&amp;W$1&amp;1&amp;$A86,$B86&amp;"°"&amp;W$1&amp;"°"&amp;$A86),[1]Hoja1!$A:$O,15,0),VLOOKUP(IF($J86="Formación Técnica Específica",$B86&amp;"°"&amp;W$1&amp;"°"&amp;$B86&amp;W$1&amp;1&amp;$A86,$B86&amp;"°"&amp;W$1&amp;"°"&amp;$A86),[1]Hoja1!$A:$O,15,0))</f>
        <v>#N/A</v>
      </c>
      <c r="X86" s="52" t="str">
        <f>IF($J86="Formación Técnica Específica",VLOOKUP(IF($J86="Formación Técnica Específica",$B86&amp;"°"&amp;W$1&amp;"°"&amp;$B86&amp;W$1&amp;1&amp;$A86,$B86&amp;"°"&amp;W$1&amp;"°"&amp;$A86),[1]Hoja1!$A:$O,15,0)," ")</f>
        <v xml:space="preserve"> </v>
      </c>
    </row>
    <row r="87" spans="1:24" x14ac:dyDescent="0.25">
      <c r="A87" s="30" t="s">
        <v>174</v>
      </c>
      <c r="B87" s="4">
        <v>5</v>
      </c>
      <c r="C87" s="4" t="s">
        <v>10</v>
      </c>
      <c r="D87" s="4" t="s">
        <v>112</v>
      </c>
      <c r="E87" s="7" t="s">
        <v>66</v>
      </c>
      <c r="F87" s="3">
        <v>5</v>
      </c>
      <c r="G87" s="4" t="s">
        <v>142</v>
      </c>
      <c r="H87" s="4" t="s">
        <v>50</v>
      </c>
      <c r="I87" s="3">
        <v>2</v>
      </c>
      <c r="J87" s="6" t="s">
        <v>290</v>
      </c>
      <c r="K87" s="31" t="s">
        <v>51</v>
      </c>
      <c r="L87" t="str">
        <f t="shared" si="5"/>
        <v>5°5</v>
      </c>
      <c r="M87" s="31"/>
      <c r="N87" s="63" t="str">
        <f t="shared" si="6"/>
        <v>5°5</v>
      </c>
      <c r="O87" s="44" t="e">
        <f>IF($J87="Formación Técnica Específica",VLOOKUP(IF($J87="Formación Técnica Específica",$B87&amp;"°"&amp;O$1&amp;"°"&amp;$B87&amp;O$1&amp;1&amp;$A87,$B87&amp;"°"&amp;O$1&amp;"°"&amp;$A87),[1]Hoja1!$A:$O,15,0),VLOOKUP(IF($J87="Formación Técnica Específica",$B87&amp;"°"&amp;O$1&amp;"°"&amp;$B87&amp;O$1&amp;1&amp;$A87,$B87&amp;"°"&amp;O$1&amp;"°"&amp;$A87),[1]Hoja1!$A:$O,15,0))</f>
        <v>#N/A</v>
      </c>
      <c r="P87" s="52" t="str">
        <f>IF($J87="Formación Técnica Específica",VLOOKUP(IF($J87="Formación Técnica Específica",$B87&amp;"°"&amp;O$1&amp;"°"&amp;$B87&amp;O$1&amp;1&amp;$A87,$B87&amp;"°"&amp;O$1&amp;"°"&amp;$A87),[1]Hoja1!$A:$O,15,0)," ")</f>
        <v xml:space="preserve"> </v>
      </c>
      <c r="Q87" s="44" t="e">
        <f>IF($J87="Formación Técnica Específica",VLOOKUP(IF($J87="Formación Técnica Específica",$B87&amp;"°"&amp;Q$1&amp;"°"&amp;$B87&amp;Q$1&amp;1&amp;$A87,$B87&amp;"°"&amp;Q$1&amp;"°"&amp;$A87),[1]Hoja1!$A:$O,15,0),VLOOKUP(IF($J87="Formación Técnica Específica",$B87&amp;"°"&amp;Q$1&amp;"°"&amp;$B87&amp;Q$1&amp;1&amp;$A87,$B87&amp;"°"&amp;Q$1&amp;"°"&amp;$A87),[1]Hoja1!$A:$O,15,0))</f>
        <v>#N/A</v>
      </c>
      <c r="R87" s="52" t="str">
        <f>IF($J87="Formación Técnica Específica",VLOOKUP(IF($J87="Formación Técnica Específica",$B87&amp;"°"&amp;Q$1&amp;"°"&amp;$B87&amp;Q$1&amp;1&amp;$A87,$B87&amp;"°"&amp;Q$1&amp;"°"&amp;$A87),[1]Hoja1!$A:$O,15,0)," ")</f>
        <v xml:space="preserve"> </v>
      </c>
      <c r="S87" s="44" t="str">
        <f>IF($J87="Formación Técnica Específica",VLOOKUP(IF($J87="Formación Técnica Específica",$B87&amp;"°"&amp;S$1&amp;"°"&amp;$B87&amp;S$1&amp;1&amp;$A87,$B87&amp;"°"&amp;S$1&amp;"°"&amp;$A87),[1]Hoja1!$A:$O,15,0),VLOOKUP(IF($J87="Formación Técnica Específica",$B87&amp;"°"&amp;S$1&amp;"°"&amp;$B87&amp;S$1&amp;1&amp;$A87,$B87&amp;"°"&amp;S$1&amp;"°"&amp;$A87),[1]Hoja1!$A:$O,15,0))</f>
        <v>JUAREZ NORMA</v>
      </c>
      <c r="T87" s="52" t="str">
        <f>IF($J87="Formación Técnica Específica",VLOOKUP(IF($J87="Formación Técnica Específica",$B87&amp;"°"&amp;S$1&amp;"°"&amp;$B87&amp;S$1&amp;1&amp;$A87,$B87&amp;"°"&amp;S$1&amp;"°"&amp;$A87),[1]Hoja1!$A:$O,15,0)," ")</f>
        <v xml:space="preserve"> </v>
      </c>
      <c r="U87" s="44" t="str">
        <f>IF($J87="Formación Técnica Específica",VLOOKUP(IF($J87="Formación Técnica Específica",$B87&amp;"°"&amp;U$1&amp;"°"&amp;$B87&amp;U$1&amp;1&amp;$A87,$B87&amp;"°"&amp;U$1&amp;"°"&amp;$A87),[1]Hoja1!$A:$O,15,0),VLOOKUP(IF($J87="Formación Técnica Específica",$B87&amp;"°"&amp;U$1&amp;"°"&amp;$B87&amp;U$1&amp;1&amp;$A87,$B87&amp;"°"&amp;U$1&amp;"°"&amp;$A87),[1]Hoja1!$A:$O,15,0))</f>
        <v xml:space="preserve">TORRES LUIS                    </v>
      </c>
      <c r="V87" s="52" t="str">
        <f>IF($J87="Formación Técnica Específica",VLOOKUP(IF($J87="Formación Técnica Específica",$B87&amp;"°"&amp;U$1&amp;"°"&amp;$B87&amp;U$1&amp;1&amp;$A87,$B87&amp;"°"&amp;U$1&amp;"°"&amp;$A87),[1]Hoja1!$A:$O,15,0)," ")</f>
        <v xml:space="preserve"> </v>
      </c>
      <c r="W87" s="44" t="e">
        <f>IF($J87="Formación Técnica Específica",VLOOKUP(IF($J87="Formación Técnica Específica",$B87&amp;"°"&amp;W$1&amp;"°"&amp;$B87&amp;W$1&amp;1&amp;$A87,$B87&amp;"°"&amp;W$1&amp;"°"&amp;$A87),[1]Hoja1!$A:$O,15,0),VLOOKUP(IF($J87="Formación Técnica Específica",$B87&amp;"°"&amp;W$1&amp;"°"&amp;$B87&amp;W$1&amp;1&amp;$A87,$B87&amp;"°"&amp;W$1&amp;"°"&amp;$A87),[1]Hoja1!$A:$O,15,0))</f>
        <v>#N/A</v>
      </c>
      <c r="X87" s="52" t="str">
        <f>IF($J87="Formación Técnica Específica",VLOOKUP(IF($J87="Formación Técnica Específica",$B87&amp;"°"&amp;W$1&amp;"°"&amp;$B87&amp;W$1&amp;1&amp;$A87,$B87&amp;"°"&amp;W$1&amp;"°"&amp;$A87),[1]Hoja1!$A:$O,15,0)," ")</f>
        <v xml:space="preserve"> </v>
      </c>
    </row>
    <row r="88" spans="1:24" x14ac:dyDescent="0.25">
      <c r="A88" s="30" t="s">
        <v>175</v>
      </c>
      <c r="B88" s="4">
        <v>5</v>
      </c>
      <c r="C88" s="4" t="s">
        <v>10</v>
      </c>
      <c r="D88" s="4" t="s">
        <v>112</v>
      </c>
      <c r="E88" s="7" t="s">
        <v>66</v>
      </c>
      <c r="F88" s="3">
        <v>6</v>
      </c>
      <c r="G88" s="4" t="s">
        <v>144</v>
      </c>
      <c r="H88" s="4" t="s">
        <v>47</v>
      </c>
      <c r="I88" s="3">
        <v>2</v>
      </c>
      <c r="J88" s="6" t="s">
        <v>290</v>
      </c>
      <c r="K88" s="31" t="s">
        <v>48</v>
      </c>
      <c r="L88" t="str">
        <f t="shared" si="5"/>
        <v>5°6</v>
      </c>
      <c r="M88" s="31"/>
      <c r="N88" s="63" t="str">
        <f t="shared" si="6"/>
        <v>5°6</v>
      </c>
      <c r="O88" s="44" t="e">
        <f>IF($J88="Formación Técnica Específica",VLOOKUP(IF($J88="Formación Técnica Específica",$B88&amp;"°"&amp;O$1&amp;"°"&amp;$B88&amp;O$1&amp;1&amp;$A88,$B88&amp;"°"&amp;O$1&amp;"°"&amp;$A88),[1]Hoja1!$A:$O,15,0),VLOOKUP(IF($J88="Formación Técnica Específica",$B88&amp;"°"&amp;O$1&amp;"°"&amp;$B88&amp;O$1&amp;1&amp;$A88,$B88&amp;"°"&amp;O$1&amp;"°"&amp;$A88),[1]Hoja1!$A:$O,15,0))</f>
        <v>#N/A</v>
      </c>
      <c r="P88" s="52" t="str">
        <f>IF($J88="Formación Técnica Específica",VLOOKUP(IF($J88="Formación Técnica Específica",$B88&amp;"°"&amp;O$1&amp;"°"&amp;$B88&amp;O$1&amp;1&amp;$A88,$B88&amp;"°"&amp;O$1&amp;"°"&amp;$A88),[1]Hoja1!$A:$O,15,0)," ")</f>
        <v xml:space="preserve"> </v>
      </c>
      <c r="Q88" s="44" t="e">
        <f>IF($J88="Formación Técnica Específica",VLOOKUP(IF($J88="Formación Técnica Específica",$B88&amp;"°"&amp;Q$1&amp;"°"&amp;$B88&amp;Q$1&amp;1&amp;$A88,$B88&amp;"°"&amp;Q$1&amp;"°"&amp;$A88),[1]Hoja1!$A:$O,15,0),VLOOKUP(IF($J88="Formación Técnica Específica",$B88&amp;"°"&amp;Q$1&amp;"°"&amp;$B88&amp;Q$1&amp;1&amp;$A88,$B88&amp;"°"&amp;Q$1&amp;"°"&amp;$A88),[1]Hoja1!$A:$O,15,0))</f>
        <v>#N/A</v>
      </c>
      <c r="R88" s="52" t="str">
        <f>IF($J88="Formación Técnica Específica",VLOOKUP(IF($J88="Formación Técnica Específica",$B88&amp;"°"&amp;Q$1&amp;"°"&amp;$B88&amp;Q$1&amp;1&amp;$A88,$B88&amp;"°"&amp;Q$1&amp;"°"&amp;$A88),[1]Hoja1!$A:$O,15,0)," ")</f>
        <v xml:space="preserve"> </v>
      </c>
      <c r="S88" s="44" t="str">
        <f>IF($J88="Formación Técnica Específica",VLOOKUP(IF($J88="Formación Técnica Específica",$B88&amp;"°"&amp;S$1&amp;"°"&amp;$B88&amp;S$1&amp;1&amp;$A88,$B88&amp;"°"&amp;S$1&amp;"°"&amp;$A88),[1]Hoja1!$A:$O,15,0),VLOOKUP(IF($J88="Formación Técnica Específica",$B88&amp;"°"&amp;S$1&amp;"°"&amp;$B88&amp;S$1&amp;1&amp;$A88,$B88&amp;"°"&amp;S$1&amp;"°"&amp;$A88),[1]Hoja1!$A:$O,15,0))</f>
        <v>SOLIS, MARIA</v>
      </c>
      <c r="T88" s="52" t="str">
        <f>IF($J88="Formación Técnica Específica",VLOOKUP(IF($J88="Formación Técnica Específica",$B88&amp;"°"&amp;S$1&amp;"°"&amp;$B88&amp;S$1&amp;1&amp;$A88,$B88&amp;"°"&amp;S$1&amp;"°"&amp;$A88),[1]Hoja1!$A:$O,15,0)," ")</f>
        <v xml:space="preserve"> </v>
      </c>
      <c r="U88" s="44" t="str">
        <f>IF($J88="Formación Técnica Específica",VLOOKUP(IF($J88="Formación Técnica Específica",$B88&amp;"°"&amp;U$1&amp;"°"&amp;$B88&amp;U$1&amp;1&amp;$A88,$B88&amp;"°"&amp;U$1&amp;"°"&amp;$A88),[1]Hoja1!$A:$O,15,0),VLOOKUP(IF($J88="Formación Técnica Específica",$B88&amp;"°"&amp;U$1&amp;"°"&amp;$B88&amp;U$1&amp;1&amp;$A88,$B88&amp;"°"&amp;U$1&amp;"°"&amp;$A88),[1]Hoja1!$A:$O,15,0))</f>
        <v xml:space="preserve">SPERONI, ADRIAN </v>
      </c>
      <c r="V88" s="52" t="str">
        <f>IF($J88="Formación Técnica Específica",VLOOKUP(IF($J88="Formación Técnica Específica",$B88&amp;"°"&amp;U$1&amp;"°"&amp;$B88&amp;U$1&amp;1&amp;$A88,$B88&amp;"°"&amp;U$1&amp;"°"&amp;$A88),[1]Hoja1!$A:$O,15,0)," ")</f>
        <v xml:space="preserve"> </v>
      </c>
      <c r="W88" s="44" t="e">
        <f>IF($J88="Formación Técnica Específica",VLOOKUP(IF($J88="Formación Técnica Específica",$B88&amp;"°"&amp;W$1&amp;"°"&amp;$B88&amp;W$1&amp;1&amp;$A88,$B88&amp;"°"&amp;W$1&amp;"°"&amp;$A88),[1]Hoja1!$A:$O,15,0),VLOOKUP(IF($J88="Formación Técnica Específica",$B88&amp;"°"&amp;W$1&amp;"°"&amp;$B88&amp;W$1&amp;1&amp;$A88,$B88&amp;"°"&amp;W$1&amp;"°"&amp;$A88),[1]Hoja1!$A:$O,15,0))</f>
        <v>#N/A</v>
      </c>
      <c r="X88" s="52" t="str">
        <f>IF($J88="Formación Técnica Específica",VLOOKUP(IF($J88="Formación Técnica Específica",$B88&amp;"°"&amp;W$1&amp;"°"&amp;$B88&amp;W$1&amp;1&amp;$A88,$B88&amp;"°"&amp;W$1&amp;"°"&amp;$A88),[1]Hoja1!$A:$O,15,0)," ")</f>
        <v xml:space="preserve"> </v>
      </c>
    </row>
    <row r="89" spans="1:24" x14ac:dyDescent="0.25">
      <c r="A89" s="30" t="s">
        <v>176</v>
      </c>
      <c r="B89" s="4">
        <v>5</v>
      </c>
      <c r="C89" s="4" t="s">
        <v>10</v>
      </c>
      <c r="D89" s="4" t="s">
        <v>112</v>
      </c>
      <c r="E89" s="7" t="s">
        <v>66</v>
      </c>
      <c r="F89" s="3">
        <v>7</v>
      </c>
      <c r="G89" s="4" t="s">
        <v>146</v>
      </c>
      <c r="H89" s="4" t="s">
        <v>177</v>
      </c>
      <c r="I89" s="3">
        <v>4</v>
      </c>
      <c r="J89" s="6" t="s">
        <v>290</v>
      </c>
      <c r="K89" s="31" t="s">
        <v>147</v>
      </c>
      <c r="L89" t="str">
        <f t="shared" si="5"/>
        <v>5°7</v>
      </c>
      <c r="M89" s="31" t="s">
        <v>282</v>
      </c>
      <c r="N89" s="63" t="str">
        <f t="shared" si="6"/>
        <v>5°7</v>
      </c>
      <c r="O89" s="44" t="e">
        <f>IF($J89="Formación Técnica Específica",VLOOKUP(IF($J89="Formación Técnica Específica",$B89&amp;"°"&amp;O$1&amp;"°"&amp;$B89&amp;O$1&amp;1&amp;$A89,$B89&amp;"°"&amp;O$1&amp;"°"&amp;$A89),[1]Hoja1!$A:$O,15,0),VLOOKUP(IF($J89="Formación Técnica Específica",$B89&amp;"°"&amp;O$1&amp;"°"&amp;$B89&amp;O$1&amp;1&amp;$A89,$B89&amp;"°"&amp;O$1&amp;"°"&amp;$A89),[1]Hoja1!$A:$O,15,0))</f>
        <v>#N/A</v>
      </c>
      <c r="P89" s="52" t="str">
        <f>IF($J89="Formación Técnica Específica",VLOOKUP(IF($J89="Formación Técnica Específica",$B89&amp;"°"&amp;O$1&amp;"°"&amp;$B89&amp;O$1&amp;1&amp;$A89,$B89&amp;"°"&amp;O$1&amp;"°"&amp;$A89),[1]Hoja1!$A:$O,15,0)," ")</f>
        <v xml:space="preserve"> </v>
      </c>
      <c r="Q89" s="44" t="e">
        <f>IF($J89="Formación Técnica Específica",VLOOKUP(IF($J89="Formación Técnica Específica",$B89&amp;"°"&amp;Q$1&amp;"°"&amp;$B89&amp;Q$1&amp;1&amp;$A89,$B89&amp;"°"&amp;Q$1&amp;"°"&amp;$A89),[1]Hoja1!$A:$O,15,0),VLOOKUP(IF($J89="Formación Técnica Específica",$B89&amp;"°"&amp;Q$1&amp;"°"&amp;$B89&amp;Q$1&amp;1&amp;$A89,$B89&amp;"°"&amp;Q$1&amp;"°"&amp;$A89),[1]Hoja1!$A:$O,15,0))</f>
        <v>#N/A</v>
      </c>
      <c r="R89" s="52" t="str">
        <f>IF($J89="Formación Técnica Específica",VLOOKUP(IF($J89="Formación Técnica Específica",$B89&amp;"°"&amp;Q$1&amp;"°"&amp;$B89&amp;Q$1&amp;1&amp;$A89,$B89&amp;"°"&amp;Q$1&amp;"°"&amp;$A89),[1]Hoja1!$A:$O,15,0)," ")</f>
        <v xml:space="preserve"> </v>
      </c>
      <c r="S89" s="44" t="str">
        <f>IF($J89="Formación Técnica Específica",VLOOKUP(IF($J89="Formación Técnica Específica",$B89&amp;"°"&amp;S$1&amp;"°"&amp;$B89&amp;S$1&amp;1&amp;$A89,$B89&amp;"°"&amp;S$1&amp;"°"&amp;$A89),[1]Hoja1!$A:$O,15,0),VLOOKUP(IF($J89="Formación Técnica Específica",$B89&amp;"°"&amp;S$1&amp;"°"&amp;$B89&amp;S$1&amp;1&amp;$A89,$B89&amp;"°"&amp;S$1&amp;"°"&amp;$A89),[1]Hoja1!$A:$O,15,0))</f>
        <v>MAZU LEILA</v>
      </c>
      <c r="T89" s="52" t="str">
        <f>IF($J89="Formación Técnica Específica",VLOOKUP(IF($J89="Formación Técnica Específica",$B89&amp;"°"&amp;S$1&amp;"°"&amp;$B89&amp;S$1&amp;1&amp;$A89,$B89&amp;"°"&amp;S$1&amp;"°"&amp;$A89),[1]Hoja1!$A:$O,15,0)," ")</f>
        <v xml:space="preserve"> </v>
      </c>
      <c r="U89" s="44" t="str">
        <f>IF($J89="Formación Técnica Específica",VLOOKUP(IF($J89="Formación Técnica Específica",$B89&amp;"°"&amp;U$1&amp;"°"&amp;$B89&amp;U$1&amp;1&amp;$A89,$B89&amp;"°"&amp;U$1&amp;"°"&amp;$A89),[1]Hoja1!$A:$O,15,0),VLOOKUP(IF($J89="Formación Técnica Específica",$B89&amp;"°"&amp;U$1&amp;"°"&amp;$B89&amp;U$1&amp;1&amp;$A89,$B89&amp;"°"&amp;U$1&amp;"°"&amp;$A89),[1]Hoja1!$A:$O,15,0))</f>
        <v xml:space="preserve"> KEMPER, NATALIA</v>
      </c>
      <c r="V89" s="52" t="str">
        <f>IF($J89="Formación Técnica Específica",VLOOKUP(IF($J89="Formación Técnica Específica",$B89&amp;"°"&amp;U$1&amp;"°"&amp;$B89&amp;U$1&amp;1&amp;$A89,$B89&amp;"°"&amp;U$1&amp;"°"&amp;$A89),[1]Hoja1!$A:$O,15,0)," ")</f>
        <v xml:space="preserve"> </v>
      </c>
      <c r="W89" s="44" t="e">
        <f>IF($J89="Formación Técnica Específica",VLOOKUP(IF($J89="Formación Técnica Específica",$B89&amp;"°"&amp;W$1&amp;"°"&amp;$B89&amp;W$1&amp;1&amp;$A89,$B89&amp;"°"&amp;W$1&amp;"°"&amp;$A89),[1]Hoja1!$A:$O,15,0),VLOOKUP(IF($J89="Formación Técnica Específica",$B89&amp;"°"&amp;W$1&amp;"°"&amp;$B89&amp;W$1&amp;1&amp;$A89,$B89&amp;"°"&amp;W$1&amp;"°"&amp;$A89),[1]Hoja1!$A:$O,15,0))</f>
        <v>#N/A</v>
      </c>
      <c r="X89" s="52" t="str">
        <f>IF($J89="Formación Técnica Específica",VLOOKUP(IF($J89="Formación Técnica Específica",$B89&amp;"°"&amp;W$1&amp;"°"&amp;$B89&amp;W$1&amp;1&amp;$A89,$B89&amp;"°"&amp;W$1&amp;"°"&amp;$A89),[1]Hoja1!$A:$O,15,0)," ")</f>
        <v xml:space="preserve"> </v>
      </c>
    </row>
    <row r="90" spans="1:24" x14ac:dyDescent="0.25">
      <c r="A90" s="30" t="s">
        <v>178</v>
      </c>
      <c r="B90" s="4">
        <v>5</v>
      </c>
      <c r="C90" s="4" t="s">
        <v>10</v>
      </c>
      <c r="D90" s="4" t="s">
        <v>112</v>
      </c>
      <c r="E90" s="7" t="s">
        <v>66</v>
      </c>
      <c r="F90" s="3">
        <v>8</v>
      </c>
      <c r="G90" s="4" t="s">
        <v>179</v>
      </c>
      <c r="H90" s="4" t="s">
        <v>180</v>
      </c>
      <c r="I90" s="3">
        <v>3</v>
      </c>
      <c r="J90" s="6" t="s">
        <v>290</v>
      </c>
      <c r="K90" s="31" t="s">
        <v>181</v>
      </c>
      <c r="L90" t="str">
        <f t="shared" si="5"/>
        <v>5°8</v>
      </c>
      <c r="M90" s="31" t="s">
        <v>282</v>
      </c>
      <c r="N90" s="63" t="str">
        <f t="shared" si="6"/>
        <v>5°8</v>
      </c>
      <c r="O90" s="44" t="e">
        <f>IF($J90="Formación Técnica Específica",VLOOKUP(IF($J90="Formación Técnica Específica",$B90&amp;"°"&amp;O$1&amp;"°"&amp;$B90&amp;O$1&amp;1&amp;$A90,$B90&amp;"°"&amp;O$1&amp;"°"&amp;$A90),[1]Hoja1!$A:$O,15,0),VLOOKUP(IF($J90="Formación Técnica Específica",$B90&amp;"°"&amp;O$1&amp;"°"&amp;$B90&amp;O$1&amp;1&amp;$A90,$B90&amp;"°"&amp;O$1&amp;"°"&amp;$A90),[1]Hoja1!$A:$O,15,0))</f>
        <v>#N/A</v>
      </c>
      <c r="P90" s="52" t="str">
        <f>IF($J90="Formación Técnica Específica",VLOOKUP(IF($J90="Formación Técnica Específica",$B90&amp;"°"&amp;O$1&amp;"°"&amp;$B90&amp;O$1&amp;1&amp;$A90,$B90&amp;"°"&amp;O$1&amp;"°"&amp;$A90),[1]Hoja1!$A:$O,15,0)," ")</f>
        <v xml:space="preserve"> </v>
      </c>
      <c r="Q90" s="44" t="e">
        <f>IF($J90="Formación Técnica Específica",VLOOKUP(IF($J90="Formación Técnica Específica",$B90&amp;"°"&amp;Q$1&amp;"°"&amp;$B90&amp;Q$1&amp;1&amp;$A90,$B90&amp;"°"&amp;Q$1&amp;"°"&amp;$A90),[1]Hoja1!$A:$O,15,0),VLOOKUP(IF($J90="Formación Técnica Específica",$B90&amp;"°"&amp;Q$1&amp;"°"&amp;$B90&amp;Q$1&amp;1&amp;$A90,$B90&amp;"°"&amp;Q$1&amp;"°"&amp;$A90),[1]Hoja1!$A:$O,15,0))</f>
        <v>#N/A</v>
      </c>
      <c r="R90" s="52" t="str">
        <f>IF($J90="Formación Técnica Específica",VLOOKUP(IF($J90="Formación Técnica Específica",$B90&amp;"°"&amp;Q$1&amp;"°"&amp;$B90&amp;Q$1&amp;1&amp;$A90,$B90&amp;"°"&amp;Q$1&amp;"°"&amp;$A90),[1]Hoja1!$A:$O,15,0)," ")</f>
        <v xml:space="preserve"> </v>
      </c>
      <c r="S90" s="44" t="str">
        <f>IF($J90="Formación Técnica Específica",VLOOKUP(IF($J90="Formación Técnica Específica",$B90&amp;"°"&amp;S$1&amp;"°"&amp;$B90&amp;S$1&amp;1&amp;$A90,$B90&amp;"°"&amp;S$1&amp;"°"&amp;$A90),[1]Hoja1!$A:$O,15,0),VLOOKUP(IF($J90="Formación Técnica Específica",$B90&amp;"°"&amp;S$1&amp;"°"&amp;$B90&amp;S$1&amp;1&amp;$A90,$B90&amp;"°"&amp;S$1&amp;"°"&amp;$A90),[1]Hoja1!$A:$O,15,0))</f>
        <v xml:space="preserve">ATAMAÑUK, FLORENCIA </v>
      </c>
      <c r="T90" s="52" t="str">
        <f>IF($J90="Formación Técnica Específica",VLOOKUP(IF($J90="Formación Técnica Específica",$B90&amp;"°"&amp;S$1&amp;"°"&amp;$B90&amp;S$1&amp;1&amp;$A90,$B90&amp;"°"&amp;S$1&amp;"°"&amp;$A90),[1]Hoja1!$A:$O,15,0)," ")</f>
        <v xml:space="preserve"> </v>
      </c>
      <c r="U90" s="44" t="str">
        <f>IF($J90="Formación Técnica Específica",VLOOKUP(IF($J90="Formación Técnica Específica",$B90&amp;"°"&amp;U$1&amp;"°"&amp;$B90&amp;U$1&amp;1&amp;$A90,$B90&amp;"°"&amp;U$1&amp;"°"&amp;$A90),[1]Hoja1!$A:$O,15,0),VLOOKUP(IF($J90="Formación Técnica Específica",$B90&amp;"°"&amp;U$1&amp;"°"&amp;$B90&amp;U$1&amp;1&amp;$A90,$B90&amp;"°"&amp;U$1&amp;"°"&amp;$A90),[1]Hoja1!$A:$O,15,0))</f>
        <v>GUTIERREZ NICOLAS</v>
      </c>
      <c r="V90" s="52" t="str">
        <f>IF($J90="Formación Técnica Específica",VLOOKUP(IF($J90="Formación Técnica Específica",$B90&amp;"°"&amp;U$1&amp;"°"&amp;$B90&amp;U$1&amp;1&amp;$A90,$B90&amp;"°"&amp;U$1&amp;"°"&amp;$A90),[1]Hoja1!$A:$O,15,0)," ")</f>
        <v xml:space="preserve"> </v>
      </c>
      <c r="W90" s="44" t="e">
        <f>IF($J90="Formación Técnica Específica",VLOOKUP(IF($J90="Formación Técnica Específica",$B90&amp;"°"&amp;W$1&amp;"°"&amp;$B90&amp;W$1&amp;1&amp;$A90,$B90&amp;"°"&amp;W$1&amp;"°"&amp;$A90),[1]Hoja1!$A:$O,15,0),VLOOKUP(IF($J90="Formación Técnica Específica",$B90&amp;"°"&amp;W$1&amp;"°"&amp;$B90&amp;W$1&amp;1&amp;$A90,$B90&amp;"°"&amp;W$1&amp;"°"&amp;$A90),[1]Hoja1!$A:$O,15,0))</f>
        <v>#N/A</v>
      </c>
      <c r="X90" s="52" t="str">
        <f>IF($J90="Formación Técnica Específica",VLOOKUP(IF($J90="Formación Técnica Específica",$B90&amp;"°"&amp;W$1&amp;"°"&amp;$B90&amp;W$1&amp;1&amp;$A90,$B90&amp;"°"&amp;W$1&amp;"°"&amp;$A90),[1]Hoja1!$A:$O,15,0)," ")</f>
        <v xml:space="preserve"> </v>
      </c>
    </row>
    <row r="91" spans="1:24" x14ac:dyDescent="0.25">
      <c r="A91" s="30" t="s">
        <v>182</v>
      </c>
      <c r="B91" s="4">
        <v>5</v>
      </c>
      <c r="C91" s="4" t="s">
        <v>10</v>
      </c>
      <c r="D91" s="4" t="s">
        <v>112</v>
      </c>
      <c r="E91" s="7" t="s">
        <v>66</v>
      </c>
      <c r="F91" s="3">
        <v>9</v>
      </c>
      <c r="G91" s="4" t="s">
        <v>183</v>
      </c>
      <c r="H91" s="4" t="s">
        <v>184</v>
      </c>
      <c r="I91" s="3">
        <v>2</v>
      </c>
      <c r="J91" s="6" t="s">
        <v>290</v>
      </c>
      <c r="K91" s="31" t="s">
        <v>185</v>
      </c>
      <c r="L91" t="str">
        <f t="shared" si="5"/>
        <v>5°9</v>
      </c>
      <c r="M91" s="31" t="s">
        <v>282</v>
      </c>
      <c r="N91" s="63" t="str">
        <f t="shared" si="6"/>
        <v>5°9</v>
      </c>
      <c r="O91" s="44" t="e">
        <f>IF($J91="Formación Técnica Específica",VLOOKUP(IF($J91="Formación Técnica Específica",$B91&amp;"°"&amp;O$1&amp;"°"&amp;$B91&amp;O$1&amp;1&amp;$A91,$B91&amp;"°"&amp;O$1&amp;"°"&amp;$A91),[1]Hoja1!$A:$O,15,0),VLOOKUP(IF($J91="Formación Técnica Específica",$B91&amp;"°"&amp;O$1&amp;"°"&amp;$B91&amp;O$1&amp;1&amp;$A91,$B91&amp;"°"&amp;O$1&amp;"°"&amp;$A91),[1]Hoja1!$A:$O,15,0))</f>
        <v>#N/A</v>
      </c>
      <c r="P91" s="52" t="str">
        <f>IF($J91="Formación Técnica Específica",VLOOKUP(IF($J91="Formación Técnica Específica",$B91&amp;"°"&amp;O$1&amp;"°"&amp;$B91&amp;O$1&amp;1&amp;$A91,$B91&amp;"°"&amp;O$1&amp;"°"&amp;$A91),[1]Hoja1!$A:$O,15,0)," ")</f>
        <v xml:space="preserve"> </v>
      </c>
      <c r="Q91" s="44" t="e">
        <f>IF($J91="Formación Técnica Específica",VLOOKUP(IF($J91="Formación Técnica Específica",$B91&amp;"°"&amp;Q$1&amp;"°"&amp;$B91&amp;Q$1&amp;1&amp;$A91,$B91&amp;"°"&amp;Q$1&amp;"°"&amp;$A91),[1]Hoja1!$A:$O,15,0),VLOOKUP(IF($J91="Formación Técnica Específica",$B91&amp;"°"&amp;Q$1&amp;"°"&amp;$B91&amp;Q$1&amp;1&amp;$A91,$B91&amp;"°"&amp;Q$1&amp;"°"&amp;$A91),[1]Hoja1!$A:$O,15,0))</f>
        <v>#N/A</v>
      </c>
      <c r="R91" s="52" t="str">
        <f>IF($J91="Formación Técnica Específica",VLOOKUP(IF($J91="Formación Técnica Específica",$B91&amp;"°"&amp;Q$1&amp;"°"&amp;$B91&amp;Q$1&amp;1&amp;$A91,$B91&amp;"°"&amp;Q$1&amp;"°"&amp;$A91),[1]Hoja1!$A:$O,15,0)," ")</f>
        <v xml:space="preserve"> </v>
      </c>
      <c r="S91" s="44" t="str">
        <f>IF($J91="Formación Técnica Específica",VLOOKUP(IF($J91="Formación Técnica Específica",$B91&amp;"°"&amp;S$1&amp;"°"&amp;$B91&amp;S$1&amp;1&amp;$A91,$B91&amp;"°"&amp;S$1&amp;"°"&amp;$A91),[1]Hoja1!$A:$O,15,0),VLOOKUP(IF($J91="Formación Técnica Específica",$B91&amp;"°"&amp;S$1&amp;"°"&amp;$B91&amp;S$1&amp;1&amp;$A91,$B91&amp;"°"&amp;S$1&amp;"°"&amp;$A91),[1]Hoja1!$A:$O,15,0))</f>
        <v>BARBOZA, SILVIO</v>
      </c>
      <c r="T91" s="52" t="str">
        <f>IF($J91="Formación Técnica Específica",VLOOKUP(IF($J91="Formación Técnica Específica",$B91&amp;"°"&amp;S$1&amp;"°"&amp;$B91&amp;S$1&amp;1&amp;$A91,$B91&amp;"°"&amp;S$1&amp;"°"&amp;$A91),[1]Hoja1!$A:$O,15,0)," ")</f>
        <v xml:space="preserve"> </v>
      </c>
      <c r="U91" s="44" t="str">
        <f>IF($J91="Formación Técnica Específica",VLOOKUP(IF($J91="Formación Técnica Específica",$B91&amp;"°"&amp;U$1&amp;"°"&amp;$B91&amp;U$1&amp;1&amp;$A91,$B91&amp;"°"&amp;U$1&amp;"°"&amp;$A91),[1]Hoja1!$A:$O,15,0),VLOOKUP(IF($J91="Formación Técnica Específica",$B91&amp;"°"&amp;U$1&amp;"°"&amp;$B91&amp;U$1&amp;1&amp;$A91,$B91&amp;"°"&amp;U$1&amp;"°"&amp;$A91),[1]Hoja1!$A:$O,15,0))</f>
        <v>PROCHOR JUAN</v>
      </c>
      <c r="V91" s="52" t="str">
        <f>IF($J91="Formación Técnica Específica",VLOOKUP(IF($J91="Formación Técnica Específica",$B91&amp;"°"&amp;U$1&amp;"°"&amp;$B91&amp;U$1&amp;1&amp;$A91,$B91&amp;"°"&amp;U$1&amp;"°"&amp;$A91),[1]Hoja1!$A:$O,15,0)," ")</f>
        <v xml:space="preserve"> </v>
      </c>
      <c r="W91" s="44" t="e">
        <f>IF($J91="Formación Técnica Específica",VLOOKUP(IF($J91="Formación Técnica Específica",$B91&amp;"°"&amp;W$1&amp;"°"&amp;$B91&amp;W$1&amp;1&amp;$A91,$B91&amp;"°"&amp;W$1&amp;"°"&amp;$A91),[1]Hoja1!$A:$O,15,0),VLOOKUP(IF($J91="Formación Técnica Específica",$B91&amp;"°"&amp;W$1&amp;"°"&amp;$B91&amp;W$1&amp;1&amp;$A91,$B91&amp;"°"&amp;W$1&amp;"°"&amp;$A91),[1]Hoja1!$A:$O,15,0))</f>
        <v>#N/A</v>
      </c>
      <c r="X91" s="52" t="str">
        <f>IF($J91="Formación Técnica Específica",VLOOKUP(IF($J91="Formación Técnica Específica",$B91&amp;"°"&amp;W$1&amp;"°"&amp;$B91&amp;W$1&amp;1&amp;$A91,$B91&amp;"°"&amp;W$1&amp;"°"&amp;$A91),[1]Hoja1!$A:$O,15,0)," ")</f>
        <v xml:space="preserve"> </v>
      </c>
    </row>
    <row r="92" spans="1:24" x14ac:dyDescent="0.25">
      <c r="A92" s="30" t="s">
        <v>186</v>
      </c>
      <c r="B92" s="4">
        <v>5</v>
      </c>
      <c r="C92" s="4" t="s">
        <v>10</v>
      </c>
      <c r="D92" s="4" t="s">
        <v>112</v>
      </c>
      <c r="E92" s="7" t="s">
        <v>66</v>
      </c>
      <c r="F92" s="3">
        <v>10</v>
      </c>
      <c r="G92" s="4" t="s">
        <v>187</v>
      </c>
      <c r="H92" s="4" t="s">
        <v>188</v>
      </c>
      <c r="I92" s="3">
        <v>2</v>
      </c>
      <c r="J92" s="6" t="s">
        <v>33</v>
      </c>
      <c r="K92" s="31" t="s">
        <v>189</v>
      </c>
      <c r="L92" t="str">
        <f t="shared" si="5"/>
        <v>5°10</v>
      </c>
      <c r="M92" s="31" t="s">
        <v>282</v>
      </c>
      <c r="N92" s="63" t="str">
        <f t="shared" si="6"/>
        <v>5°10</v>
      </c>
      <c r="O92" s="44" t="e">
        <f>IF($J92="Formación Técnica Específica",VLOOKUP(IF($J92="Formación Técnica Específica",$B92&amp;"°"&amp;O$1&amp;"°"&amp;$B92&amp;O$1&amp;1&amp;$A92,$B92&amp;"°"&amp;O$1&amp;"°"&amp;$A92),[1]Hoja1!$A:$O,15,0),VLOOKUP(IF($J92="Formación Técnica Específica",$B92&amp;"°"&amp;O$1&amp;"°"&amp;$B92&amp;O$1&amp;1&amp;$A92,$B92&amp;"°"&amp;O$1&amp;"°"&amp;$A92),[1]Hoja1!$A:$O,15,0))</f>
        <v>#N/A</v>
      </c>
      <c r="P92" s="52" t="e">
        <f>IF($J92="Formación Técnica Específica",VLOOKUP(IF($J92="Formación Técnica Específica",$B92&amp;"°"&amp;O$1&amp;"°"&amp;$B92&amp;O$1&amp;1&amp;$A92,$B92&amp;"°"&amp;O$1&amp;"°"&amp;$A92),[1]Hoja1!$A:$O,15,0)," ")</f>
        <v>#N/A</v>
      </c>
      <c r="Q92" s="44" t="e">
        <f>IF($J92="Formación Técnica Específica",VLOOKUP(IF($J92="Formación Técnica Específica",$B92&amp;"°"&amp;Q$1&amp;"°"&amp;$B92&amp;Q$1&amp;1&amp;$A92,$B92&amp;"°"&amp;Q$1&amp;"°"&amp;$A92),[1]Hoja1!$A:$O,15,0),VLOOKUP(IF($J92="Formación Técnica Específica",$B92&amp;"°"&amp;Q$1&amp;"°"&amp;$B92&amp;Q$1&amp;1&amp;$A92,$B92&amp;"°"&amp;Q$1&amp;"°"&amp;$A92),[1]Hoja1!$A:$O,15,0))</f>
        <v>#N/A</v>
      </c>
      <c r="R92" s="52" t="e">
        <f>IF($J92="Formación Técnica Específica",VLOOKUP(IF($J92="Formación Técnica Específica",$B92&amp;"°"&amp;Q$1&amp;"°"&amp;$B92&amp;Q$1&amp;1&amp;$A92,$B92&amp;"°"&amp;Q$1&amp;"°"&amp;$A92),[1]Hoja1!$A:$O,15,0)," ")</f>
        <v>#N/A</v>
      </c>
      <c r="S92" s="44" t="str">
        <f>IF($J92="Formación Técnica Específica",VLOOKUP(IF($J92="Formación Técnica Específica",$B92&amp;"°"&amp;S$1&amp;"°"&amp;$B92&amp;S$1&amp;1&amp;$A92,$B92&amp;"°"&amp;S$1&amp;"°"&amp;$A92),[1]Hoja1!$A:$O,15,0),VLOOKUP(IF($J92="Formación Técnica Específica",$B92&amp;"°"&amp;S$1&amp;"°"&amp;$B92&amp;S$1&amp;1&amp;$A92,$B92&amp;"°"&amp;S$1&amp;"°"&amp;$A92),[1]Hoja1!$A:$O,15,0))</f>
        <v>GUTIERREZ NICOLAS</v>
      </c>
      <c r="T92" s="52" t="str">
        <f>IF($J92="Formación Técnica Específica",VLOOKUP(IF($J92="Formación Técnica Específica",$B92&amp;"°"&amp;S$1&amp;"°"&amp;$B92&amp;S$1&amp;1&amp;$A92,$B92&amp;"°"&amp;S$1&amp;"°"&amp;$A92),[1]Hoja1!$A:$O,15,0)," ")</f>
        <v>GUTIERREZ NICOLAS</v>
      </c>
      <c r="U92" s="44" t="str">
        <f>IF($J92="Formación Técnica Específica",VLOOKUP(IF($J92="Formación Técnica Específica",$B92&amp;"°"&amp;U$1&amp;"°"&amp;$B92&amp;U$1&amp;1&amp;$A92,$B92&amp;"°"&amp;U$1&amp;"°"&amp;$A92),[1]Hoja1!$A:$O,15,0),VLOOKUP(IF($J92="Formación Técnica Específica",$B92&amp;"°"&amp;U$1&amp;"°"&amp;$B92&amp;U$1&amp;1&amp;$A92,$B92&amp;"°"&amp;U$1&amp;"°"&amp;$A92),[1]Hoja1!$A:$O,15,0))</f>
        <v>GAUNA FEDERICO</v>
      </c>
      <c r="V92" s="52" t="str">
        <f>IF($J92="Formación Técnica Específica",VLOOKUP(IF($J92="Formación Técnica Específica",$B92&amp;"°"&amp;U$1&amp;"°"&amp;$B92&amp;U$1&amp;1&amp;$A92,$B92&amp;"°"&amp;U$1&amp;"°"&amp;$A92),[1]Hoja1!$A:$O,15,0)," ")</f>
        <v>GAUNA FEDERICO</v>
      </c>
      <c r="W92" s="44" t="e">
        <f>IF($J92="Formación Técnica Específica",VLOOKUP(IF($J92="Formación Técnica Específica",$B92&amp;"°"&amp;W$1&amp;"°"&amp;$B92&amp;W$1&amp;1&amp;$A92,$B92&amp;"°"&amp;W$1&amp;"°"&amp;$A92),[1]Hoja1!$A:$O,15,0),VLOOKUP(IF($J92="Formación Técnica Específica",$B92&amp;"°"&amp;W$1&amp;"°"&amp;$B92&amp;W$1&amp;1&amp;$A92,$B92&amp;"°"&amp;W$1&amp;"°"&amp;$A92),[1]Hoja1!$A:$O,15,0))</f>
        <v>#N/A</v>
      </c>
      <c r="X92" s="52" t="e">
        <f>IF($J92="Formación Técnica Específica",VLOOKUP(IF($J92="Formación Técnica Específica",$B92&amp;"°"&amp;W$1&amp;"°"&amp;$B92&amp;W$1&amp;1&amp;$A92,$B92&amp;"°"&amp;W$1&amp;"°"&amp;$A92),[1]Hoja1!$A:$O,15,0)," ")</f>
        <v>#N/A</v>
      </c>
    </row>
    <row r="93" spans="1:24" x14ac:dyDescent="0.25">
      <c r="A93" s="30" t="s">
        <v>190</v>
      </c>
      <c r="B93" s="4">
        <v>5</v>
      </c>
      <c r="C93" s="4" t="s">
        <v>10</v>
      </c>
      <c r="D93" s="4" t="s">
        <v>112</v>
      </c>
      <c r="E93" s="7" t="s">
        <v>66</v>
      </c>
      <c r="F93" s="3">
        <v>11</v>
      </c>
      <c r="G93" s="4" t="s">
        <v>191</v>
      </c>
      <c r="H93" s="4" t="s">
        <v>127</v>
      </c>
      <c r="I93" s="3">
        <v>4</v>
      </c>
      <c r="J93" s="6" t="s">
        <v>33</v>
      </c>
      <c r="K93" s="31" t="s">
        <v>287</v>
      </c>
      <c r="L93" t="str">
        <f t="shared" si="5"/>
        <v>5°11</v>
      </c>
      <c r="M93" s="31" t="s">
        <v>282</v>
      </c>
      <c r="N93" s="63" t="str">
        <f t="shared" si="6"/>
        <v>5°11</v>
      </c>
      <c r="O93" s="44" t="e">
        <f>IF($J93="Formación Técnica Específica",VLOOKUP(IF($J93="Formación Técnica Específica",$B93&amp;"°"&amp;O$1&amp;"°"&amp;$B93&amp;O$1&amp;1&amp;$A93,$B93&amp;"°"&amp;O$1&amp;"°"&amp;$A93),[1]Hoja1!$A:$O,15,0),VLOOKUP(IF($J93="Formación Técnica Específica",$B93&amp;"°"&amp;O$1&amp;"°"&amp;$B93&amp;O$1&amp;1&amp;$A93,$B93&amp;"°"&amp;O$1&amp;"°"&amp;$A93),[1]Hoja1!$A:$O,15,0))</f>
        <v>#N/A</v>
      </c>
      <c r="P93" s="52" t="e">
        <f>IF($J93="Formación Técnica Específica",VLOOKUP(IF($J93="Formación Técnica Específica",$B93&amp;"°"&amp;O$1&amp;"°"&amp;$B93&amp;O$1&amp;1&amp;$A93,$B93&amp;"°"&amp;O$1&amp;"°"&amp;$A93),[1]Hoja1!$A:$O,15,0)," ")</f>
        <v>#N/A</v>
      </c>
      <c r="Q93" s="44" t="e">
        <f>IF($J93="Formación Técnica Específica",VLOOKUP(IF($J93="Formación Técnica Específica",$B93&amp;"°"&amp;Q$1&amp;"°"&amp;$B93&amp;Q$1&amp;1&amp;$A93,$B93&amp;"°"&amp;Q$1&amp;"°"&amp;$A93),[1]Hoja1!$A:$O,15,0),VLOOKUP(IF($J93="Formación Técnica Específica",$B93&amp;"°"&amp;Q$1&amp;"°"&amp;$B93&amp;Q$1&amp;1&amp;$A93,$B93&amp;"°"&amp;Q$1&amp;"°"&amp;$A93),[1]Hoja1!$A:$O,15,0))</f>
        <v>#N/A</v>
      </c>
      <c r="R93" s="52" t="e">
        <f>IF($J93="Formación Técnica Específica",VLOOKUP(IF($J93="Formación Técnica Específica",$B93&amp;"°"&amp;Q$1&amp;"°"&amp;$B93&amp;Q$1&amp;1&amp;$A93,$B93&amp;"°"&amp;Q$1&amp;"°"&amp;$A93),[1]Hoja1!$A:$O,15,0)," ")</f>
        <v>#N/A</v>
      </c>
      <c r="S93" s="44" t="str">
        <f>IF($J93="Formación Técnica Específica",VLOOKUP(IF($J93="Formación Técnica Específica",$B93&amp;"°"&amp;S$1&amp;"°"&amp;$B93&amp;S$1&amp;1&amp;$A93,$B93&amp;"°"&amp;S$1&amp;"°"&amp;$A93),[1]Hoja1!$A:$O,15,0),VLOOKUP(IF($J93="Formación Técnica Específica",$B93&amp;"°"&amp;S$1&amp;"°"&amp;$B93&amp;S$1&amp;1&amp;$A93,$B93&amp;"°"&amp;S$1&amp;"°"&amp;$A93),[1]Hoja1!$A:$O,15,0))</f>
        <v>MARTINEZ, SILVIO</v>
      </c>
      <c r="T93" s="52" t="str">
        <f>IF($J93="Formación Técnica Específica",VLOOKUP(IF($J93="Formación Técnica Específica",$B93&amp;"°"&amp;S$1&amp;"°"&amp;$B93&amp;S$1&amp;1&amp;$A93,$B93&amp;"°"&amp;S$1&amp;"°"&amp;$A93),[1]Hoja1!$A:$O,15,0)," ")</f>
        <v>MARTINEZ, SILVIO</v>
      </c>
      <c r="U93" s="44" t="str">
        <f>IF($J93="Formación Técnica Específica",VLOOKUP(IF($J93="Formación Técnica Específica",$B93&amp;"°"&amp;U$1&amp;"°"&amp;$B93&amp;U$1&amp;1&amp;$A93,$B93&amp;"°"&amp;U$1&amp;"°"&amp;$A93),[1]Hoja1!$A:$O,15,0),VLOOKUP(IF($J93="Formación Técnica Específica",$B93&amp;"°"&amp;U$1&amp;"°"&amp;$B93&amp;U$1&amp;1&amp;$A93,$B93&amp;"°"&amp;U$1&amp;"°"&amp;$A93),[1]Hoja1!$A:$O,15,0))</f>
        <v>BARONI ROBERTO</v>
      </c>
      <c r="V93" s="52" t="str">
        <f>IF($J93="Formación Técnica Específica",VLOOKUP(IF($J93="Formación Técnica Específica",$B93&amp;"°"&amp;U$1&amp;"°"&amp;$B93&amp;U$1&amp;1&amp;$A93,$B93&amp;"°"&amp;U$1&amp;"°"&amp;$A93),[1]Hoja1!$A:$O,15,0)," ")</f>
        <v>BARONI ROBERTO</v>
      </c>
      <c r="W93" s="44" t="e">
        <f>IF($J93="Formación Técnica Específica",VLOOKUP(IF($J93="Formación Técnica Específica",$B93&amp;"°"&amp;W$1&amp;"°"&amp;$B93&amp;W$1&amp;1&amp;$A93,$B93&amp;"°"&amp;W$1&amp;"°"&amp;$A93),[1]Hoja1!$A:$O,15,0),VLOOKUP(IF($J93="Formación Técnica Específica",$B93&amp;"°"&amp;W$1&amp;"°"&amp;$B93&amp;W$1&amp;1&amp;$A93,$B93&amp;"°"&amp;W$1&amp;"°"&amp;$A93),[1]Hoja1!$A:$O,15,0))</f>
        <v>#N/A</v>
      </c>
      <c r="X93" s="52" t="e">
        <f>IF($J93="Formación Técnica Específica",VLOOKUP(IF($J93="Formación Técnica Específica",$B93&amp;"°"&amp;W$1&amp;"°"&amp;$B93&amp;W$1&amp;1&amp;$A93,$B93&amp;"°"&amp;W$1&amp;"°"&amp;$A93),[1]Hoja1!$A:$O,15,0)," ")</f>
        <v>#N/A</v>
      </c>
    </row>
    <row r="94" spans="1:24" x14ac:dyDescent="0.25">
      <c r="A94" s="30" t="s">
        <v>192</v>
      </c>
      <c r="B94" s="4">
        <v>5</v>
      </c>
      <c r="C94" s="4" t="s">
        <v>10</v>
      </c>
      <c r="D94" s="4" t="s">
        <v>112</v>
      </c>
      <c r="E94" s="7" t="s">
        <v>66</v>
      </c>
      <c r="F94" s="3">
        <v>12</v>
      </c>
      <c r="G94" s="4" t="s">
        <v>193</v>
      </c>
      <c r="H94" s="4" t="s">
        <v>130</v>
      </c>
      <c r="I94" s="3">
        <v>4</v>
      </c>
      <c r="J94" s="6" t="s">
        <v>33</v>
      </c>
      <c r="K94" s="31" t="s">
        <v>194</v>
      </c>
      <c r="L94" t="str">
        <f t="shared" si="5"/>
        <v>5°12</v>
      </c>
      <c r="M94" s="31" t="s">
        <v>282</v>
      </c>
      <c r="N94" s="63" t="str">
        <f t="shared" si="6"/>
        <v>5°12</v>
      </c>
      <c r="O94" s="44" t="e">
        <f>IF($J94="Formación Técnica Específica",VLOOKUP(IF($J94="Formación Técnica Específica",$B94&amp;"°"&amp;O$1&amp;"°"&amp;$B94&amp;O$1&amp;1&amp;$A94,$B94&amp;"°"&amp;O$1&amp;"°"&amp;$A94),[1]Hoja1!$A:$O,15,0),VLOOKUP(IF($J94="Formación Técnica Específica",$B94&amp;"°"&amp;O$1&amp;"°"&amp;$B94&amp;O$1&amp;1&amp;$A94,$B94&amp;"°"&amp;O$1&amp;"°"&amp;$A94),[1]Hoja1!$A:$O,15,0))</f>
        <v>#N/A</v>
      </c>
      <c r="P94" s="52" t="e">
        <f>IF($J94="Formación Técnica Específica",VLOOKUP(IF($J94="Formación Técnica Específica",$B94&amp;"°"&amp;O$1&amp;"°"&amp;$B94&amp;O$1&amp;1&amp;$A94,$B94&amp;"°"&amp;O$1&amp;"°"&amp;$A94),[1]Hoja1!$A:$O,15,0)," ")</f>
        <v>#N/A</v>
      </c>
      <c r="Q94" s="44" t="e">
        <f>IF($J94="Formación Técnica Específica",VLOOKUP(IF($J94="Formación Técnica Específica",$B94&amp;"°"&amp;Q$1&amp;"°"&amp;$B94&amp;Q$1&amp;1&amp;$A94,$B94&amp;"°"&amp;Q$1&amp;"°"&amp;$A94),[1]Hoja1!$A:$O,15,0),VLOOKUP(IF($J94="Formación Técnica Específica",$B94&amp;"°"&amp;Q$1&amp;"°"&amp;$B94&amp;Q$1&amp;1&amp;$A94,$B94&amp;"°"&amp;Q$1&amp;"°"&amp;$A94),[1]Hoja1!$A:$O,15,0))</f>
        <v>#N/A</v>
      </c>
      <c r="R94" s="52" t="e">
        <f>IF($J94="Formación Técnica Específica",VLOOKUP(IF($J94="Formación Técnica Específica",$B94&amp;"°"&amp;Q$1&amp;"°"&amp;$B94&amp;Q$1&amp;1&amp;$A94,$B94&amp;"°"&amp;Q$1&amp;"°"&amp;$A94),[1]Hoja1!$A:$O,15,0)," ")</f>
        <v>#N/A</v>
      </c>
      <c r="S94" s="44" t="str">
        <f>IF($J94="Formación Técnica Específica",VLOOKUP(IF($J94="Formación Técnica Específica",$B94&amp;"°"&amp;S$1&amp;"°"&amp;$B94&amp;S$1&amp;1&amp;$A94,$B94&amp;"°"&amp;S$1&amp;"°"&amp;$A94),[1]Hoja1!$A:$O,15,0),VLOOKUP(IF($J94="Formación Técnica Específica",$B94&amp;"°"&amp;S$1&amp;"°"&amp;$B94&amp;S$1&amp;1&amp;$A94,$B94&amp;"°"&amp;S$1&amp;"°"&amp;$A94),[1]Hoja1!$A:$O,15,0))</f>
        <v>SERENO, LEONEL</v>
      </c>
      <c r="T94" s="52" t="str">
        <f>IF($J94="Formación Técnica Específica",VLOOKUP(IF($J94="Formación Técnica Específica",$B94&amp;"°"&amp;S$1&amp;"°"&amp;$B94&amp;S$1&amp;1&amp;$A94,$B94&amp;"°"&amp;S$1&amp;"°"&amp;$A94),[1]Hoja1!$A:$O,15,0)," ")</f>
        <v>SERENO, LEONEL</v>
      </c>
      <c r="U94" s="44" t="str">
        <f>IF($J94="Formación Técnica Específica",VLOOKUP(IF($J94="Formación Técnica Específica",$B94&amp;"°"&amp;U$1&amp;"°"&amp;$B94&amp;U$1&amp;1&amp;$A94,$B94&amp;"°"&amp;U$1&amp;"°"&amp;$A94),[1]Hoja1!$A:$O,15,0),VLOOKUP(IF($J94="Formación Técnica Específica",$B94&amp;"°"&amp;U$1&amp;"°"&amp;$B94&amp;U$1&amp;1&amp;$A94,$B94&amp;"°"&amp;U$1&amp;"°"&amp;$A94),[1]Hoja1!$A:$O,15,0))</f>
        <v xml:space="preserve">MARTINEZ, SILVIO </v>
      </c>
      <c r="V94" s="52" t="str">
        <f>IF($J94="Formación Técnica Específica",VLOOKUP(IF($J94="Formación Técnica Específica",$B94&amp;"°"&amp;U$1&amp;"°"&amp;$B94&amp;U$1&amp;1&amp;$A94,$B94&amp;"°"&amp;U$1&amp;"°"&amp;$A94),[1]Hoja1!$A:$O,15,0)," ")</f>
        <v xml:space="preserve">MARTINEZ, SILVIO </v>
      </c>
      <c r="W94" s="44" t="e">
        <f>IF($J94="Formación Técnica Específica",VLOOKUP(IF($J94="Formación Técnica Específica",$B94&amp;"°"&amp;W$1&amp;"°"&amp;$B94&amp;W$1&amp;1&amp;$A94,$B94&amp;"°"&amp;W$1&amp;"°"&amp;$A94),[1]Hoja1!$A:$O,15,0),VLOOKUP(IF($J94="Formación Técnica Específica",$B94&amp;"°"&amp;W$1&amp;"°"&amp;$B94&amp;W$1&amp;1&amp;$A94,$B94&amp;"°"&amp;W$1&amp;"°"&amp;$A94),[1]Hoja1!$A:$O,15,0))</f>
        <v>#N/A</v>
      </c>
      <c r="X94" s="52" t="e">
        <f>IF($J94="Formación Técnica Específica",VLOOKUP(IF($J94="Formación Técnica Específica",$B94&amp;"°"&amp;W$1&amp;"°"&amp;$B94&amp;W$1&amp;1&amp;$A94,$B94&amp;"°"&amp;W$1&amp;"°"&amp;$A94),[1]Hoja1!$A:$O,15,0)," ")</f>
        <v>#N/A</v>
      </c>
    </row>
    <row r="95" spans="1:24" ht="15.75" thickBot="1" x14ac:dyDescent="0.3">
      <c r="A95" s="32" t="s">
        <v>195</v>
      </c>
      <c r="B95" s="33">
        <v>5</v>
      </c>
      <c r="C95" s="33" t="s">
        <v>10</v>
      </c>
      <c r="D95" s="33" t="s">
        <v>112</v>
      </c>
      <c r="E95" s="34" t="s">
        <v>66</v>
      </c>
      <c r="F95" s="35">
        <v>13</v>
      </c>
      <c r="G95" s="33" t="s">
        <v>196</v>
      </c>
      <c r="H95" s="33" t="s">
        <v>133</v>
      </c>
      <c r="I95" s="35">
        <v>4</v>
      </c>
      <c r="J95" s="6" t="s">
        <v>33</v>
      </c>
      <c r="K95" s="37" t="s">
        <v>235</v>
      </c>
      <c r="L95" t="str">
        <f t="shared" si="5"/>
        <v>5°13</v>
      </c>
      <c r="M95" s="37" t="s">
        <v>282</v>
      </c>
      <c r="N95" s="63" t="str">
        <f t="shared" si="6"/>
        <v>5°13</v>
      </c>
      <c r="O95" s="53" t="e">
        <f>IF($J95="Formación Técnica Específica",VLOOKUP(IF($J95="Formación Técnica Específica",$B95&amp;"°"&amp;O$1&amp;"°"&amp;$B95&amp;O$1&amp;1&amp;$A95,$B95&amp;"°"&amp;O$1&amp;"°"&amp;$A95),[1]Hoja1!$A:$O,15,0),VLOOKUP(IF($J95="Formación Técnica Específica",$B95&amp;"°"&amp;O$1&amp;"°"&amp;$B95&amp;O$1&amp;1&amp;$A95,$B95&amp;"°"&amp;O$1&amp;"°"&amp;$A95),[1]Hoja1!$A:$O,15,0))</f>
        <v>#N/A</v>
      </c>
      <c r="P95" s="54" t="e">
        <f>IF($J95="Formación Técnica Específica",VLOOKUP(IF($J95="Formación Técnica Específica",$B95&amp;"°"&amp;O$1&amp;"°"&amp;$B95&amp;O$1&amp;1&amp;$A95,$B95&amp;"°"&amp;O$1&amp;"°"&amp;$A95),[1]Hoja1!$A:$O,15,0)," ")</f>
        <v>#N/A</v>
      </c>
      <c r="Q95" s="53" t="e">
        <f>IF($J95="Formación Técnica Específica",VLOOKUP(IF($J95="Formación Técnica Específica",$B95&amp;"°"&amp;Q$1&amp;"°"&amp;$B95&amp;Q$1&amp;1&amp;$A95,$B95&amp;"°"&amp;Q$1&amp;"°"&amp;$A95),[1]Hoja1!$A:$O,15,0),VLOOKUP(IF($J95="Formación Técnica Específica",$B95&amp;"°"&amp;Q$1&amp;"°"&amp;$B95&amp;Q$1&amp;1&amp;$A95,$B95&amp;"°"&amp;Q$1&amp;"°"&amp;$A95),[1]Hoja1!$A:$O,15,0))</f>
        <v>#N/A</v>
      </c>
      <c r="R95" s="54" t="e">
        <f>IF($J95="Formación Técnica Específica",VLOOKUP(IF($J95="Formación Técnica Específica",$B95&amp;"°"&amp;Q$1&amp;"°"&amp;$B95&amp;Q$1&amp;1&amp;$A95,$B95&amp;"°"&amp;Q$1&amp;"°"&amp;$A95),[1]Hoja1!$A:$O,15,0)," ")</f>
        <v>#N/A</v>
      </c>
      <c r="S95" s="53" t="str">
        <f>IF($J95="Formación Técnica Específica",VLOOKUP(IF($J95="Formación Técnica Específica",$B95&amp;"°"&amp;S$1&amp;"°"&amp;$B95&amp;S$1&amp;1&amp;$A95,$B95&amp;"°"&amp;S$1&amp;"°"&amp;$A95),[1]Hoja1!$A:$O,15,0),VLOOKUP(IF($J95="Formación Técnica Específica",$B95&amp;"°"&amp;S$1&amp;"°"&amp;$B95&amp;S$1&amp;1&amp;$A95,$B95&amp;"°"&amp;S$1&amp;"°"&amp;$A95),[1]Hoja1!$A:$O,15,0))</f>
        <v>SCHROEDER MATÍAS</v>
      </c>
      <c r="T95" s="54" t="str">
        <f>IF($J95="Formación Técnica Específica",VLOOKUP(IF($J95="Formación Técnica Específica",$B95&amp;"°"&amp;S$1&amp;"°"&amp;$B95&amp;S$1&amp;1&amp;$A95,$B95&amp;"°"&amp;S$1&amp;"°"&amp;$A95),[1]Hoja1!$A:$O,15,0)," ")</f>
        <v>SCHROEDER MATÍAS</v>
      </c>
      <c r="U95" s="53" t="str">
        <f>IF($J95="Formación Técnica Específica",VLOOKUP(IF($J95="Formación Técnica Específica",$B95&amp;"°"&amp;U$1&amp;"°"&amp;$B95&amp;U$1&amp;1&amp;$A95,$B95&amp;"°"&amp;U$1&amp;"°"&amp;$A95),[1]Hoja1!$A:$O,15,0),VLOOKUP(IF($J95="Formación Técnica Específica",$B95&amp;"°"&amp;U$1&amp;"°"&amp;$B95&amp;U$1&amp;1&amp;$A95,$B95&amp;"°"&amp;U$1&amp;"°"&amp;$A95),[1]Hoja1!$A:$O,15,0))</f>
        <v xml:space="preserve">SAUCEDO GUSTAVO </v>
      </c>
      <c r="V95" s="54" t="str">
        <f>IF($J95="Formación Técnica Específica",VLOOKUP(IF($J95="Formación Técnica Específica",$B95&amp;"°"&amp;U$1&amp;"°"&amp;$B95&amp;U$1&amp;1&amp;$A95,$B95&amp;"°"&amp;U$1&amp;"°"&amp;$A95),[1]Hoja1!$A:$O,15,0)," ")</f>
        <v xml:space="preserve">SAUCEDO GUSTAVO </v>
      </c>
      <c r="W95" s="53" t="e">
        <f>IF($J95="Formación Técnica Específica",VLOOKUP(IF($J95="Formación Técnica Específica",$B95&amp;"°"&amp;W$1&amp;"°"&amp;$B95&amp;W$1&amp;1&amp;$A95,$B95&amp;"°"&amp;W$1&amp;"°"&amp;$A95),[1]Hoja1!$A:$O,15,0),VLOOKUP(IF($J95="Formación Técnica Específica",$B95&amp;"°"&amp;W$1&amp;"°"&amp;$B95&amp;W$1&amp;1&amp;$A95,$B95&amp;"°"&amp;W$1&amp;"°"&amp;$A95),[1]Hoja1!$A:$O,15,0))</f>
        <v>#N/A</v>
      </c>
      <c r="X95" s="54" t="e">
        <f>IF($J95="Formación Técnica Específica",VLOOKUP(IF($J95="Formación Técnica Específica",$B95&amp;"°"&amp;W$1&amp;"°"&amp;$B95&amp;W$1&amp;1&amp;$A95,$B95&amp;"°"&amp;W$1&amp;"°"&amp;$A95),[1]Hoja1!$A:$O,15,0)," ")</f>
        <v>#N/A</v>
      </c>
    </row>
    <row r="96" spans="1:24" x14ac:dyDescent="0.25">
      <c r="A96" s="24" t="str">
        <f>CONCATENATE("6I",G96)</f>
        <v>6ILITS</v>
      </c>
      <c r="B96" s="25">
        <v>6</v>
      </c>
      <c r="C96" s="25" t="s">
        <v>10</v>
      </c>
      <c r="D96" s="25" t="s">
        <v>65</v>
      </c>
      <c r="E96" s="26" t="s">
        <v>66</v>
      </c>
      <c r="F96" s="27">
        <v>1</v>
      </c>
      <c r="G96" s="25" t="s">
        <v>74</v>
      </c>
      <c r="H96" s="25" t="s">
        <v>75</v>
      </c>
      <c r="I96" s="27">
        <v>2</v>
      </c>
      <c r="J96" s="28" t="s">
        <v>290</v>
      </c>
      <c r="K96" s="29" t="s">
        <v>76</v>
      </c>
      <c r="L96" t="str">
        <f t="shared" si="5"/>
        <v>6°1</v>
      </c>
      <c r="M96" s="29"/>
      <c r="N96" s="63" t="str">
        <f t="shared" si="6"/>
        <v>6°1</v>
      </c>
      <c r="O96" s="50" t="str">
        <f>IF($J96="Formación Técnica Específica",VLOOKUP(IF($J96="Formación Técnica Específica",$B96&amp;"°"&amp;O$1&amp;"°"&amp;$B96&amp;O$1&amp;1&amp;$A96,$B96&amp;"°"&amp;O$1&amp;"°"&amp;$A96),[1]Hoja1!$A:$O,15,0),VLOOKUP(IF($J96="Formación Técnica Específica",$B96&amp;"°"&amp;O$1&amp;"°"&amp;$B96&amp;O$1&amp;1&amp;$A96,$B96&amp;"°"&amp;O$1&amp;"°"&amp;$A96),[1]Hoja1!$A:$O,15,0))</f>
        <v>ALFONSO D INT 2026</v>
      </c>
      <c r="P96" s="51" t="str">
        <f>IF($J96="Formación Técnica Específica",VLOOKUP(IF($J96="Formación Técnica Específica",$B96&amp;"°"&amp;O$1&amp;"°"&amp;$B96&amp;O$1&amp;1&amp;$A96,$B96&amp;"°"&amp;O$1&amp;"°"&amp;$A96),[1]Hoja1!$A:$O,15,0)," ")</f>
        <v xml:space="preserve"> </v>
      </c>
      <c r="Q96" s="50" t="str">
        <f>IF($J96="Formación Técnica Específica",VLOOKUP(IF($J96="Formación Técnica Específica",$B96&amp;"°"&amp;Q$1&amp;"°"&amp;$B96&amp;Q$1&amp;1&amp;$A96,$B96&amp;"°"&amp;Q$1&amp;"°"&amp;$A96),[1]Hoja1!$A:$O,15,0),VLOOKUP(IF($J96="Formación Técnica Específica",$B96&amp;"°"&amp;Q$1&amp;"°"&amp;$B96&amp;Q$1&amp;1&amp;$A96,$B96&amp;"°"&amp;Q$1&amp;"°"&amp;$A96),[1]Hoja1!$A:$O,15,0))</f>
        <v>LOGUZZO, LORENA BEATRIZ</v>
      </c>
      <c r="R96" s="51" t="str">
        <f>IF($J96="Formación Técnica Específica",VLOOKUP(IF($J96="Formación Técnica Específica",$B96&amp;"°"&amp;Q$1&amp;"°"&amp;$B96&amp;Q$1&amp;1&amp;$A96,$B96&amp;"°"&amp;Q$1&amp;"°"&amp;$A96),[1]Hoja1!$A:$O,15,0)," ")</f>
        <v xml:space="preserve"> </v>
      </c>
      <c r="S96" s="50" t="e">
        <f>IF($J96="Formación Técnica Específica",VLOOKUP(IF($J96="Formación Técnica Específica",$B96&amp;"°"&amp;S$1&amp;"°"&amp;$B96&amp;S$1&amp;1&amp;$A96,$B96&amp;"°"&amp;S$1&amp;"°"&amp;$A96),[1]Hoja1!$A:$O,15,0),VLOOKUP(IF($J96="Formación Técnica Específica",$B96&amp;"°"&amp;S$1&amp;"°"&amp;$B96&amp;S$1&amp;1&amp;$A96,$B96&amp;"°"&amp;S$1&amp;"°"&amp;$A96),[1]Hoja1!$A:$O,15,0))</f>
        <v>#N/A</v>
      </c>
      <c r="T96" s="51" t="str">
        <f>IF($J96="Formación Técnica Específica",VLOOKUP(IF($J96="Formación Técnica Específica",$B96&amp;"°"&amp;S$1&amp;"°"&amp;$B96&amp;S$1&amp;1&amp;$A96,$B96&amp;"°"&amp;S$1&amp;"°"&amp;$A96),[1]Hoja1!$A:$O,15,0)," ")</f>
        <v xml:space="preserve"> </v>
      </c>
      <c r="U96" s="50" t="e">
        <f>IF($J96="Formación Técnica Específica",VLOOKUP(IF($J96="Formación Técnica Específica",$B96&amp;"°"&amp;U$1&amp;"°"&amp;$B96&amp;U$1&amp;1&amp;$A96,$B96&amp;"°"&amp;U$1&amp;"°"&amp;$A96),[1]Hoja1!$A:$O,15,0),VLOOKUP(IF($J96="Formación Técnica Específica",$B96&amp;"°"&amp;U$1&amp;"°"&amp;$B96&amp;U$1&amp;1&amp;$A96,$B96&amp;"°"&amp;U$1&amp;"°"&amp;$A96),[1]Hoja1!$A:$O,15,0))</f>
        <v>#N/A</v>
      </c>
      <c r="V96" s="51" t="str">
        <f>IF($J96="Formación Técnica Específica",VLOOKUP(IF($J96="Formación Técnica Específica",$B96&amp;"°"&amp;U$1&amp;"°"&amp;$B96&amp;U$1&amp;1&amp;$A96,$B96&amp;"°"&amp;U$1&amp;"°"&amp;$A96),[1]Hoja1!$A:$O,15,0)," ")</f>
        <v xml:space="preserve"> </v>
      </c>
      <c r="W96" s="50" t="e">
        <f>IF($J96="Formación Técnica Específica",VLOOKUP(IF($J96="Formación Técnica Específica",$B96&amp;"°"&amp;W$1&amp;"°"&amp;$B96&amp;W$1&amp;1&amp;$A96,$B96&amp;"°"&amp;W$1&amp;"°"&amp;$A96),[1]Hoja1!$A:$O,15,0),VLOOKUP(IF($J96="Formación Técnica Específica",$B96&amp;"°"&amp;W$1&amp;"°"&amp;$B96&amp;W$1&amp;1&amp;$A96,$B96&amp;"°"&amp;W$1&amp;"°"&amp;$A96),[1]Hoja1!$A:$O,15,0))</f>
        <v>#N/A</v>
      </c>
      <c r="X96" s="51" t="str">
        <f>IF($J96="Formación Técnica Específica",VLOOKUP(IF($J96="Formación Técnica Específica",$B96&amp;"°"&amp;W$1&amp;"°"&amp;$B96&amp;W$1&amp;1&amp;$A96,$B96&amp;"°"&amp;W$1&amp;"°"&amp;$A96),[1]Hoja1!$A:$O,15,0)," ")</f>
        <v xml:space="preserve"> </v>
      </c>
    </row>
    <row r="97" spans="1:24" x14ac:dyDescent="0.25">
      <c r="A97" s="30" t="str">
        <f t="shared" ref="A97:A109" si="7">CONCATENATE("6I",G97)</f>
        <v>6IINGS</v>
      </c>
      <c r="B97" s="4">
        <v>6</v>
      </c>
      <c r="C97" s="4" t="s">
        <v>10</v>
      </c>
      <c r="D97" s="4" t="s">
        <v>65</v>
      </c>
      <c r="E97" s="7" t="s">
        <v>66</v>
      </c>
      <c r="F97" s="3">
        <v>2</v>
      </c>
      <c r="G97" s="4" t="s">
        <v>78</v>
      </c>
      <c r="H97" s="4" t="s">
        <v>23</v>
      </c>
      <c r="I97" s="3">
        <v>2</v>
      </c>
      <c r="J97" s="6" t="s">
        <v>290</v>
      </c>
      <c r="K97" s="31" t="s">
        <v>170</v>
      </c>
      <c r="L97" t="str">
        <f t="shared" si="5"/>
        <v>6°2</v>
      </c>
      <c r="M97" s="31"/>
      <c r="N97" s="63" t="str">
        <f t="shared" si="6"/>
        <v>6°2</v>
      </c>
      <c r="O97" s="44" t="str">
        <f>IF($J97="Formación Técnica Específica",VLOOKUP(IF($J97="Formación Técnica Específica",$B97&amp;"°"&amp;O$1&amp;"°"&amp;$B97&amp;O$1&amp;1&amp;$A97,$B97&amp;"°"&amp;O$1&amp;"°"&amp;$A97),[1]Hoja1!$A:$O,15,0),VLOOKUP(IF($J97="Formación Técnica Específica",$B97&amp;"°"&amp;O$1&amp;"°"&amp;$B97&amp;O$1&amp;1&amp;$A97,$B97&amp;"°"&amp;O$1&amp;"°"&amp;$A97),[1]Hoja1!$A:$O,15,0))</f>
        <v>RAMIREZ GISELA</v>
      </c>
      <c r="P97" s="52" t="str">
        <f>IF($J97="Formación Técnica Específica",VLOOKUP(IF($J97="Formación Técnica Específica",$B97&amp;"°"&amp;O$1&amp;"°"&amp;$B97&amp;O$1&amp;1&amp;$A97,$B97&amp;"°"&amp;O$1&amp;"°"&amp;$A97),[1]Hoja1!$A:$O,15,0)," ")</f>
        <v xml:space="preserve"> </v>
      </c>
      <c r="Q97" s="44" t="str">
        <f>IF($J97="Formación Técnica Específica",VLOOKUP(IF($J97="Formación Técnica Específica",$B97&amp;"°"&amp;Q$1&amp;"°"&amp;$B97&amp;Q$1&amp;1&amp;$A97,$B97&amp;"°"&amp;Q$1&amp;"°"&amp;$A97),[1]Hoja1!$A:$O,15,0),VLOOKUP(IF($J97="Formación Técnica Específica",$B97&amp;"°"&amp;Q$1&amp;"°"&amp;$B97&amp;Q$1&amp;1&amp;$A97,$B97&amp;"°"&amp;Q$1&amp;"°"&amp;$A97),[1]Hoja1!$A:$O,15,0))</f>
        <v>GOMEZ NADIA GISELA</v>
      </c>
      <c r="R97" s="52" t="str">
        <f>IF($J97="Formación Técnica Específica",VLOOKUP(IF($J97="Formación Técnica Específica",$B97&amp;"°"&amp;Q$1&amp;"°"&amp;$B97&amp;Q$1&amp;1&amp;$A97,$B97&amp;"°"&amp;Q$1&amp;"°"&amp;$A97),[1]Hoja1!$A:$O,15,0)," ")</f>
        <v xml:space="preserve"> </v>
      </c>
      <c r="S97" s="44" t="e">
        <f>IF($J97="Formación Técnica Específica",VLOOKUP(IF($J97="Formación Técnica Específica",$B97&amp;"°"&amp;S$1&amp;"°"&amp;$B97&amp;S$1&amp;1&amp;$A97,$B97&amp;"°"&amp;S$1&amp;"°"&amp;$A97),[1]Hoja1!$A:$O,15,0),VLOOKUP(IF($J97="Formación Técnica Específica",$B97&amp;"°"&amp;S$1&amp;"°"&amp;$B97&amp;S$1&amp;1&amp;$A97,$B97&amp;"°"&amp;S$1&amp;"°"&amp;$A97),[1]Hoja1!$A:$O,15,0))</f>
        <v>#N/A</v>
      </c>
      <c r="T97" s="52" t="str">
        <f>IF($J97="Formación Técnica Específica",VLOOKUP(IF($J97="Formación Técnica Específica",$B97&amp;"°"&amp;S$1&amp;"°"&amp;$B97&amp;S$1&amp;1&amp;$A97,$B97&amp;"°"&amp;S$1&amp;"°"&amp;$A97),[1]Hoja1!$A:$O,15,0)," ")</f>
        <v xml:space="preserve"> </v>
      </c>
      <c r="U97" s="44" t="e">
        <f>IF($J97="Formación Técnica Específica",VLOOKUP(IF($J97="Formación Técnica Específica",$B97&amp;"°"&amp;U$1&amp;"°"&amp;$B97&amp;U$1&amp;1&amp;$A97,$B97&amp;"°"&amp;U$1&amp;"°"&amp;$A97),[1]Hoja1!$A:$O,15,0),VLOOKUP(IF($J97="Formación Técnica Específica",$B97&amp;"°"&amp;U$1&amp;"°"&amp;$B97&amp;U$1&amp;1&amp;$A97,$B97&amp;"°"&amp;U$1&amp;"°"&amp;$A97),[1]Hoja1!$A:$O,15,0))</f>
        <v>#N/A</v>
      </c>
      <c r="V97" s="52" t="str">
        <f>IF($J97="Formación Técnica Específica",VLOOKUP(IF($J97="Formación Técnica Específica",$B97&amp;"°"&amp;U$1&amp;"°"&amp;$B97&amp;U$1&amp;1&amp;$A97,$B97&amp;"°"&amp;U$1&amp;"°"&amp;$A97),[1]Hoja1!$A:$O,15,0)," ")</f>
        <v xml:space="preserve"> </v>
      </c>
      <c r="W97" s="44" t="e">
        <f>IF($J97="Formación Técnica Específica",VLOOKUP(IF($J97="Formación Técnica Específica",$B97&amp;"°"&amp;W$1&amp;"°"&amp;$B97&amp;W$1&amp;1&amp;$A97,$B97&amp;"°"&amp;W$1&amp;"°"&amp;$A97),[1]Hoja1!$A:$O,15,0),VLOOKUP(IF($J97="Formación Técnica Específica",$B97&amp;"°"&amp;W$1&amp;"°"&amp;$B97&amp;W$1&amp;1&amp;$A97,$B97&amp;"°"&amp;W$1&amp;"°"&amp;$A97),[1]Hoja1!$A:$O,15,0))</f>
        <v>#N/A</v>
      </c>
      <c r="X97" s="52" t="str">
        <f>IF($J97="Formación Técnica Específica",VLOOKUP(IF($J97="Formación Técnica Específica",$B97&amp;"°"&amp;W$1&amp;"°"&amp;$B97&amp;W$1&amp;1&amp;$A97,$B97&amp;"°"&amp;W$1&amp;"°"&amp;$A97),[1]Hoja1!$A:$O,15,0)," ")</f>
        <v xml:space="preserve"> </v>
      </c>
    </row>
    <row r="98" spans="1:24" x14ac:dyDescent="0.25">
      <c r="A98" s="30" t="str">
        <f t="shared" si="7"/>
        <v>6IEFIS</v>
      </c>
      <c r="B98" s="4">
        <v>6</v>
      </c>
      <c r="C98" s="4" t="s">
        <v>10</v>
      </c>
      <c r="D98" s="4" t="s">
        <v>65</v>
      </c>
      <c r="E98" s="7" t="s">
        <v>66</v>
      </c>
      <c r="F98" s="3">
        <v>3</v>
      </c>
      <c r="G98" s="4" t="s">
        <v>80</v>
      </c>
      <c r="H98" s="4" t="s">
        <v>21</v>
      </c>
      <c r="I98" s="3">
        <v>2</v>
      </c>
      <c r="J98" s="6" t="s">
        <v>290</v>
      </c>
      <c r="K98" s="31" t="s">
        <v>172</v>
      </c>
      <c r="L98" t="str">
        <f t="shared" si="5"/>
        <v>6°3</v>
      </c>
      <c r="M98" s="31"/>
      <c r="N98" s="63" t="str">
        <f t="shared" si="6"/>
        <v>6°3</v>
      </c>
      <c r="O98" s="44" t="str">
        <f>IF($J98="Formación Técnica Específica",VLOOKUP(IF($J98="Formación Técnica Específica",$B98&amp;"°"&amp;O$1&amp;"°"&amp;$B98&amp;O$1&amp;1&amp;$A98,$B98&amp;"°"&amp;O$1&amp;"°"&amp;$A98),[1]Hoja1!$A:$O,15,0),VLOOKUP(IF($J98="Formación Técnica Específica",$B98&amp;"°"&amp;O$1&amp;"°"&amp;$B98&amp;O$1&amp;1&amp;$A98,$B98&amp;"°"&amp;O$1&amp;"°"&amp;$A98),[1]Hoja1!$A:$O,15,0))</f>
        <v xml:space="preserve">MONTENEGRO LUIS   </v>
      </c>
      <c r="P98" s="52" t="str">
        <f>IF($J98="Formación Técnica Específica",VLOOKUP(IF($J98="Formación Técnica Específica",$B98&amp;"°"&amp;O$1&amp;"°"&amp;$B98&amp;O$1&amp;1&amp;$A98,$B98&amp;"°"&amp;O$1&amp;"°"&amp;$A98),[1]Hoja1!$A:$O,15,0)," ")</f>
        <v xml:space="preserve"> </v>
      </c>
      <c r="Q98" s="44" t="str">
        <f>IF($J98="Formación Técnica Específica",VLOOKUP(IF($J98="Formación Técnica Específica",$B98&amp;"°"&amp;Q$1&amp;"°"&amp;$B98&amp;Q$1&amp;1&amp;$A98,$B98&amp;"°"&amp;Q$1&amp;"°"&amp;$A98),[1]Hoja1!$A:$O,15,0),VLOOKUP(IF($J98="Formación Técnica Específica",$B98&amp;"°"&amp;Q$1&amp;"°"&amp;$B98&amp;Q$1&amp;1&amp;$A98,$B98&amp;"°"&amp;Q$1&amp;"°"&amp;$A98),[1]Hoja1!$A:$O,15,0))</f>
        <v xml:space="preserve">BURELA, MERCEDES </v>
      </c>
      <c r="R98" s="52" t="str">
        <f>IF($J98="Formación Técnica Específica",VLOOKUP(IF($J98="Formación Técnica Específica",$B98&amp;"°"&amp;Q$1&amp;"°"&amp;$B98&amp;Q$1&amp;1&amp;$A98,$B98&amp;"°"&amp;Q$1&amp;"°"&amp;$A98),[1]Hoja1!$A:$O,15,0)," ")</f>
        <v xml:space="preserve"> </v>
      </c>
      <c r="S98" s="44" t="e">
        <f>IF($J98="Formación Técnica Específica",VLOOKUP(IF($J98="Formación Técnica Específica",$B98&amp;"°"&amp;S$1&amp;"°"&amp;$B98&amp;S$1&amp;1&amp;$A98,$B98&amp;"°"&amp;S$1&amp;"°"&amp;$A98),[1]Hoja1!$A:$O,15,0),VLOOKUP(IF($J98="Formación Técnica Específica",$B98&amp;"°"&amp;S$1&amp;"°"&amp;$B98&amp;S$1&amp;1&amp;$A98,$B98&amp;"°"&amp;S$1&amp;"°"&amp;$A98),[1]Hoja1!$A:$O,15,0))</f>
        <v>#N/A</v>
      </c>
      <c r="T98" s="52" t="str">
        <f>IF($J98="Formación Técnica Específica",VLOOKUP(IF($J98="Formación Técnica Específica",$B98&amp;"°"&amp;S$1&amp;"°"&amp;$B98&amp;S$1&amp;1&amp;$A98,$B98&amp;"°"&amp;S$1&amp;"°"&amp;$A98),[1]Hoja1!$A:$O,15,0)," ")</f>
        <v xml:space="preserve"> </v>
      </c>
      <c r="U98" s="44" t="e">
        <f>IF($J98="Formación Técnica Específica",VLOOKUP(IF($J98="Formación Técnica Específica",$B98&amp;"°"&amp;U$1&amp;"°"&amp;$B98&amp;U$1&amp;1&amp;$A98,$B98&amp;"°"&amp;U$1&amp;"°"&amp;$A98),[1]Hoja1!$A:$O,15,0),VLOOKUP(IF($J98="Formación Técnica Específica",$B98&amp;"°"&amp;U$1&amp;"°"&amp;$B98&amp;U$1&amp;1&amp;$A98,$B98&amp;"°"&amp;U$1&amp;"°"&amp;$A98),[1]Hoja1!$A:$O,15,0))</f>
        <v>#N/A</v>
      </c>
      <c r="V98" s="52" t="str">
        <f>IF($J98="Formación Técnica Específica",VLOOKUP(IF($J98="Formación Técnica Específica",$B98&amp;"°"&amp;U$1&amp;"°"&amp;$B98&amp;U$1&amp;1&amp;$A98,$B98&amp;"°"&amp;U$1&amp;"°"&amp;$A98),[1]Hoja1!$A:$O,15,0)," ")</f>
        <v xml:space="preserve"> </v>
      </c>
      <c r="W98" s="44" t="e">
        <f>IF($J98="Formación Técnica Específica",VLOOKUP(IF($J98="Formación Técnica Específica",$B98&amp;"°"&amp;W$1&amp;"°"&amp;$B98&amp;W$1&amp;1&amp;$A98,$B98&amp;"°"&amp;W$1&amp;"°"&amp;$A98),[1]Hoja1!$A:$O,15,0),VLOOKUP(IF($J98="Formación Técnica Específica",$B98&amp;"°"&amp;W$1&amp;"°"&amp;$B98&amp;W$1&amp;1&amp;$A98,$B98&amp;"°"&amp;W$1&amp;"°"&amp;$A98),[1]Hoja1!$A:$O,15,0))</f>
        <v>#N/A</v>
      </c>
      <c r="X98" s="52" t="str">
        <f>IF($J98="Formación Técnica Específica",VLOOKUP(IF($J98="Formación Técnica Específica",$B98&amp;"°"&amp;W$1&amp;"°"&amp;$B98&amp;W$1&amp;1&amp;$A98,$B98&amp;"°"&amp;W$1&amp;"°"&amp;$A98),[1]Hoja1!$A:$O,15,0)," ")</f>
        <v xml:space="preserve"> </v>
      </c>
    </row>
    <row r="99" spans="1:24" x14ac:dyDescent="0.25">
      <c r="A99" s="30" t="str">
        <f t="shared" si="7"/>
        <v>6IFILO</v>
      </c>
      <c r="B99" s="4">
        <v>6</v>
      </c>
      <c r="C99" s="4" t="s">
        <v>10</v>
      </c>
      <c r="D99" s="4" t="s">
        <v>65</v>
      </c>
      <c r="E99" s="7" t="s">
        <v>66</v>
      </c>
      <c r="F99" s="3">
        <v>4</v>
      </c>
      <c r="G99" s="4" t="s">
        <v>197</v>
      </c>
      <c r="H99" s="4" t="s">
        <v>198</v>
      </c>
      <c r="I99" s="3">
        <v>2</v>
      </c>
      <c r="J99" s="6" t="s">
        <v>290</v>
      </c>
      <c r="K99" s="31" t="s">
        <v>199</v>
      </c>
      <c r="L99" t="str">
        <f t="shared" si="5"/>
        <v>6°4</v>
      </c>
      <c r="M99" s="31"/>
      <c r="N99" s="63" t="str">
        <f t="shared" si="6"/>
        <v>6°4</v>
      </c>
      <c r="O99" s="44" t="str">
        <f>IF($J99="Formación Técnica Específica",VLOOKUP(IF($J99="Formación Técnica Específica",$B99&amp;"°"&amp;O$1&amp;"°"&amp;$B99&amp;O$1&amp;1&amp;$A99,$B99&amp;"°"&amp;O$1&amp;"°"&amp;$A99),[1]Hoja1!$A:$O,15,0),VLOOKUP(IF($J99="Formación Técnica Específica",$B99&amp;"°"&amp;O$1&amp;"°"&amp;$B99&amp;O$1&amp;1&amp;$A99,$B99&amp;"°"&amp;O$1&amp;"°"&amp;$A99),[1]Hoja1!$A:$O,15,0))</f>
        <v>LETIERI, MANUEL</v>
      </c>
      <c r="P99" s="52" t="str">
        <f>IF($J99="Formación Técnica Específica",VLOOKUP(IF($J99="Formación Técnica Específica",$B99&amp;"°"&amp;O$1&amp;"°"&amp;$B99&amp;O$1&amp;1&amp;$A99,$B99&amp;"°"&amp;O$1&amp;"°"&amp;$A99),[1]Hoja1!$A:$O,15,0)," ")</f>
        <v xml:space="preserve"> </v>
      </c>
      <c r="Q99" s="44" t="str">
        <f>IF($J99="Formación Técnica Específica",VLOOKUP(IF($J99="Formación Técnica Específica",$B99&amp;"°"&amp;Q$1&amp;"°"&amp;$B99&amp;Q$1&amp;1&amp;$A99,$B99&amp;"°"&amp;Q$1&amp;"°"&amp;$A99),[1]Hoja1!$A:$O,15,0),VLOOKUP(IF($J99="Formación Técnica Específica",$B99&amp;"°"&amp;Q$1&amp;"°"&amp;$B99&amp;Q$1&amp;1&amp;$A99,$B99&amp;"°"&amp;Q$1&amp;"°"&amp;$A99),[1]Hoja1!$A:$O,15,0))</f>
        <v>ESCALANTE RUTH</v>
      </c>
      <c r="R99" s="52" t="str">
        <f>IF($J99="Formación Técnica Específica",VLOOKUP(IF($J99="Formación Técnica Específica",$B99&amp;"°"&amp;Q$1&amp;"°"&amp;$B99&amp;Q$1&amp;1&amp;$A99,$B99&amp;"°"&amp;Q$1&amp;"°"&amp;$A99),[1]Hoja1!$A:$O,15,0)," ")</f>
        <v xml:space="preserve"> </v>
      </c>
      <c r="S99" s="44" t="e">
        <f>IF($J99="Formación Técnica Específica",VLOOKUP(IF($J99="Formación Técnica Específica",$B99&amp;"°"&amp;S$1&amp;"°"&amp;$B99&amp;S$1&amp;1&amp;$A99,$B99&amp;"°"&amp;S$1&amp;"°"&amp;$A99),[1]Hoja1!$A:$O,15,0),VLOOKUP(IF($J99="Formación Técnica Específica",$B99&amp;"°"&amp;S$1&amp;"°"&amp;$B99&amp;S$1&amp;1&amp;$A99,$B99&amp;"°"&amp;S$1&amp;"°"&amp;$A99),[1]Hoja1!$A:$O,15,0))</f>
        <v>#N/A</v>
      </c>
      <c r="T99" s="52" t="str">
        <f>IF($J99="Formación Técnica Específica",VLOOKUP(IF($J99="Formación Técnica Específica",$B99&amp;"°"&amp;S$1&amp;"°"&amp;$B99&amp;S$1&amp;1&amp;$A99,$B99&amp;"°"&amp;S$1&amp;"°"&amp;$A99),[1]Hoja1!$A:$O,15,0)," ")</f>
        <v xml:space="preserve"> </v>
      </c>
      <c r="U99" s="44" t="e">
        <f>IF($J99="Formación Técnica Específica",VLOOKUP(IF($J99="Formación Técnica Específica",$B99&amp;"°"&amp;U$1&amp;"°"&amp;$B99&amp;U$1&amp;1&amp;$A99,$B99&amp;"°"&amp;U$1&amp;"°"&amp;$A99),[1]Hoja1!$A:$O,15,0),VLOOKUP(IF($J99="Formación Técnica Específica",$B99&amp;"°"&amp;U$1&amp;"°"&amp;$B99&amp;U$1&amp;1&amp;$A99,$B99&amp;"°"&amp;U$1&amp;"°"&amp;$A99),[1]Hoja1!$A:$O,15,0))</f>
        <v>#N/A</v>
      </c>
      <c r="V99" s="52" t="str">
        <f>IF($J99="Formación Técnica Específica",VLOOKUP(IF($J99="Formación Técnica Específica",$B99&amp;"°"&amp;U$1&amp;"°"&amp;$B99&amp;U$1&amp;1&amp;$A99,$B99&amp;"°"&amp;U$1&amp;"°"&amp;$A99),[1]Hoja1!$A:$O,15,0)," ")</f>
        <v xml:space="preserve"> </v>
      </c>
      <c r="W99" s="44" t="e">
        <f>IF($J99="Formación Técnica Específica",VLOOKUP(IF($J99="Formación Técnica Específica",$B99&amp;"°"&amp;W$1&amp;"°"&amp;$B99&amp;W$1&amp;1&amp;$A99,$B99&amp;"°"&amp;W$1&amp;"°"&amp;$A99),[1]Hoja1!$A:$O,15,0),VLOOKUP(IF($J99="Formación Técnica Específica",$B99&amp;"°"&amp;W$1&amp;"°"&amp;$B99&amp;W$1&amp;1&amp;$A99,$B99&amp;"°"&amp;W$1&amp;"°"&amp;$A99),[1]Hoja1!$A:$O,15,0))</f>
        <v>#N/A</v>
      </c>
      <c r="X99" s="52" t="str">
        <f>IF($J99="Formación Técnica Específica",VLOOKUP(IF($J99="Formación Técnica Específica",$B99&amp;"°"&amp;W$1&amp;"°"&amp;$B99&amp;W$1&amp;1&amp;$A99,$B99&amp;"°"&amp;W$1&amp;"°"&amp;$A99),[1]Hoja1!$A:$O,15,0)," ")</f>
        <v xml:space="preserve"> </v>
      </c>
    </row>
    <row r="100" spans="1:24" x14ac:dyDescent="0.25">
      <c r="A100" s="30" t="str">
        <f t="shared" si="7"/>
        <v>6IARTE</v>
      </c>
      <c r="B100" s="4">
        <v>6</v>
      </c>
      <c r="C100" s="4" t="s">
        <v>10</v>
      </c>
      <c r="D100" s="4" t="s">
        <v>65</v>
      </c>
      <c r="E100" s="7" t="s">
        <v>66</v>
      </c>
      <c r="F100" s="3">
        <v>5</v>
      </c>
      <c r="G100" s="4" t="s">
        <v>200</v>
      </c>
      <c r="H100" s="4" t="s">
        <v>201</v>
      </c>
      <c r="I100" s="3">
        <v>2</v>
      </c>
      <c r="J100" s="6" t="s">
        <v>290</v>
      </c>
      <c r="K100" s="31" t="s">
        <v>200</v>
      </c>
      <c r="L100" t="str">
        <f t="shared" si="5"/>
        <v>6°5</v>
      </c>
      <c r="M100" s="31"/>
      <c r="N100" s="63" t="str">
        <f t="shared" si="6"/>
        <v>6°5</v>
      </c>
      <c r="O100" s="44" t="str">
        <f>IF($J100="Formación Técnica Específica",VLOOKUP(IF($J100="Formación Técnica Específica",$B100&amp;"°"&amp;O$1&amp;"°"&amp;$B100&amp;O$1&amp;1&amp;$A100,$B100&amp;"°"&amp;O$1&amp;"°"&amp;$A100),[1]Hoja1!$A:$O,15,0),VLOOKUP(IF($J100="Formación Técnica Específica",$B100&amp;"°"&amp;O$1&amp;"°"&amp;$B100&amp;O$1&amp;1&amp;$A100,$B100&amp;"°"&amp;O$1&amp;"°"&amp;$A100),[1]Hoja1!$A:$O,15,0))</f>
        <v>GOMEZ MARCELA</v>
      </c>
      <c r="P100" s="52" t="str">
        <f>IF($J100="Formación Técnica Específica",VLOOKUP(IF($J100="Formación Técnica Específica",$B100&amp;"°"&amp;O$1&amp;"°"&amp;$B100&amp;O$1&amp;1&amp;$A100,$B100&amp;"°"&amp;O$1&amp;"°"&amp;$A100),[1]Hoja1!$A:$O,15,0)," ")</f>
        <v xml:space="preserve"> </v>
      </c>
      <c r="Q100" s="44" t="str">
        <f>IF($J100="Formación Técnica Específica",VLOOKUP(IF($J100="Formación Técnica Específica",$B100&amp;"°"&amp;Q$1&amp;"°"&amp;$B100&amp;Q$1&amp;1&amp;$A100,$B100&amp;"°"&amp;Q$1&amp;"°"&amp;$A100),[1]Hoja1!$A:$O,15,0),VLOOKUP(IF($J100="Formación Técnica Específica",$B100&amp;"°"&amp;Q$1&amp;"°"&amp;$B100&amp;Q$1&amp;1&amp;$A100,$B100&amp;"°"&amp;Q$1&amp;"°"&amp;$A100),[1]Hoja1!$A:$O,15,0))</f>
        <v>GOMEZ, PATRICIA INT 2026</v>
      </c>
      <c r="R100" s="52" t="str">
        <f>IF($J100="Formación Técnica Específica",VLOOKUP(IF($J100="Formación Técnica Específica",$B100&amp;"°"&amp;Q$1&amp;"°"&amp;$B100&amp;Q$1&amp;1&amp;$A100,$B100&amp;"°"&amp;Q$1&amp;"°"&amp;$A100),[1]Hoja1!$A:$O,15,0)," ")</f>
        <v xml:space="preserve"> </v>
      </c>
      <c r="S100" s="44" t="e">
        <f>IF($J100="Formación Técnica Específica",VLOOKUP(IF($J100="Formación Técnica Específica",$B100&amp;"°"&amp;S$1&amp;"°"&amp;$B100&amp;S$1&amp;1&amp;$A100,$B100&amp;"°"&amp;S$1&amp;"°"&amp;$A100),[1]Hoja1!$A:$O,15,0),VLOOKUP(IF($J100="Formación Técnica Específica",$B100&amp;"°"&amp;S$1&amp;"°"&amp;$B100&amp;S$1&amp;1&amp;$A100,$B100&amp;"°"&amp;S$1&amp;"°"&amp;$A100),[1]Hoja1!$A:$O,15,0))</f>
        <v>#N/A</v>
      </c>
      <c r="T100" s="52" t="str">
        <f>IF($J100="Formación Técnica Específica",VLOOKUP(IF($J100="Formación Técnica Específica",$B100&amp;"°"&amp;S$1&amp;"°"&amp;$B100&amp;S$1&amp;1&amp;$A100,$B100&amp;"°"&amp;S$1&amp;"°"&amp;$A100),[1]Hoja1!$A:$O,15,0)," ")</f>
        <v xml:space="preserve"> </v>
      </c>
      <c r="U100" s="44" t="e">
        <f>IF($J100="Formación Técnica Específica",VLOOKUP(IF($J100="Formación Técnica Específica",$B100&amp;"°"&amp;U$1&amp;"°"&amp;$B100&amp;U$1&amp;1&amp;$A100,$B100&amp;"°"&amp;U$1&amp;"°"&amp;$A100),[1]Hoja1!$A:$O,15,0),VLOOKUP(IF($J100="Formación Técnica Específica",$B100&amp;"°"&amp;U$1&amp;"°"&amp;$B100&amp;U$1&amp;1&amp;$A100,$B100&amp;"°"&amp;U$1&amp;"°"&amp;$A100),[1]Hoja1!$A:$O,15,0))</f>
        <v>#N/A</v>
      </c>
      <c r="V100" s="52" t="str">
        <f>IF($J100="Formación Técnica Específica",VLOOKUP(IF($J100="Formación Técnica Específica",$B100&amp;"°"&amp;U$1&amp;"°"&amp;$B100&amp;U$1&amp;1&amp;$A100,$B100&amp;"°"&amp;U$1&amp;"°"&amp;$A100),[1]Hoja1!$A:$O,15,0)," ")</f>
        <v xml:space="preserve"> </v>
      </c>
      <c r="W100" s="44" t="e">
        <f>IF($J100="Formación Técnica Específica",VLOOKUP(IF($J100="Formación Técnica Específica",$B100&amp;"°"&amp;W$1&amp;"°"&amp;$B100&amp;W$1&amp;1&amp;$A100,$B100&amp;"°"&amp;W$1&amp;"°"&amp;$A100),[1]Hoja1!$A:$O,15,0),VLOOKUP(IF($J100="Formación Técnica Específica",$B100&amp;"°"&amp;W$1&amp;"°"&amp;$B100&amp;W$1&amp;1&amp;$A100,$B100&amp;"°"&amp;W$1&amp;"°"&amp;$A100),[1]Hoja1!$A:$O,15,0))</f>
        <v>#N/A</v>
      </c>
      <c r="X100" s="52" t="str">
        <f>IF($J100="Formación Técnica Específica",VLOOKUP(IF($J100="Formación Técnica Específica",$B100&amp;"°"&amp;W$1&amp;"°"&amp;$B100&amp;W$1&amp;1&amp;$A100,$B100&amp;"°"&amp;W$1&amp;"°"&amp;$A100),[1]Hoja1!$A:$O,15,0)," ")</f>
        <v xml:space="preserve"> </v>
      </c>
    </row>
    <row r="101" spans="1:24" x14ac:dyDescent="0.25">
      <c r="A101" s="30" t="str">
        <f t="shared" si="7"/>
        <v>6IMATAP</v>
      </c>
      <c r="B101" s="4">
        <v>6</v>
      </c>
      <c r="C101" s="4" t="s">
        <v>10</v>
      </c>
      <c r="D101" s="4" t="s">
        <v>65</v>
      </c>
      <c r="E101" s="7" t="s">
        <v>66</v>
      </c>
      <c r="F101" s="3">
        <v>6</v>
      </c>
      <c r="G101" s="4" t="s">
        <v>202</v>
      </c>
      <c r="H101" s="4" t="s">
        <v>203</v>
      </c>
      <c r="I101" s="3">
        <v>2</v>
      </c>
      <c r="J101" s="6" t="s">
        <v>290</v>
      </c>
      <c r="K101" s="31" t="s">
        <v>204</v>
      </c>
      <c r="L101" t="str">
        <f t="shared" si="5"/>
        <v>6°6</v>
      </c>
      <c r="M101" s="31"/>
      <c r="N101" s="63" t="str">
        <f t="shared" si="6"/>
        <v>6°6</v>
      </c>
      <c r="O101" s="44" t="str">
        <f>IF($J101="Formación Técnica Específica",VLOOKUP(IF($J101="Formación Técnica Específica",$B101&amp;"°"&amp;O$1&amp;"°"&amp;$B101&amp;O$1&amp;1&amp;$A101,$B101&amp;"°"&amp;O$1&amp;"°"&amp;$A101),[1]Hoja1!$A:$O,15,0),VLOOKUP(IF($J101="Formación Técnica Específica",$B101&amp;"°"&amp;O$1&amp;"°"&amp;$B101&amp;O$1&amp;1&amp;$A101,$B101&amp;"°"&amp;O$1&amp;"°"&amp;$A101),[1]Hoja1!$A:$O,15,0))</f>
        <v>GARCIA CLAUDIA</v>
      </c>
      <c r="P101" s="52" t="str">
        <f>IF($J101="Formación Técnica Específica",VLOOKUP(IF($J101="Formación Técnica Específica",$B101&amp;"°"&amp;O$1&amp;"°"&amp;$B101&amp;O$1&amp;1&amp;$A101,$B101&amp;"°"&amp;O$1&amp;"°"&amp;$A101),[1]Hoja1!$A:$O,15,0)," ")</f>
        <v xml:space="preserve"> </v>
      </c>
      <c r="Q101" s="44" t="str">
        <f>IF($J101="Formación Técnica Específica",VLOOKUP(IF($J101="Formación Técnica Específica",$B101&amp;"°"&amp;Q$1&amp;"°"&amp;$B101&amp;Q$1&amp;1&amp;$A101,$B101&amp;"°"&amp;Q$1&amp;"°"&amp;$A101),[1]Hoja1!$A:$O,15,0),VLOOKUP(IF($J101="Formación Técnica Específica",$B101&amp;"°"&amp;Q$1&amp;"°"&amp;$B101&amp;Q$1&amp;1&amp;$A101,$B101&amp;"°"&amp;Q$1&amp;"°"&amp;$A101),[1]Hoja1!$A:$O,15,0))</f>
        <v>GUADAGNO CLAUDIA</v>
      </c>
      <c r="R101" s="52" t="str">
        <f>IF($J101="Formación Técnica Específica",VLOOKUP(IF($J101="Formación Técnica Específica",$B101&amp;"°"&amp;Q$1&amp;"°"&amp;$B101&amp;Q$1&amp;1&amp;$A101,$B101&amp;"°"&amp;Q$1&amp;"°"&amp;$A101),[1]Hoja1!$A:$O,15,0)," ")</f>
        <v xml:space="preserve"> </v>
      </c>
      <c r="S101" s="44" t="e">
        <f>IF($J101="Formación Técnica Específica",VLOOKUP(IF($J101="Formación Técnica Específica",$B101&amp;"°"&amp;S$1&amp;"°"&amp;$B101&amp;S$1&amp;1&amp;$A101,$B101&amp;"°"&amp;S$1&amp;"°"&amp;$A101),[1]Hoja1!$A:$O,15,0),VLOOKUP(IF($J101="Formación Técnica Específica",$B101&amp;"°"&amp;S$1&amp;"°"&amp;$B101&amp;S$1&amp;1&amp;$A101,$B101&amp;"°"&amp;S$1&amp;"°"&amp;$A101),[1]Hoja1!$A:$O,15,0))</f>
        <v>#N/A</v>
      </c>
      <c r="T101" s="52" t="str">
        <f>IF($J101="Formación Técnica Específica",VLOOKUP(IF($J101="Formación Técnica Específica",$B101&amp;"°"&amp;S$1&amp;"°"&amp;$B101&amp;S$1&amp;1&amp;$A101,$B101&amp;"°"&amp;S$1&amp;"°"&amp;$A101),[1]Hoja1!$A:$O,15,0)," ")</f>
        <v xml:space="preserve"> </v>
      </c>
      <c r="U101" s="44" t="e">
        <f>IF($J101="Formación Técnica Específica",VLOOKUP(IF($J101="Formación Técnica Específica",$B101&amp;"°"&amp;U$1&amp;"°"&amp;$B101&amp;U$1&amp;1&amp;$A101,$B101&amp;"°"&amp;U$1&amp;"°"&amp;$A101),[1]Hoja1!$A:$O,15,0),VLOOKUP(IF($J101="Formación Técnica Específica",$B101&amp;"°"&amp;U$1&amp;"°"&amp;$B101&amp;U$1&amp;1&amp;$A101,$B101&amp;"°"&amp;U$1&amp;"°"&amp;$A101),[1]Hoja1!$A:$O,15,0))</f>
        <v>#N/A</v>
      </c>
      <c r="V101" s="52" t="str">
        <f>IF($J101="Formación Técnica Específica",VLOOKUP(IF($J101="Formación Técnica Específica",$B101&amp;"°"&amp;U$1&amp;"°"&amp;$B101&amp;U$1&amp;1&amp;$A101,$B101&amp;"°"&amp;U$1&amp;"°"&amp;$A101),[1]Hoja1!$A:$O,15,0)," ")</f>
        <v xml:space="preserve"> </v>
      </c>
      <c r="W101" s="44" t="e">
        <f>IF($J101="Formación Técnica Específica",VLOOKUP(IF($J101="Formación Técnica Específica",$B101&amp;"°"&amp;W$1&amp;"°"&amp;$B101&amp;W$1&amp;1&amp;$A101,$B101&amp;"°"&amp;W$1&amp;"°"&amp;$A101),[1]Hoja1!$A:$O,15,0),VLOOKUP(IF($J101="Formación Técnica Específica",$B101&amp;"°"&amp;W$1&amp;"°"&amp;$B101&amp;W$1&amp;1&amp;$A101,$B101&amp;"°"&amp;W$1&amp;"°"&amp;$A101),[1]Hoja1!$A:$O,15,0))</f>
        <v>#N/A</v>
      </c>
      <c r="X101" s="52" t="str">
        <f>IF($J101="Formación Técnica Específica",VLOOKUP(IF($J101="Formación Técnica Específica",$B101&amp;"°"&amp;W$1&amp;"°"&amp;$B101&amp;W$1&amp;1&amp;$A101,$B101&amp;"°"&amp;W$1&amp;"°"&amp;$A101),[1]Hoja1!$A:$O,15,0)," ")</f>
        <v xml:space="preserve"> </v>
      </c>
    </row>
    <row r="102" spans="1:24" x14ac:dyDescent="0.25">
      <c r="A102" s="30" t="str">
        <f t="shared" si="7"/>
        <v>6ISIDI6</v>
      </c>
      <c r="B102" s="4">
        <v>6</v>
      </c>
      <c r="C102" s="4" t="s">
        <v>10</v>
      </c>
      <c r="D102" s="4" t="s">
        <v>65</v>
      </c>
      <c r="E102" s="7" t="s">
        <v>66</v>
      </c>
      <c r="F102" s="3">
        <v>7</v>
      </c>
      <c r="G102" s="4" t="s">
        <v>205</v>
      </c>
      <c r="H102" s="4" t="s">
        <v>150</v>
      </c>
      <c r="I102" s="3">
        <v>3</v>
      </c>
      <c r="J102" s="6" t="s">
        <v>290</v>
      </c>
      <c r="K102" s="31" t="s">
        <v>151</v>
      </c>
      <c r="L102" t="str">
        <f t="shared" si="5"/>
        <v>6°7</v>
      </c>
      <c r="M102" s="31"/>
      <c r="N102" s="63" t="str">
        <f t="shared" si="6"/>
        <v>6°7</v>
      </c>
      <c r="O102" s="44" t="str">
        <f>IF($J102="Formación Técnica Específica",VLOOKUP(IF($J102="Formación Técnica Específica",$B102&amp;"°"&amp;O$1&amp;"°"&amp;$B102&amp;O$1&amp;1&amp;$A102,$B102&amp;"°"&amp;O$1&amp;"°"&amp;$A102),[1]Hoja1!$A:$O,15,0),VLOOKUP(IF($J102="Formación Técnica Específica",$B102&amp;"°"&amp;O$1&amp;"°"&amp;$B102&amp;O$1&amp;1&amp;$A102,$B102&amp;"°"&amp;O$1&amp;"°"&amp;$A102),[1]Hoja1!$A:$O,15,0))</f>
        <v>MONTES IVAN</v>
      </c>
      <c r="P102" s="52" t="str">
        <f>IF($J102="Formación Técnica Específica",VLOOKUP(IF($J102="Formación Técnica Específica",$B102&amp;"°"&amp;O$1&amp;"°"&amp;$B102&amp;O$1&amp;1&amp;$A102,$B102&amp;"°"&amp;O$1&amp;"°"&amp;$A102),[1]Hoja1!$A:$O,15,0)," ")</f>
        <v xml:space="preserve"> </v>
      </c>
      <c r="Q102" s="44" t="str">
        <f>IF($J102="Formación Técnica Específica",VLOOKUP(IF($J102="Formación Técnica Específica",$B102&amp;"°"&amp;Q$1&amp;"°"&amp;$B102&amp;Q$1&amp;1&amp;$A102,$B102&amp;"°"&amp;Q$1&amp;"°"&amp;$A102),[1]Hoja1!$A:$O,15,0),VLOOKUP(IF($J102="Formación Técnica Específica",$B102&amp;"°"&amp;Q$1&amp;"°"&amp;$B102&amp;Q$1&amp;1&amp;$A102,$B102&amp;"°"&amp;Q$1&amp;"°"&amp;$A102),[1]Hoja1!$A:$O,15,0))</f>
        <v>MONTES IVAN</v>
      </c>
      <c r="R102" s="52" t="str">
        <f>IF($J102="Formación Técnica Específica",VLOOKUP(IF($J102="Formación Técnica Específica",$B102&amp;"°"&amp;Q$1&amp;"°"&amp;$B102&amp;Q$1&amp;1&amp;$A102,$B102&amp;"°"&amp;Q$1&amp;"°"&amp;$A102),[1]Hoja1!$A:$O,15,0)," ")</f>
        <v xml:space="preserve"> </v>
      </c>
      <c r="S102" s="44" t="e">
        <f>IF($J102="Formación Técnica Específica",VLOOKUP(IF($J102="Formación Técnica Específica",$B102&amp;"°"&amp;S$1&amp;"°"&amp;$B102&amp;S$1&amp;1&amp;$A102,$B102&amp;"°"&amp;S$1&amp;"°"&amp;$A102),[1]Hoja1!$A:$O,15,0),VLOOKUP(IF($J102="Formación Técnica Específica",$B102&amp;"°"&amp;S$1&amp;"°"&amp;$B102&amp;S$1&amp;1&amp;$A102,$B102&amp;"°"&amp;S$1&amp;"°"&amp;$A102),[1]Hoja1!$A:$O,15,0))</f>
        <v>#N/A</v>
      </c>
      <c r="T102" s="52" t="str">
        <f>IF($J102="Formación Técnica Específica",VLOOKUP(IF($J102="Formación Técnica Específica",$B102&amp;"°"&amp;S$1&amp;"°"&amp;$B102&amp;S$1&amp;1&amp;$A102,$B102&amp;"°"&amp;S$1&amp;"°"&amp;$A102),[1]Hoja1!$A:$O,15,0)," ")</f>
        <v xml:space="preserve"> </v>
      </c>
      <c r="U102" s="44" t="e">
        <f>IF($J102="Formación Técnica Específica",VLOOKUP(IF($J102="Formación Técnica Específica",$B102&amp;"°"&amp;U$1&amp;"°"&amp;$B102&amp;U$1&amp;1&amp;$A102,$B102&amp;"°"&amp;U$1&amp;"°"&amp;$A102),[1]Hoja1!$A:$O,15,0),VLOOKUP(IF($J102="Formación Técnica Específica",$B102&amp;"°"&amp;U$1&amp;"°"&amp;$B102&amp;U$1&amp;1&amp;$A102,$B102&amp;"°"&amp;U$1&amp;"°"&amp;$A102),[1]Hoja1!$A:$O,15,0))</f>
        <v>#N/A</v>
      </c>
      <c r="V102" s="52" t="str">
        <f>IF($J102="Formación Técnica Específica",VLOOKUP(IF($J102="Formación Técnica Específica",$B102&amp;"°"&amp;U$1&amp;"°"&amp;$B102&amp;U$1&amp;1&amp;$A102,$B102&amp;"°"&amp;U$1&amp;"°"&amp;$A102),[1]Hoja1!$A:$O,15,0)," ")</f>
        <v xml:space="preserve"> </v>
      </c>
      <c r="W102" s="44" t="e">
        <f>IF($J102="Formación Técnica Específica",VLOOKUP(IF($J102="Formación Técnica Específica",$B102&amp;"°"&amp;W$1&amp;"°"&amp;$B102&amp;W$1&amp;1&amp;$A102,$B102&amp;"°"&amp;W$1&amp;"°"&amp;$A102),[1]Hoja1!$A:$O,15,0),VLOOKUP(IF($J102="Formación Técnica Específica",$B102&amp;"°"&amp;W$1&amp;"°"&amp;$B102&amp;W$1&amp;1&amp;$A102,$B102&amp;"°"&amp;W$1&amp;"°"&amp;$A102),[1]Hoja1!$A:$O,15,0))</f>
        <v>#N/A</v>
      </c>
      <c r="X102" s="52" t="str">
        <f>IF($J102="Formación Técnica Específica",VLOOKUP(IF($J102="Formación Técnica Específica",$B102&amp;"°"&amp;W$1&amp;"°"&amp;$B102&amp;W$1&amp;1&amp;$A102,$B102&amp;"°"&amp;W$1&amp;"°"&amp;$A102),[1]Hoja1!$A:$O,15,0)," ")</f>
        <v xml:space="preserve"> </v>
      </c>
    </row>
    <row r="103" spans="1:24" x14ac:dyDescent="0.25">
      <c r="A103" s="30" t="str">
        <f t="shared" si="7"/>
        <v>6IINVOP</v>
      </c>
      <c r="B103" s="4">
        <v>6</v>
      </c>
      <c r="C103" s="4" t="s">
        <v>10</v>
      </c>
      <c r="D103" s="4" t="s">
        <v>65</v>
      </c>
      <c r="E103" s="7" t="s">
        <v>66</v>
      </c>
      <c r="F103" s="3">
        <v>8</v>
      </c>
      <c r="G103" s="4" t="s">
        <v>206</v>
      </c>
      <c r="H103" s="4" t="s">
        <v>207</v>
      </c>
      <c r="I103" s="3">
        <v>3</v>
      </c>
      <c r="J103" s="6" t="s">
        <v>290</v>
      </c>
      <c r="K103" s="31" t="s">
        <v>208</v>
      </c>
      <c r="L103" t="str">
        <f t="shared" si="5"/>
        <v>6°8</v>
      </c>
      <c r="M103" s="31"/>
      <c r="N103" s="63" t="str">
        <f t="shared" si="6"/>
        <v>6°8</v>
      </c>
      <c r="O103" s="44" t="str">
        <f>IF($J103="Formación Técnica Específica",VLOOKUP(IF($J103="Formación Técnica Específica",$B103&amp;"°"&amp;O$1&amp;"°"&amp;$B103&amp;O$1&amp;1&amp;$A103,$B103&amp;"°"&amp;O$1&amp;"°"&amp;$A103),[1]Hoja1!$A:$O,15,0),VLOOKUP(IF($J103="Formación Técnica Específica",$B103&amp;"°"&amp;O$1&amp;"°"&amp;$B103&amp;O$1&amp;1&amp;$A103,$B103&amp;"°"&amp;O$1&amp;"°"&amp;$A103),[1]Hoja1!$A:$O,15,0))</f>
        <v>VALDES MARIA</v>
      </c>
      <c r="P103" s="52" t="str">
        <f>IF($J103="Formación Técnica Específica",VLOOKUP(IF($J103="Formación Técnica Específica",$B103&amp;"°"&amp;O$1&amp;"°"&amp;$B103&amp;O$1&amp;1&amp;$A103,$B103&amp;"°"&amp;O$1&amp;"°"&amp;$A103),[1]Hoja1!$A:$O,15,0)," ")</f>
        <v xml:space="preserve"> </v>
      </c>
      <c r="Q103" s="44" t="str">
        <f>IF($J103="Formación Técnica Específica",VLOOKUP(IF($J103="Formación Técnica Específica",$B103&amp;"°"&amp;Q$1&amp;"°"&amp;$B103&amp;Q$1&amp;1&amp;$A103,$B103&amp;"°"&amp;Q$1&amp;"°"&amp;$A103),[1]Hoja1!$A:$O,15,0),VLOOKUP(IF($J103="Formación Técnica Específica",$B103&amp;"°"&amp;Q$1&amp;"°"&amp;$B103&amp;Q$1&amp;1&amp;$A103,$B103&amp;"°"&amp;Q$1&amp;"°"&amp;$A103),[1]Hoja1!$A:$O,15,0))</f>
        <v>MONTENEGRO</v>
      </c>
      <c r="R103" s="52" t="str">
        <f>IF($J103="Formación Técnica Específica",VLOOKUP(IF($J103="Formación Técnica Específica",$B103&amp;"°"&amp;Q$1&amp;"°"&amp;$B103&amp;Q$1&amp;1&amp;$A103,$B103&amp;"°"&amp;Q$1&amp;"°"&amp;$A103),[1]Hoja1!$A:$O,15,0)," ")</f>
        <v xml:space="preserve"> </v>
      </c>
      <c r="S103" s="44" t="e">
        <f>IF($J103="Formación Técnica Específica",VLOOKUP(IF($J103="Formación Técnica Específica",$B103&amp;"°"&amp;S$1&amp;"°"&amp;$B103&amp;S$1&amp;1&amp;$A103,$B103&amp;"°"&amp;S$1&amp;"°"&amp;$A103),[1]Hoja1!$A:$O,15,0),VLOOKUP(IF($J103="Formación Técnica Específica",$B103&amp;"°"&amp;S$1&amp;"°"&amp;$B103&amp;S$1&amp;1&amp;$A103,$B103&amp;"°"&amp;S$1&amp;"°"&amp;$A103),[1]Hoja1!$A:$O,15,0))</f>
        <v>#N/A</v>
      </c>
      <c r="T103" s="52" t="str">
        <f>IF($J103="Formación Técnica Específica",VLOOKUP(IF($J103="Formación Técnica Específica",$B103&amp;"°"&amp;S$1&amp;"°"&amp;$B103&amp;S$1&amp;1&amp;$A103,$B103&amp;"°"&amp;S$1&amp;"°"&amp;$A103),[1]Hoja1!$A:$O,15,0)," ")</f>
        <v xml:space="preserve"> </v>
      </c>
      <c r="U103" s="44" t="e">
        <f>IF($J103="Formación Técnica Específica",VLOOKUP(IF($J103="Formación Técnica Específica",$B103&amp;"°"&amp;U$1&amp;"°"&amp;$B103&amp;U$1&amp;1&amp;$A103,$B103&amp;"°"&amp;U$1&amp;"°"&amp;$A103),[1]Hoja1!$A:$O,15,0),VLOOKUP(IF($J103="Formación Técnica Específica",$B103&amp;"°"&amp;U$1&amp;"°"&amp;$B103&amp;U$1&amp;1&amp;$A103,$B103&amp;"°"&amp;U$1&amp;"°"&amp;$A103),[1]Hoja1!$A:$O,15,0))</f>
        <v>#N/A</v>
      </c>
      <c r="V103" s="52" t="str">
        <f>IF($J103="Formación Técnica Específica",VLOOKUP(IF($J103="Formación Técnica Específica",$B103&amp;"°"&amp;U$1&amp;"°"&amp;$B103&amp;U$1&amp;1&amp;$A103,$B103&amp;"°"&amp;U$1&amp;"°"&amp;$A103),[1]Hoja1!$A:$O,15,0)," ")</f>
        <v xml:space="preserve"> </v>
      </c>
      <c r="W103" s="44" t="e">
        <f>IF($J103="Formación Técnica Específica",VLOOKUP(IF($J103="Formación Técnica Específica",$B103&amp;"°"&amp;W$1&amp;"°"&amp;$B103&amp;W$1&amp;1&amp;$A103,$B103&amp;"°"&amp;W$1&amp;"°"&amp;$A103),[1]Hoja1!$A:$O,15,0),VLOOKUP(IF($J103="Formación Técnica Específica",$B103&amp;"°"&amp;W$1&amp;"°"&amp;$B103&amp;W$1&amp;1&amp;$A103,$B103&amp;"°"&amp;W$1&amp;"°"&amp;$A103),[1]Hoja1!$A:$O,15,0))</f>
        <v>#N/A</v>
      </c>
      <c r="X103" s="52" t="str">
        <f>IF($J103="Formación Técnica Específica",VLOOKUP(IF($J103="Formación Técnica Específica",$B103&amp;"°"&amp;W$1&amp;"°"&amp;$B103&amp;W$1&amp;1&amp;$A103,$B103&amp;"°"&amp;W$1&amp;"°"&amp;$A103),[1]Hoja1!$A:$O,15,0)," ")</f>
        <v xml:space="preserve"> </v>
      </c>
    </row>
    <row r="104" spans="1:24" x14ac:dyDescent="0.25">
      <c r="A104" s="30" t="str">
        <f t="shared" si="7"/>
        <v>6ISEIN</v>
      </c>
      <c r="B104" s="4">
        <v>6</v>
      </c>
      <c r="C104" s="4" t="s">
        <v>10</v>
      </c>
      <c r="D104" s="4" t="s">
        <v>65</v>
      </c>
      <c r="E104" s="7" t="s">
        <v>66</v>
      </c>
      <c r="F104" s="3">
        <v>9</v>
      </c>
      <c r="G104" s="4" t="s">
        <v>209</v>
      </c>
      <c r="H104" s="4" t="s">
        <v>210</v>
      </c>
      <c r="I104" s="3">
        <v>3</v>
      </c>
      <c r="J104" s="6" t="s">
        <v>290</v>
      </c>
      <c r="K104" s="31" t="s">
        <v>211</v>
      </c>
      <c r="L104" t="str">
        <f t="shared" si="5"/>
        <v>6°9</v>
      </c>
      <c r="M104" s="31"/>
      <c r="N104" s="63" t="str">
        <f t="shared" si="6"/>
        <v>6°9</v>
      </c>
      <c r="O104" s="44" t="str">
        <f>IF($J104="Formación Técnica Específica",VLOOKUP(IF($J104="Formación Técnica Específica",$B104&amp;"°"&amp;O$1&amp;"°"&amp;$B104&amp;O$1&amp;1&amp;$A104,$B104&amp;"°"&amp;O$1&amp;"°"&amp;$A104),[1]Hoja1!$A:$O,15,0),VLOOKUP(IF($J104="Formación Técnica Específica",$B104&amp;"°"&amp;O$1&amp;"°"&amp;$B104&amp;O$1&amp;1&amp;$A104,$B104&amp;"°"&amp;O$1&amp;"°"&amp;$A104),[1]Hoja1!$A:$O,15,0))</f>
        <v>MONTENEGRO CLAUIDA</v>
      </c>
      <c r="P104" s="52" t="str">
        <f>IF($J104="Formación Técnica Específica",VLOOKUP(IF($J104="Formación Técnica Específica",$B104&amp;"°"&amp;O$1&amp;"°"&amp;$B104&amp;O$1&amp;1&amp;$A104,$B104&amp;"°"&amp;O$1&amp;"°"&amp;$A104),[1]Hoja1!$A:$O,15,0)," ")</f>
        <v xml:space="preserve"> </v>
      </c>
      <c r="Q104" s="44" t="str">
        <f>IF($J104="Formación Técnica Específica",VLOOKUP(IF($J104="Formación Técnica Específica",$B104&amp;"°"&amp;Q$1&amp;"°"&amp;$B104&amp;Q$1&amp;1&amp;$A104,$B104&amp;"°"&amp;Q$1&amp;"°"&amp;$A104),[1]Hoja1!$A:$O,15,0),VLOOKUP(IF($J104="Formación Técnica Específica",$B104&amp;"°"&amp;Q$1&amp;"°"&amp;$B104&amp;Q$1&amp;1&amp;$A104,$B104&amp;"°"&amp;Q$1&amp;"°"&amp;$A104),[1]Hoja1!$A:$O,15,0))</f>
        <v>PALAVECINO</v>
      </c>
      <c r="R104" s="52" t="str">
        <f>IF($J104="Formación Técnica Específica",VLOOKUP(IF($J104="Formación Técnica Específica",$B104&amp;"°"&amp;Q$1&amp;"°"&amp;$B104&amp;Q$1&amp;1&amp;$A104,$B104&amp;"°"&amp;Q$1&amp;"°"&amp;$A104),[1]Hoja1!$A:$O,15,0)," ")</f>
        <v xml:space="preserve"> </v>
      </c>
      <c r="S104" s="44" t="e">
        <f>IF($J104="Formación Técnica Específica",VLOOKUP(IF($J104="Formación Técnica Específica",$B104&amp;"°"&amp;S$1&amp;"°"&amp;$B104&amp;S$1&amp;1&amp;$A104,$B104&amp;"°"&amp;S$1&amp;"°"&amp;$A104),[1]Hoja1!$A:$O,15,0),VLOOKUP(IF($J104="Formación Técnica Específica",$B104&amp;"°"&amp;S$1&amp;"°"&amp;$B104&amp;S$1&amp;1&amp;$A104,$B104&amp;"°"&amp;S$1&amp;"°"&amp;$A104),[1]Hoja1!$A:$O,15,0))</f>
        <v>#N/A</v>
      </c>
      <c r="T104" s="52" t="str">
        <f>IF($J104="Formación Técnica Específica",VLOOKUP(IF($J104="Formación Técnica Específica",$B104&amp;"°"&amp;S$1&amp;"°"&amp;$B104&amp;S$1&amp;1&amp;$A104,$B104&amp;"°"&amp;S$1&amp;"°"&amp;$A104),[1]Hoja1!$A:$O,15,0)," ")</f>
        <v xml:space="preserve"> </v>
      </c>
      <c r="U104" s="44" t="e">
        <f>IF($J104="Formación Técnica Específica",VLOOKUP(IF($J104="Formación Técnica Específica",$B104&amp;"°"&amp;U$1&amp;"°"&amp;$B104&amp;U$1&amp;1&amp;$A104,$B104&amp;"°"&amp;U$1&amp;"°"&amp;$A104),[1]Hoja1!$A:$O,15,0),VLOOKUP(IF($J104="Formación Técnica Específica",$B104&amp;"°"&amp;U$1&amp;"°"&amp;$B104&amp;U$1&amp;1&amp;$A104,$B104&amp;"°"&amp;U$1&amp;"°"&amp;$A104),[1]Hoja1!$A:$O,15,0))</f>
        <v>#N/A</v>
      </c>
      <c r="V104" s="52" t="str">
        <f>IF($J104="Formación Técnica Específica",VLOOKUP(IF($J104="Formación Técnica Específica",$B104&amp;"°"&amp;U$1&amp;"°"&amp;$B104&amp;U$1&amp;1&amp;$A104,$B104&amp;"°"&amp;U$1&amp;"°"&amp;$A104),[1]Hoja1!$A:$O,15,0)," ")</f>
        <v xml:space="preserve"> </v>
      </c>
      <c r="W104" s="44" t="e">
        <f>IF($J104="Formación Técnica Específica",VLOOKUP(IF($J104="Formación Técnica Específica",$B104&amp;"°"&amp;W$1&amp;"°"&amp;$B104&amp;W$1&amp;1&amp;$A104,$B104&amp;"°"&amp;W$1&amp;"°"&amp;$A104),[1]Hoja1!$A:$O,15,0),VLOOKUP(IF($J104="Formación Técnica Específica",$B104&amp;"°"&amp;W$1&amp;"°"&amp;$B104&amp;W$1&amp;1&amp;$A104,$B104&amp;"°"&amp;W$1&amp;"°"&amp;$A104),[1]Hoja1!$A:$O,15,0))</f>
        <v>#N/A</v>
      </c>
      <c r="X104" s="52" t="str">
        <f>IF($J104="Formación Técnica Específica",VLOOKUP(IF($J104="Formación Técnica Específica",$B104&amp;"°"&amp;W$1&amp;"°"&amp;$B104&amp;W$1&amp;1&amp;$A104,$B104&amp;"°"&amp;W$1&amp;"°"&amp;$A104),[1]Hoja1!$A:$O,15,0)," ")</f>
        <v xml:space="preserve"> </v>
      </c>
    </row>
    <row r="105" spans="1:24" x14ac:dyDescent="0.25">
      <c r="A105" s="30" t="str">
        <f t="shared" si="7"/>
        <v>6IDETRA</v>
      </c>
      <c r="B105" s="4">
        <v>6</v>
      </c>
      <c r="C105" s="4" t="s">
        <v>10</v>
      </c>
      <c r="D105" s="4" t="s">
        <v>65</v>
      </c>
      <c r="E105" s="7" t="s">
        <v>66</v>
      </c>
      <c r="F105" s="3">
        <v>10</v>
      </c>
      <c r="G105" s="4" t="s">
        <v>212</v>
      </c>
      <c r="H105" s="4" t="s">
        <v>213</v>
      </c>
      <c r="I105" s="3">
        <v>2</v>
      </c>
      <c r="J105" s="6" t="s">
        <v>290</v>
      </c>
      <c r="K105" s="31" t="s">
        <v>214</v>
      </c>
      <c r="L105" t="str">
        <f t="shared" si="5"/>
        <v>6°10</v>
      </c>
      <c r="M105" s="31"/>
      <c r="N105" s="63" t="str">
        <f t="shared" si="6"/>
        <v>6°10</v>
      </c>
      <c r="O105" s="44">
        <f>IF($J105="Formación Técnica Específica",VLOOKUP(IF($J105="Formación Técnica Específica",$B105&amp;"°"&amp;O$1&amp;"°"&amp;$B105&amp;O$1&amp;1&amp;$A105,$B105&amp;"°"&amp;O$1&amp;"°"&amp;$A105),[1]Hoja1!$A:$O,15,0),VLOOKUP(IF($J105="Formación Técnica Específica",$B105&amp;"°"&amp;O$1&amp;"°"&amp;$B105&amp;O$1&amp;1&amp;$A105,$B105&amp;"°"&amp;O$1&amp;"°"&amp;$A105),[1]Hoja1!$A:$O,15,0))</f>
        <v>0</v>
      </c>
      <c r="P105" s="52" t="str">
        <f>IF($J105="Formación Técnica Específica",VLOOKUP(IF($J105="Formación Técnica Específica",$B105&amp;"°"&amp;O$1&amp;"°"&amp;$B105&amp;O$1&amp;1&amp;$A105,$B105&amp;"°"&amp;O$1&amp;"°"&amp;$A105),[1]Hoja1!$A:$O,15,0)," ")</f>
        <v xml:space="preserve"> </v>
      </c>
      <c r="Q105" s="44">
        <f>IF($J105="Formación Técnica Específica",VLOOKUP(IF($J105="Formación Técnica Específica",$B105&amp;"°"&amp;Q$1&amp;"°"&amp;$B105&amp;Q$1&amp;1&amp;$A105,$B105&amp;"°"&amp;Q$1&amp;"°"&amp;$A105),[1]Hoja1!$A:$O,15,0),VLOOKUP(IF($J105="Formación Técnica Específica",$B105&amp;"°"&amp;Q$1&amp;"°"&amp;$B105&amp;Q$1&amp;1&amp;$A105,$B105&amp;"°"&amp;Q$1&amp;"°"&amp;$A105),[1]Hoja1!$A:$O,15,0))</f>
        <v>0</v>
      </c>
      <c r="R105" s="52" t="str">
        <f>IF($J105="Formación Técnica Específica",VLOOKUP(IF($J105="Formación Técnica Específica",$B105&amp;"°"&amp;Q$1&amp;"°"&amp;$B105&amp;Q$1&amp;1&amp;$A105,$B105&amp;"°"&amp;Q$1&amp;"°"&amp;$A105),[1]Hoja1!$A:$O,15,0)," ")</f>
        <v xml:space="preserve"> </v>
      </c>
      <c r="S105" s="44" t="e">
        <f>IF($J105="Formación Técnica Específica",VLOOKUP(IF($J105="Formación Técnica Específica",$B105&amp;"°"&amp;S$1&amp;"°"&amp;$B105&amp;S$1&amp;1&amp;$A105,$B105&amp;"°"&amp;S$1&amp;"°"&amp;$A105),[1]Hoja1!$A:$O,15,0),VLOOKUP(IF($J105="Formación Técnica Específica",$B105&amp;"°"&amp;S$1&amp;"°"&amp;$B105&amp;S$1&amp;1&amp;$A105,$B105&amp;"°"&amp;S$1&amp;"°"&amp;$A105),[1]Hoja1!$A:$O,15,0))</f>
        <v>#N/A</v>
      </c>
      <c r="T105" s="52" t="str">
        <f>IF($J105="Formación Técnica Específica",VLOOKUP(IF($J105="Formación Técnica Específica",$B105&amp;"°"&amp;S$1&amp;"°"&amp;$B105&amp;S$1&amp;1&amp;$A105,$B105&amp;"°"&amp;S$1&amp;"°"&amp;$A105),[1]Hoja1!$A:$O,15,0)," ")</f>
        <v xml:space="preserve"> </v>
      </c>
      <c r="U105" s="44" t="e">
        <f>IF($J105="Formación Técnica Específica",VLOOKUP(IF($J105="Formación Técnica Específica",$B105&amp;"°"&amp;U$1&amp;"°"&amp;$B105&amp;U$1&amp;1&amp;$A105,$B105&amp;"°"&amp;U$1&amp;"°"&amp;$A105),[1]Hoja1!$A:$O,15,0),VLOOKUP(IF($J105="Formación Técnica Específica",$B105&amp;"°"&amp;U$1&amp;"°"&amp;$B105&amp;U$1&amp;1&amp;$A105,$B105&amp;"°"&amp;U$1&amp;"°"&amp;$A105),[1]Hoja1!$A:$O,15,0))</f>
        <v>#N/A</v>
      </c>
      <c r="V105" s="52" t="str">
        <f>IF($J105="Formación Técnica Específica",VLOOKUP(IF($J105="Formación Técnica Específica",$B105&amp;"°"&amp;U$1&amp;"°"&amp;$B105&amp;U$1&amp;1&amp;$A105,$B105&amp;"°"&amp;U$1&amp;"°"&amp;$A105),[1]Hoja1!$A:$O,15,0)," ")</f>
        <v xml:space="preserve"> </v>
      </c>
      <c r="W105" s="44" t="e">
        <f>IF($J105="Formación Técnica Específica",VLOOKUP(IF($J105="Formación Técnica Específica",$B105&amp;"°"&amp;W$1&amp;"°"&amp;$B105&amp;W$1&amp;1&amp;$A105,$B105&amp;"°"&amp;W$1&amp;"°"&amp;$A105),[1]Hoja1!$A:$O,15,0),VLOOKUP(IF($J105="Formación Técnica Específica",$B105&amp;"°"&amp;W$1&amp;"°"&amp;$B105&amp;W$1&amp;1&amp;$A105,$B105&amp;"°"&amp;W$1&amp;"°"&amp;$A105),[1]Hoja1!$A:$O,15,0))</f>
        <v>#N/A</v>
      </c>
      <c r="X105" s="52" t="str">
        <f>IF($J105="Formación Técnica Específica",VLOOKUP(IF($J105="Formación Técnica Específica",$B105&amp;"°"&amp;W$1&amp;"°"&amp;$B105&amp;W$1&amp;1&amp;$A105,$B105&amp;"°"&amp;W$1&amp;"°"&amp;$A105),[1]Hoja1!$A:$O,15,0)," ")</f>
        <v xml:space="preserve"> </v>
      </c>
    </row>
    <row r="106" spans="1:24" x14ac:dyDescent="0.25">
      <c r="A106" s="30" t="str">
        <f t="shared" si="7"/>
        <v>6IFTLP6</v>
      </c>
      <c r="B106" s="4">
        <v>6</v>
      </c>
      <c r="C106" s="4" t="s">
        <v>10</v>
      </c>
      <c r="D106" s="4" t="s">
        <v>65</v>
      </c>
      <c r="E106" s="7" t="s">
        <v>66</v>
      </c>
      <c r="F106" s="3">
        <v>11</v>
      </c>
      <c r="G106" s="4" t="s">
        <v>215</v>
      </c>
      <c r="H106" s="4" t="s">
        <v>97</v>
      </c>
      <c r="I106" s="3">
        <v>2</v>
      </c>
      <c r="J106" s="6" t="s">
        <v>33</v>
      </c>
      <c r="K106" s="31" t="s">
        <v>158</v>
      </c>
      <c r="L106" t="str">
        <f t="shared" si="5"/>
        <v>6°11</v>
      </c>
      <c r="M106" s="31"/>
      <c r="N106" s="63" t="str">
        <f t="shared" si="6"/>
        <v>6°11</v>
      </c>
      <c r="O106" s="44" t="str">
        <f>IF($J106="Formación Técnica Específica",VLOOKUP(IF($J106="Formación Técnica Específica",$B106&amp;"°"&amp;O$1&amp;"°"&amp;$B106&amp;O$1&amp;1&amp;$A106,$B106&amp;"°"&amp;O$1&amp;"°"&amp;$A106),[1]Hoja1!$A:$O,15,0),VLOOKUP(IF($J106="Formación Técnica Específica",$B106&amp;"°"&amp;O$1&amp;"°"&amp;$B106&amp;O$1&amp;1&amp;$A106,$B106&amp;"°"&amp;O$1&amp;"°"&amp;$A106),[1]Hoja1!$A:$O,15,0))</f>
        <v>FERREYRA JESICA</v>
      </c>
      <c r="P106" s="52" t="str">
        <f>IF($J106="Formación Técnica Específica",VLOOKUP(IF($J106="Formación Técnica Específica",$B106&amp;"°"&amp;O$1&amp;"°"&amp;$B106&amp;O$1&amp;1&amp;$A106,$B106&amp;"°"&amp;O$1&amp;"°"&amp;$A106),[1]Hoja1!$A:$O,15,0)," ")</f>
        <v>FERREYRA JESICA</v>
      </c>
      <c r="Q106" s="44" t="str">
        <f>IF($J106="Formación Técnica Específica",VLOOKUP(IF($J106="Formación Técnica Específica",$B106&amp;"°"&amp;Q$1&amp;"°"&amp;$B106&amp;Q$1&amp;1&amp;$A106,$B106&amp;"°"&amp;Q$1&amp;"°"&amp;$A106),[1]Hoja1!$A:$O,15,0),VLOOKUP(IF($J106="Formación Técnica Específica",$B106&amp;"°"&amp;Q$1&amp;"°"&amp;$B106&amp;Q$1&amp;1&amp;$A106,$B106&amp;"°"&amp;Q$1&amp;"°"&amp;$A106),[1]Hoja1!$A:$O,15,0))</f>
        <v>WITT GERARDO</v>
      </c>
      <c r="R106" s="52" t="str">
        <f>IF($J106="Formación Técnica Específica",VLOOKUP(IF($J106="Formación Técnica Específica",$B106&amp;"°"&amp;Q$1&amp;"°"&amp;$B106&amp;Q$1&amp;1&amp;$A106,$B106&amp;"°"&amp;Q$1&amp;"°"&amp;$A106),[1]Hoja1!$A:$O,15,0)," ")</f>
        <v>WITT GERARDO</v>
      </c>
      <c r="S106" s="44" t="e">
        <f>IF($J106="Formación Técnica Específica",VLOOKUP(IF($J106="Formación Técnica Específica",$B106&amp;"°"&amp;S$1&amp;"°"&amp;$B106&amp;S$1&amp;1&amp;$A106,$B106&amp;"°"&amp;S$1&amp;"°"&amp;$A106),[1]Hoja1!$A:$O,15,0),VLOOKUP(IF($J106="Formación Técnica Específica",$B106&amp;"°"&amp;S$1&amp;"°"&amp;$B106&amp;S$1&amp;1&amp;$A106,$B106&amp;"°"&amp;S$1&amp;"°"&amp;$A106),[1]Hoja1!$A:$O,15,0))</f>
        <v>#N/A</v>
      </c>
      <c r="T106" s="52" t="e">
        <f>IF($J106="Formación Técnica Específica",VLOOKUP(IF($J106="Formación Técnica Específica",$B106&amp;"°"&amp;S$1&amp;"°"&amp;$B106&amp;S$1&amp;1&amp;$A106,$B106&amp;"°"&amp;S$1&amp;"°"&amp;$A106),[1]Hoja1!$A:$O,15,0)," ")</f>
        <v>#N/A</v>
      </c>
      <c r="U106" s="44" t="e">
        <f>IF($J106="Formación Técnica Específica",VLOOKUP(IF($J106="Formación Técnica Específica",$B106&amp;"°"&amp;U$1&amp;"°"&amp;$B106&amp;U$1&amp;1&amp;$A106,$B106&amp;"°"&amp;U$1&amp;"°"&amp;$A106),[1]Hoja1!$A:$O,15,0),VLOOKUP(IF($J106="Formación Técnica Específica",$B106&amp;"°"&amp;U$1&amp;"°"&amp;$B106&amp;U$1&amp;1&amp;$A106,$B106&amp;"°"&amp;U$1&amp;"°"&amp;$A106),[1]Hoja1!$A:$O,15,0))</f>
        <v>#N/A</v>
      </c>
      <c r="V106" s="52" t="e">
        <f>IF($J106="Formación Técnica Específica",VLOOKUP(IF($J106="Formación Técnica Específica",$B106&amp;"°"&amp;U$1&amp;"°"&amp;$B106&amp;U$1&amp;1&amp;$A106,$B106&amp;"°"&amp;U$1&amp;"°"&amp;$A106),[1]Hoja1!$A:$O,15,0)," ")</f>
        <v>#N/A</v>
      </c>
      <c r="W106" s="44" t="e">
        <f>IF($J106="Formación Técnica Específica",VLOOKUP(IF($J106="Formación Técnica Específica",$B106&amp;"°"&amp;W$1&amp;"°"&amp;$B106&amp;W$1&amp;1&amp;$A106,$B106&amp;"°"&amp;W$1&amp;"°"&amp;$A106),[1]Hoja1!$A:$O,15,0),VLOOKUP(IF($J106="Formación Técnica Específica",$B106&amp;"°"&amp;W$1&amp;"°"&amp;$B106&amp;W$1&amp;1&amp;$A106,$B106&amp;"°"&amp;W$1&amp;"°"&amp;$A106),[1]Hoja1!$A:$O,15,0))</f>
        <v>#N/A</v>
      </c>
      <c r="X106" s="52" t="e">
        <f>IF($J106="Formación Técnica Específica",VLOOKUP(IF($J106="Formación Técnica Específica",$B106&amp;"°"&amp;W$1&amp;"°"&amp;$B106&amp;W$1&amp;1&amp;$A106,$B106&amp;"°"&amp;W$1&amp;"°"&amp;$A106),[1]Hoja1!$A:$O,15,0)," ")</f>
        <v>#N/A</v>
      </c>
    </row>
    <row r="107" spans="1:24" x14ac:dyDescent="0.25">
      <c r="A107" s="30" t="str">
        <f t="shared" si="7"/>
        <v>6IFTLH6</v>
      </c>
      <c r="B107" s="4">
        <v>6</v>
      </c>
      <c r="C107" s="4" t="s">
        <v>10</v>
      </c>
      <c r="D107" s="4" t="s">
        <v>65</v>
      </c>
      <c r="E107" s="7" t="s">
        <v>66</v>
      </c>
      <c r="F107" s="3">
        <v>12</v>
      </c>
      <c r="G107" s="4" t="s">
        <v>216</v>
      </c>
      <c r="H107" s="4" t="s">
        <v>101</v>
      </c>
      <c r="I107" s="3">
        <v>4</v>
      </c>
      <c r="J107" s="6" t="s">
        <v>33</v>
      </c>
      <c r="K107" s="31" t="s">
        <v>217</v>
      </c>
      <c r="L107" t="str">
        <f t="shared" si="5"/>
        <v>6°12</v>
      </c>
      <c r="M107" s="31"/>
      <c r="N107" s="63" t="str">
        <f t="shared" si="6"/>
        <v>6°12</v>
      </c>
      <c r="O107" s="44" t="str">
        <f>IF($J107="Formación Técnica Específica",VLOOKUP(IF($J107="Formación Técnica Específica",$B107&amp;"°"&amp;O$1&amp;"°"&amp;$B107&amp;O$1&amp;1&amp;$A107,$B107&amp;"°"&amp;O$1&amp;"°"&amp;$A107),[1]Hoja1!$A:$O,15,0),VLOOKUP(IF($J107="Formación Técnica Específica",$B107&amp;"°"&amp;O$1&amp;"°"&amp;$B107&amp;O$1&amp;1&amp;$A107,$B107&amp;"°"&amp;O$1&amp;"°"&amp;$A107),[1]Hoja1!$A:$O,15,0))</f>
        <v>ROCHA JULIETA</v>
      </c>
      <c r="P107" s="52" t="str">
        <f>IF($J107="Formación Técnica Específica",VLOOKUP(IF($J107="Formación Técnica Específica",$B107&amp;"°"&amp;O$1&amp;"°"&amp;$B107&amp;O$1&amp;1&amp;$A107,$B107&amp;"°"&amp;O$1&amp;"°"&amp;$A107),[1]Hoja1!$A:$O,15,0)," ")</f>
        <v>ROCHA JULIETA</v>
      </c>
      <c r="Q107" s="44" t="str">
        <f>IF($J107="Formación Técnica Específica",VLOOKUP(IF($J107="Formación Técnica Específica",$B107&amp;"°"&amp;Q$1&amp;"°"&amp;$B107&amp;Q$1&amp;1&amp;$A107,$B107&amp;"°"&amp;Q$1&amp;"°"&amp;$A107),[1]Hoja1!$A:$O,15,0),VLOOKUP(IF($J107="Formación Técnica Específica",$B107&amp;"°"&amp;Q$1&amp;"°"&amp;$B107&amp;Q$1&amp;1&amp;$A107,$B107&amp;"°"&amp;Q$1&amp;"°"&amp;$A107),[1]Hoja1!$A:$O,15,0))</f>
        <v>MONTENEGRO, CLAUDIA</v>
      </c>
      <c r="R107" s="52" t="str">
        <f>IF($J107="Formación Técnica Específica",VLOOKUP(IF($J107="Formación Técnica Específica",$B107&amp;"°"&amp;Q$1&amp;"°"&amp;$B107&amp;Q$1&amp;1&amp;$A107,$B107&amp;"°"&amp;Q$1&amp;"°"&amp;$A107),[1]Hoja1!$A:$O,15,0)," ")</f>
        <v>MONTENEGRO, CLAUDIA</v>
      </c>
      <c r="S107" s="44" t="e">
        <f>IF($J107="Formación Técnica Específica",VLOOKUP(IF($J107="Formación Técnica Específica",$B107&amp;"°"&amp;S$1&amp;"°"&amp;$B107&amp;S$1&amp;1&amp;$A107,$B107&amp;"°"&amp;S$1&amp;"°"&amp;$A107),[1]Hoja1!$A:$O,15,0),VLOOKUP(IF($J107="Formación Técnica Específica",$B107&amp;"°"&amp;S$1&amp;"°"&amp;$B107&amp;S$1&amp;1&amp;$A107,$B107&amp;"°"&amp;S$1&amp;"°"&amp;$A107),[1]Hoja1!$A:$O,15,0))</f>
        <v>#N/A</v>
      </c>
      <c r="T107" s="52" t="e">
        <f>IF($J107="Formación Técnica Específica",VLOOKUP(IF($J107="Formación Técnica Específica",$B107&amp;"°"&amp;S$1&amp;"°"&amp;$B107&amp;S$1&amp;1&amp;$A107,$B107&amp;"°"&amp;S$1&amp;"°"&amp;$A107),[1]Hoja1!$A:$O,15,0)," ")</f>
        <v>#N/A</v>
      </c>
      <c r="U107" s="44" t="e">
        <f>IF($J107="Formación Técnica Específica",VLOOKUP(IF($J107="Formación Técnica Específica",$B107&amp;"°"&amp;U$1&amp;"°"&amp;$B107&amp;U$1&amp;1&amp;$A107,$B107&amp;"°"&amp;U$1&amp;"°"&amp;$A107),[1]Hoja1!$A:$O,15,0),VLOOKUP(IF($J107="Formación Técnica Específica",$B107&amp;"°"&amp;U$1&amp;"°"&amp;$B107&amp;U$1&amp;1&amp;$A107,$B107&amp;"°"&amp;U$1&amp;"°"&amp;$A107),[1]Hoja1!$A:$O,15,0))</f>
        <v>#N/A</v>
      </c>
      <c r="V107" s="52" t="e">
        <f>IF($J107="Formación Técnica Específica",VLOOKUP(IF($J107="Formación Técnica Específica",$B107&amp;"°"&amp;U$1&amp;"°"&amp;$B107&amp;U$1&amp;1&amp;$A107,$B107&amp;"°"&amp;U$1&amp;"°"&amp;$A107),[1]Hoja1!$A:$O,15,0)," ")</f>
        <v>#N/A</v>
      </c>
      <c r="W107" s="44" t="e">
        <f>IF($J107="Formación Técnica Específica",VLOOKUP(IF($J107="Formación Técnica Específica",$B107&amp;"°"&amp;W$1&amp;"°"&amp;$B107&amp;W$1&amp;1&amp;$A107,$B107&amp;"°"&amp;W$1&amp;"°"&amp;$A107),[1]Hoja1!$A:$O,15,0),VLOOKUP(IF($J107="Formación Técnica Específica",$B107&amp;"°"&amp;W$1&amp;"°"&amp;$B107&amp;W$1&amp;1&amp;$A107,$B107&amp;"°"&amp;W$1&amp;"°"&amp;$A107),[1]Hoja1!$A:$O,15,0))</f>
        <v>#N/A</v>
      </c>
      <c r="X107" s="52" t="e">
        <f>IF($J107="Formación Técnica Específica",VLOOKUP(IF($J107="Formación Técnica Específica",$B107&amp;"°"&amp;W$1&amp;"°"&amp;$B107&amp;W$1&amp;1&amp;$A107,$B107&amp;"°"&amp;W$1&amp;"°"&amp;$A107),[1]Hoja1!$A:$O,15,0)," ")</f>
        <v>#N/A</v>
      </c>
    </row>
    <row r="108" spans="1:24" x14ac:dyDescent="0.25">
      <c r="A108" s="30" t="str">
        <f t="shared" si="7"/>
        <v>6IFHLS6</v>
      </c>
      <c r="B108" s="4">
        <v>6</v>
      </c>
      <c r="C108" s="4" t="s">
        <v>10</v>
      </c>
      <c r="D108" s="4" t="s">
        <v>65</v>
      </c>
      <c r="E108" s="7" t="s">
        <v>66</v>
      </c>
      <c r="F108" s="3">
        <v>13</v>
      </c>
      <c r="G108" s="4" t="s">
        <v>218</v>
      </c>
      <c r="H108" s="4" t="s">
        <v>105</v>
      </c>
      <c r="I108" s="3">
        <v>4</v>
      </c>
      <c r="J108" s="6" t="s">
        <v>33</v>
      </c>
      <c r="K108" s="31" t="s">
        <v>219</v>
      </c>
      <c r="L108" t="str">
        <f t="shared" si="5"/>
        <v>6°13</v>
      </c>
      <c r="M108" s="31"/>
      <c r="N108" s="63" t="str">
        <f t="shared" si="6"/>
        <v>6°13</v>
      </c>
      <c r="O108" s="44" t="str">
        <f>IF($J108="Formación Técnica Específica",VLOOKUP(IF($J108="Formación Técnica Específica",$B108&amp;"°"&amp;O$1&amp;"°"&amp;$B108&amp;O$1&amp;1&amp;$A108,$B108&amp;"°"&amp;O$1&amp;"°"&amp;$A108),[1]Hoja1!$A:$O,15,0),VLOOKUP(IF($J108="Formación Técnica Específica",$B108&amp;"°"&amp;O$1&amp;"°"&amp;$B108&amp;O$1&amp;1&amp;$A108,$B108&amp;"°"&amp;O$1&amp;"°"&amp;$A108),[1]Hoja1!$A:$O,15,0))</f>
        <v>VILLALVA ESTEBAN</v>
      </c>
      <c r="P108" s="52" t="str">
        <f>IF($J108="Formación Técnica Específica",VLOOKUP(IF($J108="Formación Técnica Específica",$B108&amp;"°"&amp;O$1&amp;"°"&amp;$B108&amp;O$1&amp;1&amp;$A108,$B108&amp;"°"&amp;O$1&amp;"°"&amp;$A108),[1]Hoja1!$A:$O,15,0)," ")</f>
        <v>VILLALVA ESTEBAN</v>
      </c>
      <c r="Q108" s="44" t="str">
        <f>IF($J108="Formación Técnica Específica",VLOOKUP(IF($J108="Formación Técnica Específica",$B108&amp;"°"&amp;Q$1&amp;"°"&amp;$B108&amp;Q$1&amp;1&amp;$A108,$B108&amp;"°"&amp;Q$1&amp;"°"&amp;$A108),[1]Hoja1!$A:$O,15,0),VLOOKUP(IF($J108="Formación Técnica Específica",$B108&amp;"°"&amp;Q$1&amp;"°"&amp;$B108&amp;Q$1&amp;1&amp;$A108,$B108&amp;"°"&amp;Q$1&amp;"°"&amp;$A108),[1]Hoja1!$A:$O,15,0))</f>
        <v>FERREYRA JESICA</v>
      </c>
      <c r="R108" s="52" t="str">
        <f>IF($J108="Formación Técnica Específica",VLOOKUP(IF($J108="Formación Técnica Específica",$B108&amp;"°"&amp;Q$1&amp;"°"&amp;$B108&amp;Q$1&amp;1&amp;$A108,$B108&amp;"°"&amp;Q$1&amp;"°"&amp;$A108),[1]Hoja1!$A:$O,15,0)," ")</f>
        <v>FERREYRA JESICA</v>
      </c>
      <c r="S108" s="44" t="e">
        <f>IF($J108="Formación Técnica Específica",VLOOKUP(IF($J108="Formación Técnica Específica",$B108&amp;"°"&amp;S$1&amp;"°"&amp;$B108&amp;S$1&amp;1&amp;$A108,$B108&amp;"°"&amp;S$1&amp;"°"&amp;$A108),[1]Hoja1!$A:$O,15,0),VLOOKUP(IF($J108="Formación Técnica Específica",$B108&amp;"°"&amp;S$1&amp;"°"&amp;$B108&amp;S$1&amp;1&amp;$A108,$B108&amp;"°"&amp;S$1&amp;"°"&amp;$A108),[1]Hoja1!$A:$O,15,0))</f>
        <v>#N/A</v>
      </c>
      <c r="T108" s="52" t="e">
        <f>IF($J108="Formación Técnica Específica",VLOOKUP(IF($J108="Formación Técnica Específica",$B108&amp;"°"&amp;S$1&amp;"°"&amp;$B108&amp;S$1&amp;1&amp;$A108,$B108&amp;"°"&amp;S$1&amp;"°"&amp;$A108),[1]Hoja1!$A:$O,15,0)," ")</f>
        <v>#N/A</v>
      </c>
      <c r="U108" s="44" t="e">
        <f>IF($J108="Formación Técnica Específica",VLOOKUP(IF($J108="Formación Técnica Específica",$B108&amp;"°"&amp;U$1&amp;"°"&amp;$B108&amp;U$1&amp;1&amp;$A108,$B108&amp;"°"&amp;U$1&amp;"°"&amp;$A108),[1]Hoja1!$A:$O,15,0),VLOOKUP(IF($J108="Formación Técnica Específica",$B108&amp;"°"&amp;U$1&amp;"°"&amp;$B108&amp;U$1&amp;1&amp;$A108,$B108&amp;"°"&amp;U$1&amp;"°"&amp;$A108),[1]Hoja1!$A:$O,15,0))</f>
        <v>#N/A</v>
      </c>
      <c r="V108" s="52" t="e">
        <f>IF($J108="Formación Técnica Específica",VLOOKUP(IF($J108="Formación Técnica Específica",$B108&amp;"°"&amp;U$1&amp;"°"&amp;$B108&amp;U$1&amp;1&amp;$A108,$B108&amp;"°"&amp;U$1&amp;"°"&amp;$A108),[1]Hoja1!$A:$O,15,0)," ")</f>
        <v>#N/A</v>
      </c>
      <c r="W108" s="44" t="e">
        <f>IF($J108="Formación Técnica Específica",VLOOKUP(IF($J108="Formación Técnica Específica",$B108&amp;"°"&amp;W$1&amp;"°"&amp;$B108&amp;W$1&amp;1&amp;$A108,$B108&amp;"°"&amp;W$1&amp;"°"&amp;$A108),[1]Hoja1!$A:$O,15,0),VLOOKUP(IF($J108="Formación Técnica Específica",$B108&amp;"°"&amp;W$1&amp;"°"&amp;$B108&amp;W$1&amp;1&amp;$A108,$B108&amp;"°"&amp;W$1&amp;"°"&amp;$A108),[1]Hoja1!$A:$O,15,0))</f>
        <v>#N/A</v>
      </c>
      <c r="X108" s="52" t="e">
        <f>IF($J108="Formación Técnica Específica",VLOOKUP(IF($J108="Formación Técnica Específica",$B108&amp;"°"&amp;W$1&amp;"°"&amp;$B108&amp;W$1&amp;1&amp;$A108,$B108&amp;"°"&amp;W$1&amp;"°"&amp;$A108),[1]Hoja1!$A:$O,15,0)," ")</f>
        <v>#N/A</v>
      </c>
    </row>
    <row r="109" spans="1:24" ht="15.75" thickBot="1" x14ac:dyDescent="0.3">
      <c r="A109" s="32" t="str">
        <f t="shared" si="7"/>
        <v>6IFTLA6</v>
      </c>
      <c r="B109" s="33">
        <v>6</v>
      </c>
      <c r="C109" s="33" t="s">
        <v>10</v>
      </c>
      <c r="D109" s="33" t="s">
        <v>65</v>
      </c>
      <c r="E109" s="34" t="s">
        <v>66</v>
      </c>
      <c r="F109" s="35">
        <v>14</v>
      </c>
      <c r="G109" s="33" t="s">
        <v>220</v>
      </c>
      <c r="H109" s="33" t="s">
        <v>109</v>
      </c>
      <c r="I109" s="35">
        <v>2</v>
      </c>
      <c r="J109" s="6" t="s">
        <v>33</v>
      </c>
      <c r="K109" s="37" t="s">
        <v>167</v>
      </c>
      <c r="L109" t="str">
        <f t="shared" si="5"/>
        <v>6°14</v>
      </c>
      <c r="M109" s="37"/>
      <c r="N109" s="63" t="str">
        <f t="shared" si="6"/>
        <v>6°14</v>
      </c>
      <c r="O109" s="53" t="str">
        <f>IF($J109="Formación Técnica Específica",VLOOKUP(IF($J109="Formación Técnica Específica",$B109&amp;"°"&amp;O$1&amp;"°"&amp;$B109&amp;O$1&amp;1&amp;$A109,$B109&amp;"°"&amp;O$1&amp;"°"&amp;$A109),[1]Hoja1!$A:$O,15,0),VLOOKUP(IF($J109="Formación Técnica Específica",$B109&amp;"°"&amp;O$1&amp;"°"&amp;$B109&amp;O$1&amp;1&amp;$A109,$B109&amp;"°"&amp;O$1&amp;"°"&amp;$A109),[1]Hoja1!$A:$O,15,0))</f>
        <v>VILLALVA ESTEBAN</v>
      </c>
      <c r="P109" s="54" t="str">
        <f>IF($J109="Formación Técnica Específica",VLOOKUP(IF($J109="Formación Técnica Específica",$B109&amp;"°"&amp;O$1&amp;"°"&amp;$B109&amp;O$1&amp;1&amp;$A109,$B109&amp;"°"&amp;O$1&amp;"°"&amp;$A109),[1]Hoja1!$A:$O,15,0)," ")</f>
        <v>VILLALVA ESTEBAN</v>
      </c>
      <c r="Q109" s="53" t="str">
        <f>IF($J109="Formación Técnica Específica",VLOOKUP(IF($J109="Formación Técnica Específica",$B109&amp;"°"&amp;Q$1&amp;"°"&amp;$B109&amp;Q$1&amp;1&amp;$A109,$B109&amp;"°"&amp;Q$1&amp;"°"&amp;$A109),[1]Hoja1!$A:$O,15,0),VLOOKUP(IF($J109="Formación Técnica Específica",$B109&amp;"°"&amp;Q$1&amp;"°"&amp;$B109&amp;Q$1&amp;1&amp;$A109,$B109&amp;"°"&amp;Q$1&amp;"°"&amp;$A109),[1]Hoja1!$A:$O,15,0))</f>
        <v>HERRERA STELLA</v>
      </c>
      <c r="R109" s="54" t="str">
        <f>IF($J109="Formación Técnica Específica",VLOOKUP(IF($J109="Formación Técnica Específica",$B109&amp;"°"&amp;Q$1&amp;"°"&amp;$B109&amp;Q$1&amp;1&amp;$A109,$B109&amp;"°"&amp;Q$1&amp;"°"&amp;$A109),[1]Hoja1!$A:$O,15,0)," ")</f>
        <v>HERRERA STELLA</v>
      </c>
      <c r="S109" s="53" t="e">
        <f>IF($J109="Formación Técnica Específica",VLOOKUP(IF($J109="Formación Técnica Específica",$B109&amp;"°"&amp;S$1&amp;"°"&amp;$B109&amp;S$1&amp;1&amp;$A109,$B109&amp;"°"&amp;S$1&amp;"°"&amp;$A109),[1]Hoja1!$A:$O,15,0),VLOOKUP(IF($J109="Formación Técnica Específica",$B109&amp;"°"&amp;S$1&amp;"°"&amp;$B109&amp;S$1&amp;1&amp;$A109,$B109&amp;"°"&amp;S$1&amp;"°"&amp;$A109),[1]Hoja1!$A:$O,15,0))</f>
        <v>#N/A</v>
      </c>
      <c r="T109" s="54" t="e">
        <f>IF($J109="Formación Técnica Específica",VLOOKUP(IF($J109="Formación Técnica Específica",$B109&amp;"°"&amp;S$1&amp;"°"&amp;$B109&amp;S$1&amp;1&amp;$A109,$B109&amp;"°"&amp;S$1&amp;"°"&amp;$A109),[1]Hoja1!$A:$O,15,0)," ")</f>
        <v>#N/A</v>
      </c>
      <c r="U109" s="53" t="e">
        <f>IF($J109="Formación Técnica Específica",VLOOKUP(IF($J109="Formación Técnica Específica",$B109&amp;"°"&amp;U$1&amp;"°"&amp;$B109&amp;U$1&amp;1&amp;$A109,$B109&amp;"°"&amp;U$1&amp;"°"&amp;$A109),[1]Hoja1!$A:$O,15,0),VLOOKUP(IF($J109="Formación Técnica Específica",$B109&amp;"°"&amp;U$1&amp;"°"&amp;$B109&amp;U$1&amp;1&amp;$A109,$B109&amp;"°"&amp;U$1&amp;"°"&amp;$A109),[1]Hoja1!$A:$O,15,0))</f>
        <v>#N/A</v>
      </c>
      <c r="V109" s="54" t="e">
        <f>IF($J109="Formación Técnica Específica",VLOOKUP(IF($J109="Formación Técnica Específica",$B109&amp;"°"&amp;U$1&amp;"°"&amp;$B109&amp;U$1&amp;1&amp;$A109,$B109&amp;"°"&amp;U$1&amp;"°"&amp;$A109),[1]Hoja1!$A:$O,15,0)," ")</f>
        <v>#N/A</v>
      </c>
      <c r="W109" s="53" t="e">
        <f>IF($J109="Formación Técnica Específica",VLOOKUP(IF($J109="Formación Técnica Específica",$B109&amp;"°"&amp;W$1&amp;"°"&amp;$B109&amp;W$1&amp;1&amp;$A109,$B109&amp;"°"&amp;W$1&amp;"°"&amp;$A109),[1]Hoja1!$A:$O,15,0),VLOOKUP(IF($J109="Formación Técnica Específica",$B109&amp;"°"&amp;W$1&amp;"°"&amp;$B109&amp;W$1&amp;1&amp;$A109,$B109&amp;"°"&amp;W$1&amp;"°"&amp;$A109),[1]Hoja1!$A:$O,15,0))</f>
        <v>#N/A</v>
      </c>
      <c r="X109" s="54" t="e">
        <f>IF($J109="Formación Técnica Específica",VLOOKUP(IF($J109="Formación Técnica Específica",$B109&amp;"°"&amp;W$1&amp;"°"&amp;$B109&amp;W$1&amp;1&amp;$A109,$B109&amp;"°"&amp;W$1&amp;"°"&amp;$A109),[1]Hoja1!$A:$O,15,0)," ")</f>
        <v>#N/A</v>
      </c>
    </row>
    <row r="110" spans="1:24" x14ac:dyDescent="0.25">
      <c r="A110" s="24" t="str">
        <f>CONCATENATE("6E",G110)</f>
        <v>6ELITS</v>
      </c>
      <c r="B110" s="25">
        <v>6</v>
      </c>
      <c r="C110" s="25" t="s">
        <v>10</v>
      </c>
      <c r="D110" s="25" t="s">
        <v>112</v>
      </c>
      <c r="E110" s="26" t="s">
        <v>66</v>
      </c>
      <c r="F110" s="27">
        <v>1</v>
      </c>
      <c r="G110" s="25" t="s">
        <v>74</v>
      </c>
      <c r="H110" s="25" t="s">
        <v>75</v>
      </c>
      <c r="I110" s="27">
        <v>2</v>
      </c>
      <c r="J110" s="28" t="s">
        <v>290</v>
      </c>
      <c r="K110" s="29" t="s">
        <v>76</v>
      </c>
      <c r="L110" t="str">
        <f t="shared" si="5"/>
        <v>6°1</v>
      </c>
      <c r="M110" s="29"/>
      <c r="N110" s="63" t="str">
        <f t="shared" si="6"/>
        <v>6°1</v>
      </c>
      <c r="O110" s="50" t="e">
        <f>IF($J110="Formación Técnica Específica",VLOOKUP(IF($J110="Formación Técnica Específica",$B110&amp;"°"&amp;O$1&amp;"°"&amp;$B110&amp;O$1&amp;1&amp;$A110,$B110&amp;"°"&amp;O$1&amp;"°"&amp;$A110),[1]Hoja1!$A:$O,15,0),VLOOKUP(IF($J110="Formación Técnica Específica",$B110&amp;"°"&amp;O$1&amp;"°"&amp;$B110&amp;O$1&amp;1&amp;$A110,$B110&amp;"°"&amp;O$1&amp;"°"&amp;$A110),[1]Hoja1!$A:$O,15,0))</f>
        <v>#N/A</v>
      </c>
      <c r="P110" s="51" t="str">
        <f>IF($J110="Formación Técnica Específica",VLOOKUP(IF($J110="Formación Técnica Específica",$B110&amp;"°"&amp;O$1&amp;"°"&amp;$B110&amp;O$1&amp;1&amp;$A110,$B110&amp;"°"&amp;O$1&amp;"°"&amp;$A110),[1]Hoja1!$A:$O,15,0)," ")</f>
        <v xml:space="preserve"> </v>
      </c>
      <c r="Q110" s="50" t="e">
        <f>IF($J110="Formación Técnica Específica",VLOOKUP(IF($J110="Formación Técnica Específica",$B110&amp;"°"&amp;Q$1&amp;"°"&amp;$B110&amp;Q$1&amp;1&amp;$A110,$B110&amp;"°"&amp;Q$1&amp;"°"&amp;$A110),[1]Hoja1!$A:$O,15,0),VLOOKUP(IF($J110="Formación Técnica Específica",$B110&amp;"°"&amp;Q$1&amp;"°"&amp;$B110&amp;Q$1&amp;1&amp;$A110,$B110&amp;"°"&amp;Q$1&amp;"°"&amp;$A110),[1]Hoja1!$A:$O,15,0))</f>
        <v>#N/A</v>
      </c>
      <c r="R110" s="51" t="str">
        <f>IF($J110="Formación Técnica Específica",VLOOKUP(IF($J110="Formación Técnica Específica",$B110&amp;"°"&amp;Q$1&amp;"°"&amp;$B110&amp;Q$1&amp;1&amp;$A110,$B110&amp;"°"&amp;Q$1&amp;"°"&amp;$A110),[1]Hoja1!$A:$O,15,0)," ")</f>
        <v xml:space="preserve"> </v>
      </c>
      <c r="S110" s="50" t="str">
        <f>IF($J110="Formación Técnica Específica",VLOOKUP(IF($J110="Formación Técnica Específica",$B110&amp;"°"&amp;S$1&amp;"°"&amp;$B110&amp;S$1&amp;1&amp;$A110,$B110&amp;"°"&amp;S$1&amp;"°"&amp;$A110),[1]Hoja1!$A:$O,15,0),VLOOKUP(IF($J110="Formación Técnica Específica",$B110&amp;"°"&amp;S$1&amp;"°"&amp;$B110&amp;S$1&amp;1&amp;$A110,$B110&amp;"°"&amp;S$1&amp;"°"&amp;$A110),[1]Hoja1!$A:$O,15,0))</f>
        <v>ARANDA NELIDA 27-</v>
      </c>
      <c r="T110" s="51" t="str">
        <f>IF($J110="Formación Técnica Específica",VLOOKUP(IF($J110="Formación Técnica Específica",$B110&amp;"°"&amp;S$1&amp;"°"&amp;$B110&amp;S$1&amp;1&amp;$A110,$B110&amp;"°"&amp;S$1&amp;"°"&amp;$A110),[1]Hoja1!$A:$O,15,0)," ")</f>
        <v xml:space="preserve"> </v>
      </c>
      <c r="U110" s="50" t="str">
        <f>IF($J110="Formación Técnica Específica",VLOOKUP(IF($J110="Formación Técnica Específica",$B110&amp;"°"&amp;U$1&amp;"°"&amp;$B110&amp;U$1&amp;1&amp;$A110,$B110&amp;"°"&amp;U$1&amp;"°"&amp;$A110),[1]Hoja1!$A:$O,15,0),VLOOKUP(IF($J110="Formación Técnica Específica",$B110&amp;"°"&amp;U$1&amp;"°"&amp;$B110&amp;U$1&amp;1&amp;$A110,$B110&amp;"°"&amp;U$1&amp;"°"&amp;$A110),[1]Hoja1!$A:$O,15,0))</f>
        <v>ALFONSO</v>
      </c>
      <c r="V110" s="51" t="str">
        <f>IF($J110="Formación Técnica Específica",VLOOKUP(IF($J110="Formación Técnica Específica",$B110&amp;"°"&amp;U$1&amp;"°"&amp;$B110&amp;U$1&amp;1&amp;$A110,$B110&amp;"°"&amp;U$1&amp;"°"&amp;$A110),[1]Hoja1!$A:$O,15,0)," ")</f>
        <v xml:space="preserve"> </v>
      </c>
      <c r="W110" s="50" t="e">
        <f>IF($J110="Formación Técnica Específica",VLOOKUP(IF($J110="Formación Técnica Específica",$B110&amp;"°"&amp;W$1&amp;"°"&amp;$B110&amp;W$1&amp;1&amp;$A110,$B110&amp;"°"&amp;W$1&amp;"°"&amp;$A110),[1]Hoja1!$A:$O,15,0),VLOOKUP(IF($J110="Formación Técnica Específica",$B110&amp;"°"&amp;W$1&amp;"°"&amp;$B110&amp;W$1&amp;1&amp;$A110,$B110&amp;"°"&amp;W$1&amp;"°"&amp;$A110),[1]Hoja1!$A:$O,15,0))</f>
        <v>#N/A</v>
      </c>
      <c r="X110" s="51" t="str">
        <f>IF($J110="Formación Técnica Específica",VLOOKUP(IF($J110="Formación Técnica Específica",$B110&amp;"°"&amp;W$1&amp;"°"&amp;$B110&amp;W$1&amp;1&amp;$A110,$B110&amp;"°"&amp;W$1&amp;"°"&amp;$A110),[1]Hoja1!$A:$O,15,0)," ")</f>
        <v xml:space="preserve"> </v>
      </c>
    </row>
    <row r="111" spans="1:24" x14ac:dyDescent="0.25">
      <c r="A111" s="30" t="str">
        <f t="shared" ref="A111:A123" si="8">CONCATENATE("6E",G111)</f>
        <v>6EINGS</v>
      </c>
      <c r="B111" s="4">
        <v>6</v>
      </c>
      <c r="C111" s="4" t="s">
        <v>10</v>
      </c>
      <c r="D111" s="4" t="s">
        <v>112</v>
      </c>
      <c r="E111" s="7" t="s">
        <v>66</v>
      </c>
      <c r="F111" s="3">
        <v>2</v>
      </c>
      <c r="G111" s="4" t="s">
        <v>78</v>
      </c>
      <c r="H111" s="4" t="s">
        <v>23</v>
      </c>
      <c r="I111" s="3">
        <v>2</v>
      </c>
      <c r="J111" s="6" t="s">
        <v>290</v>
      </c>
      <c r="K111" s="31" t="s">
        <v>170</v>
      </c>
      <c r="L111" t="str">
        <f t="shared" si="5"/>
        <v>6°2</v>
      </c>
      <c r="M111" s="31"/>
      <c r="N111" s="63" t="str">
        <f t="shared" si="6"/>
        <v>6°2</v>
      </c>
      <c r="O111" s="44" t="e">
        <f>IF($J111="Formación Técnica Específica",VLOOKUP(IF($J111="Formación Técnica Específica",$B111&amp;"°"&amp;O$1&amp;"°"&amp;$B111&amp;O$1&amp;1&amp;$A111,$B111&amp;"°"&amp;O$1&amp;"°"&amp;$A111),[1]Hoja1!$A:$O,15,0),VLOOKUP(IF($J111="Formación Técnica Específica",$B111&amp;"°"&amp;O$1&amp;"°"&amp;$B111&amp;O$1&amp;1&amp;$A111,$B111&amp;"°"&amp;O$1&amp;"°"&amp;$A111),[1]Hoja1!$A:$O,15,0))</f>
        <v>#N/A</v>
      </c>
      <c r="P111" s="52" t="str">
        <f>IF($J111="Formación Técnica Específica",VLOOKUP(IF($J111="Formación Técnica Específica",$B111&amp;"°"&amp;O$1&amp;"°"&amp;$B111&amp;O$1&amp;1&amp;$A111,$B111&amp;"°"&amp;O$1&amp;"°"&amp;$A111),[1]Hoja1!$A:$O,15,0)," ")</f>
        <v xml:space="preserve"> </v>
      </c>
      <c r="Q111" s="44" t="e">
        <f>IF($J111="Formación Técnica Específica",VLOOKUP(IF($J111="Formación Técnica Específica",$B111&amp;"°"&amp;Q$1&amp;"°"&amp;$B111&amp;Q$1&amp;1&amp;$A111,$B111&amp;"°"&amp;Q$1&amp;"°"&amp;$A111),[1]Hoja1!$A:$O,15,0),VLOOKUP(IF($J111="Formación Técnica Específica",$B111&amp;"°"&amp;Q$1&amp;"°"&amp;$B111&amp;Q$1&amp;1&amp;$A111,$B111&amp;"°"&amp;Q$1&amp;"°"&amp;$A111),[1]Hoja1!$A:$O,15,0))</f>
        <v>#N/A</v>
      </c>
      <c r="R111" s="52" t="str">
        <f>IF($J111="Formación Técnica Específica",VLOOKUP(IF($J111="Formación Técnica Específica",$B111&amp;"°"&amp;Q$1&amp;"°"&amp;$B111&amp;Q$1&amp;1&amp;$A111,$B111&amp;"°"&amp;Q$1&amp;"°"&amp;$A111),[1]Hoja1!$A:$O,15,0)," ")</f>
        <v xml:space="preserve"> </v>
      </c>
      <c r="S111" s="44" t="str">
        <f>IF($J111="Formación Técnica Específica",VLOOKUP(IF($J111="Formación Técnica Específica",$B111&amp;"°"&amp;S$1&amp;"°"&amp;$B111&amp;S$1&amp;1&amp;$A111,$B111&amp;"°"&amp;S$1&amp;"°"&amp;$A111),[1]Hoja1!$A:$O,15,0),VLOOKUP(IF($J111="Formación Técnica Específica",$B111&amp;"°"&amp;S$1&amp;"°"&amp;$B111&amp;S$1&amp;1&amp;$A111,$B111&amp;"°"&amp;S$1&amp;"°"&amp;$A111),[1]Hoja1!$A:$O,15,0))</f>
        <v xml:space="preserve">FERNANDEZ SOLANGE </v>
      </c>
      <c r="T111" s="52" t="str">
        <f>IF($J111="Formación Técnica Específica",VLOOKUP(IF($J111="Formación Técnica Específica",$B111&amp;"°"&amp;S$1&amp;"°"&amp;$B111&amp;S$1&amp;1&amp;$A111,$B111&amp;"°"&amp;S$1&amp;"°"&amp;$A111),[1]Hoja1!$A:$O,15,0)," ")</f>
        <v xml:space="preserve"> </v>
      </c>
      <c r="U111" s="44" t="str">
        <f>IF($J111="Formación Técnica Específica",VLOOKUP(IF($J111="Formación Técnica Específica",$B111&amp;"°"&amp;U$1&amp;"°"&amp;$B111&amp;U$1&amp;1&amp;$A111,$B111&amp;"°"&amp;U$1&amp;"°"&amp;$A111),[1]Hoja1!$A:$O,15,0),VLOOKUP(IF($J111="Formación Técnica Específica",$B111&amp;"°"&amp;U$1&amp;"°"&amp;$B111&amp;U$1&amp;1&amp;$A111,$B111&amp;"°"&amp;U$1&amp;"°"&amp;$A111),[1]Hoja1!$A:$O,15,0))</f>
        <v xml:space="preserve">ARCE KARINA </v>
      </c>
      <c r="V111" s="52" t="str">
        <f>IF($J111="Formación Técnica Específica",VLOOKUP(IF($J111="Formación Técnica Específica",$B111&amp;"°"&amp;U$1&amp;"°"&amp;$B111&amp;U$1&amp;1&amp;$A111,$B111&amp;"°"&amp;U$1&amp;"°"&amp;$A111),[1]Hoja1!$A:$O,15,0)," ")</f>
        <v xml:space="preserve"> </v>
      </c>
      <c r="W111" s="44" t="e">
        <f>IF($J111="Formación Técnica Específica",VLOOKUP(IF($J111="Formación Técnica Específica",$B111&amp;"°"&amp;W$1&amp;"°"&amp;$B111&amp;W$1&amp;1&amp;$A111,$B111&amp;"°"&amp;W$1&amp;"°"&amp;$A111),[1]Hoja1!$A:$O,15,0),VLOOKUP(IF($J111="Formación Técnica Específica",$B111&amp;"°"&amp;W$1&amp;"°"&amp;$B111&amp;W$1&amp;1&amp;$A111,$B111&amp;"°"&amp;W$1&amp;"°"&amp;$A111),[1]Hoja1!$A:$O,15,0))</f>
        <v>#N/A</v>
      </c>
      <c r="X111" s="52" t="str">
        <f>IF($J111="Formación Técnica Específica",VLOOKUP(IF($J111="Formación Técnica Específica",$B111&amp;"°"&amp;W$1&amp;"°"&amp;$B111&amp;W$1&amp;1&amp;$A111,$B111&amp;"°"&amp;W$1&amp;"°"&amp;$A111),[1]Hoja1!$A:$O,15,0)," ")</f>
        <v xml:space="preserve"> </v>
      </c>
    </row>
    <row r="112" spans="1:24" x14ac:dyDescent="0.25">
      <c r="A112" s="30" t="str">
        <f t="shared" si="8"/>
        <v>6EEFIS</v>
      </c>
      <c r="B112" s="4">
        <v>6</v>
      </c>
      <c r="C112" s="4" t="s">
        <v>10</v>
      </c>
      <c r="D112" s="4" t="s">
        <v>112</v>
      </c>
      <c r="E112" s="7" t="s">
        <v>66</v>
      </c>
      <c r="F112" s="3">
        <v>3</v>
      </c>
      <c r="G112" s="4" t="s">
        <v>80</v>
      </c>
      <c r="H112" s="4" t="s">
        <v>21</v>
      </c>
      <c r="I112" s="3">
        <v>2</v>
      </c>
      <c r="J112" s="6" t="s">
        <v>290</v>
      </c>
      <c r="K112" s="31" t="s">
        <v>172</v>
      </c>
      <c r="L112" t="str">
        <f t="shared" si="5"/>
        <v>6°3</v>
      </c>
      <c r="M112" s="31"/>
      <c r="N112" s="63" t="str">
        <f t="shared" si="6"/>
        <v>6°3</v>
      </c>
      <c r="O112" s="44" t="e">
        <f>IF($J112="Formación Técnica Específica",VLOOKUP(IF($J112="Formación Técnica Específica",$B112&amp;"°"&amp;O$1&amp;"°"&amp;$B112&amp;O$1&amp;1&amp;$A112,$B112&amp;"°"&amp;O$1&amp;"°"&amp;$A112),[1]Hoja1!$A:$O,15,0),VLOOKUP(IF($J112="Formación Técnica Específica",$B112&amp;"°"&amp;O$1&amp;"°"&amp;$B112&amp;O$1&amp;1&amp;$A112,$B112&amp;"°"&amp;O$1&amp;"°"&amp;$A112),[1]Hoja1!$A:$O,15,0))</f>
        <v>#N/A</v>
      </c>
      <c r="P112" s="52" t="str">
        <f>IF($J112="Formación Técnica Específica",VLOOKUP(IF($J112="Formación Técnica Específica",$B112&amp;"°"&amp;O$1&amp;"°"&amp;$B112&amp;O$1&amp;1&amp;$A112,$B112&amp;"°"&amp;O$1&amp;"°"&amp;$A112),[1]Hoja1!$A:$O,15,0)," ")</f>
        <v xml:space="preserve"> </v>
      </c>
      <c r="Q112" s="44" t="e">
        <f>IF($J112="Formación Técnica Específica",VLOOKUP(IF($J112="Formación Técnica Específica",$B112&amp;"°"&amp;Q$1&amp;"°"&amp;$B112&amp;Q$1&amp;1&amp;$A112,$B112&amp;"°"&amp;Q$1&amp;"°"&amp;$A112),[1]Hoja1!$A:$O,15,0),VLOOKUP(IF($J112="Formación Técnica Específica",$B112&amp;"°"&amp;Q$1&amp;"°"&amp;$B112&amp;Q$1&amp;1&amp;$A112,$B112&amp;"°"&amp;Q$1&amp;"°"&amp;$A112),[1]Hoja1!$A:$O,15,0))</f>
        <v>#N/A</v>
      </c>
      <c r="R112" s="52" t="str">
        <f>IF($J112="Formación Técnica Específica",VLOOKUP(IF($J112="Formación Técnica Específica",$B112&amp;"°"&amp;Q$1&amp;"°"&amp;$B112&amp;Q$1&amp;1&amp;$A112,$B112&amp;"°"&amp;Q$1&amp;"°"&amp;$A112),[1]Hoja1!$A:$O,15,0)," ")</f>
        <v xml:space="preserve"> </v>
      </c>
      <c r="S112" s="44" t="str">
        <f>IF($J112="Formación Técnica Específica",VLOOKUP(IF($J112="Formación Técnica Específica",$B112&amp;"°"&amp;S$1&amp;"°"&amp;$B112&amp;S$1&amp;1&amp;$A112,$B112&amp;"°"&amp;S$1&amp;"°"&amp;$A112),[1]Hoja1!$A:$O,15,0),VLOOKUP(IF($J112="Formación Técnica Específica",$B112&amp;"°"&amp;S$1&amp;"°"&amp;$B112&amp;S$1&amp;1&amp;$A112,$B112&amp;"°"&amp;S$1&amp;"°"&amp;$A112),[1]Hoja1!$A:$O,15,0))</f>
        <v>LUDUEÑA NELSON 29.569.203</v>
      </c>
      <c r="T112" s="52" t="str">
        <f>IF($J112="Formación Técnica Específica",VLOOKUP(IF($J112="Formación Técnica Específica",$B112&amp;"°"&amp;S$1&amp;"°"&amp;$B112&amp;S$1&amp;1&amp;$A112,$B112&amp;"°"&amp;S$1&amp;"°"&amp;$A112),[1]Hoja1!$A:$O,15,0)," ")</f>
        <v xml:space="preserve"> </v>
      </c>
      <c r="U112" s="44" t="str">
        <f>IF($J112="Formación Técnica Específica",VLOOKUP(IF($J112="Formación Técnica Específica",$B112&amp;"°"&amp;U$1&amp;"°"&amp;$B112&amp;U$1&amp;1&amp;$A112,$B112&amp;"°"&amp;U$1&amp;"°"&amp;$A112),[1]Hoja1!$A:$O,15,0),VLOOKUP(IF($J112="Formación Técnica Específica",$B112&amp;"°"&amp;U$1&amp;"°"&amp;$B112&amp;U$1&amp;1&amp;$A112,$B112&amp;"°"&amp;U$1&amp;"°"&amp;$A112),[1]Hoja1!$A:$O,15,0))</f>
        <v>RIOS, LEONARDO  20-34020185-0</v>
      </c>
      <c r="V112" s="52" t="str">
        <f>IF($J112="Formación Técnica Específica",VLOOKUP(IF($J112="Formación Técnica Específica",$B112&amp;"°"&amp;U$1&amp;"°"&amp;$B112&amp;U$1&amp;1&amp;$A112,$B112&amp;"°"&amp;U$1&amp;"°"&amp;$A112),[1]Hoja1!$A:$O,15,0)," ")</f>
        <v xml:space="preserve"> </v>
      </c>
      <c r="W112" s="44" t="e">
        <f>IF($J112="Formación Técnica Específica",VLOOKUP(IF($J112="Formación Técnica Específica",$B112&amp;"°"&amp;W$1&amp;"°"&amp;$B112&amp;W$1&amp;1&amp;$A112,$B112&amp;"°"&amp;W$1&amp;"°"&amp;$A112),[1]Hoja1!$A:$O,15,0),VLOOKUP(IF($J112="Formación Técnica Específica",$B112&amp;"°"&amp;W$1&amp;"°"&amp;$B112&amp;W$1&amp;1&amp;$A112,$B112&amp;"°"&amp;W$1&amp;"°"&amp;$A112),[1]Hoja1!$A:$O,15,0))</f>
        <v>#N/A</v>
      </c>
      <c r="X112" s="52" t="str">
        <f>IF($J112="Formación Técnica Específica",VLOOKUP(IF($J112="Formación Técnica Específica",$B112&amp;"°"&amp;W$1&amp;"°"&amp;$B112&amp;W$1&amp;1&amp;$A112,$B112&amp;"°"&amp;W$1&amp;"°"&amp;$A112),[1]Hoja1!$A:$O,15,0)," ")</f>
        <v xml:space="preserve"> </v>
      </c>
    </row>
    <row r="113" spans="1:24" x14ac:dyDescent="0.25">
      <c r="A113" s="30" t="str">
        <f t="shared" si="8"/>
        <v>6EFILO</v>
      </c>
      <c r="B113" s="4">
        <v>6</v>
      </c>
      <c r="C113" s="4" t="s">
        <v>10</v>
      </c>
      <c r="D113" s="4" t="s">
        <v>112</v>
      </c>
      <c r="E113" s="7" t="s">
        <v>66</v>
      </c>
      <c r="F113" s="3">
        <v>4</v>
      </c>
      <c r="G113" s="4" t="s">
        <v>197</v>
      </c>
      <c r="H113" s="4" t="s">
        <v>198</v>
      </c>
      <c r="I113" s="3">
        <v>2</v>
      </c>
      <c r="J113" s="6" t="s">
        <v>290</v>
      </c>
      <c r="K113" s="31" t="s">
        <v>199</v>
      </c>
      <c r="L113" t="str">
        <f t="shared" si="5"/>
        <v>6°4</v>
      </c>
      <c r="M113" s="31"/>
      <c r="N113" s="63" t="str">
        <f t="shared" si="6"/>
        <v>6°4</v>
      </c>
      <c r="O113" s="44" t="e">
        <f>IF($J113="Formación Técnica Específica",VLOOKUP(IF($J113="Formación Técnica Específica",$B113&amp;"°"&amp;O$1&amp;"°"&amp;$B113&amp;O$1&amp;1&amp;$A113,$B113&amp;"°"&amp;O$1&amp;"°"&amp;$A113),[1]Hoja1!$A:$O,15,0),VLOOKUP(IF($J113="Formación Técnica Específica",$B113&amp;"°"&amp;O$1&amp;"°"&amp;$B113&amp;O$1&amp;1&amp;$A113,$B113&amp;"°"&amp;O$1&amp;"°"&amp;$A113),[1]Hoja1!$A:$O,15,0))</f>
        <v>#N/A</v>
      </c>
      <c r="P113" s="52" t="str">
        <f>IF($J113="Formación Técnica Específica",VLOOKUP(IF($J113="Formación Técnica Específica",$B113&amp;"°"&amp;O$1&amp;"°"&amp;$B113&amp;O$1&amp;1&amp;$A113,$B113&amp;"°"&amp;O$1&amp;"°"&amp;$A113),[1]Hoja1!$A:$O,15,0)," ")</f>
        <v xml:space="preserve"> </v>
      </c>
      <c r="Q113" s="44" t="e">
        <f>IF($J113="Formación Técnica Específica",VLOOKUP(IF($J113="Formación Técnica Específica",$B113&amp;"°"&amp;Q$1&amp;"°"&amp;$B113&amp;Q$1&amp;1&amp;$A113,$B113&amp;"°"&amp;Q$1&amp;"°"&amp;$A113),[1]Hoja1!$A:$O,15,0),VLOOKUP(IF($J113="Formación Técnica Específica",$B113&amp;"°"&amp;Q$1&amp;"°"&amp;$B113&amp;Q$1&amp;1&amp;$A113,$B113&amp;"°"&amp;Q$1&amp;"°"&amp;$A113),[1]Hoja1!$A:$O,15,0))</f>
        <v>#N/A</v>
      </c>
      <c r="R113" s="52" t="str">
        <f>IF($J113="Formación Técnica Específica",VLOOKUP(IF($J113="Formación Técnica Específica",$B113&amp;"°"&amp;Q$1&amp;"°"&amp;$B113&amp;Q$1&amp;1&amp;$A113,$B113&amp;"°"&amp;Q$1&amp;"°"&amp;$A113),[1]Hoja1!$A:$O,15,0)," ")</f>
        <v xml:space="preserve"> </v>
      </c>
      <c r="S113" s="44" t="str">
        <f>IF($J113="Formación Técnica Específica",VLOOKUP(IF($J113="Formación Técnica Específica",$B113&amp;"°"&amp;S$1&amp;"°"&amp;$B113&amp;S$1&amp;1&amp;$A113,$B113&amp;"°"&amp;S$1&amp;"°"&amp;$A113),[1]Hoja1!$A:$O,15,0),VLOOKUP(IF($J113="Formación Técnica Específica",$B113&amp;"°"&amp;S$1&amp;"°"&amp;$B113&amp;S$1&amp;1&amp;$A113,$B113&amp;"°"&amp;S$1&amp;"°"&amp;$A113),[1]Hoja1!$A:$O,15,0))</f>
        <v>LETIERI, MANUEL</v>
      </c>
      <c r="T113" s="52" t="str">
        <f>IF($J113="Formación Técnica Específica",VLOOKUP(IF($J113="Formación Técnica Específica",$B113&amp;"°"&amp;S$1&amp;"°"&amp;$B113&amp;S$1&amp;1&amp;$A113,$B113&amp;"°"&amp;S$1&amp;"°"&amp;$A113),[1]Hoja1!$A:$O,15,0)," ")</f>
        <v xml:space="preserve"> </v>
      </c>
      <c r="U113" s="44" t="str">
        <f>IF($J113="Formación Técnica Específica",VLOOKUP(IF($J113="Formación Técnica Específica",$B113&amp;"°"&amp;U$1&amp;"°"&amp;$B113&amp;U$1&amp;1&amp;$A113,$B113&amp;"°"&amp;U$1&amp;"°"&amp;$A113),[1]Hoja1!$A:$O,15,0),VLOOKUP(IF($J113="Formación Técnica Específica",$B113&amp;"°"&amp;U$1&amp;"°"&amp;$B113&amp;U$1&amp;1&amp;$A113,$B113&amp;"°"&amp;U$1&amp;"°"&amp;$A113),[1]Hoja1!$A:$O,15,0))</f>
        <v>LETIERI, MANUEL</v>
      </c>
      <c r="V113" s="52" t="str">
        <f>IF($J113="Formación Técnica Específica",VLOOKUP(IF($J113="Formación Técnica Específica",$B113&amp;"°"&amp;U$1&amp;"°"&amp;$B113&amp;U$1&amp;1&amp;$A113,$B113&amp;"°"&amp;U$1&amp;"°"&amp;$A113),[1]Hoja1!$A:$O,15,0)," ")</f>
        <v xml:space="preserve"> </v>
      </c>
      <c r="W113" s="44" t="e">
        <f>IF($J113="Formación Técnica Específica",VLOOKUP(IF($J113="Formación Técnica Específica",$B113&amp;"°"&amp;W$1&amp;"°"&amp;$B113&amp;W$1&amp;1&amp;$A113,$B113&amp;"°"&amp;W$1&amp;"°"&amp;$A113),[1]Hoja1!$A:$O,15,0),VLOOKUP(IF($J113="Formación Técnica Específica",$B113&amp;"°"&amp;W$1&amp;"°"&amp;$B113&amp;W$1&amp;1&amp;$A113,$B113&amp;"°"&amp;W$1&amp;"°"&amp;$A113),[1]Hoja1!$A:$O,15,0))</f>
        <v>#N/A</v>
      </c>
      <c r="X113" s="52" t="str">
        <f>IF($J113="Formación Técnica Específica",VLOOKUP(IF($J113="Formación Técnica Específica",$B113&amp;"°"&amp;W$1&amp;"°"&amp;$B113&amp;W$1&amp;1&amp;$A113,$B113&amp;"°"&amp;W$1&amp;"°"&amp;$A113),[1]Hoja1!$A:$O,15,0)," ")</f>
        <v xml:space="preserve"> </v>
      </c>
    </row>
    <row r="114" spans="1:24" x14ac:dyDescent="0.25">
      <c r="A114" s="30" t="str">
        <f t="shared" si="8"/>
        <v>6EARTE</v>
      </c>
      <c r="B114" s="4">
        <v>6</v>
      </c>
      <c r="C114" s="4" t="s">
        <v>10</v>
      </c>
      <c r="D114" s="4" t="s">
        <v>112</v>
      </c>
      <c r="E114" s="7" t="s">
        <v>66</v>
      </c>
      <c r="F114" s="3">
        <v>5</v>
      </c>
      <c r="G114" s="4" t="s">
        <v>200</v>
      </c>
      <c r="H114" s="4" t="s">
        <v>201</v>
      </c>
      <c r="I114" s="3">
        <v>2</v>
      </c>
      <c r="J114" s="6" t="s">
        <v>290</v>
      </c>
      <c r="K114" s="31" t="s">
        <v>200</v>
      </c>
      <c r="L114" t="str">
        <f t="shared" si="5"/>
        <v>6°5</v>
      </c>
      <c r="M114" s="31"/>
      <c r="N114" s="63" t="str">
        <f t="shared" si="6"/>
        <v>6°5</v>
      </c>
      <c r="O114" s="44" t="e">
        <f>IF($J114="Formación Técnica Específica",VLOOKUP(IF($J114="Formación Técnica Específica",$B114&amp;"°"&amp;O$1&amp;"°"&amp;$B114&amp;O$1&amp;1&amp;$A114,$B114&amp;"°"&amp;O$1&amp;"°"&amp;$A114),[1]Hoja1!$A:$O,15,0),VLOOKUP(IF($J114="Formación Técnica Específica",$B114&amp;"°"&amp;O$1&amp;"°"&amp;$B114&amp;O$1&amp;1&amp;$A114,$B114&amp;"°"&amp;O$1&amp;"°"&amp;$A114),[1]Hoja1!$A:$O,15,0))</f>
        <v>#N/A</v>
      </c>
      <c r="P114" s="52" t="str">
        <f>IF($J114="Formación Técnica Específica",VLOOKUP(IF($J114="Formación Técnica Específica",$B114&amp;"°"&amp;O$1&amp;"°"&amp;$B114&amp;O$1&amp;1&amp;$A114,$B114&amp;"°"&amp;O$1&amp;"°"&amp;$A114),[1]Hoja1!$A:$O,15,0)," ")</f>
        <v xml:space="preserve"> </v>
      </c>
      <c r="Q114" s="44" t="e">
        <f>IF($J114="Formación Técnica Específica",VLOOKUP(IF($J114="Formación Técnica Específica",$B114&amp;"°"&amp;Q$1&amp;"°"&amp;$B114&amp;Q$1&amp;1&amp;$A114,$B114&amp;"°"&amp;Q$1&amp;"°"&amp;$A114),[1]Hoja1!$A:$O,15,0),VLOOKUP(IF($J114="Formación Técnica Específica",$B114&amp;"°"&amp;Q$1&amp;"°"&amp;$B114&amp;Q$1&amp;1&amp;$A114,$B114&amp;"°"&amp;Q$1&amp;"°"&amp;$A114),[1]Hoja1!$A:$O,15,0))</f>
        <v>#N/A</v>
      </c>
      <c r="R114" s="52" t="str">
        <f>IF($J114="Formación Técnica Específica",VLOOKUP(IF($J114="Formación Técnica Específica",$B114&amp;"°"&amp;Q$1&amp;"°"&amp;$B114&amp;Q$1&amp;1&amp;$A114,$B114&amp;"°"&amp;Q$1&amp;"°"&amp;$A114),[1]Hoja1!$A:$O,15,0)," ")</f>
        <v xml:space="preserve"> </v>
      </c>
      <c r="S114" s="44" t="str">
        <f>IF($J114="Formación Técnica Específica",VLOOKUP(IF($J114="Formación Técnica Específica",$B114&amp;"°"&amp;S$1&amp;"°"&amp;$B114&amp;S$1&amp;1&amp;$A114,$B114&amp;"°"&amp;S$1&amp;"°"&amp;$A114),[1]Hoja1!$A:$O,15,0),VLOOKUP(IF($J114="Formación Técnica Específica",$B114&amp;"°"&amp;S$1&amp;"°"&amp;$B114&amp;S$1&amp;1&amp;$A114,$B114&amp;"°"&amp;S$1&amp;"°"&amp;$A114),[1]Hoja1!$A:$O,15,0))</f>
        <v>ISSETA LORENA</v>
      </c>
      <c r="T114" s="52" t="str">
        <f>IF($J114="Formación Técnica Específica",VLOOKUP(IF($J114="Formación Técnica Específica",$B114&amp;"°"&amp;S$1&amp;"°"&amp;$B114&amp;S$1&amp;1&amp;$A114,$B114&amp;"°"&amp;S$1&amp;"°"&amp;$A114),[1]Hoja1!$A:$O,15,0)," ")</f>
        <v xml:space="preserve"> </v>
      </c>
      <c r="U114" s="44" t="str">
        <f>IF($J114="Formación Técnica Específica",VLOOKUP(IF($J114="Formación Técnica Específica",$B114&amp;"°"&amp;U$1&amp;"°"&amp;$B114&amp;U$1&amp;1&amp;$A114,$B114&amp;"°"&amp;U$1&amp;"°"&amp;$A114),[1]Hoja1!$A:$O,15,0),VLOOKUP(IF($J114="Formación Técnica Específica",$B114&amp;"°"&amp;U$1&amp;"°"&amp;$B114&amp;U$1&amp;1&amp;$A114,$B114&amp;"°"&amp;U$1&amp;"°"&amp;$A114),[1]Hoja1!$A:$O,15,0))</f>
        <v>FERNANDEZ MAXIMILIANO</v>
      </c>
      <c r="V114" s="52" t="str">
        <f>IF($J114="Formación Técnica Específica",VLOOKUP(IF($J114="Formación Técnica Específica",$B114&amp;"°"&amp;U$1&amp;"°"&amp;$B114&amp;U$1&amp;1&amp;$A114,$B114&amp;"°"&amp;U$1&amp;"°"&amp;$A114),[1]Hoja1!$A:$O,15,0)," ")</f>
        <v xml:space="preserve"> </v>
      </c>
      <c r="W114" s="44" t="e">
        <f>IF($J114="Formación Técnica Específica",VLOOKUP(IF($J114="Formación Técnica Específica",$B114&amp;"°"&amp;W$1&amp;"°"&amp;$B114&amp;W$1&amp;1&amp;$A114,$B114&amp;"°"&amp;W$1&amp;"°"&amp;$A114),[1]Hoja1!$A:$O,15,0),VLOOKUP(IF($J114="Formación Técnica Específica",$B114&amp;"°"&amp;W$1&amp;"°"&amp;$B114&amp;W$1&amp;1&amp;$A114,$B114&amp;"°"&amp;W$1&amp;"°"&amp;$A114),[1]Hoja1!$A:$O,15,0))</f>
        <v>#N/A</v>
      </c>
      <c r="X114" s="52" t="str">
        <f>IF($J114="Formación Técnica Específica",VLOOKUP(IF($J114="Formación Técnica Específica",$B114&amp;"°"&amp;W$1&amp;"°"&amp;$B114&amp;W$1&amp;1&amp;$A114,$B114&amp;"°"&amp;W$1&amp;"°"&amp;$A114),[1]Hoja1!$A:$O,15,0)," ")</f>
        <v xml:space="preserve"> </v>
      </c>
    </row>
    <row r="115" spans="1:24" x14ac:dyDescent="0.25">
      <c r="A115" s="30" t="str">
        <f t="shared" si="8"/>
        <v>6EMATAP</v>
      </c>
      <c r="B115" s="4">
        <v>6</v>
      </c>
      <c r="C115" s="4" t="s">
        <v>10</v>
      </c>
      <c r="D115" s="4" t="s">
        <v>112</v>
      </c>
      <c r="E115" s="7" t="s">
        <v>66</v>
      </c>
      <c r="F115" s="3">
        <v>6</v>
      </c>
      <c r="G115" s="4" t="s">
        <v>202</v>
      </c>
      <c r="H115" s="4" t="s">
        <v>203</v>
      </c>
      <c r="I115" s="3">
        <v>2</v>
      </c>
      <c r="J115" s="6" t="s">
        <v>290</v>
      </c>
      <c r="K115" s="31" t="s">
        <v>204</v>
      </c>
      <c r="L115" t="str">
        <f t="shared" si="5"/>
        <v>6°6</v>
      </c>
      <c r="M115" s="31" t="s">
        <v>282</v>
      </c>
      <c r="N115" s="63" t="str">
        <f t="shared" si="6"/>
        <v>6°6</v>
      </c>
      <c r="O115" s="44" t="e">
        <f>IF($J115="Formación Técnica Específica",VLOOKUP(IF($J115="Formación Técnica Específica",$B115&amp;"°"&amp;O$1&amp;"°"&amp;$B115&amp;O$1&amp;1&amp;$A115,$B115&amp;"°"&amp;O$1&amp;"°"&amp;$A115),[1]Hoja1!$A:$O,15,0),VLOOKUP(IF($J115="Formación Técnica Específica",$B115&amp;"°"&amp;O$1&amp;"°"&amp;$B115&amp;O$1&amp;1&amp;$A115,$B115&amp;"°"&amp;O$1&amp;"°"&amp;$A115),[1]Hoja1!$A:$O,15,0))</f>
        <v>#N/A</v>
      </c>
      <c r="P115" s="52" t="str">
        <f>IF($J115="Formación Técnica Específica",VLOOKUP(IF($J115="Formación Técnica Específica",$B115&amp;"°"&amp;O$1&amp;"°"&amp;$B115&amp;O$1&amp;1&amp;$A115,$B115&amp;"°"&amp;O$1&amp;"°"&amp;$A115),[1]Hoja1!$A:$O,15,0)," ")</f>
        <v xml:space="preserve"> </v>
      </c>
      <c r="Q115" s="44" t="e">
        <f>IF($J115="Formación Técnica Específica",VLOOKUP(IF($J115="Formación Técnica Específica",$B115&amp;"°"&amp;Q$1&amp;"°"&amp;$B115&amp;Q$1&amp;1&amp;$A115,$B115&amp;"°"&amp;Q$1&amp;"°"&amp;$A115),[1]Hoja1!$A:$O,15,0),VLOOKUP(IF($J115="Formación Técnica Específica",$B115&amp;"°"&amp;Q$1&amp;"°"&amp;$B115&amp;Q$1&amp;1&amp;$A115,$B115&amp;"°"&amp;Q$1&amp;"°"&amp;$A115),[1]Hoja1!$A:$O,15,0))</f>
        <v>#N/A</v>
      </c>
      <c r="R115" s="52" t="str">
        <f>IF($J115="Formación Técnica Específica",VLOOKUP(IF($J115="Formación Técnica Específica",$B115&amp;"°"&amp;Q$1&amp;"°"&amp;$B115&amp;Q$1&amp;1&amp;$A115,$B115&amp;"°"&amp;Q$1&amp;"°"&amp;$A115),[1]Hoja1!$A:$O,15,0)," ")</f>
        <v xml:space="preserve"> </v>
      </c>
      <c r="S115" s="44" t="str">
        <f>IF($J115="Formación Técnica Específica",VLOOKUP(IF($J115="Formación Técnica Específica",$B115&amp;"°"&amp;S$1&amp;"°"&amp;$B115&amp;S$1&amp;1&amp;$A115,$B115&amp;"°"&amp;S$1&amp;"°"&amp;$A115),[1]Hoja1!$A:$O,15,0),VLOOKUP(IF($J115="Formación Técnica Específica",$B115&amp;"°"&amp;S$1&amp;"°"&amp;$B115&amp;S$1&amp;1&amp;$A115,$B115&amp;"°"&amp;S$1&amp;"°"&amp;$A115),[1]Hoja1!$A:$O,15,0))</f>
        <v>GARCIA CLAUDIA</v>
      </c>
      <c r="T115" s="52" t="str">
        <f>IF($J115="Formación Técnica Específica",VLOOKUP(IF($J115="Formación Técnica Específica",$B115&amp;"°"&amp;S$1&amp;"°"&amp;$B115&amp;S$1&amp;1&amp;$A115,$B115&amp;"°"&amp;S$1&amp;"°"&amp;$A115),[1]Hoja1!$A:$O,15,0)," ")</f>
        <v xml:space="preserve"> </v>
      </c>
      <c r="U115" s="44" t="str">
        <f>IF($J115="Formación Técnica Específica",VLOOKUP(IF($J115="Formación Técnica Específica",$B115&amp;"°"&amp;U$1&amp;"°"&amp;$B115&amp;U$1&amp;1&amp;$A115,$B115&amp;"°"&amp;U$1&amp;"°"&amp;$A115),[1]Hoja1!$A:$O,15,0),VLOOKUP(IF($J115="Formación Técnica Específica",$B115&amp;"°"&amp;U$1&amp;"°"&amp;$B115&amp;U$1&amp;1&amp;$A115,$B115&amp;"°"&amp;U$1&amp;"°"&amp;$A115),[1]Hoja1!$A:$O,15,0))</f>
        <v>WEBBER BRIAN</v>
      </c>
      <c r="V115" s="52" t="str">
        <f>IF($J115="Formación Técnica Específica",VLOOKUP(IF($J115="Formación Técnica Específica",$B115&amp;"°"&amp;U$1&amp;"°"&amp;$B115&amp;U$1&amp;1&amp;$A115,$B115&amp;"°"&amp;U$1&amp;"°"&amp;$A115),[1]Hoja1!$A:$O,15,0)," ")</f>
        <v xml:space="preserve"> </v>
      </c>
      <c r="W115" s="44" t="e">
        <f>IF($J115="Formación Técnica Específica",VLOOKUP(IF($J115="Formación Técnica Específica",$B115&amp;"°"&amp;W$1&amp;"°"&amp;$B115&amp;W$1&amp;1&amp;$A115,$B115&amp;"°"&amp;W$1&amp;"°"&amp;$A115),[1]Hoja1!$A:$O,15,0),VLOOKUP(IF($J115="Formación Técnica Específica",$B115&amp;"°"&amp;W$1&amp;"°"&amp;$B115&amp;W$1&amp;1&amp;$A115,$B115&amp;"°"&amp;W$1&amp;"°"&amp;$A115),[1]Hoja1!$A:$O,15,0))</f>
        <v>#N/A</v>
      </c>
      <c r="X115" s="52" t="str">
        <f>IF($J115="Formación Técnica Específica",VLOOKUP(IF($J115="Formación Técnica Específica",$B115&amp;"°"&amp;W$1&amp;"°"&amp;$B115&amp;W$1&amp;1&amp;$A115,$B115&amp;"°"&amp;W$1&amp;"°"&amp;$A115),[1]Hoja1!$A:$O,15,0)," ")</f>
        <v xml:space="preserve"> </v>
      </c>
    </row>
    <row r="116" spans="1:24" x14ac:dyDescent="0.25">
      <c r="A116" s="30" t="str">
        <f t="shared" si="8"/>
        <v>6ESISCO</v>
      </c>
      <c r="B116" s="4">
        <v>6</v>
      </c>
      <c r="C116" s="4" t="s">
        <v>10</v>
      </c>
      <c r="D116" s="4" t="s">
        <v>112</v>
      </c>
      <c r="E116" s="7" t="s">
        <v>66</v>
      </c>
      <c r="F116" s="3">
        <v>7</v>
      </c>
      <c r="G116" s="4" t="s">
        <v>221</v>
      </c>
      <c r="H116" s="4" t="s">
        <v>222</v>
      </c>
      <c r="I116" s="3">
        <v>3</v>
      </c>
      <c r="J116" s="6" t="s">
        <v>290</v>
      </c>
      <c r="K116" s="31" t="s">
        <v>223</v>
      </c>
      <c r="L116" t="str">
        <f t="shared" si="5"/>
        <v>6°7</v>
      </c>
      <c r="M116" s="31" t="s">
        <v>282</v>
      </c>
      <c r="N116" s="63" t="str">
        <f t="shared" si="6"/>
        <v>6°7</v>
      </c>
      <c r="O116" s="44" t="e">
        <f>IF($J116="Formación Técnica Específica",VLOOKUP(IF($J116="Formación Técnica Específica",$B116&amp;"°"&amp;O$1&amp;"°"&amp;$B116&amp;O$1&amp;1&amp;$A116,$B116&amp;"°"&amp;O$1&amp;"°"&amp;$A116),[1]Hoja1!$A:$O,15,0),VLOOKUP(IF($J116="Formación Técnica Específica",$B116&amp;"°"&amp;O$1&amp;"°"&amp;$B116&amp;O$1&amp;1&amp;$A116,$B116&amp;"°"&amp;O$1&amp;"°"&amp;$A116),[1]Hoja1!$A:$O,15,0))</f>
        <v>#N/A</v>
      </c>
      <c r="P116" s="52" t="str">
        <f>IF($J116="Formación Técnica Específica",VLOOKUP(IF($J116="Formación Técnica Específica",$B116&amp;"°"&amp;O$1&amp;"°"&amp;$B116&amp;O$1&amp;1&amp;$A116,$B116&amp;"°"&amp;O$1&amp;"°"&amp;$A116),[1]Hoja1!$A:$O,15,0)," ")</f>
        <v xml:space="preserve"> </v>
      </c>
      <c r="Q116" s="44" t="e">
        <f>IF($J116="Formación Técnica Específica",VLOOKUP(IF($J116="Formación Técnica Específica",$B116&amp;"°"&amp;Q$1&amp;"°"&amp;$B116&amp;Q$1&amp;1&amp;$A116,$B116&amp;"°"&amp;Q$1&amp;"°"&amp;$A116),[1]Hoja1!$A:$O,15,0),VLOOKUP(IF($J116="Formación Técnica Específica",$B116&amp;"°"&amp;Q$1&amp;"°"&amp;$B116&amp;Q$1&amp;1&amp;$A116,$B116&amp;"°"&amp;Q$1&amp;"°"&amp;$A116),[1]Hoja1!$A:$O,15,0))</f>
        <v>#N/A</v>
      </c>
      <c r="R116" s="52" t="str">
        <f>IF($J116="Formación Técnica Específica",VLOOKUP(IF($J116="Formación Técnica Específica",$B116&amp;"°"&amp;Q$1&amp;"°"&amp;$B116&amp;Q$1&amp;1&amp;$A116,$B116&amp;"°"&amp;Q$1&amp;"°"&amp;$A116),[1]Hoja1!$A:$O,15,0)," ")</f>
        <v xml:space="preserve"> </v>
      </c>
      <c r="S116" s="44" t="str">
        <f>IF($J116="Formación Técnica Específica",VLOOKUP(IF($J116="Formación Técnica Específica",$B116&amp;"°"&amp;S$1&amp;"°"&amp;$B116&amp;S$1&amp;1&amp;$A116,$B116&amp;"°"&amp;S$1&amp;"°"&amp;$A116),[1]Hoja1!$A:$O,15,0),VLOOKUP(IF($J116="Formación Técnica Específica",$B116&amp;"°"&amp;S$1&amp;"°"&amp;$B116&amp;S$1&amp;1&amp;$A116,$B116&amp;"°"&amp;S$1&amp;"°"&amp;$A116),[1]Hoja1!$A:$O,15,0))</f>
        <v>PARTOR SOLORZANO</v>
      </c>
      <c r="T116" s="52" t="str">
        <f>IF($J116="Formación Técnica Específica",VLOOKUP(IF($J116="Formación Técnica Específica",$B116&amp;"°"&amp;S$1&amp;"°"&amp;$B116&amp;S$1&amp;1&amp;$A116,$B116&amp;"°"&amp;S$1&amp;"°"&amp;$A116),[1]Hoja1!$A:$O,15,0)," ")</f>
        <v xml:space="preserve"> </v>
      </c>
      <c r="U116" s="44" t="str">
        <f>IF($J116="Formación Técnica Específica",VLOOKUP(IF($J116="Formación Técnica Específica",$B116&amp;"°"&amp;U$1&amp;"°"&amp;$B116&amp;U$1&amp;1&amp;$A116,$B116&amp;"°"&amp;U$1&amp;"°"&amp;$A116),[1]Hoja1!$A:$O,15,0),VLOOKUP(IF($J116="Formación Técnica Específica",$B116&amp;"°"&amp;U$1&amp;"°"&amp;$B116&amp;U$1&amp;1&amp;$A116,$B116&amp;"°"&amp;U$1&amp;"°"&amp;$A116),[1]Hoja1!$A:$O,15,0))</f>
        <v>DELGADO ARIEL</v>
      </c>
      <c r="V116" s="52" t="str">
        <f>IF($J116="Formación Técnica Específica",VLOOKUP(IF($J116="Formación Técnica Específica",$B116&amp;"°"&amp;U$1&amp;"°"&amp;$B116&amp;U$1&amp;1&amp;$A116,$B116&amp;"°"&amp;U$1&amp;"°"&amp;$A116),[1]Hoja1!$A:$O,15,0)," ")</f>
        <v xml:space="preserve"> </v>
      </c>
      <c r="W116" s="44" t="e">
        <f>IF($J116="Formación Técnica Específica",VLOOKUP(IF($J116="Formación Técnica Específica",$B116&amp;"°"&amp;W$1&amp;"°"&amp;$B116&amp;W$1&amp;1&amp;$A116,$B116&amp;"°"&amp;W$1&amp;"°"&amp;$A116),[1]Hoja1!$A:$O,15,0),VLOOKUP(IF($J116="Formación Técnica Específica",$B116&amp;"°"&amp;W$1&amp;"°"&amp;$B116&amp;W$1&amp;1&amp;$A116,$B116&amp;"°"&amp;W$1&amp;"°"&amp;$A116),[1]Hoja1!$A:$O,15,0))</f>
        <v>#N/A</v>
      </c>
      <c r="X116" s="52" t="str">
        <f>IF($J116="Formación Técnica Específica",VLOOKUP(IF($J116="Formación Técnica Específica",$B116&amp;"°"&amp;W$1&amp;"°"&amp;$B116&amp;W$1&amp;1&amp;$A116,$B116&amp;"°"&amp;W$1&amp;"°"&amp;$A116),[1]Hoja1!$A:$O,15,0)," ")</f>
        <v xml:space="preserve"> </v>
      </c>
    </row>
    <row r="117" spans="1:24" x14ac:dyDescent="0.25">
      <c r="A117" s="30" t="str">
        <f t="shared" si="8"/>
        <v>6EINSMA</v>
      </c>
      <c r="B117" s="4">
        <v>6</v>
      </c>
      <c r="C117" s="4" t="s">
        <v>10</v>
      </c>
      <c r="D117" s="4" t="s">
        <v>112</v>
      </c>
      <c r="E117" s="7" t="s">
        <v>66</v>
      </c>
      <c r="F117" s="3">
        <v>8</v>
      </c>
      <c r="G117" s="4" t="s">
        <v>224</v>
      </c>
      <c r="H117" s="4" t="s">
        <v>225</v>
      </c>
      <c r="I117" s="3">
        <v>4</v>
      </c>
      <c r="J117" s="6" t="s">
        <v>290</v>
      </c>
      <c r="K117" s="31" t="s">
        <v>226</v>
      </c>
      <c r="L117" t="str">
        <f t="shared" si="5"/>
        <v>6°8</v>
      </c>
      <c r="M117" s="31" t="s">
        <v>282</v>
      </c>
      <c r="N117" s="63" t="str">
        <f t="shared" si="6"/>
        <v>6°8</v>
      </c>
      <c r="O117" s="44" t="e">
        <f>IF($J117="Formación Técnica Específica",VLOOKUP(IF($J117="Formación Técnica Específica",$B117&amp;"°"&amp;O$1&amp;"°"&amp;$B117&amp;O$1&amp;1&amp;$A117,$B117&amp;"°"&amp;O$1&amp;"°"&amp;$A117),[1]Hoja1!$A:$O,15,0),VLOOKUP(IF($J117="Formación Técnica Específica",$B117&amp;"°"&amp;O$1&amp;"°"&amp;$B117&amp;O$1&amp;1&amp;$A117,$B117&amp;"°"&amp;O$1&amp;"°"&amp;$A117),[1]Hoja1!$A:$O,15,0))</f>
        <v>#N/A</v>
      </c>
      <c r="P117" s="52" t="str">
        <f>IF($J117="Formación Técnica Específica",VLOOKUP(IF($J117="Formación Técnica Específica",$B117&amp;"°"&amp;O$1&amp;"°"&amp;$B117&amp;O$1&amp;1&amp;$A117,$B117&amp;"°"&amp;O$1&amp;"°"&amp;$A117),[1]Hoja1!$A:$O,15,0)," ")</f>
        <v xml:space="preserve"> </v>
      </c>
      <c r="Q117" s="44" t="e">
        <f>IF($J117="Formación Técnica Específica",VLOOKUP(IF($J117="Formación Técnica Específica",$B117&amp;"°"&amp;Q$1&amp;"°"&amp;$B117&amp;Q$1&amp;1&amp;$A117,$B117&amp;"°"&amp;Q$1&amp;"°"&amp;$A117),[1]Hoja1!$A:$O,15,0),VLOOKUP(IF($J117="Formación Técnica Específica",$B117&amp;"°"&amp;Q$1&amp;"°"&amp;$B117&amp;Q$1&amp;1&amp;$A117,$B117&amp;"°"&amp;Q$1&amp;"°"&amp;$A117),[1]Hoja1!$A:$O,15,0))</f>
        <v>#N/A</v>
      </c>
      <c r="R117" s="52" t="str">
        <f>IF($J117="Formación Técnica Específica",VLOOKUP(IF($J117="Formación Técnica Específica",$B117&amp;"°"&amp;Q$1&amp;"°"&amp;$B117&amp;Q$1&amp;1&amp;$A117,$B117&amp;"°"&amp;Q$1&amp;"°"&amp;$A117),[1]Hoja1!$A:$O,15,0)," ")</f>
        <v xml:space="preserve"> </v>
      </c>
      <c r="S117" s="44" t="str">
        <f>IF($J117="Formación Técnica Específica",VLOOKUP(IF($J117="Formación Técnica Específica",$B117&amp;"°"&amp;S$1&amp;"°"&amp;$B117&amp;S$1&amp;1&amp;$A117,$B117&amp;"°"&amp;S$1&amp;"°"&amp;$A117),[1]Hoja1!$A:$O,15,0),VLOOKUP(IF($J117="Formación Técnica Específica",$B117&amp;"°"&amp;S$1&amp;"°"&amp;$B117&amp;S$1&amp;1&amp;$A117,$B117&amp;"°"&amp;S$1&amp;"°"&amp;$A117),[1]Hoja1!$A:$O,15,0))</f>
        <v>GUTIERREZ NICOLAS</v>
      </c>
      <c r="T117" s="52" t="str">
        <f>IF($J117="Formación Técnica Específica",VLOOKUP(IF($J117="Formación Técnica Específica",$B117&amp;"°"&amp;S$1&amp;"°"&amp;$B117&amp;S$1&amp;1&amp;$A117,$B117&amp;"°"&amp;S$1&amp;"°"&amp;$A117),[1]Hoja1!$A:$O,15,0)," ")</f>
        <v xml:space="preserve"> </v>
      </c>
      <c r="U117" s="44" t="str">
        <f>IF($J117="Formación Técnica Específica",VLOOKUP(IF($J117="Formación Técnica Específica",$B117&amp;"°"&amp;U$1&amp;"°"&amp;$B117&amp;U$1&amp;1&amp;$A117,$B117&amp;"°"&amp;U$1&amp;"°"&amp;$A117),[1]Hoja1!$A:$O,15,0),VLOOKUP(IF($J117="Formación Técnica Específica",$B117&amp;"°"&amp;U$1&amp;"°"&amp;$B117&amp;U$1&amp;1&amp;$A117,$B117&amp;"°"&amp;U$1&amp;"°"&amp;$A117),[1]Hoja1!$A:$O,15,0))</f>
        <v xml:space="preserve">SAUCEDO GUSTAVO </v>
      </c>
      <c r="V117" s="52" t="str">
        <f>IF($J117="Formación Técnica Específica",VLOOKUP(IF($J117="Formación Técnica Específica",$B117&amp;"°"&amp;U$1&amp;"°"&amp;$B117&amp;U$1&amp;1&amp;$A117,$B117&amp;"°"&amp;U$1&amp;"°"&amp;$A117),[1]Hoja1!$A:$O,15,0)," ")</f>
        <v xml:space="preserve"> </v>
      </c>
      <c r="W117" s="44" t="e">
        <f>IF($J117="Formación Técnica Específica",VLOOKUP(IF($J117="Formación Técnica Específica",$B117&amp;"°"&amp;W$1&amp;"°"&amp;$B117&amp;W$1&amp;1&amp;$A117,$B117&amp;"°"&amp;W$1&amp;"°"&amp;$A117),[1]Hoja1!$A:$O,15,0),VLOOKUP(IF($J117="Formación Técnica Específica",$B117&amp;"°"&amp;W$1&amp;"°"&amp;$B117&amp;W$1&amp;1&amp;$A117,$B117&amp;"°"&amp;W$1&amp;"°"&amp;$A117),[1]Hoja1!$A:$O,15,0))</f>
        <v>#N/A</v>
      </c>
      <c r="X117" s="52" t="str">
        <f>IF($J117="Formación Técnica Específica",VLOOKUP(IF($J117="Formación Técnica Específica",$B117&amp;"°"&amp;W$1&amp;"°"&amp;$B117&amp;W$1&amp;1&amp;$A117,$B117&amp;"°"&amp;W$1&amp;"°"&amp;$A117),[1]Hoja1!$A:$O,15,0)," ")</f>
        <v xml:space="preserve"> </v>
      </c>
    </row>
    <row r="118" spans="1:24" x14ac:dyDescent="0.25">
      <c r="A118" s="30" t="str">
        <f t="shared" si="8"/>
        <v>6ESIPRO</v>
      </c>
      <c r="B118" s="4">
        <v>6</v>
      </c>
      <c r="C118" s="4" t="s">
        <v>10</v>
      </c>
      <c r="D118" s="4" t="s">
        <v>112</v>
      </c>
      <c r="E118" s="7" t="s">
        <v>66</v>
      </c>
      <c r="F118" s="3">
        <v>9</v>
      </c>
      <c r="G118" s="4" t="s">
        <v>227</v>
      </c>
      <c r="H118" s="4" t="s">
        <v>228</v>
      </c>
      <c r="I118" s="3">
        <v>2</v>
      </c>
      <c r="J118" s="6" t="s">
        <v>290</v>
      </c>
      <c r="K118" s="31" t="s">
        <v>229</v>
      </c>
      <c r="L118" t="str">
        <f t="shared" si="5"/>
        <v>6°9</v>
      </c>
      <c r="M118" s="31" t="s">
        <v>282</v>
      </c>
      <c r="N118" s="63" t="str">
        <f t="shared" si="6"/>
        <v>6°9</v>
      </c>
      <c r="O118" s="44" t="e">
        <f>IF($J118="Formación Técnica Específica",VLOOKUP(IF($J118="Formación Técnica Específica",$B118&amp;"°"&amp;O$1&amp;"°"&amp;$B118&amp;O$1&amp;1&amp;$A118,$B118&amp;"°"&amp;O$1&amp;"°"&amp;$A118),[1]Hoja1!$A:$O,15,0),VLOOKUP(IF($J118="Formación Técnica Específica",$B118&amp;"°"&amp;O$1&amp;"°"&amp;$B118&amp;O$1&amp;1&amp;$A118,$B118&amp;"°"&amp;O$1&amp;"°"&amp;$A118),[1]Hoja1!$A:$O,15,0))</f>
        <v>#N/A</v>
      </c>
      <c r="P118" s="52" t="str">
        <f>IF($J118="Formación Técnica Específica",VLOOKUP(IF($J118="Formación Técnica Específica",$B118&amp;"°"&amp;O$1&amp;"°"&amp;$B118&amp;O$1&amp;1&amp;$A118,$B118&amp;"°"&amp;O$1&amp;"°"&amp;$A118),[1]Hoja1!$A:$O,15,0)," ")</f>
        <v xml:space="preserve"> </v>
      </c>
      <c r="Q118" s="44" t="e">
        <f>IF($J118="Formación Técnica Específica",VLOOKUP(IF($J118="Formación Técnica Específica",$B118&amp;"°"&amp;Q$1&amp;"°"&amp;$B118&amp;Q$1&amp;1&amp;$A118,$B118&amp;"°"&amp;Q$1&amp;"°"&amp;$A118),[1]Hoja1!$A:$O,15,0),VLOOKUP(IF($J118="Formación Técnica Específica",$B118&amp;"°"&amp;Q$1&amp;"°"&amp;$B118&amp;Q$1&amp;1&amp;$A118,$B118&amp;"°"&amp;Q$1&amp;"°"&amp;$A118),[1]Hoja1!$A:$O,15,0))</f>
        <v>#N/A</v>
      </c>
      <c r="R118" s="52" t="str">
        <f>IF($J118="Formación Técnica Específica",VLOOKUP(IF($J118="Formación Técnica Específica",$B118&amp;"°"&amp;Q$1&amp;"°"&amp;$B118&amp;Q$1&amp;1&amp;$A118,$B118&amp;"°"&amp;Q$1&amp;"°"&amp;$A118),[1]Hoja1!$A:$O,15,0)," ")</f>
        <v xml:space="preserve"> </v>
      </c>
      <c r="S118" s="44" t="str">
        <f>IF($J118="Formación Técnica Específica",VLOOKUP(IF($J118="Formación Técnica Específica",$B118&amp;"°"&amp;S$1&amp;"°"&amp;$B118&amp;S$1&amp;1&amp;$A118,$B118&amp;"°"&amp;S$1&amp;"°"&amp;$A118),[1]Hoja1!$A:$O,15,0),VLOOKUP(IF($J118="Formación Técnica Específica",$B118&amp;"°"&amp;S$1&amp;"°"&amp;$B118&amp;S$1&amp;1&amp;$A118,$B118&amp;"°"&amp;S$1&amp;"°"&amp;$A118),[1]Hoja1!$A:$O,15,0))</f>
        <v xml:space="preserve">LOIS, EDUARDO </v>
      </c>
      <c r="T118" s="52" t="str">
        <f>IF($J118="Formación Técnica Específica",VLOOKUP(IF($J118="Formación Técnica Específica",$B118&amp;"°"&amp;S$1&amp;"°"&amp;$B118&amp;S$1&amp;1&amp;$A118,$B118&amp;"°"&amp;S$1&amp;"°"&amp;$A118),[1]Hoja1!$A:$O,15,0)," ")</f>
        <v xml:space="preserve"> </v>
      </c>
      <c r="U118" s="44" t="str">
        <f>IF($J118="Formación Técnica Específica",VLOOKUP(IF($J118="Formación Técnica Específica",$B118&amp;"°"&amp;U$1&amp;"°"&amp;$B118&amp;U$1&amp;1&amp;$A118,$B118&amp;"°"&amp;U$1&amp;"°"&amp;$A118),[1]Hoja1!$A:$O,15,0),VLOOKUP(IF($J118="Formación Técnica Específica",$B118&amp;"°"&amp;U$1&amp;"°"&amp;$B118&amp;U$1&amp;1&amp;$A118,$B118&amp;"°"&amp;U$1&amp;"°"&amp;$A118),[1]Hoja1!$A:$O,15,0))</f>
        <v>VERON, DAIANA A 27-34985561-0</v>
      </c>
      <c r="V118" s="52" t="str">
        <f>IF($J118="Formación Técnica Específica",VLOOKUP(IF($J118="Formación Técnica Específica",$B118&amp;"°"&amp;U$1&amp;"°"&amp;$B118&amp;U$1&amp;1&amp;$A118,$B118&amp;"°"&amp;U$1&amp;"°"&amp;$A118),[1]Hoja1!$A:$O,15,0)," ")</f>
        <v xml:space="preserve"> </v>
      </c>
      <c r="W118" s="44" t="e">
        <f>IF($J118="Formación Técnica Específica",VLOOKUP(IF($J118="Formación Técnica Específica",$B118&amp;"°"&amp;W$1&amp;"°"&amp;$B118&amp;W$1&amp;1&amp;$A118,$B118&amp;"°"&amp;W$1&amp;"°"&amp;$A118),[1]Hoja1!$A:$O,15,0),VLOOKUP(IF($J118="Formación Técnica Específica",$B118&amp;"°"&amp;W$1&amp;"°"&amp;$B118&amp;W$1&amp;1&amp;$A118,$B118&amp;"°"&amp;W$1&amp;"°"&amp;$A118),[1]Hoja1!$A:$O,15,0))</f>
        <v>#N/A</v>
      </c>
      <c r="X118" s="52" t="str">
        <f>IF($J118="Formación Técnica Específica",VLOOKUP(IF($J118="Formación Técnica Específica",$B118&amp;"°"&amp;W$1&amp;"°"&amp;$B118&amp;W$1&amp;1&amp;$A118,$B118&amp;"°"&amp;W$1&amp;"°"&amp;$A118),[1]Hoja1!$A:$O,15,0)," ")</f>
        <v xml:space="preserve"> </v>
      </c>
    </row>
    <row r="119" spans="1:24" x14ac:dyDescent="0.25">
      <c r="A119" s="30" t="str">
        <f t="shared" si="8"/>
        <v>6EDETRA</v>
      </c>
      <c r="B119" s="4">
        <v>6</v>
      </c>
      <c r="C119" s="4" t="s">
        <v>10</v>
      </c>
      <c r="D119" s="4" t="s">
        <v>112</v>
      </c>
      <c r="E119" s="7" t="s">
        <v>66</v>
      </c>
      <c r="F119" s="3">
        <v>10</v>
      </c>
      <c r="G119" s="4" t="s">
        <v>212</v>
      </c>
      <c r="H119" s="4" t="s">
        <v>213</v>
      </c>
      <c r="I119" s="3">
        <v>2</v>
      </c>
      <c r="J119" s="6" t="s">
        <v>290</v>
      </c>
      <c r="K119" s="31" t="s">
        <v>214</v>
      </c>
      <c r="L119" t="str">
        <f t="shared" si="5"/>
        <v>6°10</v>
      </c>
      <c r="M119" s="31" t="s">
        <v>282</v>
      </c>
      <c r="N119" s="63" t="str">
        <f t="shared" si="6"/>
        <v>6°10</v>
      </c>
      <c r="O119" s="44" t="e">
        <f>IF($J119="Formación Técnica Específica",VLOOKUP(IF($J119="Formación Técnica Específica",$B119&amp;"°"&amp;O$1&amp;"°"&amp;$B119&amp;O$1&amp;1&amp;$A119,$B119&amp;"°"&amp;O$1&amp;"°"&amp;$A119),[1]Hoja1!$A:$O,15,0),VLOOKUP(IF($J119="Formación Técnica Específica",$B119&amp;"°"&amp;O$1&amp;"°"&amp;$B119&amp;O$1&amp;1&amp;$A119,$B119&amp;"°"&amp;O$1&amp;"°"&amp;$A119),[1]Hoja1!$A:$O,15,0))</f>
        <v>#N/A</v>
      </c>
      <c r="P119" s="52" t="str">
        <f>IF($J119="Formación Técnica Específica",VLOOKUP(IF($J119="Formación Técnica Específica",$B119&amp;"°"&amp;O$1&amp;"°"&amp;$B119&amp;O$1&amp;1&amp;$A119,$B119&amp;"°"&amp;O$1&amp;"°"&amp;$A119),[1]Hoja1!$A:$O,15,0)," ")</f>
        <v xml:space="preserve"> </v>
      </c>
      <c r="Q119" s="44" t="e">
        <f>IF($J119="Formación Técnica Específica",VLOOKUP(IF($J119="Formación Técnica Específica",$B119&amp;"°"&amp;Q$1&amp;"°"&amp;$B119&amp;Q$1&amp;1&amp;$A119,$B119&amp;"°"&amp;Q$1&amp;"°"&amp;$A119),[1]Hoja1!$A:$O,15,0),VLOOKUP(IF($J119="Formación Técnica Específica",$B119&amp;"°"&amp;Q$1&amp;"°"&amp;$B119&amp;Q$1&amp;1&amp;$A119,$B119&amp;"°"&amp;Q$1&amp;"°"&amp;$A119),[1]Hoja1!$A:$O,15,0))</f>
        <v>#N/A</v>
      </c>
      <c r="R119" s="52" t="str">
        <f>IF($J119="Formación Técnica Específica",VLOOKUP(IF($J119="Formación Técnica Específica",$B119&amp;"°"&amp;Q$1&amp;"°"&amp;$B119&amp;Q$1&amp;1&amp;$A119,$B119&amp;"°"&amp;Q$1&amp;"°"&amp;$A119),[1]Hoja1!$A:$O,15,0)," ")</f>
        <v xml:space="preserve"> </v>
      </c>
      <c r="S119" s="44" t="str">
        <f>IF($J119="Formación Técnica Específica",VLOOKUP(IF($J119="Formación Técnica Específica",$B119&amp;"°"&amp;S$1&amp;"°"&amp;$B119&amp;S$1&amp;1&amp;$A119,$B119&amp;"°"&amp;S$1&amp;"°"&amp;$A119),[1]Hoja1!$A:$O,15,0),VLOOKUP(IF($J119="Formación Técnica Específica",$B119&amp;"°"&amp;S$1&amp;"°"&amp;$B119&amp;S$1&amp;1&amp;$A119,$B119&amp;"°"&amp;S$1&amp;"°"&amp;$A119),[1]Hoja1!$A:$O,15,0))</f>
        <v>IRIGOYTIA PECCORELLI JULIE</v>
      </c>
      <c r="T119" s="52" t="str">
        <f>IF($J119="Formación Técnica Específica",VLOOKUP(IF($J119="Formación Técnica Específica",$B119&amp;"°"&amp;S$1&amp;"°"&amp;$B119&amp;S$1&amp;1&amp;$A119,$B119&amp;"°"&amp;S$1&amp;"°"&amp;$A119),[1]Hoja1!$A:$O,15,0)," ")</f>
        <v xml:space="preserve"> </v>
      </c>
      <c r="U119" s="44" t="str">
        <f>IF($J119="Formación Técnica Específica",VLOOKUP(IF($J119="Formación Técnica Específica",$B119&amp;"°"&amp;U$1&amp;"°"&amp;$B119&amp;U$1&amp;1&amp;$A119,$B119&amp;"°"&amp;U$1&amp;"°"&amp;$A119),[1]Hoja1!$A:$O,15,0),VLOOKUP(IF($J119="Formación Técnica Específica",$B119&amp;"°"&amp;U$1&amp;"°"&amp;$B119&amp;U$1&amp;1&amp;$A119,$B119&amp;"°"&amp;U$1&amp;"°"&amp;$A119),[1]Hoja1!$A:$O,15,0))</f>
        <v xml:space="preserve">GORDILLO NORA </v>
      </c>
      <c r="V119" s="52" t="str">
        <f>IF($J119="Formación Técnica Específica",VLOOKUP(IF($J119="Formación Técnica Específica",$B119&amp;"°"&amp;U$1&amp;"°"&amp;$B119&amp;U$1&amp;1&amp;$A119,$B119&amp;"°"&amp;U$1&amp;"°"&amp;$A119),[1]Hoja1!$A:$O,15,0)," ")</f>
        <v xml:space="preserve"> </v>
      </c>
      <c r="W119" s="44" t="e">
        <f>IF($J119="Formación Técnica Específica",VLOOKUP(IF($J119="Formación Técnica Específica",$B119&amp;"°"&amp;W$1&amp;"°"&amp;$B119&amp;W$1&amp;1&amp;$A119,$B119&amp;"°"&amp;W$1&amp;"°"&amp;$A119),[1]Hoja1!$A:$O,15,0),VLOOKUP(IF($J119="Formación Técnica Específica",$B119&amp;"°"&amp;W$1&amp;"°"&amp;$B119&amp;W$1&amp;1&amp;$A119,$B119&amp;"°"&amp;W$1&amp;"°"&amp;$A119),[1]Hoja1!$A:$O,15,0))</f>
        <v>#N/A</v>
      </c>
      <c r="X119" s="52" t="str">
        <f>IF($J119="Formación Técnica Específica",VLOOKUP(IF($J119="Formación Técnica Específica",$B119&amp;"°"&amp;W$1&amp;"°"&amp;$B119&amp;W$1&amp;1&amp;$A119,$B119&amp;"°"&amp;W$1&amp;"°"&amp;$A119),[1]Hoja1!$A:$O,15,0)," ")</f>
        <v xml:space="preserve"> </v>
      </c>
    </row>
    <row r="120" spans="1:24" x14ac:dyDescent="0.25">
      <c r="A120" s="30" t="str">
        <f t="shared" si="8"/>
        <v>6ELENE6</v>
      </c>
      <c r="B120" s="4">
        <v>6</v>
      </c>
      <c r="C120" s="4" t="s">
        <v>10</v>
      </c>
      <c r="D120" s="4" t="s">
        <v>112</v>
      </c>
      <c r="E120" s="7" t="s">
        <v>66</v>
      </c>
      <c r="F120" s="3">
        <v>11</v>
      </c>
      <c r="G120" s="4" t="s">
        <v>230</v>
      </c>
      <c r="H120" s="4" t="s">
        <v>184</v>
      </c>
      <c r="I120" s="3">
        <v>2</v>
      </c>
      <c r="J120" s="6" t="s">
        <v>33</v>
      </c>
      <c r="K120" s="31" t="s">
        <v>185</v>
      </c>
      <c r="L120" t="str">
        <f t="shared" si="5"/>
        <v>6°11</v>
      </c>
      <c r="M120" s="31" t="s">
        <v>282</v>
      </c>
      <c r="N120" s="63" t="str">
        <f t="shared" si="6"/>
        <v>6°11</v>
      </c>
      <c r="O120" s="44" t="e">
        <f>IF($J120="Formación Técnica Específica",VLOOKUP(IF($J120="Formación Técnica Específica",$B120&amp;"°"&amp;O$1&amp;"°"&amp;$B120&amp;O$1&amp;1&amp;$A120,$B120&amp;"°"&amp;O$1&amp;"°"&amp;$A120),[1]Hoja1!$A:$O,15,0),VLOOKUP(IF($J120="Formación Técnica Específica",$B120&amp;"°"&amp;O$1&amp;"°"&amp;$B120&amp;O$1&amp;1&amp;$A120,$B120&amp;"°"&amp;O$1&amp;"°"&amp;$A120),[1]Hoja1!$A:$O,15,0))</f>
        <v>#N/A</v>
      </c>
      <c r="P120" s="52" t="e">
        <f>IF($J120="Formación Técnica Específica",VLOOKUP(IF($J120="Formación Técnica Específica",$B120&amp;"°"&amp;O$1&amp;"°"&amp;$B120&amp;O$1&amp;1&amp;$A120,$B120&amp;"°"&amp;O$1&amp;"°"&amp;$A120),[1]Hoja1!$A:$O,15,0)," ")</f>
        <v>#N/A</v>
      </c>
      <c r="Q120" s="44" t="e">
        <f>IF($J120="Formación Técnica Específica",VLOOKUP(IF($J120="Formación Técnica Específica",$B120&amp;"°"&amp;Q$1&amp;"°"&amp;$B120&amp;Q$1&amp;1&amp;$A120,$B120&amp;"°"&amp;Q$1&amp;"°"&amp;$A120),[1]Hoja1!$A:$O,15,0),VLOOKUP(IF($J120="Formación Técnica Específica",$B120&amp;"°"&amp;Q$1&amp;"°"&amp;$B120&amp;Q$1&amp;1&amp;$A120,$B120&amp;"°"&amp;Q$1&amp;"°"&amp;$A120),[1]Hoja1!$A:$O,15,0))</f>
        <v>#N/A</v>
      </c>
      <c r="R120" s="52" t="e">
        <f>IF($J120="Formación Técnica Específica",VLOOKUP(IF($J120="Formación Técnica Específica",$B120&amp;"°"&amp;Q$1&amp;"°"&amp;$B120&amp;Q$1&amp;1&amp;$A120,$B120&amp;"°"&amp;Q$1&amp;"°"&amp;$A120),[1]Hoja1!$A:$O,15,0)," ")</f>
        <v>#N/A</v>
      </c>
      <c r="S120" s="44" t="str">
        <f>IF($J120="Formación Técnica Específica",VLOOKUP(IF($J120="Formación Técnica Específica",$B120&amp;"°"&amp;S$1&amp;"°"&amp;$B120&amp;S$1&amp;1&amp;$A120,$B120&amp;"°"&amp;S$1&amp;"°"&amp;$A120),[1]Hoja1!$A:$O,15,0),VLOOKUP(IF($J120="Formación Técnica Específica",$B120&amp;"°"&amp;S$1&amp;"°"&amp;$B120&amp;S$1&amp;1&amp;$A120,$B120&amp;"°"&amp;S$1&amp;"°"&amp;$A120),[1]Hoja1!$A:$O,15,0))</f>
        <v xml:space="preserve">BARONI, ROBERTO </v>
      </c>
      <c r="T120" s="52" t="str">
        <f>IF($J120="Formación Técnica Específica",VLOOKUP(IF($J120="Formación Técnica Específica",$B120&amp;"°"&amp;S$1&amp;"°"&amp;$B120&amp;S$1&amp;1&amp;$A120,$B120&amp;"°"&amp;S$1&amp;"°"&amp;$A120),[1]Hoja1!$A:$O,15,0)," ")</f>
        <v xml:space="preserve">BARONI, ROBERTO </v>
      </c>
      <c r="U120" s="44" t="str">
        <f>IF($J120="Formación Técnica Específica",VLOOKUP(IF($J120="Formación Técnica Específica",$B120&amp;"°"&amp;U$1&amp;"°"&amp;$B120&amp;U$1&amp;1&amp;$A120,$B120&amp;"°"&amp;U$1&amp;"°"&amp;$A120),[1]Hoja1!$A:$O,15,0),VLOOKUP(IF($J120="Formación Técnica Específica",$B120&amp;"°"&amp;U$1&amp;"°"&amp;$B120&amp;U$1&amp;1&amp;$A120,$B120&amp;"°"&amp;U$1&amp;"°"&amp;$A120),[1]Hoja1!$A:$O,15,0))</f>
        <v>GONANO, GERMAN S</v>
      </c>
      <c r="V120" s="52" t="str">
        <f>IF($J120="Formación Técnica Específica",VLOOKUP(IF($J120="Formación Técnica Específica",$B120&amp;"°"&amp;U$1&amp;"°"&amp;$B120&amp;U$1&amp;1&amp;$A120,$B120&amp;"°"&amp;U$1&amp;"°"&amp;$A120),[1]Hoja1!$A:$O,15,0)," ")</f>
        <v>GONANO, GERMAN S</v>
      </c>
      <c r="W120" s="44" t="e">
        <f>IF($J120="Formación Técnica Específica",VLOOKUP(IF($J120="Formación Técnica Específica",$B120&amp;"°"&amp;W$1&amp;"°"&amp;$B120&amp;W$1&amp;1&amp;$A120,$B120&amp;"°"&amp;W$1&amp;"°"&amp;$A120),[1]Hoja1!$A:$O,15,0),VLOOKUP(IF($J120="Formación Técnica Específica",$B120&amp;"°"&amp;W$1&amp;"°"&amp;$B120&amp;W$1&amp;1&amp;$A120,$B120&amp;"°"&amp;W$1&amp;"°"&amp;$A120),[1]Hoja1!$A:$O,15,0))</f>
        <v>#N/A</v>
      </c>
      <c r="X120" s="52" t="e">
        <f>IF($J120="Formación Técnica Específica",VLOOKUP(IF($J120="Formación Técnica Específica",$B120&amp;"°"&amp;W$1&amp;"°"&amp;$B120&amp;W$1&amp;1&amp;$A120,$B120&amp;"°"&amp;W$1&amp;"°"&amp;$A120),[1]Hoja1!$A:$O,15,0)," ")</f>
        <v>#N/A</v>
      </c>
    </row>
    <row r="121" spans="1:24" x14ac:dyDescent="0.25">
      <c r="A121" s="30" t="str">
        <f t="shared" si="8"/>
        <v>6EFTAE6</v>
      </c>
      <c r="B121" s="4">
        <v>6</v>
      </c>
      <c r="C121" s="4" t="s">
        <v>10</v>
      </c>
      <c r="D121" s="4" t="s">
        <v>112</v>
      </c>
      <c r="E121" s="7" t="s">
        <v>66</v>
      </c>
      <c r="F121" s="3">
        <v>12</v>
      </c>
      <c r="G121" s="4" t="s">
        <v>231</v>
      </c>
      <c r="H121" s="4" t="s">
        <v>127</v>
      </c>
      <c r="I121" s="3">
        <v>4</v>
      </c>
      <c r="J121" s="6" t="s">
        <v>33</v>
      </c>
      <c r="K121" s="31" t="s">
        <v>275</v>
      </c>
      <c r="L121" t="str">
        <f t="shared" si="5"/>
        <v>6°12</v>
      </c>
      <c r="M121" s="31" t="s">
        <v>282</v>
      </c>
      <c r="N121" s="63" t="str">
        <f t="shared" si="6"/>
        <v>6°12</v>
      </c>
      <c r="O121" s="44" t="e">
        <f>IF($J121="Formación Técnica Específica",VLOOKUP(IF($J121="Formación Técnica Específica",$B121&amp;"°"&amp;O$1&amp;"°"&amp;$B121&amp;O$1&amp;1&amp;$A121,$B121&amp;"°"&amp;O$1&amp;"°"&amp;$A121),[1]Hoja1!$A:$O,15,0),VLOOKUP(IF($J121="Formación Técnica Específica",$B121&amp;"°"&amp;O$1&amp;"°"&amp;$B121&amp;O$1&amp;1&amp;$A121,$B121&amp;"°"&amp;O$1&amp;"°"&amp;$A121),[1]Hoja1!$A:$O,15,0))</f>
        <v>#N/A</v>
      </c>
      <c r="P121" s="52" t="e">
        <f>IF($J121="Formación Técnica Específica",VLOOKUP(IF($J121="Formación Técnica Específica",$B121&amp;"°"&amp;O$1&amp;"°"&amp;$B121&amp;O$1&amp;1&amp;$A121,$B121&amp;"°"&amp;O$1&amp;"°"&amp;$A121),[1]Hoja1!$A:$O,15,0)," ")</f>
        <v>#N/A</v>
      </c>
      <c r="Q121" s="44" t="e">
        <f>IF($J121="Formación Técnica Específica",VLOOKUP(IF($J121="Formación Técnica Específica",$B121&amp;"°"&amp;Q$1&amp;"°"&amp;$B121&amp;Q$1&amp;1&amp;$A121,$B121&amp;"°"&amp;Q$1&amp;"°"&amp;$A121),[1]Hoja1!$A:$O,15,0),VLOOKUP(IF($J121="Formación Técnica Específica",$B121&amp;"°"&amp;Q$1&amp;"°"&amp;$B121&amp;Q$1&amp;1&amp;$A121,$B121&amp;"°"&amp;Q$1&amp;"°"&amp;$A121),[1]Hoja1!$A:$O,15,0))</f>
        <v>#N/A</v>
      </c>
      <c r="R121" s="52" t="e">
        <f>IF($J121="Formación Técnica Específica",VLOOKUP(IF($J121="Formación Técnica Específica",$B121&amp;"°"&amp;Q$1&amp;"°"&amp;$B121&amp;Q$1&amp;1&amp;$A121,$B121&amp;"°"&amp;Q$1&amp;"°"&amp;$A121),[1]Hoja1!$A:$O,15,0)," ")</f>
        <v>#N/A</v>
      </c>
      <c r="S121" s="44" t="str">
        <f>IF($J121="Formación Técnica Específica",VLOOKUP(IF($J121="Formación Técnica Específica",$B121&amp;"°"&amp;S$1&amp;"°"&amp;$B121&amp;S$1&amp;1&amp;$A121,$B121&amp;"°"&amp;S$1&amp;"°"&amp;$A121),[1]Hoja1!$A:$O,15,0),VLOOKUP(IF($J121="Formación Técnica Específica",$B121&amp;"°"&amp;S$1&amp;"°"&amp;$B121&amp;S$1&amp;1&amp;$A121,$B121&amp;"°"&amp;S$1&amp;"°"&amp;$A121),[1]Hoja1!$A:$O,15,0))</f>
        <v>GUTIERREZ NICOLAS</v>
      </c>
      <c r="T121" s="52" t="str">
        <f>IF($J121="Formación Técnica Específica",VLOOKUP(IF($J121="Formación Técnica Específica",$B121&amp;"°"&amp;S$1&amp;"°"&amp;$B121&amp;S$1&amp;1&amp;$A121,$B121&amp;"°"&amp;S$1&amp;"°"&amp;$A121),[1]Hoja1!$A:$O,15,0)," ")</f>
        <v>GUTIERREZ NICOLAS</v>
      </c>
      <c r="U121" s="44" t="str">
        <f>IF($J121="Formación Técnica Específica",VLOOKUP(IF($J121="Formación Técnica Específica",$B121&amp;"°"&amp;U$1&amp;"°"&amp;$B121&amp;U$1&amp;1&amp;$A121,$B121&amp;"°"&amp;U$1&amp;"°"&amp;$A121),[1]Hoja1!$A:$O,15,0),VLOOKUP(IF($J121="Formación Técnica Específica",$B121&amp;"°"&amp;U$1&amp;"°"&amp;$B121&amp;U$1&amp;1&amp;$A121,$B121&amp;"°"&amp;U$1&amp;"°"&amp;$A121),[1]Hoja1!$A:$O,15,0))</f>
        <v xml:space="preserve">MARTINEZ, SILVIO </v>
      </c>
      <c r="V121" s="52" t="str">
        <f>IF($J121="Formación Técnica Específica",VLOOKUP(IF($J121="Formación Técnica Específica",$B121&amp;"°"&amp;U$1&amp;"°"&amp;$B121&amp;U$1&amp;1&amp;$A121,$B121&amp;"°"&amp;U$1&amp;"°"&amp;$A121),[1]Hoja1!$A:$O,15,0)," ")</f>
        <v xml:space="preserve">MARTINEZ, SILVIO </v>
      </c>
      <c r="W121" s="44" t="e">
        <f>IF($J121="Formación Técnica Específica",VLOOKUP(IF($J121="Formación Técnica Específica",$B121&amp;"°"&amp;W$1&amp;"°"&amp;$B121&amp;W$1&amp;1&amp;$A121,$B121&amp;"°"&amp;W$1&amp;"°"&amp;$A121),[1]Hoja1!$A:$O,15,0),VLOOKUP(IF($J121="Formación Técnica Específica",$B121&amp;"°"&amp;W$1&amp;"°"&amp;$B121&amp;W$1&amp;1&amp;$A121,$B121&amp;"°"&amp;W$1&amp;"°"&amp;$A121),[1]Hoja1!$A:$O,15,0))</f>
        <v>#N/A</v>
      </c>
      <c r="X121" s="52" t="e">
        <f>IF($J121="Formación Técnica Específica",VLOOKUP(IF($J121="Formación Técnica Específica",$B121&amp;"°"&amp;W$1&amp;"°"&amp;$B121&amp;W$1&amp;1&amp;$A121,$B121&amp;"°"&amp;W$1&amp;"°"&amp;$A121),[1]Hoja1!$A:$O,15,0)," ")</f>
        <v>#N/A</v>
      </c>
    </row>
    <row r="122" spans="1:24" x14ac:dyDescent="0.25">
      <c r="A122" s="30" t="str">
        <f t="shared" si="8"/>
        <v>6EFTED6</v>
      </c>
      <c r="B122" s="4">
        <v>6</v>
      </c>
      <c r="C122" s="4" t="s">
        <v>10</v>
      </c>
      <c r="D122" s="4" t="s">
        <v>112</v>
      </c>
      <c r="E122" s="7" t="s">
        <v>66</v>
      </c>
      <c r="F122" s="3">
        <v>13</v>
      </c>
      <c r="G122" s="4" t="s">
        <v>232</v>
      </c>
      <c r="H122" s="4" t="s">
        <v>130</v>
      </c>
      <c r="I122" s="3">
        <v>4</v>
      </c>
      <c r="J122" s="6" t="s">
        <v>33</v>
      </c>
      <c r="K122" s="31" t="s">
        <v>233</v>
      </c>
      <c r="L122" t="str">
        <f t="shared" si="5"/>
        <v>6°13</v>
      </c>
      <c r="M122" s="31" t="s">
        <v>282</v>
      </c>
      <c r="N122" s="63" t="str">
        <f t="shared" si="6"/>
        <v>6°13</v>
      </c>
      <c r="O122" s="44" t="e">
        <f>IF($J122="Formación Técnica Específica",VLOOKUP(IF($J122="Formación Técnica Específica",$B122&amp;"°"&amp;O$1&amp;"°"&amp;$B122&amp;O$1&amp;1&amp;$A122,$B122&amp;"°"&amp;O$1&amp;"°"&amp;$A122),[1]Hoja1!$A:$O,15,0),VLOOKUP(IF($J122="Formación Técnica Específica",$B122&amp;"°"&amp;O$1&amp;"°"&amp;$B122&amp;O$1&amp;1&amp;$A122,$B122&amp;"°"&amp;O$1&amp;"°"&amp;$A122),[1]Hoja1!$A:$O,15,0))</f>
        <v>#N/A</v>
      </c>
      <c r="P122" s="52" t="e">
        <f>IF($J122="Formación Técnica Específica",VLOOKUP(IF($J122="Formación Técnica Específica",$B122&amp;"°"&amp;O$1&amp;"°"&amp;$B122&amp;O$1&amp;1&amp;$A122,$B122&amp;"°"&amp;O$1&amp;"°"&amp;$A122),[1]Hoja1!$A:$O,15,0)," ")</f>
        <v>#N/A</v>
      </c>
      <c r="Q122" s="44" t="e">
        <f>IF($J122="Formación Técnica Específica",VLOOKUP(IF($J122="Formación Técnica Específica",$B122&amp;"°"&amp;Q$1&amp;"°"&amp;$B122&amp;Q$1&amp;1&amp;$A122,$B122&amp;"°"&amp;Q$1&amp;"°"&amp;$A122),[1]Hoja1!$A:$O,15,0),VLOOKUP(IF($J122="Formación Técnica Específica",$B122&amp;"°"&amp;Q$1&amp;"°"&amp;$B122&amp;Q$1&amp;1&amp;$A122,$B122&amp;"°"&amp;Q$1&amp;"°"&amp;$A122),[1]Hoja1!$A:$O,15,0))</f>
        <v>#N/A</v>
      </c>
      <c r="R122" s="52" t="e">
        <f>IF($J122="Formación Técnica Específica",VLOOKUP(IF($J122="Formación Técnica Específica",$B122&amp;"°"&amp;Q$1&amp;"°"&amp;$B122&amp;Q$1&amp;1&amp;$A122,$B122&amp;"°"&amp;Q$1&amp;"°"&amp;$A122),[1]Hoja1!$A:$O,15,0)," ")</f>
        <v>#N/A</v>
      </c>
      <c r="S122" s="44" t="str">
        <f>IF($J122="Formación Técnica Específica",VLOOKUP(IF($J122="Formación Técnica Específica",$B122&amp;"°"&amp;S$1&amp;"°"&amp;$B122&amp;S$1&amp;1&amp;$A122,$B122&amp;"°"&amp;S$1&amp;"°"&amp;$A122),[1]Hoja1!$A:$O,15,0),VLOOKUP(IF($J122="Formación Técnica Específica",$B122&amp;"°"&amp;S$1&amp;"°"&amp;$B122&amp;S$1&amp;1&amp;$A122,$B122&amp;"°"&amp;S$1&amp;"°"&amp;$A122),[1]Hoja1!$A:$O,15,0))</f>
        <v xml:space="preserve">FISTER (Serv.Prov) </v>
      </c>
      <c r="T122" s="52" t="str">
        <f>IF($J122="Formación Técnica Específica",VLOOKUP(IF($J122="Formación Técnica Específica",$B122&amp;"°"&amp;S$1&amp;"°"&amp;$B122&amp;S$1&amp;1&amp;$A122,$B122&amp;"°"&amp;S$1&amp;"°"&amp;$A122),[1]Hoja1!$A:$O,15,0)," ")</f>
        <v xml:space="preserve">FISTER (Serv.Prov) </v>
      </c>
      <c r="U122" s="44" t="str">
        <f>IF($J122="Formación Técnica Específica",VLOOKUP(IF($J122="Formación Técnica Específica",$B122&amp;"°"&amp;U$1&amp;"°"&amp;$B122&amp;U$1&amp;1&amp;$A122,$B122&amp;"°"&amp;U$1&amp;"°"&amp;$A122),[1]Hoja1!$A:$O,15,0),VLOOKUP(IF($J122="Formación Técnica Específica",$B122&amp;"°"&amp;U$1&amp;"°"&amp;$B122&amp;U$1&amp;1&amp;$A122,$B122&amp;"°"&amp;U$1&amp;"°"&amp;$A122),[1]Hoja1!$A:$O,15,0))</f>
        <v>BULACIO ARIEL</v>
      </c>
      <c r="V122" s="52" t="str">
        <f>IF($J122="Formación Técnica Específica",VLOOKUP(IF($J122="Formación Técnica Específica",$B122&amp;"°"&amp;U$1&amp;"°"&amp;$B122&amp;U$1&amp;1&amp;$A122,$B122&amp;"°"&amp;U$1&amp;"°"&amp;$A122),[1]Hoja1!$A:$O,15,0)," ")</f>
        <v>BULACIO ARIEL</v>
      </c>
      <c r="W122" s="44" t="e">
        <f>IF($J122="Formación Técnica Específica",VLOOKUP(IF($J122="Formación Técnica Específica",$B122&amp;"°"&amp;W$1&amp;"°"&amp;$B122&amp;W$1&amp;1&amp;$A122,$B122&amp;"°"&amp;W$1&amp;"°"&amp;$A122),[1]Hoja1!$A:$O,15,0),VLOOKUP(IF($J122="Formación Técnica Específica",$B122&amp;"°"&amp;W$1&amp;"°"&amp;$B122&amp;W$1&amp;1&amp;$A122,$B122&amp;"°"&amp;W$1&amp;"°"&amp;$A122),[1]Hoja1!$A:$O,15,0))</f>
        <v>#N/A</v>
      </c>
      <c r="X122" s="52" t="e">
        <f>IF($J122="Formación Técnica Específica",VLOOKUP(IF($J122="Formación Técnica Específica",$B122&amp;"°"&amp;W$1&amp;"°"&amp;$B122&amp;W$1&amp;1&amp;$A122,$B122&amp;"°"&amp;W$1&amp;"°"&amp;$A122),[1]Hoja1!$A:$O,15,0)," ")</f>
        <v>#N/A</v>
      </c>
    </row>
    <row r="123" spans="1:24" ht="15.75" thickBot="1" x14ac:dyDescent="0.3">
      <c r="A123" s="32" t="str">
        <f t="shared" si="8"/>
        <v>6EFTMP6</v>
      </c>
      <c r="B123" s="33">
        <v>6</v>
      </c>
      <c r="C123" s="33" t="s">
        <v>10</v>
      </c>
      <c r="D123" s="33" t="s">
        <v>112</v>
      </c>
      <c r="E123" s="34" t="s">
        <v>66</v>
      </c>
      <c r="F123" s="35">
        <v>14</v>
      </c>
      <c r="G123" s="33" t="s">
        <v>234</v>
      </c>
      <c r="H123" s="33" t="s">
        <v>133</v>
      </c>
      <c r="I123" s="35">
        <v>4</v>
      </c>
      <c r="J123" s="6" t="s">
        <v>33</v>
      </c>
      <c r="K123" s="37" t="s">
        <v>235</v>
      </c>
      <c r="L123" t="str">
        <f t="shared" si="5"/>
        <v>6°14</v>
      </c>
      <c r="M123" s="37" t="s">
        <v>282</v>
      </c>
      <c r="N123" s="63" t="str">
        <f t="shared" si="6"/>
        <v>6°14</v>
      </c>
      <c r="O123" s="53" t="e">
        <f>IF($J123="Formación Técnica Específica",VLOOKUP(IF($J123="Formación Técnica Específica",$B123&amp;"°"&amp;O$1&amp;"°"&amp;$B123&amp;O$1&amp;1&amp;$A123,$B123&amp;"°"&amp;O$1&amp;"°"&amp;$A123),[1]Hoja1!$A:$O,15,0),VLOOKUP(IF($J123="Formación Técnica Específica",$B123&amp;"°"&amp;O$1&amp;"°"&amp;$B123&amp;O$1&amp;1&amp;$A123,$B123&amp;"°"&amp;O$1&amp;"°"&amp;$A123),[1]Hoja1!$A:$O,15,0))</f>
        <v>#N/A</v>
      </c>
      <c r="P123" s="54" t="e">
        <f>IF($J123="Formación Técnica Específica",VLOOKUP(IF($J123="Formación Técnica Específica",$B123&amp;"°"&amp;O$1&amp;"°"&amp;$B123&amp;O$1&amp;1&amp;$A123,$B123&amp;"°"&amp;O$1&amp;"°"&amp;$A123),[1]Hoja1!$A:$O,15,0)," ")</f>
        <v>#N/A</v>
      </c>
      <c r="Q123" s="53" t="e">
        <f>IF($J123="Formación Técnica Específica",VLOOKUP(IF($J123="Formación Técnica Específica",$B123&amp;"°"&amp;Q$1&amp;"°"&amp;$B123&amp;Q$1&amp;1&amp;$A123,$B123&amp;"°"&amp;Q$1&amp;"°"&amp;$A123),[1]Hoja1!$A:$O,15,0),VLOOKUP(IF($J123="Formación Técnica Específica",$B123&amp;"°"&amp;Q$1&amp;"°"&amp;$B123&amp;Q$1&amp;1&amp;$A123,$B123&amp;"°"&amp;Q$1&amp;"°"&amp;$A123),[1]Hoja1!$A:$O,15,0))</f>
        <v>#N/A</v>
      </c>
      <c r="R123" s="54" t="e">
        <f>IF($J123="Formación Técnica Específica",VLOOKUP(IF($J123="Formación Técnica Específica",$B123&amp;"°"&amp;Q$1&amp;"°"&amp;$B123&amp;Q$1&amp;1&amp;$A123,$B123&amp;"°"&amp;Q$1&amp;"°"&amp;$A123),[1]Hoja1!$A:$O,15,0)," ")</f>
        <v>#N/A</v>
      </c>
      <c r="S123" s="53" t="str">
        <f>IF($J123="Formación Técnica Específica",VLOOKUP(IF($J123="Formación Técnica Específica",$B123&amp;"°"&amp;S$1&amp;"°"&amp;$B123&amp;S$1&amp;1&amp;$A123,$B123&amp;"°"&amp;S$1&amp;"°"&amp;$A123),[1]Hoja1!$A:$O,15,0),VLOOKUP(IF($J123="Formación Técnica Específica",$B123&amp;"°"&amp;S$1&amp;"°"&amp;$B123&amp;S$1&amp;1&amp;$A123,$B123&amp;"°"&amp;S$1&amp;"°"&amp;$A123),[1]Hoja1!$A:$O,15,0))</f>
        <v>GUTIERREZ NICOLAS</v>
      </c>
      <c r="T123" s="54" t="str">
        <f>IF($J123="Formación Técnica Específica",VLOOKUP(IF($J123="Formación Técnica Específica",$B123&amp;"°"&amp;S$1&amp;"°"&amp;$B123&amp;S$1&amp;1&amp;$A123,$B123&amp;"°"&amp;S$1&amp;"°"&amp;$A123),[1]Hoja1!$A:$O,15,0)," ")</f>
        <v>GUTIERREZ NICOLAS</v>
      </c>
      <c r="U123" s="53" t="str">
        <f>IF($J123="Formación Técnica Específica",VLOOKUP(IF($J123="Formación Técnica Específica",$B123&amp;"°"&amp;U$1&amp;"°"&amp;$B123&amp;U$1&amp;1&amp;$A123,$B123&amp;"°"&amp;U$1&amp;"°"&amp;$A123),[1]Hoja1!$A:$O,15,0),VLOOKUP(IF($J123="Formación Técnica Específica",$B123&amp;"°"&amp;U$1&amp;"°"&amp;$B123&amp;U$1&amp;1&amp;$A123,$B123&amp;"°"&amp;U$1&amp;"°"&amp;$A123),[1]Hoja1!$A:$O,15,0))</f>
        <v>SAUCEDO GUSTAVO</v>
      </c>
      <c r="V123" s="54" t="str">
        <f>IF($J123="Formación Técnica Específica",VLOOKUP(IF($J123="Formación Técnica Específica",$B123&amp;"°"&amp;U$1&amp;"°"&amp;$B123&amp;U$1&amp;1&amp;$A123,$B123&amp;"°"&amp;U$1&amp;"°"&amp;$A123),[1]Hoja1!$A:$O,15,0)," ")</f>
        <v>SAUCEDO GUSTAVO</v>
      </c>
      <c r="W123" s="53" t="e">
        <f>IF($J123="Formación Técnica Específica",VLOOKUP(IF($J123="Formación Técnica Específica",$B123&amp;"°"&amp;W$1&amp;"°"&amp;$B123&amp;W$1&amp;1&amp;$A123,$B123&amp;"°"&amp;W$1&amp;"°"&amp;$A123),[1]Hoja1!$A:$O,15,0),VLOOKUP(IF($J123="Formación Técnica Específica",$B123&amp;"°"&amp;W$1&amp;"°"&amp;$B123&amp;W$1&amp;1&amp;$A123,$B123&amp;"°"&amp;W$1&amp;"°"&amp;$A123),[1]Hoja1!$A:$O,15,0))</f>
        <v>#N/A</v>
      </c>
      <c r="X123" s="54" t="e">
        <f>IF($J123="Formación Técnica Específica",VLOOKUP(IF($J123="Formación Técnica Específica",$B123&amp;"°"&amp;W$1&amp;"°"&amp;$B123&amp;W$1&amp;1&amp;$A123,$B123&amp;"°"&amp;W$1&amp;"°"&amp;$A123),[1]Hoja1!$A:$O,15,0)," ")</f>
        <v>#N/A</v>
      </c>
    </row>
    <row r="124" spans="1:24" ht="15.75" thickBot="1" x14ac:dyDescent="0.3">
      <c r="A124" s="24" t="str">
        <f>CONCATENATE("7I",G124)</f>
        <v>7IPPSIN</v>
      </c>
      <c r="B124" s="25">
        <v>7</v>
      </c>
      <c r="C124" s="25" t="s">
        <v>10</v>
      </c>
      <c r="D124" s="68" t="s">
        <v>310</v>
      </c>
      <c r="E124" s="26" t="s">
        <v>66</v>
      </c>
      <c r="F124" s="27">
        <v>1</v>
      </c>
      <c r="G124" s="25" t="s">
        <v>236</v>
      </c>
      <c r="H124" s="25" t="s">
        <v>237</v>
      </c>
      <c r="I124" s="27">
        <v>6</v>
      </c>
      <c r="J124" s="28" t="s">
        <v>291</v>
      </c>
      <c r="K124" s="29" t="s">
        <v>238</v>
      </c>
      <c r="L124" t="str">
        <f t="shared" si="5"/>
        <v>7°1</v>
      </c>
      <c r="M124" s="29"/>
      <c r="N124" s="63" t="str">
        <f t="shared" si="6"/>
        <v>7°1</v>
      </c>
      <c r="O124" s="50" t="e">
        <f>IF($J124="Formación Técnica Específica",VLOOKUP(IF($J124="Formación Técnica Específica",$B124&amp;"°"&amp;O$1&amp;"°"&amp;$B124&amp;O$1&amp;1&amp;$A124,$B124&amp;"°"&amp;O$1&amp;"°"&amp;$A124),[1]Hoja1!$A:$O,15,0),VLOOKUP(IF($J124="Formación Técnica Específica",$B124&amp;"°"&amp;O$1&amp;"°"&amp;$B124&amp;O$1&amp;1&amp;$A124,$B124&amp;"°"&amp;O$1&amp;"°"&amp;$A124),[1]Hoja1!$A:$O,15,0))</f>
        <v>#N/A</v>
      </c>
      <c r="P124" s="51" t="str">
        <f>IF($J124="Formación Técnica Específica",VLOOKUP(IF($J124="Formación Técnica Específica",$B124&amp;"°"&amp;O$1&amp;"°"&amp;$B124&amp;O$1&amp;1&amp;$A124,$B124&amp;"°"&amp;O$1&amp;"°"&amp;$A124),[1]Hoja1!$A:$O,15,0)," ")</f>
        <v xml:space="preserve"> </v>
      </c>
      <c r="Q124" s="50" t="e">
        <f>IF($J124="Formación Técnica Específica",VLOOKUP(IF($J124="Formación Técnica Específica",$B124&amp;"°"&amp;Q$1&amp;"°"&amp;$B124&amp;Q$1&amp;1&amp;$A124,$B124&amp;"°"&amp;Q$1&amp;"°"&amp;$A124),[1]Hoja1!$A:$O,15,0),VLOOKUP(IF($J124="Formación Técnica Específica",$B124&amp;"°"&amp;Q$1&amp;"°"&amp;$B124&amp;Q$1&amp;1&amp;$A124,$B124&amp;"°"&amp;Q$1&amp;"°"&amp;$A124),[1]Hoja1!$A:$O,15,0))</f>
        <v>#N/A</v>
      </c>
      <c r="R124" s="51" t="str">
        <f>IF($J124="Formación Técnica Específica",VLOOKUP(IF($J124="Formación Técnica Específica",$B124&amp;"°"&amp;Q$1&amp;"°"&amp;$B124&amp;Q$1&amp;1&amp;$A124,$B124&amp;"°"&amp;Q$1&amp;"°"&amp;$A124),[1]Hoja1!$A:$O,15,0)," ")</f>
        <v xml:space="preserve"> </v>
      </c>
      <c r="S124" s="50" t="e">
        <f>IF($J124="Formación Técnica Específica",VLOOKUP(IF($J124="Formación Técnica Específica",$B124&amp;"°"&amp;S$1&amp;"°"&amp;$B124&amp;S$1&amp;1&amp;$A124,$B124&amp;"°"&amp;S$1&amp;"°"&amp;$A124),[1]Hoja1!$A:$O,15,0),VLOOKUP(IF($J124="Formación Técnica Específica",$B124&amp;"°"&amp;S$1&amp;"°"&amp;$B124&amp;S$1&amp;1&amp;$A124,$B124&amp;"°"&amp;S$1&amp;"°"&amp;$A124),[1]Hoja1!$A:$O,15,0))</f>
        <v>#N/A</v>
      </c>
      <c r="T124" s="51" t="str">
        <f>IF($J124="Formación Técnica Específica",VLOOKUP(IF($J124="Formación Técnica Específica",$B124&amp;"°"&amp;S$1&amp;"°"&amp;$B124&amp;S$1&amp;1&amp;$A124,$B124&amp;"°"&amp;S$1&amp;"°"&amp;$A124),[1]Hoja1!$A:$O,15,0)," ")</f>
        <v xml:space="preserve"> </v>
      </c>
      <c r="U124" s="50" t="e">
        <f>IF($J124="Formación Técnica Específica",VLOOKUP(IF($J124="Formación Técnica Específica",$B124&amp;"°"&amp;U$1&amp;"°"&amp;$B124&amp;U$1&amp;1&amp;$A124,$B124&amp;"°"&amp;U$1&amp;"°"&amp;$A124),[1]Hoja1!$A:$O,15,0),VLOOKUP(IF($J124="Formación Técnica Específica",$B124&amp;"°"&amp;U$1&amp;"°"&amp;$B124&amp;U$1&amp;1&amp;$A124,$B124&amp;"°"&amp;U$1&amp;"°"&amp;$A124),[1]Hoja1!$A:$O,15,0))</f>
        <v>#N/A</v>
      </c>
      <c r="V124" s="51" t="str">
        <f>IF($J124="Formación Técnica Específica",VLOOKUP(IF($J124="Formación Técnica Específica",$B124&amp;"°"&amp;U$1&amp;"°"&amp;$B124&amp;U$1&amp;1&amp;$A124,$B124&amp;"°"&amp;U$1&amp;"°"&amp;$A124),[1]Hoja1!$A:$O,15,0)," ")</f>
        <v xml:space="preserve"> </v>
      </c>
      <c r="W124" s="50" t="e">
        <f>IF($J124="Formación Técnica Específica",VLOOKUP(IF($J124="Formación Técnica Específica",$B124&amp;"°"&amp;W$1&amp;"°"&amp;$B124&amp;W$1&amp;1&amp;$A124,$B124&amp;"°"&amp;W$1&amp;"°"&amp;$A124),[1]Hoja1!$A:$O,15,0),VLOOKUP(IF($J124="Formación Técnica Específica",$B124&amp;"°"&amp;W$1&amp;"°"&amp;$B124&amp;W$1&amp;1&amp;$A124,$B124&amp;"°"&amp;W$1&amp;"°"&amp;$A124),[1]Hoja1!$A:$O,15,0))</f>
        <v>#N/A</v>
      </c>
      <c r="X124" s="51" t="str">
        <f>IF($J124="Formación Técnica Específica",VLOOKUP(IF($J124="Formación Técnica Específica",$B124&amp;"°"&amp;W$1&amp;"°"&amp;$B124&amp;W$1&amp;1&amp;$A124,$B124&amp;"°"&amp;W$1&amp;"°"&amp;$A124),[1]Hoja1!$A:$O,15,0)," ")</f>
        <v xml:space="preserve"> </v>
      </c>
    </row>
    <row r="125" spans="1:24" ht="15.75" thickBot="1" x14ac:dyDescent="0.3">
      <c r="A125" s="30" t="str">
        <f t="shared" ref="A125:A131" si="9">CONCATENATE("7I",G125)</f>
        <v>7IPPDLO</v>
      </c>
      <c r="B125" s="4">
        <v>7</v>
      </c>
      <c r="C125" s="4" t="s">
        <v>10</v>
      </c>
      <c r="D125" s="68" t="s">
        <v>310</v>
      </c>
      <c r="E125" s="7" t="s">
        <v>66</v>
      </c>
      <c r="F125" s="3">
        <v>2</v>
      </c>
      <c r="G125" s="4" t="s">
        <v>239</v>
      </c>
      <c r="H125" s="4"/>
      <c r="I125" s="3">
        <v>2</v>
      </c>
      <c r="J125" s="6" t="s">
        <v>290</v>
      </c>
      <c r="K125" s="31" t="s">
        <v>240</v>
      </c>
      <c r="L125" t="str">
        <f t="shared" si="5"/>
        <v>7°2</v>
      </c>
      <c r="M125" s="31"/>
      <c r="N125" s="63" t="str">
        <f t="shared" si="6"/>
        <v>7°2</v>
      </c>
      <c r="O125" s="44" t="str">
        <f>IF($J125="Formación Técnica Específica",VLOOKUP(IF($J125="Formación Técnica Específica",$B125&amp;"°"&amp;O$1&amp;"°"&amp;$B125&amp;O$1&amp;1&amp;$A125,$B125&amp;"°"&amp;O$1&amp;"°"&amp;$A125),[1]Hoja1!$A:$O,15,0),VLOOKUP(IF($J125="Formación Técnica Específica",$B125&amp;"°"&amp;O$1&amp;"°"&amp;$B125&amp;O$1&amp;1&amp;$A125,$B125&amp;"°"&amp;O$1&amp;"°"&amp;$A125),[1]Hoja1!$A:$O,15,0))</f>
        <v>CARPITELLA FABIAN</v>
      </c>
      <c r="P125" s="52" t="str">
        <f>IF($J125="Formación Técnica Específica",VLOOKUP(IF($J125="Formación Técnica Específica",$B125&amp;"°"&amp;O$1&amp;"°"&amp;$B125&amp;O$1&amp;1&amp;$A125,$B125&amp;"°"&amp;O$1&amp;"°"&amp;$A125),[1]Hoja1!$A:$O,15,0)," ")</f>
        <v xml:space="preserve"> </v>
      </c>
      <c r="Q125" s="44" t="e">
        <f>IF($J125="Formación Técnica Específica",VLOOKUP(IF($J125="Formación Técnica Específica",$B125&amp;"°"&amp;Q$1&amp;"°"&amp;$B125&amp;Q$1&amp;1&amp;$A125,$B125&amp;"°"&amp;Q$1&amp;"°"&amp;$A125),[1]Hoja1!$A:$O,15,0),VLOOKUP(IF($J125="Formación Técnica Específica",$B125&amp;"°"&amp;Q$1&amp;"°"&amp;$B125&amp;Q$1&amp;1&amp;$A125,$B125&amp;"°"&amp;Q$1&amp;"°"&amp;$A125),[1]Hoja1!$A:$O,15,0))</f>
        <v>#N/A</v>
      </c>
      <c r="R125" s="52" t="str">
        <f>IF($J125="Formación Técnica Específica",VLOOKUP(IF($J125="Formación Técnica Específica",$B125&amp;"°"&amp;Q$1&amp;"°"&amp;$B125&amp;Q$1&amp;1&amp;$A125,$B125&amp;"°"&amp;Q$1&amp;"°"&amp;$A125),[1]Hoja1!$A:$O,15,0)," ")</f>
        <v xml:space="preserve"> </v>
      </c>
      <c r="S125" s="44" t="str">
        <f>IF($J125="Formación Técnica Específica",VLOOKUP(IF($J125="Formación Técnica Específica",$B125&amp;"°"&amp;S$1&amp;"°"&amp;$B125&amp;S$1&amp;1&amp;$A125,$B125&amp;"°"&amp;S$1&amp;"°"&amp;$A125),[1]Hoja1!$A:$O,15,0),VLOOKUP(IF($J125="Formación Técnica Específica",$B125&amp;"°"&amp;S$1&amp;"°"&amp;$B125&amp;S$1&amp;1&amp;$A125,$B125&amp;"°"&amp;S$1&amp;"°"&amp;$A125),[1]Hoja1!$A:$O,15,0))</f>
        <v xml:space="preserve">ROCHA JULIETA </v>
      </c>
      <c r="T125" s="52" t="str">
        <f>IF($J125="Formación Técnica Específica",VLOOKUP(IF($J125="Formación Técnica Específica",$B125&amp;"°"&amp;S$1&amp;"°"&amp;$B125&amp;S$1&amp;1&amp;$A125,$B125&amp;"°"&amp;S$1&amp;"°"&amp;$A125),[1]Hoja1!$A:$O,15,0)," ")</f>
        <v xml:space="preserve"> </v>
      </c>
      <c r="U125" s="44" t="e">
        <f>IF($J125="Formación Técnica Específica",VLOOKUP(IF($J125="Formación Técnica Específica",$B125&amp;"°"&amp;U$1&amp;"°"&amp;$B125&amp;U$1&amp;1&amp;$A125,$B125&amp;"°"&amp;U$1&amp;"°"&amp;$A125),[1]Hoja1!$A:$O,15,0),VLOOKUP(IF($J125="Formación Técnica Específica",$B125&amp;"°"&amp;U$1&amp;"°"&amp;$B125&amp;U$1&amp;1&amp;$A125,$B125&amp;"°"&amp;U$1&amp;"°"&amp;$A125),[1]Hoja1!$A:$O,15,0))</f>
        <v>#N/A</v>
      </c>
      <c r="V125" s="52" t="str">
        <f>IF($J125="Formación Técnica Específica",VLOOKUP(IF($J125="Formación Técnica Específica",$B125&amp;"°"&amp;U$1&amp;"°"&amp;$B125&amp;U$1&amp;1&amp;$A125,$B125&amp;"°"&amp;U$1&amp;"°"&amp;$A125),[1]Hoja1!$A:$O,15,0)," ")</f>
        <v xml:space="preserve"> </v>
      </c>
      <c r="W125" s="44" t="e">
        <f>IF($J125="Formación Técnica Específica",VLOOKUP(IF($J125="Formación Técnica Específica",$B125&amp;"°"&amp;W$1&amp;"°"&amp;$B125&amp;W$1&amp;1&amp;$A125,$B125&amp;"°"&amp;W$1&amp;"°"&amp;$A125),[1]Hoja1!$A:$O,15,0),VLOOKUP(IF($J125="Formación Técnica Específica",$B125&amp;"°"&amp;W$1&amp;"°"&amp;$B125&amp;W$1&amp;1&amp;$A125,$B125&amp;"°"&amp;W$1&amp;"°"&amp;$A125),[1]Hoja1!$A:$O,15,0))</f>
        <v>#N/A</v>
      </c>
      <c r="X125" s="52" t="str">
        <f>IF($J125="Formación Técnica Específica",VLOOKUP(IF($J125="Formación Técnica Específica",$B125&amp;"°"&amp;W$1&amp;"°"&amp;$B125&amp;W$1&amp;1&amp;$A125,$B125&amp;"°"&amp;W$1&amp;"°"&amp;$A125),[1]Hoja1!$A:$O,15,0)," ")</f>
        <v xml:space="preserve"> </v>
      </c>
    </row>
    <row r="126" spans="1:24" ht="15.75" thickBot="1" x14ac:dyDescent="0.3">
      <c r="A126" s="30" t="str">
        <f t="shared" si="9"/>
        <v>7IEVPRO</v>
      </c>
      <c r="B126" s="4">
        <v>7</v>
      </c>
      <c r="C126" s="4" t="s">
        <v>10</v>
      </c>
      <c r="D126" s="68" t="s">
        <v>310</v>
      </c>
      <c r="E126" s="7" t="s">
        <v>66</v>
      </c>
      <c r="F126" s="3">
        <v>3</v>
      </c>
      <c r="G126" s="4" t="s">
        <v>241</v>
      </c>
      <c r="H126" s="4" t="s">
        <v>242</v>
      </c>
      <c r="I126" s="3">
        <v>2</v>
      </c>
      <c r="J126" s="6" t="s">
        <v>290</v>
      </c>
      <c r="K126" s="31" t="s">
        <v>243</v>
      </c>
      <c r="L126" t="str">
        <f t="shared" si="5"/>
        <v>7°3</v>
      </c>
      <c r="M126" s="31"/>
      <c r="N126" s="63" t="str">
        <f t="shared" si="6"/>
        <v>7°3</v>
      </c>
      <c r="O126" s="44" t="str">
        <f>IF($J126="Formación Técnica Específica",VLOOKUP(IF($J126="Formación Técnica Específica",$B126&amp;"°"&amp;O$1&amp;"°"&amp;$B126&amp;O$1&amp;1&amp;$A126,$B126&amp;"°"&amp;O$1&amp;"°"&amp;$A126),[1]Hoja1!$A:$O,15,0),VLOOKUP(IF($J126="Formación Técnica Específica",$B126&amp;"°"&amp;O$1&amp;"°"&amp;$B126&amp;O$1&amp;1&amp;$A126,$B126&amp;"°"&amp;O$1&amp;"°"&amp;$A126),[1]Hoja1!$A:$O,15,0))</f>
        <v>ROCHA JULIETA</v>
      </c>
      <c r="P126" s="52" t="str">
        <f>IF($J126="Formación Técnica Específica",VLOOKUP(IF($J126="Formación Técnica Específica",$B126&amp;"°"&amp;O$1&amp;"°"&amp;$B126&amp;O$1&amp;1&amp;$A126,$B126&amp;"°"&amp;O$1&amp;"°"&amp;$A126),[1]Hoja1!$A:$O,15,0)," ")</f>
        <v xml:space="preserve"> </v>
      </c>
      <c r="Q126" s="44" t="e">
        <f>IF($J126="Formación Técnica Específica",VLOOKUP(IF($J126="Formación Técnica Específica",$B126&amp;"°"&amp;Q$1&amp;"°"&amp;$B126&amp;Q$1&amp;1&amp;$A126,$B126&amp;"°"&amp;Q$1&amp;"°"&amp;$A126),[1]Hoja1!$A:$O,15,0),VLOOKUP(IF($J126="Formación Técnica Específica",$B126&amp;"°"&amp;Q$1&amp;"°"&amp;$B126&amp;Q$1&amp;1&amp;$A126,$B126&amp;"°"&amp;Q$1&amp;"°"&amp;$A126),[1]Hoja1!$A:$O,15,0))</f>
        <v>#N/A</v>
      </c>
      <c r="R126" s="52" t="str">
        <f>IF($J126="Formación Técnica Específica",VLOOKUP(IF($J126="Formación Técnica Específica",$B126&amp;"°"&amp;Q$1&amp;"°"&amp;$B126&amp;Q$1&amp;1&amp;$A126,$B126&amp;"°"&amp;Q$1&amp;"°"&amp;$A126),[1]Hoja1!$A:$O,15,0)," ")</f>
        <v xml:space="preserve"> </v>
      </c>
      <c r="S126" s="44" t="str">
        <f>IF($J126="Formación Técnica Específica",VLOOKUP(IF($J126="Formación Técnica Específica",$B126&amp;"°"&amp;S$1&amp;"°"&amp;$B126&amp;S$1&amp;1&amp;$A126,$B126&amp;"°"&amp;S$1&amp;"°"&amp;$A126),[1]Hoja1!$A:$O,15,0),VLOOKUP(IF($J126="Formación Técnica Específica",$B126&amp;"°"&amp;S$1&amp;"°"&amp;$B126&amp;S$1&amp;1&amp;$A126,$B126&amp;"°"&amp;S$1&amp;"°"&amp;$A126),[1]Hoja1!$A:$O,15,0))</f>
        <v xml:space="preserve">ROCHA JULIETA </v>
      </c>
      <c r="T126" s="52" t="str">
        <f>IF($J126="Formación Técnica Específica",VLOOKUP(IF($J126="Formación Técnica Específica",$B126&amp;"°"&amp;S$1&amp;"°"&amp;$B126&amp;S$1&amp;1&amp;$A126,$B126&amp;"°"&amp;S$1&amp;"°"&amp;$A126),[1]Hoja1!$A:$O,15,0)," ")</f>
        <v xml:space="preserve"> </v>
      </c>
      <c r="U126" s="44" t="e">
        <f>IF($J126="Formación Técnica Específica",VLOOKUP(IF($J126="Formación Técnica Específica",$B126&amp;"°"&amp;U$1&amp;"°"&amp;$B126&amp;U$1&amp;1&amp;$A126,$B126&amp;"°"&amp;U$1&amp;"°"&amp;$A126),[1]Hoja1!$A:$O,15,0),VLOOKUP(IF($J126="Formación Técnica Específica",$B126&amp;"°"&amp;U$1&amp;"°"&amp;$B126&amp;U$1&amp;1&amp;$A126,$B126&amp;"°"&amp;U$1&amp;"°"&amp;$A126),[1]Hoja1!$A:$O,15,0))</f>
        <v>#N/A</v>
      </c>
      <c r="V126" s="52" t="str">
        <f>IF($J126="Formación Técnica Específica",VLOOKUP(IF($J126="Formación Técnica Específica",$B126&amp;"°"&amp;U$1&amp;"°"&amp;$B126&amp;U$1&amp;1&amp;$A126,$B126&amp;"°"&amp;U$1&amp;"°"&amp;$A126),[1]Hoja1!$A:$O,15,0)," ")</f>
        <v xml:space="preserve"> </v>
      </c>
      <c r="W126" s="44" t="e">
        <f>IF($J126="Formación Técnica Específica",VLOOKUP(IF($J126="Formación Técnica Específica",$B126&amp;"°"&amp;W$1&amp;"°"&amp;$B126&amp;W$1&amp;1&amp;$A126,$B126&amp;"°"&amp;W$1&amp;"°"&amp;$A126),[1]Hoja1!$A:$O,15,0),VLOOKUP(IF($J126="Formación Técnica Específica",$B126&amp;"°"&amp;W$1&amp;"°"&amp;$B126&amp;W$1&amp;1&amp;$A126,$B126&amp;"°"&amp;W$1&amp;"°"&amp;$A126),[1]Hoja1!$A:$O,15,0))</f>
        <v>#N/A</v>
      </c>
      <c r="X126" s="52" t="str">
        <f>IF($J126="Formación Técnica Específica",VLOOKUP(IF($J126="Formación Técnica Específica",$B126&amp;"°"&amp;W$1&amp;"°"&amp;$B126&amp;W$1&amp;1&amp;$A126,$B126&amp;"°"&amp;W$1&amp;"°"&amp;$A126),[1]Hoja1!$A:$O,15,0)," ")</f>
        <v xml:space="preserve"> </v>
      </c>
    </row>
    <row r="127" spans="1:24" ht="15.75" thickBot="1" x14ac:dyDescent="0.3">
      <c r="A127" s="30" t="str">
        <f t="shared" si="9"/>
        <v>7IMOSIS</v>
      </c>
      <c r="B127" s="4">
        <v>7</v>
      </c>
      <c r="C127" s="4" t="s">
        <v>10</v>
      </c>
      <c r="D127" s="68" t="s">
        <v>310</v>
      </c>
      <c r="E127" s="7" t="s">
        <v>66</v>
      </c>
      <c r="F127" s="3">
        <v>4</v>
      </c>
      <c r="G127" s="4" t="s">
        <v>244</v>
      </c>
      <c r="H127" s="4" t="s">
        <v>245</v>
      </c>
      <c r="I127" s="3">
        <v>2</v>
      </c>
      <c r="J127" s="6" t="s">
        <v>290</v>
      </c>
      <c r="K127" s="31" t="s">
        <v>246</v>
      </c>
      <c r="L127" t="str">
        <f t="shared" si="5"/>
        <v>7°4</v>
      </c>
      <c r="M127" s="31"/>
      <c r="N127" s="63" t="str">
        <f t="shared" si="6"/>
        <v>7°4</v>
      </c>
      <c r="O127" s="44" t="str">
        <f>IF($J127="Formación Técnica Específica",VLOOKUP(IF($J127="Formación Técnica Específica",$B127&amp;"°"&amp;O$1&amp;"°"&amp;$B127&amp;O$1&amp;1&amp;$A127,$B127&amp;"°"&amp;O$1&amp;"°"&amp;$A127),[1]Hoja1!$A:$O,15,0),VLOOKUP(IF($J127="Formación Técnica Específica",$B127&amp;"°"&amp;O$1&amp;"°"&amp;$B127&amp;O$1&amp;1&amp;$A127,$B127&amp;"°"&amp;O$1&amp;"°"&amp;$A127),[1]Hoja1!$A:$O,15,0))</f>
        <v>ROCHA JULIETA</v>
      </c>
      <c r="P127" s="52" t="str">
        <f>IF($J127="Formación Técnica Específica",VLOOKUP(IF($J127="Formación Técnica Específica",$B127&amp;"°"&amp;O$1&amp;"°"&amp;$B127&amp;O$1&amp;1&amp;$A127,$B127&amp;"°"&amp;O$1&amp;"°"&amp;$A127),[1]Hoja1!$A:$O,15,0)," ")</f>
        <v xml:space="preserve"> </v>
      </c>
      <c r="Q127" s="44" t="e">
        <f>IF($J127="Formación Técnica Específica",VLOOKUP(IF($J127="Formación Técnica Específica",$B127&amp;"°"&amp;Q$1&amp;"°"&amp;$B127&amp;Q$1&amp;1&amp;$A127,$B127&amp;"°"&amp;Q$1&amp;"°"&amp;$A127),[1]Hoja1!$A:$O,15,0),VLOOKUP(IF($J127="Formación Técnica Específica",$B127&amp;"°"&amp;Q$1&amp;"°"&amp;$B127&amp;Q$1&amp;1&amp;$A127,$B127&amp;"°"&amp;Q$1&amp;"°"&amp;$A127),[1]Hoja1!$A:$O,15,0))</f>
        <v>#N/A</v>
      </c>
      <c r="R127" s="52" t="str">
        <f>IF($J127="Formación Técnica Específica",VLOOKUP(IF($J127="Formación Técnica Específica",$B127&amp;"°"&amp;Q$1&amp;"°"&amp;$B127&amp;Q$1&amp;1&amp;$A127,$B127&amp;"°"&amp;Q$1&amp;"°"&amp;$A127),[1]Hoja1!$A:$O,15,0)," ")</f>
        <v xml:space="preserve"> </v>
      </c>
      <c r="S127" s="44" t="str">
        <f>IF($J127="Formación Técnica Específica",VLOOKUP(IF($J127="Formación Técnica Específica",$B127&amp;"°"&amp;S$1&amp;"°"&amp;$B127&amp;S$1&amp;1&amp;$A127,$B127&amp;"°"&amp;S$1&amp;"°"&amp;$A127),[1]Hoja1!$A:$O,15,0),VLOOKUP(IF($J127="Formación Técnica Específica",$B127&amp;"°"&amp;S$1&amp;"°"&amp;$B127&amp;S$1&amp;1&amp;$A127,$B127&amp;"°"&amp;S$1&amp;"°"&amp;$A127),[1]Hoja1!$A:$O,15,0))</f>
        <v xml:space="preserve">MONTENEGRO CLAUDIA </v>
      </c>
      <c r="T127" s="52" t="str">
        <f>IF($J127="Formación Técnica Específica",VLOOKUP(IF($J127="Formación Técnica Específica",$B127&amp;"°"&amp;S$1&amp;"°"&amp;$B127&amp;S$1&amp;1&amp;$A127,$B127&amp;"°"&amp;S$1&amp;"°"&amp;$A127),[1]Hoja1!$A:$O,15,0)," ")</f>
        <v xml:space="preserve"> </v>
      </c>
      <c r="U127" s="44" t="e">
        <f>IF($J127="Formación Técnica Específica",VLOOKUP(IF($J127="Formación Técnica Específica",$B127&amp;"°"&amp;U$1&amp;"°"&amp;$B127&amp;U$1&amp;1&amp;$A127,$B127&amp;"°"&amp;U$1&amp;"°"&amp;$A127),[1]Hoja1!$A:$O,15,0),VLOOKUP(IF($J127="Formación Técnica Específica",$B127&amp;"°"&amp;U$1&amp;"°"&amp;$B127&amp;U$1&amp;1&amp;$A127,$B127&amp;"°"&amp;U$1&amp;"°"&amp;$A127),[1]Hoja1!$A:$O,15,0))</f>
        <v>#N/A</v>
      </c>
      <c r="V127" s="52" t="str">
        <f>IF($J127="Formación Técnica Específica",VLOOKUP(IF($J127="Formación Técnica Específica",$B127&amp;"°"&amp;U$1&amp;"°"&amp;$B127&amp;U$1&amp;1&amp;$A127,$B127&amp;"°"&amp;U$1&amp;"°"&amp;$A127),[1]Hoja1!$A:$O,15,0)," ")</f>
        <v xml:space="preserve"> </v>
      </c>
      <c r="W127" s="44" t="e">
        <f>IF($J127="Formación Técnica Específica",VLOOKUP(IF($J127="Formación Técnica Específica",$B127&amp;"°"&amp;W$1&amp;"°"&amp;$B127&amp;W$1&amp;1&amp;$A127,$B127&amp;"°"&amp;W$1&amp;"°"&amp;$A127),[1]Hoja1!$A:$O,15,0),VLOOKUP(IF($J127="Formación Técnica Específica",$B127&amp;"°"&amp;W$1&amp;"°"&amp;$B127&amp;W$1&amp;1&amp;$A127,$B127&amp;"°"&amp;W$1&amp;"°"&amp;$A127),[1]Hoja1!$A:$O,15,0))</f>
        <v>#N/A</v>
      </c>
      <c r="X127" s="52" t="str">
        <f>IF($J127="Formación Técnica Específica",VLOOKUP(IF($J127="Formación Técnica Específica",$B127&amp;"°"&amp;W$1&amp;"°"&amp;$B127&amp;W$1&amp;1&amp;$A127,$B127&amp;"°"&amp;W$1&amp;"°"&amp;$A127),[1]Hoja1!$A:$O,15,0)," ")</f>
        <v xml:space="preserve"> </v>
      </c>
    </row>
    <row r="128" spans="1:24" ht="15.75" thickBot="1" x14ac:dyDescent="0.3">
      <c r="A128" s="30" t="str">
        <f t="shared" si="9"/>
        <v>7IBADAT</v>
      </c>
      <c r="B128" s="4">
        <v>7</v>
      </c>
      <c r="C128" s="4" t="s">
        <v>10</v>
      </c>
      <c r="D128" s="68" t="s">
        <v>310</v>
      </c>
      <c r="E128" s="7" t="s">
        <v>66</v>
      </c>
      <c r="F128" s="3">
        <v>5</v>
      </c>
      <c r="G128" s="4" t="s">
        <v>247</v>
      </c>
      <c r="H128" s="4" t="s">
        <v>248</v>
      </c>
      <c r="I128" s="3">
        <v>3</v>
      </c>
      <c r="J128" s="6" t="s">
        <v>290</v>
      </c>
      <c r="K128" s="31" t="s">
        <v>249</v>
      </c>
      <c r="L128" t="str">
        <f t="shared" si="5"/>
        <v>7°5</v>
      </c>
      <c r="M128" s="31"/>
      <c r="N128" s="63" t="str">
        <f t="shared" si="6"/>
        <v>7°5</v>
      </c>
      <c r="O128" s="44" t="str">
        <f>IF($J128="Formación Técnica Específica",VLOOKUP(IF($J128="Formación Técnica Específica",$B128&amp;"°"&amp;O$1&amp;"°"&amp;$B128&amp;O$1&amp;1&amp;$A128,$B128&amp;"°"&amp;O$1&amp;"°"&amp;$A128),[1]Hoja1!$A:$O,15,0),VLOOKUP(IF($J128="Formación Técnica Específica",$B128&amp;"°"&amp;O$1&amp;"°"&amp;$B128&amp;O$1&amp;1&amp;$A128,$B128&amp;"°"&amp;O$1&amp;"°"&amp;$A128),[1]Hoja1!$A:$O,15,0))</f>
        <v>WITT  GERARDO</v>
      </c>
      <c r="P128" s="52" t="str">
        <f>IF($J128="Formación Técnica Específica",VLOOKUP(IF($J128="Formación Técnica Específica",$B128&amp;"°"&amp;O$1&amp;"°"&amp;$B128&amp;O$1&amp;1&amp;$A128,$B128&amp;"°"&amp;O$1&amp;"°"&amp;$A128),[1]Hoja1!$A:$O,15,0)," ")</f>
        <v xml:space="preserve"> </v>
      </c>
      <c r="Q128" s="44" t="e">
        <f>IF($J128="Formación Técnica Específica",VLOOKUP(IF($J128="Formación Técnica Específica",$B128&amp;"°"&amp;Q$1&amp;"°"&amp;$B128&amp;Q$1&amp;1&amp;$A128,$B128&amp;"°"&amp;Q$1&amp;"°"&amp;$A128),[1]Hoja1!$A:$O,15,0),VLOOKUP(IF($J128="Formación Técnica Específica",$B128&amp;"°"&amp;Q$1&amp;"°"&amp;$B128&amp;Q$1&amp;1&amp;$A128,$B128&amp;"°"&amp;Q$1&amp;"°"&amp;$A128),[1]Hoja1!$A:$O,15,0))</f>
        <v>#N/A</v>
      </c>
      <c r="R128" s="52" t="str">
        <f>IF($J128="Formación Técnica Específica",VLOOKUP(IF($J128="Formación Técnica Específica",$B128&amp;"°"&amp;Q$1&amp;"°"&amp;$B128&amp;Q$1&amp;1&amp;$A128,$B128&amp;"°"&amp;Q$1&amp;"°"&amp;$A128),[1]Hoja1!$A:$O,15,0)," ")</f>
        <v xml:space="preserve"> </v>
      </c>
      <c r="S128" s="44" t="str">
        <f>IF($J128="Formación Técnica Específica",VLOOKUP(IF($J128="Formación Técnica Específica",$B128&amp;"°"&amp;S$1&amp;"°"&amp;$B128&amp;S$1&amp;1&amp;$A128,$B128&amp;"°"&amp;S$1&amp;"°"&amp;$A128),[1]Hoja1!$A:$O,15,0),VLOOKUP(IF($J128="Formación Técnica Específica",$B128&amp;"°"&amp;S$1&amp;"°"&amp;$B128&amp;S$1&amp;1&amp;$A128,$B128&amp;"°"&amp;S$1&amp;"°"&amp;$A128),[1]Hoja1!$A:$O,15,0))</f>
        <v xml:space="preserve">WITT GERARDO </v>
      </c>
      <c r="T128" s="52" t="str">
        <f>IF($J128="Formación Técnica Específica",VLOOKUP(IF($J128="Formación Técnica Específica",$B128&amp;"°"&amp;S$1&amp;"°"&amp;$B128&amp;S$1&amp;1&amp;$A128,$B128&amp;"°"&amp;S$1&amp;"°"&amp;$A128),[1]Hoja1!$A:$O,15,0)," ")</f>
        <v xml:space="preserve"> </v>
      </c>
      <c r="U128" s="44" t="e">
        <f>IF($J128="Formación Técnica Específica",VLOOKUP(IF($J128="Formación Técnica Específica",$B128&amp;"°"&amp;U$1&amp;"°"&amp;$B128&amp;U$1&amp;1&amp;$A128,$B128&amp;"°"&amp;U$1&amp;"°"&amp;$A128),[1]Hoja1!$A:$O,15,0),VLOOKUP(IF($J128="Formación Técnica Específica",$B128&amp;"°"&amp;U$1&amp;"°"&amp;$B128&amp;U$1&amp;1&amp;$A128,$B128&amp;"°"&amp;U$1&amp;"°"&amp;$A128),[1]Hoja1!$A:$O,15,0))</f>
        <v>#N/A</v>
      </c>
      <c r="V128" s="52" t="str">
        <f>IF($J128="Formación Técnica Específica",VLOOKUP(IF($J128="Formación Técnica Específica",$B128&amp;"°"&amp;U$1&amp;"°"&amp;$B128&amp;U$1&amp;1&amp;$A128,$B128&amp;"°"&amp;U$1&amp;"°"&amp;$A128),[1]Hoja1!$A:$O,15,0)," ")</f>
        <v xml:space="preserve"> </v>
      </c>
      <c r="W128" s="44" t="e">
        <f>IF($J128="Formación Técnica Específica",VLOOKUP(IF($J128="Formación Técnica Específica",$B128&amp;"°"&amp;W$1&amp;"°"&amp;$B128&amp;W$1&amp;1&amp;$A128,$B128&amp;"°"&amp;W$1&amp;"°"&amp;$A128),[1]Hoja1!$A:$O,15,0),VLOOKUP(IF($J128="Formación Técnica Específica",$B128&amp;"°"&amp;W$1&amp;"°"&amp;$B128&amp;W$1&amp;1&amp;$A128,$B128&amp;"°"&amp;W$1&amp;"°"&amp;$A128),[1]Hoja1!$A:$O,15,0))</f>
        <v>#N/A</v>
      </c>
      <c r="X128" s="52" t="str">
        <f>IF($J128="Formación Técnica Específica",VLOOKUP(IF($J128="Formación Técnica Específica",$B128&amp;"°"&amp;W$1&amp;"°"&amp;$B128&amp;W$1&amp;1&amp;$A128,$B128&amp;"°"&amp;W$1&amp;"°"&amp;$A128),[1]Hoja1!$A:$O,15,0)," ")</f>
        <v xml:space="preserve"> </v>
      </c>
    </row>
    <row r="129" spans="1:24" ht="15.75" thickBot="1" x14ac:dyDescent="0.3">
      <c r="A129" s="30" t="str">
        <f t="shared" si="9"/>
        <v>7IPDISC</v>
      </c>
      <c r="B129" s="4">
        <v>7</v>
      </c>
      <c r="C129" s="4" t="s">
        <v>10</v>
      </c>
      <c r="D129" s="68" t="s">
        <v>310</v>
      </c>
      <c r="E129" s="7" t="s">
        <v>66</v>
      </c>
      <c r="F129" s="3">
        <v>6</v>
      </c>
      <c r="G129" s="4" t="s">
        <v>250</v>
      </c>
      <c r="H129" s="4" t="s">
        <v>251</v>
      </c>
      <c r="I129" s="3">
        <v>4</v>
      </c>
      <c r="J129" s="6" t="s">
        <v>33</v>
      </c>
      <c r="K129" s="31" t="s">
        <v>252</v>
      </c>
      <c r="L129" t="str">
        <f t="shared" si="5"/>
        <v>7°6</v>
      </c>
      <c r="M129" s="31" t="s">
        <v>58</v>
      </c>
      <c r="N129" s="63" t="str">
        <f t="shared" si="6"/>
        <v>7°6</v>
      </c>
      <c r="O129" s="44" t="str">
        <f>IF($J129="Formación Técnica Específica",VLOOKUP(IF($J129="Formación Técnica Específica",$B129&amp;"°"&amp;O$1&amp;"°"&amp;$B129&amp;O$1&amp;1&amp;$A129,$B129&amp;"°"&amp;O$1&amp;"°"&amp;$A129),[1]Hoja1!$A:$O,15,0),VLOOKUP(IF($J129="Formación Técnica Específica",$B129&amp;"°"&amp;O$1&amp;"°"&amp;$B129&amp;O$1&amp;1&amp;$A129,$B129&amp;"°"&amp;O$1&amp;"°"&amp;$A129),[1]Hoja1!$A:$O,15,0))</f>
        <v>CARPITELLA FABIAN</v>
      </c>
      <c r="P129" s="52" t="str">
        <f>IF($J129="Formación Técnica Específica",VLOOKUP(IF($J129="Formación Técnica Específica",$B129&amp;"°"&amp;O$1&amp;"°"&amp;$B129&amp;O$1&amp;1&amp;$A129,$B129&amp;"°"&amp;O$1&amp;"°"&amp;$A129),[1]Hoja1!$A:$O,15,0)," ")</f>
        <v>CARPITELLA FABIAN</v>
      </c>
      <c r="Q129" s="44" t="e">
        <f>IF($J129="Formación Técnica Específica",VLOOKUP(IF($J129="Formación Técnica Específica",$B129&amp;"°"&amp;Q$1&amp;"°"&amp;$B129&amp;Q$1&amp;1&amp;$A129,$B129&amp;"°"&amp;Q$1&amp;"°"&amp;$A129),[1]Hoja1!$A:$O,15,0),VLOOKUP(IF($J129="Formación Técnica Específica",$B129&amp;"°"&amp;Q$1&amp;"°"&amp;$B129&amp;Q$1&amp;1&amp;$A129,$B129&amp;"°"&amp;Q$1&amp;"°"&amp;$A129),[1]Hoja1!$A:$O,15,0))</f>
        <v>#N/A</v>
      </c>
      <c r="R129" s="52" t="e">
        <f>IF($J129="Formación Técnica Específica",VLOOKUP(IF($J129="Formación Técnica Específica",$B129&amp;"°"&amp;Q$1&amp;"°"&amp;$B129&amp;Q$1&amp;1&amp;$A129,$B129&amp;"°"&amp;Q$1&amp;"°"&amp;$A129),[1]Hoja1!$A:$O,15,0)," ")</f>
        <v>#N/A</v>
      </c>
      <c r="S129" s="44" t="str">
        <f>IF($J129="Formación Técnica Específica",VLOOKUP(IF($J129="Formación Técnica Específica",$B129&amp;"°"&amp;S$1&amp;"°"&amp;$B129&amp;S$1&amp;1&amp;$A129,$B129&amp;"°"&amp;S$1&amp;"°"&amp;$A129),[1]Hoja1!$A:$O,15,0),VLOOKUP(IF($J129="Formación Técnica Específica",$B129&amp;"°"&amp;S$1&amp;"°"&amp;$B129&amp;S$1&amp;1&amp;$A129,$B129&amp;"°"&amp;S$1&amp;"°"&amp;$A129),[1]Hoja1!$A:$O,15,0))</f>
        <v>GUTIERREZ ANGEL</v>
      </c>
      <c r="T129" s="52" t="str">
        <f>IF($J129="Formación Técnica Específica",VLOOKUP(IF($J129="Formación Técnica Específica",$B129&amp;"°"&amp;S$1&amp;"°"&amp;$B129&amp;S$1&amp;1&amp;$A129,$B129&amp;"°"&amp;S$1&amp;"°"&amp;$A129),[1]Hoja1!$A:$O,15,0)," ")</f>
        <v>GUTIERREZ ANGEL</v>
      </c>
      <c r="U129" s="44" t="e">
        <f>IF($J129="Formación Técnica Específica",VLOOKUP(IF($J129="Formación Técnica Específica",$B129&amp;"°"&amp;U$1&amp;"°"&amp;$B129&amp;U$1&amp;1&amp;$A129,$B129&amp;"°"&amp;U$1&amp;"°"&amp;$A129),[1]Hoja1!$A:$O,15,0),VLOOKUP(IF($J129="Formación Técnica Específica",$B129&amp;"°"&amp;U$1&amp;"°"&amp;$B129&amp;U$1&amp;1&amp;$A129,$B129&amp;"°"&amp;U$1&amp;"°"&amp;$A129),[1]Hoja1!$A:$O,15,0))</f>
        <v>#N/A</v>
      </c>
      <c r="V129" s="52" t="e">
        <f>IF($J129="Formación Técnica Específica",VLOOKUP(IF($J129="Formación Técnica Específica",$B129&amp;"°"&amp;U$1&amp;"°"&amp;$B129&amp;U$1&amp;1&amp;$A129,$B129&amp;"°"&amp;U$1&amp;"°"&amp;$A129),[1]Hoja1!$A:$O,15,0)," ")</f>
        <v>#N/A</v>
      </c>
      <c r="W129" s="44" t="e">
        <f>IF($J129="Formación Técnica Específica",VLOOKUP(IF($J129="Formación Técnica Específica",$B129&amp;"°"&amp;W$1&amp;"°"&amp;$B129&amp;W$1&amp;1&amp;$A129,$B129&amp;"°"&amp;W$1&amp;"°"&amp;$A129),[1]Hoja1!$A:$O,15,0),VLOOKUP(IF($J129="Formación Técnica Específica",$B129&amp;"°"&amp;W$1&amp;"°"&amp;$B129&amp;W$1&amp;1&amp;$A129,$B129&amp;"°"&amp;W$1&amp;"°"&amp;$A129),[1]Hoja1!$A:$O,15,0))</f>
        <v>#N/A</v>
      </c>
      <c r="X129" s="52" t="e">
        <f>IF($J129="Formación Técnica Específica",VLOOKUP(IF($J129="Formación Técnica Específica",$B129&amp;"°"&amp;W$1&amp;"°"&amp;$B129&amp;W$1&amp;1&amp;$A129,$B129&amp;"°"&amp;W$1&amp;"°"&amp;$A129),[1]Hoja1!$A:$O,15,0)," ")</f>
        <v>#N/A</v>
      </c>
    </row>
    <row r="130" spans="1:24" ht="15.75" thickBot="1" x14ac:dyDescent="0.3">
      <c r="A130" s="30" t="str">
        <f t="shared" si="9"/>
        <v>7IIMRSC</v>
      </c>
      <c r="B130" s="4">
        <v>7</v>
      </c>
      <c r="C130" s="4" t="s">
        <v>10</v>
      </c>
      <c r="D130" s="68" t="s">
        <v>310</v>
      </c>
      <c r="E130" s="7" t="s">
        <v>66</v>
      </c>
      <c r="F130" s="3">
        <v>7</v>
      </c>
      <c r="G130" s="4" t="s">
        <v>253</v>
      </c>
      <c r="H130" s="4" t="s">
        <v>254</v>
      </c>
      <c r="I130" s="3">
        <v>4</v>
      </c>
      <c r="J130" s="6" t="s">
        <v>33</v>
      </c>
      <c r="K130" s="31" t="s">
        <v>255</v>
      </c>
      <c r="L130" t="str">
        <f t="shared" si="5"/>
        <v>7°7</v>
      </c>
      <c r="M130" s="31"/>
      <c r="N130" s="63" t="str">
        <f t="shared" si="6"/>
        <v>7°7</v>
      </c>
      <c r="O130" s="44" t="str">
        <f>IF($J130="Formación Técnica Específica",VLOOKUP(IF($J130="Formación Técnica Específica",$B130&amp;"°"&amp;O$1&amp;"°"&amp;$B130&amp;O$1&amp;1&amp;$A130,$B130&amp;"°"&amp;O$1&amp;"°"&amp;$A130),[1]Hoja1!$A:$O,15,0),VLOOKUP(IF($J130="Formación Técnica Específica",$B130&amp;"°"&amp;O$1&amp;"°"&amp;$B130&amp;O$1&amp;1&amp;$A130,$B130&amp;"°"&amp;O$1&amp;"°"&amp;$A130),[1]Hoja1!$A:$O,15,0))</f>
        <v>AÑASCO, GABRIEL  20-36089659-6</v>
      </c>
      <c r="P130" s="52" t="str">
        <f>IF($J130="Formación Técnica Específica",VLOOKUP(IF($J130="Formación Técnica Específica",$B130&amp;"°"&amp;O$1&amp;"°"&amp;$B130&amp;O$1&amp;1&amp;$A130,$B130&amp;"°"&amp;O$1&amp;"°"&amp;$A130),[1]Hoja1!$A:$O,15,0)," ")</f>
        <v>AÑASCO, GABRIEL  20-36089659-6</v>
      </c>
      <c r="Q130" s="44" t="e">
        <f>IF($J130="Formación Técnica Específica",VLOOKUP(IF($J130="Formación Técnica Específica",$B130&amp;"°"&amp;Q$1&amp;"°"&amp;$B130&amp;Q$1&amp;1&amp;$A130,$B130&amp;"°"&amp;Q$1&amp;"°"&amp;$A130),[1]Hoja1!$A:$O,15,0),VLOOKUP(IF($J130="Formación Técnica Específica",$B130&amp;"°"&amp;Q$1&amp;"°"&amp;$B130&amp;Q$1&amp;1&amp;$A130,$B130&amp;"°"&amp;Q$1&amp;"°"&amp;$A130),[1]Hoja1!$A:$O,15,0))</f>
        <v>#N/A</v>
      </c>
      <c r="R130" s="52" t="e">
        <f>IF($J130="Formación Técnica Específica",VLOOKUP(IF($J130="Formación Técnica Específica",$B130&amp;"°"&amp;Q$1&amp;"°"&amp;$B130&amp;Q$1&amp;1&amp;$A130,$B130&amp;"°"&amp;Q$1&amp;"°"&amp;$A130),[1]Hoja1!$A:$O,15,0)," ")</f>
        <v>#N/A</v>
      </c>
      <c r="S130" s="44" t="str">
        <f>IF($J130="Formación Técnica Específica",VLOOKUP(IF($J130="Formación Técnica Específica",$B130&amp;"°"&amp;S$1&amp;"°"&amp;$B130&amp;S$1&amp;1&amp;$A130,$B130&amp;"°"&amp;S$1&amp;"°"&amp;$A130),[1]Hoja1!$A:$O,15,0),VLOOKUP(IF($J130="Formación Técnica Específica",$B130&amp;"°"&amp;S$1&amp;"°"&amp;$B130&amp;S$1&amp;1&amp;$A130,$B130&amp;"°"&amp;S$1&amp;"°"&amp;$A130),[1]Hoja1!$A:$O,15,0))</f>
        <v xml:space="preserve"> GUZZO HUGO DANIEL</v>
      </c>
      <c r="T130" s="52" t="str">
        <f>IF($J130="Formación Técnica Específica",VLOOKUP(IF($J130="Formación Técnica Específica",$B130&amp;"°"&amp;S$1&amp;"°"&amp;$B130&amp;S$1&amp;1&amp;$A130,$B130&amp;"°"&amp;S$1&amp;"°"&amp;$A130),[1]Hoja1!$A:$O,15,0)," ")</f>
        <v xml:space="preserve"> GUZZO HUGO DANIEL</v>
      </c>
      <c r="U130" s="44" t="e">
        <f>IF($J130="Formación Técnica Específica",VLOOKUP(IF($J130="Formación Técnica Específica",$B130&amp;"°"&amp;U$1&amp;"°"&amp;$B130&amp;U$1&amp;1&amp;$A130,$B130&amp;"°"&amp;U$1&amp;"°"&amp;$A130),[1]Hoja1!$A:$O,15,0),VLOOKUP(IF($J130="Formación Técnica Específica",$B130&amp;"°"&amp;U$1&amp;"°"&amp;$B130&amp;U$1&amp;1&amp;$A130,$B130&amp;"°"&amp;U$1&amp;"°"&amp;$A130),[1]Hoja1!$A:$O,15,0))</f>
        <v>#N/A</v>
      </c>
      <c r="V130" s="52" t="e">
        <f>IF($J130="Formación Técnica Específica",VLOOKUP(IF($J130="Formación Técnica Específica",$B130&amp;"°"&amp;U$1&amp;"°"&amp;$B130&amp;U$1&amp;1&amp;$A130,$B130&amp;"°"&amp;U$1&amp;"°"&amp;$A130),[1]Hoja1!$A:$O,15,0)," ")</f>
        <v>#N/A</v>
      </c>
      <c r="W130" s="44" t="e">
        <f>IF($J130="Formación Técnica Específica",VLOOKUP(IF($J130="Formación Técnica Específica",$B130&amp;"°"&amp;W$1&amp;"°"&amp;$B130&amp;W$1&amp;1&amp;$A130,$B130&amp;"°"&amp;W$1&amp;"°"&amp;$A130),[1]Hoja1!$A:$O,15,0),VLOOKUP(IF($J130="Formación Técnica Específica",$B130&amp;"°"&amp;W$1&amp;"°"&amp;$B130&amp;W$1&amp;1&amp;$A130,$B130&amp;"°"&amp;W$1&amp;"°"&amp;$A130),[1]Hoja1!$A:$O,15,0))</f>
        <v>#N/A</v>
      </c>
      <c r="X130" s="52" t="e">
        <f>IF($J130="Formación Técnica Específica",VLOOKUP(IF($J130="Formación Técnica Específica",$B130&amp;"°"&amp;W$1&amp;"°"&amp;$B130&amp;W$1&amp;1&amp;$A130,$B130&amp;"°"&amp;W$1&amp;"°"&amp;$A130),[1]Hoja1!$A:$O,15,0)," ")</f>
        <v>#N/A</v>
      </c>
    </row>
    <row r="131" spans="1:24" ht="15.75" thickBot="1" x14ac:dyDescent="0.3">
      <c r="A131" s="32" t="str">
        <f t="shared" si="9"/>
        <v>7IIMRRI</v>
      </c>
      <c r="B131" s="33">
        <v>7</v>
      </c>
      <c r="C131" s="33" t="s">
        <v>10</v>
      </c>
      <c r="D131" s="68" t="s">
        <v>310</v>
      </c>
      <c r="E131" s="34" t="s">
        <v>66</v>
      </c>
      <c r="F131" s="35">
        <v>8</v>
      </c>
      <c r="G131" s="33" t="s">
        <v>256</v>
      </c>
      <c r="H131" s="33" t="s">
        <v>257</v>
      </c>
      <c r="I131" s="35">
        <v>4</v>
      </c>
      <c r="J131" s="6" t="s">
        <v>33</v>
      </c>
      <c r="K131" s="37" t="s">
        <v>258</v>
      </c>
      <c r="L131" t="str">
        <f t="shared" ref="L131:L182" si="10">B131&amp;"°"&amp;F131</f>
        <v>7°8</v>
      </c>
      <c r="M131" s="37"/>
      <c r="N131" s="63" t="str">
        <f t="shared" ref="N131:N146" si="11">B131&amp;"°"&amp;F131</f>
        <v>7°8</v>
      </c>
      <c r="O131" s="53" t="str">
        <f>IF($J131="Formación Técnica Específica",VLOOKUP(IF($J131="Formación Técnica Específica",$B131&amp;"°"&amp;O$1&amp;"°"&amp;$B131&amp;O$1&amp;1&amp;$A131,$B131&amp;"°"&amp;O$1&amp;"°"&amp;$A131),[1]Hoja1!$A:$O,15,0),VLOOKUP(IF($J131="Formación Técnica Específica",$B131&amp;"°"&amp;O$1&amp;"°"&amp;$B131&amp;O$1&amp;1&amp;$A131,$B131&amp;"°"&amp;O$1&amp;"°"&amp;$A131),[1]Hoja1!$A:$O,15,0))</f>
        <v>DELLA VECCHIA</v>
      </c>
      <c r="P131" s="54" t="str">
        <f>IF($J131="Formación Técnica Específica",VLOOKUP(IF($J131="Formación Técnica Específica",$B131&amp;"°"&amp;O$1&amp;"°"&amp;$B131&amp;O$1&amp;1&amp;$A131,$B131&amp;"°"&amp;O$1&amp;"°"&amp;$A131),[1]Hoja1!$A:$O,15,0)," ")</f>
        <v>DELLA VECCHIA</v>
      </c>
      <c r="Q131" s="53" t="e">
        <f>IF($J131="Formación Técnica Específica",VLOOKUP(IF($J131="Formación Técnica Específica",$B131&amp;"°"&amp;Q$1&amp;"°"&amp;$B131&amp;Q$1&amp;1&amp;$A131,$B131&amp;"°"&amp;Q$1&amp;"°"&amp;$A131),[1]Hoja1!$A:$O,15,0),VLOOKUP(IF($J131="Formación Técnica Específica",$B131&amp;"°"&amp;Q$1&amp;"°"&amp;$B131&amp;Q$1&amp;1&amp;$A131,$B131&amp;"°"&amp;Q$1&amp;"°"&amp;$A131),[1]Hoja1!$A:$O,15,0))</f>
        <v>#N/A</v>
      </c>
      <c r="R131" s="54" t="e">
        <f>IF($J131="Formación Técnica Específica",VLOOKUP(IF($J131="Formación Técnica Específica",$B131&amp;"°"&amp;Q$1&amp;"°"&amp;$B131&amp;Q$1&amp;1&amp;$A131,$B131&amp;"°"&amp;Q$1&amp;"°"&amp;$A131),[1]Hoja1!$A:$O,15,0)," ")</f>
        <v>#N/A</v>
      </c>
      <c r="S131" s="53" t="str">
        <f>IF($J131="Formación Técnica Específica",VLOOKUP(IF($J131="Formación Técnica Específica",$B131&amp;"°"&amp;S$1&amp;"°"&amp;$B131&amp;S$1&amp;1&amp;$A131,$B131&amp;"°"&amp;S$1&amp;"°"&amp;$A131),[1]Hoja1!$A:$O,15,0),VLOOKUP(IF($J131="Formación Técnica Específica",$B131&amp;"°"&amp;S$1&amp;"°"&amp;$B131&amp;S$1&amp;1&amp;$A131,$B131&amp;"°"&amp;S$1&amp;"°"&amp;$A131),[1]Hoja1!$A:$O,15,0))</f>
        <v xml:space="preserve">BECERRO MARIO </v>
      </c>
      <c r="T131" s="54" t="str">
        <f>IF($J131="Formación Técnica Específica",VLOOKUP(IF($J131="Formación Técnica Específica",$B131&amp;"°"&amp;S$1&amp;"°"&amp;$B131&amp;S$1&amp;1&amp;$A131,$B131&amp;"°"&amp;S$1&amp;"°"&amp;$A131),[1]Hoja1!$A:$O,15,0)," ")</f>
        <v xml:space="preserve">BECERRO MARIO </v>
      </c>
      <c r="U131" s="53" t="e">
        <f>IF($J131="Formación Técnica Específica",VLOOKUP(IF($J131="Formación Técnica Específica",$B131&amp;"°"&amp;U$1&amp;"°"&amp;$B131&amp;U$1&amp;1&amp;$A131,$B131&amp;"°"&amp;U$1&amp;"°"&amp;$A131),[1]Hoja1!$A:$O,15,0),VLOOKUP(IF($J131="Formación Técnica Específica",$B131&amp;"°"&amp;U$1&amp;"°"&amp;$B131&amp;U$1&amp;1&amp;$A131,$B131&amp;"°"&amp;U$1&amp;"°"&amp;$A131),[1]Hoja1!$A:$O,15,0))</f>
        <v>#N/A</v>
      </c>
      <c r="V131" s="54" t="e">
        <f>IF($J131="Formación Técnica Específica",VLOOKUP(IF($J131="Formación Técnica Específica",$B131&amp;"°"&amp;U$1&amp;"°"&amp;$B131&amp;U$1&amp;1&amp;$A131,$B131&amp;"°"&amp;U$1&amp;"°"&amp;$A131),[1]Hoja1!$A:$O,15,0)," ")</f>
        <v>#N/A</v>
      </c>
      <c r="W131" s="53" t="e">
        <f>IF($J131="Formación Técnica Específica",VLOOKUP(IF($J131="Formación Técnica Específica",$B131&amp;"°"&amp;W$1&amp;"°"&amp;$B131&amp;W$1&amp;1&amp;$A131,$B131&amp;"°"&amp;W$1&amp;"°"&amp;$A131),[1]Hoja1!$A:$O,15,0),VLOOKUP(IF($J131="Formación Técnica Específica",$B131&amp;"°"&amp;W$1&amp;"°"&amp;$B131&amp;W$1&amp;1&amp;$A131,$B131&amp;"°"&amp;W$1&amp;"°"&amp;$A131),[1]Hoja1!$A:$O,15,0))</f>
        <v>#N/A</v>
      </c>
      <c r="X131" s="54" t="e">
        <f>IF($J131="Formación Técnica Específica",VLOOKUP(IF($J131="Formación Técnica Específica",$B131&amp;"°"&amp;W$1&amp;"°"&amp;$B131&amp;W$1&amp;1&amp;$A131,$B131&amp;"°"&amp;W$1&amp;"°"&amp;$A131),[1]Hoja1!$A:$O,15,0)," ")</f>
        <v>#N/A</v>
      </c>
    </row>
    <row r="132" spans="1:24" x14ac:dyDescent="0.25">
      <c r="A132" s="24" t="str">
        <f>CONCATENATE("7E",G132)</f>
        <v>7EPPSEL</v>
      </c>
      <c r="B132" s="25">
        <v>7</v>
      </c>
      <c r="C132" s="25" t="s">
        <v>10</v>
      </c>
      <c r="D132" s="25" t="s">
        <v>112</v>
      </c>
      <c r="E132" s="26" t="s">
        <v>66</v>
      </c>
      <c r="F132" s="27">
        <v>1</v>
      </c>
      <c r="G132" s="25" t="s">
        <v>259</v>
      </c>
      <c r="H132" s="25" t="s">
        <v>237</v>
      </c>
      <c r="I132" s="27">
        <v>6</v>
      </c>
      <c r="J132" s="28" t="s">
        <v>290</v>
      </c>
      <c r="K132" s="29" t="s">
        <v>238</v>
      </c>
      <c r="L132" t="str">
        <f t="shared" si="10"/>
        <v>7°1</v>
      </c>
      <c r="M132" s="29"/>
      <c r="N132" s="63" t="str">
        <f t="shared" si="11"/>
        <v>7°1</v>
      </c>
      <c r="O132" s="50" t="e">
        <f>IF($J132="Formación Técnica Específica",VLOOKUP(IF($J132="Formación Técnica Específica",$B132&amp;"°"&amp;O$1&amp;"°"&amp;$B132&amp;O$1&amp;1&amp;$A132,$B132&amp;"°"&amp;O$1&amp;"°"&amp;$A132),[1]Hoja1!$A:$O,15,0),VLOOKUP(IF($J132="Formación Técnica Específica",$B132&amp;"°"&amp;O$1&amp;"°"&amp;$B132&amp;O$1&amp;1&amp;$A132,$B132&amp;"°"&amp;O$1&amp;"°"&amp;$A132),[1]Hoja1!$A:$O,15,0))</f>
        <v>#N/A</v>
      </c>
      <c r="P132" s="51" t="str">
        <f>IF($J132="Formación Técnica Específica",VLOOKUP(IF($J132="Formación Técnica Específica",$B132&amp;"°"&amp;O$1&amp;"°"&amp;$B132&amp;O$1&amp;1&amp;$A132,$B132&amp;"°"&amp;O$1&amp;"°"&amp;$A132),[1]Hoja1!$A:$O,15,0)," ")</f>
        <v xml:space="preserve"> </v>
      </c>
      <c r="Q132" s="50" t="str">
        <f>IF($J132="Formación Técnica Específica",VLOOKUP(IF($J132="Formación Técnica Específica",$B132&amp;"°"&amp;Q$1&amp;"°"&amp;$B132&amp;Q$1&amp;1&amp;$A132,$B132&amp;"°"&amp;Q$1&amp;"°"&amp;$A132),[1]Hoja1!$A:$O,15,0),VLOOKUP(IF($J132="Formación Técnica Específica",$B132&amp;"°"&amp;Q$1&amp;"°"&amp;$B132&amp;Q$1&amp;1&amp;$A132,$B132&amp;"°"&amp;Q$1&amp;"°"&amp;$A132),[1]Hoja1!$A:$O,15,0))</f>
        <v>SAUCEDO GUSTAVO</v>
      </c>
      <c r="R132" s="51" t="str">
        <f>IF($J132="Formación Técnica Específica",VLOOKUP(IF($J132="Formación Técnica Específica",$B132&amp;"°"&amp;Q$1&amp;"°"&amp;$B132&amp;Q$1&amp;1&amp;$A132,$B132&amp;"°"&amp;Q$1&amp;"°"&amp;$A132),[1]Hoja1!$A:$O,15,0)," ")</f>
        <v xml:space="preserve"> </v>
      </c>
      <c r="S132" s="50" t="e">
        <f>IF($J132="Formación Técnica Específica",VLOOKUP(IF($J132="Formación Técnica Específica",$B132&amp;"°"&amp;S$1&amp;"°"&amp;$B132&amp;S$1&amp;1&amp;$A132,$B132&amp;"°"&amp;S$1&amp;"°"&amp;$A132),[1]Hoja1!$A:$O,15,0),VLOOKUP(IF($J132="Formación Técnica Específica",$B132&amp;"°"&amp;S$1&amp;"°"&amp;$B132&amp;S$1&amp;1&amp;$A132,$B132&amp;"°"&amp;S$1&amp;"°"&amp;$A132),[1]Hoja1!$A:$O,15,0))</f>
        <v>#N/A</v>
      </c>
      <c r="T132" s="51" t="str">
        <f>IF($J132="Formación Técnica Específica",VLOOKUP(IF($J132="Formación Técnica Específica",$B132&amp;"°"&amp;S$1&amp;"°"&amp;$B132&amp;S$1&amp;1&amp;$A132,$B132&amp;"°"&amp;S$1&amp;"°"&amp;$A132),[1]Hoja1!$A:$O,15,0)," ")</f>
        <v xml:space="preserve"> </v>
      </c>
      <c r="U132" s="50" t="e">
        <f>IF($J132="Formación Técnica Específica",VLOOKUP(IF($J132="Formación Técnica Específica",$B132&amp;"°"&amp;U$1&amp;"°"&amp;$B132&amp;U$1&amp;1&amp;$A132,$B132&amp;"°"&amp;U$1&amp;"°"&amp;$A132),[1]Hoja1!$A:$O,15,0),VLOOKUP(IF($J132="Formación Técnica Específica",$B132&amp;"°"&amp;U$1&amp;"°"&amp;$B132&amp;U$1&amp;1&amp;$A132,$B132&amp;"°"&amp;U$1&amp;"°"&amp;$A132),[1]Hoja1!$A:$O,15,0))</f>
        <v>#N/A</v>
      </c>
      <c r="V132" s="51" t="str">
        <f>IF($J132="Formación Técnica Específica",VLOOKUP(IF($J132="Formación Técnica Específica",$B132&amp;"°"&amp;U$1&amp;"°"&amp;$B132&amp;U$1&amp;1&amp;$A132,$B132&amp;"°"&amp;U$1&amp;"°"&amp;$A132),[1]Hoja1!$A:$O,15,0)," ")</f>
        <v xml:space="preserve"> </v>
      </c>
      <c r="W132" s="50" t="e">
        <f>IF($J132="Formación Técnica Específica",VLOOKUP(IF($J132="Formación Técnica Específica",$B132&amp;"°"&amp;W$1&amp;"°"&amp;$B132&amp;W$1&amp;1&amp;$A132,$B132&amp;"°"&amp;W$1&amp;"°"&amp;$A132),[1]Hoja1!$A:$O,15,0),VLOOKUP(IF($J132="Formación Técnica Específica",$B132&amp;"°"&amp;W$1&amp;"°"&amp;$B132&amp;W$1&amp;1&amp;$A132,$B132&amp;"°"&amp;W$1&amp;"°"&amp;$A132),[1]Hoja1!$A:$O,15,0))</f>
        <v>#N/A</v>
      </c>
      <c r="X132" s="51" t="str">
        <f>IF($J132="Formación Técnica Específica",VLOOKUP(IF($J132="Formación Técnica Específica",$B132&amp;"°"&amp;W$1&amp;"°"&amp;$B132&amp;W$1&amp;1&amp;$A132,$B132&amp;"°"&amp;W$1&amp;"°"&amp;$A132),[1]Hoja1!$A:$O,15,0)," ")</f>
        <v xml:space="preserve"> </v>
      </c>
    </row>
    <row r="133" spans="1:24" x14ac:dyDescent="0.25">
      <c r="A133" s="30" t="str">
        <f t="shared" ref="A133:A139" si="12">CONCATENATE("7E",G133)</f>
        <v>7EPPDLO</v>
      </c>
      <c r="B133" s="4">
        <v>7</v>
      </c>
      <c r="C133" s="4" t="s">
        <v>10</v>
      </c>
      <c r="D133" s="4" t="s">
        <v>112</v>
      </c>
      <c r="E133" s="7" t="s">
        <v>66</v>
      </c>
      <c r="F133" s="3">
        <v>2</v>
      </c>
      <c r="G133" s="4" t="s">
        <v>239</v>
      </c>
      <c r="H133" s="4"/>
      <c r="I133" s="3">
        <v>2</v>
      </c>
      <c r="J133" s="6" t="s">
        <v>290</v>
      </c>
      <c r="K133" s="31" t="s">
        <v>240</v>
      </c>
      <c r="L133" t="str">
        <f t="shared" si="10"/>
        <v>7°2</v>
      </c>
      <c r="M133" s="31"/>
      <c r="N133" s="63" t="str">
        <f t="shared" si="11"/>
        <v>7°2</v>
      </c>
      <c r="O133" s="44" t="e">
        <f>IF($J133="Formación Técnica Específica",VLOOKUP(IF($J133="Formación Técnica Específica",$B133&amp;"°"&amp;O$1&amp;"°"&amp;$B133&amp;O$1&amp;1&amp;$A133,$B133&amp;"°"&amp;O$1&amp;"°"&amp;$A133),[1]Hoja1!$A:$O,15,0),VLOOKUP(IF($J133="Formación Técnica Específica",$B133&amp;"°"&amp;O$1&amp;"°"&amp;$B133&amp;O$1&amp;1&amp;$A133,$B133&amp;"°"&amp;O$1&amp;"°"&amp;$A133),[1]Hoja1!$A:$O,15,0))</f>
        <v>#N/A</v>
      </c>
      <c r="P133" s="52" t="str">
        <f>IF($J133="Formación Técnica Específica",VLOOKUP(IF($J133="Formación Técnica Específica",$B133&amp;"°"&amp;O$1&amp;"°"&amp;$B133&amp;O$1&amp;1&amp;$A133,$B133&amp;"°"&amp;O$1&amp;"°"&amp;$A133),[1]Hoja1!$A:$O,15,0)," ")</f>
        <v xml:space="preserve"> </v>
      </c>
      <c r="Q133" s="44" t="str">
        <f>IF($J133="Formación Técnica Específica",VLOOKUP(IF($J133="Formación Técnica Específica",$B133&amp;"°"&amp;Q$1&amp;"°"&amp;$B133&amp;Q$1&amp;1&amp;$A133,$B133&amp;"°"&amp;Q$1&amp;"°"&amp;$A133),[1]Hoja1!$A:$O,15,0),VLOOKUP(IF($J133="Formación Técnica Específica",$B133&amp;"°"&amp;Q$1&amp;"°"&amp;$B133&amp;Q$1&amp;1&amp;$A133,$B133&amp;"°"&amp;Q$1&amp;"°"&amp;$A133),[1]Hoja1!$A:$O,15,0))</f>
        <v>GUTIERREZ NICOLAS</v>
      </c>
      <c r="R133" s="52" t="str">
        <f>IF($J133="Formación Técnica Específica",VLOOKUP(IF($J133="Formación Técnica Específica",$B133&amp;"°"&amp;Q$1&amp;"°"&amp;$B133&amp;Q$1&amp;1&amp;$A133,$B133&amp;"°"&amp;Q$1&amp;"°"&amp;$A133),[1]Hoja1!$A:$O,15,0)," ")</f>
        <v xml:space="preserve"> </v>
      </c>
      <c r="S133" s="44" t="e">
        <f>IF($J133="Formación Técnica Específica",VLOOKUP(IF($J133="Formación Técnica Específica",$B133&amp;"°"&amp;S$1&amp;"°"&amp;$B133&amp;S$1&amp;1&amp;$A133,$B133&amp;"°"&amp;S$1&amp;"°"&amp;$A133),[1]Hoja1!$A:$O,15,0),VLOOKUP(IF($J133="Formación Técnica Específica",$B133&amp;"°"&amp;S$1&amp;"°"&amp;$B133&amp;S$1&amp;1&amp;$A133,$B133&amp;"°"&amp;S$1&amp;"°"&amp;$A133),[1]Hoja1!$A:$O,15,0))</f>
        <v>#N/A</v>
      </c>
      <c r="T133" s="52" t="str">
        <f>IF($J133="Formación Técnica Específica",VLOOKUP(IF($J133="Formación Técnica Específica",$B133&amp;"°"&amp;S$1&amp;"°"&amp;$B133&amp;S$1&amp;1&amp;$A133,$B133&amp;"°"&amp;S$1&amp;"°"&amp;$A133),[1]Hoja1!$A:$O,15,0)," ")</f>
        <v xml:space="preserve"> </v>
      </c>
      <c r="U133" s="44" t="e">
        <f>IF($J133="Formación Técnica Específica",VLOOKUP(IF($J133="Formación Técnica Específica",$B133&amp;"°"&amp;U$1&amp;"°"&amp;$B133&amp;U$1&amp;1&amp;$A133,$B133&amp;"°"&amp;U$1&amp;"°"&amp;$A133),[1]Hoja1!$A:$O,15,0),VLOOKUP(IF($J133="Formación Técnica Específica",$B133&amp;"°"&amp;U$1&amp;"°"&amp;$B133&amp;U$1&amp;1&amp;$A133,$B133&amp;"°"&amp;U$1&amp;"°"&amp;$A133),[1]Hoja1!$A:$O,15,0))</f>
        <v>#N/A</v>
      </c>
      <c r="V133" s="52" t="str">
        <f>IF($J133="Formación Técnica Específica",VLOOKUP(IF($J133="Formación Técnica Específica",$B133&amp;"°"&amp;U$1&amp;"°"&amp;$B133&amp;U$1&amp;1&amp;$A133,$B133&amp;"°"&amp;U$1&amp;"°"&amp;$A133),[1]Hoja1!$A:$O,15,0)," ")</f>
        <v xml:space="preserve"> </v>
      </c>
      <c r="W133" s="44" t="e">
        <f>IF($J133="Formación Técnica Específica",VLOOKUP(IF($J133="Formación Técnica Específica",$B133&amp;"°"&amp;W$1&amp;"°"&amp;$B133&amp;W$1&amp;1&amp;$A133,$B133&amp;"°"&amp;W$1&amp;"°"&amp;$A133),[1]Hoja1!$A:$O,15,0),VLOOKUP(IF($J133="Formación Técnica Específica",$B133&amp;"°"&amp;W$1&amp;"°"&amp;$B133&amp;W$1&amp;1&amp;$A133,$B133&amp;"°"&amp;W$1&amp;"°"&amp;$A133),[1]Hoja1!$A:$O,15,0))</f>
        <v>#N/A</v>
      </c>
      <c r="X133" s="52" t="str">
        <f>IF($J133="Formación Técnica Específica",VLOOKUP(IF($J133="Formación Técnica Específica",$B133&amp;"°"&amp;W$1&amp;"°"&amp;$B133&amp;W$1&amp;1&amp;$A133,$B133&amp;"°"&amp;W$1&amp;"°"&amp;$A133),[1]Hoja1!$A:$O,15,0)," ")</f>
        <v xml:space="preserve"> </v>
      </c>
    </row>
    <row r="134" spans="1:24" x14ac:dyDescent="0.25">
      <c r="A134" s="30" t="str">
        <f t="shared" si="12"/>
        <v>7ESIDCO</v>
      </c>
      <c r="B134" s="4">
        <v>7</v>
      </c>
      <c r="C134" s="4" t="s">
        <v>10</v>
      </c>
      <c r="D134" s="4" t="s">
        <v>112</v>
      </c>
      <c r="E134" s="7" t="s">
        <v>66</v>
      </c>
      <c r="F134" s="3">
        <v>3</v>
      </c>
      <c r="G134" s="4" t="s">
        <v>260</v>
      </c>
      <c r="H134" s="4"/>
      <c r="I134" s="3">
        <v>4</v>
      </c>
      <c r="J134" s="6" t="s">
        <v>290</v>
      </c>
      <c r="K134" s="31" t="s">
        <v>261</v>
      </c>
      <c r="L134" t="str">
        <f t="shared" si="10"/>
        <v>7°3</v>
      </c>
      <c r="M134" s="31"/>
      <c r="N134" s="63" t="str">
        <f t="shared" si="11"/>
        <v>7°3</v>
      </c>
      <c r="O134" s="44" t="e">
        <f>IF($J134="Formación Técnica Específica",VLOOKUP(IF($J134="Formación Técnica Específica",$B134&amp;"°"&amp;O$1&amp;"°"&amp;$B134&amp;O$1&amp;1&amp;$A134,$B134&amp;"°"&amp;O$1&amp;"°"&amp;$A134),[1]Hoja1!$A:$O,15,0),VLOOKUP(IF($J134="Formación Técnica Específica",$B134&amp;"°"&amp;O$1&amp;"°"&amp;$B134&amp;O$1&amp;1&amp;$A134,$B134&amp;"°"&amp;O$1&amp;"°"&amp;$A134),[1]Hoja1!$A:$O,15,0))</f>
        <v>#N/A</v>
      </c>
      <c r="P134" s="52" t="str">
        <f>IF($J134="Formación Técnica Específica",VLOOKUP(IF($J134="Formación Técnica Específica",$B134&amp;"°"&amp;O$1&amp;"°"&amp;$B134&amp;O$1&amp;1&amp;$A134,$B134&amp;"°"&amp;O$1&amp;"°"&amp;$A134),[1]Hoja1!$A:$O,15,0)," ")</f>
        <v xml:space="preserve"> </v>
      </c>
      <c r="Q134" s="44" t="str">
        <f>IF($J134="Formación Técnica Específica",VLOOKUP(IF($J134="Formación Técnica Específica",$B134&amp;"°"&amp;Q$1&amp;"°"&amp;$B134&amp;Q$1&amp;1&amp;$A134,$B134&amp;"°"&amp;Q$1&amp;"°"&amp;$A134),[1]Hoja1!$A:$O,15,0),VLOOKUP(IF($J134="Formación Técnica Específica",$B134&amp;"°"&amp;Q$1&amp;"°"&amp;$B134&amp;Q$1&amp;1&amp;$A134,$B134&amp;"°"&amp;Q$1&amp;"°"&amp;$A134),[1]Hoja1!$A:$O,15,0))</f>
        <v>SAUCEDO GUSTAVO</v>
      </c>
      <c r="R134" s="52" t="str">
        <f>IF($J134="Formación Técnica Específica",VLOOKUP(IF($J134="Formación Técnica Específica",$B134&amp;"°"&amp;Q$1&amp;"°"&amp;$B134&amp;Q$1&amp;1&amp;$A134,$B134&amp;"°"&amp;Q$1&amp;"°"&amp;$A134),[1]Hoja1!$A:$O,15,0)," ")</f>
        <v xml:space="preserve"> </v>
      </c>
      <c r="S134" s="44" t="e">
        <f>IF($J134="Formación Técnica Específica",VLOOKUP(IF($J134="Formación Técnica Específica",$B134&amp;"°"&amp;S$1&amp;"°"&amp;$B134&amp;S$1&amp;1&amp;$A134,$B134&amp;"°"&amp;S$1&amp;"°"&amp;$A134),[1]Hoja1!$A:$O,15,0),VLOOKUP(IF($J134="Formación Técnica Específica",$B134&amp;"°"&amp;S$1&amp;"°"&amp;$B134&amp;S$1&amp;1&amp;$A134,$B134&amp;"°"&amp;S$1&amp;"°"&amp;$A134),[1]Hoja1!$A:$O,15,0))</f>
        <v>#N/A</v>
      </c>
      <c r="T134" s="52" t="str">
        <f>IF($J134="Formación Técnica Específica",VLOOKUP(IF($J134="Formación Técnica Específica",$B134&amp;"°"&amp;S$1&amp;"°"&amp;$B134&amp;S$1&amp;1&amp;$A134,$B134&amp;"°"&amp;S$1&amp;"°"&amp;$A134),[1]Hoja1!$A:$O,15,0)," ")</f>
        <v xml:space="preserve"> </v>
      </c>
      <c r="U134" s="44" t="e">
        <f>IF($J134="Formación Técnica Específica",VLOOKUP(IF($J134="Formación Técnica Específica",$B134&amp;"°"&amp;U$1&amp;"°"&amp;$B134&amp;U$1&amp;1&amp;$A134,$B134&amp;"°"&amp;U$1&amp;"°"&amp;$A134),[1]Hoja1!$A:$O,15,0),VLOOKUP(IF($J134="Formación Técnica Específica",$B134&amp;"°"&amp;U$1&amp;"°"&amp;$B134&amp;U$1&amp;1&amp;$A134,$B134&amp;"°"&amp;U$1&amp;"°"&amp;$A134),[1]Hoja1!$A:$O,15,0))</f>
        <v>#N/A</v>
      </c>
      <c r="V134" s="52" t="str">
        <f>IF($J134="Formación Técnica Específica",VLOOKUP(IF($J134="Formación Técnica Específica",$B134&amp;"°"&amp;U$1&amp;"°"&amp;$B134&amp;U$1&amp;1&amp;$A134,$B134&amp;"°"&amp;U$1&amp;"°"&amp;$A134),[1]Hoja1!$A:$O,15,0)," ")</f>
        <v xml:space="preserve"> </v>
      </c>
      <c r="W134" s="44" t="e">
        <f>IF($J134="Formación Técnica Específica",VLOOKUP(IF($J134="Formación Técnica Específica",$B134&amp;"°"&amp;W$1&amp;"°"&amp;$B134&amp;W$1&amp;1&amp;$A134,$B134&amp;"°"&amp;W$1&amp;"°"&amp;$A134),[1]Hoja1!$A:$O,15,0),VLOOKUP(IF($J134="Formación Técnica Específica",$B134&amp;"°"&amp;W$1&amp;"°"&amp;$B134&amp;W$1&amp;1&amp;$A134,$B134&amp;"°"&amp;W$1&amp;"°"&amp;$A134),[1]Hoja1!$A:$O,15,0))</f>
        <v>#N/A</v>
      </c>
      <c r="X134" s="52" t="str">
        <f>IF($J134="Formación Técnica Específica",VLOOKUP(IF($J134="Formación Técnica Específica",$B134&amp;"°"&amp;W$1&amp;"°"&amp;$B134&amp;W$1&amp;1&amp;$A134,$B134&amp;"°"&amp;W$1&amp;"°"&amp;$A134),[1]Hoja1!$A:$O,15,0)," ")</f>
        <v xml:space="preserve"> </v>
      </c>
    </row>
    <row r="135" spans="1:24" x14ac:dyDescent="0.25">
      <c r="A135" s="30" t="str">
        <f t="shared" si="12"/>
        <v>7ESISDC</v>
      </c>
      <c r="B135" s="4">
        <v>7</v>
      </c>
      <c r="C135" s="4" t="s">
        <v>10</v>
      </c>
      <c r="D135" s="4" t="s">
        <v>112</v>
      </c>
      <c r="E135" s="7" t="s">
        <v>66</v>
      </c>
      <c r="F135" s="3">
        <v>4</v>
      </c>
      <c r="G135" s="4" t="s">
        <v>262</v>
      </c>
      <c r="H135" s="4" t="s">
        <v>222</v>
      </c>
      <c r="I135" s="3">
        <v>4</v>
      </c>
      <c r="J135" s="6" t="s">
        <v>290</v>
      </c>
      <c r="K135" s="31" t="s">
        <v>263</v>
      </c>
      <c r="L135" t="str">
        <f t="shared" si="10"/>
        <v>7°4</v>
      </c>
      <c r="M135" s="31"/>
      <c r="N135" s="63" t="str">
        <f t="shared" si="11"/>
        <v>7°4</v>
      </c>
      <c r="O135" s="44" t="e">
        <f>IF($J135="Formación Técnica Específica",VLOOKUP(IF($J135="Formación Técnica Específica",$B135&amp;"°"&amp;O$1&amp;"°"&amp;$B135&amp;O$1&amp;1&amp;$A135,$B135&amp;"°"&amp;O$1&amp;"°"&amp;$A135),[1]Hoja1!$A:$O,15,0),VLOOKUP(IF($J135="Formación Técnica Específica",$B135&amp;"°"&amp;O$1&amp;"°"&amp;$B135&amp;O$1&amp;1&amp;$A135,$B135&amp;"°"&amp;O$1&amp;"°"&amp;$A135),[1]Hoja1!$A:$O,15,0))</f>
        <v>#N/A</v>
      </c>
      <c r="P135" s="52" t="str">
        <f>IF($J135="Formación Técnica Específica",VLOOKUP(IF($J135="Formación Técnica Específica",$B135&amp;"°"&amp;O$1&amp;"°"&amp;$B135&amp;O$1&amp;1&amp;$A135,$B135&amp;"°"&amp;O$1&amp;"°"&amp;$A135),[1]Hoja1!$A:$O,15,0)," ")</f>
        <v xml:space="preserve"> </v>
      </c>
      <c r="Q135" s="44" t="str">
        <f>IF($J135="Formación Técnica Específica",VLOOKUP(IF($J135="Formación Técnica Específica",$B135&amp;"°"&amp;Q$1&amp;"°"&amp;$B135&amp;Q$1&amp;1&amp;$A135,$B135&amp;"°"&amp;Q$1&amp;"°"&amp;$A135),[1]Hoja1!$A:$O,15,0),VLOOKUP(IF($J135="Formación Técnica Específica",$B135&amp;"°"&amp;Q$1&amp;"°"&amp;$B135&amp;Q$1&amp;1&amp;$A135,$B135&amp;"°"&amp;Q$1&amp;"°"&amp;$A135),[1]Hoja1!$A:$O,15,0))</f>
        <v>SERENO, LEONEL</v>
      </c>
      <c r="R135" s="52" t="str">
        <f>IF($J135="Formación Técnica Específica",VLOOKUP(IF($J135="Formación Técnica Específica",$B135&amp;"°"&amp;Q$1&amp;"°"&amp;$B135&amp;Q$1&amp;1&amp;$A135,$B135&amp;"°"&amp;Q$1&amp;"°"&amp;$A135),[1]Hoja1!$A:$O,15,0)," ")</f>
        <v xml:space="preserve"> </v>
      </c>
      <c r="S135" s="44" t="e">
        <f>IF($J135="Formación Técnica Específica",VLOOKUP(IF($J135="Formación Técnica Específica",$B135&amp;"°"&amp;S$1&amp;"°"&amp;$B135&amp;S$1&amp;1&amp;$A135,$B135&amp;"°"&amp;S$1&amp;"°"&amp;$A135),[1]Hoja1!$A:$O,15,0),VLOOKUP(IF($J135="Formación Técnica Específica",$B135&amp;"°"&amp;S$1&amp;"°"&amp;$B135&amp;S$1&amp;1&amp;$A135,$B135&amp;"°"&amp;S$1&amp;"°"&amp;$A135),[1]Hoja1!$A:$O,15,0))</f>
        <v>#N/A</v>
      </c>
      <c r="T135" s="52" t="str">
        <f>IF($J135="Formación Técnica Específica",VLOOKUP(IF($J135="Formación Técnica Específica",$B135&amp;"°"&amp;S$1&amp;"°"&amp;$B135&amp;S$1&amp;1&amp;$A135,$B135&amp;"°"&amp;S$1&amp;"°"&amp;$A135),[1]Hoja1!$A:$O,15,0)," ")</f>
        <v xml:space="preserve"> </v>
      </c>
      <c r="U135" s="44" t="e">
        <f>IF($J135="Formación Técnica Específica",VLOOKUP(IF($J135="Formación Técnica Específica",$B135&amp;"°"&amp;U$1&amp;"°"&amp;$B135&amp;U$1&amp;1&amp;$A135,$B135&amp;"°"&amp;U$1&amp;"°"&amp;$A135),[1]Hoja1!$A:$O,15,0),VLOOKUP(IF($J135="Formación Técnica Específica",$B135&amp;"°"&amp;U$1&amp;"°"&amp;$B135&amp;U$1&amp;1&amp;$A135,$B135&amp;"°"&amp;U$1&amp;"°"&amp;$A135),[1]Hoja1!$A:$O,15,0))</f>
        <v>#N/A</v>
      </c>
      <c r="V135" s="52" t="str">
        <f>IF($J135="Formación Técnica Específica",VLOOKUP(IF($J135="Formación Técnica Específica",$B135&amp;"°"&amp;U$1&amp;"°"&amp;$B135&amp;U$1&amp;1&amp;$A135,$B135&amp;"°"&amp;U$1&amp;"°"&amp;$A135),[1]Hoja1!$A:$O,15,0)," ")</f>
        <v xml:space="preserve"> </v>
      </c>
      <c r="W135" s="44" t="e">
        <f>IF($J135="Formación Técnica Específica",VLOOKUP(IF($J135="Formación Técnica Específica",$B135&amp;"°"&amp;W$1&amp;"°"&amp;$B135&amp;W$1&amp;1&amp;$A135,$B135&amp;"°"&amp;W$1&amp;"°"&amp;$A135),[1]Hoja1!$A:$O,15,0),VLOOKUP(IF($J135="Formación Técnica Específica",$B135&amp;"°"&amp;W$1&amp;"°"&amp;$B135&amp;W$1&amp;1&amp;$A135,$B135&amp;"°"&amp;W$1&amp;"°"&amp;$A135),[1]Hoja1!$A:$O,15,0))</f>
        <v>#N/A</v>
      </c>
      <c r="X135" s="52" t="str">
        <f>IF($J135="Formación Técnica Específica",VLOOKUP(IF($J135="Formación Técnica Específica",$B135&amp;"°"&amp;W$1&amp;"°"&amp;$B135&amp;W$1&amp;1&amp;$A135,$B135&amp;"°"&amp;W$1&amp;"°"&amp;$A135),[1]Hoja1!$A:$O,15,0)," ")</f>
        <v xml:space="preserve"> </v>
      </c>
    </row>
    <row r="136" spans="1:24" x14ac:dyDescent="0.25">
      <c r="A136" s="30" t="str">
        <f t="shared" si="12"/>
        <v>7ESEHPA</v>
      </c>
      <c r="B136" s="4">
        <v>7</v>
      </c>
      <c r="C136" s="4" t="s">
        <v>10</v>
      </c>
      <c r="D136" s="4" t="s">
        <v>112</v>
      </c>
      <c r="E136" s="7" t="s">
        <v>66</v>
      </c>
      <c r="F136" s="3">
        <v>5</v>
      </c>
      <c r="G136" s="4" t="s">
        <v>264</v>
      </c>
      <c r="H136" s="4"/>
      <c r="I136" s="3">
        <v>2</v>
      </c>
      <c r="J136" s="6" t="s">
        <v>290</v>
      </c>
      <c r="K136" s="31" t="s">
        <v>265</v>
      </c>
      <c r="L136" t="str">
        <f t="shared" si="10"/>
        <v>7°5</v>
      </c>
      <c r="M136" s="31"/>
      <c r="N136" s="63" t="str">
        <f t="shared" si="11"/>
        <v>7°5</v>
      </c>
      <c r="O136" s="44" t="e">
        <f>IF($J136="Formación Técnica Específica",VLOOKUP(IF($J136="Formación Técnica Específica",$B136&amp;"°"&amp;O$1&amp;"°"&amp;$B136&amp;O$1&amp;1&amp;$A136,$B136&amp;"°"&amp;O$1&amp;"°"&amp;$A136),[1]Hoja1!$A:$O,15,0),VLOOKUP(IF($J136="Formación Técnica Específica",$B136&amp;"°"&amp;O$1&amp;"°"&amp;$B136&amp;O$1&amp;1&amp;$A136,$B136&amp;"°"&amp;O$1&amp;"°"&amp;$A136),[1]Hoja1!$A:$O,15,0))</f>
        <v>#N/A</v>
      </c>
      <c r="P136" s="52" t="str">
        <f>IF($J136="Formación Técnica Específica",VLOOKUP(IF($J136="Formación Técnica Específica",$B136&amp;"°"&amp;O$1&amp;"°"&amp;$B136&amp;O$1&amp;1&amp;$A136,$B136&amp;"°"&amp;O$1&amp;"°"&amp;$A136),[1]Hoja1!$A:$O,15,0)," ")</f>
        <v xml:space="preserve"> </v>
      </c>
      <c r="Q136" s="44" t="str">
        <f>IF($J136="Formación Técnica Específica",VLOOKUP(IF($J136="Formación Técnica Específica",$B136&amp;"°"&amp;Q$1&amp;"°"&amp;$B136&amp;Q$1&amp;1&amp;$A136,$B136&amp;"°"&amp;Q$1&amp;"°"&amp;$A136),[1]Hoja1!$A:$O,15,0),VLOOKUP(IF($J136="Formación Técnica Específica",$B136&amp;"°"&amp;Q$1&amp;"°"&amp;$B136&amp;Q$1&amp;1&amp;$A136,$B136&amp;"°"&amp;Q$1&amp;"°"&amp;$A136),[1]Hoja1!$A:$O,15,0))</f>
        <v>ARGAÑARAZ ANGEL</v>
      </c>
      <c r="R136" s="52" t="str">
        <f>IF($J136="Formación Técnica Específica",VLOOKUP(IF($J136="Formación Técnica Específica",$B136&amp;"°"&amp;Q$1&amp;"°"&amp;$B136&amp;Q$1&amp;1&amp;$A136,$B136&amp;"°"&amp;Q$1&amp;"°"&amp;$A136),[1]Hoja1!$A:$O,15,0)," ")</f>
        <v xml:space="preserve"> </v>
      </c>
      <c r="S136" s="44" t="e">
        <f>IF($J136="Formación Técnica Específica",VLOOKUP(IF($J136="Formación Técnica Específica",$B136&amp;"°"&amp;S$1&amp;"°"&amp;$B136&amp;S$1&amp;1&amp;$A136,$B136&amp;"°"&amp;S$1&amp;"°"&amp;$A136),[1]Hoja1!$A:$O,15,0),VLOOKUP(IF($J136="Formación Técnica Específica",$B136&amp;"°"&amp;S$1&amp;"°"&amp;$B136&amp;S$1&amp;1&amp;$A136,$B136&amp;"°"&amp;S$1&amp;"°"&amp;$A136),[1]Hoja1!$A:$O,15,0))</f>
        <v>#N/A</v>
      </c>
      <c r="T136" s="52" t="str">
        <f>IF($J136="Formación Técnica Específica",VLOOKUP(IF($J136="Formación Técnica Específica",$B136&amp;"°"&amp;S$1&amp;"°"&amp;$B136&amp;S$1&amp;1&amp;$A136,$B136&amp;"°"&amp;S$1&amp;"°"&amp;$A136),[1]Hoja1!$A:$O,15,0)," ")</f>
        <v xml:space="preserve"> </v>
      </c>
      <c r="U136" s="44" t="e">
        <f>IF($J136="Formación Técnica Específica",VLOOKUP(IF($J136="Formación Técnica Específica",$B136&amp;"°"&amp;U$1&amp;"°"&amp;$B136&amp;U$1&amp;1&amp;$A136,$B136&amp;"°"&amp;U$1&amp;"°"&amp;$A136),[1]Hoja1!$A:$O,15,0),VLOOKUP(IF($J136="Formación Técnica Específica",$B136&amp;"°"&amp;U$1&amp;"°"&amp;$B136&amp;U$1&amp;1&amp;$A136,$B136&amp;"°"&amp;U$1&amp;"°"&amp;$A136),[1]Hoja1!$A:$O,15,0))</f>
        <v>#N/A</v>
      </c>
      <c r="V136" s="52" t="str">
        <f>IF($J136="Formación Técnica Específica",VLOOKUP(IF($J136="Formación Técnica Específica",$B136&amp;"°"&amp;U$1&amp;"°"&amp;$B136&amp;U$1&amp;1&amp;$A136,$B136&amp;"°"&amp;U$1&amp;"°"&amp;$A136),[1]Hoja1!$A:$O,15,0)," ")</f>
        <v xml:space="preserve"> </v>
      </c>
      <c r="W136" s="44" t="e">
        <f>IF($J136="Formación Técnica Específica",VLOOKUP(IF($J136="Formación Técnica Específica",$B136&amp;"°"&amp;W$1&amp;"°"&amp;$B136&amp;W$1&amp;1&amp;$A136,$B136&amp;"°"&amp;W$1&amp;"°"&amp;$A136),[1]Hoja1!$A:$O,15,0),VLOOKUP(IF($J136="Formación Técnica Específica",$B136&amp;"°"&amp;W$1&amp;"°"&amp;$B136&amp;W$1&amp;1&amp;$A136,$B136&amp;"°"&amp;W$1&amp;"°"&amp;$A136),[1]Hoja1!$A:$O,15,0))</f>
        <v>#N/A</v>
      </c>
      <c r="X136" s="52" t="str">
        <f>IF($J136="Formación Técnica Específica",VLOOKUP(IF($J136="Formación Técnica Específica",$B136&amp;"°"&amp;W$1&amp;"°"&amp;$B136&amp;W$1&amp;1&amp;$A136,$B136&amp;"°"&amp;W$1&amp;"°"&amp;$A136),[1]Hoja1!$A:$O,15,0)," ")</f>
        <v xml:space="preserve"> </v>
      </c>
    </row>
    <row r="137" spans="1:24" x14ac:dyDescent="0.25">
      <c r="A137" s="30" t="str">
        <f t="shared" si="12"/>
        <v>7EPRODE</v>
      </c>
      <c r="B137" s="4">
        <v>7</v>
      </c>
      <c r="C137" s="4" t="s">
        <v>10</v>
      </c>
      <c r="D137" s="4" t="s">
        <v>112</v>
      </c>
      <c r="E137" s="7" t="s">
        <v>66</v>
      </c>
      <c r="F137" s="3">
        <v>6</v>
      </c>
      <c r="G137" s="4" t="s">
        <v>266</v>
      </c>
      <c r="H137" s="4" t="s">
        <v>267</v>
      </c>
      <c r="I137" s="3">
        <v>4</v>
      </c>
      <c r="J137" s="6" t="s">
        <v>33</v>
      </c>
      <c r="K137" s="31" t="s">
        <v>268</v>
      </c>
      <c r="L137" t="str">
        <f t="shared" si="10"/>
        <v>7°6</v>
      </c>
      <c r="M137" s="31" t="s">
        <v>309</v>
      </c>
      <c r="N137" s="63" t="str">
        <f t="shared" si="11"/>
        <v>7°6</v>
      </c>
      <c r="O137" s="44" t="e">
        <f>IF($J137="Formación Técnica Específica",VLOOKUP(IF($J137="Formación Técnica Específica",$B137&amp;"°"&amp;O$1&amp;"°"&amp;$B137&amp;O$1&amp;1&amp;$A137,$B137&amp;"°"&amp;O$1&amp;"°"&amp;$A137),[1]Hoja1!$A:$O,15,0),VLOOKUP(IF($J137="Formación Técnica Específica",$B137&amp;"°"&amp;O$1&amp;"°"&amp;$B137&amp;O$1&amp;1&amp;$A137,$B137&amp;"°"&amp;O$1&amp;"°"&amp;$A137),[1]Hoja1!$A:$O,15,0))</f>
        <v>#N/A</v>
      </c>
      <c r="P137" s="52" t="e">
        <f>IF($J137="Formación Técnica Específica",VLOOKUP(IF($J137="Formación Técnica Específica",$B137&amp;"°"&amp;O$1&amp;"°"&amp;$B137&amp;O$1&amp;1&amp;$A137,$B137&amp;"°"&amp;O$1&amp;"°"&amp;$A137),[1]Hoja1!$A:$O,15,0)," ")</f>
        <v>#N/A</v>
      </c>
      <c r="Q137" s="44" t="str">
        <f>IF($J137="Formación Técnica Específica",VLOOKUP(IF($J137="Formación Técnica Específica",$B137&amp;"°"&amp;Q$1&amp;"°"&amp;$B137&amp;Q$1&amp;1&amp;$A137,$B137&amp;"°"&amp;Q$1&amp;"°"&amp;$A137),[1]Hoja1!$A:$O,15,0),VLOOKUP(IF($J137="Formación Técnica Específica",$B137&amp;"°"&amp;Q$1&amp;"°"&amp;$B137&amp;Q$1&amp;1&amp;$A137,$B137&amp;"°"&amp;Q$1&amp;"°"&amp;$A137),[1]Hoja1!$A:$O,15,0))</f>
        <v>GUTIERREZ NICOLAS</v>
      </c>
      <c r="R137" s="52" t="str">
        <f>IF($J137="Formación Técnica Específica",VLOOKUP(IF($J137="Formación Técnica Específica",$B137&amp;"°"&amp;Q$1&amp;"°"&amp;$B137&amp;Q$1&amp;1&amp;$A137,$B137&amp;"°"&amp;Q$1&amp;"°"&amp;$A137),[1]Hoja1!$A:$O,15,0)," ")</f>
        <v>GUTIERREZ NICOLAS</v>
      </c>
      <c r="S137" s="44" t="e">
        <f>IF($J137="Formación Técnica Específica",VLOOKUP(IF($J137="Formación Técnica Específica",$B137&amp;"°"&amp;S$1&amp;"°"&amp;$B137&amp;S$1&amp;1&amp;$A137,$B137&amp;"°"&amp;S$1&amp;"°"&amp;$A137),[1]Hoja1!$A:$O,15,0),VLOOKUP(IF($J137="Formación Técnica Específica",$B137&amp;"°"&amp;S$1&amp;"°"&amp;$B137&amp;S$1&amp;1&amp;$A137,$B137&amp;"°"&amp;S$1&amp;"°"&amp;$A137),[1]Hoja1!$A:$O,15,0))</f>
        <v>#N/A</v>
      </c>
      <c r="T137" s="52" t="e">
        <f>IF($J137="Formación Técnica Específica",VLOOKUP(IF($J137="Formación Técnica Específica",$B137&amp;"°"&amp;S$1&amp;"°"&amp;$B137&amp;S$1&amp;1&amp;$A137,$B137&amp;"°"&amp;S$1&amp;"°"&amp;$A137),[1]Hoja1!$A:$O,15,0)," ")</f>
        <v>#N/A</v>
      </c>
      <c r="U137" s="44" t="e">
        <f>IF($J137="Formación Técnica Específica",VLOOKUP(IF($J137="Formación Técnica Específica",$B137&amp;"°"&amp;U$1&amp;"°"&amp;$B137&amp;U$1&amp;1&amp;$A137,$B137&amp;"°"&amp;U$1&amp;"°"&amp;$A137),[1]Hoja1!$A:$O,15,0),VLOOKUP(IF($J137="Formación Técnica Específica",$B137&amp;"°"&amp;U$1&amp;"°"&amp;$B137&amp;U$1&amp;1&amp;$A137,$B137&amp;"°"&amp;U$1&amp;"°"&amp;$A137),[1]Hoja1!$A:$O,15,0))</f>
        <v>#N/A</v>
      </c>
      <c r="V137" s="52" t="e">
        <f>IF($J137="Formación Técnica Específica",VLOOKUP(IF($J137="Formación Técnica Específica",$B137&amp;"°"&amp;U$1&amp;"°"&amp;$B137&amp;U$1&amp;1&amp;$A137,$B137&amp;"°"&amp;U$1&amp;"°"&amp;$A137),[1]Hoja1!$A:$O,15,0)," ")</f>
        <v>#N/A</v>
      </c>
      <c r="W137" s="44" t="e">
        <f>IF($J137="Formación Técnica Específica",VLOOKUP(IF($J137="Formación Técnica Específica",$B137&amp;"°"&amp;W$1&amp;"°"&amp;$B137&amp;W$1&amp;1&amp;$A137,$B137&amp;"°"&amp;W$1&amp;"°"&amp;$A137),[1]Hoja1!$A:$O,15,0),VLOOKUP(IF($J137="Formación Técnica Específica",$B137&amp;"°"&amp;W$1&amp;"°"&amp;$B137&amp;W$1&amp;1&amp;$A137,$B137&amp;"°"&amp;W$1&amp;"°"&amp;$A137),[1]Hoja1!$A:$O,15,0))</f>
        <v>#N/A</v>
      </c>
      <c r="X137" s="52" t="e">
        <f>IF($J137="Formación Técnica Específica",VLOOKUP(IF($J137="Formación Técnica Específica",$B137&amp;"°"&amp;W$1&amp;"°"&amp;$B137&amp;W$1&amp;1&amp;$A137,$B137&amp;"°"&amp;W$1&amp;"°"&amp;$A137),[1]Hoja1!$A:$O,15,0)," ")</f>
        <v>#N/A</v>
      </c>
    </row>
    <row r="138" spans="1:24" x14ac:dyDescent="0.25">
      <c r="A138" s="30" t="str">
        <f t="shared" si="12"/>
        <v>7EINSIN</v>
      </c>
      <c r="B138" s="4">
        <v>7</v>
      </c>
      <c r="C138" s="4" t="s">
        <v>10</v>
      </c>
      <c r="D138" s="4" t="s">
        <v>112</v>
      </c>
      <c r="E138" s="7" t="s">
        <v>66</v>
      </c>
      <c r="F138" s="3">
        <v>7</v>
      </c>
      <c r="G138" s="4" t="s">
        <v>269</v>
      </c>
      <c r="H138" s="4" t="s">
        <v>270</v>
      </c>
      <c r="I138" s="3">
        <v>4</v>
      </c>
      <c r="J138" s="6" t="s">
        <v>33</v>
      </c>
      <c r="K138" s="31" t="s">
        <v>271</v>
      </c>
      <c r="L138" t="str">
        <f t="shared" si="10"/>
        <v>7°7</v>
      </c>
      <c r="M138" s="31"/>
      <c r="N138" s="63" t="str">
        <f t="shared" si="11"/>
        <v>7°7</v>
      </c>
      <c r="O138" s="44" t="e">
        <f>IF($J138="Formación Técnica Específica",VLOOKUP(IF($J138="Formación Técnica Específica",$B138&amp;"°"&amp;O$1&amp;"°"&amp;$B138&amp;O$1&amp;1&amp;$A138,$B138&amp;"°"&amp;O$1&amp;"°"&amp;$A138),[1]Hoja1!$A:$O,15,0),VLOOKUP(IF($J138="Formación Técnica Específica",$B138&amp;"°"&amp;O$1&amp;"°"&amp;$B138&amp;O$1&amp;1&amp;$A138,$B138&amp;"°"&amp;O$1&amp;"°"&amp;$A138),[1]Hoja1!$A:$O,15,0))</f>
        <v>#N/A</v>
      </c>
      <c r="P138" s="52" t="e">
        <f>IF($J138="Formación Técnica Específica",VLOOKUP(IF($J138="Formación Técnica Específica",$B138&amp;"°"&amp;O$1&amp;"°"&amp;$B138&amp;O$1&amp;1&amp;$A138,$B138&amp;"°"&amp;O$1&amp;"°"&amp;$A138),[1]Hoja1!$A:$O,15,0)," ")</f>
        <v>#N/A</v>
      </c>
      <c r="Q138" s="44" t="str">
        <f>IF($J138="Formación Técnica Específica",VLOOKUP(IF($J138="Formación Técnica Específica",$B138&amp;"°"&amp;Q$1&amp;"°"&amp;$B138&amp;Q$1&amp;1&amp;$A138,$B138&amp;"°"&amp;Q$1&amp;"°"&amp;$A138),[1]Hoja1!$A:$O,15,0),VLOOKUP(IF($J138="Formación Técnica Específica",$B138&amp;"°"&amp;Q$1&amp;"°"&amp;$B138&amp;Q$1&amp;1&amp;$A138,$B138&amp;"°"&amp;Q$1&amp;"°"&amp;$A138),[1]Hoja1!$A:$O,15,0))</f>
        <v>SAUCEDO GUSTAVO</v>
      </c>
      <c r="R138" s="52" t="str">
        <f>IF($J138="Formación Técnica Específica",VLOOKUP(IF($J138="Formación Técnica Específica",$B138&amp;"°"&amp;Q$1&amp;"°"&amp;$B138&amp;Q$1&amp;1&amp;$A138,$B138&amp;"°"&amp;Q$1&amp;"°"&amp;$A138),[1]Hoja1!$A:$O,15,0)," ")</f>
        <v>SAUCEDO GUSTAVO</v>
      </c>
      <c r="S138" s="44" t="e">
        <f>IF($J138="Formación Técnica Específica",VLOOKUP(IF($J138="Formación Técnica Específica",$B138&amp;"°"&amp;S$1&amp;"°"&amp;$B138&amp;S$1&amp;1&amp;$A138,$B138&amp;"°"&amp;S$1&amp;"°"&amp;$A138),[1]Hoja1!$A:$O,15,0),VLOOKUP(IF($J138="Formación Técnica Específica",$B138&amp;"°"&amp;S$1&amp;"°"&amp;$B138&amp;S$1&amp;1&amp;$A138,$B138&amp;"°"&amp;S$1&amp;"°"&amp;$A138),[1]Hoja1!$A:$O,15,0))</f>
        <v>#N/A</v>
      </c>
      <c r="T138" s="52" t="e">
        <f>IF($J138="Formación Técnica Específica",VLOOKUP(IF($J138="Formación Técnica Específica",$B138&amp;"°"&amp;S$1&amp;"°"&amp;$B138&amp;S$1&amp;1&amp;$A138,$B138&amp;"°"&amp;S$1&amp;"°"&amp;$A138),[1]Hoja1!$A:$O,15,0)," ")</f>
        <v>#N/A</v>
      </c>
      <c r="U138" s="44" t="e">
        <f>IF($J138="Formación Técnica Específica",VLOOKUP(IF($J138="Formación Técnica Específica",$B138&amp;"°"&amp;U$1&amp;"°"&amp;$B138&amp;U$1&amp;1&amp;$A138,$B138&amp;"°"&amp;U$1&amp;"°"&amp;$A138),[1]Hoja1!$A:$O,15,0),VLOOKUP(IF($J138="Formación Técnica Específica",$B138&amp;"°"&amp;U$1&amp;"°"&amp;$B138&amp;U$1&amp;1&amp;$A138,$B138&amp;"°"&amp;U$1&amp;"°"&amp;$A138),[1]Hoja1!$A:$O,15,0))</f>
        <v>#N/A</v>
      </c>
      <c r="V138" s="52" t="e">
        <f>IF($J138="Formación Técnica Específica",VLOOKUP(IF($J138="Formación Técnica Específica",$B138&amp;"°"&amp;U$1&amp;"°"&amp;$B138&amp;U$1&amp;1&amp;$A138,$B138&amp;"°"&amp;U$1&amp;"°"&amp;$A138),[1]Hoja1!$A:$O,15,0)," ")</f>
        <v>#N/A</v>
      </c>
      <c r="W138" s="44" t="e">
        <f>IF($J138="Formación Técnica Específica",VLOOKUP(IF($J138="Formación Técnica Específica",$B138&amp;"°"&amp;W$1&amp;"°"&amp;$B138&amp;W$1&amp;1&amp;$A138,$B138&amp;"°"&amp;W$1&amp;"°"&amp;$A138),[1]Hoja1!$A:$O,15,0),VLOOKUP(IF($J138="Formación Técnica Específica",$B138&amp;"°"&amp;W$1&amp;"°"&amp;$B138&amp;W$1&amp;1&amp;$A138,$B138&amp;"°"&amp;W$1&amp;"°"&amp;$A138),[1]Hoja1!$A:$O,15,0))</f>
        <v>#N/A</v>
      </c>
      <c r="X138" s="52" t="e">
        <f>IF($J138="Formación Técnica Específica",VLOOKUP(IF($J138="Formación Técnica Específica",$B138&amp;"°"&amp;W$1&amp;"°"&amp;$B138&amp;W$1&amp;1&amp;$A138,$B138&amp;"°"&amp;W$1&amp;"°"&amp;$A138),[1]Hoja1!$A:$O,15,0)," ")</f>
        <v>#N/A</v>
      </c>
    </row>
    <row r="139" spans="1:24" ht="15.75" thickBot="1" x14ac:dyDescent="0.3">
      <c r="A139" s="30" t="str">
        <f t="shared" si="12"/>
        <v>7EELEAP</v>
      </c>
      <c r="B139" s="4">
        <v>7</v>
      </c>
      <c r="C139" s="4" t="s">
        <v>10</v>
      </c>
      <c r="D139" s="4" t="s">
        <v>112</v>
      </c>
      <c r="E139" s="7" t="s">
        <v>66</v>
      </c>
      <c r="F139" s="3">
        <v>8</v>
      </c>
      <c r="G139" s="4" t="s">
        <v>272</v>
      </c>
      <c r="H139" s="4" t="s">
        <v>273</v>
      </c>
      <c r="I139" s="3">
        <v>4</v>
      </c>
      <c r="J139" s="6" t="s">
        <v>33</v>
      </c>
      <c r="K139" s="31" t="s">
        <v>274</v>
      </c>
      <c r="L139" t="str">
        <f t="shared" si="10"/>
        <v>7°8</v>
      </c>
      <c r="M139" s="31"/>
      <c r="N139" s="63" t="str">
        <f t="shared" si="11"/>
        <v>7°8</v>
      </c>
      <c r="O139" s="53" t="e">
        <f>IF($J139="Formación Técnica Específica",VLOOKUP(IF($J139="Formación Técnica Específica",$B139&amp;"°"&amp;O$1&amp;"°"&amp;$B139&amp;O$1&amp;1&amp;$A139,$B139&amp;"°"&amp;O$1&amp;"°"&amp;$A139),[1]Hoja1!$A:$O,15,0),VLOOKUP(IF($J139="Formación Técnica Específica",$B139&amp;"°"&amp;O$1&amp;"°"&amp;$B139&amp;O$1&amp;1&amp;$A139,$B139&amp;"°"&amp;O$1&amp;"°"&amp;$A139),[1]Hoja1!$A:$O,15,0))</f>
        <v>#N/A</v>
      </c>
      <c r="P139" s="54" t="e">
        <f>IF($J139="Formación Técnica Específica",VLOOKUP(IF($J139="Formación Técnica Específica",$B139&amp;"°"&amp;O$1&amp;"°"&amp;$B139&amp;O$1&amp;1&amp;$A139,$B139&amp;"°"&amp;O$1&amp;"°"&amp;$A139),[1]Hoja1!$A:$O,15,0)," ")</f>
        <v>#N/A</v>
      </c>
      <c r="Q139" s="53" t="str">
        <f>IF($J139="Formación Técnica Específica",VLOOKUP(IF($J139="Formación Técnica Específica",$B139&amp;"°"&amp;Q$1&amp;"°"&amp;$B139&amp;Q$1&amp;1&amp;$A139,$B139&amp;"°"&amp;Q$1&amp;"°"&amp;$A139),[1]Hoja1!$A:$O,15,0),VLOOKUP(IF($J139="Formación Técnica Específica",$B139&amp;"°"&amp;Q$1&amp;"°"&amp;$B139&amp;Q$1&amp;1&amp;$A139,$B139&amp;"°"&amp;Q$1&amp;"°"&amp;$A139),[1]Hoja1!$A:$O,15,0))</f>
        <v>GUTIERREZ NICOLAS</v>
      </c>
      <c r="R139" s="54" t="str">
        <f>IF($J139="Formación Técnica Específica",VLOOKUP(IF($J139="Formación Técnica Específica",$B139&amp;"°"&amp;Q$1&amp;"°"&amp;$B139&amp;Q$1&amp;1&amp;$A139,$B139&amp;"°"&amp;Q$1&amp;"°"&amp;$A139),[1]Hoja1!$A:$O,15,0)," ")</f>
        <v>GUTIERREZ NICOLAS</v>
      </c>
      <c r="S139" s="53" t="e">
        <f>IF($J139="Formación Técnica Específica",VLOOKUP(IF($J139="Formación Técnica Específica",$B139&amp;"°"&amp;S$1&amp;"°"&amp;$B139&amp;S$1&amp;1&amp;$A139,$B139&amp;"°"&amp;S$1&amp;"°"&amp;$A139),[1]Hoja1!$A:$O,15,0),VLOOKUP(IF($J139="Formación Técnica Específica",$B139&amp;"°"&amp;S$1&amp;"°"&amp;$B139&amp;S$1&amp;1&amp;$A139,$B139&amp;"°"&amp;S$1&amp;"°"&amp;$A139),[1]Hoja1!$A:$O,15,0))</f>
        <v>#N/A</v>
      </c>
      <c r="T139" s="54" t="e">
        <f>IF($J139="Formación Técnica Específica",VLOOKUP(IF($J139="Formación Técnica Específica",$B139&amp;"°"&amp;S$1&amp;"°"&amp;$B139&amp;S$1&amp;1&amp;$A139,$B139&amp;"°"&amp;S$1&amp;"°"&amp;$A139),[1]Hoja1!$A:$O,15,0)," ")</f>
        <v>#N/A</v>
      </c>
      <c r="U139" s="53" t="e">
        <f>IF($J139="Formación Técnica Específica",VLOOKUP(IF($J139="Formación Técnica Específica",$B139&amp;"°"&amp;U$1&amp;"°"&amp;$B139&amp;U$1&amp;1&amp;$A139,$B139&amp;"°"&amp;U$1&amp;"°"&amp;$A139),[1]Hoja1!$A:$O,15,0),VLOOKUP(IF($J139="Formación Técnica Específica",$B139&amp;"°"&amp;U$1&amp;"°"&amp;$B139&amp;U$1&amp;1&amp;$A139,$B139&amp;"°"&amp;U$1&amp;"°"&amp;$A139),[1]Hoja1!$A:$O,15,0))</f>
        <v>#N/A</v>
      </c>
      <c r="V139" s="54" t="e">
        <f>IF($J139="Formación Técnica Específica",VLOOKUP(IF($J139="Formación Técnica Específica",$B139&amp;"°"&amp;U$1&amp;"°"&amp;$B139&amp;U$1&amp;1&amp;$A139,$B139&amp;"°"&amp;U$1&amp;"°"&amp;$A139),[1]Hoja1!$A:$O,15,0)," ")</f>
        <v>#N/A</v>
      </c>
      <c r="W139" s="53" t="e">
        <f>IF($J139="Formación Técnica Específica",VLOOKUP(IF($J139="Formación Técnica Específica",$B139&amp;"°"&amp;W$1&amp;"°"&amp;$B139&amp;W$1&amp;1&amp;$A139,$B139&amp;"°"&amp;W$1&amp;"°"&amp;$A139),[1]Hoja1!$A:$O,15,0),VLOOKUP(IF($J139="Formación Técnica Específica",$B139&amp;"°"&amp;W$1&amp;"°"&amp;$B139&amp;W$1&amp;1&amp;$A139,$B139&amp;"°"&amp;W$1&amp;"°"&amp;$A139),[1]Hoja1!$A:$O,15,0))</f>
        <v>#N/A</v>
      </c>
      <c r="X139" s="54" t="e">
        <f>IF($J139="Formación Técnica Específica",VLOOKUP(IF($J139="Formación Técnica Específica",$B139&amp;"°"&amp;W$1&amp;"°"&amp;$B139&amp;W$1&amp;1&amp;$A139,$B139&amp;"°"&amp;W$1&amp;"°"&amp;$A139),[1]Hoja1!$A:$O,15,0)," ")</f>
        <v>#N/A</v>
      </c>
    </row>
    <row r="140" spans="1:24" ht="15.75" thickBot="1" x14ac:dyDescent="0.3">
      <c r="A140" s="32" t="str">
        <f t="shared" ref="A140:A145" si="13">CONCATENATE(B140,LEFT(C140,1),LEFT(D140,1),G140)</f>
        <v>1PEMOD1</v>
      </c>
      <c r="B140" s="33">
        <v>1</v>
      </c>
      <c r="C140" s="33" t="s">
        <v>276</v>
      </c>
      <c r="D140" s="33" t="s">
        <v>281</v>
      </c>
      <c r="E140" s="35" t="s">
        <v>66</v>
      </c>
      <c r="F140" s="35">
        <v>1</v>
      </c>
      <c r="G140" s="35" t="s">
        <v>278</v>
      </c>
      <c r="H140" s="35"/>
      <c r="I140" s="35"/>
      <c r="J140" s="35"/>
      <c r="K140" s="43" t="s">
        <v>278</v>
      </c>
      <c r="L140" t="str">
        <f t="shared" si="10"/>
        <v>1°1</v>
      </c>
      <c r="M140" s="43"/>
      <c r="N140" s="63" t="str">
        <f t="shared" si="11"/>
        <v>1°1</v>
      </c>
      <c r="O140" s="47" t="e">
        <f>IF($J140="Formación Técnica Específica",VLOOKUP(IF($J140="Formación Técnica Específica",$B140&amp;"°"&amp;O$1&amp;"°"&amp;$B140&amp;O$1&amp;1&amp;$A140,$B140&amp;"°"&amp;O$1&amp;"°"&amp;$A140),[1]Hoja1!$A:$O,15,0),VLOOKUP(IF($J140="Formación Técnica Específica",$B140&amp;"°"&amp;O$1&amp;"°"&amp;$B140&amp;O$1&amp;1&amp;$A140,$B140&amp;"°"&amp;O$1&amp;"°"&amp;$A140),[1]Hoja1!$A:$O,15,0))</f>
        <v>#N/A</v>
      </c>
      <c r="P140" s="48" t="str">
        <f>IF($J140="Formación Técnica Específica",VLOOKUP(IF($J140="Formación Técnica Específica",$B140&amp;"°"&amp;O$1&amp;"°"&amp;$B140&amp;O$1&amp;1&amp;$A140,$B140&amp;"°"&amp;O$1&amp;"°"&amp;$A140),[1]Hoja1!$A:$O,15,0)," ")</f>
        <v xml:space="preserve"> </v>
      </c>
      <c r="Q140" s="48" t="e">
        <f>IF($J140="Formación Técnica Específica",VLOOKUP(IF($J140="Formación Técnica Específica",$B140&amp;"°"&amp;Q$1&amp;"°"&amp;$B140&amp;Q$1&amp;1&amp;$A140,$B140&amp;"°"&amp;Q$1&amp;"°"&amp;$A140),[1]Hoja1!$A:$O,15,0),VLOOKUP(IF($J140="Formación Técnica Específica",$B140&amp;"°"&amp;Q$1&amp;"°"&amp;$B140&amp;Q$1&amp;1&amp;$A140,$B140&amp;"°"&amp;Q$1&amp;"°"&amp;$A140),[1]Hoja1!$A:$O,15,0))</f>
        <v>#N/A</v>
      </c>
      <c r="R140" s="48" t="str">
        <f>IF($J140="Formación Técnica Específica",VLOOKUP(IF($J140="Formación Técnica Específica",$B140&amp;"°"&amp;Q$1&amp;"°"&amp;$B140&amp;Q$1&amp;1&amp;$A140,$B140&amp;"°"&amp;Q$1&amp;"°"&amp;$A140),[1]Hoja1!$A:$O,15,0)," ")</f>
        <v xml:space="preserve"> </v>
      </c>
      <c r="S140" s="48" t="e">
        <f>IF($J140="Formación Técnica Específica",VLOOKUP(IF($J140="Formación Técnica Específica",$B140&amp;"°"&amp;S$1&amp;"°"&amp;$B140&amp;S$1&amp;1&amp;$A140,$B140&amp;"°"&amp;S$1&amp;"°"&amp;$A140),[1]Hoja1!$A:$O,15,0),VLOOKUP(IF($J140="Formación Técnica Específica",$B140&amp;"°"&amp;S$1&amp;"°"&amp;$B140&amp;S$1&amp;1&amp;$A140,$B140&amp;"°"&amp;S$1&amp;"°"&amp;$A140),[1]Hoja1!$A:$O,15,0))</f>
        <v>#N/A</v>
      </c>
      <c r="T140" s="48" t="str">
        <f>IF($J140="Formación Técnica Específica",VLOOKUP(IF($J140="Formación Técnica Específica",$B140&amp;"°"&amp;S$1&amp;"°"&amp;$B140&amp;S$1&amp;1&amp;$A140,$B140&amp;"°"&amp;S$1&amp;"°"&amp;$A140),[1]Hoja1!$A:$O,15,0)," ")</f>
        <v xml:space="preserve"> </v>
      </c>
      <c r="U140" s="48" t="e">
        <f>IF($J140="Formación Técnica Específica",VLOOKUP(IF($J140="Formación Técnica Específica",$B140&amp;"°"&amp;U$1&amp;"°"&amp;$B140&amp;U$1&amp;1&amp;$A140,$B140&amp;"°"&amp;U$1&amp;"°"&amp;$A140),[1]Hoja1!$A:$O,15,0),VLOOKUP(IF($J140="Formación Técnica Específica",$B140&amp;"°"&amp;U$1&amp;"°"&amp;$B140&amp;U$1&amp;1&amp;$A140,$B140&amp;"°"&amp;U$1&amp;"°"&amp;$A140),[1]Hoja1!$A:$O,15,0))</f>
        <v>#N/A</v>
      </c>
      <c r="V140" s="48" t="str">
        <f>IF($J140="Formación Técnica Específica",VLOOKUP(IF($J140="Formación Técnica Específica",$B140&amp;"°"&amp;U$1&amp;"°"&amp;$B140&amp;U$1&amp;1&amp;$A140,$B140&amp;"°"&amp;U$1&amp;"°"&amp;$A140),[1]Hoja1!$A:$O,15,0)," ")</f>
        <v xml:space="preserve"> </v>
      </c>
      <c r="W140" s="48" t="e">
        <f>IF($J140="Formación Técnica Específica",VLOOKUP(IF($J140="Formación Técnica Específica",$B140&amp;"°"&amp;W$1&amp;"°"&amp;$B140&amp;W$1&amp;1&amp;$A140,$B140&amp;"°"&amp;W$1&amp;"°"&amp;$A140),[1]Hoja1!$A:$O,15,0),VLOOKUP(IF($J140="Formación Técnica Específica",$B140&amp;"°"&amp;W$1&amp;"°"&amp;$B140&amp;W$1&amp;1&amp;$A140,$B140&amp;"°"&amp;W$1&amp;"°"&amp;$A140),[1]Hoja1!$A:$O,15,0))</f>
        <v>#N/A</v>
      </c>
      <c r="X140" s="49" t="str">
        <f>IF($J140="Formación Técnica Específica",VLOOKUP(IF($J140="Formación Técnica Específica",$B140&amp;"°"&amp;W$1&amp;"°"&amp;$B140&amp;W$1&amp;1&amp;$A140,$B140&amp;"°"&amp;W$1&amp;"°"&amp;$A140),[1]Hoja1!$A:$O,15,0)," ")</f>
        <v xml:space="preserve"> </v>
      </c>
    </row>
    <row r="141" spans="1:24" x14ac:dyDescent="0.25">
      <c r="A141" s="22" t="str">
        <f t="shared" si="13"/>
        <v>1PEMOD2</v>
      </c>
      <c r="B141" s="23">
        <v>1</v>
      </c>
      <c r="C141" s="23" t="s">
        <v>276</v>
      </c>
      <c r="D141" s="23" t="s">
        <v>282</v>
      </c>
      <c r="E141" s="22"/>
      <c r="F141" s="22">
        <v>2</v>
      </c>
      <c r="G141" s="22" t="s">
        <v>279</v>
      </c>
      <c r="H141" s="22"/>
      <c r="I141" s="22"/>
      <c r="J141" s="22"/>
      <c r="K141" s="23" t="s">
        <v>279</v>
      </c>
      <c r="L141" t="str">
        <f t="shared" si="10"/>
        <v>1°2</v>
      </c>
      <c r="M141" s="23"/>
      <c r="N141" s="63" t="str">
        <f t="shared" si="11"/>
        <v>1°2</v>
      </c>
    </row>
    <row r="142" spans="1:24" x14ac:dyDescent="0.25">
      <c r="A142" s="3" t="str">
        <f t="shared" si="13"/>
        <v>1PEMOD3</v>
      </c>
      <c r="B142" s="4">
        <v>1</v>
      </c>
      <c r="C142" s="4" t="s">
        <v>276</v>
      </c>
      <c r="D142" s="4" t="s">
        <v>282</v>
      </c>
      <c r="E142" s="3"/>
      <c r="F142" s="3">
        <v>3</v>
      </c>
      <c r="G142" s="3" t="s">
        <v>280</v>
      </c>
      <c r="H142" s="3"/>
      <c r="I142" s="3"/>
      <c r="J142" s="3"/>
      <c r="K142" s="4" t="s">
        <v>280</v>
      </c>
      <c r="L142" t="str">
        <f t="shared" si="10"/>
        <v>1°3</v>
      </c>
      <c r="M142" s="4"/>
      <c r="N142" s="63" t="str">
        <f t="shared" si="11"/>
        <v>1°3</v>
      </c>
    </row>
    <row r="143" spans="1:24" x14ac:dyDescent="0.25">
      <c r="A143" s="3" t="str">
        <f t="shared" si="13"/>
        <v>1PIMOD1</v>
      </c>
      <c r="B143" s="4">
        <v>1</v>
      </c>
      <c r="C143" s="4" t="s">
        <v>276</v>
      </c>
      <c r="D143" s="4" t="s">
        <v>277</v>
      </c>
      <c r="E143" s="3" t="s">
        <v>66</v>
      </c>
      <c r="F143" s="3">
        <v>1</v>
      </c>
      <c r="G143" s="3" t="s">
        <v>278</v>
      </c>
      <c r="H143" s="3"/>
      <c r="I143" s="3"/>
      <c r="J143" s="3"/>
      <c r="K143" s="4" t="s">
        <v>278</v>
      </c>
      <c r="L143" t="str">
        <f t="shared" si="10"/>
        <v>1°1</v>
      </c>
      <c r="M143" s="4"/>
      <c r="N143" s="63" t="str">
        <f t="shared" si="11"/>
        <v>1°1</v>
      </c>
    </row>
    <row r="144" spans="1:24" x14ac:dyDescent="0.25">
      <c r="A144" s="3" t="str">
        <f t="shared" si="13"/>
        <v>1PIMOD2</v>
      </c>
      <c r="B144" s="4">
        <v>1</v>
      </c>
      <c r="C144" s="4" t="s">
        <v>276</v>
      </c>
      <c r="D144" s="4" t="s">
        <v>277</v>
      </c>
      <c r="E144" s="3"/>
      <c r="F144" s="3">
        <v>2</v>
      </c>
      <c r="G144" s="3" t="s">
        <v>279</v>
      </c>
      <c r="H144" s="3"/>
      <c r="I144" s="3"/>
      <c r="J144" s="3"/>
      <c r="K144" s="4" t="s">
        <v>279</v>
      </c>
      <c r="L144" t="str">
        <f t="shared" si="10"/>
        <v>1°2</v>
      </c>
      <c r="M144" s="4"/>
      <c r="N144" s="63" t="str">
        <f t="shared" si="11"/>
        <v>1°2</v>
      </c>
    </row>
    <row r="145" spans="1:14" x14ac:dyDescent="0.25">
      <c r="A145" s="3" t="str">
        <f t="shared" si="13"/>
        <v>1PIMOD3</v>
      </c>
      <c r="B145" s="4">
        <v>1</v>
      </c>
      <c r="C145" s="4" t="s">
        <v>276</v>
      </c>
      <c r="D145" s="4" t="s">
        <v>277</v>
      </c>
      <c r="E145" s="3"/>
      <c r="F145" s="3">
        <v>3</v>
      </c>
      <c r="G145" s="3" t="s">
        <v>280</v>
      </c>
      <c r="H145" s="3"/>
      <c r="I145" s="3"/>
      <c r="J145" s="3"/>
      <c r="K145" s="4" t="s">
        <v>280</v>
      </c>
      <c r="L145" t="str">
        <f t="shared" si="10"/>
        <v>1°3</v>
      </c>
      <c r="M145" s="4"/>
      <c r="N145" s="63" t="str">
        <f t="shared" si="11"/>
        <v>1°3</v>
      </c>
    </row>
    <row r="146" spans="1:14" x14ac:dyDescent="0.25">
      <c r="A146" s="3"/>
      <c r="B146" s="4"/>
      <c r="C146" s="5"/>
      <c r="D146" s="4"/>
      <c r="E146" s="3"/>
      <c r="F146" s="3"/>
      <c r="G146" s="3"/>
      <c r="H146" s="3"/>
      <c r="I146" s="3"/>
      <c r="J146" s="3"/>
      <c r="K146" s="4"/>
      <c r="L146" t="str">
        <f t="shared" si="10"/>
        <v>°</v>
      </c>
      <c r="M146" s="4"/>
      <c r="N146" s="63" t="str">
        <f t="shared" si="11"/>
        <v>°</v>
      </c>
    </row>
    <row r="147" spans="1:14" x14ac:dyDescent="0.25">
      <c r="A147" s="3"/>
      <c r="B147" s="4"/>
      <c r="C147" s="5"/>
      <c r="D147" s="4"/>
      <c r="E147" s="3"/>
      <c r="F147" s="3"/>
      <c r="G147" s="3"/>
      <c r="H147" s="3"/>
      <c r="I147" s="3"/>
      <c r="J147" s="3"/>
      <c r="K147" s="4"/>
      <c r="L147" t="str">
        <f t="shared" si="10"/>
        <v>°</v>
      </c>
      <c r="M147" s="4"/>
      <c r="N147" s="18"/>
    </row>
    <row r="148" spans="1:14" x14ac:dyDescent="0.25">
      <c r="A148" s="3"/>
      <c r="B148" s="4"/>
      <c r="C148" s="5"/>
      <c r="D148" s="4"/>
      <c r="E148" s="3"/>
      <c r="F148" s="3"/>
      <c r="G148" s="3"/>
      <c r="H148" s="3"/>
      <c r="I148" s="3"/>
      <c r="J148" s="3"/>
      <c r="K148" s="4"/>
      <c r="L148" t="str">
        <f t="shared" si="10"/>
        <v>°</v>
      </c>
      <c r="M148" s="4"/>
      <c r="N148" s="18"/>
    </row>
    <row r="149" spans="1:14" x14ac:dyDescent="0.25">
      <c r="A149" s="3"/>
      <c r="B149" s="4"/>
      <c r="C149" s="5"/>
      <c r="D149" s="4"/>
      <c r="E149" s="3"/>
      <c r="F149" s="3"/>
      <c r="G149" s="3"/>
      <c r="H149" s="3"/>
      <c r="I149" s="3"/>
      <c r="J149" s="3"/>
      <c r="K149" s="4"/>
      <c r="L149" t="str">
        <f t="shared" si="10"/>
        <v>°</v>
      </c>
      <c r="M149" s="4"/>
      <c r="N149" s="18"/>
    </row>
    <row r="150" spans="1:14" x14ac:dyDescent="0.25">
      <c r="A150" s="3"/>
      <c r="B150" s="4"/>
      <c r="C150" s="5"/>
      <c r="D150" s="4"/>
      <c r="E150" s="3"/>
      <c r="F150" s="3"/>
      <c r="G150" s="3"/>
      <c r="H150" s="3"/>
      <c r="I150" s="3"/>
      <c r="J150" s="3"/>
      <c r="K150" s="4"/>
      <c r="L150" t="str">
        <f t="shared" si="10"/>
        <v>°</v>
      </c>
      <c r="M150" s="4"/>
      <c r="N150" s="18"/>
    </row>
    <row r="151" spans="1:14" x14ac:dyDescent="0.25">
      <c r="A151" s="3"/>
      <c r="B151" s="4"/>
      <c r="C151" s="5"/>
      <c r="D151" s="4"/>
      <c r="E151" s="3"/>
      <c r="F151" s="3"/>
      <c r="G151" s="3"/>
      <c r="H151" s="9"/>
      <c r="I151" s="3"/>
      <c r="J151" s="3"/>
      <c r="K151" s="4"/>
      <c r="L151" t="str">
        <f t="shared" si="10"/>
        <v>°</v>
      </c>
      <c r="M151" s="4"/>
      <c r="N151" s="18"/>
    </row>
    <row r="152" spans="1:14" x14ac:dyDescent="0.25">
      <c r="A152" s="9"/>
      <c r="B152" s="4"/>
      <c r="C152" s="5"/>
      <c r="D152" s="8"/>
      <c r="E152" s="9"/>
      <c r="F152" s="9"/>
      <c r="G152" s="9"/>
      <c r="H152" s="9"/>
      <c r="I152" s="9"/>
      <c r="J152" s="9"/>
      <c r="K152" s="8"/>
      <c r="L152" t="str">
        <f t="shared" si="10"/>
        <v>°</v>
      </c>
      <c r="M152" s="8"/>
      <c r="N152" s="64"/>
    </row>
    <row r="153" spans="1:14" x14ac:dyDescent="0.25">
      <c r="A153" s="9"/>
      <c r="B153" s="4"/>
      <c r="C153" s="5"/>
      <c r="D153" s="8"/>
      <c r="E153" s="9"/>
      <c r="F153" s="9"/>
      <c r="G153" s="9"/>
      <c r="H153" s="9"/>
      <c r="I153" s="9"/>
      <c r="J153" s="9"/>
      <c r="K153" s="8"/>
      <c r="L153" t="str">
        <f t="shared" si="10"/>
        <v>°</v>
      </c>
      <c r="M153" s="8"/>
      <c r="N153" s="64"/>
    </row>
    <row r="154" spans="1:14" x14ac:dyDescent="0.25">
      <c r="A154" s="9"/>
      <c r="B154" s="4"/>
      <c r="C154" s="5"/>
      <c r="D154" s="8"/>
      <c r="E154" s="9"/>
      <c r="F154" s="9"/>
      <c r="G154" s="9"/>
      <c r="H154" s="10"/>
      <c r="I154" s="9"/>
      <c r="J154" s="9"/>
      <c r="K154" s="8"/>
      <c r="L154" t="str">
        <f t="shared" si="10"/>
        <v>°</v>
      </c>
      <c r="M154" s="8"/>
      <c r="N154" s="64"/>
    </row>
    <row r="155" spans="1:14" x14ac:dyDescent="0.25">
      <c r="A155" s="10"/>
      <c r="B155" s="4"/>
      <c r="C155" s="5"/>
      <c r="D155" s="11"/>
      <c r="E155" s="10"/>
      <c r="F155" s="10"/>
      <c r="G155" s="10"/>
      <c r="H155" s="3"/>
      <c r="I155" s="10"/>
      <c r="J155" s="10"/>
      <c r="K155" s="11"/>
      <c r="L155" t="str">
        <f t="shared" si="10"/>
        <v>°</v>
      </c>
      <c r="M155" s="11"/>
      <c r="N155" s="65"/>
    </row>
    <row r="156" spans="1:14" x14ac:dyDescent="0.25">
      <c r="A156" s="3"/>
      <c r="B156" s="4"/>
      <c r="C156" s="5"/>
      <c r="D156" s="4"/>
      <c r="E156" s="3"/>
      <c r="F156" s="3"/>
      <c r="G156" s="3"/>
      <c r="H156" s="3"/>
      <c r="I156" s="3"/>
      <c r="J156" s="3"/>
      <c r="K156" s="4"/>
      <c r="L156" t="str">
        <f t="shared" si="10"/>
        <v>°</v>
      </c>
      <c r="M156" s="4"/>
      <c r="N156" s="18"/>
    </row>
    <row r="157" spans="1:14" x14ac:dyDescent="0.25">
      <c r="A157" s="3"/>
      <c r="B157" s="4"/>
      <c r="C157" s="5"/>
      <c r="D157" s="4"/>
      <c r="E157" s="3"/>
      <c r="F157" s="3"/>
      <c r="G157" s="3"/>
      <c r="H157" s="3"/>
      <c r="I157" s="3"/>
      <c r="J157" s="3"/>
      <c r="K157" s="4"/>
      <c r="L157" t="str">
        <f t="shared" si="10"/>
        <v>°</v>
      </c>
      <c r="M157" s="4"/>
      <c r="N157" s="18"/>
    </row>
    <row r="158" spans="1:14" x14ac:dyDescent="0.25">
      <c r="A158" s="3"/>
      <c r="B158" s="4"/>
      <c r="C158" s="5"/>
      <c r="D158" s="4"/>
      <c r="E158" s="3"/>
      <c r="F158" s="3"/>
      <c r="G158" s="3"/>
      <c r="H158" s="3"/>
      <c r="I158" s="3"/>
      <c r="J158" s="3"/>
      <c r="K158" s="4"/>
      <c r="L158" t="str">
        <f t="shared" si="10"/>
        <v>°</v>
      </c>
      <c r="M158" s="4"/>
      <c r="N158" s="18"/>
    </row>
    <row r="159" spans="1:14" x14ac:dyDescent="0.25">
      <c r="A159" s="3"/>
      <c r="B159" s="4"/>
      <c r="C159" s="5"/>
      <c r="D159" s="4"/>
      <c r="E159" s="3"/>
      <c r="F159" s="3"/>
      <c r="G159" s="3"/>
      <c r="H159" s="3"/>
      <c r="I159" s="3"/>
      <c r="J159" s="3"/>
      <c r="K159" s="4"/>
      <c r="L159" t="str">
        <f t="shared" si="10"/>
        <v>°</v>
      </c>
      <c r="M159" s="4"/>
      <c r="N159" s="18"/>
    </row>
    <row r="160" spans="1:14" x14ac:dyDescent="0.25">
      <c r="A160" s="3"/>
      <c r="B160" s="4"/>
      <c r="C160" s="5"/>
      <c r="D160" s="4"/>
      <c r="E160" s="3"/>
      <c r="F160" s="3"/>
      <c r="G160" s="3"/>
      <c r="H160" s="3"/>
      <c r="I160" s="3"/>
      <c r="J160" s="3"/>
      <c r="K160" s="4"/>
      <c r="L160" t="str">
        <f t="shared" si="10"/>
        <v>°</v>
      </c>
      <c r="M160" s="4"/>
      <c r="N160" s="18"/>
    </row>
    <row r="161" spans="1:14" x14ac:dyDescent="0.25">
      <c r="A161" s="3"/>
      <c r="B161" s="4"/>
      <c r="C161" s="5"/>
      <c r="D161" s="4"/>
      <c r="E161" s="3"/>
      <c r="F161" s="3"/>
      <c r="G161" s="3"/>
      <c r="H161" s="3"/>
      <c r="I161" s="3"/>
      <c r="J161" s="3"/>
      <c r="K161" s="4"/>
      <c r="L161" t="str">
        <f t="shared" si="10"/>
        <v>°</v>
      </c>
      <c r="M161" s="4"/>
      <c r="N161" s="18"/>
    </row>
    <row r="162" spans="1:14" x14ac:dyDescent="0.25">
      <c r="A162" s="3"/>
      <c r="B162" s="4"/>
      <c r="C162" s="5"/>
      <c r="D162" s="4"/>
      <c r="E162" s="3"/>
      <c r="F162" s="3"/>
      <c r="G162" s="3"/>
      <c r="H162" s="3"/>
      <c r="I162" s="3"/>
      <c r="J162" s="3"/>
      <c r="K162" s="4"/>
      <c r="L162" t="str">
        <f t="shared" si="10"/>
        <v>°</v>
      </c>
      <c r="M162" s="4"/>
      <c r="N162" s="18"/>
    </row>
    <row r="163" spans="1:14" x14ac:dyDescent="0.25">
      <c r="A163" s="3"/>
      <c r="B163" s="4"/>
      <c r="C163" s="5"/>
      <c r="D163" s="4"/>
      <c r="E163" s="3"/>
      <c r="F163" s="3"/>
      <c r="G163" s="3"/>
      <c r="H163" s="3"/>
      <c r="I163" s="3"/>
      <c r="J163" s="3"/>
      <c r="K163" s="4"/>
      <c r="L163" t="str">
        <f t="shared" si="10"/>
        <v>°</v>
      </c>
      <c r="M163" s="4"/>
      <c r="N163" s="18"/>
    </row>
    <row r="164" spans="1:14" x14ac:dyDescent="0.25">
      <c r="A164" s="3"/>
      <c r="B164" s="4"/>
      <c r="C164" s="5"/>
      <c r="D164" s="4"/>
      <c r="E164" s="3"/>
      <c r="F164" s="3"/>
      <c r="G164" s="3"/>
      <c r="H164" s="3"/>
      <c r="I164" s="3"/>
      <c r="J164" s="3"/>
      <c r="K164" s="4"/>
      <c r="L164" t="str">
        <f t="shared" si="10"/>
        <v>°</v>
      </c>
      <c r="M164" s="4"/>
      <c r="N164" s="18"/>
    </row>
    <row r="165" spans="1:14" x14ac:dyDescent="0.25">
      <c r="A165" s="3"/>
      <c r="B165" s="4"/>
      <c r="C165" s="5"/>
      <c r="D165" s="4"/>
      <c r="E165" s="3"/>
      <c r="F165" s="3"/>
      <c r="G165" s="3"/>
      <c r="H165" s="9"/>
      <c r="I165" s="3"/>
      <c r="J165" s="3"/>
      <c r="K165" s="4"/>
      <c r="L165" t="str">
        <f t="shared" si="10"/>
        <v>°</v>
      </c>
      <c r="M165" s="4"/>
      <c r="N165" s="18"/>
    </row>
    <row r="166" spans="1:14" x14ac:dyDescent="0.25">
      <c r="A166" s="9"/>
      <c r="B166" s="4"/>
      <c r="C166" s="5"/>
      <c r="D166" s="8"/>
      <c r="E166" s="9"/>
      <c r="F166" s="9"/>
      <c r="G166" s="9"/>
      <c r="H166" s="9"/>
      <c r="I166" s="9"/>
      <c r="J166" s="9"/>
      <c r="K166" s="12"/>
      <c r="L166" t="str">
        <f t="shared" si="10"/>
        <v>°</v>
      </c>
      <c r="M166" s="12"/>
      <c r="N166" s="66"/>
    </row>
    <row r="167" spans="1:14" x14ac:dyDescent="0.25">
      <c r="A167" s="9"/>
      <c r="B167" s="4"/>
      <c r="C167" s="5"/>
      <c r="D167" s="8"/>
      <c r="E167" s="9"/>
      <c r="F167" s="9"/>
      <c r="G167" s="9"/>
      <c r="H167" s="10"/>
      <c r="I167" s="9"/>
      <c r="J167" s="9"/>
      <c r="K167" s="12"/>
      <c r="L167" t="str">
        <f t="shared" si="10"/>
        <v>°</v>
      </c>
      <c r="M167" s="12"/>
      <c r="N167" s="66"/>
    </row>
    <row r="168" spans="1:14" x14ac:dyDescent="0.25">
      <c r="A168" s="10"/>
      <c r="B168" s="4"/>
      <c r="C168" s="5"/>
      <c r="D168" s="11"/>
      <c r="E168" s="10"/>
      <c r="F168" s="10"/>
      <c r="G168" s="10"/>
      <c r="H168" s="3"/>
      <c r="I168" s="10"/>
      <c r="J168" s="10"/>
      <c r="K168" s="11"/>
      <c r="L168" t="str">
        <f t="shared" si="10"/>
        <v>°</v>
      </c>
      <c r="M168" s="11"/>
      <c r="N168" s="65"/>
    </row>
    <row r="169" spans="1:14" x14ac:dyDescent="0.25">
      <c r="A169" s="3"/>
      <c r="B169" s="13"/>
      <c r="C169" s="5"/>
      <c r="D169" s="13"/>
      <c r="E169" s="16"/>
      <c r="F169" s="3"/>
      <c r="G169" s="3"/>
      <c r="H169" s="3"/>
      <c r="I169" s="3"/>
      <c r="J169" s="3"/>
      <c r="K169" s="4"/>
      <c r="L169" t="str">
        <f t="shared" si="10"/>
        <v>°</v>
      </c>
      <c r="M169" s="4"/>
      <c r="N169" s="18"/>
    </row>
    <row r="170" spans="1:14" x14ac:dyDescent="0.25">
      <c r="A170" s="3"/>
      <c r="B170" s="13"/>
      <c r="C170" s="5"/>
      <c r="D170" s="13"/>
      <c r="E170" s="16"/>
      <c r="F170" s="3"/>
      <c r="G170" s="3"/>
      <c r="H170" s="3"/>
      <c r="I170" s="3"/>
      <c r="J170" s="3"/>
      <c r="K170" s="4"/>
      <c r="L170" t="str">
        <f t="shared" si="10"/>
        <v>°</v>
      </c>
      <c r="M170" s="4"/>
      <c r="N170" s="18"/>
    </row>
    <row r="171" spans="1:14" x14ac:dyDescent="0.25">
      <c r="A171" s="3"/>
      <c r="B171" s="13"/>
      <c r="C171" s="5"/>
      <c r="D171" s="13"/>
      <c r="E171" s="16"/>
      <c r="F171" s="3"/>
      <c r="G171" s="3"/>
      <c r="H171" s="3"/>
      <c r="I171" s="3"/>
      <c r="J171" s="3"/>
      <c r="K171" s="4"/>
      <c r="L171" t="str">
        <f t="shared" si="10"/>
        <v>°</v>
      </c>
      <c r="M171" s="4"/>
      <c r="N171" s="18"/>
    </row>
    <row r="172" spans="1:14" x14ac:dyDescent="0.25">
      <c r="A172" s="3"/>
      <c r="B172" s="13"/>
      <c r="C172" s="5"/>
      <c r="D172" s="13"/>
      <c r="E172" s="16"/>
      <c r="F172" s="3"/>
      <c r="G172" s="3"/>
      <c r="H172" s="3"/>
      <c r="I172" s="3"/>
      <c r="J172" s="3"/>
      <c r="K172" s="4"/>
      <c r="L172" t="str">
        <f t="shared" si="10"/>
        <v>°</v>
      </c>
      <c r="M172" s="4"/>
      <c r="N172" s="18"/>
    </row>
    <row r="173" spans="1:14" x14ac:dyDescent="0.25">
      <c r="A173" s="3"/>
      <c r="B173" s="13"/>
      <c r="C173" s="5"/>
      <c r="D173" s="13"/>
      <c r="E173" s="16"/>
      <c r="F173" s="3"/>
      <c r="G173" s="3"/>
      <c r="H173" s="3"/>
      <c r="I173" s="3"/>
      <c r="J173" s="3"/>
      <c r="K173" s="4"/>
      <c r="L173" t="str">
        <f t="shared" si="10"/>
        <v>°</v>
      </c>
      <c r="M173" s="4"/>
      <c r="N173" s="18"/>
    </row>
    <row r="174" spans="1:14" x14ac:dyDescent="0.25">
      <c r="A174" s="3"/>
      <c r="B174" s="13"/>
      <c r="C174" s="5"/>
      <c r="D174" s="13"/>
      <c r="E174" s="16"/>
      <c r="F174" s="3"/>
      <c r="G174" s="3"/>
      <c r="H174" s="3"/>
      <c r="I174" s="3"/>
      <c r="J174" s="3"/>
      <c r="K174" s="4"/>
      <c r="L174" t="str">
        <f t="shared" si="10"/>
        <v>°</v>
      </c>
      <c r="M174" s="4"/>
      <c r="N174" s="18"/>
    </row>
    <row r="175" spans="1:14" x14ac:dyDescent="0.25">
      <c r="A175" s="3"/>
      <c r="B175" s="13"/>
      <c r="C175" s="5"/>
      <c r="D175" s="13"/>
      <c r="E175" s="16"/>
      <c r="F175" s="3"/>
      <c r="G175" s="3"/>
      <c r="H175" s="3"/>
      <c r="I175" s="3"/>
      <c r="J175" s="3"/>
      <c r="K175" s="4"/>
      <c r="L175" t="str">
        <f t="shared" si="10"/>
        <v>°</v>
      </c>
      <c r="M175" s="4"/>
      <c r="N175" s="18"/>
    </row>
    <row r="176" spans="1:14" x14ac:dyDescent="0.25">
      <c r="A176" s="3"/>
      <c r="B176" s="13"/>
      <c r="C176" s="5"/>
      <c r="D176" s="13"/>
      <c r="E176" s="16"/>
      <c r="F176" s="3"/>
      <c r="G176" s="3"/>
      <c r="H176" s="3"/>
      <c r="I176" s="3"/>
      <c r="J176" s="3"/>
      <c r="K176" s="4"/>
      <c r="L176" t="str">
        <f t="shared" si="10"/>
        <v>°</v>
      </c>
      <c r="M176" s="4"/>
      <c r="N176" s="18"/>
    </row>
    <row r="177" spans="1:14" x14ac:dyDescent="0.25">
      <c r="A177" s="3"/>
      <c r="B177" s="13"/>
      <c r="C177" s="5"/>
      <c r="D177" s="13"/>
      <c r="E177" s="16"/>
      <c r="F177" s="3"/>
      <c r="G177" s="3"/>
      <c r="H177" s="3"/>
      <c r="I177" s="3"/>
      <c r="J177" s="3"/>
      <c r="K177" s="4"/>
      <c r="L177" t="str">
        <f t="shared" si="10"/>
        <v>°</v>
      </c>
      <c r="M177" s="4"/>
      <c r="N177" s="18"/>
    </row>
    <row r="178" spans="1:14" x14ac:dyDescent="0.25">
      <c r="A178" s="3"/>
      <c r="B178" s="13"/>
      <c r="C178" s="5"/>
      <c r="D178" s="13"/>
      <c r="E178" s="16"/>
      <c r="F178" s="3"/>
      <c r="G178" s="3"/>
      <c r="H178" s="3"/>
      <c r="I178" s="3"/>
      <c r="J178" s="3"/>
      <c r="K178" s="4"/>
      <c r="L178" t="str">
        <f t="shared" si="10"/>
        <v>°</v>
      </c>
      <c r="M178" s="4"/>
      <c r="N178" s="18"/>
    </row>
    <row r="179" spans="1:14" x14ac:dyDescent="0.25">
      <c r="A179" s="3"/>
      <c r="B179" s="13"/>
      <c r="C179" s="5"/>
      <c r="D179" s="13"/>
      <c r="E179" s="16"/>
      <c r="F179" s="3"/>
      <c r="G179" s="3"/>
      <c r="H179" s="10"/>
      <c r="I179" s="3"/>
      <c r="J179" s="3"/>
      <c r="K179" s="4"/>
      <c r="L179" t="str">
        <f t="shared" si="10"/>
        <v>°</v>
      </c>
      <c r="M179" s="4"/>
      <c r="N179" s="18"/>
    </row>
    <row r="180" spans="1:14" x14ac:dyDescent="0.25">
      <c r="A180" s="10"/>
      <c r="B180" s="13"/>
      <c r="C180" s="5"/>
      <c r="D180" s="11"/>
      <c r="E180" s="10"/>
      <c r="F180" s="10"/>
      <c r="G180" s="10"/>
      <c r="H180" s="10"/>
      <c r="I180" s="10"/>
      <c r="J180" s="10"/>
      <c r="K180" s="14"/>
      <c r="L180" t="str">
        <f t="shared" si="10"/>
        <v>°</v>
      </c>
      <c r="M180" s="14"/>
      <c r="N180" s="67"/>
    </row>
    <row r="181" spans="1:14" x14ac:dyDescent="0.25">
      <c r="A181" s="10"/>
      <c r="B181" s="13"/>
      <c r="C181" s="5"/>
      <c r="D181" s="11"/>
      <c r="E181" s="10"/>
      <c r="F181" s="10"/>
      <c r="G181" s="10"/>
      <c r="H181" s="10"/>
      <c r="I181" s="10"/>
      <c r="J181" s="10"/>
      <c r="K181" s="14"/>
      <c r="L181" t="str">
        <f t="shared" si="10"/>
        <v>°</v>
      </c>
      <c r="M181" s="14"/>
      <c r="N181" s="67"/>
    </row>
    <row r="182" spans="1:14" x14ac:dyDescent="0.25">
      <c r="A182" s="10"/>
      <c r="B182" s="13"/>
      <c r="C182" s="5"/>
      <c r="D182" s="11"/>
      <c r="E182" s="10"/>
      <c r="F182" s="10"/>
      <c r="G182" s="10"/>
      <c r="I182" s="10"/>
      <c r="J182" s="10"/>
      <c r="K182" s="14"/>
      <c r="L182" t="str">
        <f t="shared" si="10"/>
        <v>°</v>
      </c>
      <c r="M182" s="14"/>
      <c r="N182" s="67"/>
    </row>
  </sheetData>
  <autoFilter ref="A1:AJ182"/>
  <conditionalFormatting sqref="O2:P13">
    <cfRule type="expression" dxfId="3" priority="4">
      <formula>ISERROR(O2)</formula>
    </cfRule>
  </conditionalFormatting>
  <conditionalFormatting sqref="O140:X140 O14:P139">
    <cfRule type="expression" dxfId="2" priority="3">
      <formula>ISERROR(O14)</formula>
    </cfRule>
  </conditionalFormatting>
  <conditionalFormatting sqref="Q2:X13">
    <cfRule type="expression" dxfId="1" priority="2">
      <formula>ISERROR(Q2)</formula>
    </cfRule>
  </conditionalFormatting>
  <conditionalFormatting sqref="Q14:X139">
    <cfRule type="expression" dxfId="0" priority="1">
      <formula>ISERROR(Q14)</formula>
    </cfRule>
  </conditionalFormatting>
  <pageMargins left="0.43307086614173229" right="0.23622047244094491" top="0.74803149606299213" bottom="0.74803149606299213" header="0.31496062992125984" footer="0.31496062992125984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A13" workbookViewId="0">
      <selection activeCell="B24" sqref="A23:B24"/>
    </sheetView>
  </sheetViews>
  <sheetFormatPr baseColWidth="10" defaultRowHeight="15" x14ac:dyDescent="0.25"/>
  <cols>
    <col min="1" max="9" width="22.5703125" customWidth="1"/>
  </cols>
  <sheetData>
    <row r="1" spans="1:7" s="60" customFormat="1" ht="27.75" customHeight="1" x14ac:dyDescent="0.25">
      <c r="A1" s="61"/>
      <c r="B1" s="61"/>
      <c r="C1" s="61"/>
      <c r="D1" s="61"/>
      <c r="E1" s="61"/>
      <c r="F1" s="61"/>
      <c r="G1" s="61"/>
    </row>
    <row r="2" spans="1:7" s="60" customFormat="1" ht="27.75" customHeight="1" x14ac:dyDescent="0.25">
      <c r="A2" s="59" t="s">
        <v>76</v>
      </c>
      <c r="B2" s="59" t="s">
        <v>170</v>
      </c>
      <c r="C2" s="59" t="s">
        <v>172</v>
      </c>
      <c r="D2" s="59" t="s">
        <v>140</v>
      </c>
      <c r="E2" s="59" t="s">
        <v>51</v>
      </c>
      <c r="F2" s="59" t="s">
        <v>48</v>
      </c>
      <c r="G2" s="59" t="s">
        <v>147</v>
      </c>
    </row>
    <row r="3" spans="1:7" s="60" customFormat="1" ht="27.75" customHeight="1" x14ac:dyDescent="0.25">
      <c r="A3" s="61"/>
      <c r="B3" s="61"/>
      <c r="C3" s="61"/>
      <c r="D3" s="61"/>
      <c r="E3" s="61"/>
      <c r="F3" s="61"/>
      <c r="G3" s="61"/>
    </row>
    <row r="4" spans="1:7" s="60" customFormat="1" ht="27.75" customHeight="1" x14ac:dyDescent="0.25">
      <c r="A4" s="59" t="s">
        <v>76</v>
      </c>
      <c r="B4" s="59" t="s">
        <v>170</v>
      </c>
      <c r="C4" s="59" t="s">
        <v>172</v>
      </c>
      <c r="D4" s="59" t="s">
        <v>199</v>
      </c>
      <c r="E4" s="59" t="s">
        <v>200</v>
      </c>
      <c r="F4" s="59" t="s">
        <v>204</v>
      </c>
      <c r="G4" s="59" t="s">
        <v>214</v>
      </c>
    </row>
    <row r="6" spans="1:7" s="60" customFormat="1" ht="27.75" customHeight="1" x14ac:dyDescent="0.25">
      <c r="A6" s="59"/>
      <c r="B6" s="59"/>
      <c r="C6" s="59"/>
      <c r="D6" s="59"/>
      <c r="E6" s="59"/>
      <c r="F6" s="59"/>
      <c r="G6" s="59"/>
    </row>
    <row r="7" spans="1:7" s="60" customFormat="1" ht="27.75" customHeight="1" x14ac:dyDescent="0.25">
      <c r="A7" s="59" t="s">
        <v>94</v>
      </c>
      <c r="B7" s="59" t="s">
        <v>98</v>
      </c>
      <c r="C7" s="59" t="s">
        <v>102</v>
      </c>
      <c r="D7" s="59" t="s">
        <v>106</v>
      </c>
      <c r="E7" s="59" t="s">
        <v>110</v>
      </c>
      <c r="F7" s="59" t="s">
        <v>300</v>
      </c>
      <c r="G7" s="59"/>
    </row>
    <row r="8" spans="1:7" s="60" customFormat="1" ht="27.75" customHeight="1" x14ac:dyDescent="0.25">
      <c r="A8" s="59"/>
      <c r="B8" s="59"/>
      <c r="C8" s="59"/>
      <c r="D8" s="59"/>
      <c r="E8" s="59"/>
      <c r="F8" s="59"/>
      <c r="G8" s="59"/>
    </row>
    <row r="9" spans="1:7" s="60" customFormat="1" ht="32.25" customHeight="1" x14ac:dyDescent="0.25">
      <c r="A9" s="59" t="s">
        <v>123</v>
      </c>
      <c r="B9" s="59" t="s">
        <v>94</v>
      </c>
      <c r="C9" s="59" t="s">
        <v>287</v>
      </c>
      <c r="D9" s="59" t="s">
        <v>194</v>
      </c>
      <c r="E9" s="59" t="s">
        <v>235</v>
      </c>
      <c r="F9" s="59" t="s">
        <v>301</v>
      </c>
      <c r="G9" s="59"/>
    </row>
    <row r="10" spans="1:7" s="60" customFormat="1" ht="32.25" customHeight="1" x14ac:dyDescent="0.25">
      <c r="A10" s="59"/>
      <c r="B10" s="59"/>
      <c r="C10" s="59"/>
      <c r="D10" s="59"/>
      <c r="E10" s="59"/>
      <c r="F10" s="59"/>
      <c r="G10" s="59"/>
    </row>
    <row r="11" spans="1:7" s="60" customFormat="1" ht="32.25" customHeight="1" x14ac:dyDescent="0.25">
      <c r="A11" s="59" t="s">
        <v>151</v>
      </c>
      <c r="B11" s="59" t="s">
        <v>155</v>
      </c>
      <c r="C11" s="59" t="s">
        <v>158</v>
      </c>
      <c r="D11" s="59" t="s">
        <v>161</v>
      </c>
      <c r="E11" s="59" t="s">
        <v>164</v>
      </c>
      <c r="F11" s="59" t="s">
        <v>167</v>
      </c>
      <c r="G11" s="59" t="s">
        <v>302</v>
      </c>
    </row>
    <row r="12" spans="1:7" s="60" customFormat="1" ht="32.25" customHeight="1" x14ac:dyDescent="0.25">
      <c r="A12" s="59"/>
      <c r="B12" s="59"/>
      <c r="C12" s="59"/>
      <c r="D12" s="59"/>
      <c r="E12" s="59"/>
      <c r="F12" s="59"/>
      <c r="G12" s="59"/>
    </row>
    <row r="13" spans="1:7" s="60" customFormat="1" ht="32.25" customHeight="1" x14ac:dyDescent="0.25">
      <c r="A13" s="59" t="s">
        <v>181</v>
      </c>
      <c r="B13" s="59" t="s">
        <v>185</v>
      </c>
      <c r="C13" s="59" t="s">
        <v>189</v>
      </c>
      <c r="D13" s="59" t="s">
        <v>287</v>
      </c>
      <c r="E13" s="59" t="s">
        <v>194</v>
      </c>
      <c r="F13" s="59" t="s">
        <v>235</v>
      </c>
      <c r="G13" s="59" t="s">
        <v>303</v>
      </c>
    </row>
    <row r="14" spans="1:7" s="60" customFormat="1" ht="32.25" customHeight="1" x14ac:dyDescent="0.25">
      <c r="A14" s="59"/>
      <c r="B14" s="59"/>
      <c r="C14" s="59"/>
      <c r="D14" s="59"/>
      <c r="E14" s="59"/>
      <c r="F14" s="59"/>
      <c r="G14" s="59"/>
    </row>
    <row r="15" spans="1:7" s="60" customFormat="1" ht="32.25" customHeight="1" x14ac:dyDescent="0.25">
      <c r="A15" s="59" t="s">
        <v>208</v>
      </c>
      <c r="B15" s="59" t="s">
        <v>211</v>
      </c>
      <c r="C15" s="59" t="s">
        <v>158</v>
      </c>
      <c r="D15" s="59" t="s">
        <v>217</v>
      </c>
      <c r="E15" s="59" t="s">
        <v>219</v>
      </c>
      <c r="F15" s="59" t="s">
        <v>167</v>
      </c>
      <c r="G15" s="59" t="s">
        <v>304</v>
      </c>
    </row>
    <row r="16" spans="1:7" s="60" customFormat="1" ht="32.25" customHeight="1" x14ac:dyDescent="0.25">
      <c r="A16" s="59"/>
      <c r="B16" s="59"/>
      <c r="C16" s="59"/>
      <c r="D16" s="59"/>
      <c r="E16" s="59"/>
      <c r="F16" s="59"/>
      <c r="G16" s="59"/>
    </row>
    <row r="17" spans="1:8" s="60" customFormat="1" ht="32.25" customHeight="1" x14ac:dyDescent="0.25">
      <c r="A17" s="59" t="s">
        <v>223</v>
      </c>
      <c r="B17" s="59" t="s">
        <v>226</v>
      </c>
      <c r="C17" s="59" t="s">
        <v>229</v>
      </c>
      <c r="D17" s="59" t="s">
        <v>185</v>
      </c>
      <c r="E17" s="59" t="s">
        <v>275</v>
      </c>
      <c r="F17" s="59" t="s">
        <v>233</v>
      </c>
      <c r="G17" s="59" t="s">
        <v>235</v>
      </c>
      <c r="H17" s="60" t="s">
        <v>305</v>
      </c>
    </row>
    <row r="19" spans="1:8" s="60" customFormat="1" ht="32.25" customHeight="1" x14ac:dyDescent="0.25">
      <c r="A19" s="59"/>
      <c r="B19" s="59"/>
      <c r="C19" s="59"/>
      <c r="D19" s="59"/>
      <c r="E19" s="59"/>
      <c r="F19" s="59"/>
      <c r="G19" s="59"/>
    </row>
    <row r="20" spans="1:8" s="60" customFormat="1" ht="32.25" customHeight="1" x14ac:dyDescent="0.25">
      <c r="A20" s="59" t="s">
        <v>240</v>
      </c>
      <c r="B20" s="59" t="s">
        <v>243</v>
      </c>
      <c r="C20" s="59" t="s">
        <v>246</v>
      </c>
      <c r="D20" s="59" t="s">
        <v>249</v>
      </c>
      <c r="E20" s="59" t="s">
        <v>252</v>
      </c>
      <c r="F20" s="59" t="s">
        <v>255</v>
      </c>
      <c r="G20" s="59" t="s">
        <v>258</v>
      </c>
      <c r="H20" s="60" t="s">
        <v>306</v>
      </c>
    </row>
    <row r="21" spans="1:8" s="60" customFormat="1" ht="32.25" customHeight="1" x14ac:dyDescent="0.25">
      <c r="A21" s="59"/>
      <c r="B21" s="59"/>
      <c r="C21" s="59"/>
      <c r="D21" s="59"/>
      <c r="E21" s="59"/>
      <c r="F21" s="59"/>
      <c r="G21" s="59"/>
    </row>
    <row r="22" spans="1:8" s="60" customFormat="1" ht="32.25" customHeight="1" x14ac:dyDescent="0.25">
      <c r="A22" s="59" t="s">
        <v>240</v>
      </c>
      <c r="B22" s="59" t="s">
        <v>261</v>
      </c>
      <c r="C22" s="59" t="s">
        <v>263</v>
      </c>
      <c r="D22" s="59" t="s">
        <v>265</v>
      </c>
      <c r="E22" s="59" t="s">
        <v>268</v>
      </c>
      <c r="F22" s="59" t="s">
        <v>271</v>
      </c>
      <c r="G22" s="59" t="s">
        <v>274</v>
      </c>
      <c r="H22" s="60" t="s">
        <v>307</v>
      </c>
    </row>
    <row r="23" spans="1:8" s="60" customFormat="1" ht="32.25" customHeight="1" x14ac:dyDescent="0.25">
      <c r="A23" s="59"/>
      <c r="B23" s="59"/>
      <c r="C23" s="59"/>
      <c r="D23" s="59"/>
      <c r="E23" s="59"/>
      <c r="F23" s="59"/>
      <c r="G23" s="59"/>
    </row>
    <row r="24" spans="1:8" s="60" customFormat="1" ht="32.25" customHeight="1" x14ac:dyDescent="0.25">
      <c r="A24" s="59" t="s">
        <v>277</v>
      </c>
      <c r="B24" s="59" t="s">
        <v>282</v>
      </c>
      <c r="C24" s="59"/>
      <c r="D24" s="59"/>
      <c r="E24" s="59"/>
      <c r="F24" s="59"/>
      <c r="G24" s="5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lab desarrollo</cp:lastModifiedBy>
  <cp:lastPrinted>2025-06-04T22:29:27Z</cp:lastPrinted>
  <dcterms:created xsi:type="dcterms:W3CDTF">2022-02-22T13:22:18Z</dcterms:created>
  <dcterms:modified xsi:type="dcterms:W3CDTF">2026-05-13T22:47:19Z</dcterms:modified>
</cp:coreProperties>
</file>