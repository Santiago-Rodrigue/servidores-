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1685" windowHeight="6450"/>
  </bookViews>
  <sheets>
    <sheet name="Hoja1" sheetId="1" r:id="rId1"/>
    <sheet name="DETALLE BAJA" sheetId="2" r:id="rId2"/>
    <sheet name="RECLAMO DIGE" sheetId="3" r:id="rId3"/>
    <sheet name="Hoja2" sheetId="4" r:id="rId4"/>
  </sheets>
  <externalReferences>
    <externalReference r:id="rId5"/>
    <externalReference r:id="rId6"/>
    <externalReference r:id="rId7"/>
  </externalReferences>
  <definedNames>
    <definedName name="_xlnm._FilterDatabase" localSheetId="0" hidden="1">Hoja1!$A$1:$T$493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93" i="1" l="1"/>
  <c r="S493" i="1" s="1"/>
  <c r="F493" i="1"/>
  <c r="A493" i="1"/>
  <c r="F46" i="1" l="1"/>
  <c r="A413" i="1" l="1"/>
  <c r="A414" i="1"/>
  <c r="A415" i="1"/>
  <c r="A421" i="1"/>
  <c r="A420" i="1"/>
  <c r="A419" i="1"/>
  <c r="A418" i="1"/>
  <c r="A417" i="1"/>
  <c r="A416" i="1"/>
  <c r="A422" i="1"/>
  <c r="A406" i="1"/>
  <c r="A407" i="1"/>
  <c r="A408" i="1"/>
  <c r="A409" i="1"/>
  <c r="A410" i="1"/>
  <c r="A411" i="1"/>
  <c r="A412" i="1"/>
  <c r="F2" i="1" l="1"/>
  <c r="F492" i="1" l="1"/>
  <c r="F491" i="1"/>
  <c r="F490" i="1"/>
  <c r="F489" i="1"/>
  <c r="F488" i="1"/>
  <c r="F487" i="1"/>
  <c r="F486" i="1"/>
  <c r="F485" i="1"/>
  <c r="F484" i="1"/>
  <c r="F483" i="1"/>
  <c r="F482" i="1"/>
  <c r="F481" i="1"/>
  <c r="A489" i="1"/>
  <c r="A485" i="1"/>
  <c r="A492" i="1"/>
  <c r="A491" i="1"/>
  <c r="A490" i="1"/>
  <c r="A488" i="1"/>
  <c r="A487" i="1"/>
  <c r="A486" i="1"/>
  <c r="A484" i="1"/>
  <c r="A483" i="1"/>
  <c r="A482" i="1"/>
  <c r="A481" i="1"/>
  <c r="I12" i="3" l="1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  <c r="S480" i="1"/>
  <c r="F480" i="1"/>
  <c r="A480" i="1"/>
  <c r="S479" i="1"/>
  <c r="F479" i="1"/>
  <c r="A479" i="1"/>
  <c r="S478" i="1"/>
  <c r="F478" i="1"/>
  <c r="A478" i="1"/>
  <c r="S477" i="1"/>
  <c r="F477" i="1"/>
  <c r="A477" i="1"/>
  <c r="S476" i="1"/>
  <c r="F476" i="1"/>
  <c r="A476" i="1"/>
  <c r="S475" i="1"/>
  <c r="F475" i="1"/>
  <c r="A475" i="1"/>
  <c r="S474" i="1"/>
  <c r="F474" i="1"/>
  <c r="A474" i="1"/>
  <c r="S473" i="1"/>
  <c r="F473" i="1"/>
  <c r="A473" i="1"/>
  <c r="S472" i="1"/>
  <c r="F472" i="1"/>
  <c r="A472" i="1"/>
  <c r="S471" i="1"/>
  <c r="F471" i="1"/>
  <c r="A471" i="1"/>
  <c r="S470" i="1"/>
  <c r="F470" i="1"/>
  <c r="A470" i="1"/>
  <c r="S469" i="1"/>
  <c r="F469" i="1"/>
  <c r="A469" i="1"/>
  <c r="S468" i="1"/>
  <c r="F468" i="1"/>
  <c r="A468" i="1"/>
  <c r="S467" i="1"/>
  <c r="F467" i="1"/>
  <c r="A467" i="1"/>
  <c r="S466" i="1"/>
  <c r="F466" i="1"/>
  <c r="A466" i="1"/>
  <c r="S465" i="1"/>
  <c r="F465" i="1"/>
  <c r="A465" i="1"/>
  <c r="S464" i="1"/>
  <c r="F464" i="1"/>
  <c r="A464" i="1"/>
  <c r="S463" i="1"/>
  <c r="F463" i="1"/>
  <c r="A463" i="1"/>
  <c r="F462" i="1"/>
  <c r="A462" i="1"/>
  <c r="F461" i="1"/>
  <c r="A461" i="1"/>
  <c r="F460" i="1"/>
  <c r="A460" i="1"/>
  <c r="F459" i="1"/>
  <c r="A459" i="1"/>
  <c r="F458" i="1"/>
  <c r="A458" i="1"/>
  <c r="F457" i="1"/>
  <c r="A457" i="1"/>
  <c r="F456" i="1"/>
  <c r="A456" i="1"/>
  <c r="F455" i="1"/>
  <c r="A455" i="1"/>
  <c r="F454" i="1"/>
  <c r="A454" i="1"/>
  <c r="F453" i="1"/>
  <c r="A453" i="1"/>
  <c r="R452" i="1"/>
  <c r="S452" i="1" s="1"/>
  <c r="F452" i="1"/>
  <c r="A452" i="1"/>
  <c r="F451" i="1"/>
  <c r="A451" i="1"/>
  <c r="F450" i="1"/>
  <c r="A450" i="1"/>
  <c r="F449" i="1"/>
  <c r="A449" i="1"/>
  <c r="F448" i="1"/>
  <c r="A448" i="1"/>
  <c r="F447" i="1"/>
  <c r="A447" i="1"/>
  <c r="F446" i="1"/>
  <c r="A446" i="1"/>
  <c r="F445" i="1"/>
  <c r="A445" i="1"/>
  <c r="F444" i="1"/>
  <c r="A444" i="1"/>
  <c r="F443" i="1"/>
  <c r="A443" i="1"/>
  <c r="F442" i="1"/>
  <c r="A442" i="1"/>
  <c r="R441" i="1"/>
  <c r="R442" i="1" s="1"/>
  <c r="S442" i="1" s="1"/>
  <c r="F441" i="1"/>
  <c r="A441" i="1"/>
  <c r="F440" i="1"/>
  <c r="A440" i="1"/>
  <c r="F439" i="1"/>
  <c r="A439" i="1"/>
  <c r="F438" i="1"/>
  <c r="A438" i="1"/>
  <c r="F437" i="1"/>
  <c r="A437" i="1"/>
  <c r="F436" i="1"/>
  <c r="A436" i="1"/>
  <c r="F435" i="1"/>
  <c r="A435" i="1"/>
  <c r="F434" i="1"/>
  <c r="A434" i="1"/>
  <c r="F433" i="1"/>
  <c r="A433" i="1"/>
  <c r="F432" i="1"/>
  <c r="A432" i="1"/>
  <c r="F431" i="1"/>
  <c r="A431" i="1"/>
  <c r="F430" i="1"/>
  <c r="A430" i="1"/>
  <c r="F429" i="1"/>
  <c r="A429" i="1"/>
  <c r="F428" i="1"/>
  <c r="A428" i="1"/>
  <c r="F427" i="1"/>
  <c r="A427" i="1"/>
  <c r="F426" i="1"/>
  <c r="A426" i="1"/>
  <c r="F425" i="1"/>
  <c r="A425" i="1"/>
  <c r="F424" i="1"/>
  <c r="A424" i="1"/>
  <c r="R423" i="1"/>
  <c r="F423" i="1"/>
  <c r="A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R405" i="1"/>
  <c r="S405" i="1" s="1"/>
  <c r="F405" i="1"/>
  <c r="A405" i="1"/>
  <c r="F404" i="1"/>
  <c r="A404" i="1"/>
  <c r="F403" i="1"/>
  <c r="A403" i="1"/>
  <c r="F402" i="1"/>
  <c r="A402" i="1"/>
  <c r="F401" i="1"/>
  <c r="A401" i="1"/>
  <c r="F400" i="1"/>
  <c r="A400" i="1"/>
  <c r="F399" i="1"/>
  <c r="A399" i="1"/>
  <c r="F398" i="1"/>
  <c r="A398" i="1"/>
  <c r="F397" i="1"/>
  <c r="A397" i="1"/>
  <c r="F396" i="1"/>
  <c r="A396" i="1"/>
  <c r="F395" i="1"/>
  <c r="A395" i="1"/>
  <c r="F394" i="1"/>
  <c r="A394" i="1"/>
  <c r="F393" i="1"/>
  <c r="A393" i="1"/>
  <c r="F392" i="1"/>
  <c r="A392" i="1"/>
  <c r="F391" i="1"/>
  <c r="A391" i="1"/>
  <c r="F390" i="1"/>
  <c r="A390" i="1"/>
  <c r="F389" i="1"/>
  <c r="A389" i="1"/>
  <c r="F388" i="1"/>
  <c r="A388" i="1"/>
  <c r="R387" i="1"/>
  <c r="F387" i="1"/>
  <c r="A387" i="1"/>
  <c r="F386" i="1"/>
  <c r="A386" i="1"/>
  <c r="F385" i="1"/>
  <c r="A385" i="1"/>
  <c r="F384" i="1"/>
  <c r="A384" i="1"/>
  <c r="F383" i="1"/>
  <c r="A383" i="1"/>
  <c r="F382" i="1"/>
  <c r="A382" i="1"/>
  <c r="F381" i="1"/>
  <c r="A381" i="1"/>
  <c r="F380" i="1"/>
  <c r="A380" i="1"/>
  <c r="F379" i="1"/>
  <c r="A379" i="1"/>
  <c r="F378" i="1"/>
  <c r="A378" i="1"/>
  <c r="F377" i="1"/>
  <c r="A377" i="1"/>
  <c r="F376" i="1"/>
  <c r="A376" i="1"/>
  <c r="F375" i="1"/>
  <c r="A375" i="1"/>
  <c r="F374" i="1"/>
  <c r="A374" i="1"/>
  <c r="F373" i="1"/>
  <c r="A373" i="1"/>
  <c r="F372" i="1"/>
  <c r="A372" i="1"/>
  <c r="F371" i="1"/>
  <c r="A371" i="1"/>
  <c r="R370" i="1"/>
  <c r="F370" i="1"/>
  <c r="A370" i="1"/>
  <c r="F369" i="1"/>
  <c r="A369" i="1"/>
  <c r="F368" i="1"/>
  <c r="A368" i="1"/>
  <c r="F367" i="1"/>
  <c r="A367" i="1"/>
  <c r="F366" i="1"/>
  <c r="A366" i="1"/>
  <c r="F365" i="1"/>
  <c r="A365" i="1"/>
  <c r="F364" i="1"/>
  <c r="A364" i="1"/>
  <c r="F363" i="1"/>
  <c r="A363" i="1"/>
  <c r="F362" i="1"/>
  <c r="A362" i="1"/>
  <c r="F361" i="1"/>
  <c r="A361" i="1"/>
  <c r="F360" i="1"/>
  <c r="A360" i="1"/>
  <c r="F359" i="1"/>
  <c r="A359" i="1"/>
  <c r="F358" i="1"/>
  <c r="A358" i="1"/>
  <c r="F357" i="1"/>
  <c r="A357" i="1"/>
  <c r="F356" i="1"/>
  <c r="A356" i="1"/>
  <c r="F355" i="1"/>
  <c r="A355" i="1"/>
  <c r="F354" i="1"/>
  <c r="A354" i="1"/>
  <c r="R353" i="1"/>
  <c r="S353" i="1" s="1"/>
  <c r="F353" i="1"/>
  <c r="A353" i="1"/>
  <c r="F352" i="1"/>
  <c r="A352" i="1"/>
  <c r="F351" i="1"/>
  <c r="A351" i="1"/>
  <c r="F350" i="1"/>
  <c r="A350" i="1"/>
  <c r="F349" i="1"/>
  <c r="A349" i="1"/>
  <c r="F348" i="1"/>
  <c r="A348" i="1"/>
  <c r="F347" i="1"/>
  <c r="A347" i="1"/>
  <c r="F346" i="1"/>
  <c r="A346" i="1"/>
  <c r="F345" i="1"/>
  <c r="A345" i="1"/>
  <c r="F344" i="1"/>
  <c r="A344" i="1"/>
  <c r="F343" i="1"/>
  <c r="A343" i="1"/>
  <c r="F342" i="1"/>
  <c r="A342" i="1"/>
  <c r="F341" i="1"/>
  <c r="A341" i="1"/>
  <c r="F340" i="1"/>
  <c r="A340" i="1"/>
  <c r="F339" i="1"/>
  <c r="A339" i="1"/>
  <c r="F338" i="1"/>
  <c r="A338" i="1"/>
  <c r="F337" i="1"/>
  <c r="A337" i="1"/>
  <c r="R336" i="1"/>
  <c r="R337" i="1" s="1"/>
  <c r="F336" i="1"/>
  <c r="A336" i="1"/>
  <c r="O335" i="1"/>
  <c r="P335" i="1" s="1"/>
  <c r="N335" i="1"/>
  <c r="F335" i="1"/>
  <c r="A335" i="1"/>
  <c r="O334" i="1"/>
  <c r="P334" i="1" s="1"/>
  <c r="N334" i="1"/>
  <c r="F334" i="1"/>
  <c r="A334" i="1"/>
  <c r="O333" i="1"/>
  <c r="P333" i="1" s="1"/>
  <c r="N333" i="1"/>
  <c r="F333" i="1"/>
  <c r="A333" i="1"/>
  <c r="O332" i="1"/>
  <c r="P332" i="1" s="1"/>
  <c r="N332" i="1"/>
  <c r="F332" i="1"/>
  <c r="A332" i="1"/>
  <c r="O331" i="1"/>
  <c r="N331" i="1"/>
  <c r="F331" i="1"/>
  <c r="A331" i="1"/>
  <c r="O330" i="1"/>
  <c r="N330" i="1"/>
  <c r="F330" i="1"/>
  <c r="A330" i="1"/>
  <c r="O329" i="1"/>
  <c r="N329" i="1"/>
  <c r="F329" i="1"/>
  <c r="A329" i="1"/>
  <c r="O328" i="1"/>
  <c r="N328" i="1"/>
  <c r="F328" i="1"/>
  <c r="A328" i="1"/>
  <c r="O327" i="1"/>
  <c r="N327" i="1"/>
  <c r="F327" i="1"/>
  <c r="A327" i="1"/>
  <c r="O326" i="1"/>
  <c r="N326" i="1"/>
  <c r="F326" i="1"/>
  <c r="A326" i="1"/>
  <c r="O325" i="1"/>
  <c r="N325" i="1"/>
  <c r="F325" i="1"/>
  <c r="A325" i="1"/>
  <c r="O324" i="1"/>
  <c r="N324" i="1"/>
  <c r="F324" i="1"/>
  <c r="A324" i="1"/>
  <c r="O323" i="1"/>
  <c r="N323" i="1"/>
  <c r="F323" i="1"/>
  <c r="A323" i="1"/>
  <c r="O322" i="1"/>
  <c r="N322" i="1"/>
  <c r="F322" i="1"/>
  <c r="A322" i="1"/>
  <c r="O321" i="1"/>
  <c r="N321" i="1"/>
  <c r="F321" i="1"/>
  <c r="A321" i="1"/>
  <c r="O320" i="1"/>
  <c r="N320" i="1"/>
  <c r="F320" i="1"/>
  <c r="A320" i="1"/>
  <c r="R319" i="1"/>
  <c r="O319" i="1"/>
  <c r="N319" i="1"/>
  <c r="F319" i="1"/>
  <c r="A319" i="1"/>
  <c r="F318" i="1"/>
  <c r="A318" i="1"/>
  <c r="F317" i="1"/>
  <c r="A317" i="1"/>
  <c r="F316" i="1"/>
  <c r="A316" i="1"/>
  <c r="F315" i="1"/>
  <c r="A315" i="1"/>
  <c r="F314" i="1"/>
  <c r="A314" i="1"/>
  <c r="F313" i="1"/>
  <c r="A313" i="1"/>
  <c r="F312" i="1"/>
  <c r="A312" i="1"/>
  <c r="F311" i="1"/>
  <c r="A311" i="1"/>
  <c r="F310" i="1"/>
  <c r="A310" i="1"/>
  <c r="F309" i="1"/>
  <c r="A309" i="1"/>
  <c r="F308" i="1"/>
  <c r="A308" i="1"/>
  <c r="F307" i="1"/>
  <c r="A307" i="1"/>
  <c r="F306" i="1"/>
  <c r="A306" i="1"/>
  <c r="F305" i="1"/>
  <c r="A305" i="1"/>
  <c r="F304" i="1"/>
  <c r="A304" i="1"/>
  <c r="F303" i="1"/>
  <c r="A303" i="1"/>
  <c r="R302" i="1"/>
  <c r="S302" i="1" s="1"/>
  <c r="F302" i="1"/>
  <c r="A302" i="1"/>
  <c r="F301" i="1"/>
  <c r="A301" i="1"/>
  <c r="F300" i="1"/>
  <c r="A300" i="1"/>
  <c r="F299" i="1"/>
  <c r="A299" i="1"/>
  <c r="F298" i="1"/>
  <c r="A298" i="1"/>
  <c r="F297" i="1"/>
  <c r="A297" i="1"/>
  <c r="F296" i="1"/>
  <c r="A296" i="1"/>
  <c r="F295" i="1"/>
  <c r="A295" i="1"/>
  <c r="F294" i="1"/>
  <c r="A294" i="1"/>
  <c r="F293" i="1"/>
  <c r="A293" i="1"/>
  <c r="F292" i="1"/>
  <c r="A292" i="1"/>
  <c r="F291" i="1"/>
  <c r="A291" i="1"/>
  <c r="F290" i="1"/>
  <c r="A290" i="1"/>
  <c r="F289" i="1"/>
  <c r="A289" i="1"/>
  <c r="F288" i="1"/>
  <c r="A288" i="1"/>
  <c r="F287" i="1"/>
  <c r="A287" i="1"/>
  <c r="F286" i="1"/>
  <c r="A286" i="1"/>
  <c r="R285" i="1"/>
  <c r="F285" i="1"/>
  <c r="A285" i="1"/>
  <c r="F284" i="1"/>
  <c r="A284" i="1"/>
  <c r="F283" i="1"/>
  <c r="A283" i="1"/>
  <c r="F282" i="1"/>
  <c r="A282" i="1"/>
  <c r="F281" i="1"/>
  <c r="A281" i="1"/>
  <c r="F280" i="1"/>
  <c r="A280" i="1"/>
  <c r="F279" i="1"/>
  <c r="A279" i="1"/>
  <c r="F278" i="1"/>
  <c r="A278" i="1"/>
  <c r="F277" i="1"/>
  <c r="A277" i="1"/>
  <c r="F276" i="1"/>
  <c r="A276" i="1"/>
  <c r="F275" i="1"/>
  <c r="A275" i="1"/>
  <c r="F274" i="1"/>
  <c r="A274" i="1"/>
  <c r="F273" i="1"/>
  <c r="A273" i="1"/>
  <c r="F272" i="1"/>
  <c r="A272" i="1"/>
  <c r="F271" i="1"/>
  <c r="A271" i="1"/>
  <c r="F270" i="1"/>
  <c r="A270" i="1"/>
  <c r="F269" i="1"/>
  <c r="A269" i="1"/>
  <c r="R268" i="1"/>
  <c r="F268" i="1"/>
  <c r="A268" i="1"/>
  <c r="F267" i="1"/>
  <c r="A267" i="1"/>
  <c r="F266" i="1"/>
  <c r="A266" i="1"/>
  <c r="F265" i="1"/>
  <c r="A265" i="1"/>
  <c r="F264" i="1"/>
  <c r="A264" i="1"/>
  <c r="F263" i="1"/>
  <c r="A263" i="1"/>
  <c r="F262" i="1"/>
  <c r="A262" i="1"/>
  <c r="F261" i="1"/>
  <c r="A261" i="1"/>
  <c r="F260" i="1"/>
  <c r="A260" i="1"/>
  <c r="F259" i="1"/>
  <c r="A259" i="1"/>
  <c r="F258" i="1"/>
  <c r="A258" i="1"/>
  <c r="F257" i="1"/>
  <c r="A257" i="1"/>
  <c r="F256" i="1"/>
  <c r="A256" i="1"/>
  <c r="F255" i="1"/>
  <c r="A255" i="1"/>
  <c r="F254" i="1"/>
  <c r="A254" i="1"/>
  <c r="F253" i="1"/>
  <c r="A253" i="1"/>
  <c r="F252" i="1"/>
  <c r="A252" i="1"/>
  <c r="F251" i="1"/>
  <c r="A251" i="1"/>
  <c r="R250" i="1"/>
  <c r="F250" i="1"/>
  <c r="A250" i="1"/>
  <c r="F249" i="1"/>
  <c r="A249" i="1"/>
  <c r="F248" i="1"/>
  <c r="A248" i="1"/>
  <c r="F247" i="1"/>
  <c r="A247" i="1"/>
  <c r="F246" i="1"/>
  <c r="A246" i="1"/>
  <c r="F245" i="1"/>
  <c r="A245" i="1"/>
  <c r="F244" i="1"/>
  <c r="A244" i="1"/>
  <c r="F243" i="1"/>
  <c r="A243" i="1"/>
  <c r="F242" i="1"/>
  <c r="A242" i="1"/>
  <c r="F241" i="1"/>
  <c r="A241" i="1"/>
  <c r="F240" i="1"/>
  <c r="A240" i="1"/>
  <c r="F239" i="1"/>
  <c r="A239" i="1"/>
  <c r="F238" i="1"/>
  <c r="A238" i="1"/>
  <c r="F237" i="1"/>
  <c r="A237" i="1"/>
  <c r="F236" i="1"/>
  <c r="A236" i="1"/>
  <c r="F235" i="1"/>
  <c r="A235" i="1"/>
  <c r="F234" i="1"/>
  <c r="A234" i="1"/>
  <c r="F233" i="1"/>
  <c r="A233" i="1"/>
  <c r="R232" i="1"/>
  <c r="S232" i="1" s="1"/>
  <c r="F232" i="1"/>
  <c r="A232" i="1"/>
  <c r="F231" i="1"/>
  <c r="A231" i="1"/>
  <c r="F230" i="1"/>
  <c r="A230" i="1"/>
  <c r="F229" i="1"/>
  <c r="A229" i="1"/>
  <c r="F228" i="1"/>
  <c r="A228" i="1"/>
  <c r="F227" i="1"/>
  <c r="A227" i="1"/>
  <c r="F226" i="1"/>
  <c r="A226" i="1"/>
  <c r="F225" i="1"/>
  <c r="A225" i="1"/>
  <c r="F224" i="1"/>
  <c r="A224" i="1"/>
  <c r="F223" i="1"/>
  <c r="A223" i="1"/>
  <c r="F222" i="1"/>
  <c r="A222" i="1"/>
  <c r="F221" i="1"/>
  <c r="A221" i="1"/>
  <c r="F220" i="1"/>
  <c r="A220" i="1"/>
  <c r="F219" i="1"/>
  <c r="A219" i="1"/>
  <c r="F218" i="1"/>
  <c r="A218" i="1"/>
  <c r="F217" i="1"/>
  <c r="A217" i="1"/>
  <c r="R216" i="1"/>
  <c r="S216" i="1" s="1"/>
  <c r="F216" i="1"/>
  <c r="A216" i="1"/>
  <c r="F215" i="1"/>
  <c r="A215" i="1"/>
  <c r="F214" i="1"/>
  <c r="A214" i="1"/>
  <c r="F213" i="1"/>
  <c r="A213" i="1"/>
  <c r="F212" i="1"/>
  <c r="A212" i="1"/>
  <c r="F211" i="1"/>
  <c r="A211" i="1"/>
  <c r="F210" i="1"/>
  <c r="A210" i="1"/>
  <c r="F209" i="1"/>
  <c r="A209" i="1"/>
  <c r="F208" i="1"/>
  <c r="A208" i="1"/>
  <c r="F207" i="1"/>
  <c r="A207" i="1"/>
  <c r="F206" i="1"/>
  <c r="A206" i="1"/>
  <c r="F205" i="1"/>
  <c r="A205" i="1"/>
  <c r="F204" i="1"/>
  <c r="A204" i="1"/>
  <c r="F203" i="1"/>
  <c r="A203" i="1"/>
  <c r="F202" i="1"/>
  <c r="A202" i="1"/>
  <c r="F201" i="1"/>
  <c r="A201" i="1"/>
  <c r="R200" i="1"/>
  <c r="S200" i="1" s="1"/>
  <c r="F200" i="1"/>
  <c r="A200" i="1"/>
  <c r="F199" i="1"/>
  <c r="A199" i="1"/>
  <c r="F198" i="1"/>
  <c r="A198" i="1"/>
  <c r="F197" i="1"/>
  <c r="A197" i="1"/>
  <c r="F196" i="1"/>
  <c r="A196" i="1"/>
  <c r="F195" i="1"/>
  <c r="A195" i="1"/>
  <c r="F194" i="1"/>
  <c r="A194" i="1"/>
  <c r="F193" i="1"/>
  <c r="A193" i="1"/>
  <c r="F192" i="1"/>
  <c r="A192" i="1"/>
  <c r="F191" i="1"/>
  <c r="A191" i="1"/>
  <c r="F190" i="1"/>
  <c r="A190" i="1"/>
  <c r="F189" i="1"/>
  <c r="A189" i="1"/>
  <c r="F188" i="1"/>
  <c r="A188" i="1"/>
  <c r="F187" i="1"/>
  <c r="A187" i="1"/>
  <c r="F186" i="1"/>
  <c r="A186" i="1"/>
  <c r="F185" i="1"/>
  <c r="A185" i="1"/>
  <c r="R184" i="1"/>
  <c r="S184" i="1" s="1"/>
  <c r="F184" i="1"/>
  <c r="A184" i="1"/>
  <c r="F183" i="1"/>
  <c r="A183" i="1"/>
  <c r="F182" i="1"/>
  <c r="A182" i="1"/>
  <c r="F181" i="1"/>
  <c r="A181" i="1"/>
  <c r="F180" i="1"/>
  <c r="A180" i="1"/>
  <c r="F179" i="1"/>
  <c r="A179" i="1"/>
  <c r="F178" i="1"/>
  <c r="A178" i="1"/>
  <c r="F177" i="1"/>
  <c r="A177" i="1"/>
  <c r="F176" i="1"/>
  <c r="A176" i="1"/>
  <c r="F175" i="1"/>
  <c r="A175" i="1"/>
  <c r="F174" i="1"/>
  <c r="A174" i="1"/>
  <c r="F173" i="1"/>
  <c r="A173" i="1"/>
  <c r="F172" i="1"/>
  <c r="A172" i="1"/>
  <c r="F171" i="1"/>
  <c r="A171" i="1"/>
  <c r="F170" i="1"/>
  <c r="A170" i="1"/>
  <c r="F169" i="1"/>
  <c r="A169" i="1"/>
  <c r="R168" i="1"/>
  <c r="S168" i="1" s="1"/>
  <c r="F168" i="1"/>
  <c r="A168" i="1"/>
  <c r="F167" i="1"/>
  <c r="A167" i="1"/>
  <c r="F166" i="1"/>
  <c r="A166" i="1"/>
  <c r="F165" i="1"/>
  <c r="A165" i="1"/>
  <c r="F164" i="1"/>
  <c r="A164" i="1"/>
  <c r="F163" i="1"/>
  <c r="A163" i="1"/>
  <c r="F162" i="1"/>
  <c r="A162" i="1"/>
  <c r="F161" i="1"/>
  <c r="A161" i="1"/>
  <c r="F160" i="1"/>
  <c r="A160" i="1"/>
  <c r="F159" i="1"/>
  <c r="A159" i="1"/>
  <c r="F158" i="1"/>
  <c r="A158" i="1"/>
  <c r="F157" i="1"/>
  <c r="A157" i="1"/>
  <c r="F156" i="1"/>
  <c r="A156" i="1"/>
  <c r="F155" i="1"/>
  <c r="A155" i="1"/>
  <c r="F154" i="1"/>
  <c r="A154" i="1"/>
  <c r="F153" i="1"/>
  <c r="A153" i="1"/>
  <c r="R152" i="1"/>
  <c r="S152" i="1" s="1"/>
  <c r="F152" i="1"/>
  <c r="A152" i="1"/>
  <c r="F151" i="1"/>
  <c r="A151" i="1"/>
  <c r="F150" i="1"/>
  <c r="A150" i="1"/>
  <c r="F149" i="1"/>
  <c r="A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R136" i="1"/>
  <c r="S136" i="1" s="1"/>
  <c r="F136" i="1"/>
  <c r="A136" i="1"/>
  <c r="F135" i="1"/>
  <c r="A135" i="1"/>
  <c r="F134" i="1"/>
  <c r="A134" i="1"/>
  <c r="F133" i="1"/>
  <c r="A133" i="1"/>
  <c r="F132" i="1"/>
  <c r="A132" i="1"/>
  <c r="F131" i="1"/>
  <c r="A131" i="1"/>
  <c r="F130" i="1"/>
  <c r="A130" i="1"/>
  <c r="F129" i="1"/>
  <c r="A129" i="1"/>
  <c r="F128" i="1"/>
  <c r="A128" i="1"/>
  <c r="F127" i="1"/>
  <c r="A127" i="1"/>
  <c r="F126" i="1"/>
  <c r="A126" i="1"/>
  <c r="F125" i="1"/>
  <c r="A125" i="1"/>
  <c r="F124" i="1"/>
  <c r="A124" i="1"/>
  <c r="F123" i="1"/>
  <c r="A123" i="1"/>
  <c r="F122" i="1"/>
  <c r="A122" i="1"/>
  <c r="F121" i="1"/>
  <c r="A121" i="1"/>
  <c r="R120" i="1"/>
  <c r="R121" i="1" s="1"/>
  <c r="S121" i="1" s="1"/>
  <c r="F120" i="1"/>
  <c r="A120" i="1"/>
  <c r="F119" i="1"/>
  <c r="A119" i="1"/>
  <c r="F118" i="1"/>
  <c r="A118" i="1"/>
  <c r="F117" i="1"/>
  <c r="A117" i="1"/>
  <c r="F116" i="1"/>
  <c r="A116" i="1"/>
  <c r="F115" i="1"/>
  <c r="A115" i="1"/>
  <c r="F114" i="1"/>
  <c r="A114" i="1"/>
  <c r="F113" i="1"/>
  <c r="A113" i="1"/>
  <c r="F112" i="1"/>
  <c r="A112" i="1"/>
  <c r="F111" i="1"/>
  <c r="A111" i="1"/>
  <c r="F110" i="1"/>
  <c r="A110" i="1"/>
  <c r="F109" i="1"/>
  <c r="A109" i="1"/>
  <c r="F108" i="1"/>
  <c r="A108" i="1"/>
  <c r="F107" i="1"/>
  <c r="A107" i="1"/>
  <c r="F106" i="1"/>
  <c r="A106" i="1"/>
  <c r="F105" i="1"/>
  <c r="A105" i="1"/>
  <c r="R104" i="1"/>
  <c r="S104" i="1" s="1"/>
  <c r="F104" i="1"/>
  <c r="A104" i="1"/>
  <c r="F103" i="1"/>
  <c r="A103" i="1"/>
  <c r="F102" i="1"/>
  <c r="A102" i="1"/>
  <c r="F101" i="1"/>
  <c r="A101" i="1"/>
  <c r="F100" i="1"/>
  <c r="A100" i="1"/>
  <c r="F99" i="1"/>
  <c r="A99" i="1"/>
  <c r="F98" i="1"/>
  <c r="A98" i="1"/>
  <c r="F97" i="1"/>
  <c r="A97" i="1"/>
  <c r="F96" i="1"/>
  <c r="A96" i="1"/>
  <c r="F95" i="1"/>
  <c r="A95" i="1"/>
  <c r="F94" i="1"/>
  <c r="A94" i="1"/>
  <c r="F93" i="1"/>
  <c r="A93" i="1"/>
  <c r="F92" i="1"/>
  <c r="A92" i="1"/>
  <c r="F91" i="1"/>
  <c r="A91" i="1"/>
  <c r="F90" i="1"/>
  <c r="A90" i="1"/>
  <c r="F89" i="1"/>
  <c r="A89" i="1"/>
  <c r="R88" i="1"/>
  <c r="R89" i="1" s="1"/>
  <c r="R90" i="1" s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R72" i="1"/>
  <c r="R73" i="1" s="1"/>
  <c r="F72" i="1"/>
  <c r="A72" i="1"/>
  <c r="F71" i="1"/>
  <c r="A71" i="1"/>
  <c r="F70" i="1"/>
  <c r="A70" i="1"/>
  <c r="F69" i="1"/>
  <c r="A69" i="1"/>
  <c r="O68" i="1"/>
  <c r="P68" i="1" s="1"/>
  <c r="N68" i="1"/>
  <c r="F68" i="1"/>
  <c r="A68" i="1"/>
  <c r="F67" i="1"/>
  <c r="A67" i="1"/>
  <c r="F66" i="1"/>
  <c r="A66" i="1"/>
  <c r="F65" i="1"/>
  <c r="A65" i="1"/>
  <c r="F64" i="1"/>
  <c r="A64" i="1"/>
  <c r="F63" i="1"/>
  <c r="A63" i="1"/>
  <c r="F62" i="1"/>
  <c r="A62" i="1"/>
  <c r="F61" i="1"/>
  <c r="A61" i="1"/>
  <c r="F60" i="1"/>
  <c r="A60" i="1"/>
  <c r="F59" i="1"/>
  <c r="A59" i="1"/>
  <c r="R58" i="1"/>
  <c r="S58" i="1" s="1"/>
  <c r="F58" i="1"/>
  <c r="A58" i="1"/>
  <c r="F57" i="1"/>
  <c r="A57" i="1"/>
  <c r="F56" i="1"/>
  <c r="A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A49" i="1"/>
  <c r="F48" i="1"/>
  <c r="A48" i="1"/>
  <c r="F47" i="1"/>
  <c r="A47" i="1"/>
  <c r="A46" i="1"/>
  <c r="F45" i="1"/>
  <c r="A45" i="1"/>
  <c r="R44" i="1"/>
  <c r="S44" i="1" s="1"/>
  <c r="F44" i="1"/>
  <c r="A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R30" i="1"/>
  <c r="S30" i="1" s="1"/>
  <c r="F30" i="1"/>
  <c r="A30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R16" i="1"/>
  <c r="S16" i="1" s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F4" i="1"/>
  <c r="A4" i="1"/>
  <c r="F3" i="1"/>
  <c r="A3" i="1"/>
  <c r="R2" i="1"/>
  <c r="R3" i="1" s="1"/>
  <c r="A2" i="1"/>
  <c r="P321" i="1" l="1"/>
  <c r="P324" i="1"/>
  <c r="P327" i="1"/>
  <c r="P330" i="1"/>
  <c r="P320" i="1"/>
  <c r="P323" i="1"/>
  <c r="P326" i="1"/>
  <c r="P329" i="1"/>
  <c r="P319" i="1"/>
  <c r="P322" i="1"/>
  <c r="P325" i="1"/>
  <c r="P328" i="1"/>
  <c r="P331" i="1"/>
  <c r="R153" i="1"/>
  <c r="S153" i="1" s="1"/>
  <c r="S120" i="1"/>
  <c r="R17" i="1"/>
  <c r="S17" i="1" s="1"/>
  <c r="R45" i="1"/>
  <c r="S45" i="1" s="1"/>
  <c r="R185" i="1"/>
  <c r="S185" i="1" s="1"/>
  <c r="R105" i="1"/>
  <c r="S105" i="1" s="1"/>
  <c r="R31" i="1"/>
  <c r="S31" i="1" s="1"/>
  <c r="S268" i="1"/>
  <c r="R269" i="1"/>
  <c r="R270" i="1" s="1"/>
  <c r="S270" i="1" s="1"/>
  <c r="R59" i="1"/>
  <c r="S59" i="1" s="1"/>
  <c r="R251" i="1"/>
  <c r="S250" i="1"/>
  <c r="R388" i="1"/>
  <c r="R389" i="1" s="1"/>
  <c r="S389" i="1" s="1"/>
  <c r="S387" i="1"/>
  <c r="R201" i="1"/>
  <c r="S201" i="1" s="1"/>
  <c r="R217" i="1"/>
  <c r="R218" i="1" s="1"/>
  <c r="R219" i="1" s="1"/>
  <c r="S285" i="1"/>
  <c r="R286" i="1"/>
  <c r="R287" i="1" s="1"/>
  <c r="S2" i="1"/>
  <c r="R303" i="1"/>
  <c r="R304" i="1" s="1"/>
  <c r="S441" i="1"/>
  <c r="R453" i="1"/>
  <c r="S453" i="1" s="1"/>
  <c r="R354" i="1"/>
  <c r="R355" i="1" s="1"/>
  <c r="S355" i="1" s="1"/>
  <c r="S336" i="1"/>
  <c r="R406" i="1"/>
  <c r="S406" i="1" s="1"/>
  <c r="R443" i="1"/>
  <c r="S73" i="1"/>
  <c r="R74" i="1"/>
  <c r="R91" i="1"/>
  <c r="S90" i="1"/>
  <c r="S3" i="1"/>
  <c r="R4" i="1"/>
  <c r="S72" i="1"/>
  <c r="S88" i="1"/>
  <c r="R137" i="1"/>
  <c r="S89" i="1"/>
  <c r="R122" i="1"/>
  <c r="R169" i="1"/>
  <c r="R233" i="1"/>
  <c r="R338" i="1"/>
  <c r="S337" i="1"/>
  <c r="R320" i="1"/>
  <c r="S319" i="1"/>
  <c r="R371" i="1"/>
  <c r="S370" i="1"/>
  <c r="R424" i="1"/>
  <c r="S423" i="1"/>
  <c r="S388" i="1" l="1"/>
  <c r="R32" i="1"/>
  <c r="R33" i="1" s="1"/>
  <c r="R18" i="1"/>
  <c r="S18" i="1" s="1"/>
  <c r="R271" i="1"/>
  <c r="R272" i="1" s="1"/>
  <c r="S286" i="1"/>
  <c r="R106" i="1"/>
  <c r="R107" i="1" s="1"/>
  <c r="S269" i="1"/>
  <c r="R186" i="1"/>
  <c r="R187" i="1" s="1"/>
  <c r="S187" i="1" s="1"/>
  <c r="R154" i="1"/>
  <c r="R155" i="1" s="1"/>
  <c r="R46" i="1"/>
  <c r="S46" i="1" s="1"/>
  <c r="R356" i="1"/>
  <c r="R357" i="1" s="1"/>
  <c r="S218" i="1"/>
  <c r="R60" i="1"/>
  <c r="R61" i="1" s="1"/>
  <c r="S303" i="1"/>
  <c r="R390" i="1"/>
  <c r="S390" i="1" s="1"/>
  <c r="R202" i="1"/>
  <c r="R203" i="1" s="1"/>
  <c r="S217" i="1"/>
  <c r="R407" i="1"/>
  <c r="S407" i="1" s="1"/>
  <c r="S354" i="1"/>
  <c r="R454" i="1"/>
  <c r="S454" i="1" s="1"/>
  <c r="S443" i="1"/>
  <c r="R444" i="1"/>
  <c r="S251" i="1"/>
  <c r="R252" i="1"/>
  <c r="R138" i="1"/>
  <c r="S137" i="1"/>
  <c r="R5" i="1"/>
  <c r="S4" i="1"/>
  <c r="R75" i="1"/>
  <c r="S74" i="1"/>
  <c r="R288" i="1"/>
  <c r="S287" i="1"/>
  <c r="R234" i="1"/>
  <c r="S233" i="1"/>
  <c r="S169" i="1"/>
  <c r="R170" i="1"/>
  <c r="R305" i="1"/>
  <c r="S304" i="1"/>
  <c r="S424" i="1"/>
  <c r="R425" i="1"/>
  <c r="R339" i="1"/>
  <c r="S338" i="1"/>
  <c r="R372" i="1"/>
  <c r="S371" i="1"/>
  <c r="S219" i="1"/>
  <c r="R220" i="1"/>
  <c r="S320" i="1"/>
  <c r="R321" i="1"/>
  <c r="S122" i="1"/>
  <c r="R123" i="1"/>
  <c r="R92" i="1"/>
  <c r="S91" i="1"/>
  <c r="R408" i="1" l="1"/>
  <c r="S408" i="1" s="1"/>
  <c r="S60" i="1"/>
  <c r="S186" i="1"/>
  <c r="R19" i="1"/>
  <c r="R20" i="1" s="1"/>
  <c r="R391" i="1"/>
  <c r="S391" i="1" s="1"/>
  <c r="S356" i="1"/>
  <c r="S271" i="1"/>
  <c r="R188" i="1"/>
  <c r="S188" i="1" s="1"/>
  <c r="S32" i="1"/>
  <c r="R47" i="1"/>
  <c r="S47" i="1" s="1"/>
  <c r="S154" i="1"/>
  <c r="S106" i="1"/>
  <c r="S202" i="1"/>
  <c r="R455" i="1"/>
  <c r="R456" i="1" s="1"/>
  <c r="R253" i="1"/>
  <c r="S252" i="1"/>
  <c r="R445" i="1"/>
  <c r="S444" i="1"/>
  <c r="S272" i="1"/>
  <c r="R273" i="1"/>
  <c r="R171" i="1"/>
  <c r="S170" i="1"/>
  <c r="S107" i="1"/>
  <c r="R108" i="1"/>
  <c r="R358" i="1"/>
  <c r="S357" i="1"/>
  <c r="S33" i="1"/>
  <c r="R34" i="1"/>
  <c r="R306" i="1"/>
  <c r="S305" i="1"/>
  <c r="S234" i="1"/>
  <c r="R235" i="1"/>
  <c r="R156" i="1"/>
  <c r="S155" i="1"/>
  <c r="S123" i="1"/>
  <c r="R124" i="1"/>
  <c r="S61" i="1"/>
  <c r="R62" i="1"/>
  <c r="R373" i="1"/>
  <c r="S372" i="1"/>
  <c r="S339" i="1"/>
  <c r="R340" i="1"/>
  <c r="S288" i="1"/>
  <c r="R289" i="1"/>
  <c r="S75" i="1"/>
  <c r="R76" i="1"/>
  <c r="R204" i="1"/>
  <c r="S203" i="1"/>
  <c r="R93" i="1"/>
  <c r="S92" i="1"/>
  <c r="R322" i="1"/>
  <c r="S321" i="1"/>
  <c r="R221" i="1"/>
  <c r="S220" i="1"/>
  <c r="S425" i="1"/>
  <c r="R426" i="1"/>
  <c r="S5" i="1"/>
  <c r="R6" i="1"/>
  <c r="R139" i="1"/>
  <c r="S138" i="1"/>
  <c r="R409" i="1" l="1"/>
  <c r="S409" i="1" s="1"/>
  <c r="S19" i="1"/>
  <c r="S455" i="1"/>
  <c r="R392" i="1"/>
  <c r="R393" i="1" s="1"/>
  <c r="R189" i="1"/>
  <c r="S189" i="1" s="1"/>
  <c r="R48" i="1"/>
  <c r="S48" i="1" s="1"/>
  <c r="S445" i="1"/>
  <c r="R446" i="1"/>
  <c r="S253" i="1"/>
  <c r="R254" i="1"/>
  <c r="R427" i="1"/>
  <c r="S426" i="1"/>
  <c r="R77" i="1"/>
  <c r="S76" i="1"/>
  <c r="R341" i="1"/>
  <c r="S340" i="1"/>
  <c r="R125" i="1"/>
  <c r="S124" i="1"/>
  <c r="S235" i="1"/>
  <c r="R236" i="1"/>
  <c r="R35" i="1"/>
  <c r="S34" i="1"/>
  <c r="S289" i="1"/>
  <c r="R290" i="1"/>
  <c r="R21" i="1"/>
  <c r="S20" i="1"/>
  <c r="S139" i="1"/>
  <c r="R140" i="1"/>
  <c r="R222" i="1"/>
  <c r="S221" i="1"/>
  <c r="R94" i="1"/>
  <c r="S93" i="1"/>
  <c r="R374" i="1"/>
  <c r="S373" i="1"/>
  <c r="S156" i="1"/>
  <c r="R157" i="1"/>
  <c r="R359" i="1"/>
  <c r="S358" i="1"/>
  <c r="S6" i="1"/>
  <c r="R7" i="1"/>
  <c r="R457" i="1"/>
  <c r="S456" i="1"/>
  <c r="R63" i="1"/>
  <c r="S62" i="1"/>
  <c r="R109" i="1"/>
  <c r="S108" i="1"/>
  <c r="S273" i="1"/>
  <c r="R274" i="1"/>
  <c r="R323" i="1"/>
  <c r="S322" i="1"/>
  <c r="S204" i="1"/>
  <c r="R205" i="1"/>
  <c r="R307" i="1"/>
  <c r="S306" i="1"/>
  <c r="S171" i="1"/>
  <c r="R172" i="1"/>
  <c r="R410" i="1" l="1"/>
  <c r="R411" i="1" s="1"/>
  <c r="R49" i="1"/>
  <c r="S49" i="1" s="1"/>
  <c r="S392" i="1"/>
  <c r="R190" i="1"/>
  <c r="R191" i="1" s="1"/>
  <c r="R447" i="1"/>
  <c r="S446" i="1"/>
  <c r="R255" i="1"/>
  <c r="S254" i="1"/>
  <c r="S274" i="1"/>
  <c r="R275" i="1"/>
  <c r="S157" i="1"/>
  <c r="R158" i="1"/>
  <c r="R237" i="1"/>
  <c r="S236" i="1"/>
  <c r="S457" i="1"/>
  <c r="R458" i="1"/>
  <c r="S222" i="1"/>
  <c r="R223" i="1"/>
  <c r="R78" i="1"/>
  <c r="S77" i="1"/>
  <c r="S172" i="1"/>
  <c r="R173" i="1"/>
  <c r="R206" i="1"/>
  <c r="S205" i="1"/>
  <c r="S7" i="1"/>
  <c r="R8" i="1"/>
  <c r="R141" i="1"/>
  <c r="S140" i="1"/>
  <c r="S109" i="1"/>
  <c r="R110" i="1"/>
  <c r="R375" i="1"/>
  <c r="S374" i="1"/>
  <c r="R394" i="1"/>
  <c r="S393" i="1"/>
  <c r="S125" i="1"/>
  <c r="R126" i="1"/>
  <c r="R291" i="1"/>
  <c r="S290" i="1"/>
  <c r="S307" i="1"/>
  <c r="R308" i="1"/>
  <c r="S323" i="1"/>
  <c r="R324" i="1"/>
  <c r="S63" i="1"/>
  <c r="R64" i="1"/>
  <c r="R360" i="1"/>
  <c r="S359" i="1"/>
  <c r="R95" i="1"/>
  <c r="S94" i="1"/>
  <c r="S21" i="1"/>
  <c r="R22" i="1"/>
  <c r="S35" i="1"/>
  <c r="R36" i="1"/>
  <c r="S341" i="1"/>
  <c r="R342" i="1"/>
  <c r="S427" i="1"/>
  <c r="R428" i="1"/>
  <c r="S410" i="1" l="1"/>
  <c r="S190" i="1"/>
  <c r="R50" i="1"/>
  <c r="S50" i="1" s="1"/>
  <c r="S255" i="1"/>
  <c r="R256" i="1"/>
  <c r="S447" i="1"/>
  <c r="R448" i="1"/>
  <c r="R37" i="1"/>
  <c r="S36" i="1"/>
  <c r="R309" i="1"/>
  <c r="S308" i="1"/>
  <c r="S126" i="1"/>
  <c r="R127" i="1"/>
  <c r="R9" i="1"/>
  <c r="S8" i="1"/>
  <c r="S223" i="1"/>
  <c r="R224" i="1"/>
  <c r="R159" i="1"/>
  <c r="S158" i="1"/>
  <c r="R361" i="1"/>
  <c r="S360" i="1"/>
  <c r="R376" i="1"/>
  <c r="S375" i="1"/>
  <c r="S78" i="1"/>
  <c r="R79" i="1"/>
  <c r="S428" i="1"/>
  <c r="R429" i="1"/>
  <c r="R23" i="1"/>
  <c r="S22" i="1"/>
  <c r="R65" i="1"/>
  <c r="S64" i="1"/>
  <c r="R111" i="1"/>
  <c r="S110" i="1"/>
  <c r="R459" i="1"/>
  <c r="S458" i="1"/>
  <c r="R276" i="1"/>
  <c r="S275" i="1"/>
  <c r="S291" i="1"/>
  <c r="R292" i="1"/>
  <c r="S206" i="1"/>
  <c r="R207" i="1"/>
  <c r="R343" i="1"/>
  <c r="S342" i="1"/>
  <c r="R325" i="1"/>
  <c r="S324" i="1"/>
  <c r="R174" i="1"/>
  <c r="S173" i="1"/>
  <c r="R412" i="1"/>
  <c r="S411" i="1"/>
  <c r="R96" i="1"/>
  <c r="S95" i="1"/>
  <c r="S191" i="1"/>
  <c r="R192" i="1"/>
  <c r="R395" i="1"/>
  <c r="S394" i="1"/>
  <c r="R142" i="1"/>
  <c r="S141" i="1"/>
  <c r="S237" i="1"/>
  <c r="R238" i="1"/>
  <c r="R51" i="1" l="1"/>
  <c r="S51" i="1" s="1"/>
  <c r="S256" i="1"/>
  <c r="R257" i="1"/>
  <c r="R449" i="1"/>
  <c r="S448" i="1"/>
  <c r="R208" i="1"/>
  <c r="S207" i="1"/>
  <c r="R80" i="1"/>
  <c r="S79" i="1"/>
  <c r="S127" i="1"/>
  <c r="R128" i="1"/>
  <c r="S395" i="1"/>
  <c r="R396" i="1"/>
  <c r="R413" i="1"/>
  <c r="S412" i="1"/>
  <c r="S325" i="1"/>
  <c r="R326" i="1"/>
  <c r="S459" i="1"/>
  <c r="R460" i="1"/>
  <c r="S65" i="1"/>
  <c r="R66" i="1"/>
  <c r="S159" i="1"/>
  <c r="R160" i="1"/>
  <c r="S238" i="1"/>
  <c r="R239" i="1"/>
  <c r="R193" i="1"/>
  <c r="S192" i="1"/>
  <c r="S292" i="1"/>
  <c r="R293" i="1"/>
  <c r="R225" i="1"/>
  <c r="S224" i="1"/>
  <c r="R344" i="1"/>
  <c r="S343" i="1"/>
  <c r="S111" i="1"/>
  <c r="R112" i="1"/>
  <c r="S23" i="1"/>
  <c r="R24" i="1"/>
  <c r="R377" i="1"/>
  <c r="S376" i="1"/>
  <c r="R310" i="1"/>
  <c r="S309" i="1"/>
  <c r="R430" i="1"/>
  <c r="S429" i="1"/>
  <c r="S142" i="1"/>
  <c r="R143" i="1"/>
  <c r="R97" i="1"/>
  <c r="S96" i="1"/>
  <c r="R175" i="1"/>
  <c r="S174" i="1"/>
  <c r="S276" i="1"/>
  <c r="R277" i="1"/>
  <c r="R362" i="1"/>
  <c r="S361" i="1"/>
  <c r="S9" i="1"/>
  <c r="R10" i="1"/>
  <c r="S37" i="1"/>
  <c r="R38" i="1"/>
  <c r="R52" i="1" l="1"/>
  <c r="R53" i="1" s="1"/>
  <c r="R450" i="1"/>
  <c r="S449" i="1"/>
  <c r="S257" i="1"/>
  <c r="R258" i="1"/>
  <c r="S10" i="1"/>
  <c r="R11" i="1"/>
  <c r="S293" i="1"/>
  <c r="R294" i="1"/>
  <c r="S160" i="1"/>
  <c r="R161" i="1"/>
  <c r="R327" i="1"/>
  <c r="S326" i="1"/>
  <c r="R129" i="1"/>
  <c r="S128" i="1"/>
  <c r="S175" i="1"/>
  <c r="R176" i="1"/>
  <c r="S430" i="1"/>
  <c r="R431" i="1"/>
  <c r="R378" i="1"/>
  <c r="S377" i="1"/>
  <c r="R345" i="1"/>
  <c r="S344" i="1"/>
  <c r="R25" i="1"/>
  <c r="S24" i="1"/>
  <c r="R67" i="1"/>
  <c r="S66" i="1"/>
  <c r="R363" i="1"/>
  <c r="S362" i="1"/>
  <c r="R98" i="1"/>
  <c r="S97" i="1"/>
  <c r="S193" i="1"/>
  <c r="R194" i="1"/>
  <c r="S413" i="1"/>
  <c r="R414" i="1"/>
  <c r="R81" i="1"/>
  <c r="S80" i="1"/>
  <c r="S38" i="1"/>
  <c r="R39" i="1"/>
  <c r="S277" i="1"/>
  <c r="R278" i="1"/>
  <c r="R144" i="1"/>
  <c r="S143" i="1"/>
  <c r="R113" i="1"/>
  <c r="S112" i="1"/>
  <c r="R240" i="1"/>
  <c r="S239" i="1"/>
  <c r="R461" i="1"/>
  <c r="S460" i="1"/>
  <c r="S396" i="1"/>
  <c r="R397" i="1"/>
  <c r="R311" i="1"/>
  <c r="S310" i="1"/>
  <c r="S225" i="1"/>
  <c r="R226" i="1"/>
  <c r="S208" i="1"/>
  <c r="R209" i="1"/>
  <c r="S52" i="1" l="1"/>
  <c r="S450" i="1"/>
  <c r="R451" i="1"/>
  <c r="S451" i="1" s="1"/>
  <c r="R259" i="1"/>
  <c r="S258" i="1"/>
  <c r="R227" i="1"/>
  <c r="S226" i="1"/>
  <c r="S176" i="1"/>
  <c r="R177" i="1"/>
  <c r="S161" i="1"/>
  <c r="R162" i="1"/>
  <c r="S461" i="1"/>
  <c r="R462" i="1"/>
  <c r="S462" i="1" s="1"/>
  <c r="S144" i="1"/>
  <c r="R145" i="1"/>
  <c r="S81" i="1"/>
  <c r="R82" i="1"/>
  <c r="R99" i="1"/>
  <c r="S98" i="1"/>
  <c r="S345" i="1"/>
  <c r="R346" i="1"/>
  <c r="R279" i="1"/>
  <c r="S278" i="1"/>
  <c r="R415" i="1"/>
  <c r="S414" i="1"/>
  <c r="S294" i="1"/>
  <c r="R295" i="1"/>
  <c r="R312" i="1"/>
  <c r="S311" i="1"/>
  <c r="S240" i="1"/>
  <c r="R241" i="1"/>
  <c r="R364" i="1"/>
  <c r="S363" i="1"/>
  <c r="S25" i="1"/>
  <c r="R26" i="1"/>
  <c r="R379" i="1"/>
  <c r="S378" i="1"/>
  <c r="S129" i="1"/>
  <c r="R130" i="1"/>
  <c r="S209" i="1"/>
  <c r="R210" i="1"/>
  <c r="R398" i="1"/>
  <c r="S397" i="1"/>
  <c r="S39" i="1"/>
  <c r="R40" i="1"/>
  <c r="R195" i="1"/>
  <c r="S194" i="1"/>
  <c r="S431" i="1"/>
  <c r="R432" i="1"/>
  <c r="S11" i="1"/>
  <c r="R12" i="1"/>
  <c r="S113" i="1"/>
  <c r="R114" i="1"/>
  <c r="R68" i="1"/>
  <c r="S67" i="1"/>
  <c r="S53" i="1"/>
  <c r="R54" i="1"/>
  <c r="R328" i="1"/>
  <c r="S327" i="1"/>
  <c r="S259" i="1" l="1"/>
  <c r="R260" i="1"/>
  <c r="R55" i="1"/>
  <c r="S54" i="1"/>
  <c r="R13" i="1"/>
  <c r="S12" i="1"/>
  <c r="R41" i="1"/>
  <c r="S40" i="1"/>
  <c r="S130" i="1"/>
  <c r="R131" i="1"/>
  <c r="S295" i="1"/>
  <c r="R296" i="1"/>
  <c r="R347" i="1"/>
  <c r="S346" i="1"/>
  <c r="R83" i="1"/>
  <c r="S82" i="1"/>
  <c r="S162" i="1"/>
  <c r="R163" i="1"/>
  <c r="R365" i="1"/>
  <c r="S364" i="1"/>
  <c r="R433" i="1"/>
  <c r="S432" i="1"/>
  <c r="S241" i="1"/>
  <c r="R242" i="1"/>
  <c r="S145" i="1"/>
  <c r="R146" i="1"/>
  <c r="R178" i="1"/>
  <c r="S177" i="1"/>
  <c r="S68" i="1"/>
  <c r="R69" i="1"/>
  <c r="S398" i="1"/>
  <c r="R399" i="1"/>
  <c r="R380" i="1"/>
  <c r="S379" i="1"/>
  <c r="R416" i="1"/>
  <c r="S415" i="1"/>
  <c r="R115" i="1"/>
  <c r="S114" i="1"/>
  <c r="S210" i="1"/>
  <c r="R211" i="1"/>
  <c r="S26" i="1"/>
  <c r="R27" i="1"/>
  <c r="R329" i="1"/>
  <c r="S328" i="1"/>
  <c r="S195" i="1"/>
  <c r="R196" i="1"/>
  <c r="R313" i="1"/>
  <c r="S312" i="1"/>
  <c r="S279" i="1"/>
  <c r="R280" i="1"/>
  <c r="R100" i="1"/>
  <c r="S99" i="1"/>
  <c r="R228" i="1"/>
  <c r="S227" i="1"/>
  <c r="R261" i="1" l="1"/>
  <c r="S260" i="1"/>
  <c r="S27" i="1"/>
  <c r="R28" i="1"/>
  <c r="R70" i="1"/>
  <c r="S69" i="1"/>
  <c r="S228" i="1"/>
  <c r="R229" i="1"/>
  <c r="R314" i="1"/>
  <c r="S313" i="1"/>
  <c r="S416" i="1"/>
  <c r="R417" i="1"/>
  <c r="S365" i="1"/>
  <c r="R366" i="1"/>
  <c r="S347" i="1"/>
  <c r="R348" i="1"/>
  <c r="S41" i="1"/>
  <c r="R42" i="1"/>
  <c r="S196" i="1"/>
  <c r="R197" i="1"/>
  <c r="R212" i="1"/>
  <c r="S211" i="1"/>
  <c r="R243" i="1"/>
  <c r="S242" i="1"/>
  <c r="S163" i="1"/>
  <c r="R164" i="1"/>
  <c r="R297" i="1"/>
  <c r="S296" i="1"/>
  <c r="R101" i="1"/>
  <c r="S100" i="1"/>
  <c r="R381" i="1"/>
  <c r="S380" i="1"/>
  <c r="S178" i="1"/>
  <c r="R179" i="1"/>
  <c r="S13" i="1"/>
  <c r="R14" i="1"/>
  <c r="S280" i="1"/>
  <c r="R281" i="1"/>
  <c r="R400" i="1"/>
  <c r="S399" i="1"/>
  <c r="R147" i="1"/>
  <c r="S146" i="1"/>
  <c r="R132" i="1"/>
  <c r="S131" i="1"/>
  <c r="S329" i="1"/>
  <c r="R330" i="1"/>
  <c r="S115" i="1"/>
  <c r="R116" i="1"/>
  <c r="S433" i="1"/>
  <c r="R434" i="1"/>
  <c r="R84" i="1"/>
  <c r="S83" i="1"/>
  <c r="S55" i="1"/>
  <c r="R56" i="1"/>
  <c r="S261" i="1" l="1"/>
  <c r="R262" i="1"/>
  <c r="R57" i="1"/>
  <c r="S57" i="1" s="1"/>
  <c r="S56" i="1"/>
  <c r="R117" i="1"/>
  <c r="S116" i="1"/>
  <c r="R15" i="1"/>
  <c r="S15" i="1" s="1"/>
  <c r="S14" i="1"/>
  <c r="S42" i="1"/>
  <c r="R43" i="1"/>
  <c r="S43" i="1" s="1"/>
  <c r="R418" i="1"/>
  <c r="S417" i="1"/>
  <c r="S147" i="1"/>
  <c r="R148" i="1"/>
  <c r="R102" i="1"/>
  <c r="S101" i="1"/>
  <c r="S243" i="1"/>
  <c r="R244" i="1"/>
  <c r="R331" i="1"/>
  <c r="S330" i="1"/>
  <c r="R180" i="1"/>
  <c r="S179" i="1"/>
  <c r="R349" i="1"/>
  <c r="S348" i="1"/>
  <c r="S84" i="1"/>
  <c r="R85" i="1"/>
  <c r="R401" i="1"/>
  <c r="S400" i="1"/>
  <c r="S297" i="1"/>
  <c r="R298" i="1"/>
  <c r="S212" i="1"/>
  <c r="R213" i="1"/>
  <c r="R315" i="1"/>
  <c r="S314" i="1"/>
  <c r="R71" i="1"/>
  <c r="S71" i="1" s="1"/>
  <c r="S70" i="1"/>
  <c r="S434" i="1"/>
  <c r="R435" i="1"/>
  <c r="R282" i="1"/>
  <c r="S281" i="1"/>
  <c r="R165" i="1"/>
  <c r="S164" i="1"/>
  <c r="S197" i="1"/>
  <c r="R198" i="1"/>
  <c r="R367" i="1"/>
  <c r="S366" i="1"/>
  <c r="S229" i="1"/>
  <c r="R230" i="1"/>
  <c r="R29" i="1"/>
  <c r="S29" i="1" s="1"/>
  <c r="S28" i="1"/>
  <c r="R133" i="1"/>
  <c r="S132" i="1"/>
  <c r="S381" i="1"/>
  <c r="R382" i="1"/>
  <c r="R263" i="1" l="1"/>
  <c r="S262" i="1"/>
  <c r="R383" i="1"/>
  <c r="S382" i="1"/>
  <c r="R231" i="1"/>
  <c r="S231" i="1" s="1"/>
  <c r="S230" i="1"/>
  <c r="R299" i="1"/>
  <c r="S298" i="1"/>
  <c r="S244" i="1"/>
  <c r="R245" i="1"/>
  <c r="S165" i="1"/>
  <c r="R166" i="1"/>
  <c r="R350" i="1"/>
  <c r="S349" i="1"/>
  <c r="S133" i="1"/>
  <c r="R134" i="1"/>
  <c r="R368" i="1"/>
  <c r="S367" i="1"/>
  <c r="S282" i="1"/>
  <c r="R283" i="1"/>
  <c r="R316" i="1"/>
  <c r="S315" i="1"/>
  <c r="S401" i="1"/>
  <c r="R402" i="1"/>
  <c r="R181" i="1"/>
  <c r="S180" i="1"/>
  <c r="R103" i="1"/>
  <c r="S103" i="1" s="1"/>
  <c r="S102" i="1"/>
  <c r="S418" i="1"/>
  <c r="R419" i="1"/>
  <c r="S117" i="1"/>
  <c r="R118" i="1"/>
  <c r="R199" i="1"/>
  <c r="S199" i="1" s="1"/>
  <c r="S198" i="1"/>
  <c r="R436" i="1"/>
  <c r="S435" i="1"/>
  <c r="S213" i="1"/>
  <c r="R214" i="1"/>
  <c r="R86" i="1"/>
  <c r="S85" i="1"/>
  <c r="S148" i="1"/>
  <c r="R149" i="1"/>
  <c r="R332" i="1"/>
  <c r="S331" i="1"/>
  <c r="S263" i="1" l="1"/>
  <c r="R264" i="1"/>
  <c r="R150" i="1"/>
  <c r="S149" i="1"/>
  <c r="S419" i="1"/>
  <c r="R420" i="1"/>
  <c r="R403" i="1"/>
  <c r="S402" i="1"/>
  <c r="S166" i="1"/>
  <c r="R167" i="1"/>
  <c r="S167" i="1" s="1"/>
  <c r="S436" i="1"/>
  <c r="R437" i="1"/>
  <c r="R369" i="1"/>
  <c r="S369" i="1" s="1"/>
  <c r="S368" i="1"/>
  <c r="S299" i="1"/>
  <c r="R300" i="1"/>
  <c r="R135" i="1"/>
  <c r="S135" i="1" s="1"/>
  <c r="S134" i="1"/>
  <c r="R87" i="1"/>
  <c r="S87" i="1" s="1"/>
  <c r="S86" i="1"/>
  <c r="R317" i="1"/>
  <c r="S316" i="1"/>
  <c r="R215" i="1"/>
  <c r="S215" i="1" s="1"/>
  <c r="S214" i="1"/>
  <c r="S118" i="1"/>
  <c r="R119" i="1"/>
  <c r="S119" i="1" s="1"/>
  <c r="S283" i="1"/>
  <c r="R284" i="1"/>
  <c r="S284" i="1" s="1"/>
  <c r="R246" i="1"/>
  <c r="S245" i="1"/>
  <c r="S332" i="1"/>
  <c r="R333" i="1"/>
  <c r="R182" i="1"/>
  <c r="S181" i="1"/>
  <c r="R351" i="1"/>
  <c r="S350" i="1"/>
  <c r="R384" i="1"/>
  <c r="S383" i="1"/>
  <c r="S264" i="1" l="1"/>
  <c r="R265" i="1"/>
  <c r="S351" i="1"/>
  <c r="R352" i="1"/>
  <c r="S352" i="1" s="1"/>
  <c r="R404" i="1"/>
  <c r="S404" i="1" s="1"/>
  <c r="S403" i="1"/>
  <c r="S437" i="1"/>
  <c r="R438" i="1"/>
  <c r="S420" i="1"/>
  <c r="R421" i="1"/>
  <c r="R183" i="1"/>
  <c r="S183" i="1" s="1"/>
  <c r="S182" i="1"/>
  <c r="R247" i="1"/>
  <c r="S246" i="1"/>
  <c r="R334" i="1"/>
  <c r="S333" i="1"/>
  <c r="R301" i="1"/>
  <c r="S301" i="1" s="1"/>
  <c r="S300" i="1"/>
  <c r="R385" i="1"/>
  <c r="S384" i="1"/>
  <c r="R318" i="1"/>
  <c r="S318" i="1" s="1"/>
  <c r="S317" i="1"/>
  <c r="S150" i="1"/>
  <c r="R151" i="1"/>
  <c r="S151" i="1" s="1"/>
  <c r="S265" i="1" l="1"/>
  <c r="R266" i="1"/>
  <c r="S421" i="1"/>
  <c r="R422" i="1"/>
  <c r="S422" i="1" s="1"/>
  <c r="R335" i="1"/>
  <c r="S335" i="1" s="1"/>
  <c r="S334" i="1"/>
  <c r="R439" i="1"/>
  <c r="S438" i="1"/>
  <c r="R386" i="1"/>
  <c r="S386" i="1" s="1"/>
  <c r="S385" i="1"/>
  <c r="S247" i="1"/>
  <c r="R248" i="1"/>
  <c r="S266" i="1" l="1"/>
  <c r="R267" i="1"/>
  <c r="S248" i="1"/>
  <c r="R249" i="1"/>
  <c r="S439" i="1"/>
  <c r="R440" i="1"/>
  <c r="S440" i="1" s="1"/>
  <c r="S267" i="1" l="1"/>
  <c r="S249" i="1"/>
  <c r="M381" i="1" l="1"/>
  <c r="N381" i="1" l="1"/>
  <c r="O381" i="1"/>
  <c r="M416" i="1"/>
  <c r="L199" i="1"/>
  <c r="M112" i="1"/>
  <c r="L220" i="1"/>
  <c r="L278" i="1"/>
  <c r="M361" i="1"/>
  <c r="L408" i="1"/>
  <c r="L307" i="1"/>
  <c r="L119" i="1"/>
  <c r="L212" i="1"/>
  <c r="M232" i="1"/>
  <c r="L42" i="1"/>
  <c r="L135" i="1"/>
  <c r="M143" i="1"/>
  <c r="L245" i="1"/>
  <c r="M408" i="1"/>
  <c r="M164" i="1"/>
  <c r="M119" i="1"/>
  <c r="M462" i="1"/>
  <c r="M4" i="1"/>
  <c r="L303" i="1"/>
  <c r="L56" i="1"/>
  <c r="L312" i="1"/>
  <c r="L188" i="1"/>
  <c r="L266" i="1"/>
  <c r="M453" i="1"/>
  <c r="L267" i="1"/>
  <c r="M457" i="1"/>
  <c r="M255" i="1"/>
  <c r="M105" i="1"/>
  <c r="L431" i="1"/>
  <c r="L453" i="1"/>
  <c r="L132" i="1"/>
  <c r="M241" i="1"/>
  <c r="M266" i="1"/>
  <c r="M348" i="1"/>
  <c r="L71" i="1"/>
  <c r="L450" i="1"/>
  <c r="L341" i="1"/>
  <c r="L194" i="1"/>
  <c r="M406" i="1"/>
  <c r="L314" i="1"/>
  <c r="L140" i="1"/>
  <c r="M362" i="1"/>
  <c r="M415" i="1"/>
  <c r="L162" i="1"/>
  <c r="L462" i="1"/>
  <c r="M194" i="1"/>
  <c r="L127" i="1"/>
  <c r="M212" i="1"/>
  <c r="L363" i="1"/>
  <c r="M292" i="1"/>
  <c r="M188" i="1"/>
  <c r="M40" i="1"/>
  <c r="M435" i="1"/>
  <c r="L345" i="1"/>
  <c r="L455" i="1"/>
  <c r="M147" i="1"/>
  <c r="M72" i="1"/>
  <c r="L393" i="1"/>
  <c r="M223" i="1"/>
  <c r="L143" i="1"/>
  <c r="M108" i="1"/>
  <c r="L224" i="1"/>
  <c r="L337" i="1"/>
  <c r="L40" i="1"/>
  <c r="M431" i="1"/>
  <c r="M42" i="1"/>
  <c r="L12" i="1"/>
  <c r="L361" i="1"/>
  <c r="M133" i="1"/>
  <c r="M399" i="1"/>
  <c r="L250" i="1"/>
  <c r="M307" i="1"/>
  <c r="L9" i="1"/>
  <c r="L394" i="1"/>
  <c r="M65" i="1"/>
  <c r="M52" i="1"/>
  <c r="L88" i="1"/>
  <c r="L292" i="1"/>
  <c r="M448" i="1"/>
  <c r="M220" i="1"/>
  <c r="L48" i="1"/>
  <c r="L173" i="1"/>
  <c r="M341" i="1"/>
  <c r="M345" i="1"/>
  <c r="M162" i="1"/>
  <c r="L451" i="1"/>
  <c r="L457" i="1"/>
  <c r="M360" i="1"/>
  <c r="L72" i="1"/>
  <c r="L108" i="1"/>
  <c r="M451" i="1"/>
  <c r="M397" i="1"/>
  <c r="M132" i="1"/>
  <c r="M368" i="1"/>
  <c r="L397" i="1"/>
  <c r="L164" i="1"/>
  <c r="L435" i="1"/>
  <c r="M9" i="1"/>
  <c r="L415" i="1"/>
  <c r="L309" i="1"/>
  <c r="M245" i="1"/>
  <c r="L362" i="1"/>
  <c r="M394" i="1"/>
  <c r="M364" i="1"/>
  <c r="M140" i="1"/>
  <c r="M250" i="1"/>
  <c r="L52" i="1"/>
  <c r="L348" i="1"/>
  <c r="M55" i="1"/>
  <c r="M309" i="1"/>
  <c r="L43" i="1"/>
  <c r="L51" i="1"/>
  <c r="L4" i="1"/>
  <c r="M285" i="1"/>
  <c r="M240" i="1"/>
  <c r="L368" i="1"/>
  <c r="L293" i="1"/>
  <c r="L105" i="1"/>
  <c r="L166" i="1"/>
  <c r="M293" i="1"/>
  <c r="M127" i="1"/>
  <c r="L360" i="1"/>
  <c r="M312" i="1"/>
  <c r="M199" i="1"/>
  <c r="M12" i="1"/>
  <c r="M455" i="1"/>
  <c r="M71" i="1"/>
  <c r="M278" i="1"/>
  <c r="M450" i="1"/>
  <c r="L448" i="1"/>
  <c r="L285" i="1"/>
  <c r="L240" i="1"/>
  <c r="M303" i="1"/>
  <c r="L65" i="1"/>
  <c r="L221" i="1"/>
  <c r="L406" i="1"/>
  <c r="M51" i="1"/>
  <c r="M393" i="1"/>
  <c r="L112" i="1"/>
  <c r="L133" i="1"/>
  <c r="M56" i="1"/>
  <c r="L255" i="1"/>
  <c r="M48" i="1"/>
  <c r="L104" i="1"/>
  <c r="M166" i="1"/>
  <c r="L364" i="1"/>
  <c r="M178" i="1"/>
  <c r="M314" i="1"/>
  <c r="L55" i="1"/>
  <c r="M135" i="1"/>
  <c r="L403" i="1"/>
  <c r="L223" i="1"/>
  <c r="L165" i="1"/>
  <c r="M104" i="1"/>
  <c r="M43" i="1"/>
  <c r="L178" i="1"/>
  <c r="M224" i="1"/>
  <c r="M363" i="1"/>
  <c r="L241" i="1"/>
  <c r="M337" i="1"/>
  <c r="L416" i="1"/>
  <c r="M165" i="1"/>
  <c r="L147" i="1"/>
  <c r="M267" i="1"/>
  <c r="M173" i="1"/>
  <c r="M403" i="1"/>
  <c r="M221" i="1"/>
  <c r="M88" i="1"/>
  <c r="O88" i="1" l="1"/>
  <c r="N88" i="1"/>
  <c r="N221" i="1"/>
  <c r="O221" i="1"/>
  <c r="O173" i="1"/>
  <c r="N173" i="1"/>
  <c r="O267" i="1"/>
  <c r="N267" i="1"/>
  <c r="O337" i="1"/>
  <c r="N337" i="1"/>
  <c r="N363" i="1"/>
  <c r="O363" i="1"/>
  <c r="O224" i="1"/>
  <c r="N224" i="1"/>
  <c r="O43" i="1"/>
  <c r="N43" i="1"/>
  <c r="O178" i="1"/>
  <c r="N178" i="1"/>
  <c r="O48" i="1"/>
  <c r="N48" i="1"/>
  <c r="O51" i="1"/>
  <c r="N51" i="1"/>
  <c r="O278" i="1"/>
  <c r="N278" i="1"/>
  <c r="O455" i="1"/>
  <c r="N455" i="1"/>
  <c r="N12" i="1"/>
  <c r="O12" i="1"/>
  <c r="O127" i="1"/>
  <c r="N127" i="1"/>
  <c r="N240" i="1"/>
  <c r="O240" i="1"/>
  <c r="N309" i="1"/>
  <c r="O309" i="1"/>
  <c r="N250" i="1"/>
  <c r="O250" i="1"/>
  <c r="N140" i="1"/>
  <c r="O140" i="1"/>
  <c r="O9" i="1"/>
  <c r="N9" i="1"/>
  <c r="O360" i="1"/>
  <c r="N360" i="1"/>
  <c r="O162" i="1"/>
  <c r="N162" i="1"/>
  <c r="N341" i="1"/>
  <c r="O341" i="1"/>
  <c r="N220" i="1"/>
  <c r="O220" i="1"/>
  <c r="N52" i="1"/>
  <c r="O52" i="1"/>
  <c r="N133" i="1"/>
  <c r="O133" i="1"/>
  <c r="O108" i="1"/>
  <c r="N108" i="1"/>
  <c r="N40" i="1"/>
  <c r="O40" i="1"/>
  <c r="O292" i="1"/>
  <c r="N292" i="1"/>
  <c r="N212" i="1"/>
  <c r="O212" i="1"/>
  <c r="O194" i="1"/>
  <c r="N194" i="1"/>
  <c r="O348" i="1"/>
  <c r="N348" i="1"/>
  <c r="O266" i="1"/>
  <c r="N266" i="1"/>
  <c r="O105" i="1"/>
  <c r="N105" i="1"/>
  <c r="O457" i="1"/>
  <c r="N457" i="1"/>
  <c r="N453" i="1"/>
  <c r="O453" i="1"/>
  <c r="O164" i="1"/>
  <c r="N164" i="1"/>
  <c r="O408" i="1"/>
  <c r="N408" i="1"/>
  <c r="O361" i="1"/>
  <c r="N361" i="1"/>
  <c r="P381" i="1"/>
  <c r="N403" i="1"/>
  <c r="O403" i="1"/>
  <c r="O165" i="1"/>
  <c r="N165" i="1"/>
  <c r="O104" i="1"/>
  <c r="N104" i="1"/>
  <c r="O135" i="1"/>
  <c r="N135" i="1"/>
  <c r="O314" i="1"/>
  <c r="N314" i="1"/>
  <c r="O166" i="1"/>
  <c r="N166" i="1"/>
  <c r="N56" i="1"/>
  <c r="O56" i="1"/>
  <c r="N70" i="1"/>
  <c r="O70" i="1"/>
  <c r="P70" i="1" s="1"/>
  <c r="O393" i="1"/>
  <c r="N393" i="1"/>
  <c r="N303" i="1"/>
  <c r="O303" i="1"/>
  <c r="O450" i="1"/>
  <c r="N450" i="1"/>
  <c r="N71" i="1"/>
  <c r="O71" i="1"/>
  <c r="P71" i="1" s="1"/>
  <c r="O199" i="1"/>
  <c r="N199" i="1"/>
  <c r="N312" i="1"/>
  <c r="O312" i="1"/>
  <c r="O293" i="1"/>
  <c r="N293" i="1"/>
  <c r="O285" i="1"/>
  <c r="N285" i="1"/>
  <c r="N55" i="1"/>
  <c r="O55" i="1"/>
  <c r="N364" i="1"/>
  <c r="O364" i="1"/>
  <c r="O394" i="1"/>
  <c r="N394" i="1"/>
  <c r="O245" i="1"/>
  <c r="N245" i="1"/>
  <c r="O368" i="1"/>
  <c r="N368" i="1"/>
  <c r="O132" i="1"/>
  <c r="N132" i="1"/>
  <c r="N397" i="1"/>
  <c r="O397" i="1"/>
  <c r="O451" i="1"/>
  <c r="N451" i="1"/>
  <c r="O345" i="1"/>
  <c r="N345" i="1"/>
  <c r="O448" i="1"/>
  <c r="N448" i="1"/>
  <c r="N65" i="1"/>
  <c r="O65" i="1"/>
  <c r="P65" i="1" s="1"/>
  <c r="N307" i="1"/>
  <c r="O307" i="1"/>
  <c r="O399" i="1"/>
  <c r="N399" i="1"/>
  <c r="N42" i="1"/>
  <c r="O42" i="1"/>
  <c r="O431" i="1"/>
  <c r="N431" i="1"/>
  <c r="N223" i="1"/>
  <c r="O223" i="1"/>
  <c r="N72" i="1"/>
  <c r="O72" i="1"/>
  <c r="O147" i="1"/>
  <c r="P147" i="1" s="1"/>
  <c r="N147" i="1"/>
  <c r="N435" i="1"/>
  <c r="O435" i="1"/>
  <c r="O188" i="1"/>
  <c r="N188" i="1"/>
  <c r="O415" i="1"/>
  <c r="N415" i="1"/>
  <c r="N362" i="1"/>
  <c r="O362" i="1"/>
  <c r="O406" i="1"/>
  <c r="N406" i="1"/>
  <c r="N241" i="1"/>
  <c r="O241" i="1"/>
  <c r="N255" i="1"/>
  <c r="O255" i="1"/>
  <c r="N4" i="1"/>
  <c r="O4" i="1"/>
  <c r="N462" i="1"/>
  <c r="O462" i="1"/>
  <c r="N119" i="1"/>
  <c r="O119" i="1"/>
  <c r="O143" i="1"/>
  <c r="N143" i="1"/>
  <c r="N232" i="1"/>
  <c r="O232" i="1"/>
  <c r="O112" i="1"/>
  <c r="N112" i="1"/>
  <c r="O416" i="1"/>
  <c r="N416" i="1"/>
  <c r="P416" i="1" l="1"/>
  <c r="P112" i="1"/>
  <c r="P232" i="1"/>
  <c r="P143" i="1"/>
  <c r="P119" i="1"/>
  <c r="P462" i="1"/>
  <c r="P4" i="1"/>
  <c r="P255" i="1"/>
  <c r="P241" i="1"/>
  <c r="P406" i="1"/>
  <c r="P362" i="1"/>
  <c r="P415" i="1"/>
  <c r="P188" i="1"/>
  <c r="P435" i="1"/>
  <c r="P72" i="1"/>
  <c r="P223" i="1"/>
  <c r="P431" i="1"/>
  <c r="P42" i="1"/>
  <c r="P399" i="1"/>
  <c r="P307" i="1"/>
  <c r="P448" i="1"/>
  <c r="P345" i="1"/>
  <c r="P451" i="1"/>
  <c r="P397" i="1"/>
  <c r="P132" i="1"/>
  <c r="P368" i="1"/>
  <c r="P245" i="1"/>
  <c r="P394" i="1"/>
  <c r="P364" i="1"/>
  <c r="P55" i="1"/>
  <c r="P285" i="1"/>
  <c r="P293" i="1"/>
  <c r="P312" i="1"/>
  <c r="P199" i="1"/>
  <c r="P450" i="1"/>
  <c r="P303" i="1"/>
  <c r="P393" i="1"/>
  <c r="P56" i="1"/>
  <c r="P166" i="1"/>
  <c r="P314" i="1"/>
  <c r="P135" i="1"/>
  <c r="P104" i="1"/>
  <c r="P165" i="1"/>
  <c r="P403" i="1"/>
  <c r="P361" i="1"/>
  <c r="P408" i="1"/>
  <c r="P164" i="1"/>
  <c r="P453" i="1"/>
  <c r="P457" i="1"/>
  <c r="P105" i="1"/>
  <c r="P266" i="1"/>
  <c r="P348" i="1"/>
  <c r="P194" i="1"/>
  <c r="P212" i="1"/>
  <c r="P292" i="1"/>
  <c r="P40" i="1"/>
  <c r="P108" i="1"/>
  <c r="P133" i="1"/>
  <c r="P52" i="1"/>
  <c r="P220" i="1"/>
  <c r="P341" i="1"/>
  <c r="P162" i="1"/>
  <c r="P360" i="1"/>
  <c r="P9" i="1"/>
  <c r="P140" i="1"/>
  <c r="P250" i="1"/>
  <c r="P309" i="1"/>
  <c r="P240" i="1"/>
  <c r="P127" i="1"/>
  <c r="P12" i="1"/>
  <c r="P455" i="1"/>
  <c r="P278" i="1"/>
  <c r="P51" i="1"/>
  <c r="P48" i="1"/>
  <c r="P178" i="1"/>
  <c r="P43" i="1"/>
  <c r="P224" i="1"/>
  <c r="P363" i="1"/>
  <c r="P337" i="1"/>
  <c r="P267" i="1"/>
  <c r="P173" i="1"/>
  <c r="P221" i="1"/>
  <c r="P88" i="1"/>
  <c r="L243" i="1" l="1"/>
  <c r="L154" i="1"/>
  <c r="L414" i="1"/>
  <c r="L172" i="1"/>
  <c r="M384" i="1"/>
  <c r="M151" i="1"/>
  <c r="H4" i="1"/>
  <c r="L146" i="1"/>
  <c r="M351" i="1"/>
  <c r="M263" i="1"/>
  <c r="M76" i="1"/>
  <c r="M485" i="1"/>
  <c r="M17" i="1"/>
  <c r="L99" i="1"/>
  <c r="M27" i="1"/>
  <c r="L404" i="1"/>
  <c r="M177" i="1"/>
  <c r="M304" i="1"/>
  <c r="M19" i="1"/>
  <c r="L163" i="1"/>
  <c r="L439" i="1"/>
  <c r="M280" i="1"/>
  <c r="M103" i="1"/>
  <c r="M196" i="1"/>
  <c r="M446" i="1"/>
  <c r="M401" i="1"/>
  <c r="M294" i="1"/>
  <c r="L372" i="1"/>
  <c r="M158" i="1"/>
  <c r="L124" i="1"/>
  <c r="M77" i="1"/>
  <c r="M139" i="1"/>
  <c r="M318" i="1"/>
  <c r="L210" i="1"/>
  <c r="M174" i="1"/>
  <c r="M365" i="1"/>
  <c r="M478" i="1"/>
  <c r="M99" i="1"/>
  <c r="L67" i="1"/>
  <c r="L27" i="1"/>
  <c r="M344" i="1"/>
  <c r="M34" i="1"/>
  <c r="L284" i="1"/>
  <c r="M440" i="1"/>
  <c r="L365" i="1"/>
  <c r="L203" i="1"/>
  <c r="L63" i="1"/>
  <c r="M383" i="1"/>
  <c r="L134" i="1"/>
  <c r="M449" i="1"/>
  <c r="L376" i="1"/>
  <c r="M124" i="1"/>
  <c r="M32" i="1"/>
  <c r="M227" i="1"/>
  <c r="L463" i="1"/>
  <c r="M210" i="1"/>
  <c r="M420" i="1"/>
  <c r="L180" i="1"/>
  <c r="M184" i="1"/>
  <c r="L39" i="1"/>
  <c r="L161" i="1"/>
  <c r="M148" i="1"/>
  <c r="M74" i="1"/>
  <c r="M110" i="1"/>
  <c r="M483" i="1"/>
  <c r="M409" i="1"/>
  <c r="L315" i="1"/>
  <c r="L384" i="1"/>
  <c r="L236" i="1"/>
  <c r="M59" i="1"/>
  <c r="M466" i="1"/>
  <c r="L200" i="1"/>
  <c r="L95" i="1"/>
  <c r="M228" i="1"/>
  <c r="M473" i="1"/>
  <c r="L189" i="1"/>
  <c r="M389" i="1"/>
  <c r="M291" i="1"/>
  <c r="L207" i="1"/>
  <c r="M160" i="1"/>
  <c r="L85" i="1"/>
  <c r="L433" i="1"/>
  <c r="M313" i="1"/>
  <c r="L387" i="1"/>
  <c r="M461" i="1"/>
  <c r="M378" i="1"/>
  <c r="L129" i="1"/>
  <c r="M78" i="1"/>
  <c r="M472" i="1"/>
  <c r="L452" i="1"/>
  <c r="L81" i="1"/>
  <c r="L130" i="1"/>
  <c r="M301" i="1"/>
  <c r="M38" i="1"/>
  <c r="M168" i="1"/>
  <c r="L137" i="1"/>
  <c r="L379" i="1"/>
  <c r="L14" i="1"/>
  <c r="M189" i="1"/>
  <c r="L131" i="1"/>
  <c r="M21" i="1"/>
  <c r="L93" i="1"/>
  <c r="L106" i="1"/>
  <c r="M283" i="1"/>
  <c r="M428" i="1"/>
  <c r="L336" i="1"/>
  <c r="L231" i="1"/>
  <c r="M256" i="1"/>
  <c r="M474" i="1"/>
  <c r="M402" i="1"/>
  <c r="L116" i="1"/>
  <c r="L425" i="1"/>
  <c r="L282" i="1"/>
  <c r="L305" i="1"/>
  <c r="L270" i="1"/>
  <c r="L286" i="1"/>
  <c r="M253" i="1"/>
  <c r="M22" i="1"/>
  <c r="L139" i="1"/>
  <c r="L26" i="1"/>
  <c r="L182" i="1"/>
  <c r="M193" i="1"/>
  <c r="M96" i="1"/>
  <c r="M387" i="1"/>
  <c r="M117" i="1"/>
  <c r="M261" i="1"/>
  <c r="L211" i="1"/>
  <c r="M154" i="1"/>
  <c r="M213" i="1"/>
  <c r="L290" i="1"/>
  <c r="M182" i="1"/>
  <c r="L80" i="1"/>
  <c r="M271" i="1"/>
  <c r="M493" i="1"/>
  <c r="M114" i="1"/>
  <c r="M45" i="1"/>
  <c r="M353" i="1"/>
  <c r="M342" i="1"/>
  <c r="L432" i="1"/>
  <c r="M102" i="1"/>
  <c r="L429" i="1"/>
  <c r="M295" i="1"/>
  <c r="L192" i="1"/>
  <c r="M306" i="1"/>
  <c r="L271" i="1"/>
  <c r="L215" i="1"/>
  <c r="L464" i="1"/>
  <c r="L437" i="1"/>
  <c r="M137" i="1"/>
  <c r="L62" i="1"/>
  <c r="L277" i="1"/>
  <c r="L269" i="1"/>
  <c r="L427" i="1"/>
  <c r="M427" i="1"/>
  <c r="L340" i="1"/>
  <c r="M229" i="1"/>
  <c r="L291" i="1"/>
  <c r="M347" i="1"/>
  <c r="M176" i="1"/>
  <c r="M374" i="1"/>
  <c r="L461" i="1"/>
  <c r="M489" i="1"/>
  <c r="M13" i="1"/>
  <c r="M64" i="1"/>
  <c r="M281" i="1"/>
  <c r="M272" i="1"/>
  <c r="M316" i="1"/>
  <c r="M35" i="1"/>
  <c r="L97" i="1"/>
  <c r="L156" i="1"/>
  <c r="M46" i="1"/>
  <c r="M385" i="1"/>
  <c r="M31" i="1"/>
  <c r="M233" i="1"/>
  <c r="L468" i="1"/>
  <c r="L89" i="1"/>
  <c r="M338" i="1"/>
  <c r="M436" i="1"/>
  <c r="M75" i="1"/>
  <c r="L49" i="1"/>
  <c r="M106" i="1"/>
  <c r="L138" i="1"/>
  <c r="M315" i="1"/>
  <c r="L15" i="1"/>
  <c r="M115" i="1"/>
  <c r="L357" i="1"/>
  <c r="M121" i="1"/>
  <c r="M417" i="1"/>
  <c r="L366" i="1"/>
  <c r="L388" i="1"/>
  <c r="L288" i="1"/>
  <c r="L79" i="1"/>
  <c r="L185" i="1"/>
  <c r="M161" i="1"/>
  <c r="M185" i="1"/>
  <c r="L190" i="1"/>
  <c r="L428" i="1"/>
  <c r="M305" i="1"/>
  <c r="L402" i="1"/>
  <c r="L301" i="1"/>
  <c r="M215" i="1"/>
  <c r="M410" i="1"/>
  <c r="M20" i="1"/>
  <c r="M118" i="1"/>
  <c r="L122" i="1"/>
  <c r="M30" i="1"/>
  <c r="M426" i="1"/>
  <c r="L54" i="1"/>
  <c r="M464" i="1"/>
  <c r="L33" i="1"/>
  <c r="L186" i="1"/>
  <c r="M262" i="1"/>
  <c r="L318" i="1"/>
  <c r="M421" i="1"/>
  <c r="L383" i="1"/>
  <c r="L109" i="1"/>
  <c r="L377" i="1"/>
  <c r="L405" i="1"/>
  <c r="M358" i="1"/>
  <c r="L436" i="1"/>
  <c r="M128" i="1"/>
  <c r="M186" i="1"/>
  <c r="L34" i="1"/>
  <c r="M243" i="1"/>
  <c r="M37" i="1"/>
  <c r="M339" i="1"/>
  <c r="M197" i="1"/>
  <c r="M264" i="1"/>
  <c r="M91" i="1"/>
  <c r="L475" i="1"/>
  <c r="M63" i="1"/>
  <c r="M282" i="1"/>
  <c r="M2" i="1"/>
  <c r="L91" i="1"/>
  <c r="M180" i="1"/>
  <c r="L310" i="1"/>
  <c r="L31" i="1"/>
  <c r="L259" i="1"/>
  <c r="M395" i="1"/>
  <c r="L472" i="1"/>
  <c r="M87" i="1"/>
  <c r="L7" i="1"/>
  <c r="M350" i="1"/>
  <c r="M175" i="1"/>
  <c r="L229" i="1"/>
  <c r="L167" i="1"/>
  <c r="L467" i="1"/>
  <c r="M317" i="1"/>
  <c r="M155" i="1"/>
  <c r="M90" i="1"/>
  <c r="L35" i="1"/>
  <c r="L469" i="1"/>
  <c r="M179" i="1"/>
  <c r="L395" i="1"/>
  <c r="M205" i="1"/>
  <c r="L201" i="1"/>
  <c r="M138" i="1"/>
  <c r="L390" i="1"/>
  <c r="M169" i="1"/>
  <c r="L247" i="1"/>
  <c r="M237" i="1"/>
  <c r="L347" i="1"/>
  <c r="M465" i="1"/>
  <c r="M459" i="1"/>
  <c r="M372" i="1"/>
  <c r="M373" i="1"/>
  <c r="L426" i="1"/>
  <c r="M24" i="1"/>
  <c r="M156" i="1"/>
  <c r="M392" i="1"/>
  <c r="M230" i="1"/>
  <c r="M141" i="1"/>
  <c r="M477" i="1"/>
  <c r="M490" i="1"/>
  <c r="L148" i="1"/>
  <c r="M491" i="1"/>
  <c r="M152" i="1"/>
  <c r="M16" i="1"/>
  <c r="M217" i="1"/>
  <c r="L234" i="1"/>
  <c r="L38" i="1"/>
  <c r="M7" i="1"/>
  <c r="L249" i="1"/>
  <c r="M10" i="1"/>
  <c r="M206" i="1"/>
  <c r="M405" i="1"/>
  <c r="L263" i="1"/>
  <c r="M58" i="1"/>
  <c r="L6" i="1"/>
  <c r="M41" i="1"/>
  <c r="L419" i="1"/>
  <c r="L258" i="1"/>
  <c r="L92" i="1"/>
  <c r="M172" i="1"/>
  <c r="L75" i="1"/>
  <c r="M447" i="1"/>
  <c r="L260" i="1"/>
  <c r="L477" i="1"/>
  <c r="L378" i="1"/>
  <c r="M386" i="1"/>
  <c r="L53" i="1"/>
  <c r="L444" i="1"/>
  <c r="L179" i="1"/>
  <c r="L396" i="1"/>
  <c r="M308" i="1"/>
  <c r="L420" i="1"/>
  <c r="M419" i="1"/>
  <c r="L100" i="1"/>
  <c r="L350" i="1"/>
  <c r="M479" i="1"/>
  <c r="L205" i="1"/>
  <c r="L225" i="1"/>
  <c r="M290" i="1"/>
  <c r="L69" i="1"/>
  <c r="L351" i="1"/>
  <c r="L17" i="1"/>
  <c r="L209" i="1"/>
  <c r="M97" i="1"/>
  <c r="M33" i="1"/>
  <c r="M336" i="1"/>
  <c r="M486" i="1"/>
  <c r="L275" i="1"/>
  <c r="M463" i="1"/>
  <c r="L60" i="1"/>
  <c r="L142" i="1"/>
  <c r="L61" i="1"/>
  <c r="M123" i="1"/>
  <c r="L118" i="1"/>
  <c r="M299" i="1"/>
  <c r="L21" i="1"/>
  <c r="M200" i="1"/>
  <c r="L227" i="1"/>
  <c r="M432" i="1"/>
  <c r="L184" i="1"/>
  <c r="M379" i="1"/>
  <c r="M150" i="1"/>
  <c r="L2" i="1"/>
  <c r="L358" i="1"/>
  <c r="M49" i="1"/>
  <c r="L90" i="1"/>
  <c r="L295" i="1"/>
  <c r="M254" i="1"/>
  <c r="L367" i="1"/>
  <c r="M258" i="1"/>
  <c r="L244" i="1"/>
  <c r="L222" i="1"/>
  <c r="M26" i="1"/>
  <c r="M25" i="1"/>
  <c r="L296" i="1"/>
  <c r="L228" i="1"/>
  <c r="L44" i="1"/>
  <c r="M257" i="1"/>
  <c r="M234" i="1"/>
  <c r="M277" i="1"/>
  <c r="L181" i="1"/>
  <c r="M101" i="1"/>
  <c r="L356" i="1"/>
  <c r="L136" i="1"/>
  <c r="L171" i="1"/>
  <c r="M375" i="1"/>
  <c r="M54" i="1"/>
  <c r="L343" i="1"/>
  <c r="L355" i="1"/>
  <c r="L218" i="1"/>
  <c r="M391" i="1"/>
  <c r="M15" i="1"/>
  <c r="M297" i="1"/>
  <c r="L371" i="1"/>
  <c r="L10" i="1"/>
  <c r="L96" i="1"/>
  <c r="M376" i="1"/>
  <c r="M60" i="1"/>
  <c r="L443" i="1"/>
  <c r="L239" i="1"/>
  <c r="L83" i="1"/>
  <c r="M433" i="1"/>
  <c r="L306" i="1"/>
  <c r="L242" i="1"/>
  <c r="L294" i="1"/>
  <c r="M122" i="1"/>
  <c r="M95" i="1"/>
  <c r="M430" i="1"/>
  <c r="L98" i="1"/>
  <c r="L398" i="1"/>
  <c r="M355" i="1"/>
  <c r="L478" i="1"/>
  <c r="M126" i="1"/>
  <c r="M146" i="1"/>
  <c r="M5" i="1"/>
  <c r="M73" i="1"/>
  <c r="M92" i="1"/>
  <c r="L287" i="1"/>
  <c r="M413" i="1"/>
  <c r="L273" i="1"/>
  <c r="L349" i="1"/>
  <c r="M53" i="1"/>
  <c r="M28" i="1"/>
  <c r="M382" i="1"/>
  <c r="M134" i="1"/>
  <c r="M242" i="1"/>
  <c r="L235" i="1"/>
  <c r="L101" i="1"/>
  <c r="L458" i="1"/>
  <c r="M100" i="1"/>
  <c r="L302" i="1"/>
  <c r="L126" i="1"/>
  <c r="M195" i="1"/>
  <c r="L120" i="1"/>
  <c r="L353" i="1"/>
  <c r="M226" i="1"/>
  <c r="M441" i="1"/>
  <c r="M208" i="1"/>
  <c r="M82" i="1"/>
  <c r="L123" i="1"/>
  <c r="L346" i="1"/>
  <c r="L64" i="1"/>
  <c r="L213" i="1"/>
  <c r="M260" i="1"/>
  <c r="M343" i="1"/>
  <c r="L159" i="1"/>
  <c r="L8" i="1"/>
  <c r="L449" i="1"/>
  <c r="M29" i="1"/>
  <c r="M480" i="1"/>
  <c r="L103" i="1"/>
  <c r="L344" i="1"/>
  <c r="M468" i="1"/>
  <c r="M390" i="1"/>
  <c r="M396" i="1"/>
  <c r="L289" i="1"/>
  <c r="M83" i="1"/>
  <c r="M296" i="1"/>
  <c r="M93" i="1"/>
  <c r="L359" i="1"/>
  <c r="M452" i="1"/>
  <c r="M198" i="1"/>
  <c r="M404" i="1"/>
  <c r="M423" i="1"/>
  <c r="L58" i="1"/>
  <c r="L87" i="1"/>
  <c r="L219" i="1"/>
  <c r="M388" i="1"/>
  <c r="L195" i="1"/>
  <c r="L25" i="1"/>
  <c r="M471" i="1"/>
  <c r="M142" i="1"/>
  <c r="L82" i="1"/>
  <c r="M439" i="1"/>
  <c r="M235" i="1"/>
  <c r="M369" i="1"/>
  <c r="M3" i="1"/>
  <c r="M248" i="1"/>
  <c r="L110" i="1"/>
  <c r="M113" i="1"/>
  <c r="L370" i="1"/>
  <c r="L23" i="1"/>
  <c r="M252" i="1"/>
  <c r="M422" i="1"/>
  <c r="L297" i="1"/>
  <c r="L354" i="1"/>
  <c r="L152" i="1"/>
  <c r="L183" i="1"/>
  <c r="L94" i="1"/>
  <c r="M311" i="1"/>
  <c r="L226" i="1"/>
  <c r="M366" i="1"/>
  <c r="M359" i="1"/>
  <c r="L299" i="1"/>
  <c r="M218" i="1"/>
  <c r="L480" i="1"/>
  <c r="M460" i="1"/>
  <c r="M69" i="1"/>
  <c r="L13" i="1"/>
  <c r="L471" i="1"/>
  <c r="L465" i="1"/>
  <c r="M371" i="1"/>
  <c r="M429" i="1"/>
  <c r="L253" i="1"/>
  <c r="L276" i="1"/>
  <c r="L391" i="1"/>
  <c r="M116" i="1"/>
  <c r="M231" i="1"/>
  <c r="M8" i="1"/>
  <c r="M109" i="1"/>
  <c r="L155" i="1"/>
  <c r="M216" i="1"/>
  <c r="M239" i="1"/>
  <c r="L18" i="1"/>
  <c r="L111" i="1"/>
  <c r="L422" i="1"/>
  <c r="L76" i="1"/>
  <c r="L45" i="1"/>
  <c r="M437" i="1"/>
  <c r="M214" i="1"/>
  <c r="M187" i="1"/>
  <c r="M434" i="1"/>
  <c r="M50" i="1"/>
  <c r="M153" i="1"/>
  <c r="L170" i="1"/>
  <c r="M367" i="1"/>
  <c r="L413" i="1"/>
  <c r="M488" i="1"/>
  <c r="L238" i="1"/>
  <c r="M136" i="1"/>
  <c r="L424" i="1"/>
  <c r="M370" i="1"/>
  <c r="M47" i="1"/>
  <c r="L144" i="1"/>
  <c r="L46" i="1"/>
  <c r="M201" i="1"/>
  <c r="L493" i="1"/>
  <c r="L74" i="1"/>
  <c r="M487" i="1"/>
  <c r="L257" i="1"/>
  <c r="M163" i="1"/>
  <c r="L168" i="1"/>
  <c r="M202" i="1"/>
  <c r="M57" i="1"/>
  <c r="L411" i="1"/>
  <c r="L157" i="1"/>
  <c r="L279" i="1"/>
  <c r="M192" i="1"/>
  <c r="M181" i="1"/>
  <c r="M469" i="1"/>
  <c r="L125" i="1"/>
  <c r="L230" i="1"/>
  <c r="L107" i="1"/>
  <c r="M204" i="1"/>
  <c r="L281" i="1"/>
  <c r="M251" i="1"/>
  <c r="M346" i="1"/>
  <c r="M454" i="1"/>
  <c r="M225" i="1"/>
  <c r="M302" i="1"/>
  <c r="L217" i="1"/>
  <c r="M170" i="1"/>
  <c r="M144" i="1"/>
  <c r="L202" i="1"/>
  <c r="M238" i="1"/>
  <c r="L470" i="1"/>
  <c r="L208" i="1"/>
  <c r="L274" i="1"/>
  <c r="M94" i="1"/>
  <c r="L338" i="1"/>
  <c r="M418" i="1"/>
  <c r="L410" i="1"/>
  <c r="L264" i="1"/>
  <c r="L479" i="1"/>
  <c r="M36" i="1"/>
  <c r="M481" i="1"/>
  <c r="L20" i="1"/>
  <c r="L369" i="1"/>
  <c r="L374" i="1"/>
  <c r="M209" i="1"/>
  <c r="L300" i="1"/>
  <c r="L29" i="1"/>
  <c r="L412" i="1"/>
  <c r="L153" i="1"/>
  <c r="L382" i="1"/>
  <c r="M211" i="1"/>
  <c r="M475" i="1"/>
  <c r="L121" i="1"/>
  <c r="L84" i="1"/>
  <c r="M492" i="1"/>
  <c r="L115" i="1"/>
  <c r="M244" i="1"/>
  <c r="M89" i="1"/>
  <c r="M279" i="1"/>
  <c r="L59" i="1"/>
  <c r="M445" i="1"/>
  <c r="L204" i="1"/>
  <c r="L298" i="1"/>
  <c r="L392" i="1"/>
  <c r="L150" i="1"/>
  <c r="L442" i="1"/>
  <c r="M340" i="1"/>
  <c r="M145" i="1"/>
  <c r="M357" i="1"/>
  <c r="L5" i="1"/>
  <c r="M310" i="1"/>
  <c r="M275" i="1"/>
  <c r="L262" i="1"/>
  <c r="L473" i="1"/>
  <c r="M425" i="1"/>
  <c r="L317" i="1"/>
  <c r="L268" i="1"/>
  <c r="M476" i="1"/>
  <c r="M111" i="1"/>
  <c r="M14" i="1"/>
  <c r="L430" i="1"/>
  <c r="L141" i="1"/>
  <c r="M356" i="1"/>
  <c r="M85" i="1"/>
  <c r="M300" i="1"/>
  <c r="L22" i="1"/>
  <c r="L187" i="1"/>
  <c r="M273" i="1"/>
  <c r="M157" i="1"/>
  <c r="M120" i="1"/>
  <c r="M467" i="1"/>
  <c r="L198" i="1"/>
  <c r="M84" i="1"/>
  <c r="M190" i="1"/>
  <c r="M268" i="1"/>
  <c r="M458" i="1"/>
  <c r="L16" i="1"/>
  <c r="L36" i="1"/>
  <c r="L114" i="1"/>
  <c r="M131" i="1"/>
  <c r="M269" i="1"/>
  <c r="L418" i="1"/>
  <c r="L447" i="1"/>
  <c r="L233" i="1"/>
  <c r="L375" i="1"/>
  <c r="M159" i="1"/>
  <c r="L417" i="1"/>
  <c r="L386" i="1"/>
  <c r="L339" i="1"/>
  <c r="M377" i="1"/>
  <c r="M438" i="1"/>
  <c r="M62" i="1"/>
  <c r="M284" i="1"/>
  <c r="L158" i="1"/>
  <c r="L474" i="1"/>
  <c r="M424" i="1"/>
  <c r="M44" i="1"/>
  <c r="L191" i="1"/>
  <c r="L265" i="1"/>
  <c r="M411" i="1"/>
  <c r="L440" i="1"/>
  <c r="L313" i="1"/>
  <c r="M444" i="1"/>
  <c r="M287" i="1"/>
  <c r="L446" i="1"/>
  <c r="L145" i="1"/>
  <c r="M274" i="1"/>
  <c r="L352" i="1"/>
  <c r="M81" i="1"/>
  <c r="L308" i="1"/>
  <c r="L24" i="1"/>
  <c r="M80" i="1"/>
  <c r="M6" i="1"/>
  <c r="L47" i="1"/>
  <c r="M349" i="1"/>
  <c r="L196" i="1"/>
  <c r="L304" i="1"/>
  <c r="L316" i="1"/>
  <c r="M286" i="1"/>
  <c r="L311" i="1"/>
  <c r="L246" i="1"/>
  <c r="L407" i="1"/>
  <c r="L41" i="1"/>
  <c r="M61" i="1"/>
  <c r="M456" i="1"/>
  <c r="M236" i="1"/>
  <c r="L78" i="1"/>
  <c r="L445" i="1"/>
  <c r="L30" i="1"/>
  <c r="M67" i="1"/>
  <c r="M130" i="1"/>
  <c r="L169" i="1"/>
  <c r="L193" i="1"/>
  <c r="M414" i="1"/>
  <c r="M79" i="1"/>
  <c r="L342" i="1"/>
  <c r="M66" i="1"/>
  <c r="M259" i="1"/>
  <c r="M407" i="1"/>
  <c r="M86" i="1"/>
  <c r="L280" i="1"/>
  <c r="M171" i="1"/>
  <c r="M183" i="1"/>
  <c r="M288" i="1"/>
  <c r="M352" i="1"/>
  <c r="M222" i="1"/>
  <c r="M149" i="1"/>
  <c r="M354" i="1"/>
  <c r="L28" i="1"/>
  <c r="L113" i="1"/>
  <c r="L251" i="1"/>
  <c r="M443" i="1"/>
  <c r="M482" i="1"/>
  <c r="L466" i="1"/>
  <c r="L373" i="1"/>
  <c r="M484" i="1"/>
  <c r="M18" i="1"/>
  <c r="M298" i="1"/>
  <c r="M191" i="1"/>
  <c r="L73" i="1"/>
  <c r="L456" i="1"/>
  <c r="L177" i="1"/>
  <c r="L174" i="1"/>
  <c r="M398" i="1"/>
  <c r="L385" i="1"/>
  <c r="L149" i="1"/>
  <c r="L248" i="1"/>
  <c r="L117" i="1"/>
  <c r="L460" i="1"/>
  <c r="M400" i="1"/>
  <c r="M23" i="1"/>
  <c r="L19" i="1"/>
  <c r="M207" i="1"/>
  <c r="M107" i="1"/>
  <c r="M125" i="1"/>
  <c r="L206" i="1"/>
  <c r="L256" i="1"/>
  <c r="M442" i="1"/>
  <c r="L476" i="1"/>
  <c r="M270" i="1"/>
  <c r="L160" i="1"/>
  <c r="L50" i="1"/>
  <c r="L421" i="1"/>
  <c r="M249" i="1"/>
  <c r="M167" i="1"/>
  <c r="M265" i="1"/>
  <c r="M246" i="1"/>
  <c r="L459" i="1"/>
  <c r="L252" i="1"/>
  <c r="M203" i="1"/>
  <c r="L175" i="1"/>
  <c r="L57" i="1"/>
  <c r="M39" i="1"/>
  <c r="L197" i="1"/>
  <c r="L176" i="1"/>
  <c r="M470" i="1"/>
  <c r="L272" i="1"/>
  <c r="L237" i="1"/>
  <c r="M412" i="1"/>
  <c r="M11" i="1"/>
  <c r="L66" i="1"/>
  <c r="L389" i="1"/>
  <c r="M247" i="1"/>
  <c r="L11" i="1"/>
  <c r="L409" i="1"/>
  <c r="L151" i="1"/>
  <c r="M380" i="1"/>
  <c r="M276" i="1"/>
  <c r="L380" i="1"/>
  <c r="M219" i="1"/>
  <c r="M98" i="1"/>
  <c r="L434" i="1"/>
  <c r="L454" i="1"/>
  <c r="M289" i="1"/>
  <c r="L32" i="1"/>
  <c r="L216" i="1"/>
  <c r="L3" i="1"/>
  <c r="L441" i="1"/>
  <c r="L77" i="1"/>
  <c r="M129" i="1"/>
  <c r="L423" i="1"/>
  <c r="L37" i="1"/>
  <c r="N129" i="1" l="1"/>
  <c r="O129" i="1"/>
  <c r="P129" i="1" s="1"/>
  <c r="N289" i="1"/>
  <c r="O289" i="1"/>
  <c r="P289" i="1" s="1"/>
  <c r="N98" i="1"/>
  <c r="O98" i="1"/>
  <c r="P98" i="1" s="1"/>
  <c r="N219" i="1"/>
  <c r="O219" i="1"/>
  <c r="P219" i="1" s="1"/>
  <c r="O276" i="1"/>
  <c r="P276" i="1" s="1"/>
  <c r="N276" i="1"/>
  <c r="N380" i="1"/>
  <c r="O380" i="1"/>
  <c r="P380" i="1" s="1"/>
  <c r="N247" i="1"/>
  <c r="O247" i="1"/>
  <c r="P247" i="1" s="1"/>
  <c r="N11" i="1"/>
  <c r="O11" i="1"/>
  <c r="P11" i="1" s="1"/>
  <c r="N412" i="1"/>
  <c r="O412" i="1"/>
  <c r="P412" i="1" s="1"/>
  <c r="O470" i="1"/>
  <c r="N470" i="1"/>
  <c r="N39" i="1"/>
  <c r="O39" i="1"/>
  <c r="P39" i="1" s="1"/>
  <c r="N203" i="1"/>
  <c r="O203" i="1"/>
  <c r="P203" i="1" s="1"/>
  <c r="N246" i="1"/>
  <c r="O246" i="1"/>
  <c r="P246" i="1" s="1"/>
  <c r="N265" i="1"/>
  <c r="O265" i="1"/>
  <c r="N167" i="1"/>
  <c r="O167" i="1"/>
  <c r="P167" i="1" s="1"/>
  <c r="N249" i="1"/>
  <c r="O249" i="1"/>
  <c r="P249" i="1" s="1"/>
  <c r="O270" i="1"/>
  <c r="P270" i="1" s="1"/>
  <c r="N270" i="1"/>
  <c r="O442" i="1"/>
  <c r="P442" i="1" s="1"/>
  <c r="N442" i="1"/>
  <c r="N125" i="1"/>
  <c r="O125" i="1"/>
  <c r="P125" i="1" s="1"/>
  <c r="O107" i="1"/>
  <c r="P107" i="1" s="1"/>
  <c r="N107" i="1"/>
  <c r="O207" i="1"/>
  <c r="P207" i="1" s="1"/>
  <c r="N207" i="1"/>
  <c r="O23" i="1"/>
  <c r="P23" i="1" s="1"/>
  <c r="N23" i="1"/>
  <c r="N400" i="1"/>
  <c r="O400" i="1"/>
  <c r="P400" i="1" s="1"/>
  <c r="N398" i="1"/>
  <c r="O398" i="1"/>
  <c r="P398" i="1" s="1"/>
  <c r="O191" i="1"/>
  <c r="P191" i="1" s="1"/>
  <c r="N191" i="1"/>
  <c r="O298" i="1"/>
  <c r="P298" i="1" s="1"/>
  <c r="N298" i="1"/>
  <c r="N18" i="1"/>
  <c r="O18" i="1"/>
  <c r="P18" i="1" s="1"/>
  <c r="N484" i="1"/>
  <c r="O484" i="1"/>
  <c r="O482" i="1"/>
  <c r="N482" i="1"/>
  <c r="O443" i="1"/>
  <c r="P443" i="1" s="1"/>
  <c r="N443" i="1"/>
  <c r="O354" i="1"/>
  <c r="P354" i="1" s="1"/>
  <c r="N354" i="1"/>
  <c r="N149" i="1"/>
  <c r="O149" i="1"/>
  <c r="P149" i="1" s="1"/>
  <c r="O222" i="1"/>
  <c r="P222" i="1" s="1"/>
  <c r="N222" i="1"/>
  <c r="N352" i="1"/>
  <c r="O352" i="1"/>
  <c r="P352" i="1" s="1"/>
  <c r="N288" i="1"/>
  <c r="O288" i="1"/>
  <c r="P288" i="1" s="1"/>
  <c r="O183" i="1"/>
  <c r="P183" i="1" s="1"/>
  <c r="N183" i="1"/>
  <c r="N171" i="1"/>
  <c r="O171" i="1"/>
  <c r="P171" i="1" s="1"/>
  <c r="N86" i="1"/>
  <c r="O86" i="1"/>
  <c r="P86" i="1" s="1"/>
  <c r="N407" i="1"/>
  <c r="O407" i="1"/>
  <c r="P407" i="1" s="1"/>
  <c r="N259" i="1"/>
  <c r="O259" i="1"/>
  <c r="P259" i="1" s="1"/>
  <c r="N66" i="1"/>
  <c r="O66" i="1"/>
  <c r="P66" i="1" s="1"/>
  <c r="N79" i="1"/>
  <c r="O79" i="1"/>
  <c r="P79" i="1" s="1"/>
  <c r="N414" i="1"/>
  <c r="O414" i="1"/>
  <c r="P414" i="1" s="1"/>
  <c r="N130" i="1"/>
  <c r="O130" i="1"/>
  <c r="P130" i="1" s="1"/>
  <c r="O67" i="1"/>
  <c r="P67" i="1" s="1"/>
  <c r="N67" i="1"/>
  <c r="N236" i="1"/>
  <c r="O236" i="1"/>
  <c r="P236" i="1" s="1"/>
  <c r="O456" i="1"/>
  <c r="P456" i="1" s="1"/>
  <c r="N456" i="1"/>
  <c r="N61" i="1"/>
  <c r="O61" i="1"/>
  <c r="P61" i="1" s="1"/>
  <c r="O286" i="1"/>
  <c r="P286" i="1" s="1"/>
  <c r="N286" i="1"/>
  <c r="O349" i="1"/>
  <c r="P349" i="1" s="1"/>
  <c r="N349" i="1"/>
  <c r="N6" i="1"/>
  <c r="O6" i="1"/>
  <c r="P6" i="1" s="1"/>
  <c r="O80" i="1"/>
  <c r="P80" i="1" s="1"/>
  <c r="N80" i="1"/>
  <c r="O81" i="1"/>
  <c r="P81" i="1" s="1"/>
  <c r="N81" i="1"/>
  <c r="N274" i="1"/>
  <c r="O274" i="1"/>
  <c r="P274" i="1" s="1"/>
  <c r="N287" i="1"/>
  <c r="O287" i="1"/>
  <c r="P287" i="1" s="1"/>
  <c r="N444" i="1"/>
  <c r="O444" i="1"/>
  <c r="P444" i="1" s="1"/>
  <c r="N411" i="1"/>
  <c r="O411" i="1"/>
  <c r="P411" i="1" s="1"/>
  <c r="O44" i="1"/>
  <c r="P44" i="1" s="1"/>
  <c r="N44" i="1"/>
  <c r="O424" i="1"/>
  <c r="P424" i="1" s="1"/>
  <c r="N424" i="1"/>
  <c r="O284" i="1"/>
  <c r="P284" i="1" s="1"/>
  <c r="N284" i="1"/>
  <c r="O62" i="1"/>
  <c r="P62" i="1" s="1"/>
  <c r="N62" i="1"/>
  <c r="N438" i="1"/>
  <c r="O438" i="1"/>
  <c r="P438" i="1" s="1"/>
  <c r="O377" i="1"/>
  <c r="P377" i="1" s="1"/>
  <c r="N377" i="1"/>
  <c r="N159" i="1"/>
  <c r="O159" i="1"/>
  <c r="P159" i="1" s="1"/>
  <c r="O269" i="1"/>
  <c r="P269" i="1" s="1"/>
  <c r="N269" i="1"/>
  <c r="O131" i="1"/>
  <c r="P131" i="1" s="1"/>
  <c r="N131" i="1"/>
  <c r="O458" i="1"/>
  <c r="P458" i="1" s="1"/>
  <c r="N458" i="1"/>
  <c r="N268" i="1"/>
  <c r="O268" i="1"/>
  <c r="P268" i="1" s="1"/>
  <c r="N190" i="1"/>
  <c r="O190" i="1"/>
  <c r="P190" i="1" s="1"/>
  <c r="O84" i="1"/>
  <c r="P84" i="1" s="1"/>
  <c r="N84" i="1"/>
  <c r="N467" i="1"/>
  <c r="O467" i="1"/>
  <c r="N120" i="1"/>
  <c r="O120" i="1"/>
  <c r="P120" i="1" s="1"/>
  <c r="O157" i="1"/>
  <c r="P157" i="1" s="1"/>
  <c r="N157" i="1"/>
  <c r="N273" i="1"/>
  <c r="O273" i="1"/>
  <c r="P273" i="1" s="1"/>
  <c r="O300" i="1"/>
  <c r="P300" i="1" s="1"/>
  <c r="N300" i="1"/>
  <c r="N85" i="1"/>
  <c r="O85" i="1"/>
  <c r="P85" i="1" s="1"/>
  <c r="N356" i="1"/>
  <c r="O356" i="1"/>
  <c r="P356" i="1" s="1"/>
  <c r="N14" i="1"/>
  <c r="O14" i="1"/>
  <c r="P14" i="1" s="1"/>
  <c r="N111" i="1"/>
  <c r="O111" i="1"/>
  <c r="P111" i="1" s="1"/>
  <c r="N476" i="1"/>
  <c r="O476" i="1"/>
  <c r="O425" i="1"/>
  <c r="P425" i="1" s="1"/>
  <c r="N425" i="1"/>
  <c r="O275" i="1"/>
  <c r="P275" i="1" s="1"/>
  <c r="N275" i="1"/>
  <c r="O310" i="1"/>
  <c r="P310" i="1" s="1"/>
  <c r="N310" i="1"/>
  <c r="N357" i="1"/>
  <c r="O357" i="1"/>
  <c r="P357" i="1" s="1"/>
  <c r="O145" i="1"/>
  <c r="P145" i="1" s="1"/>
  <c r="N145" i="1"/>
  <c r="O340" i="1"/>
  <c r="P340" i="1" s="1"/>
  <c r="N340" i="1"/>
  <c r="N445" i="1"/>
  <c r="O445" i="1"/>
  <c r="P445" i="1" s="1"/>
  <c r="O279" i="1"/>
  <c r="P279" i="1" s="1"/>
  <c r="N279" i="1"/>
  <c r="O89" i="1"/>
  <c r="P89" i="1" s="1"/>
  <c r="N89" i="1"/>
  <c r="O244" i="1"/>
  <c r="P244" i="1" s="1"/>
  <c r="N244" i="1"/>
  <c r="N492" i="1"/>
  <c r="O492" i="1"/>
  <c r="O475" i="1"/>
  <c r="N475" i="1"/>
  <c r="N211" i="1"/>
  <c r="O211" i="1"/>
  <c r="P211" i="1" s="1"/>
  <c r="N209" i="1"/>
  <c r="O209" i="1"/>
  <c r="P209" i="1" s="1"/>
  <c r="N481" i="1"/>
  <c r="O481" i="1"/>
  <c r="O36" i="1"/>
  <c r="P36" i="1" s="1"/>
  <c r="N36" i="1"/>
  <c r="N418" i="1"/>
  <c r="O418" i="1"/>
  <c r="P418" i="1" s="1"/>
  <c r="O94" i="1"/>
  <c r="P94" i="1" s="1"/>
  <c r="N94" i="1"/>
  <c r="N238" i="1"/>
  <c r="O238" i="1"/>
  <c r="P238" i="1" s="1"/>
  <c r="N144" i="1"/>
  <c r="O144" i="1"/>
  <c r="P144" i="1" s="1"/>
  <c r="N170" i="1"/>
  <c r="O170" i="1"/>
  <c r="P170" i="1" s="1"/>
  <c r="N302" i="1"/>
  <c r="O302" i="1"/>
  <c r="P302" i="1" s="1"/>
  <c r="O225" i="1"/>
  <c r="P225" i="1" s="1"/>
  <c r="N225" i="1"/>
  <c r="O454" i="1"/>
  <c r="P454" i="1" s="1"/>
  <c r="N454" i="1"/>
  <c r="N346" i="1"/>
  <c r="O346" i="1"/>
  <c r="P346" i="1" s="1"/>
  <c r="N251" i="1"/>
  <c r="O251" i="1"/>
  <c r="P251" i="1" s="1"/>
  <c r="N204" i="1"/>
  <c r="O204" i="1"/>
  <c r="P204" i="1" s="1"/>
  <c r="O469" i="1"/>
  <c r="N469" i="1"/>
  <c r="O181" i="1"/>
  <c r="P181" i="1" s="1"/>
  <c r="N181" i="1"/>
  <c r="N192" i="1"/>
  <c r="O192" i="1"/>
  <c r="P192" i="1" s="1"/>
  <c r="O57" i="1"/>
  <c r="P57" i="1" s="1"/>
  <c r="N57" i="1"/>
  <c r="O202" i="1"/>
  <c r="P202" i="1" s="1"/>
  <c r="N202" i="1"/>
  <c r="N163" i="1"/>
  <c r="O163" i="1"/>
  <c r="P163" i="1" s="1"/>
  <c r="O487" i="1"/>
  <c r="N487" i="1"/>
  <c r="O201" i="1"/>
  <c r="P201" i="1" s="1"/>
  <c r="N201" i="1"/>
  <c r="N47" i="1"/>
  <c r="O47" i="1"/>
  <c r="P47" i="1" s="1"/>
  <c r="N370" i="1"/>
  <c r="O370" i="1"/>
  <c r="P370" i="1" s="1"/>
  <c r="N136" i="1"/>
  <c r="O136" i="1"/>
  <c r="P136" i="1" s="1"/>
  <c r="O488" i="1"/>
  <c r="N488" i="1"/>
  <c r="O367" i="1"/>
  <c r="P367" i="1" s="1"/>
  <c r="N367" i="1"/>
  <c r="N153" i="1"/>
  <c r="O153" i="1"/>
  <c r="P153" i="1" s="1"/>
  <c r="O50" i="1"/>
  <c r="P50" i="1" s="1"/>
  <c r="N50" i="1"/>
  <c r="N434" i="1"/>
  <c r="O434" i="1"/>
  <c r="P434" i="1" s="1"/>
  <c r="N187" i="1"/>
  <c r="O187" i="1"/>
  <c r="P187" i="1" s="1"/>
  <c r="N214" i="1"/>
  <c r="O214" i="1"/>
  <c r="P214" i="1" s="1"/>
  <c r="N437" i="1"/>
  <c r="O437" i="1"/>
  <c r="P437" i="1" s="1"/>
  <c r="O239" i="1"/>
  <c r="P239" i="1" s="1"/>
  <c r="N239" i="1"/>
  <c r="N216" i="1"/>
  <c r="O216" i="1"/>
  <c r="P216" i="1" s="1"/>
  <c r="O109" i="1"/>
  <c r="P109" i="1" s="1"/>
  <c r="N109" i="1"/>
  <c r="N8" i="1"/>
  <c r="O8" i="1"/>
  <c r="P8" i="1" s="1"/>
  <c r="N231" i="1"/>
  <c r="O231" i="1"/>
  <c r="P231" i="1" s="1"/>
  <c r="N116" i="1"/>
  <c r="O116" i="1"/>
  <c r="P116" i="1" s="1"/>
  <c r="O429" i="1"/>
  <c r="P429" i="1" s="1"/>
  <c r="N429" i="1"/>
  <c r="O371" i="1"/>
  <c r="P371" i="1" s="1"/>
  <c r="N371" i="1"/>
  <c r="O69" i="1"/>
  <c r="P69" i="1" s="1"/>
  <c r="N69" i="1"/>
  <c r="O460" i="1"/>
  <c r="P460" i="1" s="1"/>
  <c r="N460" i="1"/>
  <c r="N218" i="1"/>
  <c r="O218" i="1"/>
  <c r="P218" i="1" s="1"/>
  <c r="O359" i="1"/>
  <c r="P359" i="1" s="1"/>
  <c r="N359" i="1"/>
  <c r="O366" i="1"/>
  <c r="P366" i="1" s="1"/>
  <c r="N366" i="1"/>
  <c r="N311" i="1"/>
  <c r="O311" i="1"/>
  <c r="P311" i="1" s="1"/>
  <c r="N422" i="1"/>
  <c r="O422" i="1"/>
  <c r="P422" i="1" s="1"/>
  <c r="N252" i="1"/>
  <c r="O252" i="1"/>
  <c r="P252" i="1" s="1"/>
  <c r="O113" i="1"/>
  <c r="P113" i="1" s="1"/>
  <c r="N113" i="1"/>
  <c r="N248" i="1"/>
  <c r="O248" i="1"/>
  <c r="P248" i="1" s="1"/>
  <c r="N3" i="1"/>
  <c r="O3" i="1"/>
  <c r="P3" i="1" s="1"/>
  <c r="N369" i="1"/>
  <c r="O369" i="1"/>
  <c r="P369" i="1" s="1"/>
  <c r="N235" i="1"/>
  <c r="O235" i="1"/>
  <c r="P235" i="1" s="1"/>
  <c r="N439" i="1"/>
  <c r="O439" i="1"/>
  <c r="P439" i="1" s="1"/>
  <c r="O142" i="1"/>
  <c r="P142" i="1" s="1"/>
  <c r="N142" i="1"/>
  <c r="N471" i="1"/>
  <c r="O471" i="1"/>
  <c r="N388" i="1"/>
  <c r="O388" i="1"/>
  <c r="P388" i="1" s="1"/>
  <c r="O423" i="1"/>
  <c r="P423" i="1" s="1"/>
  <c r="N423" i="1"/>
  <c r="O404" i="1"/>
  <c r="P404" i="1" s="1"/>
  <c r="N404" i="1"/>
  <c r="N198" i="1"/>
  <c r="O198" i="1"/>
  <c r="P198" i="1" s="1"/>
  <c r="N452" i="1"/>
  <c r="O452" i="1"/>
  <c r="P452" i="1" s="1"/>
  <c r="O93" i="1"/>
  <c r="P93" i="1" s="1"/>
  <c r="N93" i="1"/>
  <c r="O296" i="1"/>
  <c r="P296" i="1" s="1"/>
  <c r="N296" i="1"/>
  <c r="O83" i="1"/>
  <c r="P83" i="1" s="1"/>
  <c r="N83" i="1"/>
  <c r="N396" i="1"/>
  <c r="O396" i="1"/>
  <c r="P396" i="1" s="1"/>
  <c r="O390" i="1"/>
  <c r="P390" i="1" s="1"/>
  <c r="N390" i="1"/>
  <c r="O468" i="1"/>
  <c r="N468" i="1"/>
  <c r="O480" i="1"/>
  <c r="N480" i="1"/>
  <c r="N29" i="1"/>
  <c r="O29" i="1"/>
  <c r="P29" i="1" s="1"/>
  <c r="O343" i="1"/>
  <c r="P343" i="1" s="1"/>
  <c r="N343" i="1"/>
  <c r="O260" i="1"/>
  <c r="P260" i="1" s="1"/>
  <c r="N260" i="1"/>
  <c r="N82" i="1"/>
  <c r="O82" i="1"/>
  <c r="P82" i="1" s="1"/>
  <c r="O208" i="1"/>
  <c r="P208" i="1" s="1"/>
  <c r="N208" i="1"/>
  <c r="N441" i="1"/>
  <c r="O441" i="1"/>
  <c r="P441" i="1" s="1"/>
  <c r="N226" i="1"/>
  <c r="O226" i="1"/>
  <c r="P226" i="1" s="1"/>
  <c r="O195" i="1"/>
  <c r="P195" i="1" s="1"/>
  <c r="N195" i="1"/>
  <c r="O100" i="1"/>
  <c r="P100" i="1" s="1"/>
  <c r="N100" i="1"/>
  <c r="N242" i="1"/>
  <c r="O242" i="1"/>
  <c r="P242" i="1" s="1"/>
  <c r="N134" i="1"/>
  <c r="O134" i="1"/>
  <c r="P134" i="1" s="1"/>
  <c r="N382" i="1"/>
  <c r="O382" i="1"/>
  <c r="P382" i="1" s="1"/>
  <c r="O28" i="1"/>
  <c r="P28" i="1" s="1"/>
  <c r="N28" i="1"/>
  <c r="N53" i="1"/>
  <c r="O53" i="1"/>
  <c r="P53" i="1" s="1"/>
  <c r="N413" i="1"/>
  <c r="O413" i="1"/>
  <c r="P413" i="1" s="1"/>
  <c r="O92" i="1"/>
  <c r="P92" i="1" s="1"/>
  <c r="N92" i="1"/>
  <c r="O73" i="1"/>
  <c r="P73" i="1" s="1"/>
  <c r="N73" i="1"/>
  <c r="O5" i="1"/>
  <c r="P5" i="1" s="1"/>
  <c r="N5" i="1"/>
  <c r="N146" i="1"/>
  <c r="O146" i="1"/>
  <c r="P146" i="1" s="1"/>
  <c r="O126" i="1"/>
  <c r="P126" i="1" s="1"/>
  <c r="N126" i="1"/>
  <c r="O355" i="1"/>
  <c r="P355" i="1" s="1"/>
  <c r="N355" i="1"/>
  <c r="O430" i="1"/>
  <c r="P430" i="1" s="1"/>
  <c r="N430" i="1"/>
  <c r="N95" i="1"/>
  <c r="O95" i="1"/>
  <c r="P95" i="1" s="1"/>
  <c r="N122" i="1"/>
  <c r="O122" i="1"/>
  <c r="P122" i="1" s="1"/>
  <c r="N433" i="1"/>
  <c r="O433" i="1"/>
  <c r="P433" i="1" s="1"/>
  <c r="N60" i="1"/>
  <c r="O60" i="1"/>
  <c r="P60" i="1" s="1"/>
  <c r="O376" i="1"/>
  <c r="P376" i="1" s="1"/>
  <c r="N376" i="1"/>
  <c r="O297" i="1"/>
  <c r="P297" i="1" s="1"/>
  <c r="N297" i="1"/>
  <c r="N15" i="1"/>
  <c r="O15" i="1"/>
  <c r="P15" i="1" s="1"/>
  <c r="N391" i="1"/>
  <c r="O391" i="1"/>
  <c r="P391" i="1" s="1"/>
  <c r="N54" i="1"/>
  <c r="O54" i="1"/>
  <c r="P54" i="1" s="1"/>
  <c r="O375" i="1"/>
  <c r="P375" i="1" s="1"/>
  <c r="N375" i="1"/>
  <c r="N101" i="1"/>
  <c r="O101" i="1"/>
  <c r="P101" i="1" s="1"/>
  <c r="N277" i="1"/>
  <c r="O277" i="1"/>
  <c r="P277" i="1" s="1"/>
  <c r="O234" i="1"/>
  <c r="P234" i="1" s="1"/>
  <c r="N234" i="1"/>
  <c r="N257" i="1"/>
  <c r="O257" i="1"/>
  <c r="P257" i="1" s="1"/>
  <c r="N25" i="1"/>
  <c r="O25" i="1"/>
  <c r="P25" i="1" s="1"/>
  <c r="N26" i="1"/>
  <c r="O26" i="1"/>
  <c r="P26" i="1" s="1"/>
  <c r="N258" i="1"/>
  <c r="O258" i="1"/>
  <c r="P258" i="1" s="1"/>
  <c r="N254" i="1"/>
  <c r="O254" i="1"/>
  <c r="P254" i="1" s="1"/>
  <c r="N49" i="1"/>
  <c r="O49" i="1"/>
  <c r="P49" i="1" s="1"/>
  <c r="N150" i="1"/>
  <c r="O150" i="1"/>
  <c r="P150" i="1" s="1"/>
  <c r="O379" i="1"/>
  <c r="P379" i="1" s="1"/>
  <c r="N379" i="1"/>
  <c r="N432" i="1"/>
  <c r="O432" i="1"/>
  <c r="P432" i="1" s="1"/>
  <c r="N200" i="1"/>
  <c r="O200" i="1"/>
  <c r="P200" i="1" s="1"/>
  <c r="O299" i="1"/>
  <c r="P299" i="1" s="1"/>
  <c r="N299" i="1"/>
  <c r="N123" i="1"/>
  <c r="O123" i="1"/>
  <c r="P123" i="1" s="1"/>
  <c r="N463" i="1"/>
  <c r="O463" i="1"/>
  <c r="O486" i="1"/>
  <c r="N486" i="1"/>
  <c r="O336" i="1"/>
  <c r="P336" i="1" s="1"/>
  <c r="N336" i="1"/>
  <c r="O33" i="1"/>
  <c r="P33" i="1" s="1"/>
  <c r="N33" i="1"/>
  <c r="N97" i="1"/>
  <c r="O97" i="1"/>
  <c r="P97" i="1" s="1"/>
  <c r="N290" i="1"/>
  <c r="O290" i="1"/>
  <c r="P290" i="1" s="1"/>
  <c r="O479" i="1"/>
  <c r="N479" i="1"/>
  <c r="N419" i="1"/>
  <c r="O419" i="1"/>
  <c r="P419" i="1" s="1"/>
  <c r="N308" i="1"/>
  <c r="O308" i="1"/>
  <c r="P308" i="1" s="1"/>
  <c r="O386" i="1"/>
  <c r="P386" i="1" s="1"/>
  <c r="N386" i="1"/>
  <c r="O447" i="1"/>
  <c r="P447" i="1" s="1"/>
  <c r="N447" i="1"/>
  <c r="N172" i="1"/>
  <c r="O172" i="1"/>
  <c r="P172" i="1" s="1"/>
  <c r="N41" i="1"/>
  <c r="O41" i="1"/>
  <c r="P41" i="1" s="1"/>
  <c r="O58" i="1"/>
  <c r="P58" i="1" s="1"/>
  <c r="N58" i="1"/>
  <c r="O405" i="1"/>
  <c r="P405" i="1" s="1"/>
  <c r="N405" i="1"/>
  <c r="N206" i="1"/>
  <c r="O206" i="1"/>
  <c r="P206" i="1" s="1"/>
  <c r="O10" i="1"/>
  <c r="P10" i="1" s="1"/>
  <c r="N10" i="1"/>
  <c r="O7" i="1"/>
  <c r="P7" i="1" s="1"/>
  <c r="N7" i="1"/>
  <c r="O217" i="1"/>
  <c r="P217" i="1" s="1"/>
  <c r="N217" i="1"/>
  <c r="N16" i="1"/>
  <c r="O16" i="1"/>
  <c r="P16" i="1" s="1"/>
  <c r="N152" i="1"/>
  <c r="O152" i="1"/>
  <c r="P152" i="1" s="1"/>
  <c r="N491" i="1"/>
  <c r="O491" i="1"/>
  <c r="N490" i="1"/>
  <c r="O490" i="1"/>
  <c r="O477" i="1"/>
  <c r="N477" i="1"/>
  <c r="O141" i="1"/>
  <c r="P141" i="1" s="1"/>
  <c r="N141" i="1"/>
  <c r="N230" i="1"/>
  <c r="O230" i="1"/>
  <c r="P230" i="1" s="1"/>
  <c r="O392" i="1"/>
  <c r="P392" i="1" s="1"/>
  <c r="N392" i="1"/>
  <c r="O156" i="1"/>
  <c r="P156" i="1" s="1"/>
  <c r="N156" i="1"/>
  <c r="N24" i="1"/>
  <c r="O24" i="1"/>
  <c r="P24" i="1" s="1"/>
  <c r="N373" i="1"/>
  <c r="O373" i="1"/>
  <c r="P373" i="1" s="1"/>
  <c r="N372" i="1"/>
  <c r="O372" i="1"/>
  <c r="P372" i="1" s="1"/>
  <c r="O459" i="1"/>
  <c r="P459" i="1" s="1"/>
  <c r="N459" i="1"/>
  <c r="N465" i="1"/>
  <c r="O465" i="1"/>
  <c r="N237" i="1"/>
  <c r="O237" i="1"/>
  <c r="P237" i="1" s="1"/>
  <c r="O169" i="1"/>
  <c r="P169" i="1" s="1"/>
  <c r="N169" i="1"/>
  <c r="N138" i="1"/>
  <c r="O138" i="1"/>
  <c r="P138" i="1" s="1"/>
  <c r="N205" i="1"/>
  <c r="O205" i="1"/>
  <c r="P205" i="1" s="1"/>
  <c r="N179" i="1"/>
  <c r="O179" i="1"/>
  <c r="P179" i="1" s="1"/>
  <c r="O90" i="1"/>
  <c r="P90" i="1" s="1"/>
  <c r="N90" i="1"/>
  <c r="O155" i="1"/>
  <c r="P155" i="1" s="1"/>
  <c r="N155" i="1"/>
  <c r="N317" i="1"/>
  <c r="O317" i="1"/>
  <c r="P317" i="1" s="1"/>
  <c r="O175" i="1"/>
  <c r="P175" i="1" s="1"/>
  <c r="N175" i="1"/>
  <c r="O350" i="1"/>
  <c r="P350" i="1" s="1"/>
  <c r="N350" i="1"/>
  <c r="O87" i="1"/>
  <c r="P87" i="1" s="1"/>
  <c r="N87" i="1"/>
  <c r="O395" i="1"/>
  <c r="P395" i="1" s="1"/>
  <c r="N395" i="1"/>
  <c r="O180" i="1"/>
  <c r="P180" i="1" s="1"/>
  <c r="N180" i="1"/>
  <c r="O2" i="1"/>
  <c r="P2" i="1" s="1"/>
  <c r="N2" i="1"/>
  <c r="N282" i="1"/>
  <c r="O282" i="1"/>
  <c r="P282" i="1" s="1"/>
  <c r="N63" i="1"/>
  <c r="O63" i="1"/>
  <c r="P63" i="1" s="1"/>
  <c r="N91" i="1"/>
  <c r="O91" i="1"/>
  <c r="P91" i="1" s="1"/>
  <c r="N264" i="1"/>
  <c r="O264" i="1"/>
  <c r="P264" i="1" s="1"/>
  <c r="O197" i="1"/>
  <c r="P197" i="1" s="1"/>
  <c r="N197" i="1"/>
  <c r="N339" i="1"/>
  <c r="O339" i="1"/>
  <c r="P339" i="1" s="1"/>
  <c r="O37" i="1"/>
  <c r="P37" i="1" s="1"/>
  <c r="N37" i="1"/>
  <c r="O243" i="1"/>
  <c r="P243" i="1" s="1"/>
  <c r="N243" i="1"/>
  <c r="N186" i="1"/>
  <c r="O186" i="1"/>
  <c r="P186" i="1" s="1"/>
  <c r="O128" i="1"/>
  <c r="P128" i="1" s="1"/>
  <c r="N128" i="1"/>
  <c r="O358" i="1"/>
  <c r="P358" i="1" s="1"/>
  <c r="N358" i="1"/>
  <c r="O421" i="1"/>
  <c r="P421" i="1" s="1"/>
  <c r="N421" i="1"/>
  <c r="O262" i="1"/>
  <c r="P262" i="1" s="1"/>
  <c r="N262" i="1"/>
  <c r="O464" i="1"/>
  <c r="N464" i="1"/>
  <c r="O426" i="1"/>
  <c r="P426" i="1" s="1"/>
  <c r="N426" i="1"/>
  <c r="O30" i="1"/>
  <c r="P30" i="1" s="1"/>
  <c r="N30" i="1"/>
  <c r="O118" i="1"/>
  <c r="P118" i="1" s="1"/>
  <c r="N118" i="1"/>
  <c r="N20" i="1"/>
  <c r="O20" i="1"/>
  <c r="P20" i="1" s="1"/>
  <c r="N410" i="1"/>
  <c r="O410" i="1"/>
  <c r="P410" i="1" s="1"/>
  <c r="O215" i="1"/>
  <c r="P215" i="1" s="1"/>
  <c r="N215" i="1"/>
  <c r="N305" i="1"/>
  <c r="O305" i="1"/>
  <c r="P305" i="1" s="1"/>
  <c r="N185" i="1"/>
  <c r="O185" i="1"/>
  <c r="P185" i="1" s="1"/>
  <c r="O161" i="1"/>
  <c r="P161" i="1" s="1"/>
  <c r="N161" i="1"/>
  <c r="N417" i="1"/>
  <c r="O417" i="1"/>
  <c r="P417" i="1" s="1"/>
  <c r="N121" i="1"/>
  <c r="O121" i="1"/>
  <c r="P121" i="1" s="1"/>
  <c r="O115" i="1"/>
  <c r="P115" i="1" s="1"/>
  <c r="N115" i="1"/>
  <c r="O315" i="1"/>
  <c r="P315" i="1" s="1"/>
  <c r="N315" i="1"/>
  <c r="O106" i="1"/>
  <c r="P106" i="1" s="1"/>
  <c r="N106" i="1"/>
  <c r="O75" i="1"/>
  <c r="P75" i="1" s="1"/>
  <c r="N75" i="1"/>
  <c r="N436" i="1"/>
  <c r="O436" i="1"/>
  <c r="P436" i="1" s="1"/>
  <c r="N338" i="1"/>
  <c r="O338" i="1"/>
  <c r="P338" i="1" s="1"/>
  <c r="O233" i="1"/>
  <c r="P233" i="1" s="1"/>
  <c r="N233" i="1"/>
  <c r="N31" i="1"/>
  <c r="O31" i="1"/>
  <c r="P31" i="1" s="1"/>
  <c r="O385" i="1"/>
  <c r="P385" i="1" s="1"/>
  <c r="N385" i="1"/>
  <c r="N46" i="1"/>
  <c r="O46" i="1"/>
  <c r="P46" i="1" s="1"/>
  <c r="O35" i="1"/>
  <c r="P35" i="1" s="1"/>
  <c r="N35" i="1"/>
  <c r="N316" i="1"/>
  <c r="O316" i="1"/>
  <c r="P316" i="1" s="1"/>
  <c r="O272" i="1"/>
  <c r="P272" i="1" s="1"/>
  <c r="N272" i="1"/>
  <c r="O281" i="1"/>
  <c r="P281" i="1" s="1"/>
  <c r="N281" i="1"/>
  <c r="O64" i="1"/>
  <c r="P64" i="1" s="1"/>
  <c r="N64" i="1"/>
  <c r="O13" i="1"/>
  <c r="P13" i="1" s="1"/>
  <c r="N13" i="1"/>
  <c r="N489" i="1"/>
  <c r="O489" i="1"/>
  <c r="O374" i="1"/>
  <c r="P374" i="1" s="1"/>
  <c r="N374" i="1"/>
  <c r="O176" i="1"/>
  <c r="P176" i="1" s="1"/>
  <c r="N176" i="1"/>
  <c r="O347" i="1"/>
  <c r="P347" i="1" s="1"/>
  <c r="N347" i="1"/>
  <c r="O229" i="1"/>
  <c r="P229" i="1" s="1"/>
  <c r="N229" i="1"/>
  <c r="N427" i="1"/>
  <c r="O427" i="1"/>
  <c r="P427" i="1" s="1"/>
  <c r="O137" i="1"/>
  <c r="P137" i="1" s="1"/>
  <c r="N137" i="1"/>
  <c r="O306" i="1"/>
  <c r="P306" i="1" s="1"/>
  <c r="N306" i="1"/>
  <c r="O295" i="1"/>
  <c r="P295" i="1" s="1"/>
  <c r="N295" i="1"/>
  <c r="N102" i="1"/>
  <c r="O102" i="1"/>
  <c r="P102" i="1" s="1"/>
  <c r="O342" i="1"/>
  <c r="P342" i="1" s="1"/>
  <c r="N342" i="1"/>
  <c r="N353" i="1"/>
  <c r="O353" i="1"/>
  <c r="P353" i="1" s="1"/>
  <c r="O45" i="1"/>
  <c r="P45" i="1" s="1"/>
  <c r="N45" i="1"/>
  <c r="N114" i="1"/>
  <c r="O114" i="1"/>
  <c r="P114" i="1" s="1"/>
  <c r="N493" i="1"/>
  <c r="O493" i="1"/>
  <c r="P493" i="1" s="1"/>
  <c r="O271" i="1"/>
  <c r="P271" i="1" s="1"/>
  <c r="N271" i="1"/>
  <c r="O182" i="1"/>
  <c r="P182" i="1" s="1"/>
  <c r="N182" i="1"/>
  <c r="N213" i="1"/>
  <c r="O213" i="1"/>
  <c r="P213" i="1" s="1"/>
  <c r="O154" i="1"/>
  <c r="P154" i="1" s="1"/>
  <c r="N154" i="1"/>
  <c r="O261" i="1"/>
  <c r="P261" i="1" s="1"/>
  <c r="N261" i="1"/>
  <c r="N117" i="1"/>
  <c r="O117" i="1"/>
  <c r="P117" i="1" s="1"/>
  <c r="N387" i="1"/>
  <c r="O387" i="1"/>
  <c r="P387" i="1" s="1"/>
  <c r="O96" i="1"/>
  <c r="P96" i="1" s="1"/>
  <c r="N96" i="1"/>
  <c r="O193" i="1"/>
  <c r="P193" i="1" s="1"/>
  <c r="N193" i="1"/>
  <c r="N22" i="1"/>
  <c r="O22" i="1"/>
  <c r="P22" i="1" s="1"/>
  <c r="O253" i="1"/>
  <c r="P253" i="1" s="1"/>
  <c r="N253" i="1"/>
  <c r="O402" i="1"/>
  <c r="P402" i="1" s="1"/>
  <c r="N402" i="1"/>
  <c r="O474" i="1"/>
  <c r="N474" i="1"/>
  <c r="N256" i="1"/>
  <c r="O256" i="1"/>
  <c r="P256" i="1" s="1"/>
  <c r="N428" i="1"/>
  <c r="O428" i="1"/>
  <c r="P428" i="1" s="1"/>
  <c r="N283" i="1"/>
  <c r="O283" i="1"/>
  <c r="P283" i="1" s="1"/>
  <c r="N21" i="1"/>
  <c r="O21" i="1"/>
  <c r="P21" i="1" s="1"/>
  <c r="O189" i="1"/>
  <c r="P189" i="1" s="1"/>
  <c r="N189" i="1"/>
  <c r="N168" i="1"/>
  <c r="O168" i="1"/>
  <c r="P168" i="1" s="1"/>
  <c r="N38" i="1"/>
  <c r="O38" i="1"/>
  <c r="P38" i="1" s="1"/>
  <c r="O301" i="1"/>
  <c r="P301" i="1" s="1"/>
  <c r="N301" i="1"/>
  <c r="N472" i="1"/>
  <c r="O472" i="1"/>
  <c r="O78" i="1"/>
  <c r="P78" i="1" s="1"/>
  <c r="N78" i="1"/>
  <c r="N378" i="1"/>
  <c r="O378" i="1"/>
  <c r="P378" i="1" s="1"/>
  <c r="N461" i="1"/>
  <c r="O461" i="1"/>
  <c r="P461" i="1" s="1"/>
  <c r="N313" i="1"/>
  <c r="O313" i="1"/>
  <c r="P313" i="1" s="1"/>
  <c r="O160" i="1"/>
  <c r="P160" i="1" s="1"/>
  <c r="N160" i="1"/>
  <c r="O291" i="1"/>
  <c r="P291" i="1" s="1"/>
  <c r="N291" i="1"/>
  <c r="N389" i="1"/>
  <c r="O389" i="1"/>
  <c r="P389" i="1" s="1"/>
  <c r="N473" i="1"/>
  <c r="O473" i="1"/>
  <c r="N228" i="1"/>
  <c r="O228" i="1"/>
  <c r="P228" i="1" s="1"/>
  <c r="O466" i="1"/>
  <c r="N466" i="1"/>
  <c r="O59" i="1"/>
  <c r="P59" i="1" s="1"/>
  <c r="N59" i="1"/>
  <c r="O409" i="1"/>
  <c r="P409" i="1" s="1"/>
  <c r="N409" i="1"/>
  <c r="O483" i="1"/>
  <c r="N483" i="1"/>
  <c r="O110" i="1"/>
  <c r="P110" i="1" s="1"/>
  <c r="N110" i="1"/>
  <c r="O74" i="1"/>
  <c r="P74" i="1" s="1"/>
  <c r="N74" i="1"/>
  <c r="O148" i="1"/>
  <c r="P148" i="1" s="1"/>
  <c r="N148" i="1"/>
  <c r="N184" i="1"/>
  <c r="O184" i="1"/>
  <c r="P184" i="1" s="1"/>
  <c r="N420" i="1"/>
  <c r="O420" i="1"/>
  <c r="P420" i="1" s="1"/>
  <c r="N210" i="1"/>
  <c r="O210" i="1"/>
  <c r="P210" i="1" s="1"/>
  <c r="N227" i="1"/>
  <c r="O227" i="1"/>
  <c r="P227" i="1" s="1"/>
  <c r="O32" i="1"/>
  <c r="P32" i="1" s="1"/>
  <c r="N32" i="1"/>
  <c r="N124" i="1"/>
  <c r="O124" i="1"/>
  <c r="P124" i="1" s="1"/>
  <c r="O449" i="1"/>
  <c r="P449" i="1" s="1"/>
  <c r="N449" i="1"/>
  <c r="N383" i="1"/>
  <c r="O383" i="1"/>
  <c r="P383" i="1" s="1"/>
  <c r="O440" i="1"/>
  <c r="P440" i="1" s="1"/>
  <c r="N440" i="1"/>
  <c r="O34" i="1"/>
  <c r="P34" i="1" s="1"/>
  <c r="N34" i="1"/>
  <c r="O344" i="1"/>
  <c r="P344" i="1" s="1"/>
  <c r="N344" i="1"/>
  <c r="O99" i="1"/>
  <c r="P99" i="1" s="1"/>
  <c r="N99" i="1"/>
  <c r="N478" i="1"/>
  <c r="O478" i="1"/>
  <c r="N365" i="1"/>
  <c r="O365" i="1"/>
  <c r="P365" i="1" s="1"/>
  <c r="O174" i="1"/>
  <c r="P174" i="1" s="1"/>
  <c r="N174" i="1"/>
  <c r="N318" i="1"/>
  <c r="O318" i="1"/>
  <c r="P318" i="1" s="1"/>
  <c r="N139" i="1"/>
  <c r="O139" i="1"/>
  <c r="P139" i="1" s="1"/>
  <c r="O77" i="1"/>
  <c r="P77" i="1" s="1"/>
  <c r="N77" i="1"/>
  <c r="O158" i="1"/>
  <c r="P158" i="1" s="1"/>
  <c r="N158" i="1"/>
  <c r="O294" i="1"/>
  <c r="P294" i="1" s="1"/>
  <c r="N294" i="1"/>
  <c r="O401" i="1"/>
  <c r="P401" i="1" s="1"/>
  <c r="N401" i="1"/>
  <c r="O446" i="1"/>
  <c r="P446" i="1" s="1"/>
  <c r="N446" i="1"/>
  <c r="O196" i="1"/>
  <c r="P196" i="1" s="1"/>
  <c r="N196" i="1"/>
  <c r="N103" i="1"/>
  <c r="O103" i="1"/>
  <c r="P103" i="1" s="1"/>
  <c r="N280" i="1"/>
  <c r="O280" i="1"/>
  <c r="P280" i="1" s="1"/>
  <c r="O19" i="1"/>
  <c r="P19" i="1" s="1"/>
  <c r="N19" i="1"/>
  <c r="N304" i="1"/>
  <c r="O304" i="1"/>
  <c r="P304" i="1" s="1"/>
  <c r="N177" i="1"/>
  <c r="O177" i="1"/>
  <c r="P177" i="1" s="1"/>
  <c r="O27" i="1"/>
  <c r="P27" i="1" s="1"/>
  <c r="N27" i="1"/>
  <c r="N17" i="1"/>
  <c r="O17" i="1"/>
  <c r="P17" i="1" s="1"/>
  <c r="N485" i="1"/>
  <c r="O485" i="1"/>
  <c r="O76" i="1"/>
  <c r="P76" i="1" s="1"/>
  <c r="N76" i="1"/>
  <c r="N263" i="1"/>
  <c r="O263" i="1"/>
  <c r="P263" i="1" s="1"/>
  <c r="O351" i="1"/>
  <c r="P351" i="1" s="1"/>
  <c r="N351" i="1"/>
  <c r="N151" i="1"/>
  <c r="O151" i="1"/>
  <c r="P151" i="1" s="1"/>
  <c r="O384" i="1"/>
  <c r="P384" i="1" s="1"/>
  <c r="N384" i="1"/>
</calcChain>
</file>

<file path=xl/comments1.xml><?xml version="1.0" encoding="utf-8"?>
<comments xmlns="http://schemas.openxmlformats.org/spreadsheetml/2006/main">
  <authors>
    <author>Alumno</author>
    <author>EESTN1GB</author>
  </authors>
  <commentList>
    <comment ref="K10" authorId="0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REEMPLAZA POR 109 A BARROZO 1/3/22
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REEMPLAZA POR 109 A BARROZO 1/3/22
</t>
        </r>
      </text>
    </comment>
    <comment ref="I56" authorId="1">
      <text>
        <r>
          <rPr>
            <b/>
            <sz val="9"/>
            <color indexed="81"/>
            <rFont val="Tahoma"/>
            <family val="2"/>
          </rPr>
          <t>mov 1/3/25 paso de 1°6°a 1°4°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1">
      <text>
        <r>
          <rPr>
            <b/>
            <sz val="9"/>
            <color indexed="81"/>
            <rFont val="Tahoma"/>
            <family val="2"/>
          </rPr>
          <t xml:space="preserve">melgarejo pasa </t>
        </r>
      </text>
    </comment>
    <comment ref="K70" authorId="1">
      <text>
        <r>
          <rPr>
            <b/>
            <sz val="9"/>
            <color indexed="81"/>
            <rFont val="Tahoma"/>
            <family val="2"/>
          </rPr>
          <t>viene de 1°4° 1/3/25</t>
        </r>
      </text>
    </comment>
    <comment ref="E77" authorId="1">
      <text>
        <r>
          <rPr>
            <b/>
            <sz val="9"/>
            <color indexed="81"/>
            <rFont val="Tahoma"/>
            <family val="2"/>
          </rPr>
          <t>EESTN1GB:</t>
        </r>
        <r>
          <rPr>
            <sz val="9"/>
            <color indexed="81"/>
            <rFont val="Tahoma"/>
            <family val="2"/>
          </rPr>
          <t xml:space="preserve">
NUMERO INVENTADO FIGURA S/n
</t>
        </r>
      </text>
    </comment>
    <comment ref="K181" authorId="0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RENUNCIO AGUILERA  TALTA CONIFIRMAR APELIDO 18/10
</t>
        </r>
      </text>
    </comment>
    <comment ref="M362" authorId="1">
      <text>
        <r>
          <rPr>
            <b/>
            <sz val="9"/>
            <color indexed="81"/>
            <rFont val="Tahoma"/>
            <family val="2"/>
          </rPr>
          <t>EESTN1GB: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09" authorId="1">
      <text>
        <r>
          <rPr>
            <b/>
            <sz val="9"/>
            <color indexed="81"/>
            <rFont val="Tahoma"/>
            <family val="2"/>
          </rPr>
          <t>EN EL PARTE TENGO A GOMEZ PATRICIA</t>
        </r>
      </text>
    </comment>
  </commentList>
</comments>
</file>

<file path=xl/sharedStrings.xml><?xml version="1.0" encoding="utf-8"?>
<sst xmlns="http://schemas.openxmlformats.org/spreadsheetml/2006/main" count="2067" uniqueCount="824">
  <si>
    <t>codigo</t>
  </si>
  <si>
    <t>año</t>
  </si>
  <si>
    <t>comision</t>
  </si>
  <si>
    <t>cod_mat</t>
  </si>
  <si>
    <t>cupof</t>
  </si>
  <si>
    <t>materia</t>
  </si>
  <si>
    <t>cuit_t</t>
  </si>
  <si>
    <t>f_ingreso_t</t>
  </si>
  <si>
    <t>titular</t>
  </si>
  <si>
    <t>cuit_p</t>
  </si>
  <si>
    <t>provisional</t>
  </si>
  <si>
    <t>cuit_s</t>
  </si>
  <si>
    <t>suplente</t>
  </si>
  <si>
    <t>T_Docente_fac</t>
  </si>
  <si>
    <t>Docente_fac</t>
  </si>
  <si>
    <t>1°1°</t>
  </si>
  <si>
    <t>1NAT</t>
  </si>
  <si>
    <t xml:space="preserve">  27-23.480.647-0  </t>
  </si>
  <si>
    <t xml:space="preserve">  (dest def 2019)</t>
  </si>
  <si>
    <t>FARIAS CLAUDIA ANTONIA</t>
  </si>
  <si>
    <t>1SOC</t>
  </si>
  <si>
    <t>1ART</t>
  </si>
  <si>
    <t xml:space="preserve"> 23-18.436.423-9</t>
  </si>
  <si>
    <t>1EFI</t>
  </si>
  <si>
    <t>20-20.422.900-8</t>
  </si>
  <si>
    <t xml:space="preserve">SANCHEZ CARLOS        </t>
  </si>
  <si>
    <t>1ING</t>
  </si>
  <si>
    <t>23-30.492.767-4</t>
  </si>
  <si>
    <t xml:space="preserve">LEGUIZAMON ANA </t>
  </si>
  <si>
    <t>1MAT</t>
  </si>
  <si>
    <t xml:space="preserve"> 27-27.383.267-5 </t>
  </si>
  <si>
    <t xml:space="preserve">GONZALEZ M EUGENIA </t>
  </si>
  <si>
    <t>1LEN</t>
  </si>
  <si>
    <t>1CCD</t>
  </si>
  <si>
    <t>27-23.075.433-8</t>
  </si>
  <si>
    <t xml:space="preserve">HERRERA CARMEN                     </t>
  </si>
  <si>
    <t>1TLT</t>
  </si>
  <si>
    <t>20-24.731.140-9</t>
  </si>
  <si>
    <t>1TST</t>
  </si>
  <si>
    <t xml:space="preserve">   20-16.220.206-6</t>
  </si>
  <si>
    <t xml:space="preserve">FISTER (Serv.Prov)         </t>
  </si>
  <si>
    <t>1TPT</t>
  </si>
  <si>
    <t>MASIVA</t>
  </si>
  <si>
    <t xml:space="preserve">GUTIERREZ FERNANDO </t>
  </si>
  <si>
    <t xml:space="preserve"> 20-22.230.438-6</t>
  </si>
  <si>
    <t xml:space="preserve">RODRIGUEZ RAUL         </t>
  </si>
  <si>
    <t>20-21.103.894-3</t>
  </si>
  <si>
    <t xml:space="preserve">LEYES RICARDO              </t>
  </si>
  <si>
    <t>1°2°</t>
  </si>
  <si>
    <t>20-23.884.637-5</t>
  </si>
  <si>
    <t xml:space="preserve">ESPINDOLA SERGIO                          </t>
  </si>
  <si>
    <t>20-28.490.610-2</t>
  </si>
  <si>
    <t xml:space="preserve">FIGUEROA CARLOS </t>
  </si>
  <si>
    <t xml:space="preserve"> 20-28.490.610-2</t>
  </si>
  <si>
    <t xml:space="preserve">DE LA FUENTE F.        </t>
  </si>
  <si>
    <t>27-29.433.432-2</t>
  </si>
  <si>
    <t xml:space="preserve"> (VIENE DE 1°5°)</t>
  </si>
  <si>
    <t xml:space="preserve">ARCE KARINA </t>
  </si>
  <si>
    <t xml:space="preserve"> 27-21.485.515-7</t>
  </si>
  <si>
    <t xml:space="preserve"> 20-25.521.976-7</t>
  </si>
  <si>
    <t xml:space="preserve">CHAMORRO CRISTIAN </t>
  </si>
  <si>
    <t>27-11.864.641-5</t>
  </si>
  <si>
    <t xml:space="preserve"> 20-28.191.299-3</t>
  </si>
  <si>
    <t xml:space="preserve">ETCHEVERRY MARTIN                            </t>
  </si>
  <si>
    <t>20-28.191.299-3</t>
  </si>
  <si>
    <t xml:space="preserve">RIVAROLA NORMA              </t>
  </si>
  <si>
    <t>1°3°</t>
  </si>
  <si>
    <t>23- 17.283.799-9</t>
  </si>
  <si>
    <t xml:space="preserve">OLIVIERI NESTOR            </t>
  </si>
  <si>
    <t>23-18.284.913-0</t>
  </si>
  <si>
    <t xml:space="preserve">TORRES LUIS                    </t>
  </si>
  <si>
    <t xml:space="preserve"> 20-23,884,637-5 </t>
  </si>
  <si>
    <t xml:space="preserve"> MAD 2020</t>
  </si>
  <si>
    <t>MAD 2020</t>
  </si>
  <si>
    <t xml:space="preserve">CARESTIA, NOEMI </t>
  </si>
  <si>
    <t xml:space="preserve"> 27-23.075.433-8</t>
  </si>
  <si>
    <t xml:space="preserve">HERRERA CARMEN                    </t>
  </si>
  <si>
    <t xml:space="preserve"> 27-11.864.641-5</t>
  </si>
  <si>
    <t>(MASIVA)</t>
  </si>
  <si>
    <t xml:space="preserve"> 20-25.859.440-2</t>
  </si>
  <si>
    <t xml:space="preserve"> (MASIVA)</t>
  </si>
  <si>
    <t xml:space="preserve">GUTIERREZ FERNANDO           </t>
  </si>
  <si>
    <t xml:space="preserve"> 27- 11.864.641-5</t>
  </si>
  <si>
    <t xml:space="preserve"> 27-20.912.758-5 </t>
  </si>
  <si>
    <t>(1 MOD)</t>
  </si>
  <si>
    <t>20-25.859.440-2</t>
  </si>
  <si>
    <t xml:space="preserve">GUTIERREZ FERNANDO              </t>
  </si>
  <si>
    <t>1°4°</t>
  </si>
  <si>
    <t>27-29.590.966-4</t>
  </si>
  <si>
    <t xml:space="preserve">DA CHILE IGLESIAS V                 </t>
  </si>
  <si>
    <t>27- 20.842.169-2</t>
  </si>
  <si>
    <t xml:space="preserve">GERSTER MYRIAN                 </t>
  </si>
  <si>
    <t>20-29.569.203-1</t>
  </si>
  <si>
    <t xml:space="preserve">LUDUEÑA NELSON           </t>
  </si>
  <si>
    <t>27-26.117.162-2</t>
  </si>
  <si>
    <t>SARRIA, ANDREA</t>
  </si>
  <si>
    <t xml:space="preserve"> 20-25.658.952-5 </t>
  </si>
  <si>
    <t xml:space="preserve"> DEFINITIVO 2020 </t>
  </si>
  <si>
    <t xml:space="preserve">OVEJERO, JAVIER               </t>
  </si>
  <si>
    <t xml:space="preserve"> ENTRA POR MAD 2020</t>
  </si>
  <si>
    <t xml:space="preserve">   20-28.324.944-2</t>
  </si>
  <si>
    <t xml:space="preserve">MOLINA, WALTER                </t>
  </si>
  <si>
    <t xml:space="preserve"> 20-23.537.987-3</t>
  </si>
  <si>
    <t xml:space="preserve">ACEVEDO ALCIDES            </t>
  </si>
  <si>
    <t>20-16.220.206-6</t>
  </si>
  <si>
    <t xml:space="preserve">   20-23.884.637-5</t>
  </si>
  <si>
    <t>20-23.537.987-3</t>
  </si>
  <si>
    <t xml:space="preserve">ACEVEDO ALCIDES                </t>
  </si>
  <si>
    <t xml:space="preserve"> 23-24.294.162-4</t>
  </si>
  <si>
    <t>20-23.884.637-5 (1 MOD)</t>
  </si>
  <si>
    <t xml:space="preserve">  20-23.884.637-5                     (1 MOD)</t>
  </si>
  <si>
    <t>1°5°</t>
  </si>
  <si>
    <t>20-30.953.452-3</t>
  </si>
  <si>
    <t xml:space="preserve">FARIAS MATIAS                   </t>
  </si>
  <si>
    <t xml:space="preserve">  27-20.842.169-2</t>
  </si>
  <si>
    <t xml:space="preserve">GERSTER MYRIAN                             </t>
  </si>
  <si>
    <t>27-27.476.782-6</t>
  </si>
  <si>
    <t xml:space="preserve">MELGAREJO, PAULA       </t>
  </si>
  <si>
    <t xml:space="preserve"> 20-29.569.203-1  </t>
  </si>
  <si>
    <t>ACRECENTAMIENTO 2020</t>
  </si>
  <si>
    <t xml:space="preserve">LUDUEÑA NELSON          </t>
  </si>
  <si>
    <t xml:space="preserve">LOBOS HILDA </t>
  </si>
  <si>
    <t xml:space="preserve">  27-22.545.368-9</t>
  </si>
  <si>
    <t xml:space="preserve">GARCIA CLAUDIA           </t>
  </si>
  <si>
    <t xml:space="preserve">   23-22.170.640-4</t>
  </si>
  <si>
    <t xml:space="preserve">ZURITA REINA                </t>
  </si>
  <si>
    <t xml:space="preserve">   27-23.075.433-8</t>
  </si>
  <si>
    <t xml:space="preserve">  20-21103894-3</t>
  </si>
  <si>
    <t xml:space="preserve">LEYES RICARDO                                 </t>
  </si>
  <si>
    <t xml:space="preserve"> 20-28.354.593-9</t>
  </si>
  <si>
    <t xml:space="preserve">RAMIREZ JORGE                      </t>
  </si>
  <si>
    <t xml:space="preserve">   20-21.103.894-3</t>
  </si>
  <si>
    <t xml:space="preserve">LEYES RICARDO                              </t>
  </si>
  <si>
    <t xml:space="preserve"> 20-16.220.206-6</t>
  </si>
  <si>
    <t xml:space="preserve">FISTER (Serv.Prov)                   </t>
  </si>
  <si>
    <t>20-28.354.593-9</t>
  </si>
  <si>
    <t xml:space="preserve">RAMIREZ JORGE                                               </t>
  </si>
  <si>
    <t>1°6°</t>
  </si>
  <si>
    <t xml:space="preserve"> (MAD 2020)</t>
  </si>
  <si>
    <t xml:space="preserve"> 20-14.317.370-5</t>
  </si>
  <si>
    <t xml:space="preserve"> 27- 22.558.777-4</t>
  </si>
  <si>
    <t xml:space="preserve"> (acrec 2018)</t>
  </si>
  <si>
    <t>FERNANDA, RODRIGUEZ</t>
  </si>
  <si>
    <t xml:space="preserve"> DEFINITIVO 2020</t>
  </si>
  <si>
    <t xml:space="preserve">SIERRA DEBORA  </t>
  </si>
  <si>
    <t xml:space="preserve">   20-16.354.440-8 </t>
  </si>
  <si>
    <t xml:space="preserve">CABEZAS, ORTIZ  DANIEL                                </t>
  </si>
  <si>
    <t>20-28.186.910-9</t>
  </si>
  <si>
    <t xml:space="preserve">ESCALADA ARNALDO     </t>
  </si>
  <si>
    <t>20-23.639.282-2</t>
  </si>
  <si>
    <t xml:space="preserve">PAZ DANIEL                     </t>
  </si>
  <si>
    <t xml:space="preserve"> 20-25.454.930-5 </t>
  </si>
  <si>
    <t>(MASIVO)</t>
  </si>
  <si>
    <t xml:space="preserve">CORDOBA ALEJANDRO              </t>
  </si>
  <si>
    <t xml:space="preserve">   20-23.639.282-2</t>
  </si>
  <si>
    <t>2°1°</t>
  </si>
  <si>
    <t>2BIO</t>
  </si>
  <si>
    <t>27-29.251.861-2</t>
  </si>
  <si>
    <t xml:space="preserve">TORRES CLAUDIA             </t>
  </si>
  <si>
    <t>2CCD</t>
  </si>
  <si>
    <t xml:space="preserve">  27-25.153.700-9</t>
  </si>
  <si>
    <t xml:space="preserve">AMAYA SILVIA                        </t>
  </si>
  <si>
    <t>2ART</t>
  </si>
  <si>
    <t>2EFI</t>
  </si>
  <si>
    <t>2FI/QUI</t>
  </si>
  <si>
    <t>2GEO</t>
  </si>
  <si>
    <t xml:space="preserve"> 20-24.636.852-0</t>
  </si>
  <si>
    <t>2HIS</t>
  </si>
  <si>
    <t xml:space="preserve"> 20-18.284.913-9</t>
  </si>
  <si>
    <t>2ING</t>
  </si>
  <si>
    <t xml:space="preserve"> 27-28.305.130-2</t>
  </si>
  <si>
    <t xml:space="preserve">BONELLI PAMELA                                </t>
  </si>
  <si>
    <t>2MAT</t>
  </si>
  <si>
    <t>2PLG</t>
  </si>
  <si>
    <t xml:space="preserve">  27-26.803.143-7</t>
  </si>
  <si>
    <t>2TLT2</t>
  </si>
  <si>
    <t>27- 11.864.641-5</t>
  </si>
  <si>
    <t>2TST2</t>
  </si>
  <si>
    <t xml:space="preserve"> 27-21.065.864-0</t>
  </si>
  <si>
    <t>2TPT2</t>
  </si>
  <si>
    <t xml:space="preserve">  20-22.230.438-6</t>
  </si>
  <si>
    <t xml:space="preserve">RODRIGUEZ RAUL                            </t>
  </si>
  <si>
    <t xml:space="preserve"> 27-11.864.641-5 </t>
  </si>
  <si>
    <t>20-25.521.976-7</t>
  </si>
  <si>
    <t xml:space="preserve">CHAMORRO CRISTIAN                        </t>
  </si>
  <si>
    <t>2°2°</t>
  </si>
  <si>
    <t xml:space="preserve">  27-23.075.433-8  </t>
  </si>
  <si>
    <t>(MAD 2020)</t>
  </si>
  <si>
    <t xml:space="preserve">HERRERA CARMEN                   </t>
  </si>
  <si>
    <t xml:space="preserve">   27-5.164.557-5</t>
  </si>
  <si>
    <t>20-20.776.115-0</t>
  </si>
  <si>
    <t xml:space="preserve">DE LA FUENTE F.                         </t>
  </si>
  <si>
    <t>27-28.329.165-6</t>
  </si>
  <si>
    <t xml:space="preserve">AGUIRRE VALERIA                            </t>
  </si>
  <si>
    <t>27-26.115.648-8</t>
  </si>
  <si>
    <t xml:space="preserve">GONZALEZ DANIELA                                 </t>
  </si>
  <si>
    <t xml:space="preserve">27-11.864.641-5 </t>
  </si>
  <si>
    <t xml:space="preserve">RIVAROLA NORMA                            </t>
  </si>
  <si>
    <t xml:space="preserve">27-26.174.351-0 </t>
  </si>
  <si>
    <t xml:space="preserve">GOMEZ ANALIA                                     </t>
  </si>
  <si>
    <t xml:space="preserve"> 24-16.354.054-2</t>
  </si>
  <si>
    <t xml:space="preserve">27-11.864.641-5       </t>
  </si>
  <si>
    <t xml:space="preserve">    (MASIVA)</t>
  </si>
  <si>
    <t xml:space="preserve">     20-28.191.299-3</t>
  </si>
  <si>
    <t>2°3°</t>
  </si>
  <si>
    <t xml:space="preserve"> 27-29.251.861-2</t>
  </si>
  <si>
    <t xml:space="preserve">TORRES CLAUDIA  </t>
  </si>
  <si>
    <t>(MAD 2018)</t>
  </si>
  <si>
    <t xml:space="preserve">ISSETTA LORENA </t>
  </si>
  <si>
    <t xml:space="preserve">  (MAD 2020)</t>
  </si>
  <si>
    <t>FUENTE, DIEGO</t>
  </si>
  <si>
    <t>27-25.663.450-9</t>
  </si>
  <si>
    <t xml:space="preserve">ESCALADA SILVANA </t>
  </si>
  <si>
    <t xml:space="preserve"> 23-22.948.231-9</t>
  </si>
  <si>
    <t xml:space="preserve"> (MAD 2018)</t>
  </si>
  <si>
    <t xml:space="preserve">LUZURIAGA ANGEL </t>
  </si>
  <si>
    <t>27-28.121.620-7</t>
  </si>
  <si>
    <t>VELAZQUEZ VALERIA</t>
  </si>
  <si>
    <t xml:space="preserve"> 27-26.174.351-0   </t>
  </si>
  <si>
    <t xml:space="preserve">       (MASIVA)</t>
  </si>
  <si>
    <t xml:space="preserve">GOMEZ ANALIA </t>
  </si>
  <si>
    <t>CHAMORRO CRISTIAN</t>
  </si>
  <si>
    <t xml:space="preserve"> 27-26.174.351-0</t>
  </si>
  <si>
    <t>GOMEZ ANALIA</t>
  </si>
  <si>
    <t xml:space="preserve">27-26.500.191-8 </t>
  </si>
  <si>
    <t xml:space="preserve">GOMEZ NANCY  </t>
  </si>
  <si>
    <t>2°4°</t>
  </si>
  <si>
    <t xml:space="preserve"> 27-25.153.700-9</t>
  </si>
  <si>
    <t>AMAYA SILVIA</t>
  </si>
  <si>
    <t>SANCHEZ CARLOS</t>
  </si>
  <si>
    <t>20-24.636.852-0</t>
  </si>
  <si>
    <t xml:space="preserve">20-18.284.913-9 </t>
  </si>
  <si>
    <t xml:space="preserve"> MAD 2018</t>
  </si>
  <si>
    <t xml:space="preserve"> 27-26.157.162-2</t>
  </si>
  <si>
    <t>27-17.521.161-1</t>
  </si>
  <si>
    <t>ARANDA NELIDA</t>
  </si>
  <si>
    <t>FISTER, VICTOR</t>
  </si>
  <si>
    <t>23-24.294.162-4</t>
  </si>
  <si>
    <t xml:space="preserve"> 20-24.490.541-3 </t>
  </si>
  <si>
    <t>(3 MOD)</t>
  </si>
  <si>
    <t>PAZ ALBERTO</t>
  </si>
  <si>
    <t>20-24.490.541-3               (1MOD)</t>
  </si>
  <si>
    <t xml:space="preserve">PAZ ALBERTO </t>
  </si>
  <si>
    <t xml:space="preserve"> 20-24.490.541-3</t>
  </si>
  <si>
    <t xml:space="preserve">ETCHEVERRY MARTIN  </t>
  </si>
  <si>
    <t>2°5°</t>
  </si>
  <si>
    <t>27-25.153.700-9</t>
  </si>
  <si>
    <t xml:space="preserve">AMAYA SILVIA </t>
  </si>
  <si>
    <t xml:space="preserve"> 20-18.152.596-8</t>
  </si>
  <si>
    <t xml:space="preserve">GUERRERO DANIEL </t>
  </si>
  <si>
    <t xml:space="preserve"> 27-27.713.867-6</t>
  </si>
  <si>
    <t>GIOIA VERONICA</t>
  </si>
  <si>
    <t xml:space="preserve"> 27-20.842.136-6</t>
  </si>
  <si>
    <t xml:space="preserve">MEDINA, CLAUDIA B  </t>
  </si>
  <si>
    <t>FISTER (Serv.Prov)</t>
  </si>
  <si>
    <t>3°1°</t>
  </si>
  <si>
    <t>3BIO</t>
  </si>
  <si>
    <t>3CCD</t>
  </si>
  <si>
    <t xml:space="preserve"> 20-30.035.771-8</t>
  </si>
  <si>
    <t xml:space="preserve">TORRES GABRIEL </t>
  </si>
  <si>
    <t>3ART</t>
  </si>
  <si>
    <t xml:space="preserve"> 27-24.680.551-8</t>
  </si>
  <si>
    <t>3EFI</t>
  </si>
  <si>
    <t xml:space="preserve"> 20-20.422.900-8</t>
  </si>
  <si>
    <t xml:space="preserve">SANCHEZ CARLOS </t>
  </si>
  <si>
    <t>3FI/QUI</t>
  </si>
  <si>
    <t xml:space="preserve"> 20-23.884.637-5</t>
  </si>
  <si>
    <t>3GEO</t>
  </si>
  <si>
    <t>20-24.636.854-0</t>
  </si>
  <si>
    <t>3HIS</t>
  </si>
  <si>
    <t>27-29.099.130-6</t>
  </si>
  <si>
    <t>3ING</t>
  </si>
  <si>
    <t xml:space="preserve">BONELLI PAMELA   </t>
  </si>
  <si>
    <t>3MAT</t>
  </si>
  <si>
    <t xml:space="preserve"> 27-31.927.798-1</t>
  </si>
  <si>
    <t>(mad 2019)</t>
  </si>
  <si>
    <t xml:space="preserve">MARTINEZ, GISELA       </t>
  </si>
  <si>
    <t>3PLG</t>
  </si>
  <si>
    <t>27-26.803.173-7</t>
  </si>
  <si>
    <t>3TLT3</t>
  </si>
  <si>
    <t>20-25.859 440-2</t>
  </si>
  <si>
    <t xml:space="preserve">GUTIERREZ FERNANDO  </t>
  </si>
  <si>
    <t>3TST3</t>
  </si>
  <si>
    <t>27-28.844.909-6</t>
  </si>
  <si>
    <t>3TPT3</t>
  </si>
  <si>
    <t xml:space="preserve">FISTER (Serv.Prov) </t>
  </si>
  <si>
    <t>GUTIERREZ FERNANDO</t>
  </si>
  <si>
    <t>3°2°</t>
  </si>
  <si>
    <t>DE LA FUENTE F.</t>
  </si>
  <si>
    <t xml:space="preserve">AGUIRRE VALERIA </t>
  </si>
  <si>
    <t>27-29.146.146-3</t>
  </si>
  <si>
    <t>(MAD 2018-2019)</t>
  </si>
  <si>
    <t>SOLIS, MARIA</t>
  </si>
  <si>
    <t xml:space="preserve"> ACREC. 2020</t>
  </si>
  <si>
    <t>27- 26.115.648-8</t>
  </si>
  <si>
    <t>GONZALEZ DANIELA</t>
  </si>
  <si>
    <t xml:space="preserve">                 20-28.440.300-3</t>
  </si>
  <si>
    <t xml:space="preserve">CARDINALE GERMAN </t>
  </si>
  <si>
    <t>AGUILERA CRISTINA                RENUNCIO 30-8-21</t>
  </si>
  <si>
    <t>20-21103894-3</t>
  </si>
  <si>
    <t>LEYES RICARDO</t>
  </si>
  <si>
    <t xml:space="preserve"> 27-14.685.999-8 </t>
  </si>
  <si>
    <t>3°3°</t>
  </si>
  <si>
    <t>20-32.597.246-8</t>
  </si>
  <si>
    <t xml:space="preserve">CANCELA GONZALEZ M </t>
  </si>
  <si>
    <t>27- 23.075.933-8</t>
  </si>
  <si>
    <t>HERRERA CARMEN</t>
  </si>
  <si>
    <t xml:space="preserve"> 27-24.680.551-8                       </t>
  </si>
  <si>
    <t>23-28.029.112-9</t>
  </si>
  <si>
    <t xml:space="preserve"> 20-18.284.913-9 </t>
  </si>
  <si>
    <t xml:space="preserve">    (Mad 2018)</t>
  </si>
  <si>
    <t>23-30.492.767 -4</t>
  </si>
  <si>
    <t>(DESTINO DEFINITIVO 2019)</t>
  </si>
  <si>
    <t>CARESTIA, NOEMI</t>
  </si>
  <si>
    <t xml:space="preserve">20-25.859 440-2 </t>
  </si>
  <si>
    <t>20-29.761.228-1</t>
  </si>
  <si>
    <t xml:space="preserve">PROCHOR PABLO  </t>
  </si>
  <si>
    <t>20-25.454.930-5</t>
  </si>
  <si>
    <t>CORDOBA ALEJANDRO</t>
  </si>
  <si>
    <t>CORDOBA ALEJANDRO  viene de 3º 1º</t>
  </si>
  <si>
    <t>20-26.307.520-0</t>
  </si>
  <si>
    <t xml:space="preserve">CASTILLO ANGEL </t>
  </si>
  <si>
    <t>3°4°</t>
  </si>
  <si>
    <t xml:space="preserve"> 27-27.946.097-4</t>
  </si>
  <si>
    <t xml:space="preserve"> (I MOD)</t>
  </si>
  <si>
    <t>GORDILLO NORA</t>
  </si>
  <si>
    <t>27-27.946.097-4    (1 MOD)</t>
  </si>
  <si>
    <t xml:space="preserve">GORDILLO NORA </t>
  </si>
  <si>
    <t>GOMEZ MARCELA</t>
  </si>
  <si>
    <t>27-22.558.777-4</t>
  </si>
  <si>
    <t>20-18.284.913-9</t>
  </si>
  <si>
    <t>ACREC. 2020</t>
  </si>
  <si>
    <t xml:space="preserve">GARCIA CLAUDIA </t>
  </si>
  <si>
    <t xml:space="preserve"> 27-30.953.102-2</t>
  </si>
  <si>
    <t xml:space="preserve">SANTILLAN ESTELA </t>
  </si>
  <si>
    <t>27-26.174.351-0</t>
  </si>
  <si>
    <t>3°5°</t>
  </si>
  <si>
    <t xml:space="preserve"> 27-24.680.551-8 </t>
  </si>
  <si>
    <t xml:space="preserve"> 20-29.569.203-1</t>
  </si>
  <si>
    <t xml:space="preserve">LUDUEÑA NELSON </t>
  </si>
  <si>
    <t>20-33.717.826-0</t>
  </si>
  <si>
    <t>27-34631206-3</t>
  </si>
  <si>
    <t>Des Def 2020</t>
  </si>
  <si>
    <t>SIERRA YANINA</t>
  </si>
  <si>
    <t xml:space="preserve">23-22.948.231-9 </t>
  </si>
  <si>
    <t xml:space="preserve">  Mad 2020</t>
  </si>
  <si>
    <t>PAZ DANIEL</t>
  </si>
  <si>
    <t>20- 33.444.250-1</t>
  </si>
  <si>
    <t xml:space="preserve">VIANA MAURO                  </t>
  </si>
  <si>
    <t>4°1°</t>
  </si>
  <si>
    <t>4IQUIS</t>
  </si>
  <si>
    <t>4IMATES</t>
  </si>
  <si>
    <t>4ILITS</t>
  </si>
  <si>
    <t>4IINGS</t>
  </si>
  <si>
    <t>4IEFIS</t>
  </si>
  <si>
    <t>4IHIS</t>
  </si>
  <si>
    <t xml:space="preserve"> 27-29119153-3</t>
  </si>
  <si>
    <t xml:space="preserve">LOPEZ MARINA  </t>
  </si>
  <si>
    <t>4IGEOS</t>
  </si>
  <si>
    <t xml:space="preserve"> viene de 4° 2°</t>
  </si>
  <si>
    <t>JUAREZ VANESA</t>
  </si>
  <si>
    <t>4IFIS</t>
  </si>
  <si>
    <t>4ISADS</t>
  </si>
  <si>
    <t xml:space="preserve">CORDOBA PAOLA </t>
  </si>
  <si>
    <t>4ITELE</t>
  </si>
  <si>
    <t>SERENO, LEONEL</t>
  </si>
  <si>
    <t>4IFTLP4</t>
  </si>
  <si>
    <t>4IFTLH4</t>
  </si>
  <si>
    <t>4IFTLS4</t>
  </si>
  <si>
    <t>4IFTLA4</t>
  </si>
  <si>
    <t>12.434.199 (3 MOD)</t>
  </si>
  <si>
    <t>26.134.224 (MASIVA)</t>
  </si>
  <si>
    <t xml:space="preserve">PROCHOR GLORIA </t>
  </si>
  <si>
    <t>4°2°</t>
  </si>
  <si>
    <t xml:space="preserve"> (ACRECENTAMIENTO 2018)</t>
  </si>
  <si>
    <t>VIEYRA CARLOS</t>
  </si>
  <si>
    <t xml:space="preserve">  MAD 2020</t>
  </si>
  <si>
    <t>BARONI, ROBERTO</t>
  </si>
  <si>
    <t>COLINA PATRICIA</t>
  </si>
  <si>
    <t>4°3°</t>
  </si>
  <si>
    <t>4EQUIS</t>
  </si>
  <si>
    <t>4EMATES</t>
  </si>
  <si>
    <t>4ELITS</t>
  </si>
  <si>
    <t>4EINGS</t>
  </si>
  <si>
    <t>4EEFIS</t>
  </si>
  <si>
    <t>4EHIS</t>
  </si>
  <si>
    <t xml:space="preserve">  20-25.142.864-7</t>
  </si>
  <si>
    <t>PALACIOS GUSTAVO</t>
  </si>
  <si>
    <t>4EGEOS</t>
  </si>
  <si>
    <t xml:space="preserve">ROJAS SOLEDAD </t>
  </si>
  <si>
    <t>4EFIS</t>
  </si>
  <si>
    <t>4ESADS</t>
  </si>
  <si>
    <t>4EFMC</t>
  </si>
  <si>
    <t>4ETELE</t>
  </si>
  <si>
    <t>4EFTAE4</t>
  </si>
  <si>
    <t>4EFTED4</t>
  </si>
  <si>
    <t>4EFTMP4</t>
  </si>
  <si>
    <t xml:space="preserve">SAUCEDO GUSTAVO </t>
  </si>
  <si>
    <t>4°4°</t>
  </si>
  <si>
    <t>FISTER VICTOR</t>
  </si>
  <si>
    <t xml:space="preserve">PALACIOS GUSTAVO </t>
  </si>
  <si>
    <t>LUZURIAGA ANGEL</t>
  </si>
  <si>
    <t xml:space="preserve">VELAZQUEZ GERARDO </t>
  </si>
  <si>
    <t>MARTINEZ, SILVIO</t>
  </si>
  <si>
    <t xml:space="preserve">QUINTANA RAMON </t>
  </si>
  <si>
    <t>5°1°</t>
  </si>
  <si>
    <t>5ILITS</t>
  </si>
  <si>
    <t>5IINGS</t>
  </si>
  <si>
    <t>5IEFIS</t>
  </si>
  <si>
    <t>LUDUEÑA NELSON</t>
  </si>
  <si>
    <t>5IPYCS</t>
  </si>
  <si>
    <t>definitivo 2020</t>
  </si>
  <si>
    <t xml:space="preserve">ANTONIO VALLE, INEES </t>
  </si>
  <si>
    <t>5IHIS5</t>
  </si>
  <si>
    <t>5IGEOS5</t>
  </si>
  <si>
    <t>5IANMAT</t>
  </si>
  <si>
    <t>5ISIDI4</t>
  </si>
  <si>
    <t>CARDINALE GERMAN</t>
  </si>
  <si>
    <t>5ITELEI</t>
  </si>
  <si>
    <t>5IFTLP5</t>
  </si>
  <si>
    <t>5IFTLH5</t>
  </si>
  <si>
    <t>5IFTLS5</t>
  </si>
  <si>
    <t>5IFTLA5</t>
  </si>
  <si>
    <t xml:space="preserve">BARCENILLA, JAVIER </t>
  </si>
  <si>
    <t>5°2°</t>
  </si>
  <si>
    <t xml:space="preserve"> 27-17.521.161-1 </t>
  </si>
  <si>
    <t xml:space="preserve">SPERONI, ADRIAN </t>
  </si>
  <si>
    <t xml:space="preserve">COLINA PATRICIA </t>
  </si>
  <si>
    <t>5°3°</t>
  </si>
  <si>
    <t>5ELITS</t>
  </si>
  <si>
    <t>5EINGS</t>
  </si>
  <si>
    <t>5EEFIS</t>
  </si>
  <si>
    <t xml:space="preserve"> (viene de 4º8º)</t>
  </si>
  <si>
    <t>5EPYCS</t>
  </si>
  <si>
    <t>5EHIS5</t>
  </si>
  <si>
    <t>5EGEOS5</t>
  </si>
  <si>
    <t>(viene de 4º8º)</t>
  </si>
  <si>
    <t>5EANMAT</t>
  </si>
  <si>
    <t>5EAMC</t>
  </si>
  <si>
    <t xml:space="preserve">ATAMAÑUK, FLORENCIA </t>
  </si>
  <si>
    <t>5ELENE</t>
  </si>
  <si>
    <t>BARBOZA, SILVIO</t>
  </si>
  <si>
    <t>5EDASE</t>
  </si>
  <si>
    <t>5EFTAE5</t>
  </si>
  <si>
    <t>5EFTED5</t>
  </si>
  <si>
    <t>5EFTMP5</t>
  </si>
  <si>
    <t xml:space="preserve">FISTER VICTOR </t>
  </si>
  <si>
    <t>5°4°</t>
  </si>
  <si>
    <t>FERNANDEZ MARCELO</t>
  </si>
  <si>
    <t>27-26107937-8</t>
  </si>
  <si>
    <t xml:space="preserve"> (INT. 2020)</t>
  </si>
  <si>
    <t xml:space="preserve">GAUTO, ALICIA </t>
  </si>
  <si>
    <t xml:space="preserve">CORDOBA ALEJANDRO </t>
  </si>
  <si>
    <t xml:space="preserve">GOMEZ NANCY </t>
  </si>
  <si>
    <t>GOMEZ NANCY</t>
  </si>
  <si>
    <t xml:space="preserve">MARTINEZ, SILVIO </t>
  </si>
  <si>
    <t xml:space="preserve"> (4 MOD)</t>
  </si>
  <si>
    <t>6°1°</t>
  </si>
  <si>
    <t>6ILITS</t>
  </si>
  <si>
    <t>6IINGS</t>
  </si>
  <si>
    <t>6IEFIS</t>
  </si>
  <si>
    <t>6IFILO</t>
  </si>
  <si>
    <t>LETIERI, MANUEL</t>
  </si>
  <si>
    <t>6IARTE</t>
  </si>
  <si>
    <t>6IMATAP</t>
  </si>
  <si>
    <t>6ISIDI6</t>
  </si>
  <si>
    <t>6IINVOP</t>
  </si>
  <si>
    <t>6ISEIN</t>
  </si>
  <si>
    <t>6IDETRA</t>
  </si>
  <si>
    <t>6IFTLP6</t>
  </si>
  <si>
    <t>6IFTLH6</t>
  </si>
  <si>
    <t xml:space="preserve"> 16.019.055 (1 MOD)</t>
  </si>
  <si>
    <t>6IFHLS6</t>
  </si>
  <si>
    <t>6IFTLA6</t>
  </si>
  <si>
    <t>6°2°</t>
  </si>
  <si>
    <t xml:space="preserve">BURELA, MERCEDES </t>
  </si>
  <si>
    <t>GUADAGNO CLAUDIA</t>
  </si>
  <si>
    <t>6°4°</t>
  </si>
  <si>
    <t>6ELITS</t>
  </si>
  <si>
    <t>27-23.441.991-4</t>
  </si>
  <si>
    <t>6EINGS</t>
  </si>
  <si>
    <t>6EEFIS</t>
  </si>
  <si>
    <t>6EFILO</t>
  </si>
  <si>
    <t>6EARTE</t>
  </si>
  <si>
    <t>6EMATAP</t>
  </si>
  <si>
    <t>6ESISCO</t>
  </si>
  <si>
    <t>6EINSMA</t>
  </si>
  <si>
    <t>6ESIPRO</t>
  </si>
  <si>
    <t>6EDETRA</t>
  </si>
  <si>
    <t>6ELENE6</t>
  </si>
  <si>
    <t>6EFTAE6</t>
  </si>
  <si>
    <t>6EFTED6</t>
  </si>
  <si>
    <t>6EFTMP6</t>
  </si>
  <si>
    <t>SAUCEDO GUSTAVO</t>
  </si>
  <si>
    <t>7°1°</t>
  </si>
  <si>
    <t>7IPPSIN</t>
  </si>
  <si>
    <t>7IPPDLO</t>
  </si>
  <si>
    <t>7IEVPRO</t>
  </si>
  <si>
    <t>7IMOSIS</t>
  </si>
  <si>
    <t>7IBADAT</t>
  </si>
  <si>
    <t>7IPDISC</t>
  </si>
  <si>
    <t>CARPITELLA FABIAN</t>
  </si>
  <si>
    <t>7IIMRSC</t>
  </si>
  <si>
    <t>7IIMRRI</t>
  </si>
  <si>
    <t>7°2°</t>
  </si>
  <si>
    <t>7EPPSEL</t>
  </si>
  <si>
    <t>7EPPDLO</t>
  </si>
  <si>
    <t>QUINTANA RAMON</t>
  </si>
  <si>
    <t>7ESIDCO</t>
  </si>
  <si>
    <t>7ESISDC</t>
  </si>
  <si>
    <t>7ESEHPA</t>
  </si>
  <si>
    <t>ARGAÑARAZ ANGEL</t>
  </si>
  <si>
    <t>7EPRODE</t>
  </si>
  <si>
    <t>7EINSIN</t>
  </si>
  <si>
    <t>7EELEAP</t>
  </si>
  <si>
    <t>MARTINCUS, GASTON</t>
  </si>
  <si>
    <t>1°5°1NAT</t>
  </si>
  <si>
    <t>CIENCIAS NATUIRALES</t>
  </si>
  <si>
    <t>MAIDANA, LEONORA</t>
  </si>
  <si>
    <t>SUPLENTE</t>
  </si>
  <si>
    <t>1°5°1SOC</t>
  </si>
  <si>
    <t>CIENCIAS SOCIALES</t>
  </si>
  <si>
    <t xml:space="preserve"> </t>
  </si>
  <si>
    <t>TITULAR</t>
  </si>
  <si>
    <t>1°5°1ART</t>
  </si>
  <si>
    <t>EDUCACION ARTISTICA</t>
  </si>
  <si>
    <t>PROVISONAL</t>
  </si>
  <si>
    <t>1°5°1EFI</t>
  </si>
  <si>
    <t>EDUCACION FISICA</t>
  </si>
  <si>
    <t>1°5°1ING</t>
  </si>
  <si>
    <t>INGLES</t>
  </si>
  <si>
    <t>1°5°1MAT</t>
  </si>
  <si>
    <t>MATEMATICA</t>
  </si>
  <si>
    <t>1°5°1LEN</t>
  </si>
  <si>
    <t>PRACTICA DEL LENGUAJE</t>
  </si>
  <si>
    <t>HEREDIA OLMOS, PAULA</t>
  </si>
  <si>
    <t>1°5°1CCD</t>
  </si>
  <si>
    <t>CONTRUCCION DE LA CIUDADANIA</t>
  </si>
  <si>
    <t>1°5°1511TLT</t>
  </si>
  <si>
    <t>LENGUAJES TECNOLOGICOS</t>
  </si>
  <si>
    <t>1°5°1511TST</t>
  </si>
  <si>
    <t>SISTEMAS TECNOLGICOS</t>
  </si>
  <si>
    <t>1°5°1511TPT</t>
  </si>
  <si>
    <t>PROCEDIMIENTOS TECNICOS</t>
  </si>
  <si>
    <t>1°5°1521TLT</t>
  </si>
  <si>
    <t>1°5°1521TST</t>
  </si>
  <si>
    <t>1°5°1521TPT</t>
  </si>
  <si>
    <t>ESTADO</t>
  </si>
  <si>
    <t>BAJA 2022</t>
  </si>
  <si>
    <t>ETCHEVERRY MARTIN</t>
  </si>
  <si>
    <t>ESCALADA ARNALDO</t>
  </si>
  <si>
    <t>ZURITA REINA</t>
  </si>
  <si>
    <t>23-22.170.640-4</t>
  </si>
  <si>
    <t>5°5°</t>
  </si>
  <si>
    <t>GARCIA. C.</t>
  </si>
  <si>
    <t xml:space="preserve">SANTILLAN ESTELA   </t>
  </si>
  <si>
    <t xml:space="preserve">                     27-30.953.102-2</t>
  </si>
  <si>
    <t xml:space="preserve">ALFARO DANIEL                  </t>
  </si>
  <si>
    <t xml:space="preserve">      27-27.476.782-6</t>
  </si>
  <si>
    <t>MELGAREJO, PAULA</t>
  </si>
  <si>
    <t xml:space="preserve">       27-27.476.782-6</t>
  </si>
  <si>
    <t>colman renuncio 16/3/22</t>
  </si>
  <si>
    <t>RENUNCIO MOLINA WALTER 16/3</t>
  </si>
  <si>
    <t>RENUNCIO SAUCEDO 16/3</t>
  </si>
  <si>
    <t xml:space="preserve">JUAREZ NORMA </t>
  </si>
  <si>
    <t>27-20.786.164-8</t>
  </si>
  <si>
    <t>DELGADO ARIEL</t>
  </si>
  <si>
    <t>RAMIREZ GISELE</t>
  </si>
  <si>
    <t>BARRIONUEVO MARIANELA</t>
  </si>
  <si>
    <t>LOPEZ MARCELO</t>
  </si>
  <si>
    <t>ECHAZU FARIAS  ANALIA</t>
  </si>
  <si>
    <t xml:space="preserve">COLAZO VIRGINIA </t>
  </si>
  <si>
    <t>HERRERA LEONEL</t>
  </si>
  <si>
    <t>FERNANDEZ SOLANGE ME FIGURABA ESTO</t>
  </si>
  <si>
    <t>ARIAS, YANINA</t>
  </si>
  <si>
    <t>TITO JUAN MANUEL</t>
  </si>
  <si>
    <t>MANSILLA ANDRES</t>
  </si>
  <si>
    <t>JUAREZ NORMA</t>
  </si>
  <si>
    <t>ANTONELLO, FERNANDO</t>
  </si>
  <si>
    <t>RENUNCIA DE CARPITELA 29/4</t>
  </si>
  <si>
    <t>MONTENEGRO CLAUIDA</t>
  </si>
  <si>
    <t>27-38.178432-6</t>
  </si>
  <si>
    <t>WITT  GERARDO</t>
  </si>
  <si>
    <t>HERRERA STELLA MARIS</t>
  </si>
  <si>
    <t xml:space="preserve"> 20- 23.054.587-2</t>
  </si>
  <si>
    <t>2°2°2222TST2</t>
  </si>
  <si>
    <t>3°2°3213TST3</t>
  </si>
  <si>
    <t>4°1°4124IFTLS4</t>
  </si>
  <si>
    <t>4°2°4224IFTLS4</t>
  </si>
  <si>
    <t>5°1°5115IFTLP5</t>
  </si>
  <si>
    <t>6°1°6116IFTLP6</t>
  </si>
  <si>
    <t>6°2°6226IFTLP6</t>
  </si>
  <si>
    <t>7°1°7IPPSIN</t>
  </si>
  <si>
    <t>7°1°7IPPDLO</t>
  </si>
  <si>
    <t>7°1°7IEVPRO</t>
  </si>
  <si>
    <t>7°1°7127IIMRRI</t>
  </si>
  <si>
    <t>FECHA_RECLAMO</t>
  </si>
  <si>
    <t>NRO</t>
  </si>
  <si>
    <t>COD</t>
  </si>
  <si>
    <t>curso</t>
  </si>
  <si>
    <t>com</t>
  </si>
  <si>
    <t>cod_mate</t>
  </si>
  <si>
    <t>CONT</t>
  </si>
  <si>
    <t>PDD</t>
  </si>
  <si>
    <t>DESCRIPCION DE MATERIA</t>
  </si>
  <si>
    <t>OBSEVACIONES</t>
  </si>
  <si>
    <t>LOIS  EDUARDO</t>
  </si>
  <si>
    <t>CRUZ DAVID</t>
  </si>
  <si>
    <t>23- 22.948.231-9</t>
  </si>
  <si>
    <t>MAZU LEILA</t>
  </si>
  <si>
    <t>MIRANDA NACY</t>
  </si>
  <si>
    <t>FERNANDEZ MAXIMILIANO</t>
  </si>
  <si>
    <t>borre a titular oliveri y suplente farias 20/03/23</t>
  </si>
  <si>
    <t>AGREGUE TITUAL FUENTE DIEGO Y BORRE PROVISIONAL 20/03/23</t>
  </si>
  <si>
    <t>SE CAMBIA TITULAR CARRIZO FABIAN POR LOPEZ MARINA 20/03/23</t>
  </si>
  <si>
    <t>27-29117553-3</t>
  </si>
  <si>
    <t>LOPEZ NARINA</t>
  </si>
  <si>
    <t>CAMBULE PEDRO</t>
  </si>
  <si>
    <t>cambie titular GONZALEZ, CARLOS por torres gabriel el dia 20/03/23</t>
  </si>
  <si>
    <t>borre prov vera por titular fuente diego 20/03/23</t>
  </si>
  <si>
    <t>CORREGIDO NO COINCIDE CON HORARIO SECRE AVISADO 20/03/23</t>
  </si>
  <si>
    <t>CAMBIE TITULAR FUENTE DIEGO POR VEGA HORARIO 20/03/23</t>
  </si>
  <si>
    <t>ALONSO, MARIA</t>
  </si>
  <si>
    <t xml:space="preserve"> 27-34849943-8  INT</t>
  </si>
  <si>
    <t>corregido horario 20/03/23</t>
  </si>
  <si>
    <t>actualizado titular alonso horario 20/03/23</t>
  </si>
  <si>
    <t>actualizado titular  horario 20/03/23</t>
  </si>
  <si>
    <t>actualizado titular horario 20/03/23 antes witt</t>
  </si>
  <si>
    <t>16.238.400 (3 MOD)</t>
  </si>
  <si>
    <t>actualizado titular horario 20/03/23 antes fister</t>
  </si>
  <si>
    <t>actualizado titular horario 20/03/23 antes gonano</t>
  </si>
  <si>
    <t>actualizado titular horario 20/03/23 antes barcenilla</t>
  </si>
  <si>
    <t>actualizado titular horario 20/03/23 antes herrera leonel</t>
  </si>
  <si>
    <t>actualice titular horario 20/03/23</t>
  </si>
  <si>
    <t>ACTUALIZADO TITULAR HORARIO 20/03/23 ANTES CARDINALE Y SE CARGO SUPLENTE MONTENEGRO</t>
  </si>
  <si>
    <t>6°3°</t>
  </si>
  <si>
    <t>ARANDA NELIDA 27-</t>
  </si>
  <si>
    <t>17.521.161-1 ACREC. 2020</t>
  </si>
  <si>
    <t>RENUNCIA MUÑOZ</t>
  </si>
  <si>
    <t>RENUNCIO BETY SOSA</t>
  </si>
  <si>
    <t>viene de 5to 5ta</t>
  </si>
  <si>
    <t>ARNALDO ESCALADA</t>
  </si>
  <si>
    <t xml:space="preserve">BARONI, ROBERTO </t>
  </si>
  <si>
    <t>HERRERA, STELLA</t>
  </si>
  <si>
    <t>LOPEZ, JONATHAN</t>
  </si>
  <si>
    <t>GONANO, GERMAN S</t>
  </si>
  <si>
    <t xml:space="preserve">GONZALEZ GONZALEZ ROMINA </t>
  </si>
  <si>
    <t>MONTES IVAN</t>
  </si>
  <si>
    <t>RIVERA MARCELO</t>
  </si>
  <si>
    <t>PARTOR SOLORZANO</t>
  </si>
  <si>
    <t>ROCHA JULIETA</t>
  </si>
  <si>
    <t>CHAWET MATIAS</t>
  </si>
  <si>
    <t>PALAVECINO</t>
  </si>
  <si>
    <t>MONTENEGRO</t>
  </si>
  <si>
    <t>COLAZO VIRGINIA</t>
  </si>
  <si>
    <t xml:space="preserve">RIOS LEOINARDO </t>
  </si>
  <si>
    <t>ALFONSO</t>
  </si>
  <si>
    <t>PROCHOR GLORIA</t>
  </si>
  <si>
    <t>FERREYRA JESICA</t>
  </si>
  <si>
    <t>DANIEL PAZ</t>
  </si>
  <si>
    <t xml:space="preserve">DELLA VECCHIA </t>
  </si>
  <si>
    <t xml:space="preserve">ROTOLO, LUCIANO </t>
  </si>
  <si>
    <t xml:space="preserve">LEGUIZAMO  ANA </t>
  </si>
  <si>
    <t xml:space="preserve">VERA LORENA                        </t>
  </si>
  <si>
    <t>RODRIGUEZ PABLO</t>
  </si>
  <si>
    <t>HERRERA STELLA 27- 29.873.235-7</t>
  </si>
  <si>
    <t>RODRIGUEZ GUTIERRES, PAOLA</t>
  </si>
  <si>
    <t xml:space="preserve">LEGUIZAMO ANA </t>
  </si>
  <si>
    <t>WITT GERARDO</t>
  </si>
  <si>
    <t xml:space="preserve">AVILA </t>
  </si>
  <si>
    <t>CASTILLO SOFIA</t>
  </si>
  <si>
    <t>MARTA RIOS  CESO</t>
  </si>
  <si>
    <t>CUIL</t>
  </si>
  <si>
    <t>23-25.384.927-4</t>
  </si>
  <si>
    <t>AYALA VICORIA</t>
  </si>
  <si>
    <t>20-28.438.827-6</t>
  </si>
  <si>
    <t xml:space="preserve">QUEVEDO OMAR </t>
  </si>
  <si>
    <t>MAD 2025</t>
  </si>
  <si>
    <t>INTERINO 2025</t>
  </si>
  <si>
    <t>23.998.211-6</t>
  </si>
  <si>
    <t xml:space="preserve">VARCHETTA, GABRIEL OMAR </t>
  </si>
  <si>
    <t>INT 2025</t>
  </si>
  <si>
    <t xml:space="preserve">  20-37059555-1</t>
  </si>
  <si>
    <t xml:space="preserve"> INT 2025</t>
  </si>
  <si>
    <t xml:space="preserve">  27-23560083-3</t>
  </si>
  <si>
    <t>CRUZ JESUS</t>
  </si>
  <si>
    <t>OLIVIERI, ROMINA DE LOS MILAGR</t>
  </si>
  <si>
    <t>FARIAS CLAUDIA</t>
  </si>
  <si>
    <t xml:space="preserve"> 27-23480647-0</t>
  </si>
  <si>
    <t>WEBBER JONATHAN</t>
  </si>
  <si>
    <t>ESPINDOLA, S</t>
  </si>
  <si>
    <t>LENCINAS NOELIA</t>
  </si>
  <si>
    <t>NEGRETE, DANIELA</t>
  </si>
  <si>
    <t>SORIA, HERNAN MAXIMILIANO</t>
  </si>
  <si>
    <t xml:space="preserve"> 20-27312414-5</t>
  </si>
  <si>
    <t xml:space="preserve"> KEMPER, NATALIA</t>
  </si>
  <si>
    <t>CENTURION SILVIA</t>
  </si>
  <si>
    <t>LOGUZZO, LORENA BEATRIZ</t>
  </si>
  <si>
    <t xml:space="preserve">  27-25863263-5</t>
  </si>
  <si>
    <t>WEBBER BRIAN</t>
  </si>
  <si>
    <t>ORMEÑO FELIX</t>
  </si>
  <si>
    <t>PEREYRA, DANIEL</t>
  </si>
  <si>
    <t>CHAVVET, MATIAS</t>
  </si>
  <si>
    <t>,   INT 2025</t>
  </si>
  <si>
    <t>CAÑETE YOHANA</t>
  </si>
  <si>
    <t xml:space="preserve"> 27-20.786.164-8 </t>
  </si>
  <si>
    <t>FISTER</t>
  </si>
  <si>
    <t xml:space="preserve">GONANO, GERMAN </t>
  </si>
  <si>
    <t>AÑASCO, GABRIEL  20-36089659-6</t>
  </si>
  <si>
    <t>CASTILLO MARISOL ANABEL</t>
  </si>
  <si>
    <t xml:space="preserve">  CUIT  27373875584</t>
  </si>
  <si>
    <t>20-32692609-5</t>
  </si>
  <si>
    <t>RIOS, LEONARDO</t>
  </si>
  <si>
    <t xml:space="preserve">  20-34020185-0</t>
  </si>
  <si>
    <t xml:space="preserve">ORMEÑO CARLOS CUIT </t>
  </si>
  <si>
    <t>HERRERA STELLA</t>
  </si>
  <si>
    <t xml:space="preserve"> 27-25.863.832-3</t>
  </si>
  <si>
    <t>GARCIA CLAUDIA</t>
  </si>
  <si>
    <t>VILLALVA ESTEBAN</t>
  </si>
  <si>
    <t xml:space="preserve"> CUIT 20338123125</t>
  </si>
  <si>
    <t>MIRAFIORI, N   0</t>
  </si>
  <si>
    <t>MONTENEGRO CLAUDIA</t>
  </si>
  <si>
    <t xml:space="preserve"> 27-20.205.124-9</t>
  </si>
  <si>
    <t>BARONI ROBERTO ALEJANDRO</t>
  </si>
  <si>
    <t>GUTIERREZ NICOLAS</t>
  </si>
  <si>
    <t>7°3°</t>
  </si>
  <si>
    <t xml:space="preserve">ROCHA JULIETA </t>
  </si>
  <si>
    <t>23-41.942.264-4</t>
  </si>
  <si>
    <t xml:space="preserve">MONTENEGRO CLAUDIA </t>
  </si>
  <si>
    <t>27-20.205.124-9</t>
  </si>
  <si>
    <t xml:space="preserve">WITT GERARDO </t>
  </si>
  <si>
    <t>20-27.704.739-0</t>
  </si>
  <si>
    <t xml:space="preserve">PAZ DANIEL                </t>
  </si>
  <si>
    <t xml:space="preserve">           20-23.639.282-2</t>
  </si>
  <si>
    <t>GUTIERREZ ANGEL</t>
  </si>
  <si>
    <t xml:space="preserve"> 20-40252178-4</t>
  </si>
  <si>
    <t xml:space="preserve">BECERRO MARIO </t>
  </si>
  <si>
    <t>CUIT  20279899041</t>
  </si>
  <si>
    <t>escalada arnaldo</t>
  </si>
  <si>
    <t>GONANO GERMAN</t>
  </si>
  <si>
    <t>Docente_Frente a curso</t>
  </si>
  <si>
    <t>ESCALADA SILVANA</t>
  </si>
  <si>
    <t>IRIGOYTIA PECCORELLI JULIE</t>
  </si>
  <si>
    <t xml:space="preserve">PORQUERES, MATIAS </t>
  </si>
  <si>
    <t>BELIZAN JUAN</t>
  </si>
  <si>
    <t xml:space="preserve">HERRERA STELLA MARIS   </t>
  </si>
  <si>
    <t xml:space="preserve">TAPIA EVANGELINA EMILCE  </t>
  </si>
  <si>
    <t>COLINA</t>
  </si>
  <si>
    <t>firma</t>
  </si>
  <si>
    <t>MONTENEGRO JUILIO</t>
  </si>
  <si>
    <t>CORDOBA ERNESTO</t>
  </si>
  <si>
    <t>GAUNA FEDERICO</t>
  </si>
  <si>
    <t xml:space="preserve"> GUZZO HUGO DANIEL</t>
  </si>
  <si>
    <t xml:space="preserve">CENTURION SILVIA BEATRIZ   </t>
  </si>
  <si>
    <t>FERRARIS OJEDA JULIETA</t>
  </si>
  <si>
    <t xml:space="preserve">  27-12.434.199-5</t>
  </si>
  <si>
    <t>ORMEÑO CARLOS   20181926644</t>
  </si>
  <si>
    <t>BULACIO ARIEL</t>
  </si>
  <si>
    <t>LUDUEÑA NELSON           20-29.569.203-1</t>
  </si>
  <si>
    <t xml:space="preserve">FARIAS CLAUDIA ANTONIA </t>
  </si>
  <si>
    <t xml:space="preserve"> 20-25692615-7</t>
  </si>
  <si>
    <t xml:space="preserve">RIOS, LEONARDO  </t>
  </si>
  <si>
    <t>20-34020185-0</t>
  </si>
  <si>
    <t xml:space="preserve">GIOIA VERONICA                             </t>
  </si>
  <si>
    <t>27-27.713.867-6</t>
  </si>
  <si>
    <t>PERALTA ARIANA INT 2026</t>
  </si>
  <si>
    <t>CORDOBA ALEJANDRO                       20-25.454.930-5</t>
  </si>
  <si>
    <t xml:space="preserve">GERSTER MYRIAN   INT206           </t>
  </si>
  <si>
    <t xml:space="preserve">  27- 20.842.169-2</t>
  </si>
  <si>
    <t>ALFONSO D INT 2026</t>
  </si>
  <si>
    <t>CARDINALE GERMAN 28.440.300</t>
  </si>
  <si>
    <t>GOMEZ, PATRICIA INT 2026</t>
  </si>
  <si>
    <t>RIOS, LEONARDO  20-34020185-0</t>
  </si>
  <si>
    <t xml:space="preserve">MONTENEGRO LUIS   </t>
  </si>
  <si>
    <t>A INT  2026   20291688897</t>
  </si>
  <si>
    <t xml:space="preserve">AMAYA SILVIA                      </t>
  </si>
  <si>
    <t>CRUZ JESUS  NAZARENO</t>
  </si>
  <si>
    <t>VALLBONA MIRNA SOLEDAD</t>
  </si>
  <si>
    <t>VERA LORENA</t>
  </si>
  <si>
    <t xml:space="preserve">20-25.658.952-5  interino 2020 </t>
  </si>
  <si>
    <t xml:space="preserve">OVEJERO, JAVIER </t>
  </si>
  <si>
    <t>VALLBONA MIRNA SOLEDAD                   27289218209</t>
  </si>
  <si>
    <t xml:space="preserve">CAÑETE, JOHANA  </t>
  </si>
  <si>
    <t>VARCHETTA, GABRIEL</t>
  </si>
  <si>
    <t>BELIZAN</t>
  </si>
  <si>
    <t xml:space="preserve">CRUZ DAVID   </t>
  </si>
  <si>
    <t xml:space="preserve">   20-32982114-6</t>
  </si>
  <si>
    <t xml:space="preserve">CASTILLO MARISOL ANABEL </t>
  </si>
  <si>
    <t xml:space="preserve">PROCHOR JUAN PABLO   </t>
  </si>
  <si>
    <t xml:space="preserve">CRUZ JESUS NAZARENO </t>
  </si>
  <si>
    <t xml:space="preserve">IBARRA ALEJANDRO   </t>
  </si>
  <si>
    <t>ROSSI, MARIA FERNANDA  27221013714</t>
  </si>
  <si>
    <t>PROCHOR JUAN PABLO</t>
  </si>
  <si>
    <t>PORQUERES MATIAS DANIEL</t>
  </si>
  <si>
    <t xml:space="preserve">FISTER VICTOR             </t>
  </si>
  <si>
    <t xml:space="preserve"> 27-32.120.676-5</t>
  </si>
  <si>
    <t xml:space="preserve">PEREYRA MARISA </t>
  </si>
  <si>
    <t>27-30.923.180-0</t>
  </si>
  <si>
    <t>ROJAS SOLEDAD</t>
  </si>
  <si>
    <t xml:space="preserve"> 27-27.690.6084</t>
  </si>
  <si>
    <t>AGUIRRE ISABEL</t>
  </si>
  <si>
    <t xml:space="preserve">MANSILLA SANTIAGO </t>
  </si>
  <si>
    <t>BRENDT YANINA</t>
  </si>
  <si>
    <t>VER</t>
  </si>
  <si>
    <t xml:space="preserve">PEREYRA LORENA   </t>
  </si>
  <si>
    <t xml:space="preserve">VARCHETTA, GABRIEL OMAR   </t>
  </si>
  <si>
    <t>20-37059555-1 INT 2025</t>
  </si>
  <si>
    <t>PERALTA GISELA</t>
  </si>
  <si>
    <t xml:space="preserve">KUSNIER CUPAIOLO NATALIA N </t>
  </si>
  <si>
    <t>BERTOSSI MAXIMILIANO H</t>
  </si>
  <si>
    <t>OSTRIZ GISELA JORGELINA</t>
  </si>
  <si>
    <t xml:space="preserve"> ROJAS SOLEDAD</t>
  </si>
  <si>
    <t>BLANCO NOGUEIRAS MICAELA E</t>
  </si>
  <si>
    <t xml:space="preserve">AGUIRRE ISABEL  </t>
  </si>
  <si>
    <t xml:space="preserve">BRAVO MARIA </t>
  </si>
  <si>
    <t>SEGUEIRA SUSANA SOLEDAD</t>
  </si>
  <si>
    <t xml:space="preserve">TORRES CLAUDIA                                 27-29.251.861-2  </t>
  </si>
  <si>
    <t>SEGGIARO GISELA PAMELA  27324520711</t>
  </si>
  <si>
    <t xml:space="preserve">PEREYRA, GISELA VANESA  </t>
  </si>
  <si>
    <t>CRUZ JESUS NAZARENO 20256926157</t>
  </si>
  <si>
    <t>LUDUEÑA NELSON            ACRECENTAMIENTO 2020</t>
  </si>
  <si>
    <t xml:space="preserve">20-29.569.203-1 </t>
  </si>
  <si>
    <t xml:space="preserve">ESPINDOLA SERGIO                        </t>
  </si>
  <si>
    <t xml:space="preserve">         20-23.884.637-5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</si>
</sst>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FF0000"/>
      <name val="Arial"/>
      <family val="2"/>
    </font>
    <font>
      <sz val="10"/>
      <color rgb="FF212529"/>
      <name val="Roboto"/>
    </font>
    <font>
      <sz val="7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EAF1D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EAF1D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/>
    <xf numFmtId="0" fontId="9" fillId="0" borderId="1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11" fillId="0" borderId="0" xfId="0" applyNumberFormat="1" applyFont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0" xfId="0" applyFont="1"/>
    <xf numFmtId="3" fontId="3" fillId="2" borderId="1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JA001-%20listado%20de%20Materi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JA009-REGISTRO%20DE%20Docen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JA010-%20REGISTRO%20DE%20LICENC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RJA001- listado de Materias"/>
    </sheetNames>
    <sheetDataSet>
      <sheetData sheetId="0">
        <row r="1">
          <cell r="A1" t="str">
            <v>COD</v>
          </cell>
          <cell r="B1" t="str">
            <v>AÑO</v>
          </cell>
          <cell r="C1" t="str">
            <v>MODALIDAD</v>
          </cell>
          <cell r="D1" t="str">
            <v>MODALIDAD</v>
          </cell>
          <cell r="E1" t="str">
            <v>CICLO</v>
          </cell>
          <cell r="F1" t="str">
            <v>N°</v>
          </cell>
          <cell r="G1" t="str">
            <v>CONT</v>
          </cell>
          <cell r="H1" t="str">
            <v>PDD</v>
          </cell>
          <cell r="I1" t="str">
            <v>MODULOS</v>
          </cell>
          <cell r="J1" t="str">
            <v>TIPO</v>
          </cell>
          <cell r="K1" t="str">
            <v>ASIGNATURA</v>
          </cell>
        </row>
        <row r="2">
          <cell r="A2" t="str">
            <v>1NAT</v>
          </cell>
          <cell r="B2">
            <v>1</v>
          </cell>
          <cell r="C2" t="str">
            <v>ED. TECNICA PROFESIONAL</v>
          </cell>
          <cell r="D2"/>
          <cell r="E2" t="str">
            <v>C.B.</v>
          </cell>
          <cell r="F2">
            <v>1</v>
          </cell>
          <cell r="G2" t="str">
            <v>NAT</v>
          </cell>
          <cell r="H2" t="str">
            <v>CNT</v>
          </cell>
          <cell r="I2">
            <v>4</v>
          </cell>
          <cell r="J2" t="str">
            <v>Formación General y Científico Tecnológica</v>
          </cell>
          <cell r="K2" t="str">
            <v>CIENCIAS NATURALES</v>
          </cell>
        </row>
        <row r="3">
          <cell r="A3" t="str">
            <v>1SOC</v>
          </cell>
          <cell r="B3">
            <v>1</v>
          </cell>
          <cell r="C3" t="str">
            <v>ED. TECNICA PROFESIONAL</v>
          </cell>
          <cell r="D3"/>
          <cell r="E3" t="str">
            <v>C.B.</v>
          </cell>
          <cell r="F3">
            <v>2</v>
          </cell>
          <cell r="G3" t="str">
            <v>SOC</v>
          </cell>
          <cell r="H3" t="str">
            <v>CSC</v>
          </cell>
          <cell r="I3">
            <v>4</v>
          </cell>
          <cell r="J3" t="str">
            <v>Formación General y Científico Tecnológica</v>
          </cell>
          <cell r="K3" t="str">
            <v>CIENCIAS SOCIALES</v>
          </cell>
        </row>
        <row r="4">
          <cell r="A4" t="str">
            <v>1ART</v>
          </cell>
          <cell r="B4">
            <v>1</v>
          </cell>
          <cell r="C4" t="str">
            <v>ED. TECNICA PROFESIONAL</v>
          </cell>
          <cell r="D4"/>
          <cell r="E4" t="str">
            <v>C.B.</v>
          </cell>
          <cell r="F4">
            <v>3</v>
          </cell>
          <cell r="G4" t="str">
            <v>ART</v>
          </cell>
          <cell r="H4" t="str">
            <v>APV</v>
          </cell>
          <cell r="I4">
            <v>2</v>
          </cell>
          <cell r="J4" t="str">
            <v>Formación General y Científico Tecnológica</v>
          </cell>
          <cell r="K4" t="str">
            <v>EDUCACION ARTISTICA (PLASTICA)</v>
          </cell>
        </row>
        <row r="5">
          <cell r="A5" t="str">
            <v>1EFI</v>
          </cell>
          <cell r="B5">
            <v>1</v>
          </cell>
          <cell r="C5" t="str">
            <v>ED. TECNICA PROFESIONAL</v>
          </cell>
          <cell r="D5"/>
          <cell r="E5" t="str">
            <v>C.B.</v>
          </cell>
          <cell r="F5">
            <v>4</v>
          </cell>
          <cell r="G5" t="str">
            <v>EFI</v>
          </cell>
          <cell r="H5" t="str">
            <v>EFC</v>
          </cell>
          <cell r="I5">
            <v>2</v>
          </cell>
          <cell r="J5" t="str">
            <v>Formación General y Científico Tecnológica</v>
          </cell>
          <cell r="K5" t="str">
            <v>EDUCACIÓN FISICA</v>
          </cell>
        </row>
        <row r="6">
          <cell r="A6" t="str">
            <v>1ING</v>
          </cell>
          <cell r="B6">
            <v>1</v>
          </cell>
          <cell r="C6" t="str">
            <v>ED. TECNICA PROFESIONAL</v>
          </cell>
          <cell r="D6"/>
          <cell r="E6" t="str">
            <v>C.B.</v>
          </cell>
          <cell r="F6">
            <v>5</v>
          </cell>
          <cell r="G6" t="str">
            <v>ING</v>
          </cell>
          <cell r="H6" t="str">
            <v>IGS</v>
          </cell>
          <cell r="I6">
            <v>2</v>
          </cell>
          <cell r="J6" t="str">
            <v>Formación General y Científico Tecnológica</v>
          </cell>
          <cell r="K6" t="str">
            <v>INGLÉS</v>
          </cell>
        </row>
        <row r="7">
          <cell r="A7" t="str">
            <v>1MAT</v>
          </cell>
          <cell r="B7">
            <v>1</v>
          </cell>
          <cell r="C7" t="str">
            <v>ED. TECNICA PROFESIONAL</v>
          </cell>
          <cell r="D7"/>
          <cell r="E7" t="str">
            <v xml:space="preserve"> </v>
          </cell>
          <cell r="F7">
            <v>6</v>
          </cell>
          <cell r="G7" t="str">
            <v>MAT</v>
          </cell>
          <cell r="H7" t="str">
            <v>MTM</v>
          </cell>
          <cell r="I7">
            <v>4</v>
          </cell>
          <cell r="J7" t="str">
            <v>Formación General y Científico Tecnológica</v>
          </cell>
          <cell r="K7" t="str">
            <v>MATEMATICA</v>
          </cell>
        </row>
        <row r="8">
          <cell r="A8" t="str">
            <v>1LEN</v>
          </cell>
          <cell r="B8">
            <v>1</v>
          </cell>
          <cell r="C8" t="str">
            <v>ED. TECNICA PROFESIONAL</v>
          </cell>
          <cell r="D8"/>
          <cell r="E8" t="str">
            <v>C.B.</v>
          </cell>
          <cell r="F8">
            <v>7</v>
          </cell>
          <cell r="G8" t="str">
            <v>LEN</v>
          </cell>
          <cell r="H8" t="str">
            <v>PLG</v>
          </cell>
          <cell r="I8">
            <v>4</v>
          </cell>
          <cell r="J8" t="str">
            <v>Formación General y Científico Tecnológica</v>
          </cell>
          <cell r="K8" t="str">
            <v>PRACTICA DEL LENGUAJE</v>
          </cell>
        </row>
        <row r="9">
          <cell r="A9" t="str">
            <v>1CCD</v>
          </cell>
          <cell r="B9">
            <v>1</v>
          </cell>
          <cell r="C9" t="str">
            <v>ED. TECNICA PROFESIONAL</v>
          </cell>
          <cell r="D9"/>
          <cell r="E9" t="str">
            <v>C.B.</v>
          </cell>
          <cell r="F9">
            <v>8</v>
          </cell>
          <cell r="G9" t="str">
            <v>CCD</v>
          </cell>
          <cell r="H9" t="str">
            <v>CCD</v>
          </cell>
          <cell r="I9">
            <v>2</v>
          </cell>
          <cell r="J9" t="str">
            <v>Formación General y Científico Tecnológica</v>
          </cell>
          <cell r="K9" t="str">
            <v>CONSTRUCCION DE LA CIUDADANIA</v>
          </cell>
        </row>
        <row r="10">
          <cell r="A10" t="str">
            <v>1TPT</v>
          </cell>
          <cell r="B10">
            <v>1</v>
          </cell>
          <cell r="C10" t="str">
            <v>ED. TECNICA PROFESIONAL</v>
          </cell>
          <cell r="D10"/>
          <cell r="E10" t="str">
            <v>C.B.</v>
          </cell>
          <cell r="F10">
            <v>9</v>
          </cell>
          <cell r="G10" t="str">
            <v>TPT</v>
          </cell>
          <cell r="H10" t="str">
            <v>PCT</v>
          </cell>
          <cell r="I10">
            <v>2</v>
          </cell>
          <cell r="J10" t="str">
            <v>Formación Técnica Específica</v>
          </cell>
          <cell r="K10" t="str">
            <v>PROCEDIMIENTOS TECNICOS</v>
          </cell>
        </row>
        <row r="11">
          <cell r="A11" t="str">
            <v>1TLT</v>
          </cell>
          <cell r="B11">
            <v>1</v>
          </cell>
          <cell r="C11" t="str">
            <v>ED. TECNICA PROFESIONAL</v>
          </cell>
          <cell r="D11"/>
          <cell r="E11" t="str">
            <v>C.B.</v>
          </cell>
          <cell r="F11">
            <v>10</v>
          </cell>
          <cell r="G11" t="str">
            <v>TLT</v>
          </cell>
          <cell r="H11" t="str">
            <v>LTS</v>
          </cell>
          <cell r="I11">
            <v>2</v>
          </cell>
          <cell r="J11" t="str">
            <v>Formación Técnica Específica</v>
          </cell>
          <cell r="K11" t="str">
            <v>LENGUAJES TECNOLOGICOS</v>
          </cell>
        </row>
        <row r="12">
          <cell r="A12" t="str">
            <v>1TST</v>
          </cell>
          <cell r="B12">
            <v>1</v>
          </cell>
          <cell r="C12" t="str">
            <v>ED. TECNICA PROFESIONAL</v>
          </cell>
          <cell r="D12"/>
          <cell r="E12" t="str">
            <v>C.B.</v>
          </cell>
          <cell r="F12">
            <v>11</v>
          </cell>
          <cell r="G12" t="str">
            <v>TST</v>
          </cell>
          <cell r="H12" t="str">
            <v>STS</v>
          </cell>
          <cell r="I12">
            <v>2</v>
          </cell>
          <cell r="J12" t="str">
            <v>Formación Técnica Específica</v>
          </cell>
          <cell r="K12" t="str">
            <v>SISTEMAS TECNOLOGICOS</v>
          </cell>
        </row>
        <row r="13">
          <cell r="A13" t="str">
            <v>1TALLER</v>
          </cell>
          <cell r="B13">
            <v>1</v>
          </cell>
          <cell r="C13" t="str">
            <v>ED. TECNICA PROFESIONAL</v>
          </cell>
          <cell r="D13"/>
          <cell r="E13" t="str">
            <v>C.B.</v>
          </cell>
          <cell r="F13">
            <v>12</v>
          </cell>
          <cell r="G13" t="str">
            <v>TALLER</v>
          </cell>
          <cell r="H13"/>
          <cell r="I13"/>
          <cell r="J13" t="str">
            <v>Formación Técnica Específica</v>
          </cell>
          <cell r="K13" t="str">
            <v>TALLER 1° (Procedimientos Tecnicos, Lenguajes Tecnólogicos y Sistemas Tecnologicos)</v>
          </cell>
        </row>
        <row r="14">
          <cell r="A14" t="str">
            <v>2BIO</v>
          </cell>
          <cell r="B14">
            <v>2</v>
          </cell>
          <cell r="C14" t="str">
            <v>ED. TECNICA PROFESIONAL</v>
          </cell>
          <cell r="D14"/>
          <cell r="E14" t="str">
            <v>C.B.</v>
          </cell>
          <cell r="F14">
            <v>1</v>
          </cell>
          <cell r="G14" t="str">
            <v>BIO</v>
          </cell>
          <cell r="H14" t="str">
            <v>BLG</v>
          </cell>
          <cell r="I14">
            <v>2</v>
          </cell>
          <cell r="J14" t="str">
            <v>Formación General y Científico Tecnológica</v>
          </cell>
          <cell r="K14" t="str">
            <v>BIOLOGIA</v>
          </cell>
        </row>
        <row r="15">
          <cell r="A15" t="str">
            <v>2CCD</v>
          </cell>
          <cell r="B15">
            <v>2</v>
          </cell>
          <cell r="C15" t="str">
            <v>ED. TECNICA PROFESIONAL</v>
          </cell>
          <cell r="D15"/>
          <cell r="E15" t="str">
            <v>C.B.</v>
          </cell>
          <cell r="F15">
            <v>2</v>
          </cell>
          <cell r="G15" t="str">
            <v>CCD</v>
          </cell>
          <cell r="H15" t="str">
            <v>CCD</v>
          </cell>
          <cell r="I15">
            <v>2</v>
          </cell>
          <cell r="J15" t="str">
            <v>Formación General y Científico Tecnológica</v>
          </cell>
          <cell r="K15" t="str">
            <v>CONSTRUCCION DE LA CIUDADANIA</v>
          </cell>
        </row>
        <row r="16">
          <cell r="A16" t="str">
            <v>2ART</v>
          </cell>
          <cell r="B16">
            <v>2</v>
          </cell>
          <cell r="C16" t="str">
            <v>ED. TECNICA PROFESIONAL</v>
          </cell>
          <cell r="D16"/>
          <cell r="E16" t="str">
            <v>C.B.</v>
          </cell>
          <cell r="F16">
            <v>3</v>
          </cell>
          <cell r="G16" t="str">
            <v>ART</v>
          </cell>
          <cell r="H16" t="str">
            <v>APV</v>
          </cell>
          <cell r="I16">
            <v>2</v>
          </cell>
          <cell r="J16" t="str">
            <v>Formación General y Científico Tecnológica</v>
          </cell>
          <cell r="K16" t="str">
            <v>EDUCACION ARTISTICA (PLASTICA)</v>
          </cell>
        </row>
        <row r="17">
          <cell r="A17" t="str">
            <v>2EFI</v>
          </cell>
          <cell r="B17">
            <v>2</v>
          </cell>
          <cell r="C17" t="str">
            <v>ED. TECNICA PROFESIONAL</v>
          </cell>
          <cell r="D17"/>
          <cell r="E17" t="str">
            <v>C.B.</v>
          </cell>
          <cell r="F17">
            <v>4</v>
          </cell>
          <cell r="G17" t="str">
            <v>EFI</v>
          </cell>
          <cell r="H17" t="str">
            <v>EFC</v>
          </cell>
          <cell r="I17">
            <v>2</v>
          </cell>
          <cell r="J17" t="str">
            <v>Formación General y Científico Tecnológica</v>
          </cell>
          <cell r="K17" t="str">
            <v>EDUCACIÓN FISICA</v>
          </cell>
        </row>
        <row r="18">
          <cell r="A18" t="str">
            <v>2FI/QUI</v>
          </cell>
          <cell r="B18">
            <v>2</v>
          </cell>
          <cell r="C18" t="str">
            <v>ED. TECNICA PROFESIONAL</v>
          </cell>
          <cell r="D18"/>
          <cell r="E18" t="str">
            <v>C.B.</v>
          </cell>
          <cell r="F18">
            <v>5</v>
          </cell>
          <cell r="G18" t="str">
            <v>FI/QUI</v>
          </cell>
          <cell r="H18" t="str">
            <v>FQA</v>
          </cell>
          <cell r="I18">
            <v>2</v>
          </cell>
          <cell r="J18" t="str">
            <v>Formación General y Científico Tecnológica</v>
          </cell>
          <cell r="K18" t="str">
            <v>FISICO-QUIMICA</v>
          </cell>
        </row>
        <row r="19">
          <cell r="A19" t="str">
            <v>2GEO</v>
          </cell>
          <cell r="B19">
            <v>2</v>
          </cell>
          <cell r="C19" t="str">
            <v>ED. TECNICA PROFESIONAL</v>
          </cell>
          <cell r="D19"/>
          <cell r="E19" t="str">
            <v>C.B.</v>
          </cell>
          <cell r="F19">
            <v>6</v>
          </cell>
          <cell r="G19" t="str">
            <v>GEO</v>
          </cell>
          <cell r="H19" t="str">
            <v>GGF</v>
          </cell>
          <cell r="I19">
            <v>2</v>
          </cell>
          <cell r="J19" t="str">
            <v>Formación General y Científico Tecnológica</v>
          </cell>
          <cell r="K19" t="str">
            <v>GEOGRAFIA</v>
          </cell>
        </row>
        <row r="20">
          <cell r="A20" t="str">
            <v>2HIS</v>
          </cell>
          <cell r="B20">
            <v>2</v>
          </cell>
          <cell r="C20" t="str">
            <v>ED. TECNICA PROFESIONAL</v>
          </cell>
          <cell r="D20"/>
          <cell r="E20" t="str">
            <v>C.B.</v>
          </cell>
          <cell r="F20">
            <v>7</v>
          </cell>
          <cell r="G20" t="str">
            <v>HIS</v>
          </cell>
          <cell r="H20" t="str">
            <v>HTR</v>
          </cell>
          <cell r="I20">
            <v>2</v>
          </cell>
          <cell r="J20" t="str">
            <v>Formación General y Científico Tecnológica</v>
          </cell>
          <cell r="K20" t="str">
            <v>HISTORIA</v>
          </cell>
        </row>
        <row r="21">
          <cell r="A21" t="str">
            <v>2ING</v>
          </cell>
          <cell r="B21">
            <v>2</v>
          </cell>
          <cell r="C21" t="str">
            <v>ED. TECNICA PROFESIONAL</v>
          </cell>
          <cell r="D21"/>
          <cell r="E21" t="str">
            <v>C.B.</v>
          </cell>
          <cell r="F21">
            <v>8</v>
          </cell>
          <cell r="G21" t="str">
            <v>ING</v>
          </cell>
          <cell r="H21" t="str">
            <v>IGS</v>
          </cell>
          <cell r="I21">
            <v>2</v>
          </cell>
          <cell r="J21" t="str">
            <v>Formación General y Científico Tecnológica</v>
          </cell>
          <cell r="K21" t="str">
            <v>INGLÉS</v>
          </cell>
        </row>
        <row r="22">
          <cell r="A22" t="str">
            <v>2MAT</v>
          </cell>
          <cell r="B22">
            <v>2</v>
          </cell>
          <cell r="C22" t="str">
            <v>ED. TECNICA PROFESIONAL</v>
          </cell>
          <cell r="D22"/>
          <cell r="E22" t="str">
            <v>C.B.</v>
          </cell>
          <cell r="F22">
            <v>9</v>
          </cell>
          <cell r="G22" t="str">
            <v>MAT</v>
          </cell>
          <cell r="H22" t="str">
            <v>MTM</v>
          </cell>
          <cell r="I22">
            <v>4</v>
          </cell>
          <cell r="J22" t="str">
            <v>Formación General y Científico Tecnológica</v>
          </cell>
          <cell r="K22" t="str">
            <v>MATEMATICA</v>
          </cell>
        </row>
        <row r="23">
          <cell r="A23" t="str">
            <v>2PLG</v>
          </cell>
          <cell r="B23">
            <v>2</v>
          </cell>
          <cell r="C23" t="str">
            <v>ED. TECNICA PROFESIONAL</v>
          </cell>
          <cell r="D23"/>
          <cell r="E23" t="str">
            <v>C.B.</v>
          </cell>
          <cell r="F23">
            <v>10</v>
          </cell>
          <cell r="G23" t="str">
            <v>PLG</v>
          </cell>
          <cell r="H23" t="str">
            <v>PLG</v>
          </cell>
          <cell r="I23">
            <v>4</v>
          </cell>
          <cell r="J23" t="str">
            <v>Formación General y Científico Tecnológica</v>
          </cell>
          <cell r="K23" t="str">
            <v>PRACTICA DEL LENGUAJE</v>
          </cell>
        </row>
        <row r="24">
          <cell r="A24" t="str">
            <v>2TPT2</v>
          </cell>
          <cell r="B24">
            <v>2</v>
          </cell>
          <cell r="C24" t="str">
            <v>ED. TECNICA PROFESIONAL</v>
          </cell>
          <cell r="D24"/>
          <cell r="E24" t="str">
            <v>C.B.</v>
          </cell>
          <cell r="F24">
            <v>11</v>
          </cell>
          <cell r="G24" t="str">
            <v>TPT2</v>
          </cell>
          <cell r="H24" t="str">
            <v>PCE</v>
          </cell>
          <cell r="I24">
            <v>4</v>
          </cell>
          <cell r="J24" t="str">
            <v>Formación Técnica Específica</v>
          </cell>
          <cell r="K24" t="str">
            <v>PROCEDIMIENTOS TECNICOS</v>
          </cell>
        </row>
        <row r="25">
          <cell r="A25" t="str">
            <v>2TLT2</v>
          </cell>
          <cell r="B25">
            <v>2</v>
          </cell>
          <cell r="C25" t="str">
            <v>ED. TECNICA PROFESIONAL</v>
          </cell>
          <cell r="D25"/>
          <cell r="E25" t="str">
            <v>C.B.</v>
          </cell>
          <cell r="F25">
            <v>12</v>
          </cell>
          <cell r="G25" t="str">
            <v>TLT2</v>
          </cell>
          <cell r="H25" t="str">
            <v>LTE</v>
          </cell>
          <cell r="I25">
            <v>2</v>
          </cell>
          <cell r="J25" t="str">
            <v>Formación Técnica Específica</v>
          </cell>
          <cell r="K25" t="str">
            <v>LENGUAJES TECNOLOGICOS</v>
          </cell>
        </row>
        <row r="26">
          <cell r="A26" t="str">
            <v>2TST2</v>
          </cell>
          <cell r="B26">
            <v>2</v>
          </cell>
          <cell r="C26" t="str">
            <v>ED. TECNICA PROFESIONAL</v>
          </cell>
          <cell r="D26"/>
          <cell r="E26" t="str">
            <v>C.B.</v>
          </cell>
          <cell r="F26">
            <v>13</v>
          </cell>
          <cell r="G26" t="str">
            <v>TST2</v>
          </cell>
          <cell r="H26" t="str">
            <v>ST2</v>
          </cell>
          <cell r="I26">
            <v>2</v>
          </cell>
          <cell r="J26" t="str">
            <v>Formación Técnica Específica</v>
          </cell>
          <cell r="K26" t="str">
            <v>SISTEMAS TECNOLOGICOS</v>
          </cell>
        </row>
        <row r="27">
          <cell r="A27" t="str">
            <v>2TALLER</v>
          </cell>
          <cell r="B27">
            <v>2</v>
          </cell>
          <cell r="C27" t="str">
            <v>ED. TECNICA PROFESIONAL</v>
          </cell>
          <cell r="D27"/>
          <cell r="E27" t="str">
            <v>C.B.</v>
          </cell>
          <cell r="F27">
            <v>14</v>
          </cell>
          <cell r="G27" t="str">
            <v>TALLER</v>
          </cell>
          <cell r="H27"/>
          <cell r="I27"/>
          <cell r="J27" t="str">
            <v>Formación Técnica Específica</v>
          </cell>
          <cell r="K27" t="str">
            <v>TALLER 2° (Procedimientos Tecnicos, Lenaguajes Tecnólogicos y Sistemas Tecnologicos)</v>
          </cell>
        </row>
        <row r="28">
          <cell r="A28" t="str">
            <v>3BIO</v>
          </cell>
          <cell r="B28">
            <v>3</v>
          </cell>
          <cell r="C28" t="str">
            <v>ED. TECNICA PROFESIONAL</v>
          </cell>
          <cell r="D28"/>
          <cell r="E28" t="str">
            <v>C.B.</v>
          </cell>
          <cell r="F28">
            <v>1</v>
          </cell>
          <cell r="G28" t="str">
            <v>BIO</v>
          </cell>
          <cell r="H28" t="str">
            <v xml:space="preserve"> </v>
          </cell>
          <cell r="I28">
            <v>2</v>
          </cell>
          <cell r="J28" t="str">
            <v>Formación General y Científico Tecnológica</v>
          </cell>
          <cell r="K28" t="str">
            <v>BIOLOGIA</v>
          </cell>
        </row>
        <row r="29">
          <cell r="A29" t="str">
            <v>3CCD</v>
          </cell>
          <cell r="B29">
            <v>3</v>
          </cell>
          <cell r="C29" t="str">
            <v>ED. TECNICA PROFESIONAL</v>
          </cell>
          <cell r="D29"/>
          <cell r="E29" t="str">
            <v>C.B.</v>
          </cell>
          <cell r="F29">
            <v>2</v>
          </cell>
          <cell r="G29" t="str">
            <v>CCD</v>
          </cell>
          <cell r="H29" t="str">
            <v>CCD</v>
          </cell>
          <cell r="I29">
            <v>2</v>
          </cell>
          <cell r="J29" t="str">
            <v>Formación General y Científico Tecnológica</v>
          </cell>
          <cell r="K29" t="str">
            <v>CONSTRUCCION DE LA CIUDADANIA</v>
          </cell>
        </row>
        <row r="30">
          <cell r="A30" t="str">
            <v>3ART</v>
          </cell>
          <cell r="B30">
            <v>3</v>
          </cell>
          <cell r="C30" t="str">
            <v>ED. TECNICA PROFESIONAL</v>
          </cell>
          <cell r="D30"/>
          <cell r="E30" t="str">
            <v>C.B.</v>
          </cell>
          <cell r="F30">
            <v>3</v>
          </cell>
          <cell r="G30" t="str">
            <v>ART</v>
          </cell>
          <cell r="H30" t="str">
            <v>APV</v>
          </cell>
          <cell r="I30">
            <v>2</v>
          </cell>
          <cell r="J30" t="str">
            <v>Formación General y Científico Tecnológica</v>
          </cell>
          <cell r="K30" t="str">
            <v>EDUCACION ARTISTICA (PLASTICA)</v>
          </cell>
        </row>
        <row r="31">
          <cell r="A31" t="str">
            <v>3EFI</v>
          </cell>
          <cell r="B31">
            <v>3</v>
          </cell>
          <cell r="C31" t="str">
            <v>ED. TECNICA PROFESIONAL</v>
          </cell>
          <cell r="D31"/>
          <cell r="E31" t="str">
            <v>C.B.</v>
          </cell>
          <cell r="F31">
            <v>4</v>
          </cell>
          <cell r="G31" t="str">
            <v>EFI</v>
          </cell>
          <cell r="H31" t="str">
            <v>EFC</v>
          </cell>
          <cell r="I31">
            <v>2</v>
          </cell>
          <cell r="J31" t="str">
            <v>Formación General y Científico Tecnológica</v>
          </cell>
          <cell r="K31" t="str">
            <v>EDUCACIÓN FISICA</v>
          </cell>
        </row>
        <row r="32">
          <cell r="A32" t="str">
            <v>3FI/QUI</v>
          </cell>
          <cell r="B32">
            <v>3</v>
          </cell>
          <cell r="C32" t="str">
            <v>ED. TECNICA PROFESIONAL</v>
          </cell>
          <cell r="D32"/>
          <cell r="E32" t="str">
            <v>C.B.</v>
          </cell>
          <cell r="F32">
            <v>5</v>
          </cell>
          <cell r="G32" t="str">
            <v>FI/QUI</v>
          </cell>
          <cell r="H32" t="str">
            <v>FQA</v>
          </cell>
          <cell r="I32">
            <v>2</v>
          </cell>
          <cell r="J32" t="str">
            <v>Formación General y Científico Tecnológica</v>
          </cell>
          <cell r="K32" t="str">
            <v>FISICO-QUIMICA</v>
          </cell>
        </row>
        <row r="33">
          <cell r="A33" t="str">
            <v>3GEO</v>
          </cell>
          <cell r="B33">
            <v>3</v>
          </cell>
          <cell r="C33" t="str">
            <v>ED. TECNICA PROFESIONAL</v>
          </cell>
          <cell r="D33"/>
          <cell r="E33" t="str">
            <v>C.B.</v>
          </cell>
          <cell r="F33">
            <v>6</v>
          </cell>
          <cell r="G33" t="str">
            <v>GEO</v>
          </cell>
          <cell r="H33" t="str">
            <v>GGF</v>
          </cell>
          <cell r="I33">
            <v>2</v>
          </cell>
          <cell r="J33" t="str">
            <v>Formación General y Científico Tecnológica</v>
          </cell>
          <cell r="K33" t="str">
            <v>GEOGRAFIA</v>
          </cell>
        </row>
        <row r="34">
          <cell r="A34" t="str">
            <v>3HIS</v>
          </cell>
          <cell r="B34">
            <v>3</v>
          </cell>
          <cell r="C34" t="str">
            <v>ED. TECNICA PROFESIONAL</v>
          </cell>
          <cell r="D34"/>
          <cell r="E34" t="str">
            <v>C.B.</v>
          </cell>
          <cell r="F34">
            <v>7</v>
          </cell>
          <cell r="G34" t="str">
            <v>HIS</v>
          </cell>
          <cell r="H34" t="str">
            <v>HTR</v>
          </cell>
          <cell r="I34">
            <v>2</v>
          </cell>
          <cell r="J34" t="str">
            <v>Formación General y Científico Tecnológica</v>
          </cell>
          <cell r="K34" t="str">
            <v>HISTORIA</v>
          </cell>
        </row>
        <row r="35">
          <cell r="A35" t="str">
            <v>3ING</v>
          </cell>
          <cell r="B35">
            <v>3</v>
          </cell>
          <cell r="C35" t="str">
            <v>ED. TECNICA PROFESIONAL</v>
          </cell>
          <cell r="D35"/>
          <cell r="E35" t="str">
            <v>C.B.</v>
          </cell>
          <cell r="F35">
            <v>8</v>
          </cell>
          <cell r="G35" t="str">
            <v>ING</v>
          </cell>
          <cell r="H35" t="str">
            <v>IGS</v>
          </cell>
          <cell r="I35">
            <v>2</v>
          </cell>
          <cell r="J35" t="str">
            <v>Formación General y Científico Tecnológica</v>
          </cell>
          <cell r="K35" t="str">
            <v>INGLÉS</v>
          </cell>
        </row>
        <row r="36">
          <cell r="A36" t="str">
            <v>3MAT</v>
          </cell>
          <cell r="B36">
            <v>3</v>
          </cell>
          <cell r="C36" t="str">
            <v>ED. TECNICA PROFESIONAL</v>
          </cell>
          <cell r="D36"/>
          <cell r="E36" t="str">
            <v>C.B.</v>
          </cell>
          <cell r="F36">
            <v>9</v>
          </cell>
          <cell r="G36" t="str">
            <v>MAT</v>
          </cell>
          <cell r="H36" t="str">
            <v>MTM</v>
          </cell>
          <cell r="I36">
            <v>4</v>
          </cell>
          <cell r="J36" t="str">
            <v>Formación General y Científico Tecnológica</v>
          </cell>
          <cell r="K36" t="str">
            <v>MATEMATICA</v>
          </cell>
        </row>
        <row r="37">
          <cell r="A37" t="str">
            <v>3PLG</v>
          </cell>
          <cell r="B37">
            <v>3</v>
          </cell>
          <cell r="C37" t="str">
            <v>ED. TECNICA PROFESIONAL</v>
          </cell>
          <cell r="D37"/>
          <cell r="E37" t="str">
            <v>C.B.</v>
          </cell>
          <cell r="F37">
            <v>10</v>
          </cell>
          <cell r="G37" t="str">
            <v>PLG</v>
          </cell>
          <cell r="H37" t="str">
            <v>PLG</v>
          </cell>
          <cell r="I37">
            <v>4</v>
          </cell>
          <cell r="J37" t="str">
            <v>Formación General y Científico Tecnológica</v>
          </cell>
          <cell r="K37" t="str">
            <v>PRACTICA DEL LENGUAJE</v>
          </cell>
        </row>
        <row r="38">
          <cell r="A38" t="str">
            <v>3TPT3</v>
          </cell>
          <cell r="B38">
            <v>3</v>
          </cell>
          <cell r="C38" t="str">
            <v>ED. TECNICA PROFESIONAL</v>
          </cell>
          <cell r="D38"/>
          <cell r="E38" t="str">
            <v>C.B.</v>
          </cell>
          <cell r="F38">
            <v>11</v>
          </cell>
          <cell r="G38" t="str">
            <v>TPT3</v>
          </cell>
          <cell r="H38" t="str">
            <v>PCS</v>
          </cell>
          <cell r="I38">
            <v>2</v>
          </cell>
          <cell r="J38" t="str">
            <v>Formación Técnica Específica</v>
          </cell>
          <cell r="K38" t="str">
            <v>PROCEDIMIENTOS TECNICOS</v>
          </cell>
        </row>
        <row r="39">
          <cell r="A39" t="str">
            <v>3TLT3</v>
          </cell>
          <cell r="B39">
            <v>3</v>
          </cell>
          <cell r="C39" t="str">
            <v>ED. TECNICA PROFESIONAL</v>
          </cell>
          <cell r="D39"/>
          <cell r="E39" t="str">
            <v>C.B.</v>
          </cell>
          <cell r="F39">
            <v>12</v>
          </cell>
          <cell r="G39" t="str">
            <v>TLT3</v>
          </cell>
          <cell r="H39" t="str">
            <v>LTS</v>
          </cell>
          <cell r="I39">
            <v>2</v>
          </cell>
          <cell r="J39" t="str">
            <v>Formación Técnica Específica</v>
          </cell>
          <cell r="K39" t="str">
            <v>LENGUAJES TECNOLOGICOS</v>
          </cell>
        </row>
        <row r="40">
          <cell r="A40" t="str">
            <v>3TST3</v>
          </cell>
          <cell r="B40">
            <v>3</v>
          </cell>
          <cell r="C40" t="str">
            <v>ED. TECNICA PROFESIONAL</v>
          </cell>
          <cell r="D40"/>
          <cell r="E40" t="str">
            <v>C.B.</v>
          </cell>
          <cell r="F40">
            <v>13</v>
          </cell>
          <cell r="G40" t="str">
            <v>TST3</v>
          </cell>
          <cell r="H40" t="str">
            <v>ST1</v>
          </cell>
          <cell r="I40">
            <v>4</v>
          </cell>
          <cell r="J40" t="str">
            <v>Formación Técnica Específica</v>
          </cell>
          <cell r="K40" t="str">
            <v>SISTEMAS TECNOLOGICOS</v>
          </cell>
        </row>
        <row r="41">
          <cell r="A41" t="str">
            <v>3TALLER</v>
          </cell>
          <cell r="B41">
            <v>3</v>
          </cell>
          <cell r="C41" t="str">
            <v>ED. TECNICA PROFESIONAL</v>
          </cell>
          <cell r="D41"/>
          <cell r="E41" t="str">
            <v>C.B.</v>
          </cell>
          <cell r="F41">
            <v>14</v>
          </cell>
          <cell r="G41" t="str">
            <v>TALLER</v>
          </cell>
          <cell r="H41"/>
          <cell r="I41"/>
          <cell r="J41" t="str">
            <v>Formación Técnica Específica</v>
          </cell>
          <cell r="K41" t="str">
            <v>TALLER 3° (Procedimientos Tecnicos, Lenaguajes Tecnólogicos y Sistemas Tecnologicos)</v>
          </cell>
        </row>
        <row r="42">
          <cell r="A42" t="str">
            <v>4IQUIS</v>
          </cell>
          <cell r="B42">
            <v>4</v>
          </cell>
          <cell r="C42" t="str">
            <v>ED. TECNICA PROFESIONAL</v>
          </cell>
          <cell r="D42" t="str">
            <v>TÉCNICO EN INFORMÁTICA PERSONAL Y
PROFESIONAL</v>
          </cell>
          <cell r="E42" t="str">
            <v>C.S.</v>
          </cell>
          <cell r="F42">
            <v>1</v>
          </cell>
          <cell r="G42" t="str">
            <v>QUIS</v>
          </cell>
          <cell r="H42" t="str">
            <v>QMC</v>
          </cell>
          <cell r="I42">
            <v>2</v>
          </cell>
          <cell r="J42" t="str">
            <v>Formacion General</v>
          </cell>
          <cell r="K42" t="str">
            <v>QUIMICA</v>
          </cell>
        </row>
        <row r="43">
          <cell r="A43" t="str">
            <v>4IMATES</v>
          </cell>
          <cell r="B43">
            <v>4</v>
          </cell>
          <cell r="C43" t="str">
            <v>ED. TECNICA PROFESIONAL</v>
          </cell>
          <cell r="D43" t="str">
            <v>TÉCNICO EN INFORMÁTICA PERSONAL Y
PROFESIONAL</v>
          </cell>
          <cell r="E43" t="str">
            <v>C.S.</v>
          </cell>
          <cell r="F43">
            <v>2</v>
          </cell>
          <cell r="G43" t="str">
            <v>MATES</v>
          </cell>
          <cell r="H43" t="str">
            <v>MCS</v>
          </cell>
          <cell r="I43">
            <v>4</v>
          </cell>
          <cell r="J43" t="str">
            <v>Formacion General</v>
          </cell>
          <cell r="K43" t="str">
            <v>MATEMATICA</v>
          </cell>
        </row>
        <row r="44">
          <cell r="A44" t="str">
            <v>4ILITS</v>
          </cell>
          <cell r="B44">
            <v>4</v>
          </cell>
          <cell r="C44" t="str">
            <v>ED. TECNICA PROFESIONAL</v>
          </cell>
          <cell r="D44" t="str">
            <v>TÉCNICO EN INFORMÁTICA PERSONAL Y
PROFESIONAL</v>
          </cell>
          <cell r="E44" t="str">
            <v>C.S.</v>
          </cell>
          <cell r="F44">
            <v>3</v>
          </cell>
          <cell r="G44" t="str">
            <v>LITS</v>
          </cell>
          <cell r="H44" t="str">
            <v>LIT</v>
          </cell>
          <cell r="I44">
            <v>2</v>
          </cell>
          <cell r="J44" t="str">
            <v>Formacion General</v>
          </cell>
          <cell r="K44" t="str">
            <v>LITERATURA</v>
          </cell>
        </row>
        <row r="45">
          <cell r="A45" t="str">
            <v>4IINGS</v>
          </cell>
          <cell r="B45">
            <v>4</v>
          </cell>
          <cell r="C45" t="str">
            <v>ED. TECNICA PROFESIONAL</v>
          </cell>
          <cell r="D45" t="str">
            <v>TÉCNICO EN INFORMÁTICA PERSONAL Y
PROFESIONAL</v>
          </cell>
          <cell r="E45" t="str">
            <v>C.S.</v>
          </cell>
          <cell r="F45">
            <v>4</v>
          </cell>
          <cell r="G45" t="str">
            <v>INGS</v>
          </cell>
          <cell r="H45" t="str">
            <v>IGS</v>
          </cell>
          <cell r="I45">
            <v>2</v>
          </cell>
          <cell r="J45" t="str">
            <v>Formacion General</v>
          </cell>
          <cell r="K45" t="str">
            <v>INGLÉS</v>
          </cell>
        </row>
        <row r="46">
          <cell r="A46" t="str">
            <v>4IEFIS</v>
          </cell>
          <cell r="B46">
            <v>4</v>
          </cell>
          <cell r="C46" t="str">
            <v>ED. TECNICA PROFESIONAL</v>
          </cell>
          <cell r="D46" t="str">
            <v>TÉCNICO EN INFORMÁTICA PERSONAL Y
PROFESIONAL</v>
          </cell>
          <cell r="E46" t="str">
            <v>C.S.</v>
          </cell>
          <cell r="F46">
            <v>5</v>
          </cell>
          <cell r="G46" t="str">
            <v>EFIS</v>
          </cell>
          <cell r="H46" t="str">
            <v>EFC</v>
          </cell>
          <cell r="I46">
            <v>2</v>
          </cell>
          <cell r="J46" t="str">
            <v>Formacion General</v>
          </cell>
          <cell r="K46" t="str">
            <v>EDUCACIÓN FISICA</v>
          </cell>
        </row>
        <row r="47">
          <cell r="A47" t="str">
            <v>4IHIS</v>
          </cell>
          <cell r="B47">
            <v>4</v>
          </cell>
          <cell r="C47" t="str">
            <v>ED. TECNICA PROFESIONAL</v>
          </cell>
          <cell r="D47" t="str">
            <v>TÉCNICO EN INFORMÁTICA PERSONAL Y
PROFESIONAL</v>
          </cell>
          <cell r="E47" t="str">
            <v>C.S.</v>
          </cell>
          <cell r="F47">
            <v>6</v>
          </cell>
          <cell r="G47" t="str">
            <v>HIS</v>
          </cell>
          <cell r="H47" t="str">
            <v>HTR</v>
          </cell>
          <cell r="I47">
            <v>2</v>
          </cell>
          <cell r="J47" t="str">
            <v>Formacion General</v>
          </cell>
          <cell r="K47" t="str">
            <v>HISTORIA</v>
          </cell>
        </row>
        <row r="48">
          <cell r="A48" t="str">
            <v>4IGEOS</v>
          </cell>
          <cell r="B48">
            <v>4</v>
          </cell>
          <cell r="C48" t="str">
            <v>ED. TECNICA PROFESIONAL</v>
          </cell>
          <cell r="D48" t="str">
            <v>TÉCNICO EN INFORMÁTICA PERSONAL Y
PROFESIONAL</v>
          </cell>
          <cell r="E48" t="str">
            <v>C.S.</v>
          </cell>
          <cell r="F48">
            <v>7</v>
          </cell>
          <cell r="G48" t="str">
            <v>GEOS</v>
          </cell>
          <cell r="H48" t="str">
            <v>GGF</v>
          </cell>
          <cell r="I48">
            <v>2</v>
          </cell>
          <cell r="J48" t="str">
            <v>Formacion General</v>
          </cell>
          <cell r="K48" t="str">
            <v>GEOGRAFIA</v>
          </cell>
        </row>
        <row r="49">
          <cell r="A49" t="str">
            <v>4IFIS</v>
          </cell>
          <cell r="B49">
            <v>4</v>
          </cell>
          <cell r="C49" t="str">
            <v>ED. TECNICA PROFESIONAL</v>
          </cell>
          <cell r="D49" t="str">
            <v>TÉCNICO EN INFORMÁTICA PERSONAL Y
PROFESIONAL</v>
          </cell>
          <cell r="E49" t="str">
            <v>C.S.</v>
          </cell>
          <cell r="F49">
            <v>8</v>
          </cell>
          <cell r="G49" t="str">
            <v>FIS</v>
          </cell>
          <cell r="H49" t="str">
            <v>FIS</v>
          </cell>
          <cell r="I49">
            <v>3</v>
          </cell>
          <cell r="J49" t="str">
            <v>Formacion General</v>
          </cell>
          <cell r="K49" t="str">
            <v>FISICA</v>
          </cell>
        </row>
        <row r="50">
          <cell r="A50" t="str">
            <v>4ISADS</v>
          </cell>
          <cell r="B50">
            <v>4</v>
          </cell>
          <cell r="C50" t="str">
            <v>ED. TECNICA PROFESIONAL</v>
          </cell>
          <cell r="D50" t="str">
            <v>TÉCNICO EN INFORMÁTICA PERSONAL Y
PROFESIONAL</v>
          </cell>
          <cell r="E50" t="str">
            <v>C.S.</v>
          </cell>
          <cell r="F50">
            <v>9</v>
          </cell>
          <cell r="G50" t="str">
            <v>SADS</v>
          </cell>
          <cell r="H50" t="str">
            <v>SYA</v>
          </cell>
          <cell r="I50">
            <v>2</v>
          </cell>
          <cell r="J50" t="str">
            <v>Formacion General</v>
          </cell>
          <cell r="K50" t="str">
            <v>SALUD Y ADOLESCENCIA</v>
          </cell>
        </row>
        <row r="51">
          <cell r="A51" t="str">
            <v>4ITELE</v>
          </cell>
          <cell r="B51">
            <v>4</v>
          </cell>
          <cell r="C51" t="str">
            <v>ED. TECNICA PROFESIONAL</v>
          </cell>
          <cell r="D51" t="str">
            <v>TÉCNICO EN INFORMÁTICA PERSONAL Y
PROFESIONAL</v>
          </cell>
          <cell r="E51" t="str">
            <v>C.S.</v>
          </cell>
          <cell r="F51">
            <v>10</v>
          </cell>
          <cell r="G51" t="str">
            <v>TELE</v>
          </cell>
          <cell r="H51" t="str">
            <v>TEL</v>
          </cell>
          <cell r="I51">
            <v>2</v>
          </cell>
          <cell r="J51" t="str">
            <v>Formacion General</v>
          </cell>
          <cell r="K51" t="str">
            <v>TECNOLOGIAS ELECTRONICAS</v>
          </cell>
        </row>
        <row r="52">
          <cell r="A52" t="str">
            <v>4IFTLP4</v>
          </cell>
          <cell r="B52">
            <v>4</v>
          </cell>
          <cell r="C52" t="str">
            <v>ED. TECNICA PROFESIONAL</v>
          </cell>
          <cell r="D52" t="str">
            <v>TÉCNICO EN INFORMÁTICA PERSONAL Y
PROFESIONAL</v>
          </cell>
          <cell r="E52" t="str">
            <v>C.S.</v>
          </cell>
          <cell r="F52">
            <v>11</v>
          </cell>
          <cell r="G52" t="str">
            <v>FTLP4</v>
          </cell>
          <cell r="H52" t="str">
            <v>LPR</v>
          </cell>
          <cell r="I52">
            <v>2</v>
          </cell>
          <cell r="J52" t="str">
            <v>Formación Técnica Específica</v>
          </cell>
          <cell r="K52" t="str">
            <v>LAB DE PROGRAM</v>
          </cell>
        </row>
        <row r="53">
          <cell r="A53" t="str">
            <v>4IFTLH4</v>
          </cell>
          <cell r="B53">
            <v>4</v>
          </cell>
          <cell r="C53" t="str">
            <v>ED. TECNICA PROFESIONAL</v>
          </cell>
          <cell r="D53" t="str">
            <v>TÉCNICO EN INFORMÁTICA PERSONAL Y
PROFESIONAL</v>
          </cell>
          <cell r="E53" t="str">
            <v>C.S.</v>
          </cell>
          <cell r="F53">
            <v>12</v>
          </cell>
          <cell r="G53" t="str">
            <v>FTLH4</v>
          </cell>
          <cell r="H53" t="str">
            <v>LHW</v>
          </cell>
          <cell r="I53">
            <v>4</v>
          </cell>
          <cell r="J53" t="str">
            <v>Formación Técnica Específica</v>
          </cell>
          <cell r="K53" t="str">
            <v>LAB DE HARDWARE</v>
          </cell>
        </row>
        <row r="54">
          <cell r="A54" t="str">
            <v>4IFTLS4</v>
          </cell>
          <cell r="B54">
            <v>4</v>
          </cell>
          <cell r="C54" t="str">
            <v>ED. TECNICA PROFESIONAL</v>
          </cell>
          <cell r="D54" t="str">
            <v>TÉCNICO EN INFORMÁTICA PERSONAL Y
PROFESIONAL</v>
          </cell>
          <cell r="E54" t="str">
            <v>C.S.</v>
          </cell>
          <cell r="F54">
            <v>13</v>
          </cell>
          <cell r="G54" t="str">
            <v>FTLS4</v>
          </cell>
          <cell r="H54" t="str">
            <v>LSO</v>
          </cell>
          <cell r="I54">
            <v>4</v>
          </cell>
          <cell r="J54" t="str">
            <v>Formación Técnica Específica</v>
          </cell>
          <cell r="K54" t="str">
            <v xml:space="preserve">LAB DE SIST OPERATIVOS   </v>
          </cell>
        </row>
        <row r="55">
          <cell r="A55" t="str">
            <v>4IFTLA4</v>
          </cell>
          <cell r="B55">
            <v>4</v>
          </cell>
          <cell r="C55" t="str">
            <v>ED. TECNICA PROFESIONAL</v>
          </cell>
          <cell r="D55" t="str">
            <v>TÉCNICO EN INFORMÁTICA PERSONAL Y
PROFESIONAL</v>
          </cell>
          <cell r="E55" t="str">
            <v>C.S.</v>
          </cell>
          <cell r="F55">
            <v>14</v>
          </cell>
          <cell r="G55" t="str">
            <v>FTLA4</v>
          </cell>
          <cell r="H55" t="str">
            <v>LAP</v>
          </cell>
          <cell r="I55">
            <v>2</v>
          </cell>
          <cell r="J55" t="str">
            <v>Formación Técnica Específica</v>
          </cell>
          <cell r="K55" t="str">
            <v>LAB DE APLICACIONES</v>
          </cell>
        </row>
        <row r="56">
          <cell r="A56" t="str">
            <v>4EQUIS</v>
          </cell>
          <cell r="B56">
            <v>4</v>
          </cell>
          <cell r="C56" t="str">
            <v>ED. TECNICA PROFESIONAL</v>
          </cell>
          <cell r="D56" t="str">
            <v>TECNICO ELECTRONICO</v>
          </cell>
          <cell r="E56" t="str">
            <v>C.S.</v>
          </cell>
          <cell r="F56">
            <v>1</v>
          </cell>
          <cell r="G56" t="str">
            <v>QUIS</v>
          </cell>
          <cell r="H56" t="str">
            <v>QMC</v>
          </cell>
          <cell r="I56">
            <v>2</v>
          </cell>
          <cell r="J56" t="str">
            <v>Formacion General</v>
          </cell>
          <cell r="K56" t="str">
            <v>QUIMICA</v>
          </cell>
        </row>
        <row r="57">
          <cell r="A57" t="str">
            <v>4EMATES</v>
          </cell>
          <cell r="B57">
            <v>4</v>
          </cell>
          <cell r="C57" t="str">
            <v>ED. TECNICA PROFESIONAL</v>
          </cell>
          <cell r="D57" t="str">
            <v>TECNICO ELECTRONICO</v>
          </cell>
          <cell r="E57" t="str">
            <v>C.S.</v>
          </cell>
          <cell r="F57">
            <v>2</v>
          </cell>
          <cell r="G57" t="str">
            <v>MATES</v>
          </cell>
          <cell r="H57" t="str">
            <v>MCS</v>
          </cell>
          <cell r="I57">
            <v>4</v>
          </cell>
          <cell r="J57" t="str">
            <v>Formacion General</v>
          </cell>
          <cell r="K57" t="str">
            <v>MATEMATICA</v>
          </cell>
        </row>
        <row r="58">
          <cell r="A58" t="str">
            <v>4ELITS</v>
          </cell>
          <cell r="B58">
            <v>4</v>
          </cell>
          <cell r="C58" t="str">
            <v>ED. TECNICA PROFESIONAL</v>
          </cell>
          <cell r="D58" t="str">
            <v>TECNICO ELECTRONICO</v>
          </cell>
          <cell r="E58" t="str">
            <v>C.S.</v>
          </cell>
          <cell r="F58">
            <v>3</v>
          </cell>
          <cell r="G58" t="str">
            <v>LITS</v>
          </cell>
          <cell r="H58" t="str">
            <v>LIT</v>
          </cell>
          <cell r="I58">
            <v>2</v>
          </cell>
          <cell r="J58" t="str">
            <v>Formacion General</v>
          </cell>
          <cell r="K58" t="str">
            <v>LITERATURA</v>
          </cell>
        </row>
        <row r="59">
          <cell r="A59" t="str">
            <v>4EINGS</v>
          </cell>
          <cell r="B59">
            <v>4</v>
          </cell>
          <cell r="C59" t="str">
            <v>ED. TECNICA PROFESIONAL</v>
          </cell>
          <cell r="D59" t="str">
            <v>TECNICO ELECTRONICO</v>
          </cell>
          <cell r="E59" t="str">
            <v>C.S.</v>
          </cell>
          <cell r="F59">
            <v>4</v>
          </cell>
          <cell r="G59" t="str">
            <v>INGS</v>
          </cell>
          <cell r="H59" t="str">
            <v>IGS</v>
          </cell>
          <cell r="I59">
            <v>2</v>
          </cell>
          <cell r="J59" t="str">
            <v>Formacion General</v>
          </cell>
          <cell r="K59" t="str">
            <v>INGLÉS</v>
          </cell>
        </row>
        <row r="60">
          <cell r="A60" t="str">
            <v>4EEFIS</v>
          </cell>
          <cell r="B60">
            <v>4</v>
          </cell>
          <cell r="C60" t="str">
            <v>ED. TECNICA PROFESIONAL</v>
          </cell>
          <cell r="D60" t="str">
            <v>TECNICO ELECTRONICO</v>
          </cell>
          <cell r="E60" t="str">
            <v>C.S.</v>
          </cell>
          <cell r="F60">
            <v>5</v>
          </cell>
          <cell r="G60" t="str">
            <v>EFIS</v>
          </cell>
          <cell r="H60" t="str">
            <v>EFC</v>
          </cell>
          <cell r="I60">
            <v>2</v>
          </cell>
          <cell r="J60" t="str">
            <v>Formacion General</v>
          </cell>
          <cell r="K60" t="str">
            <v>EDUCACIÓN FISICA</v>
          </cell>
        </row>
        <row r="61">
          <cell r="A61" t="str">
            <v>4EHIS</v>
          </cell>
          <cell r="B61">
            <v>4</v>
          </cell>
          <cell r="C61" t="str">
            <v>ED. TECNICA PROFESIONAL</v>
          </cell>
          <cell r="D61" t="str">
            <v>TECNICO ELECTRONICO</v>
          </cell>
          <cell r="E61" t="str">
            <v>C.S.</v>
          </cell>
          <cell r="F61">
            <v>6</v>
          </cell>
          <cell r="G61" t="str">
            <v>HIS</v>
          </cell>
          <cell r="H61" t="str">
            <v>HTR</v>
          </cell>
          <cell r="I61">
            <v>2</v>
          </cell>
          <cell r="J61" t="str">
            <v>Formacion General</v>
          </cell>
          <cell r="K61" t="str">
            <v>HISTORIA</v>
          </cell>
        </row>
        <row r="62">
          <cell r="A62" t="str">
            <v>4EGEOS</v>
          </cell>
          <cell r="B62">
            <v>4</v>
          </cell>
          <cell r="C62" t="str">
            <v>ED. TECNICA PROFESIONAL</v>
          </cell>
          <cell r="D62" t="str">
            <v>TECNICO ELECTRONICO</v>
          </cell>
          <cell r="E62" t="str">
            <v>C.S.</v>
          </cell>
          <cell r="F62">
            <v>7</v>
          </cell>
          <cell r="G62" t="str">
            <v>GEOS</v>
          </cell>
          <cell r="H62" t="str">
            <v>GGF</v>
          </cell>
          <cell r="I62">
            <v>2</v>
          </cell>
          <cell r="J62" t="str">
            <v>Formacion General</v>
          </cell>
          <cell r="K62" t="str">
            <v>GEOGRAFIA</v>
          </cell>
        </row>
        <row r="63">
          <cell r="A63" t="str">
            <v>4EFIS</v>
          </cell>
          <cell r="B63">
            <v>4</v>
          </cell>
          <cell r="C63" t="str">
            <v>ED. TECNICA PROFESIONAL</v>
          </cell>
          <cell r="D63" t="str">
            <v>TECNICO ELECTRONICO</v>
          </cell>
          <cell r="E63" t="str">
            <v>C.S.</v>
          </cell>
          <cell r="F63">
            <v>8</v>
          </cell>
          <cell r="G63" t="str">
            <v>FIS</v>
          </cell>
          <cell r="H63" t="str">
            <v>FIS</v>
          </cell>
          <cell r="I63">
            <v>3</v>
          </cell>
          <cell r="J63" t="str">
            <v>Formacion General</v>
          </cell>
          <cell r="K63" t="str">
            <v>FISICA</v>
          </cell>
        </row>
        <row r="64">
          <cell r="A64" t="str">
            <v>4ESADS</v>
          </cell>
          <cell r="B64">
            <v>4</v>
          </cell>
          <cell r="C64" t="str">
            <v>ED. TECNICA PROFESIONAL</v>
          </cell>
          <cell r="D64" t="str">
            <v>TECNICO ELECTRONICO</v>
          </cell>
          <cell r="E64" t="str">
            <v>C.S.</v>
          </cell>
          <cell r="F64">
            <v>9</v>
          </cell>
          <cell r="G64" t="str">
            <v>SADS</v>
          </cell>
          <cell r="H64" t="str">
            <v>SYA</v>
          </cell>
          <cell r="I64">
            <v>2</v>
          </cell>
          <cell r="J64" t="str">
            <v>Formacion General</v>
          </cell>
          <cell r="K64" t="str">
            <v>SALUD Y ADOLESCENCIA</v>
          </cell>
        </row>
        <row r="65">
          <cell r="A65" t="str">
            <v>4EFMC</v>
          </cell>
          <cell r="B65">
            <v>4</v>
          </cell>
          <cell r="C65" t="str">
            <v>ED. TECNICA PROFESIONAL</v>
          </cell>
          <cell r="D65" t="str">
            <v>TECNICO ELECTRONICO</v>
          </cell>
          <cell r="E65" t="str">
            <v>C.S.</v>
          </cell>
          <cell r="F65">
            <v>10</v>
          </cell>
          <cell r="G65" t="str">
            <v>FMC</v>
          </cell>
          <cell r="H65" t="str">
            <v>FMC</v>
          </cell>
          <cell r="I65">
            <v>2</v>
          </cell>
          <cell r="J65" t="str">
            <v>Formacion General</v>
          </cell>
          <cell r="K65" t="str">
            <v>FUNDAMENTOS DE LOS MODELOS CIRCUITALES</v>
          </cell>
        </row>
        <row r="66">
          <cell r="A66" t="str">
            <v>4ETELE</v>
          </cell>
          <cell r="B66">
            <v>4</v>
          </cell>
          <cell r="C66" t="str">
            <v>ED. TECNICA PROFESIONAL</v>
          </cell>
          <cell r="D66" t="str">
            <v>TECNICO ELECTRONICO</v>
          </cell>
          <cell r="E66" t="str">
            <v>C.S.</v>
          </cell>
          <cell r="F66">
            <v>11</v>
          </cell>
          <cell r="G66" t="str">
            <v>TELE</v>
          </cell>
          <cell r="H66" t="str">
            <v>TEL</v>
          </cell>
          <cell r="I66">
            <v>2</v>
          </cell>
          <cell r="J66" t="str">
            <v>Formacion General</v>
          </cell>
          <cell r="K66" t="str">
            <v>TECNOLOGIAS ELECTRONICAS</v>
          </cell>
        </row>
        <row r="67">
          <cell r="A67" t="str">
            <v>4EFTAE4</v>
          </cell>
          <cell r="B67">
            <v>4</v>
          </cell>
          <cell r="C67" t="str">
            <v>ED. TECNICA PROFESIONAL</v>
          </cell>
          <cell r="D67" t="str">
            <v>TECNICO ELECTRONICO</v>
          </cell>
          <cell r="E67" t="str">
            <v>C.S.</v>
          </cell>
          <cell r="F67">
            <v>12</v>
          </cell>
          <cell r="G67" t="str">
            <v>FTAE4</v>
          </cell>
          <cell r="H67" t="str">
            <v>AEA</v>
          </cell>
          <cell r="I67">
            <v>4</v>
          </cell>
          <cell r="J67" t="str">
            <v>Formación Técnica Específica</v>
          </cell>
          <cell r="K67" t="str">
            <v xml:space="preserve">APLIC ELECT ANALOG </v>
          </cell>
        </row>
        <row r="68">
          <cell r="A68" t="str">
            <v>4EFTED4</v>
          </cell>
          <cell r="B68">
            <v>4</v>
          </cell>
          <cell r="C68" t="str">
            <v>ED. TECNICA PROFESIONAL</v>
          </cell>
          <cell r="D68" t="str">
            <v>TECNICO ELECTRONICO</v>
          </cell>
          <cell r="E68" t="str">
            <v>C.S.</v>
          </cell>
          <cell r="F68">
            <v>13</v>
          </cell>
          <cell r="G68" t="str">
            <v>FTED4</v>
          </cell>
          <cell r="H68" t="str">
            <v>AED</v>
          </cell>
          <cell r="I68">
            <v>4</v>
          </cell>
          <cell r="J68" t="str">
            <v>Formación Técnica Específica</v>
          </cell>
          <cell r="K68" t="str">
            <v>APLIC ELECTR DIGITAL</v>
          </cell>
        </row>
        <row r="69">
          <cell r="A69" t="str">
            <v>4EFTMP4</v>
          </cell>
          <cell r="B69">
            <v>4</v>
          </cell>
          <cell r="C69" t="str">
            <v>ED. TECNICA PROFESIONAL</v>
          </cell>
          <cell r="D69" t="str">
            <v>TECNICO ELECTRONICO</v>
          </cell>
          <cell r="E69" t="str">
            <v>C.S.</v>
          </cell>
          <cell r="F69">
            <v>14</v>
          </cell>
          <cell r="G69" t="str">
            <v>FTMP4</v>
          </cell>
          <cell r="H69" t="str">
            <v>MEL</v>
          </cell>
          <cell r="I69">
            <v>4</v>
          </cell>
          <cell r="J69" t="str">
            <v>Formación Técnica Específica</v>
          </cell>
          <cell r="K69" t="str">
            <v xml:space="preserve">MONTAJE DE PROYECTO ELECTRONICOS </v>
          </cell>
        </row>
        <row r="70">
          <cell r="A70" t="str">
            <v>5ILITS</v>
          </cell>
          <cell r="B70">
            <v>5</v>
          </cell>
          <cell r="C70" t="str">
            <v>ED. TECNICA PROFESIONAL</v>
          </cell>
          <cell r="D70" t="str">
            <v>TÉCNICO EN INFORMÁTICA PERSONAL Y
PROFESIONAL</v>
          </cell>
          <cell r="E70" t="str">
            <v>C.S.</v>
          </cell>
          <cell r="F70">
            <v>1</v>
          </cell>
          <cell r="G70" t="str">
            <v>LITS</v>
          </cell>
          <cell r="H70" t="str">
            <v>LIT</v>
          </cell>
          <cell r="I70">
            <v>2</v>
          </cell>
          <cell r="J70" t="str">
            <v>Formacion General</v>
          </cell>
          <cell r="K70" t="str">
            <v>LITERATURA</v>
          </cell>
        </row>
        <row r="71">
          <cell r="A71" t="str">
            <v>5IINGS</v>
          </cell>
          <cell r="B71">
            <v>5</v>
          </cell>
          <cell r="C71" t="str">
            <v>ED. TECNICA PROFESIONAL</v>
          </cell>
          <cell r="D71" t="str">
            <v>TÉCNICO EN INFORMÁTICA PERSONAL Y
PROFESIONAL</v>
          </cell>
          <cell r="E71" t="str">
            <v>C.S.</v>
          </cell>
          <cell r="F71">
            <v>2</v>
          </cell>
          <cell r="G71" t="str">
            <v>INGS</v>
          </cell>
          <cell r="H71" t="str">
            <v>IGS</v>
          </cell>
          <cell r="I71">
            <v>2</v>
          </cell>
          <cell r="J71" t="str">
            <v>Formacion General</v>
          </cell>
          <cell r="K71" t="str">
            <v>INGLÉS</v>
          </cell>
        </row>
        <row r="72">
          <cell r="A72" t="str">
            <v>5IEFIS</v>
          </cell>
          <cell r="B72">
            <v>5</v>
          </cell>
          <cell r="C72" t="str">
            <v>ED. TECNICA PROFESIONAL</v>
          </cell>
          <cell r="D72" t="str">
            <v>TÉCNICO EN INFORMÁTICA PERSONAL Y
PROFESIONAL</v>
          </cell>
          <cell r="E72" t="str">
            <v>C.S.</v>
          </cell>
          <cell r="F72">
            <v>3</v>
          </cell>
          <cell r="G72" t="str">
            <v>EFIS</v>
          </cell>
          <cell r="H72" t="str">
            <v>EFC</v>
          </cell>
          <cell r="I72">
            <v>2</v>
          </cell>
          <cell r="J72" t="str">
            <v>Formacion General</v>
          </cell>
          <cell r="K72" t="str">
            <v>EDUCACIÓN FISICA</v>
          </cell>
        </row>
        <row r="73">
          <cell r="A73" t="str">
            <v>5IPYCS</v>
          </cell>
          <cell r="B73">
            <v>5</v>
          </cell>
          <cell r="C73" t="str">
            <v>ED. TECNICA PROFESIONAL</v>
          </cell>
          <cell r="D73" t="str">
            <v>TÉCNICO EN INFORMÁTICA PERSONAL Y
PROFESIONAL</v>
          </cell>
          <cell r="E73" t="str">
            <v>C.S.</v>
          </cell>
          <cell r="F73">
            <v>4</v>
          </cell>
          <cell r="G73" t="str">
            <v>PYCS</v>
          </cell>
          <cell r="H73" t="str">
            <v>PYC</v>
          </cell>
          <cell r="I73">
            <v>2</v>
          </cell>
          <cell r="J73" t="str">
            <v>Formacion General</v>
          </cell>
          <cell r="K73" t="str">
            <v>POLITICA Y CIUDADANIA</v>
          </cell>
        </row>
        <row r="74">
          <cell r="A74" t="str">
            <v>5IHIS5</v>
          </cell>
          <cell r="B74">
            <v>5</v>
          </cell>
          <cell r="C74" t="str">
            <v>ED. TECNICA PROFESIONAL</v>
          </cell>
          <cell r="D74" t="str">
            <v>TÉCNICO EN INFORMÁTICA PERSONAL Y
PROFESIONAL</v>
          </cell>
          <cell r="E74" t="str">
            <v>C.S.</v>
          </cell>
          <cell r="F74">
            <v>5</v>
          </cell>
          <cell r="G74" t="str">
            <v>HIS5</v>
          </cell>
          <cell r="H74" t="str">
            <v>HTR</v>
          </cell>
          <cell r="I74">
            <v>2</v>
          </cell>
          <cell r="J74" t="str">
            <v>Formacion General</v>
          </cell>
          <cell r="K74" t="str">
            <v>HISTORIA</v>
          </cell>
        </row>
        <row r="75">
          <cell r="A75" t="str">
            <v>5IGEOS5</v>
          </cell>
          <cell r="B75">
            <v>5</v>
          </cell>
          <cell r="C75" t="str">
            <v>ED. TECNICA PROFESIONAL</v>
          </cell>
          <cell r="D75" t="str">
            <v>TÉCNICO EN INFORMÁTICA PERSONAL Y
PROFESIONAL</v>
          </cell>
          <cell r="E75" t="str">
            <v>C.S.</v>
          </cell>
          <cell r="F75">
            <v>6</v>
          </cell>
          <cell r="G75" t="str">
            <v>GEOS5</v>
          </cell>
          <cell r="H75" t="str">
            <v>GGF</v>
          </cell>
          <cell r="I75">
            <v>2</v>
          </cell>
          <cell r="J75" t="str">
            <v>Formacion General</v>
          </cell>
          <cell r="K75" t="str">
            <v>GEOGRAFIA</v>
          </cell>
        </row>
        <row r="76">
          <cell r="A76" t="str">
            <v>5IANMAT</v>
          </cell>
          <cell r="B76">
            <v>5</v>
          </cell>
          <cell r="C76" t="str">
            <v>ED. TECNICA PROFESIONAL</v>
          </cell>
          <cell r="D76" t="str">
            <v>TÉCNICO EN INFORMÁTICA PERSONAL Y
PROFESIONAL</v>
          </cell>
          <cell r="E76" t="str">
            <v>C.S.</v>
          </cell>
          <cell r="F76">
            <v>7</v>
          </cell>
          <cell r="G76" t="str">
            <v>ANMAT</v>
          </cell>
          <cell r="H76" t="str">
            <v>MTM</v>
          </cell>
          <cell r="I76">
            <v>4</v>
          </cell>
          <cell r="J76" t="str">
            <v>Formacion General</v>
          </cell>
          <cell r="K76" t="str">
            <v>ANALISIS MATEMATICO</v>
          </cell>
        </row>
        <row r="77">
          <cell r="A77" t="str">
            <v>5ISIDI4</v>
          </cell>
          <cell r="B77">
            <v>5</v>
          </cell>
          <cell r="C77" t="str">
            <v>ED. TECNICA PROFESIONAL</v>
          </cell>
          <cell r="D77" t="str">
            <v>TÉCNICO EN INFORMÁTICA PERSONAL Y
PROFESIONAL</v>
          </cell>
          <cell r="E77" t="str">
            <v>C.S.</v>
          </cell>
          <cell r="F77">
            <v>8</v>
          </cell>
          <cell r="G77" t="str">
            <v>SIDI4</v>
          </cell>
          <cell r="H77" t="str">
            <v>SD</v>
          </cell>
          <cell r="I77">
            <v>3</v>
          </cell>
          <cell r="J77" t="str">
            <v>Formacion General</v>
          </cell>
          <cell r="K77" t="str">
            <v>SISTEMA DIGITAL</v>
          </cell>
        </row>
        <row r="78">
          <cell r="A78" t="str">
            <v>5ITELEI</v>
          </cell>
          <cell r="B78">
            <v>5</v>
          </cell>
          <cell r="C78" t="str">
            <v>ED. TECNICA PROFESIONAL</v>
          </cell>
          <cell r="D78" t="str">
            <v>TÉCNICO EN INFORMÁTICA PERSONAL Y
PROFESIONAL</v>
          </cell>
          <cell r="E78" t="str">
            <v>C.S.</v>
          </cell>
          <cell r="F78">
            <v>9</v>
          </cell>
          <cell r="G78" t="str">
            <v>TELEI</v>
          </cell>
          <cell r="H78" t="str">
            <v>TLI</v>
          </cell>
          <cell r="I78">
            <v>4</v>
          </cell>
          <cell r="J78" t="str">
            <v>Formacion General</v>
          </cell>
          <cell r="K78" t="str">
            <v>TELEINFORMATICA</v>
          </cell>
        </row>
        <row r="79">
          <cell r="A79" t="str">
            <v>5IFTLP5</v>
          </cell>
          <cell r="B79">
            <v>5</v>
          </cell>
          <cell r="C79" t="str">
            <v>ED. TECNICA PROFESIONAL</v>
          </cell>
          <cell r="D79" t="str">
            <v>TÉCNICO EN INFORMÁTICA PERSONAL Y
PROFESIONAL</v>
          </cell>
          <cell r="E79" t="str">
            <v>C.S.</v>
          </cell>
          <cell r="F79">
            <v>10</v>
          </cell>
          <cell r="G79" t="str">
            <v>FTLP5</v>
          </cell>
          <cell r="H79" t="str">
            <v>LPR</v>
          </cell>
          <cell r="I79">
            <v>2</v>
          </cell>
          <cell r="J79" t="str">
            <v>Formación Técnica Específica</v>
          </cell>
          <cell r="K79" t="str">
            <v xml:space="preserve">LAB DE PROGRAM </v>
          </cell>
        </row>
        <row r="80">
          <cell r="A80" t="str">
            <v>5IFTLH5</v>
          </cell>
          <cell r="B80">
            <v>5</v>
          </cell>
          <cell r="C80" t="str">
            <v>ED. TECNICA PROFESIONAL</v>
          </cell>
          <cell r="D80" t="str">
            <v>TÉCNICO EN INFORMÁTICA PERSONAL Y
PROFESIONAL</v>
          </cell>
          <cell r="E80" t="str">
            <v>C.S.</v>
          </cell>
          <cell r="F80">
            <v>11</v>
          </cell>
          <cell r="G80" t="str">
            <v>FTLH5</v>
          </cell>
          <cell r="H80" t="str">
            <v>LHW</v>
          </cell>
          <cell r="I80">
            <v>4</v>
          </cell>
          <cell r="J80" t="str">
            <v>Formación Técnica Específica</v>
          </cell>
          <cell r="K80" t="str">
            <v xml:space="preserve">LAB DE HARDWARE </v>
          </cell>
        </row>
        <row r="81">
          <cell r="A81" t="str">
            <v>5IFTLS5</v>
          </cell>
          <cell r="B81">
            <v>5</v>
          </cell>
          <cell r="C81" t="str">
            <v>ED. TECNICA PROFESIONAL</v>
          </cell>
          <cell r="D81" t="str">
            <v>TÉCNICO EN INFORMÁTICA PERSONAL Y
PROFESIONAL</v>
          </cell>
          <cell r="E81" t="str">
            <v>C.S.</v>
          </cell>
          <cell r="F81">
            <v>12</v>
          </cell>
          <cell r="G81" t="str">
            <v>FTLS5</v>
          </cell>
          <cell r="H81" t="str">
            <v>LSO</v>
          </cell>
          <cell r="I81">
            <v>4</v>
          </cell>
          <cell r="J81" t="str">
            <v>Formación Técnica Específica</v>
          </cell>
          <cell r="K81" t="str">
            <v>LAB DE SIST OPERATIVOS</v>
          </cell>
        </row>
        <row r="82">
          <cell r="A82" t="str">
            <v>5IFTLA5</v>
          </cell>
          <cell r="B82">
            <v>5</v>
          </cell>
          <cell r="C82" t="str">
            <v>ED. TECNICA PROFESIONAL</v>
          </cell>
          <cell r="D82" t="str">
            <v>TÉCNICO EN INFORMÁTICA PERSONAL Y
PROFESIONAL</v>
          </cell>
          <cell r="E82" t="str">
            <v>C.S.</v>
          </cell>
          <cell r="F82">
            <v>13</v>
          </cell>
          <cell r="G82" t="str">
            <v>FTLA5</v>
          </cell>
          <cell r="H82" t="str">
            <v>LAP</v>
          </cell>
          <cell r="I82">
            <v>2</v>
          </cell>
          <cell r="J82" t="str">
            <v>Formación Técnica Específica</v>
          </cell>
          <cell r="K82" t="str">
            <v xml:space="preserve">LAB DE APLICACIONES </v>
          </cell>
        </row>
        <row r="83">
          <cell r="A83" t="str">
            <v>5ELITS</v>
          </cell>
          <cell r="B83">
            <v>5</v>
          </cell>
          <cell r="C83" t="str">
            <v>ED. TECNICA PROFESIONAL</v>
          </cell>
          <cell r="D83" t="str">
            <v>TECNICO ELECTRONICO</v>
          </cell>
          <cell r="E83" t="str">
            <v>C.S.</v>
          </cell>
          <cell r="F83">
            <v>1</v>
          </cell>
          <cell r="G83" t="str">
            <v>LITS</v>
          </cell>
          <cell r="H83" t="str">
            <v>LIT</v>
          </cell>
          <cell r="I83">
            <v>2</v>
          </cell>
          <cell r="J83" t="str">
            <v>Formacion General</v>
          </cell>
          <cell r="K83" t="str">
            <v>LITERATURA</v>
          </cell>
        </row>
        <row r="84">
          <cell r="A84" t="str">
            <v>5EINGS</v>
          </cell>
          <cell r="B84">
            <v>5</v>
          </cell>
          <cell r="C84" t="str">
            <v>ED. TECNICA PROFESIONAL</v>
          </cell>
          <cell r="D84" t="str">
            <v>TECNICO ELECTRONICO</v>
          </cell>
          <cell r="E84" t="str">
            <v>C.S.</v>
          </cell>
          <cell r="F84">
            <v>2</v>
          </cell>
          <cell r="G84" t="str">
            <v>INGS</v>
          </cell>
          <cell r="H84" t="str">
            <v>IGS</v>
          </cell>
          <cell r="I84">
            <v>2</v>
          </cell>
          <cell r="J84" t="str">
            <v>Formacion General</v>
          </cell>
          <cell r="K84" t="str">
            <v>INGLÉS</v>
          </cell>
        </row>
        <row r="85">
          <cell r="A85" t="str">
            <v>5EEFIS</v>
          </cell>
          <cell r="B85">
            <v>5</v>
          </cell>
          <cell r="C85" t="str">
            <v>ED. TECNICA PROFESIONAL</v>
          </cell>
          <cell r="D85" t="str">
            <v>TECNICO ELECTRONICO</v>
          </cell>
          <cell r="E85" t="str">
            <v>C.S.</v>
          </cell>
          <cell r="F85">
            <v>3</v>
          </cell>
          <cell r="G85" t="str">
            <v>EFIS</v>
          </cell>
          <cell r="H85" t="str">
            <v>EFC</v>
          </cell>
          <cell r="I85">
            <v>2</v>
          </cell>
          <cell r="J85" t="str">
            <v>Formacion General</v>
          </cell>
          <cell r="K85" t="str">
            <v>EDUCACIÓN FISICA</v>
          </cell>
        </row>
        <row r="86">
          <cell r="A86" t="str">
            <v>5EPYCS</v>
          </cell>
          <cell r="B86">
            <v>5</v>
          </cell>
          <cell r="C86" t="str">
            <v>ED. TECNICA PROFESIONAL</v>
          </cell>
          <cell r="D86" t="str">
            <v>TECNICO ELECTRONICO</v>
          </cell>
          <cell r="E86" t="str">
            <v>C.S.</v>
          </cell>
          <cell r="F86">
            <v>4</v>
          </cell>
          <cell r="G86" t="str">
            <v>PYCS</v>
          </cell>
          <cell r="H86" t="str">
            <v>PYC</v>
          </cell>
          <cell r="I86">
            <v>2</v>
          </cell>
          <cell r="J86" t="str">
            <v>Formacion General</v>
          </cell>
          <cell r="K86" t="str">
            <v>POLITICA Y CIUDADANIA</v>
          </cell>
        </row>
        <row r="87">
          <cell r="A87" t="str">
            <v>5EHIS5</v>
          </cell>
          <cell r="B87">
            <v>5</v>
          </cell>
          <cell r="C87" t="str">
            <v>ED. TECNICA PROFESIONAL</v>
          </cell>
          <cell r="D87" t="str">
            <v>TECNICO ELECTRONICO</v>
          </cell>
          <cell r="E87" t="str">
            <v>C.S.</v>
          </cell>
          <cell r="F87">
            <v>5</v>
          </cell>
          <cell r="G87" t="str">
            <v>HIS5</v>
          </cell>
          <cell r="H87" t="str">
            <v>HTR</v>
          </cell>
          <cell r="I87">
            <v>2</v>
          </cell>
          <cell r="J87" t="str">
            <v>Formacion General</v>
          </cell>
          <cell r="K87" t="str">
            <v>HISTORIA</v>
          </cell>
        </row>
        <row r="88">
          <cell r="A88" t="str">
            <v>5EGEOS5</v>
          </cell>
          <cell r="B88">
            <v>5</v>
          </cell>
          <cell r="C88" t="str">
            <v>ED. TECNICA PROFESIONAL</v>
          </cell>
          <cell r="D88" t="str">
            <v>TECNICO ELECTRONICO</v>
          </cell>
          <cell r="E88" t="str">
            <v>C.S.</v>
          </cell>
          <cell r="F88">
            <v>6</v>
          </cell>
          <cell r="G88" t="str">
            <v>GEOS5</v>
          </cell>
          <cell r="H88" t="str">
            <v>GGF</v>
          </cell>
          <cell r="I88">
            <v>2</v>
          </cell>
          <cell r="J88" t="str">
            <v>Formacion General</v>
          </cell>
          <cell r="K88" t="str">
            <v>GEOGRAFIA</v>
          </cell>
        </row>
        <row r="89">
          <cell r="A89" t="str">
            <v>5EANMAT</v>
          </cell>
          <cell r="B89">
            <v>5</v>
          </cell>
          <cell r="C89" t="str">
            <v>ED. TECNICA PROFESIONAL</v>
          </cell>
          <cell r="D89" t="str">
            <v>TECNICO ELECTRONICO</v>
          </cell>
          <cell r="E89" t="str">
            <v>C.S.</v>
          </cell>
          <cell r="F89">
            <v>7</v>
          </cell>
          <cell r="G89" t="str">
            <v>ANMAT</v>
          </cell>
          <cell r="H89" t="str">
            <v>AM</v>
          </cell>
          <cell r="I89">
            <v>4</v>
          </cell>
          <cell r="J89" t="str">
            <v>Formacion General</v>
          </cell>
          <cell r="K89" t="str">
            <v>ANALISIS MATEMATICO</v>
          </cell>
        </row>
        <row r="90">
          <cell r="A90" t="str">
            <v>5EAMC</v>
          </cell>
          <cell r="B90">
            <v>5</v>
          </cell>
          <cell r="C90" t="str">
            <v>ED. TECNICA PROFESIONAL</v>
          </cell>
          <cell r="D90" t="str">
            <v>TECNICO ELECTRONICO</v>
          </cell>
          <cell r="E90" t="str">
            <v>C.S.</v>
          </cell>
          <cell r="F90">
            <v>8</v>
          </cell>
          <cell r="G90" t="str">
            <v>AMC</v>
          </cell>
          <cell r="H90" t="str">
            <v>MOC</v>
          </cell>
          <cell r="I90">
            <v>3</v>
          </cell>
          <cell r="J90" t="str">
            <v>Formacion General</v>
          </cell>
          <cell r="K90" t="str">
            <v>ANALISIS DE LOS MODELOS CIRCUITALES</v>
          </cell>
        </row>
        <row r="91">
          <cell r="A91" t="str">
            <v>5ELENE</v>
          </cell>
          <cell r="B91">
            <v>5</v>
          </cell>
          <cell r="C91" t="str">
            <v>ED. TECNICA PROFESIONAL</v>
          </cell>
          <cell r="D91" t="str">
            <v>TECNICO ELECTRONICO</v>
          </cell>
          <cell r="E91" t="str">
            <v>C.S.</v>
          </cell>
          <cell r="F91">
            <v>9</v>
          </cell>
          <cell r="G91" t="str">
            <v>LENE</v>
          </cell>
          <cell r="H91" t="str">
            <v>LEE</v>
          </cell>
          <cell r="I91">
            <v>2</v>
          </cell>
          <cell r="J91" t="str">
            <v>Formacion General</v>
          </cell>
          <cell r="K91" t="str">
            <v>LENGUAJES ELECTRONICOS</v>
          </cell>
        </row>
        <row r="92">
          <cell r="A92" t="str">
            <v>5EDASE</v>
          </cell>
          <cell r="B92">
            <v>5</v>
          </cell>
          <cell r="C92" t="str">
            <v>ED. TECNICA PROFESIONAL</v>
          </cell>
          <cell r="D92" t="str">
            <v>TECNICO ELECTRONICO</v>
          </cell>
          <cell r="E92" t="str">
            <v>C.S.</v>
          </cell>
          <cell r="F92">
            <v>10</v>
          </cell>
          <cell r="G92" t="str">
            <v>DASE</v>
          </cell>
          <cell r="H92" t="str">
            <v>DAS</v>
          </cell>
          <cell r="I92">
            <v>2</v>
          </cell>
          <cell r="J92" t="str">
            <v>Formación Técnica Específica</v>
          </cell>
          <cell r="K92" t="str">
            <v xml:space="preserve">DISEÑO ASIST Y SIMUL ELECT </v>
          </cell>
        </row>
        <row r="93">
          <cell r="A93" t="str">
            <v>5EFTAE5</v>
          </cell>
          <cell r="B93">
            <v>5</v>
          </cell>
          <cell r="C93" t="str">
            <v>ED. TECNICA PROFESIONAL</v>
          </cell>
          <cell r="D93" t="str">
            <v>TECNICO ELECTRONICO</v>
          </cell>
          <cell r="E93" t="str">
            <v>C.S.</v>
          </cell>
          <cell r="F93">
            <v>11</v>
          </cell>
          <cell r="G93" t="str">
            <v>FTAE5</v>
          </cell>
          <cell r="H93" t="str">
            <v>AEA</v>
          </cell>
          <cell r="I93">
            <v>4</v>
          </cell>
          <cell r="J93" t="str">
            <v>Formación Técnica Específica</v>
          </cell>
          <cell r="K93" t="str">
            <v xml:space="preserve">APLIC ELECT ANALOG </v>
          </cell>
        </row>
        <row r="94">
          <cell r="A94" t="str">
            <v>5EFTED5</v>
          </cell>
          <cell r="B94">
            <v>5</v>
          </cell>
          <cell r="C94" t="str">
            <v>ED. TECNICA PROFESIONAL</v>
          </cell>
          <cell r="D94" t="str">
            <v>TECNICO ELECTRONICO</v>
          </cell>
          <cell r="E94" t="str">
            <v>C.S.</v>
          </cell>
          <cell r="F94">
            <v>12</v>
          </cell>
          <cell r="G94" t="str">
            <v>FTED5</v>
          </cell>
          <cell r="H94" t="str">
            <v>AED</v>
          </cell>
          <cell r="I94">
            <v>4</v>
          </cell>
          <cell r="J94" t="str">
            <v>Formación Técnica Específica</v>
          </cell>
          <cell r="K94" t="str">
            <v>APLIC ELECTR DIGITAL</v>
          </cell>
        </row>
        <row r="95">
          <cell r="A95" t="str">
            <v>5EFTMP5</v>
          </cell>
          <cell r="B95">
            <v>5</v>
          </cell>
          <cell r="C95" t="str">
            <v>ED. TECNICA PROFESIONAL</v>
          </cell>
          <cell r="D95" t="str">
            <v>TECNICO ELECTRONICO</v>
          </cell>
          <cell r="E95" t="str">
            <v>C.S.</v>
          </cell>
          <cell r="F95">
            <v>13</v>
          </cell>
          <cell r="G95" t="str">
            <v>FTMP5</v>
          </cell>
          <cell r="H95" t="str">
            <v>MEL</v>
          </cell>
          <cell r="I95">
            <v>4</v>
          </cell>
          <cell r="J95" t="str">
            <v>Formación Técnica Específica</v>
          </cell>
          <cell r="K95" t="str">
            <v xml:space="preserve">MONTAJE DE PROYECTO ELECTRONICOS </v>
          </cell>
        </row>
        <row r="96">
          <cell r="A96" t="str">
            <v>6ILITS</v>
          </cell>
          <cell r="B96">
            <v>6</v>
          </cell>
          <cell r="C96" t="str">
            <v>ED. TECNICA PROFESIONAL</v>
          </cell>
          <cell r="D96" t="str">
            <v>TÉCNICO EN INFORMÁTICA PERSONAL Y
PROFESIONAL</v>
          </cell>
          <cell r="E96" t="str">
            <v>C.S.</v>
          </cell>
          <cell r="F96">
            <v>1</v>
          </cell>
          <cell r="G96" t="str">
            <v>LITS</v>
          </cell>
          <cell r="H96" t="str">
            <v>LIT</v>
          </cell>
          <cell r="I96">
            <v>2</v>
          </cell>
          <cell r="J96" t="str">
            <v>Formacion General</v>
          </cell>
          <cell r="K96" t="str">
            <v>LITERATURA</v>
          </cell>
        </row>
        <row r="97">
          <cell r="A97" t="str">
            <v>6IINGS</v>
          </cell>
          <cell r="B97">
            <v>6</v>
          </cell>
          <cell r="C97" t="str">
            <v>ED. TECNICA PROFESIONAL</v>
          </cell>
          <cell r="D97" t="str">
            <v>TÉCNICO EN INFORMÁTICA PERSONAL Y
PROFESIONAL</v>
          </cell>
          <cell r="E97" t="str">
            <v>C.S.</v>
          </cell>
          <cell r="F97">
            <v>2</v>
          </cell>
          <cell r="G97" t="str">
            <v>INGS</v>
          </cell>
          <cell r="H97" t="str">
            <v>IGS</v>
          </cell>
          <cell r="I97">
            <v>2</v>
          </cell>
          <cell r="J97" t="str">
            <v>Formacion General</v>
          </cell>
          <cell r="K97" t="str">
            <v>INGLÉS</v>
          </cell>
        </row>
        <row r="98">
          <cell r="A98" t="str">
            <v>6IEFIS</v>
          </cell>
          <cell r="B98">
            <v>6</v>
          </cell>
          <cell r="C98" t="str">
            <v>ED. TECNICA PROFESIONAL</v>
          </cell>
          <cell r="D98" t="str">
            <v>TÉCNICO EN INFORMÁTICA PERSONAL Y
PROFESIONAL</v>
          </cell>
          <cell r="E98" t="str">
            <v>C.S.</v>
          </cell>
          <cell r="F98">
            <v>3</v>
          </cell>
          <cell r="G98" t="str">
            <v>EFIS</v>
          </cell>
          <cell r="H98" t="str">
            <v>EFC</v>
          </cell>
          <cell r="I98">
            <v>2</v>
          </cell>
          <cell r="J98" t="str">
            <v>Formacion General</v>
          </cell>
          <cell r="K98" t="str">
            <v>EDUCACIÓN FISICA</v>
          </cell>
        </row>
        <row r="99">
          <cell r="A99" t="str">
            <v>6IFILO</v>
          </cell>
          <cell r="B99">
            <v>6</v>
          </cell>
          <cell r="C99" t="str">
            <v>ED. TECNICA PROFESIONAL</v>
          </cell>
          <cell r="D99" t="str">
            <v>TÉCNICO EN INFORMÁTICA PERSONAL Y
PROFESIONAL</v>
          </cell>
          <cell r="E99" t="str">
            <v>C.S.</v>
          </cell>
          <cell r="F99">
            <v>4</v>
          </cell>
          <cell r="G99" t="str">
            <v>FILO</v>
          </cell>
          <cell r="H99" t="str">
            <v>FIA</v>
          </cell>
          <cell r="I99">
            <v>2</v>
          </cell>
          <cell r="J99" t="str">
            <v>Formacion General</v>
          </cell>
          <cell r="K99" t="str">
            <v>FILOSOFIA</v>
          </cell>
        </row>
        <row r="100">
          <cell r="A100" t="str">
            <v>6IARTE</v>
          </cell>
          <cell r="B100">
            <v>6</v>
          </cell>
          <cell r="C100" t="str">
            <v>ED. TECNICA PROFESIONAL</v>
          </cell>
          <cell r="D100" t="str">
            <v>TÉCNICO EN INFORMÁTICA PERSONAL Y
PROFESIONAL</v>
          </cell>
          <cell r="E100" t="str">
            <v>C.S.</v>
          </cell>
          <cell r="F100">
            <v>5</v>
          </cell>
          <cell r="G100" t="str">
            <v>ARTE</v>
          </cell>
          <cell r="H100" t="str">
            <v>RTE</v>
          </cell>
          <cell r="I100">
            <v>2</v>
          </cell>
          <cell r="J100" t="str">
            <v>Formacion General</v>
          </cell>
          <cell r="K100" t="str">
            <v>ARTE</v>
          </cell>
        </row>
        <row r="101">
          <cell r="A101" t="str">
            <v>6IMATAP</v>
          </cell>
          <cell r="B101">
            <v>6</v>
          </cell>
          <cell r="C101" t="str">
            <v>ED. TECNICA PROFESIONAL</v>
          </cell>
          <cell r="D101" t="str">
            <v>TÉCNICO EN INFORMÁTICA PERSONAL Y
PROFESIONAL</v>
          </cell>
          <cell r="E101" t="str">
            <v>C.S.</v>
          </cell>
          <cell r="F101">
            <v>6</v>
          </cell>
          <cell r="G101" t="str">
            <v>MATAP</v>
          </cell>
          <cell r="H101" t="str">
            <v>MA2</v>
          </cell>
          <cell r="I101">
            <v>2</v>
          </cell>
          <cell r="J101" t="str">
            <v>Formacion General</v>
          </cell>
          <cell r="K101" t="str">
            <v>MATEMATICA APLICADA</v>
          </cell>
        </row>
        <row r="102">
          <cell r="A102" t="str">
            <v>6ISIDI6</v>
          </cell>
          <cell r="B102">
            <v>6</v>
          </cell>
          <cell r="C102" t="str">
            <v>ED. TECNICA PROFESIONAL</v>
          </cell>
          <cell r="D102" t="str">
            <v>TÉCNICO EN INFORMÁTICA PERSONAL Y
PROFESIONAL</v>
          </cell>
          <cell r="E102" t="str">
            <v>C.S.</v>
          </cell>
          <cell r="F102">
            <v>7</v>
          </cell>
          <cell r="G102" t="str">
            <v>SIDI6</v>
          </cell>
          <cell r="H102" t="str">
            <v>SD</v>
          </cell>
          <cell r="I102">
            <v>3</v>
          </cell>
          <cell r="J102" t="str">
            <v>Formacion General</v>
          </cell>
          <cell r="K102" t="str">
            <v>SISTEMA DIGITAL</v>
          </cell>
        </row>
        <row r="103">
          <cell r="A103" t="str">
            <v>6IINVOP</v>
          </cell>
          <cell r="B103">
            <v>6</v>
          </cell>
          <cell r="C103" t="str">
            <v>ED. TECNICA PROFESIONAL</v>
          </cell>
          <cell r="D103" t="str">
            <v>TÉCNICO EN INFORMÁTICA PERSONAL Y
PROFESIONAL</v>
          </cell>
          <cell r="E103" t="str">
            <v>C.S.</v>
          </cell>
          <cell r="F103">
            <v>8</v>
          </cell>
          <cell r="G103" t="str">
            <v>INVOP</v>
          </cell>
          <cell r="H103" t="str">
            <v>OPE</v>
          </cell>
          <cell r="I103">
            <v>3</v>
          </cell>
          <cell r="J103" t="str">
            <v>Formacion General</v>
          </cell>
          <cell r="K103" t="str">
            <v>INVESTIGACION OPERATIVA</v>
          </cell>
        </row>
        <row r="104">
          <cell r="A104" t="str">
            <v>6ISEIN</v>
          </cell>
          <cell r="B104">
            <v>6</v>
          </cell>
          <cell r="C104" t="str">
            <v>ED. TECNICA PROFESIONAL</v>
          </cell>
          <cell r="D104" t="str">
            <v>TÉCNICO EN INFORMÁTICA PERSONAL Y
PROFESIONAL</v>
          </cell>
          <cell r="E104" t="str">
            <v>C.S.</v>
          </cell>
          <cell r="F104">
            <v>9</v>
          </cell>
          <cell r="G104" t="str">
            <v>SEIN</v>
          </cell>
          <cell r="H104" t="str">
            <v>INS</v>
          </cell>
          <cell r="I104">
            <v>3</v>
          </cell>
          <cell r="J104" t="str">
            <v>Formacion General</v>
          </cell>
          <cell r="K104" t="str">
            <v>SEGURIDAD INFORMATICA</v>
          </cell>
        </row>
        <row r="105">
          <cell r="A105" t="str">
            <v>6IDETRA</v>
          </cell>
          <cell r="B105">
            <v>6</v>
          </cell>
          <cell r="C105" t="str">
            <v>ED. TECNICA PROFESIONAL</v>
          </cell>
          <cell r="D105" t="str">
            <v>TÉCNICO EN INFORMÁTICA PERSONAL Y
PROFESIONAL</v>
          </cell>
          <cell r="E105" t="str">
            <v>C.S.</v>
          </cell>
          <cell r="F105">
            <v>10</v>
          </cell>
          <cell r="G105" t="str">
            <v>DETRA</v>
          </cell>
          <cell r="H105" t="str">
            <v>DET</v>
          </cell>
          <cell r="I105">
            <v>2</v>
          </cell>
          <cell r="J105" t="str">
            <v>Formacion General</v>
          </cell>
          <cell r="K105" t="str">
            <v>DERECHO DE TRABAJO</v>
          </cell>
        </row>
        <row r="106">
          <cell r="A106" t="str">
            <v>6IFTLP6</v>
          </cell>
          <cell r="B106">
            <v>6</v>
          </cell>
          <cell r="C106" t="str">
            <v>ED. TECNICA PROFESIONAL</v>
          </cell>
          <cell r="D106" t="str">
            <v>TÉCNICO EN INFORMÁTICA PERSONAL Y
PROFESIONAL</v>
          </cell>
          <cell r="E106" t="str">
            <v>C.S.</v>
          </cell>
          <cell r="F106">
            <v>11</v>
          </cell>
          <cell r="G106" t="str">
            <v>FTLP6</v>
          </cell>
          <cell r="H106" t="str">
            <v>LPR</v>
          </cell>
          <cell r="I106">
            <v>2</v>
          </cell>
          <cell r="J106" t="str">
            <v>Formación Técnica Específica</v>
          </cell>
          <cell r="K106" t="str">
            <v xml:space="preserve">LAB DE PROGRAM </v>
          </cell>
        </row>
        <row r="107">
          <cell r="A107" t="str">
            <v>6IFTLH6</v>
          </cell>
          <cell r="B107">
            <v>6</v>
          </cell>
          <cell r="C107" t="str">
            <v>ED. TECNICA PROFESIONAL</v>
          </cell>
          <cell r="D107" t="str">
            <v>TÉCNICO EN INFORMÁTICA PERSONAL Y
PROFESIONAL</v>
          </cell>
          <cell r="E107" t="str">
            <v>C.S.</v>
          </cell>
          <cell r="F107">
            <v>12</v>
          </cell>
          <cell r="G107" t="str">
            <v>FTLH6</v>
          </cell>
          <cell r="H107" t="str">
            <v>LHW</v>
          </cell>
          <cell r="I107">
            <v>4</v>
          </cell>
          <cell r="J107" t="str">
            <v>Formación Técnica Específica</v>
          </cell>
          <cell r="K107" t="str">
            <v xml:space="preserve">LAB DE HARDWARE </v>
          </cell>
        </row>
        <row r="108">
          <cell r="A108" t="str">
            <v>6IFHLS6</v>
          </cell>
          <cell r="B108">
            <v>6</v>
          </cell>
          <cell r="C108" t="str">
            <v>ED. TECNICA PROFESIONAL</v>
          </cell>
          <cell r="D108" t="str">
            <v>TÉCNICO EN INFORMÁTICA PERSONAL Y
PROFESIONAL</v>
          </cell>
          <cell r="E108" t="str">
            <v>C.S.</v>
          </cell>
          <cell r="F108">
            <v>13</v>
          </cell>
          <cell r="G108" t="str">
            <v>FHLS6</v>
          </cell>
          <cell r="H108" t="str">
            <v>LSO</v>
          </cell>
          <cell r="I108">
            <v>4</v>
          </cell>
          <cell r="J108" t="str">
            <v>Formación Técnica Específica</v>
          </cell>
          <cell r="K108" t="str">
            <v xml:space="preserve">LAB DE SIST OPERATIVOS </v>
          </cell>
        </row>
        <row r="109">
          <cell r="A109" t="str">
            <v>6IFTLA6</v>
          </cell>
          <cell r="B109">
            <v>6</v>
          </cell>
          <cell r="C109" t="str">
            <v>ED. TECNICA PROFESIONAL</v>
          </cell>
          <cell r="D109" t="str">
            <v>TÉCNICO EN INFORMÁTICA PERSONAL Y
PROFESIONAL</v>
          </cell>
          <cell r="E109" t="str">
            <v>C.S.</v>
          </cell>
          <cell r="F109">
            <v>14</v>
          </cell>
          <cell r="G109" t="str">
            <v>FTLA6</v>
          </cell>
          <cell r="H109" t="str">
            <v>LAP</v>
          </cell>
          <cell r="I109">
            <v>2</v>
          </cell>
          <cell r="J109" t="str">
            <v>Formación Técnica Específica</v>
          </cell>
          <cell r="K109" t="str">
            <v xml:space="preserve">LAB DE APLICACIONES </v>
          </cell>
        </row>
        <row r="110">
          <cell r="A110" t="str">
            <v>6ELITS</v>
          </cell>
          <cell r="B110">
            <v>6</v>
          </cell>
          <cell r="C110" t="str">
            <v>ED. TECNICA PROFESIONAL</v>
          </cell>
          <cell r="D110" t="str">
            <v>TECNICO ELECTRONICO</v>
          </cell>
          <cell r="E110" t="str">
            <v>C.S.</v>
          </cell>
          <cell r="F110">
            <v>1</v>
          </cell>
          <cell r="G110" t="str">
            <v>LITS</v>
          </cell>
          <cell r="H110" t="str">
            <v>LIT</v>
          </cell>
          <cell r="I110">
            <v>2</v>
          </cell>
          <cell r="J110" t="str">
            <v>Formacion General</v>
          </cell>
          <cell r="K110" t="str">
            <v>LITERATURA</v>
          </cell>
        </row>
        <row r="111">
          <cell r="A111" t="str">
            <v>6EINGS</v>
          </cell>
          <cell r="B111">
            <v>6</v>
          </cell>
          <cell r="C111" t="str">
            <v>ED. TECNICA PROFESIONAL</v>
          </cell>
          <cell r="D111" t="str">
            <v>TECNICO ELECTRONICO</v>
          </cell>
          <cell r="E111" t="str">
            <v>C.S.</v>
          </cell>
          <cell r="F111">
            <v>2</v>
          </cell>
          <cell r="G111" t="str">
            <v>INGS</v>
          </cell>
          <cell r="H111" t="str">
            <v>IGS</v>
          </cell>
          <cell r="I111">
            <v>2</v>
          </cell>
          <cell r="J111" t="str">
            <v>Formacion General</v>
          </cell>
          <cell r="K111" t="str">
            <v>INGLÉS</v>
          </cell>
        </row>
        <row r="112">
          <cell r="A112" t="str">
            <v>6EEFIS</v>
          </cell>
          <cell r="B112">
            <v>6</v>
          </cell>
          <cell r="C112" t="str">
            <v>ED. TECNICA PROFESIONAL</v>
          </cell>
          <cell r="D112" t="str">
            <v>TECNICO ELECTRONICO</v>
          </cell>
          <cell r="E112" t="str">
            <v>C.S.</v>
          </cell>
          <cell r="F112">
            <v>3</v>
          </cell>
          <cell r="G112" t="str">
            <v>EFIS</v>
          </cell>
          <cell r="H112" t="str">
            <v>EFC</v>
          </cell>
          <cell r="I112">
            <v>2</v>
          </cell>
          <cell r="J112" t="str">
            <v>Formacion General</v>
          </cell>
          <cell r="K112" t="str">
            <v>EDUCACIÓN FISICA</v>
          </cell>
        </row>
        <row r="113">
          <cell r="A113" t="str">
            <v>6EFILO</v>
          </cell>
          <cell r="B113">
            <v>6</v>
          </cell>
          <cell r="C113" t="str">
            <v>ED. TECNICA PROFESIONAL</v>
          </cell>
          <cell r="D113" t="str">
            <v>TECNICO ELECTRONICO</v>
          </cell>
          <cell r="E113" t="str">
            <v>C.S.</v>
          </cell>
          <cell r="F113">
            <v>4</v>
          </cell>
          <cell r="G113" t="str">
            <v>FILO</v>
          </cell>
          <cell r="H113" t="str">
            <v>FIA</v>
          </cell>
          <cell r="I113">
            <v>2</v>
          </cell>
          <cell r="J113" t="str">
            <v>Formacion General</v>
          </cell>
          <cell r="K113" t="str">
            <v>FILOSOFIA</v>
          </cell>
        </row>
        <row r="114">
          <cell r="A114" t="str">
            <v>6EARTE</v>
          </cell>
          <cell r="B114">
            <v>6</v>
          </cell>
          <cell r="C114" t="str">
            <v>ED. TECNICA PROFESIONAL</v>
          </cell>
          <cell r="D114" t="str">
            <v>TECNICO ELECTRONICO</v>
          </cell>
          <cell r="E114" t="str">
            <v>C.S.</v>
          </cell>
          <cell r="F114">
            <v>5</v>
          </cell>
          <cell r="G114" t="str">
            <v>ARTE</v>
          </cell>
          <cell r="H114" t="str">
            <v>RTE</v>
          </cell>
          <cell r="I114">
            <v>2</v>
          </cell>
          <cell r="J114" t="str">
            <v>Formacion General</v>
          </cell>
          <cell r="K114" t="str">
            <v>ARTE</v>
          </cell>
        </row>
        <row r="115">
          <cell r="A115" t="str">
            <v>6EMATAP</v>
          </cell>
          <cell r="B115">
            <v>6</v>
          </cell>
          <cell r="C115" t="str">
            <v>ED. TECNICA PROFESIONAL</v>
          </cell>
          <cell r="D115" t="str">
            <v>TECNICO ELECTRONICO</v>
          </cell>
          <cell r="E115" t="str">
            <v>C.S.</v>
          </cell>
          <cell r="F115">
            <v>6</v>
          </cell>
          <cell r="G115" t="str">
            <v>MATAP</v>
          </cell>
          <cell r="H115" t="str">
            <v>MA2</v>
          </cell>
          <cell r="I115">
            <v>2</v>
          </cell>
          <cell r="J115" t="str">
            <v>Formacion General</v>
          </cell>
          <cell r="K115" t="str">
            <v>MATEMATICA APLICADA</v>
          </cell>
        </row>
        <row r="116">
          <cell r="A116" t="str">
            <v>6ESISCO</v>
          </cell>
          <cell r="B116">
            <v>6</v>
          </cell>
          <cell r="C116" t="str">
            <v>ED. TECNICA PROFESIONAL</v>
          </cell>
          <cell r="D116" t="str">
            <v>TECNICO ELECTRONICO</v>
          </cell>
          <cell r="E116" t="str">
            <v>C.S.</v>
          </cell>
          <cell r="F116">
            <v>7</v>
          </cell>
          <cell r="G116" t="str">
            <v>SISCO</v>
          </cell>
          <cell r="H116" t="str">
            <v>SC</v>
          </cell>
          <cell r="I116">
            <v>3</v>
          </cell>
          <cell r="J116" t="str">
            <v>Formacion General</v>
          </cell>
          <cell r="K116" t="str">
            <v>SISTEMA DE COMUNICACIONES</v>
          </cell>
        </row>
        <row r="117">
          <cell r="A117" t="str">
            <v>6EINSMA</v>
          </cell>
          <cell r="B117">
            <v>6</v>
          </cell>
          <cell r="C117" t="str">
            <v>ED. TECNICA PROFESIONAL</v>
          </cell>
          <cell r="D117" t="str">
            <v>TECNICO ELECTRONICO</v>
          </cell>
          <cell r="E117" t="str">
            <v>C.S.</v>
          </cell>
          <cell r="F117">
            <v>8</v>
          </cell>
          <cell r="G117" t="str">
            <v>INSMA</v>
          </cell>
          <cell r="H117" t="str">
            <v>IMO</v>
          </cell>
          <cell r="I117">
            <v>4</v>
          </cell>
          <cell r="J117" t="str">
            <v>Formacion General</v>
          </cell>
          <cell r="K117" t="str">
            <v>INSTALACIONES Y MAQUINAS ELECTRICAS</v>
          </cell>
        </row>
        <row r="118">
          <cell r="A118" t="str">
            <v>6ESIPRO</v>
          </cell>
          <cell r="B118">
            <v>6</v>
          </cell>
          <cell r="C118" t="str">
            <v>ED. TECNICA PROFESIONAL</v>
          </cell>
          <cell r="D118" t="str">
            <v>TECNICO ELECTRONICO</v>
          </cell>
          <cell r="E118" t="str">
            <v>C.S.</v>
          </cell>
          <cell r="F118">
            <v>9</v>
          </cell>
          <cell r="G118" t="str">
            <v>SIPRO</v>
          </cell>
          <cell r="H118" t="str">
            <v>SP</v>
          </cell>
          <cell r="I118">
            <v>2</v>
          </cell>
          <cell r="J118" t="str">
            <v>Formacion General</v>
          </cell>
          <cell r="K118" t="str">
            <v>SISTEMA PRODUCTIVO</v>
          </cell>
        </row>
        <row r="119">
          <cell r="A119" t="str">
            <v>6EDETRA</v>
          </cell>
          <cell r="B119">
            <v>6</v>
          </cell>
          <cell r="C119" t="str">
            <v>ED. TECNICA PROFESIONAL</v>
          </cell>
          <cell r="D119" t="str">
            <v>TECNICO ELECTRONICO</v>
          </cell>
          <cell r="E119" t="str">
            <v>C.S.</v>
          </cell>
          <cell r="F119">
            <v>10</v>
          </cell>
          <cell r="G119" t="str">
            <v>DETRA</v>
          </cell>
          <cell r="H119" t="str">
            <v>DET</v>
          </cell>
          <cell r="I119">
            <v>2</v>
          </cell>
          <cell r="J119" t="str">
            <v>Formacion General</v>
          </cell>
          <cell r="K119" t="str">
            <v>DERECHO DE TRABAJO</v>
          </cell>
        </row>
        <row r="120">
          <cell r="A120" t="str">
            <v>6ELENE6</v>
          </cell>
          <cell r="B120">
            <v>6</v>
          </cell>
          <cell r="C120" t="str">
            <v>ED. TECNICA PROFESIONAL</v>
          </cell>
          <cell r="D120" t="str">
            <v>TECNICO ELECTRONICO</v>
          </cell>
          <cell r="E120" t="str">
            <v>C.S.</v>
          </cell>
          <cell r="F120">
            <v>11</v>
          </cell>
          <cell r="G120" t="str">
            <v>LENE6</v>
          </cell>
          <cell r="H120" t="str">
            <v>LEE</v>
          </cell>
          <cell r="I120">
            <v>2</v>
          </cell>
          <cell r="J120" t="str">
            <v>Formación Técnica Específica</v>
          </cell>
          <cell r="K120" t="str">
            <v>LENGUAJES ELECTRONICOS</v>
          </cell>
        </row>
        <row r="121">
          <cell r="A121" t="str">
            <v>6EFTAE6</v>
          </cell>
          <cell r="B121">
            <v>6</v>
          </cell>
          <cell r="C121" t="str">
            <v>ED. TECNICA PROFESIONAL</v>
          </cell>
          <cell r="D121" t="str">
            <v>TECNICO ELECTRONICO</v>
          </cell>
          <cell r="E121" t="str">
            <v>C.S.</v>
          </cell>
          <cell r="F121">
            <v>12</v>
          </cell>
          <cell r="G121" t="str">
            <v>FTAE6</v>
          </cell>
          <cell r="H121" t="str">
            <v>AEA</v>
          </cell>
          <cell r="I121">
            <v>4</v>
          </cell>
          <cell r="J121" t="str">
            <v>Formación Técnica Específica</v>
          </cell>
          <cell r="K121" t="str">
            <v>APLIC ELECT ANALOG</v>
          </cell>
        </row>
        <row r="122">
          <cell r="A122" t="str">
            <v>6EFTED6</v>
          </cell>
          <cell r="B122">
            <v>6</v>
          </cell>
          <cell r="C122" t="str">
            <v>ED. TECNICA PROFESIONAL</v>
          </cell>
          <cell r="D122" t="str">
            <v>TECNICO ELECTRONICO</v>
          </cell>
          <cell r="E122" t="str">
            <v>C.S.</v>
          </cell>
          <cell r="F122">
            <v>13</v>
          </cell>
          <cell r="G122" t="str">
            <v>FTED6</v>
          </cell>
          <cell r="H122" t="str">
            <v>AED</v>
          </cell>
          <cell r="I122">
            <v>4</v>
          </cell>
          <cell r="J122" t="str">
            <v>Formación Técnica Específica</v>
          </cell>
          <cell r="K122" t="str">
            <v xml:space="preserve">APLIC ELECTR DIGITAL </v>
          </cell>
        </row>
        <row r="123">
          <cell r="A123" t="str">
            <v>6EFTMP6</v>
          </cell>
          <cell r="B123">
            <v>6</v>
          </cell>
          <cell r="C123" t="str">
            <v>ED. TECNICA PROFESIONAL</v>
          </cell>
          <cell r="D123" t="str">
            <v>TECNICO ELECTRONICO</v>
          </cell>
          <cell r="E123" t="str">
            <v>C.S.</v>
          </cell>
          <cell r="F123">
            <v>14</v>
          </cell>
          <cell r="G123" t="str">
            <v>FTMP6</v>
          </cell>
          <cell r="H123" t="str">
            <v>MEL</v>
          </cell>
          <cell r="I123">
            <v>4</v>
          </cell>
          <cell r="J123" t="str">
            <v>Formación Técnica Específica</v>
          </cell>
          <cell r="K123" t="str">
            <v xml:space="preserve">MONTAJE DE PROYECTO ELECTRONICOS </v>
          </cell>
        </row>
        <row r="124">
          <cell r="A124" t="str">
            <v>7IPPSIN</v>
          </cell>
          <cell r="B124">
            <v>7</v>
          </cell>
          <cell r="C124" t="str">
            <v>ED. TECNICA PROFESIONAL</v>
          </cell>
          <cell r="D124" t="str">
            <v>TÉCNICO EN INFORMÁTICA PERSONAL Y PROFESIONAL</v>
          </cell>
          <cell r="E124" t="str">
            <v>C.S.</v>
          </cell>
          <cell r="F124">
            <v>1</v>
          </cell>
          <cell r="G124" t="str">
            <v>PPSIN</v>
          </cell>
          <cell r="H124" t="str">
            <v>PP</v>
          </cell>
          <cell r="I124">
            <v>6</v>
          </cell>
          <cell r="J124" t="str">
            <v>practicas profesionalizantes</v>
          </cell>
          <cell r="K124" t="str">
            <v>PRACTICAS PROFESIONALIZANTES</v>
          </cell>
        </row>
        <row r="125">
          <cell r="A125" t="str">
            <v>7IPPDLO</v>
          </cell>
          <cell r="B125">
            <v>7</v>
          </cell>
          <cell r="C125" t="str">
            <v>ED. TECNICA PROFESIONAL</v>
          </cell>
          <cell r="D125" t="str">
            <v>TÉCNICO EN INFORMÁTICA PERSONAL Y PROFESIONAL</v>
          </cell>
          <cell r="E125" t="str">
            <v>C.S.</v>
          </cell>
          <cell r="F125">
            <v>2</v>
          </cell>
          <cell r="G125" t="str">
            <v>PPDLO</v>
          </cell>
          <cell r="H125"/>
          <cell r="I125">
            <v>2</v>
          </cell>
          <cell r="J125" t="str">
            <v>Formacion General</v>
          </cell>
          <cell r="K125" t="str">
            <v>EMPRENDIMIENTO PRODUCTIVO Y DESARROLLO LOCAL</v>
          </cell>
        </row>
        <row r="126">
          <cell r="A126" t="str">
            <v>7IEVPRO</v>
          </cell>
          <cell r="B126">
            <v>7</v>
          </cell>
          <cell r="C126" t="str">
            <v>ED. TECNICA PROFESIONAL</v>
          </cell>
          <cell r="D126" t="str">
            <v>TÉCNICO EN INFORMÁTICA PERSONAL Y PROFESIONAL</v>
          </cell>
          <cell r="E126" t="str">
            <v>C.S.</v>
          </cell>
          <cell r="F126">
            <v>3</v>
          </cell>
          <cell r="G126" t="str">
            <v>EVPRO</v>
          </cell>
          <cell r="H126" t="str">
            <v>PEP</v>
          </cell>
          <cell r="I126">
            <v>2</v>
          </cell>
          <cell r="J126" t="str">
            <v>Formacion General</v>
          </cell>
          <cell r="K126" t="str">
            <v>EVALUACION DE PROYECTO</v>
          </cell>
        </row>
        <row r="127">
          <cell r="A127" t="str">
            <v>7IMOSIS</v>
          </cell>
          <cell r="B127">
            <v>7</v>
          </cell>
          <cell r="C127" t="str">
            <v>ED. TECNICA PROFESIONAL</v>
          </cell>
          <cell r="D127" t="str">
            <v>TÉCNICO EN INFORMÁTICA PERSONAL Y PROFESIONAL</v>
          </cell>
          <cell r="E127" t="str">
            <v>C.S.</v>
          </cell>
          <cell r="F127">
            <v>4</v>
          </cell>
          <cell r="G127" t="str">
            <v>MOSIS</v>
          </cell>
          <cell r="H127" t="str">
            <v>MYS</v>
          </cell>
          <cell r="I127">
            <v>2</v>
          </cell>
          <cell r="J127" t="str">
            <v>Formacion General</v>
          </cell>
          <cell r="K127" t="str">
            <v>MODELOS Y SISTEMAS</v>
          </cell>
        </row>
        <row r="128">
          <cell r="A128" t="str">
            <v>7IBADAT</v>
          </cell>
          <cell r="B128">
            <v>7</v>
          </cell>
          <cell r="C128" t="str">
            <v>ED. TECNICA PROFESIONAL</v>
          </cell>
          <cell r="D128" t="str">
            <v>TÉCNICO EN INFORMÁTICA PERSONAL Y PROFESIONAL</v>
          </cell>
          <cell r="E128" t="str">
            <v>C.S.</v>
          </cell>
          <cell r="F128">
            <v>5</v>
          </cell>
          <cell r="G128" t="str">
            <v>BADAT</v>
          </cell>
          <cell r="H128" t="str">
            <v>BDD</v>
          </cell>
          <cell r="I128">
            <v>3</v>
          </cell>
          <cell r="J128" t="str">
            <v>Formacion General</v>
          </cell>
          <cell r="K128" t="str">
            <v>BASE DE DATOS</v>
          </cell>
        </row>
        <row r="129">
          <cell r="A129" t="str">
            <v>7IPDISC</v>
          </cell>
          <cell r="B129">
            <v>7</v>
          </cell>
          <cell r="C129" t="str">
            <v>ED. TECNICA PROFESIONAL</v>
          </cell>
          <cell r="D129" t="str">
            <v>TÉCNICO EN INFORMÁTICA PERSONAL Y PROFESIONAL</v>
          </cell>
          <cell r="E129" t="str">
            <v>C.S.</v>
          </cell>
          <cell r="F129">
            <v>6</v>
          </cell>
          <cell r="G129" t="str">
            <v>PDISC</v>
          </cell>
          <cell r="H129" t="str">
            <v>PPU</v>
          </cell>
          <cell r="I129">
            <v>4</v>
          </cell>
          <cell r="J129" t="str">
            <v>Formación Técnica Específica</v>
          </cell>
          <cell r="K129" t="str">
            <v>PROYECTO, DISEÑO E IMPLEMENTACION DE SISTEMAS COMPUTACIONALES</v>
          </cell>
        </row>
        <row r="130">
          <cell r="A130" t="str">
            <v>7IIMRSC</v>
          </cell>
          <cell r="B130">
            <v>7</v>
          </cell>
          <cell r="C130" t="str">
            <v>ED. TECNICA PROFESIONAL</v>
          </cell>
          <cell r="D130" t="str">
            <v>TÉCNICO EN INFORMÁTICA PERSONAL Y PROFESIONAL</v>
          </cell>
          <cell r="E130" t="str">
            <v>C.S.</v>
          </cell>
          <cell r="F130">
            <v>7</v>
          </cell>
          <cell r="G130" t="str">
            <v>IMRSC</v>
          </cell>
          <cell r="H130" t="str">
            <v>IMC</v>
          </cell>
          <cell r="I130">
            <v>4</v>
          </cell>
          <cell r="J130" t="str">
            <v>Formación Técnica Específica</v>
          </cell>
          <cell r="K130" t="str">
            <v>INSTALACION, MANTENIMIENTO Y REPARACION DE SISTEMAS COMPUTACIONALES-</v>
          </cell>
        </row>
        <row r="131">
          <cell r="A131" t="str">
            <v>7IIMRRI</v>
          </cell>
          <cell r="B131">
            <v>7</v>
          </cell>
          <cell r="C131" t="str">
            <v>ED. TECNICA PROFESIONAL</v>
          </cell>
          <cell r="D131" t="str">
            <v>TÉCNICO EN INFORMÁTICA PERSONAL Y PROFESIONAL</v>
          </cell>
          <cell r="E131" t="str">
            <v>C.S.</v>
          </cell>
          <cell r="F131">
            <v>8</v>
          </cell>
          <cell r="G131" t="str">
            <v>IMRRI</v>
          </cell>
          <cell r="H131" t="str">
            <v>IRI</v>
          </cell>
          <cell r="I131">
            <v>4</v>
          </cell>
          <cell r="J131" t="str">
            <v>Formación Técnica Específica</v>
          </cell>
          <cell r="K131" t="str">
            <v xml:space="preserve">INSTALACION, MANTENIMIENTO Y REPARACION DE REDES INFORMATICAS- </v>
          </cell>
        </row>
        <row r="132">
          <cell r="A132" t="str">
            <v>7EPPSEL</v>
          </cell>
          <cell r="B132">
            <v>7</v>
          </cell>
          <cell r="C132" t="str">
            <v>ED. TECNICA PROFESIONAL</v>
          </cell>
          <cell r="D132" t="str">
            <v>TECNICO ELECTRONICO</v>
          </cell>
          <cell r="E132" t="str">
            <v>C.S.</v>
          </cell>
          <cell r="F132">
            <v>1</v>
          </cell>
          <cell r="G132" t="str">
            <v>PPSEL</v>
          </cell>
          <cell r="H132" t="str">
            <v>PP</v>
          </cell>
          <cell r="I132">
            <v>6</v>
          </cell>
          <cell r="J132" t="str">
            <v>Formacion General</v>
          </cell>
          <cell r="K132" t="str">
            <v>PRACTICAS PROFESIONALIZANTES</v>
          </cell>
        </row>
        <row r="133">
          <cell r="A133" t="str">
            <v>7EPPDLO</v>
          </cell>
          <cell r="B133">
            <v>7</v>
          </cell>
          <cell r="C133" t="str">
            <v>ED. TECNICA PROFESIONAL</v>
          </cell>
          <cell r="D133" t="str">
            <v>TECNICO ELECTRONICO</v>
          </cell>
          <cell r="E133" t="str">
            <v>C.S.</v>
          </cell>
          <cell r="F133">
            <v>2</v>
          </cell>
          <cell r="G133" t="str">
            <v>PPDLO</v>
          </cell>
          <cell r="H133"/>
          <cell r="I133">
            <v>2</v>
          </cell>
          <cell r="J133" t="str">
            <v>Formacion General</v>
          </cell>
          <cell r="K133" t="str">
            <v>EMPRENDIMIENTO PRODUCTIVO Y DESARROLLO LOCAL</v>
          </cell>
        </row>
        <row r="134">
          <cell r="A134" t="str">
            <v>7ESIDCO</v>
          </cell>
          <cell r="B134">
            <v>7</v>
          </cell>
          <cell r="C134" t="str">
            <v>ED. TECNICA PROFESIONAL</v>
          </cell>
          <cell r="D134" t="str">
            <v>TECNICO ELECTRONICO</v>
          </cell>
          <cell r="E134" t="str">
            <v>C.S.</v>
          </cell>
          <cell r="F134">
            <v>3</v>
          </cell>
          <cell r="G134" t="str">
            <v>SIDCO</v>
          </cell>
          <cell r="H134"/>
          <cell r="I134">
            <v>4</v>
          </cell>
          <cell r="J134" t="str">
            <v>Formacion General</v>
          </cell>
          <cell r="K134" t="str">
            <v>SISTEMA DE CONTROL</v>
          </cell>
        </row>
        <row r="135">
          <cell r="A135" t="str">
            <v>7ESISDC</v>
          </cell>
          <cell r="B135">
            <v>7</v>
          </cell>
          <cell r="C135" t="str">
            <v>ED. TECNICA PROFESIONAL</v>
          </cell>
          <cell r="D135" t="str">
            <v>TECNICO ELECTRONICO</v>
          </cell>
          <cell r="E135" t="str">
            <v>C.S.</v>
          </cell>
          <cell r="F135">
            <v>4</v>
          </cell>
          <cell r="G135" t="str">
            <v>SISDC</v>
          </cell>
          <cell r="H135" t="str">
            <v>SC</v>
          </cell>
          <cell r="I135">
            <v>4</v>
          </cell>
          <cell r="J135" t="str">
            <v>Formacion General</v>
          </cell>
          <cell r="K135" t="str">
            <v>SISTEMAS DE COMUNICACIONES</v>
          </cell>
        </row>
        <row r="136">
          <cell r="A136" t="str">
            <v>7ESEHPA</v>
          </cell>
          <cell r="B136">
            <v>7</v>
          </cell>
          <cell r="C136" t="str">
            <v>ED. TECNICA PROFESIONAL</v>
          </cell>
          <cell r="D136" t="str">
            <v>TECNICO ELECTRONICO</v>
          </cell>
          <cell r="E136" t="str">
            <v>C.S.</v>
          </cell>
          <cell r="F136">
            <v>5</v>
          </cell>
          <cell r="G136" t="str">
            <v>SEHPA</v>
          </cell>
          <cell r="H136"/>
          <cell r="I136">
            <v>2</v>
          </cell>
          <cell r="J136" t="str">
            <v>Formacion General</v>
          </cell>
          <cell r="K136" t="str">
            <v>SEGURIDAD, HIGIENE Y PROTECCION AMBIENTAL</v>
          </cell>
        </row>
        <row r="137">
          <cell r="A137" t="str">
            <v>7EPRODE</v>
          </cell>
          <cell r="B137">
            <v>7</v>
          </cell>
          <cell r="C137" t="str">
            <v>ED. TECNICA PROFESIONAL</v>
          </cell>
          <cell r="D137" t="str">
            <v>TECNICO ELECTRONICO</v>
          </cell>
          <cell r="E137" t="str">
            <v>C.S.</v>
          </cell>
          <cell r="F137">
            <v>6</v>
          </cell>
          <cell r="G137" t="str">
            <v>PRODE</v>
          </cell>
          <cell r="H137" t="str">
            <v>PDN</v>
          </cell>
          <cell r="I137">
            <v>4</v>
          </cell>
          <cell r="J137" t="str">
            <v>Formación Técnica Específica</v>
          </cell>
          <cell r="K137" t="str">
            <v xml:space="preserve">PROYECTO Y DISEÑO ELECTRONICO </v>
          </cell>
        </row>
        <row r="138">
          <cell r="A138" t="str">
            <v>7EINSIN</v>
          </cell>
          <cell r="B138">
            <v>7</v>
          </cell>
          <cell r="C138" t="str">
            <v>ED. TECNICA PROFESIONAL</v>
          </cell>
          <cell r="D138" t="str">
            <v>TECNICO ELECTRONICO</v>
          </cell>
          <cell r="E138" t="str">
            <v>C.S.</v>
          </cell>
          <cell r="F138">
            <v>7</v>
          </cell>
          <cell r="G138" t="str">
            <v>INSIN</v>
          </cell>
          <cell r="H138" t="str">
            <v>IND</v>
          </cell>
          <cell r="I138">
            <v>4</v>
          </cell>
          <cell r="J138" t="str">
            <v>Formación Técnica Específica</v>
          </cell>
          <cell r="K138" t="str">
            <v>INSTALACIONES INDUSTRIALES</v>
          </cell>
        </row>
        <row r="139">
          <cell r="A139" t="str">
            <v>7EELEAP</v>
          </cell>
          <cell r="B139">
            <v>7</v>
          </cell>
          <cell r="C139" t="str">
            <v>ED. TECNICA PROFESIONAL</v>
          </cell>
          <cell r="D139" t="str">
            <v>TECNICO ELECTRONICO</v>
          </cell>
          <cell r="E139" t="str">
            <v>C.S.</v>
          </cell>
          <cell r="F139">
            <v>8</v>
          </cell>
          <cell r="G139" t="str">
            <v>ELEAP</v>
          </cell>
          <cell r="H139" t="str">
            <v>ELA</v>
          </cell>
          <cell r="I139">
            <v>4</v>
          </cell>
          <cell r="J139" t="str">
            <v>Formación Técnica Específica</v>
          </cell>
          <cell r="K139" t="str">
            <v>ELECTRONICA APLICADA</v>
          </cell>
        </row>
        <row r="140">
          <cell r="A140" t="str">
            <v>1PEMOD1</v>
          </cell>
          <cell r="B140">
            <v>1</v>
          </cell>
          <cell r="C140" t="str">
            <v>POLIMODAL</v>
          </cell>
          <cell r="D140" t="str">
            <v>ELECTROCNIA</v>
          </cell>
          <cell r="E140" t="str">
            <v>C.S.</v>
          </cell>
          <cell r="F140">
            <v>1</v>
          </cell>
          <cell r="G140" t="str">
            <v>MOD1</v>
          </cell>
          <cell r="H140"/>
          <cell r="I140"/>
          <cell r="J140"/>
          <cell r="K140" t="str">
            <v>MOD1</v>
          </cell>
        </row>
        <row r="141">
          <cell r="A141" t="str">
            <v>1PEMOD2</v>
          </cell>
          <cell r="B141">
            <v>1</v>
          </cell>
          <cell r="C141" t="str">
            <v>POLIMODAL</v>
          </cell>
          <cell r="D141" t="str">
            <v>ELECTRONICA</v>
          </cell>
          <cell r="E141"/>
          <cell r="F141">
            <v>2</v>
          </cell>
          <cell r="G141" t="str">
            <v>MOD2</v>
          </cell>
          <cell r="H141"/>
          <cell r="I141"/>
          <cell r="J141"/>
          <cell r="K141" t="str">
            <v>MOD2</v>
          </cell>
        </row>
        <row r="142">
          <cell r="A142" t="str">
            <v>1PEMOD3</v>
          </cell>
          <cell r="B142">
            <v>1</v>
          </cell>
          <cell r="C142" t="str">
            <v>POLIMODAL</v>
          </cell>
          <cell r="D142" t="str">
            <v>ELECTRONICA</v>
          </cell>
          <cell r="E142"/>
          <cell r="F142">
            <v>3</v>
          </cell>
          <cell r="G142" t="str">
            <v>MOD3</v>
          </cell>
          <cell r="H142"/>
          <cell r="I142"/>
          <cell r="J142"/>
          <cell r="K142" t="str">
            <v>MOD3</v>
          </cell>
        </row>
        <row r="143">
          <cell r="A143" t="str">
            <v>1PIMOD1</v>
          </cell>
          <cell r="B143">
            <v>1</v>
          </cell>
          <cell r="C143" t="str">
            <v>POLIMODAL</v>
          </cell>
          <cell r="D143" t="str">
            <v>INFORMATICA</v>
          </cell>
          <cell r="E143" t="str">
            <v>C.S.</v>
          </cell>
          <cell r="F143">
            <v>1</v>
          </cell>
          <cell r="G143" t="str">
            <v>MOD1</v>
          </cell>
          <cell r="H143"/>
          <cell r="I143"/>
          <cell r="J143"/>
          <cell r="K143" t="str">
            <v>MOD1</v>
          </cell>
        </row>
        <row r="144">
          <cell r="A144" t="str">
            <v>1PIMOD2</v>
          </cell>
          <cell r="B144">
            <v>1</v>
          </cell>
          <cell r="C144" t="str">
            <v>POLIMODAL</v>
          </cell>
          <cell r="D144" t="str">
            <v>INFORMATICA</v>
          </cell>
          <cell r="E144"/>
          <cell r="F144">
            <v>2</v>
          </cell>
          <cell r="G144" t="str">
            <v>MOD2</v>
          </cell>
          <cell r="H144"/>
          <cell r="I144"/>
          <cell r="J144"/>
          <cell r="K144" t="str">
            <v>MOD2</v>
          </cell>
        </row>
        <row r="145">
          <cell r="A145" t="str">
            <v>1PIMOD3</v>
          </cell>
          <cell r="B145">
            <v>1</v>
          </cell>
          <cell r="C145" t="str">
            <v>POLIMODAL</v>
          </cell>
          <cell r="D145" t="str">
            <v>INFORMATICA</v>
          </cell>
          <cell r="E145"/>
          <cell r="F145">
            <v>3</v>
          </cell>
          <cell r="G145" t="str">
            <v>MOD3</v>
          </cell>
          <cell r="H145"/>
          <cell r="I145"/>
          <cell r="J145"/>
          <cell r="K145" t="str">
            <v>MOD3</v>
          </cell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</row>
        <row r="182">
          <cell r="A182"/>
          <cell r="B182"/>
          <cell r="C182"/>
          <cell r="D182"/>
          <cell r="E182"/>
          <cell r="F182"/>
          <cell r="G182"/>
          <cell r="I182"/>
          <cell r="J182"/>
          <cell r="K182"/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>
        <row r="1">
          <cell r="B1" t="str">
            <v>CODIGO</v>
          </cell>
          <cell r="C1" t="str">
            <v>SIT_REV</v>
          </cell>
          <cell r="D1" t="str">
            <v>ESTADO</v>
          </cell>
          <cell r="E1" t="str">
            <v>CARGO</v>
          </cell>
          <cell r="F1" t="str">
            <v>CUIT</v>
          </cell>
          <cell r="G1" t="str">
            <v>APELLIDO Y NOMBRE</v>
          </cell>
          <cell r="H1" t="str">
            <v>FECHA DE DE INICIO</v>
          </cell>
          <cell r="I1" t="str">
            <v>FECHA DE FINALIZACION</v>
          </cell>
          <cell r="J1" t="str">
            <v>CURSO</v>
          </cell>
          <cell r="K1" t="str">
            <v>COMISION</v>
          </cell>
          <cell r="L1" t="str">
            <v>CUPOF</v>
          </cell>
          <cell r="M1" t="str">
            <v>COD_MAT</v>
          </cell>
          <cell r="N1" t="str">
            <v>NOMBRE MATERIA</v>
          </cell>
        </row>
        <row r="2">
          <cell r="B2" t="str">
            <v>DIRECTOR1</v>
          </cell>
          <cell r="C2" t="str">
            <v>PROVICIONAL</v>
          </cell>
          <cell r="E2" t="str">
            <v>DIRECTOR</v>
          </cell>
          <cell r="F2">
            <v>1</v>
          </cell>
          <cell r="G2" t="str">
            <v>ALBERTO HERNAN</v>
          </cell>
        </row>
        <row r="3">
          <cell r="B3" t="str">
            <v>JEFE DE AREA20-23639282-2</v>
          </cell>
          <cell r="C3" t="str">
            <v>PROVICIONAL</v>
          </cell>
          <cell r="E3" t="str">
            <v>JEFE DE AREA</v>
          </cell>
          <cell r="F3" t="str">
            <v>20-23639282-2</v>
          </cell>
          <cell r="G3" t="str">
            <v>DANIEL ORLANDO PAZ</v>
          </cell>
        </row>
        <row r="4">
          <cell r="B4" t="str">
            <v xml:space="preserve"> </v>
          </cell>
          <cell r="C4" t="str">
            <v>SUPLENTE</v>
          </cell>
          <cell r="D4" t="e">
            <v>#REF!</v>
          </cell>
          <cell r="E4" t="str">
            <v>PF</v>
          </cell>
          <cell r="F4" t="str">
            <v>27-31.251.508-9</v>
          </cell>
          <cell r="G4" t="str">
            <v xml:space="preserve">DESIMONI, JESICA                       </v>
          </cell>
          <cell r="H4" t="str">
            <v>---</v>
          </cell>
          <cell r="I4" t="str">
            <v>--</v>
          </cell>
          <cell r="J4" t="str">
            <v>1°1°</v>
          </cell>
          <cell r="L4" t="str">
            <v>1ART</v>
          </cell>
          <cell r="M4">
            <v>733478</v>
          </cell>
          <cell r="N4" t="str">
            <v>EDUCACION ARTISTICA</v>
          </cell>
        </row>
        <row r="5">
          <cell r="B5" t="str">
            <v xml:space="preserve"> </v>
          </cell>
          <cell r="C5" t="str">
            <v>SUPLENTE</v>
          </cell>
          <cell r="D5" t="e">
            <v>#REF!</v>
          </cell>
          <cell r="E5" t="str">
            <v>PF</v>
          </cell>
          <cell r="F5" t="str">
            <v xml:space="preserve"> 20-28.191.299-3</v>
          </cell>
          <cell r="G5" t="str">
            <v xml:space="preserve">ETCHEVERRY MARTIN                            </v>
          </cell>
          <cell r="H5" t="str">
            <v>---</v>
          </cell>
          <cell r="I5" t="str">
            <v>---</v>
          </cell>
          <cell r="J5" t="str">
            <v>1°2°</v>
          </cell>
          <cell r="K5">
            <v>121</v>
          </cell>
          <cell r="L5" t="str">
            <v>1TST</v>
          </cell>
          <cell r="M5" t="str">
            <v>S/C</v>
          </cell>
          <cell r="N5" t="str">
            <v>SISTEMAS TECNOLGICOS</v>
          </cell>
        </row>
        <row r="6">
          <cell r="B6" t="str">
            <v xml:space="preserve"> </v>
          </cell>
          <cell r="C6" t="str">
            <v>SUPLENTE</v>
          </cell>
          <cell r="D6" t="e">
            <v>#REF!</v>
          </cell>
          <cell r="E6" t="str">
            <v>PF</v>
          </cell>
          <cell r="F6" t="str">
            <v xml:space="preserve">27-31.995.960-8 </v>
          </cell>
          <cell r="G6" t="str">
            <v xml:space="preserve">QUIROZ MARIANA            </v>
          </cell>
          <cell r="H6" t="str">
            <v>---</v>
          </cell>
          <cell r="I6">
            <v>44621</v>
          </cell>
          <cell r="J6" t="str">
            <v>1°3°</v>
          </cell>
          <cell r="L6" t="str">
            <v>1NAT</v>
          </cell>
          <cell r="M6">
            <v>733475</v>
          </cell>
          <cell r="N6" t="str">
            <v>CIENCIAS NATUIRALES</v>
          </cell>
        </row>
        <row r="7">
          <cell r="B7" t="str">
            <v>1°3°1321TSTT</v>
          </cell>
          <cell r="C7" t="str">
            <v>TITULAR</v>
          </cell>
          <cell r="D7" t="e">
            <v>#REF!</v>
          </cell>
          <cell r="E7" t="str">
            <v>PF</v>
          </cell>
          <cell r="F7" t="str">
            <v xml:space="preserve"> 27-20.912.758-5 </v>
          </cell>
          <cell r="G7" t="str">
            <v xml:space="preserve">NIEVA CRISTINA                 </v>
          </cell>
          <cell r="H7" t="str">
            <v>---</v>
          </cell>
          <cell r="J7" t="str">
            <v>1°3°</v>
          </cell>
          <cell r="K7">
            <v>132</v>
          </cell>
          <cell r="L7" t="str">
            <v>1TST</v>
          </cell>
          <cell r="M7" t="str">
            <v>S/C</v>
          </cell>
          <cell r="N7" t="str">
            <v>SISTEMAS TECNOLGICOS</v>
          </cell>
        </row>
        <row r="8">
          <cell r="B8" t="str">
            <v>1°3°1321TSTP</v>
          </cell>
          <cell r="C8" t="str">
            <v>PROVISIONAL</v>
          </cell>
          <cell r="D8" t="str">
            <v>x|</v>
          </cell>
          <cell r="E8" t="str">
            <v>PF</v>
          </cell>
          <cell r="F8" t="str">
            <v xml:space="preserve"> 27-20.912.758-5 </v>
          </cell>
          <cell r="G8" t="str">
            <v xml:space="preserve">NIEVA CRISTINA                 </v>
          </cell>
          <cell r="H8" t="str">
            <v>---</v>
          </cell>
          <cell r="J8" t="str">
            <v>1°3°</v>
          </cell>
          <cell r="K8">
            <v>132</v>
          </cell>
          <cell r="L8" t="str">
            <v>1TST</v>
          </cell>
          <cell r="M8" t="str">
            <v>S/C</v>
          </cell>
          <cell r="N8" t="str">
            <v>SISTEMAS TECNOLGICOS</v>
          </cell>
        </row>
        <row r="9">
          <cell r="B9" t="str">
            <v xml:space="preserve"> </v>
          </cell>
          <cell r="C9" t="str">
            <v>SUPLENTE</v>
          </cell>
          <cell r="D9" t="e">
            <v>#REF!</v>
          </cell>
          <cell r="E9" t="str">
            <v>PF</v>
          </cell>
          <cell r="F9" t="str">
            <v>23- 22.948.231-9</v>
          </cell>
          <cell r="G9" t="str">
            <v>LUZURIAGA ANGEL</v>
          </cell>
          <cell r="H9" t="str">
            <v>---</v>
          </cell>
          <cell r="I9" t="str">
            <v>-----</v>
          </cell>
          <cell r="J9" t="str">
            <v>1°3°</v>
          </cell>
          <cell r="K9">
            <v>132</v>
          </cell>
          <cell r="L9" t="str">
            <v>1TST</v>
          </cell>
          <cell r="M9" t="str">
            <v>S/C</v>
          </cell>
          <cell r="N9" t="str">
            <v>SISTEMAS TECNOLGICOS</v>
          </cell>
        </row>
        <row r="10">
          <cell r="B10" t="str">
            <v xml:space="preserve"> </v>
          </cell>
          <cell r="C10" t="str">
            <v>SUPLENTE</v>
          </cell>
          <cell r="D10" t="e">
            <v>#REF!</v>
          </cell>
          <cell r="E10" t="str">
            <v>PF</v>
          </cell>
          <cell r="F10" t="str">
            <v xml:space="preserve">  20-28.354.593-9</v>
          </cell>
          <cell r="G10" t="str">
            <v>RAMIREZ, JORGE</v>
          </cell>
          <cell r="H10" t="str">
            <v>---</v>
          </cell>
          <cell r="I10" t="str">
            <v>---</v>
          </cell>
          <cell r="J10" t="str">
            <v>1°3°</v>
          </cell>
          <cell r="K10">
            <v>132</v>
          </cell>
          <cell r="L10" t="str">
            <v>1TST</v>
          </cell>
          <cell r="M10" t="str">
            <v>S/C</v>
          </cell>
          <cell r="N10" t="str">
            <v>SISTEMAS TECNOLGICOS</v>
          </cell>
        </row>
        <row r="11">
          <cell r="B11" t="str">
            <v xml:space="preserve"> </v>
          </cell>
          <cell r="C11" t="str">
            <v>SUPLENTE</v>
          </cell>
          <cell r="D11" t="e">
            <v>#REF!</v>
          </cell>
          <cell r="E11" t="str">
            <v>PF</v>
          </cell>
          <cell r="F11" t="str">
            <v>27-355799000-4</v>
          </cell>
          <cell r="G11" t="str">
            <v xml:space="preserve">VALLEJOS, YESICA </v>
          </cell>
          <cell r="H11" t="str">
            <v>---</v>
          </cell>
          <cell r="I11">
            <v>44621</v>
          </cell>
          <cell r="J11" t="str">
            <v>1°4°</v>
          </cell>
          <cell r="L11" t="str">
            <v>1LEN</v>
          </cell>
          <cell r="M11">
            <v>1492411</v>
          </cell>
          <cell r="N11" t="str">
            <v>PRACTICA DEL LENGUAJE</v>
          </cell>
        </row>
        <row r="12">
          <cell r="B12" t="str">
            <v>1°5°1NATS</v>
          </cell>
          <cell r="C12" t="str">
            <v>SUPLENTE</v>
          </cell>
          <cell r="D12" t="e">
            <v>#REF!</v>
          </cell>
          <cell r="E12" t="str">
            <v>PF</v>
          </cell>
          <cell r="G12" t="str">
            <v>MAIDANA, LEONORA</v>
          </cell>
          <cell r="H12" t="str">
            <v>---</v>
          </cell>
          <cell r="J12" t="str">
            <v>1°5°</v>
          </cell>
          <cell r="L12" t="str">
            <v>1NAT</v>
          </cell>
          <cell r="M12">
            <v>2081777</v>
          </cell>
          <cell r="N12" t="str">
            <v>CIENCIAS NATUIRALES</v>
          </cell>
        </row>
        <row r="13">
          <cell r="B13" t="str">
            <v>1°5°1LENS</v>
          </cell>
          <cell r="C13" t="str">
            <v>SUPLENTE</v>
          </cell>
          <cell r="D13" t="e">
            <v>#REF!</v>
          </cell>
          <cell r="E13" t="str">
            <v>PF</v>
          </cell>
          <cell r="G13" t="str">
            <v>HEREDIA OLMOS, PAULA</v>
          </cell>
          <cell r="H13" t="str">
            <v>---</v>
          </cell>
          <cell r="J13" t="str">
            <v>1°5°</v>
          </cell>
          <cell r="L13" t="str">
            <v>1LEN</v>
          </cell>
          <cell r="M13">
            <v>2081975</v>
          </cell>
          <cell r="N13" t="str">
            <v>PRACTICA DEL LENGUAJE</v>
          </cell>
        </row>
        <row r="14">
          <cell r="B14" t="str">
            <v xml:space="preserve"> </v>
          </cell>
          <cell r="C14" t="str">
            <v>SUPLENTE</v>
          </cell>
          <cell r="D14" t="e">
            <v>#REF!</v>
          </cell>
          <cell r="E14" t="str">
            <v>PF</v>
          </cell>
          <cell r="G14" t="str">
            <v xml:space="preserve">MADERNO, SILVIA  </v>
          </cell>
          <cell r="H14" t="str">
            <v>---</v>
          </cell>
          <cell r="I14">
            <v>44621</v>
          </cell>
          <cell r="J14" t="str">
            <v>1°6°</v>
          </cell>
          <cell r="L14" t="str">
            <v>1SOC</v>
          </cell>
          <cell r="M14">
            <v>2232480</v>
          </cell>
          <cell r="N14" t="str">
            <v>CIENCIAS SOCIALES</v>
          </cell>
        </row>
        <row r="15">
          <cell r="B15" t="str">
            <v xml:space="preserve"> </v>
          </cell>
          <cell r="C15" t="str">
            <v>SUPLENTE</v>
          </cell>
          <cell r="D15" t="e">
            <v>#REF!</v>
          </cell>
          <cell r="E15" t="str">
            <v>PF</v>
          </cell>
          <cell r="F15" t="str">
            <v>20-18276475-3</v>
          </cell>
          <cell r="G15" t="str">
            <v xml:space="preserve">MORENO MARCELO  </v>
          </cell>
          <cell r="H15" t="str">
            <v>---</v>
          </cell>
          <cell r="I15" t="str">
            <v>---</v>
          </cell>
          <cell r="J15" t="str">
            <v>1°6°</v>
          </cell>
          <cell r="L15" t="str">
            <v>1CCD</v>
          </cell>
          <cell r="M15">
            <v>2232487</v>
          </cell>
          <cell r="N15" t="str">
            <v>CONTRUCCION DE LA CIUDADANIA</v>
          </cell>
        </row>
        <row r="16">
          <cell r="B16" t="str">
            <v xml:space="preserve"> </v>
          </cell>
          <cell r="C16" t="str">
            <v>SUPLENTE</v>
          </cell>
          <cell r="D16" t="e">
            <v>#REF!</v>
          </cell>
          <cell r="E16" t="str">
            <v>PF</v>
          </cell>
          <cell r="F16" t="str">
            <v>27-32.615.425-9</v>
          </cell>
          <cell r="G16" t="str">
            <v xml:space="preserve">VERA DEBORA             </v>
          </cell>
          <cell r="H16" t="str">
            <v>---</v>
          </cell>
          <cell r="I16" t="str">
            <v>---</v>
          </cell>
          <cell r="J16" t="str">
            <v>2°1°</v>
          </cell>
          <cell r="L16" t="str">
            <v>2PLG</v>
          </cell>
          <cell r="M16">
            <v>733470</v>
          </cell>
          <cell r="N16" t="str">
            <v>PRACTICA DEL LENGUAJE</v>
          </cell>
        </row>
        <row r="17">
          <cell r="B17" t="str">
            <v xml:space="preserve"> </v>
          </cell>
          <cell r="C17" t="str">
            <v>SUPLENTE</v>
          </cell>
          <cell r="D17" t="e">
            <v>#REF!</v>
          </cell>
          <cell r="E17" t="str">
            <v>PF</v>
          </cell>
          <cell r="F17" t="str">
            <v/>
          </cell>
          <cell r="G17" t="str">
            <v>FIORELA PANUNCIO</v>
          </cell>
          <cell r="H17" t="str">
            <v>---</v>
          </cell>
          <cell r="I17">
            <v>44621</v>
          </cell>
          <cell r="J17" t="str">
            <v>2°1°</v>
          </cell>
          <cell r="K17">
            <v>211</v>
          </cell>
          <cell r="L17" t="str">
            <v>2TPT2</v>
          </cell>
          <cell r="M17" t="str">
            <v>S/C</v>
          </cell>
          <cell r="N17" t="str">
            <v>PROCEDIMIENTOS TECNICOS</v>
          </cell>
        </row>
        <row r="18">
          <cell r="B18" t="str">
            <v xml:space="preserve"> </v>
          </cell>
          <cell r="C18" t="str">
            <v>SUPLENTE</v>
          </cell>
          <cell r="D18" t="e">
            <v>#REF!</v>
          </cell>
          <cell r="E18" t="str">
            <v>PF</v>
          </cell>
          <cell r="F18" t="str">
            <v>27-28.351.32-2</v>
          </cell>
          <cell r="G18" t="str">
            <v xml:space="preserve">VERA LORENA                        </v>
          </cell>
          <cell r="H18" t="str">
            <v>---</v>
          </cell>
          <cell r="I18" t="str">
            <v>--</v>
          </cell>
          <cell r="J18" t="str">
            <v>2°1°</v>
          </cell>
          <cell r="K18">
            <v>212</v>
          </cell>
          <cell r="L18" t="str">
            <v>2TST2</v>
          </cell>
          <cell r="M18" t="str">
            <v>S/C</v>
          </cell>
          <cell r="N18" t="str">
            <v>SISTEMAS TECNOLGICOS</v>
          </cell>
        </row>
        <row r="19">
          <cell r="B19" t="str">
            <v xml:space="preserve"> </v>
          </cell>
          <cell r="C19" t="str">
            <v>SUPLENTE</v>
          </cell>
          <cell r="D19" t="e">
            <v>#REF!</v>
          </cell>
          <cell r="E19" t="str">
            <v>PF</v>
          </cell>
          <cell r="G19" t="str">
            <v>CALDERON,  AILEN</v>
          </cell>
          <cell r="H19" t="str">
            <v>---</v>
          </cell>
          <cell r="I19" t="str">
            <v>---</v>
          </cell>
          <cell r="J19" t="str">
            <v>2°2°</v>
          </cell>
          <cell r="L19" t="str">
            <v>2BIO</v>
          </cell>
          <cell r="M19">
            <v>1644155</v>
          </cell>
          <cell r="N19" t="str">
            <v>BIOLOGIA</v>
          </cell>
        </row>
        <row r="20">
          <cell r="B20" t="str">
            <v xml:space="preserve"> </v>
          </cell>
          <cell r="C20" t="str">
            <v>SUPLENTE</v>
          </cell>
          <cell r="D20" t="e">
            <v>#REF!</v>
          </cell>
          <cell r="E20" t="str">
            <v>PF</v>
          </cell>
          <cell r="F20" t="str">
            <v>23-2990051-9</v>
          </cell>
          <cell r="G20" t="str">
            <v xml:space="preserve">BECERRA, PABLO        </v>
          </cell>
          <cell r="H20" t="str">
            <v>---</v>
          </cell>
          <cell r="I20" t="str">
            <v>---</v>
          </cell>
          <cell r="J20" t="str">
            <v>2°2°</v>
          </cell>
          <cell r="L20" t="str">
            <v>2EFI</v>
          </cell>
          <cell r="M20">
            <v>733701</v>
          </cell>
          <cell r="N20" t="str">
            <v>EDUCACION FISICA</v>
          </cell>
        </row>
        <row r="21">
          <cell r="B21" t="str">
            <v xml:space="preserve"> </v>
          </cell>
          <cell r="C21" t="str">
            <v>SUPLENTE</v>
          </cell>
          <cell r="D21" t="e">
            <v>#REF!</v>
          </cell>
          <cell r="E21" t="str">
            <v>PF</v>
          </cell>
          <cell r="F21" t="str">
            <v xml:space="preserve">      27-33.676.600-5</v>
          </cell>
          <cell r="G21" t="str">
            <v xml:space="preserve">BILLA FERNANDEZ PAOLA                        </v>
          </cell>
          <cell r="H21" t="str">
            <v>---</v>
          </cell>
          <cell r="I21" t="str">
            <v>--</v>
          </cell>
          <cell r="J21" t="str">
            <v>2°2°</v>
          </cell>
          <cell r="L21" t="str">
            <v>2GEO</v>
          </cell>
          <cell r="M21">
            <v>1644151</v>
          </cell>
          <cell r="N21" t="str">
            <v>GEOGRAFIA</v>
          </cell>
        </row>
        <row r="22">
          <cell r="B22" t="str">
            <v xml:space="preserve"> </v>
          </cell>
          <cell r="C22" t="str">
            <v>SUPLENTE</v>
          </cell>
          <cell r="D22" t="e">
            <v>#REF!</v>
          </cell>
          <cell r="E22" t="str">
            <v>PF</v>
          </cell>
          <cell r="F22" t="str">
            <v>20-14146894-5</v>
          </cell>
          <cell r="G22" t="str">
            <v xml:space="preserve">LOIS EDUARDO        </v>
          </cell>
          <cell r="H22" t="str">
            <v>---</v>
          </cell>
          <cell r="I22" t="str">
            <v>…</v>
          </cell>
          <cell r="J22" t="str">
            <v>2°2°</v>
          </cell>
          <cell r="K22">
            <v>221</v>
          </cell>
          <cell r="L22" t="str">
            <v>2TST2</v>
          </cell>
          <cell r="M22" t="str">
            <v>S/C</v>
          </cell>
          <cell r="N22" t="str">
            <v>SISTEMAS TECNOLGICOS</v>
          </cell>
        </row>
        <row r="23">
          <cell r="B23" t="str">
            <v>2°3°2MATS</v>
          </cell>
          <cell r="C23" t="str">
            <v>SUPLENTE</v>
          </cell>
          <cell r="D23" t="e">
            <v>#REF!</v>
          </cell>
          <cell r="E23" t="str">
            <v>PF</v>
          </cell>
          <cell r="F23" t="str">
            <v>23-25.384.927-4</v>
          </cell>
          <cell r="G23" t="str">
            <v>ALARCON, MARIA</v>
          </cell>
          <cell r="H23" t="str">
            <v>---</v>
          </cell>
          <cell r="J23" t="str">
            <v>2°3°</v>
          </cell>
          <cell r="L23" t="str">
            <v>2MAT</v>
          </cell>
          <cell r="M23">
            <v>807717</v>
          </cell>
          <cell r="N23" t="str">
            <v>MATEMATICA</v>
          </cell>
        </row>
        <row r="24">
          <cell r="B24" t="str">
            <v xml:space="preserve"> </v>
          </cell>
          <cell r="C24" t="str">
            <v>SUPLENTE</v>
          </cell>
          <cell r="D24" t="e">
            <v>#REF!</v>
          </cell>
          <cell r="E24" t="str">
            <v>PF</v>
          </cell>
          <cell r="F24" t="str">
            <v>20-14146894-5</v>
          </cell>
          <cell r="G24" t="str">
            <v xml:space="preserve">LOIS EDUARDO </v>
          </cell>
          <cell r="H24" t="str">
            <v>---</v>
          </cell>
          <cell r="I24" t="str">
            <v>--</v>
          </cell>
          <cell r="J24" t="str">
            <v>2°3°</v>
          </cell>
          <cell r="K24">
            <v>231</v>
          </cell>
          <cell r="L24" t="str">
            <v>2TST2</v>
          </cell>
          <cell r="M24" t="str">
            <v>S/C</v>
          </cell>
          <cell r="N24" t="str">
            <v>SISTEMAS TECNOLGICOS</v>
          </cell>
        </row>
        <row r="25">
          <cell r="B25" t="str">
            <v xml:space="preserve"> </v>
          </cell>
          <cell r="C25" t="str">
            <v>SUPLENTE</v>
          </cell>
          <cell r="D25" t="e">
            <v>#REF!</v>
          </cell>
          <cell r="E25" t="str">
            <v>PF</v>
          </cell>
          <cell r="F25" t="str">
            <v>0-39706848-0</v>
          </cell>
          <cell r="G25" t="str">
            <v>ECHAVE, CRISTIAN</v>
          </cell>
          <cell r="H25" t="str">
            <v>---</v>
          </cell>
          <cell r="I25" t="str">
            <v>---</v>
          </cell>
          <cell r="J25" t="str">
            <v>2°3°</v>
          </cell>
          <cell r="K25">
            <v>232</v>
          </cell>
          <cell r="L25" t="str">
            <v>2TST2</v>
          </cell>
          <cell r="M25" t="str">
            <v>S/C</v>
          </cell>
          <cell r="N25" t="str">
            <v>SISTEMAS TECNOLGICOS</v>
          </cell>
        </row>
        <row r="26">
          <cell r="B26" t="str">
            <v xml:space="preserve"> </v>
          </cell>
          <cell r="C26" t="str">
            <v>SUPLENTE</v>
          </cell>
          <cell r="D26" t="e">
            <v>#REF!</v>
          </cell>
          <cell r="E26" t="str">
            <v>PF</v>
          </cell>
          <cell r="F26" t="str">
            <v xml:space="preserve"> 20-23.998.211-6</v>
          </cell>
          <cell r="G26" t="str">
            <v>CAMBULE, PEDRO</v>
          </cell>
          <cell r="H26" t="str">
            <v>---</v>
          </cell>
          <cell r="I26" t="str">
            <v>SUPLENCIA TEMPORAL BECRR</v>
          </cell>
          <cell r="J26" t="str">
            <v>2°3°</v>
          </cell>
          <cell r="K26">
            <v>232</v>
          </cell>
          <cell r="L26" t="str">
            <v>2TPT2</v>
          </cell>
          <cell r="M26" t="str">
            <v>S/C</v>
          </cell>
          <cell r="N26" t="str">
            <v>PROCEDIMIENTOS TECNICOS</v>
          </cell>
        </row>
        <row r="27">
          <cell r="B27" t="str">
            <v xml:space="preserve"> </v>
          </cell>
          <cell r="C27" t="str">
            <v>SUPLENTE</v>
          </cell>
          <cell r="D27" t="e">
            <v>#REF!</v>
          </cell>
          <cell r="E27" t="str">
            <v>PF</v>
          </cell>
          <cell r="F27" t="str">
            <v>20-28.438.827-6</v>
          </cell>
          <cell r="G27" t="str">
            <v xml:space="preserve">QUEVEDO OMAR </v>
          </cell>
          <cell r="H27" t="str">
            <v>---</v>
          </cell>
          <cell r="I27" t="str">
            <v>---</v>
          </cell>
          <cell r="J27" t="str">
            <v>2°4°</v>
          </cell>
          <cell r="L27" t="str">
            <v>2ART</v>
          </cell>
          <cell r="M27">
            <v>1642684</v>
          </cell>
          <cell r="N27" t="str">
            <v>EDUCACION ARTISTICA (PLASTICA)</v>
          </cell>
        </row>
        <row r="28">
          <cell r="B28" t="str">
            <v xml:space="preserve"> </v>
          </cell>
          <cell r="C28" t="str">
            <v>SUPLENTE</v>
          </cell>
          <cell r="D28" t="e">
            <v>#REF!</v>
          </cell>
          <cell r="E28" t="str">
            <v>PF</v>
          </cell>
          <cell r="F28" t="str">
            <v xml:space="preserve"> 23-22.948.231-9</v>
          </cell>
          <cell r="G28" t="str">
            <v>LUZURIAGA ANGEL</v>
          </cell>
          <cell r="H28" t="str">
            <v>---</v>
          </cell>
          <cell r="I28" t="str">
            <v>--</v>
          </cell>
          <cell r="J28" t="str">
            <v>2°4°</v>
          </cell>
          <cell r="K28">
            <v>241</v>
          </cell>
          <cell r="L28" t="str">
            <v>2TPT2</v>
          </cell>
          <cell r="M28" t="str">
            <v>S/C</v>
          </cell>
          <cell r="N28" t="str">
            <v>PROCEDIMIENTOS TECNICOS</v>
          </cell>
        </row>
        <row r="29">
          <cell r="B29" t="str">
            <v>2°4°2412TPT2S</v>
          </cell>
          <cell r="C29" t="str">
            <v>SUPLENTE</v>
          </cell>
          <cell r="D29" t="e">
            <v>#REF!</v>
          </cell>
          <cell r="E29" t="str">
            <v>PF</v>
          </cell>
          <cell r="G29" t="str">
            <v>CRUZ DAVID</v>
          </cell>
          <cell r="H29" t="str">
            <v>---</v>
          </cell>
          <cell r="J29" t="str">
            <v>2°4°</v>
          </cell>
          <cell r="K29">
            <v>241</v>
          </cell>
          <cell r="L29" t="str">
            <v>2TPT2</v>
          </cell>
          <cell r="M29" t="str">
            <v>S/C</v>
          </cell>
          <cell r="N29" t="str">
            <v>PROCEDIMIENTOS TECNICOS</v>
          </cell>
        </row>
        <row r="30">
          <cell r="B30" t="str">
            <v>2°4°2422TLT2S</v>
          </cell>
          <cell r="C30" t="str">
            <v>SUPLENTE</v>
          </cell>
          <cell r="D30" t="e">
            <v>#REF!</v>
          </cell>
          <cell r="E30" t="str">
            <v>PF</v>
          </cell>
          <cell r="F30" t="str">
            <v xml:space="preserve"> 20-21.103.894-3</v>
          </cell>
          <cell r="G30" t="str">
            <v xml:space="preserve">LEYES RICARDO  </v>
          </cell>
          <cell r="H30" t="str">
            <v>---</v>
          </cell>
          <cell r="J30" t="str">
            <v>2°4°</v>
          </cell>
          <cell r="K30">
            <v>242</v>
          </cell>
          <cell r="L30" t="str">
            <v>2TLT2</v>
          </cell>
          <cell r="M30" t="str">
            <v>S/C</v>
          </cell>
          <cell r="N30" t="str">
            <v>LENGUAJES TECNOLOGICOS</v>
          </cell>
        </row>
        <row r="31">
          <cell r="B31" t="str">
            <v>2°4°2422TPT2S</v>
          </cell>
          <cell r="C31" t="str">
            <v>SUPLENTE</v>
          </cell>
          <cell r="D31" t="e">
            <v>#REF!</v>
          </cell>
          <cell r="E31" t="str">
            <v>PF</v>
          </cell>
          <cell r="G31" t="str">
            <v>CRUZ DAVID</v>
          </cell>
          <cell r="H31" t="str">
            <v>---</v>
          </cell>
          <cell r="J31" t="str">
            <v>2°4°</v>
          </cell>
          <cell r="K31">
            <v>242</v>
          </cell>
          <cell r="L31" t="str">
            <v>2TPT2</v>
          </cell>
          <cell r="M31" t="str">
            <v>S/C</v>
          </cell>
          <cell r="N31" t="str">
            <v>PROCEDIMIENTOS TECNICOS</v>
          </cell>
        </row>
        <row r="32">
          <cell r="B32" t="str">
            <v xml:space="preserve"> </v>
          </cell>
          <cell r="C32" t="str">
            <v>SUPLENTE</v>
          </cell>
          <cell r="D32" t="e">
            <v>#REF!</v>
          </cell>
          <cell r="E32" t="str">
            <v>PF</v>
          </cell>
          <cell r="G32" t="str">
            <v xml:space="preserve">OVEJERO, JAVIER               </v>
          </cell>
          <cell r="H32" t="str">
            <v>---</v>
          </cell>
          <cell r="I32">
            <v>44621</v>
          </cell>
          <cell r="J32" t="str">
            <v>2°5°</v>
          </cell>
          <cell r="L32" t="str">
            <v>2MAT</v>
          </cell>
          <cell r="M32">
            <v>1920690</v>
          </cell>
          <cell r="N32" t="str">
            <v>MATEMATICA</v>
          </cell>
        </row>
        <row r="33">
          <cell r="B33" t="str">
            <v xml:space="preserve"> </v>
          </cell>
          <cell r="C33" t="str">
            <v>SUPLENTE</v>
          </cell>
          <cell r="D33" t="e">
            <v>#REF!</v>
          </cell>
          <cell r="E33" t="str">
            <v>PF</v>
          </cell>
          <cell r="F33" t="str">
            <v xml:space="preserve">  27-23.480.647-0  </v>
          </cell>
          <cell r="G33" t="str">
            <v>FARIAS CLAUDIA ANTONIA</v>
          </cell>
          <cell r="H33" t="str">
            <v>---</v>
          </cell>
          <cell r="I33" t="str">
            <v>---</v>
          </cell>
          <cell r="J33" t="str">
            <v>3°1°</v>
          </cell>
          <cell r="L33" t="str">
            <v>3BIO</v>
          </cell>
          <cell r="M33">
            <v>1644174</v>
          </cell>
          <cell r="N33" t="str">
            <v>BIOLOGIA</v>
          </cell>
        </row>
        <row r="34">
          <cell r="B34" t="str">
            <v xml:space="preserve"> </v>
          </cell>
          <cell r="C34" t="str">
            <v>SUPLENTE</v>
          </cell>
          <cell r="D34" t="e">
            <v>#REF!</v>
          </cell>
          <cell r="E34" t="str">
            <v>PF</v>
          </cell>
          <cell r="F34" t="str">
            <v>27-32.615.425-9</v>
          </cell>
          <cell r="G34" t="str">
            <v xml:space="preserve">VERA DEBORA </v>
          </cell>
          <cell r="H34" t="str">
            <v>---</v>
          </cell>
          <cell r="I34" t="str">
            <v>--</v>
          </cell>
          <cell r="J34" t="str">
            <v>3°1°</v>
          </cell>
          <cell r="L34" t="str">
            <v>3PLG</v>
          </cell>
          <cell r="M34">
            <v>733471</v>
          </cell>
          <cell r="N34" t="str">
            <v>PRACTICA DEL LENGUAJE</v>
          </cell>
        </row>
        <row r="35">
          <cell r="B35" t="str">
            <v xml:space="preserve"> </v>
          </cell>
          <cell r="C35" t="str">
            <v>SUPLENTE</v>
          </cell>
          <cell r="D35" t="e">
            <v>#REF!</v>
          </cell>
          <cell r="E35" t="str">
            <v>PF</v>
          </cell>
          <cell r="F35" t="str">
            <v>20-25.540.011-9</v>
          </cell>
          <cell r="G35" t="str">
            <v>MEZA ROMINA</v>
          </cell>
          <cell r="H35" t="str">
            <v>---</v>
          </cell>
          <cell r="I35" t="str">
            <v>---</v>
          </cell>
          <cell r="J35" t="str">
            <v>3°2°</v>
          </cell>
          <cell r="L35" t="str">
            <v>3CCD</v>
          </cell>
          <cell r="M35">
            <v>733451</v>
          </cell>
          <cell r="N35" t="str">
            <v>CONSTRUCCION DE LA CIUDADANIA</v>
          </cell>
        </row>
        <row r="36">
          <cell r="B36" t="str">
            <v xml:space="preserve"> </v>
          </cell>
          <cell r="C36" t="str">
            <v>SUPLENTE</v>
          </cell>
          <cell r="D36" t="e">
            <v>#REF!</v>
          </cell>
          <cell r="E36" t="str">
            <v>PF</v>
          </cell>
          <cell r="F36" t="str">
            <v>20-25540011-9</v>
          </cell>
          <cell r="G36" t="str">
            <v xml:space="preserve">ALVAREZ DARIO  </v>
          </cell>
          <cell r="H36" t="str">
            <v>---</v>
          </cell>
          <cell r="I36" t="str">
            <v>---</v>
          </cell>
          <cell r="J36" t="str">
            <v>3°2°</v>
          </cell>
          <cell r="L36" t="str">
            <v>3EFI</v>
          </cell>
          <cell r="M36">
            <v>733459</v>
          </cell>
          <cell r="N36" t="str">
            <v>EDUCACION FISICA</v>
          </cell>
        </row>
        <row r="37">
          <cell r="B37" t="str">
            <v>3°2°3213TLT3S</v>
          </cell>
          <cell r="C37" t="str">
            <v>SUPLENTE</v>
          </cell>
          <cell r="D37" t="e">
            <v>#REF!</v>
          </cell>
          <cell r="E37" t="str">
            <v>PF</v>
          </cell>
          <cell r="F37" t="str">
            <v xml:space="preserve">27-21.065.864-0 </v>
          </cell>
          <cell r="G37" t="str">
            <v>TITO JUAN MANUEL</v>
          </cell>
          <cell r="H37" t="str">
            <v>---</v>
          </cell>
          <cell r="J37" t="str">
            <v>3°2°</v>
          </cell>
          <cell r="K37">
            <v>321</v>
          </cell>
          <cell r="L37" t="str">
            <v>3TLT3</v>
          </cell>
          <cell r="M37" t="str">
            <v>S/C</v>
          </cell>
          <cell r="N37" t="str">
            <v>LENGUAJES TECNOLOGICOS</v>
          </cell>
        </row>
        <row r="38">
          <cell r="B38" t="str">
            <v xml:space="preserve"> </v>
          </cell>
          <cell r="C38" t="str">
            <v>SUPLENTE</v>
          </cell>
          <cell r="D38" t="e">
            <v>#REF!</v>
          </cell>
          <cell r="E38" t="str">
            <v>PF</v>
          </cell>
          <cell r="F38" t="str">
            <v xml:space="preserve"> 20-16.722.793-8</v>
          </cell>
          <cell r="G38" t="str">
            <v xml:space="preserve">DIAZ, HECTOR </v>
          </cell>
          <cell r="H38" t="str">
            <v>---</v>
          </cell>
          <cell r="I38" t="str">
            <v>----</v>
          </cell>
          <cell r="J38" t="str">
            <v>3°3°</v>
          </cell>
          <cell r="L38" t="str">
            <v>3BIO</v>
          </cell>
          <cell r="M38">
            <v>1913939</v>
          </cell>
          <cell r="N38" t="str">
            <v>BIOLOGIA</v>
          </cell>
        </row>
        <row r="39">
          <cell r="B39" t="str">
            <v xml:space="preserve"> </v>
          </cell>
          <cell r="C39" t="str">
            <v>SUPLENTE</v>
          </cell>
          <cell r="D39" t="e">
            <v>#REF!</v>
          </cell>
          <cell r="E39" t="str">
            <v>PF</v>
          </cell>
          <cell r="F39" t="str">
            <v xml:space="preserve"> 20-309465513-3</v>
          </cell>
          <cell r="G39" t="str">
            <v>SANTNY CARLOS</v>
          </cell>
          <cell r="H39" t="str">
            <v>---</v>
          </cell>
          <cell r="I39" t="str">
            <v>----</v>
          </cell>
          <cell r="J39" t="str">
            <v>3°3°</v>
          </cell>
          <cell r="L39" t="str">
            <v>3GEO</v>
          </cell>
          <cell r="M39">
            <v>1913979</v>
          </cell>
          <cell r="N39" t="str">
            <v>GEOGRAFIA</v>
          </cell>
        </row>
        <row r="40">
          <cell r="B40" t="str">
            <v xml:space="preserve"> </v>
          </cell>
          <cell r="C40" t="str">
            <v>SUPLENTE</v>
          </cell>
          <cell r="D40" t="e">
            <v>#REF!</v>
          </cell>
          <cell r="E40" t="str">
            <v>PF</v>
          </cell>
          <cell r="F40" t="str">
            <v xml:space="preserve"> 27-27142294-1</v>
          </cell>
          <cell r="G40" t="str">
            <v>CORREA, KARINA</v>
          </cell>
          <cell r="H40" t="str">
            <v>---</v>
          </cell>
          <cell r="I40">
            <v>44621</v>
          </cell>
          <cell r="J40" t="str">
            <v>3°3°</v>
          </cell>
          <cell r="L40" t="str">
            <v>3PLG</v>
          </cell>
          <cell r="M40">
            <v>1913986</v>
          </cell>
          <cell r="N40" t="str">
            <v>PRACTICA DEL LENGUAJE</v>
          </cell>
        </row>
        <row r="41">
          <cell r="B41" t="str">
            <v xml:space="preserve"> </v>
          </cell>
          <cell r="C41" t="str">
            <v>SUPLENTE</v>
          </cell>
          <cell r="D41" t="e">
            <v>#REF!</v>
          </cell>
          <cell r="E41" t="str">
            <v>PF</v>
          </cell>
          <cell r="F41" t="str">
            <v xml:space="preserve">  27-23560083-3</v>
          </cell>
          <cell r="G41" t="str">
            <v>CRUZ JESUS</v>
          </cell>
          <cell r="H41" t="str">
            <v>---</v>
          </cell>
          <cell r="I41" t="str">
            <v>--</v>
          </cell>
          <cell r="J41" t="str">
            <v>3°3°</v>
          </cell>
          <cell r="K41">
            <v>331</v>
          </cell>
          <cell r="L41" t="str">
            <v>3TST3</v>
          </cell>
          <cell r="M41" t="str">
            <v>S/C</v>
          </cell>
          <cell r="N41" t="str">
            <v>SISTEMAS TECNOLGICOS</v>
          </cell>
        </row>
        <row r="42">
          <cell r="B42" t="str">
            <v xml:space="preserve"> </v>
          </cell>
          <cell r="C42" t="str">
            <v>SUPLENTE</v>
          </cell>
          <cell r="D42" t="e">
            <v>#REF!</v>
          </cell>
          <cell r="E42" t="str">
            <v>PF</v>
          </cell>
          <cell r="F42" t="str">
            <v xml:space="preserve"> 20-31.388.952-4</v>
          </cell>
          <cell r="G42" t="str">
            <v xml:space="preserve">FIGUEREDO, EZEQUIEL  </v>
          </cell>
          <cell r="H42" t="str">
            <v>---</v>
          </cell>
          <cell r="I42" t="str">
            <v>--</v>
          </cell>
          <cell r="J42" t="str">
            <v>3°4°</v>
          </cell>
          <cell r="L42" t="str">
            <v>3BIO</v>
          </cell>
          <cell r="M42">
            <v>1492078</v>
          </cell>
          <cell r="N42" t="str">
            <v>BIOLOGIA</v>
          </cell>
        </row>
        <row r="43">
          <cell r="B43" t="str">
            <v xml:space="preserve"> </v>
          </cell>
          <cell r="C43" t="str">
            <v>SUPLENTE</v>
          </cell>
          <cell r="D43" t="e">
            <v>#REF!</v>
          </cell>
          <cell r="E43" t="str">
            <v>PF</v>
          </cell>
          <cell r="F43" t="str">
            <v xml:space="preserve"> 27-33.676.002-5</v>
          </cell>
          <cell r="G43" t="str">
            <v>BILLA FERNANDEZ PAOLA</v>
          </cell>
          <cell r="H43" t="str">
            <v>---</v>
          </cell>
          <cell r="I43" t="str">
            <v>---</v>
          </cell>
          <cell r="J43" t="str">
            <v>3°4°</v>
          </cell>
          <cell r="L43" t="str">
            <v>3GEO</v>
          </cell>
          <cell r="M43">
            <v>1492267</v>
          </cell>
          <cell r="N43" t="str">
            <v>GEOGRAFIA</v>
          </cell>
        </row>
        <row r="44">
          <cell r="B44" t="str">
            <v xml:space="preserve"> </v>
          </cell>
          <cell r="C44" t="str">
            <v>SUPLENTE</v>
          </cell>
          <cell r="D44" t="e">
            <v>#REF!</v>
          </cell>
          <cell r="E44" t="str">
            <v>PF</v>
          </cell>
          <cell r="F44" t="str">
            <v>20-32199643-5</v>
          </cell>
          <cell r="G44" t="str">
            <v xml:space="preserve">LOPEZ. JOTHAN </v>
          </cell>
          <cell r="H44" t="str">
            <v>---</v>
          </cell>
          <cell r="I44">
            <v>44621</v>
          </cell>
          <cell r="J44" t="str">
            <v>3°4°</v>
          </cell>
          <cell r="K44">
            <v>341</v>
          </cell>
          <cell r="L44" t="str">
            <v>3TST3</v>
          </cell>
          <cell r="M44" t="str">
            <v>S/C</v>
          </cell>
          <cell r="N44" t="str">
            <v>SISTEMAS TECNOLGICOS</v>
          </cell>
        </row>
        <row r="45">
          <cell r="B45" t="str">
            <v xml:space="preserve"> </v>
          </cell>
          <cell r="C45" t="str">
            <v>SUPLENTE</v>
          </cell>
          <cell r="D45" t="e">
            <v>#REF!</v>
          </cell>
          <cell r="E45" t="str">
            <v>PF</v>
          </cell>
          <cell r="F45" t="str">
            <v xml:space="preserve"> 23-29.099.725-9</v>
          </cell>
          <cell r="G45" t="str">
            <v>CRUZ JESUS</v>
          </cell>
          <cell r="H45" t="str">
            <v>---</v>
          </cell>
          <cell r="I45" t="str">
            <v>--</v>
          </cell>
          <cell r="J45" t="str">
            <v>3°4°</v>
          </cell>
          <cell r="K45">
            <v>342</v>
          </cell>
          <cell r="L45" t="str">
            <v>3TST3</v>
          </cell>
          <cell r="M45" t="str">
            <v>S/C</v>
          </cell>
          <cell r="N45" t="str">
            <v>SISTEMAS TECNOLGICOS</v>
          </cell>
        </row>
        <row r="46">
          <cell r="B46" t="str">
            <v xml:space="preserve"> </v>
          </cell>
          <cell r="C46" t="str">
            <v>SUPLENTE</v>
          </cell>
          <cell r="D46" t="e">
            <v>#REF!</v>
          </cell>
          <cell r="E46" t="str">
            <v>PF</v>
          </cell>
          <cell r="G46" t="str">
            <v>FARIAS CECILIA</v>
          </cell>
          <cell r="H46" t="str">
            <v>---</v>
          </cell>
          <cell r="I46" t="str">
            <v>--</v>
          </cell>
          <cell r="J46" t="str">
            <v>3°5°</v>
          </cell>
          <cell r="L46" t="str">
            <v>3MAT</v>
          </cell>
          <cell r="M46">
            <v>2232469</v>
          </cell>
          <cell r="N46" t="str">
            <v>MATEMATICA</v>
          </cell>
        </row>
        <row r="47">
          <cell r="B47" t="str">
            <v xml:space="preserve"> </v>
          </cell>
          <cell r="C47" t="str">
            <v>SUPLENTE</v>
          </cell>
          <cell r="D47" t="e">
            <v>#REF!</v>
          </cell>
          <cell r="E47" t="str">
            <v>PF</v>
          </cell>
          <cell r="F47" t="str">
            <v>27-21487073-3</v>
          </cell>
          <cell r="G47" t="str">
            <v xml:space="preserve">MERCADO, GABRIELA </v>
          </cell>
          <cell r="H47" t="str">
            <v>---</v>
          </cell>
          <cell r="I47">
            <v>44621</v>
          </cell>
          <cell r="J47" t="str">
            <v>3°5°</v>
          </cell>
          <cell r="L47" t="str">
            <v>3PLG</v>
          </cell>
          <cell r="M47">
            <v>2232470</v>
          </cell>
          <cell r="N47" t="str">
            <v>PRACTICA DEL LENGUAJE</v>
          </cell>
        </row>
        <row r="48">
          <cell r="B48" t="str">
            <v xml:space="preserve"> </v>
          </cell>
          <cell r="C48" t="str">
            <v>SUPLENTE</v>
          </cell>
          <cell r="D48" t="e">
            <v>#REF!</v>
          </cell>
          <cell r="E48" t="str">
            <v>PF</v>
          </cell>
          <cell r="G48" t="str">
            <v>quien tomo?</v>
          </cell>
          <cell r="H48" t="str">
            <v>---</v>
          </cell>
          <cell r="J48" t="str">
            <v>4°1°</v>
          </cell>
          <cell r="L48" t="str">
            <v>4IMATES</v>
          </cell>
          <cell r="M48">
            <v>733575</v>
          </cell>
          <cell r="N48" t="str">
            <v>MATEMATICA</v>
          </cell>
        </row>
        <row r="49">
          <cell r="B49" t="str">
            <v>4°1°4ISADSS</v>
          </cell>
          <cell r="C49" t="str">
            <v>SUPLENTE</v>
          </cell>
          <cell r="D49" t="e">
            <v>#REF!</v>
          </cell>
          <cell r="E49" t="str">
            <v>PF</v>
          </cell>
          <cell r="F49" t="str">
            <v xml:space="preserve">  27-23.480.647-0  </v>
          </cell>
          <cell r="G49" t="str">
            <v>DIAZ HECTOR</v>
          </cell>
          <cell r="H49" t="str">
            <v>---</v>
          </cell>
          <cell r="J49" t="str">
            <v>4°1°</v>
          </cell>
          <cell r="L49" t="str">
            <v>4ISADS</v>
          </cell>
          <cell r="M49">
            <v>1517051</v>
          </cell>
          <cell r="N49" t="str">
            <v>SALUD Y ADOLESCENCIA</v>
          </cell>
        </row>
        <row r="50">
          <cell r="B50" t="str">
            <v>4°1°4ITELES</v>
          </cell>
          <cell r="C50" t="str">
            <v>SUPLENTE</v>
          </cell>
          <cell r="D50" t="e">
            <v>#REF!</v>
          </cell>
          <cell r="E50" t="str">
            <v>PF</v>
          </cell>
          <cell r="F50">
            <v>23086757</v>
          </cell>
          <cell r="G50" t="str">
            <v>FEDERICO GAUNA</v>
          </cell>
          <cell r="H50" t="str">
            <v>---</v>
          </cell>
          <cell r="J50" t="str">
            <v>4°1°</v>
          </cell>
          <cell r="L50" t="str">
            <v>4ITELE</v>
          </cell>
          <cell r="M50" t="str">
            <v>S/C</v>
          </cell>
          <cell r="N50" t="str">
            <v>TECNOLOGIAS ELECTRONICAS</v>
          </cell>
        </row>
        <row r="51">
          <cell r="B51" t="str">
            <v xml:space="preserve"> </v>
          </cell>
          <cell r="C51" t="str">
            <v>SUPLENTE</v>
          </cell>
          <cell r="D51" t="e">
            <v>#REF!</v>
          </cell>
          <cell r="E51" t="str">
            <v>PF</v>
          </cell>
          <cell r="F51" t="str">
            <v>20-32199643-5</v>
          </cell>
          <cell r="G51" t="str">
            <v xml:space="preserve">LOPEZ. JOTHAN </v>
          </cell>
          <cell r="H51" t="str">
            <v>---</v>
          </cell>
          <cell r="I51" t="str">
            <v>--</v>
          </cell>
          <cell r="J51" t="str">
            <v>4°2°</v>
          </cell>
          <cell r="K51">
            <v>421</v>
          </cell>
          <cell r="L51" t="str">
            <v>4IFTLS4</v>
          </cell>
          <cell r="M51" t="str">
            <v>S/C</v>
          </cell>
          <cell r="N51" t="str">
            <v xml:space="preserve">LAB DE SIST OPERATIVOS   </v>
          </cell>
        </row>
        <row r="52">
          <cell r="B52" t="str">
            <v xml:space="preserve"> </v>
          </cell>
          <cell r="C52" t="str">
            <v>SUPLENTE</v>
          </cell>
          <cell r="D52" t="e">
            <v>#REF!</v>
          </cell>
          <cell r="E52" t="str">
            <v>PF</v>
          </cell>
          <cell r="F52">
            <v>16019055</v>
          </cell>
          <cell r="G52" t="str">
            <v>RIVERA JOSE F M</v>
          </cell>
          <cell r="H52" t="str">
            <v>---</v>
          </cell>
          <cell r="I52" t="str">
            <v>---</v>
          </cell>
          <cell r="J52" t="str">
            <v>4°2°</v>
          </cell>
          <cell r="K52">
            <v>422</v>
          </cell>
          <cell r="L52" t="str">
            <v>4IFTLA4</v>
          </cell>
          <cell r="M52" t="str">
            <v>S/C</v>
          </cell>
          <cell r="N52" t="str">
            <v>LAB DE APLICACIONES</v>
          </cell>
        </row>
        <row r="53">
          <cell r="B53" t="str">
            <v xml:space="preserve"> </v>
          </cell>
          <cell r="C53" t="str">
            <v>SUPLENTE</v>
          </cell>
          <cell r="D53" t="e">
            <v>#REF!</v>
          </cell>
          <cell r="E53" t="str">
            <v>PF</v>
          </cell>
          <cell r="F53">
            <v>27368256</v>
          </cell>
          <cell r="G53" t="str">
            <v>MUÑOZ MARIANO</v>
          </cell>
          <cell r="H53" t="str">
            <v>---</v>
          </cell>
          <cell r="I53">
            <v>44621</v>
          </cell>
          <cell r="J53" t="str">
            <v>4°3°</v>
          </cell>
          <cell r="L53" t="str">
            <v>4ESADS</v>
          </cell>
          <cell r="M53">
            <v>1517221</v>
          </cell>
          <cell r="N53" t="str">
            <v>SALUD Y ADOLESCENCIA</v>
          </cell>
        </row>
        <row r="54">
          <cell r="B54" t="str">
            <v>4°3°4ETELES</v>
          </cell>
          <cell r="C54" t="str">
            <v>SUPLENTE</v>
          </cell>
          <cell r="D54" t="e">
            <v>#REF!</v>
          </cell>
          <cell r="E54" t="str">
            <v>PF</v>
          </cell>
          <cell r="F54">
            <v>34250266</v>
          </cell>
          <cell r="G54" t="str">
            <v>ATAMAÑUK, FLORENCIA</v>
          </cell>
          <cell r="H54" t="str">
            <v>---</v>
          </cell>
          <cell r="J54" t="str">
            <v>4°3°</v>
          </cell>
          <cell r="L54" t="str">
            <v>4ETELE</v>
          </cell>
          <cell r="M54">
            <v>733519</v>
          </cell>
          <cell r="N54" t="str">
            <v>TECNOLOGIA ELECTRONICA</v>
          </cell>
        </row>
        <row r="55">
          <cell r="B55" t="str">
            <v xml:space="preserve"> </v>
          </cell>
          <cell r="C55" t="str">
            <v>SUPLENTE</v>
          </cell>
          <cell r="D55" t="e">
            <v>#REF!</v>
          </cell>
          <cell r="E55" t="str">
            <v>PF</v>
          </cell>
          <cell r="F55">
            <v>25600032</v>
          </cell>
          <cell r="G55" t="str">
            <v xml:space="preserve">CANTONI, PABLO </v>
          </cell>
          <cell r="H55" t="str">
            <v>---</v>
          </cell>
          <cell r="I55" t="str">
            <v>---</v>
          </cell>
          <cell r="J55" t="str">
            <v>4°4°</v>
          </cell>
          <cell r="L55" t="str">
            <v>4EFIS</v>
          </cell>
          <cell r="M55">
            <v>733706</v>
          </cell>
          <cell r="N55" t="str">
            <v>FISICA</v>
          </cell>
        </row>
        <row r="56">
          <cell r="B56" t="str">
            <v>4°4°4ESADSS</v>
          </cell>
          <cell r="C56" t="str">
            <v>SUPLENTE</v>
          </cell>
          <cell r="D56" t="e">
            <v>#REF!</v>
          </cell>
          <cell r="E56" t="str">
            <v>PF</v>
          </cell>
          <cell r="G56" t="str">
            <v>TORRES VANINA</v>
          </cell>
          <cell r="H56" t="str">
            <v>---</v>
          </cell>
          <cell r="J56" t="str">
            <v>4°4°</v>
          </cell>
          <cell r="L56" t="str">
            <v>4ESADS</v>
          </cell>
          <cell r="M56">
            <v>1517198</v>
          </cell>
          <cell r="N56" t="str">
            <v>SALUD Y ADOLESCENCIA</v>
          </cell>
        </row>
        <row r="57">
          <cell r="B57" t="str">
            <v>5°5°5ISIDI4S</v>
          </cell>
          <cell r="C57" t="str">
            <v>SUPLENTE</v>
          </cell>
          <cell r="D57" t="e">
            <v>#REF!</v>
          </cell>
          <cell r="E57" t="str">
            <v>PF</v>
          </cell>
          <cell r="F57">
            <v>33421332</v>
          </cell>
          <cell r="G57" t="str">
            <v xml:space="preserve">HERNER, CRISTIAN </v>
          </cell>
          <cell r="H57" t="str">
            <v>---</v>
          </cell>
          <cell r="J57" t="str">
            <v>5°5°</v>
          </cell>
          <cell r="L57" t="str">
            <v>5ISIDI4</v>
          </cell>
          <cell r="M57">
            <v>733570</v>
          </cell>
          <cell r="N57" t="str">
            <v>SISTEMA DIGITAL</v>
          </cell>
        </row>
        <row r="58">
          <cell r="B58" t="str">
            <v xml:space="preserve"> </v>
          </cell>
          <cell r="C58" t="str">
            <v>SUPLENTE</v>
          </cell>
          <cell r="D58" t="e">
            <v>#REF!</v>
          </cell>
          <cell r="E58" t="str">
            <v>PF</v>
          </cell>
          <cell r="F58">
            <v>35365690</v>
          </cell>
          <cell r="G58" t="str">
            <v xml:space="preserve">GONANO, GERMAN </v>
          </cell>
          <cell r="H58" t="str">
            <v>---</v>
          </cell>
          <cell r="I58" t="str">
            <v>--</v>
          </cell>
          <cell r="J58" t="str">
            <v>5°5°</v>
          </cell>
          <cell r="L58" t="str">
            <v>5ITELEI</v>
          </cell>
          <cell r="M58">
            <v>1643761</v>
          </cell>
          <cell r="N58" t="str">
            <v>TELEINFORMATICA</v>
          </cell>
        </row>
        <row r="59">
          <cell r="B59" t="str">
            <v xml:space="preserve"> </v>
          </cell>
          <cell r="C59" t="str">
            <v>SUPLENTE</v>
          </cell>
          <cell r="D59" t="e">
            <v>#REF!</v>
          </cell>
          <cell r="E59" t="str">
            <v>PF</v>
          </cell>
          <cell r="F59">
            <v>27464627</v>
          </cell>
          <cell r="G59" t="str">
            <v xml:space="preserve">BARONI, ROBERTO </v>
          </cell>
          <cell r="H59" t="str">
            <v>---</v>
          </cell>
          <cell r="I59" t="str">
            <v>--</v>
          </cell>
          <cell r="J59" t="str">
            <v>5°5°</v>
          </cell>
          <cell r="K59">
            <v>551</v>
          </cell>
          <cell r="L59" t="str">
            <v>5IFTLH5</v>
          </cell>
          <cell r="M59" t="str">
            <v>S/C</v>
          </cell>
          <cell r="N59" t="str">
            <v xml:space="preserve">LAB DE HARDWARE </v>
          </cell>
        </row>
        <row r="60">
          <cell r="B60" t="str">
            <v xml:space="preserve"> </v>
          </cell>
          <cell r="C60" t="str">
            <v>SUPLENTE</v>
          </cell>
          <cell r="D60" t="e">
            <v>#REF!</v>
          </cell>
          <cell r="E60" t="str">
            <v>PF</v>
          </cell>
          <cell r="F60">
            <v>16238400</v>
          </cell>
          <cell r="G60" t="str">
            <v>GARCIA MONICA</v>
          </cell>
          <cell r="H60" t="str">
            <v>---</v>
          </cell>
          <cell r="I60" t="str">
            <v>--</v>
          </cell>
          <cell r="J60" t="str">
            <v>5°5°</v>
          </cell>
          <cell r="K60">
            <v>552</v>
          </cell>
          <cell r="L60" t="str">
            <v>5IFTLP5</v>
          </cell>
          <cell r="M60" t="str">
            <v>S/C</v>
          </cell>
          <cell r="N60" t="str">
            <v xml:space="preserve">LAB DE PROGRAM </v>
          </cell>
        </row>
        <row r="61">
          <cell r="B61" t="str">
            <v xml:space="preserve"> </v>
          </cell>
          <cell r="C61" t="str">
            <v>SUPLENTE</v>
          </cell>
          <cell r="D61" t="e">
            <v>#REF!</v>
          </cell>
          <cell r="E61" t="str">
            <v>PF</v>
          </cell>
          <cell r="F61">
            <v>29615231</v>
          </cell>
          <cell r="G61" t="str">
            <v xml:space="preserve">BARCENILLA, JAVIER </v>
          </cell>
          <cell r="H61" t="str">
            <v>---</v>
          </cell>
          <cell r="I61" t="str">
            <v>--</v>
          </cell>
          <cell r="J61" t="str">
            <v>5°5°</v>
          </cell>
          <cell r="K61">
            <v>552</v>
          </cell>
          <cell r="L61" t="str">
            <v>5IFTLA5</v>
          </cell>
          <cell r="M61" t="str">
            <v>S/C</v>
          </cell>
          <cell r="N61" t="str">
            <v xml:space="preserve">LAB DE APLICACIONES </v>
          </cell>
        </row>
        <row r="62">
          <cell r="B62" t="str">
            <v xml:space="preserve"> </v>
          </cell>
          <cell r="C62" t="str">
            <v>SUPLENTE</v>
          </cell>
          <cell r="D62" t="e">
            <v>#REF!</v>
          </cell>
          <cell r="E62" t="str">
            <v>PF</v>
          </cell>
          <cell r="F62" t="str">
            <v xml:space="preserve"> 20-27251008-4</v>
          </cell>
          <cell r="G62" t="str">
            <v xml:space="preserve">CESPEDES EMILIANO </v>
          </cell>
          <cell r="H62" t="str">
            <v>---</v>
          </cell>
          <cell r="I62">
            <v>44621</v>
          </cell>
          <cell r="J62" t="str">
            <v>5°2°</v>
          </cell>
          <cell r="L62" t="str">
            <v>5IGEOS5</v>
          </cell>
          <cell r="M62">
            <v>733389</v>
          </cell>
          <cell r="N62" t="str">
            <v>GEOGRAFIA</v>
          </cell>
        </row>
        <row r="63">
          <cell r="B63" t="str">
            <v>5°2°5ISIDI4S</v>
          </cell>
          <cell r="C63" t="str">
            <v>SUPLENTE</v>
          </cell>
          <cell r="D63" t="e">
            <v>#REF!</v>
          </cell>
          <cell r="E63" t="str">
            <v>PF</v>
          </cell>
          <cell r="F63">
            <v>20205124</v>
          </cell>
          <cell r="G63" t="str">
            <v>MONTENEGRO, CLAUDIA</v>
          </cell>
          <cell r="H63" t="str">
            <v>---</v>
          </cell>
          <cell r="J63" t="str">
            <v>5°2°</v>
          </cell>
          <cell r="L63" t="str">
            <v>5ISIDI4</v>
          </cell>
          <cell r="M63">
            <v>1643758</v>
          </cell>
          <cell r="N63" t="str">
            <v>SISTEMA DIGITAL</v>
          </cell>
        </row>
        <row r="64">
          <cell r="B64" t="str">
            <v>5°2°5ITELEIS</v>
          </cell>
          <cell r="C64" t="str">
            <v>SUPLENTE</v>
          </cell>
          <cell r="D64" t="e">
            <v>#REF!</v>
          </cell>
          <cell r="E64" t="str">
            <v>PF</v>
          </cell>
          <cell r="F64">
            <v>20205124</v>
          </cell>
          <cell r="G64" t="str">
            <v>MONTENEGRO, CLAUDIA</v>
          </cell>
          <cell r="H64" t="str">
            <v>---</v>
          </cell>
          <cell r="J64" t="str">
            <v>5°2°</v>
          </cell>
          <cell r="L64" t="str">
            <v>5ITELEI</v>
          </cell>
          <cell r="M64">
            <v>1643762</v>
          </cell>
          <cell r="N64" t="str">
            <v>TELEINFORMATICA</v>
          </cell>
        </row>
        <row r="65">
          <cell r="B65" t="str">
            <v xml:space="preserve"> </v>
          </cell>
          <cell r="C65" t="str">
            <v>SUPLENTE</v>
          </cell>
          <cell r="D65" t="e">
            <v>#REF!</v>
          </cell>
          <cell r="E65" t="str">
            <v>PF</v>
          </cell>
          <cell r="F65">
            <v>29615231</v>
          </cell>
          <cell r="G65" t="str">
            <v xml:space="preserve">BARCENILLA, JAVIER </v>
          </cell>
          <cell r="H65" t="str">
            <v>---</v>
          </cell>
          <cell r="I65" t="str">
            <v>---</v>
          </cell>
          <cell r="J65" t="str">
            <v>5°2°</v>
          </cell>
          <cell r="K65">
            <v>521</v>
          </cell>
          <cell r="L65" t="str">
            <v>5IFTLA5</v>
          </cell>
          <cell r="M65" t="str">
            <v>S/C</v>
          </cell>
          <cell r="N65" t="str">
            <v xml:space="preserve">LAB DE APLICACIONES </v>
          </cell>
        </row>
        <row r="66">
          <cell r="B66" t="str">
            <v xml:space="preserve"> </v>
          </cell>
          <cell r="C66" t="str">
            <v>SUPLENTE</v>
          </cell>
          <cell r="D66" t="e">
            <v>#REF!</v>
          </cell>
          <cell r="E66" t="str">
            <v>PF</v>
          </cell>
          <cell r="F66">
            <v>27464627</v>
          </cell>
          <cell r="G66" t="str">
            <v xml:space="preserve">BARONI, ROBERTO </v>
          </cell>
          <cell r="H66" t="str">
            <v>---</v>
          </cell>
          <cell r="I66" t="str">
            <v>---</v>
          </cell>
          <cell r="J66" t="str">
            <v>5°2°</v>
          </cell>
          <cell r="K66">
            <v>522</v>
          </cell>
          <cell r="L66" t="str">
            <v>5IFTLH5</v>
          </cell>
          <cell r="M66" t="str">
            <v>S/C</v>
          </cell>
          <cell r="N66" t="str">
            <v xml:space="preserve">LAB DE HARDWARE </v>
          </cell>
        </row>
        <row r="67">
          <cell r="B67" t="str">
            <v>5°2°5225IFTLS5S</v>
          </cell>
          <cell r="C67" t="str">
            <v>SUPLENTE</v>
          </cell>
          <cell r="D67" t="e">
            <v>#REF!</v>
          </cell>
          <cell r="E67" t="str">
            <v>PF</v>
          </cell>
          <cell r="F67">
            <v>29615231</v>
          </cell>
          <cell r="G67" t="str">
            <v xml:space="preserve">BARCENILLA, JAVIER </v>
          </cell>
          <cell r="H67" t="str">
            <v>---</v>
          </cell>
          <cell r="J67" t="str">
            <v>5°2°</v>
          </cell>
          <cell r="K67">
            <v>522</v>
          </cell>
          <cell r="L67" t="str">
            <v>5IFTLS5</v>
          </cell>
          <cell r="M67" t="str">
            <v>S/C</v>
          </cell>
          <cell r="N67" t="str">
            <v>LAB DE SIST OPERATIVOS</v>
          </cell>
        </row>
        <row r="68">
          <cell r="B68" t="str">
            <v xml:space="preserve"> </v>
          </cell>
          <cell r="C68" t="str">
            <v>SUPLENTE</v>
          </cell>
          <cell r="D68" t="e">
            <v>#REF!</v>
          </cell>
          <cell r="E68" t="str">
            <v>PF</v>
          </cell>
          <cell r="F68">
            <v>21562986</v>
          </cell>
          <cell r="G68" t="str">
            <v>GOMEZ JULIANA</v>
          </cell>
          <cell r="H68" t="str">
            <v>---</v>
          </cell>
          <cell r="I68" t="str">
            <v>---</v>
          </cell>
          <cell r="J68" t="str">
            <v>5°3°</v>
          </cell>
          <cell r="L68" t="str">
            <v>5ELITS</v>
          </cell>
          <cell r="M68">
            <v>2355520</v>
          </cell>
          <cell r="N68" t="str">
            <v>LITERATURA</v>
          </cell>
        </row>
        <row r="69">
          <cell r="B69" t="str">
            <v xml:space="preserve"> </v>
          </cell>
          <cell r="C69" t="str">
            <v>SUPLENTE</v>
          </cell>
          <cell r="D69" t="e">
            <v>#REF!</v>
          </cell>
          <cell r="E69" t="str">
            <v>PF</v>
          </cell>
          <cell r="G69" t="str">
            <v>GUTIERREZ ANGEL</v>
          </cell>
          <cell r="H69" t="str">
            <v>---</v>
          </cell>
          <cell r="I69" t="str">
            <v>---</v>
          </cell>
          <cell r="J69" t="str">
            <v>5°3°</v>
          </cell>
          <cell r="K69">
            <v>531</v>
          </cell>
          <cell r="L69" t="str">
            <v>5EFTMP5</v>
          </cell>
          <cell r="M69">
            <v>2355566</v>
          </cell>
          <cell r="N69" t="str">
            <v xml:space="preserve">MONT DE PROYEC ELECTRONICOS </v>
          </cell>
        </row>
        <row r="70">
          <cell r="B70" t="str">
            <v xml:space="preserve"> </v>
          </cell>
          <cell r="C70" t="str">
            <v>SUPLENTE</v>
          </cell>
          <cell r="D70" t="e">
            <v>#REF!</v>
          </cell>
          <cell r="E70" t="str">
            <v>PF</v>
          </cell>
          <cell r="F70" t="str">
            <v xml:space="preserve"> 27-34837897-5</v>
          </cell>
          <cell r="G70" t="str">
            <v>POMIGLIO DANIELA</v>
          </cell>
          <cell r="H70" t="str">
            <v>---</v>
          </cell>
          <cell r="I70">
            <v>44621</v>
          </cell>
          <cell r="J70" t="str">
            <v>5°4°</v>
          </cell>
          <cell r="L70" t="str">
            <v>5EGEOS5</v>
          </cell>
          <cell r="M70">
            <v>949797</v>
          </cell>
          <cell r="N70" t="str">
            <v>GEOGRAFIA</v>
          </cell>
        </row>
        <row r="71">
          <cell r="B71" t="str">
            <v>5°4°5ELENES</v>
          </cell>
          <cell r="C71" t="str">
            <v>SUPLENTE</v>
          </cell>
          <cell r="D71" t="e">
            <v>#REF!</v>
          </cell>
          <cell r="E71" t="str">
            <v>PF</v>
          </cell>
          <cell r="F71">
            <v>29671223</v>
          </cell>
          <cell r="G71" t="str">
            <v>PROCHOR JUAN</v>
          </cell>
          <cell r="H71" t="str">
            <v>---</v>
          </cell>
          <cell r="J71" t="str">
            <v>5°4°</v>
          </cell>
          <cell r="L71" t="str">
            <v>5ELENE</v>
          </cell>
          <cell r="M71">
            <v>1643772</v>
          </cell>
          <cell r="N71" t="str">
            <v>LENGUAJES ELECTRONICOS</v>
          </cell>
        </row>
        <row r="72">
          <cell r="B72" t="str">
            <v xml:space="preserve"> </v>
          </cell>
          <cell r="C72" t="str">
            <v>SUPLENTE</v>
          </cell>
          <cell r="D72" t="e">
            <v>#REF!</v>
          </cell>
          <cell r="E72" t="str">
            <v>PF</v>
          </cell>
          <cell r="F72" t="str">
            <v>20-25.454.930-5</v>
          </cell>
          <cell r="G72" t="str">
            <v>CORDOBA ALEJANDRO</v>
          </cell>
          <cell r="H72" t="str">
            <v>---</v>
          </cell>
          <cell r="I72" t="str">
            <v>--</v>
          </cell>
          <cell r="J72" t="str">
            <v>5°4°</v>
          </cell>
          <cell r="K72">
            <v>541</v>
          </cell>
          <cell r="L72" t="str">
            <v>5EDASE</v>
          </cell>
          <cell r="M72" t="str">
            <v>S/C</v>
          </cell>
          <cell r="N72" t="str">
            <v xml:space="preserve">DISEÑO ASIST Y SIMUL ELECT </v>
          </cell>
        </row>
        <row r="73">
          <cell r="B73" t="str">
            <v>5°4°5415EFTAE5S</v>
          </cell>
          <cell r="C73" t="str">
            <v>SUPLENTE</v>
          </cell>
          <cell r="D73" t="e">
            <v>#REF!</v>
          </cell>
          <cell r="E73" t="str">
            <v>PF</v>
          </cell>
          <cell r="G73" t="str">
            <v>BARONI ROBERTO</v>
          </cell>
          <cell r="H73" t="str">
            <v>---</v>
          </cell>
          <cell r="J73" t="str">
            <v>5°4°</v>
          </cell>
          <cell r="K73">
            <v>541</v>
          </cell>
          <cell r="L73" t="str">
            <v>5EFTAE5</v>
          </cell>
          <cell r="M73" t="str">
            <v>S/C</v>
          </cell>
          <cell r="N73" t="str">
            <v xml:space="preserve">ALPIC ELECT ANALOG </v>
          </cell>
        </row>
        <row r="74">
          <cell r="B74" t="str">
            <v>5°4°5415EFTED5S</v>
          </cell>
          <cell r="C74" t="str">
            <v>SUPLENTE</v>
          </cell>
          <cell r="D74" t="e">
            <v>#REF!</v>
          </cell>
          <cell r="E74" t="str">
            <v>PF</v>
          </cell>
          <cell r="F74">
            <v>18383726</v>
          </cell>
          <cell r="G74" t="str">
            <v xml:space="preserve">MARTINEZ, SILVIO </v>
          </cell>
          <cell r="H74" t="str">
            <v>---</v>
          </cell>
          <cell r="J74" t="str">
            <v>5°4°</v>
          </cell>
          <cell r="K74">
            <v>541</v>
          </cell>
          <cell r="L74" t="str">
            <v>5EFTED5</v>
          </cell>
          <cell r="M74" t="str">
            <v>S/C</v>
          </cell>
          <cell r="N74" t="str">
            <v>APLIC ELECTR DIGITAL</v>
          </cell>
        </row>
        <row r="75">
          <cell r="B75" t="str">
            <v>5°4°5425EFTED5S</v>
          </cell>
          <cell r="C75" t="str">
            <v>SUPLENTE</v>
          </cell>
          <cell r="D75" t="e">
            <v>#REF!</v>
          </cell>
          <cell r="E75" t="str">
            <v>PF</v>
          </cell>
          <cell r="F75">
            <v>23086757</v>
          </cell>
          <cell r="G75" t="str">
            <v>SERENO, LEONEL</v>
          </cell>
          <cell r="H75" t="str">
            <v>---</v>
          </cell>
          <cell r="J75" t="str">
            <v>5°4°</v>
          </cell>
          <cell r="K75">
            <v>542</v>
          </cell>
          <cell r="L75" t="str">
            <v>5EFTED5</v>
          </cell>
          <cell r="M75" t="str">
            <v>S/C</v>
          </cell>
          <cell r="N75" t="str">
            <v>APLIC ELECTR DIGITAL</v>
          </cell>
        </row>
        <row r="76">
          <cell r="B76" t="str">
            <v xml:space="preserve"> </v>
          </cell>
          <cell r="C76" t="str">
            <v>SUPLENTE</v>
          </cell>
          <cell r="D76" t="e">
            <v>#REF!</v>
          </cell>
          <cell r="E76" t="str">
            <v>PF</v>
          </cell>
          <cell r="F76">
            <v>21065864</v>
          </cell>
          <cell r="G76" t="str">
            <v xml:space="preserve">AGUILERA CRISTINA                      </v>
          </cell>
          <cell r="H76" t="str">
            <v>---</v>
          </cell>
          <cell r="I76" t="str">
            <v>--</v>
          </cell>
          <cell r="J76" t="str">
            <v>6°1°</v>
          </cell>
          <cell r="L76" t="str">
            <v>6IINVOP</v>
          </cell>
          <cell r="M76">
            <v>733612</v>
          </cell>
          <cell r="N76" t="str">
            <v>INVESTIGACION OPERATIVA</v>
          </cell>
        </row>
        <row r="77">
          <cell r="B77" t="str">
            <v xml:space="preserve"> </v>
          </cell>
          <cell r="C77" t="str">
            <v>SUPLENTE</v>
          </cell>
          <cell r="D77" t="e">
            <v>#REF!</v>
          </cell>
          <cell r="E77" t="str">
            <v>PF</v>
          </cell>
          <cell r="G77" t="str">
            <v>CARPITELA</v>
          </cell>
          <cell r="H77" t="str">
            <v>---</v>
          </cell>
          <cell r="I77" t="str">
            <v>--</v>
          </cell>
          <cell r="J77" t="str">
            <v>6°1°</v>
          </cell>
          <cell r="K77">
            <v>612</v>
          </cell>
          <cell r="L77" t="str">
            <v>6IFTLP6</v>
          </cell>
          <cell r="M77" t="str">
            <v>S/C</v>
          </cell>
          <cell r="N77" t="str">
            <v xml:space="preserve">LAB DE PROGRAM </v>
          </cell>
        </row>
        <row r="78">
          <cell r="B78" t="str">
            <v xml:space="preserve"> </v>
          </cell>
          <cell r="C78" t="str">
            <v>SUPLENTE</v>
          </cell>
          <cell r="D78" t="e">
            <v>#REF!</v>
          </cell>
          <cell r="E78" t="str">
            <v>PF</v>
          </cell>
          <cell r="F78">
            <v>26134224</v>
          </cell>
          <cell r="G78" t="str">
            <v>FERREYRA YESICA</v>
          </cell>
          <cell r="H78" t="str">
            <v>---</v>
          </cell>
          <cell r="J78" t="str">
            <v>6°1°</v>
          </cell>
          <cell r="K78">
            <v>612</v>
          </cell>
          <cell r="L78" t="str">
            <v>6IFHLS6</v>
          </cell>
          <cell r="M78" t="str">
            <v>S/C</v>
          </cell>
          <cell r="N78" t="str">
            <v xml:space="preserve"> </v>
          </cell>
        </row>
        <row r="79">
          <cell r="B79" t="str">
            <v xml:space="preserve"> </v>
          </cell>
          <cell r="C79" t="str">
            <v>SUPLENTE</v>
          </cell>
          <cell r="D79" t="e">
            <v>#REF!</v>
          </cell>
          <cell r="E79" t="str">
            <v>PF</v>
          </cell>
          <cell r="F79">
            <v>34931069</v>
          </cell>
          <cell r="G79" t="str">
            <v>DIAZ, ELISEO</v>
          </cell>
          <cell r="H79" t="str">
            <v>---</v>
          </cell>
          <cell r="I79" t="str">
            <v>--</v>
          </cell>
          <cell r="J79" t="str">
            <v>6°2°</v>
          </cell>
          <cell r="L79" t="str">
            <v>6ILITS</v>
          </cell>
          <cell r="M79">
            <v>733438</v>
          </cell>
          <cell r="N79" t="str">
            <v>LITERATURA</v>
          </cell>
        </row>
        <row r="80">
          <cell r="B80" t="str">
            <v xml:space="preserve"> </v>
          </cell>
          <cell r="C80" t="str">
            <v>SUPLENTE</v>
          </cell>
          <cell r="D80" t="e">
            <v>#REF!</v>
          </cell>
          <cell r="E80" t="str">
            <v>PF</v>
          </cell>
          <cell r="F80" t="str">
            <v xml:space="preserve"> 27-14.685.999-8 </v>
          </cell>
          <cell r="G80" t="str">
            <v xml:space="preserve">SOSA SILVIA BEATRIZ </v>
          </cell>
          <cell r="H80" t="str">
            <v>---</v>
          </cell>
          <cell r="I80" t="str">
            <v>--</v>
          </cell>
          <cell r="J80" t="str">
            <v>6°2°</v>
          </cell>
          <cell r="K80">
            <v>621</v>
          </cell>
          <cell r="L80" t="str">
            <v>6IFTLP6</v>
          </cell>
          <cell r="M80">
            <v>1643763</v>
          </cell>
          <cell r="N80" t="str">
            <v xml:space="preserve">LAB DE PROGRAM </v>
          </cell>
        </row>
        <row r="81">
          <cell r="B81" t="str">
            <v xml:space="preserve"> </v>
          </cell>
          <cell r="C81" t="str">
            <v>SUPLENTE</v>
          </cell>
          <cell r="D81" t="e">
            <v>#REF!</v>
          </cell>
          <cell r="E81" t="str">
            <v>PF</v>
          </cell>
          <cell r="G81" t="str">
            <v>GOMEZ A</v>
          </cell>
          <cell r="H81" t="str">
            <v>---</v>
          </cell>
          <cell r="I81" t="str">
            <v>--</v>
          </cell>
          <cell r="J81" t="str">
            <v>6°2°</v>
          </cell>
          <cell r="K81">
            <v>622</v>
          </cell>
          <cell r="L81" t="str">
            <v>6IFTLA6</v>
          </cell>
          <cell r="M81" t="str">
            <v>S/C</v>
          </cell>
          <cell r="N81" t="str">
            <v xml:space="preserve">LAB DE APLICACIONES </v>
          </cell>
        </row>
        <row r="82">
          <cell r="B82" t="str">
            <v xml:space="preserve"> </v>
          </cell>
          <cell r="C82" t="str">
            <v>SUPLENTE</v>
          </cell>
          <cell r="D82" t="e">
            <v>#REF!</v>
          </cell>
          <cell r="E82" t="str">
            <v>PF</v>
          </cell>
          <cell r="F82" t="str">
            <v>. 26.196.183</v>
          </cell>
          <cell r="G82" t="str">
            <v>DELLA VECCHIA I</v>
          </cell>
          <cell r="H82" t="str">
            <v>---</v>
          </cell>
          <cell r="I82" t="str">
            <v>--</v>
          </cell>
          <cell r="J82" t="str">
            <v>7°1°</v>
          </cell>
          <cell r="K82">
            <v>711</v>
          </cell>
          <cell r="L82" t="str">
            <v>7IIMRSC</v>
          </cell>
          <cell r="M82">
            <v>1913702</v>
          </cell>
          <cell r="N82" t="str">
            <v>INSTALACION, MANTENIMIENTO Y REPARACION DE SISTEMAS COMPUTACIONALES-</v>
          </cell>
        </row>
        <row r="83">
          <cell r="B83" t="str">
            <v xml:space="preserve"> </v>
          </cell>
          <cell r="C83" t="str">
            <v>SUPLENTE</v>
          </cell>
          <cell r="D83" t="e">
            <v>#REF!</v>
          </cell>
          <cell r="E83" t="str">
            <v>PF</v>
          </cell>
          <cell r="F83" t="str">
            <v>. 26.196.183</v>
          </cell>
          <cell r="G83" t="str">
            <v>DELLA VECCHIA I</v>
          </cell>
          <cell r="H83" t="str">
            <v>---</v>
          </cell>
          <cell r="I83" t="str">
            <v>--</v>
          </cell>
          <cell r="J83" t="str">
            <v>7°1°</v>
          </cell>
          <cell r="K83">
            <v>711</v>
          </cell>
          <cell r="L83" t="str">
            <v>7IIMRRI</v>
          </cell>
          <cell r="M83">
            <v>1913707</v>
          </cell>
          <cell r="N83" t="str">
            <v xml:space="preserve">INSTALACION, MANTENIMIENTO Y REPARACION DE REDES INFORMATICAS- </v>
          </cell>
        </row>
        <row r="84">
          <cell r="B84" t="str">
            <v xml:space="preserve"> </v>
          </cell>
          <cell r="C84" t="str">
            <v>SUPLENTE</v>
          </cell>
          <cell r="D84" t="e">
            <v>#REF!</v>
          </cell>
          <cell r="E84" t="str">
            <v>PF</v>
          </cell>
          <cell r="F84" t="str">
            <v>. 26.196.183</v>
          </cell>
          <cell r="G84" t="str">
            <v>RIVERA JOSE F M</v>
          </cell>
          <cell r="H84" t="str">
            <v>---</v>
          </cell>
          <cell r="I84" t="str">
            <v>--</v>
          </cell>
          <cell r="J84" t="str">
            <v>7°1°</v>
          </cell>
          <cell r="K84">
            <v>712</v>
          </cell>
          <cell r="L84" t="str">
            <v>7IIMRSC</v>
          </cell>
          <cell r="M84">
            <v>1913725</v>
          </cell>
          <cell r="N84" t="str">
            <v>INSTALACION, MANTENIMIENTO Y REPARACION DE SISTEMAS COMPUTACIONALES-</v>
          </cell>
        </row>
        <row r="85">
          <cell r="B85" t="str">
            <v>5°4°5EAMCS</v>
          </cell>
          <cell r="C85" t="str">
            <v>SUPLENTE</v>
          </cell>
          <cell r="D85" t="e">
            <v>#REF!</v>
          </cell>
          <cell r="E85" t="str">
            <v>PF</v>
          </cell>
          <cell r="F85" t="str">
            <v>..</v>
          </cell>
          <cell r="G85" t="str">
            <v>GUTIERREZ NICOLAS</v>
          </cell>
          <cell r="H85" t="str">
            <v>---</v>
          </cell>
          <cell r="J85" t="str">
            <v>5°4°</v>
          </cell>
          <cell r="L85" t="str">
            <v>5EAMC</v>
          </cell>
          <cell r="M85">
            <v>1643760</v>
          </cell>
          <cell r="N85" t="str">
            <v>ANALISIS DE LOS MODELOS CIRCUITALES</v>
          </cell>
        </row>
        <row r="86">
          <cell r="B86" t="str">
            <v xml:space="preserve"> </v>
          </cell>
          <cell r="C86" t="str">
            <v>SUPLENTE</v>
          </cell>
          <cell r="D86" t="e">
            <v>#REF!</v>
          </cell>
          <cell r="E86" t="str">
            <v>PF</v>
          </cell>
          <cell r="G86" t="str">
            <v xml:space="preserve">ORMEÑO </v>
          </cell>
          <cell r="H86" t="str">
            <v>---</v>
          </cell>
          <cell r="I86" t="str">
            <v>--</v>
          </cell>
          <cell r="J86" t="str">
            <v>4°2°</v>
          </cell>
          <cell r="K86">
            <v>422</v>
          </cell>
          <cell r="L86" t="str">
            <v>4IFTLP4</v>
          </cell>
          <cell r="M86">
            <v>733327</v>
          </cell>
          <cell r="N86" t="e">
            <v>#N/A</v>
          </cell>
        </row>
        <row r="87">
          <cell r="B87" t="str">
            <v xml:space="preserve"> </v>
          </cell>
          <cell r="C87" t="str">
            <v>SUPLENTE</v>
          </cell>
          <cell r="D87" t="e">
            <v>#REF!</v>
          </cell>
          <cell r="E87" t="str">
            <v>PF</v>
          </cell>
          <cell r="G87" t="str">
            <v>RAMIREZ GISELA</v>
          </cell>
          <cell r="H87" t="str">
            <v>----</v>
          </cell>
          <cell r="I87" t="str">
            <v>---</v>
          </cell>
          <cell r="J87" t="str">
            <v>6°1°</v>
          </cell>
          <cell r="L87" t="str">
            <v>6IINGS</v>
          </cell>
          <cell r="M87">
            <v>733375</v>
          </cell>
          <cell r="N87" t="str">
            <v>INGLÉS</v>
          </cell>
        </row>
        <row r="88">
          <cell r="B88" t="str">
            <v xml:space="preserve"> </v>
          </cell>
          <cell r="C88" t="str">
            <v>SUPLENTE</v>
          </cell>
          <cell r="D88" t="e">
            <v>#REF!</v>
          </cell>
          <cell r="E88" t="str">
            <v>PF</v>
          </cell>
          <cell r="G88" t="str">
            <v>HERRERA STELLA</v>
          </cell>
          <cell r="H88" t="str">
            <v>----</v>
          </cell>
          <cell r="I88" t="str">
            <v>----</v>
          </cell>
          <cell r="J88" t="str">
            <v>6°2°</v>
          </cell>
          <cell r="L88" t="str">
            <v>6ISEIN</v>
          </cell>
          <cell r="M88" t="str">
            <v>S/C</v>
          </cell>
          <cell r="N88" t="str">
            <v>SEGURIDAD INFORMATICA</v>
          </cell>
        </row>
        <row r="89">
          <cell r="B89" t="str">
            <v xml:space="preserve"> </v>
          </cell>
          <cell r="C89" t="str">
            <v>SUPLENTE</v>
          </cell>
          <cell r="D89" t="e">
            <v>#REF!</v>
          </cell>
          <cell r="E89" t="str">
            <v>PF</v>
          </cell>
          <cell r="G89" t="str">
            <v>ESPINDOLA, S</v>
          </cell>
          <cell r="H89" t="str">
            <v>----</v>
          </cell>
          <cell r="I89" t="str">
            <v>--</v>
          </cell>
          <cell r="J89" t="str">
            <v>4°2°</v>
          </cell>
          <cell r="L89" t="str">
            <v>4IFIS</v>
          </cell>
          <cell r="M89" t="str">
            <v>S/C</v>
          </cell>
          <cell r="N89" t="str">
            <v>FISICA</v>
          </cell>
        </row>
        <row r="90">
          <cell r="B90" t="str">
            <v xml:space="preserve"> </v>
          </cell>
          <cell r="C90" t="str">
            <v>SUPLENTE</v>
          </cell>
          <cell r="D90" t="e">
            <v>#REF!</v>
          </cell>
          <cell r="E90" t="str">
            <v>PF</v>
          </cell>
          <cell r="G90" t="str">
            <v>ARIAS, YANINA</v>
          </cell>
          <cell r="H90" t="str">
            <v>----</v>
          </cell>
          <cell r="I90" t="str">
            <v>---</v>
          </cell>
          <cell r="J90" t="str">
            <v>3°2°</v>
          </cell>
          <cell r="L90" t="str">
            <v>3BIO</v>
          </cell>
          <cell r="M90">
            <v>1644183</v>
          </cell>
          <cell r="N90" t="str">
            <v>BIOLOGIA</v>
          </cell>
        </row>
        <row r="91">
          <cell r="B91" t="str">
            <v>5°5°5515IFTLH5S</v>
          </cell>
          <cell r="C91" t="str">
            <v>SUPLENTE</v>
          </cell>
          <cell r="D91" t="e">
            <v>#REF!</v>
          </cell>
          <cell r="E91" t="str">
            <v>PF</v>
          </cell>
          <cell r="F91">
            <v>27464627</v>
          </cell>
          <cell r="G91" t="str">
            <v>HERRERA, STELLA</v>
          </cell>
          <cell r="H91" t="str">
            <v>----</v>
          </cell>
          <cell r="J91" t="str">
            <v>5°5°</v>
          </cell>
          <cell r="K91">
            <v>551</v>
          </cell>
          <cell r="L91" t="str">
            <v>5IFTLH5</v>
          </cell>
          <cell r="M91" t="str">
            <v>S/C</v>
          </cell>
          <cell r="N91" t="str">
            <v xml:space="preserve">LAB DE HARDWARE </v>
          </cell>
        </row>
        <row r="92">
          <cell r="B92" t="str">
            <v xml:space="preserve"> </v>
          </cell>
          <cell r="C92" t="str">
            <v>SUPLENTE</v>
          </cell>
          <cell r="D92" t="e">
            <v>#REF!</v>
          </cell>
          <cell r="E92" t="str">
            <v>PF</v>
          </cell>
          <cell r="G92" t="str">
            <v>ROCHA, JULIETA</v>
          </cell>
          <cell r="H92" t="str">
            <v>----</v>
          </cell>
          <cell r="I92" t="str">
            <v>---</v>
          </cell>
          <cell r="J92" t="str">
            <v>4°1°</v>
          </cell>
          <cell r="K92">
            <v>411</v>
          </cell>
          <cell r="L92" t="str">
            <v>4IFTLA4</v>
          </cell>
          <cell r="M92" t="str">
            <v>S/C</v>
          </cell>
          <cell r="N92" t="str">
            <v>LAB DE APLICACIONES</v>
          </cell>
        </row>
        <row r="93">
          <cell r="B93" t="str">
            <v xml:space="preserve"> </v>
          </cell>
          <cell r="C93" t="str">
            <v>SUPLENTE</v>
          </cell>
          <cell r="D93" t="e">
            <v>#REF!</v>
          </cell>
          <cell r="E93" t="str">
            <v>PF</v>
          </cell>
          <cell r="G93" t="str">
            <v>VERON, LEANDRO</v>
          </cell>
          <cell r="H93" t="str">
            <v>----</v>
          </cell>
          <cell r="I93">
            <v>44621</v>
          </cell>
          <cell r="J93" t="str">
            <v>6°1°</v>
          </cell>
          <cell r="K93">
            <v>611</v>
          </cell>
          <cell r="L93" t="str">
            <v>6IFTLP6</v>
          </cell>
          <cell r="M93">
            <v>733719</v>
          </cell>
          <cell r="N93" t="str">
            <v xml:space="preserve">LAB DE PROGRAM </v>
          </cell>
        </row>
        <row r="94">
          <cell r="B94" t="str">
            <v xml:space="preserve"> </v>
          </cell>
          <cell r="C94" t="str">
            <v>SUPLENTE</v>
          </cell>
          <cell r="D94" t="e">
            <v>#REF!</v>
          </cell>
          <cell r="E94" t="str">
            <v>PF</v>
          </cell>
          <cell r="G94" t="str">
            <v>MANSILLA ANDRES</v>
          </cell>
          <cell r="H94" t="str">
            <v>----</v>
          </cell>
          <cell r="I94" t="str">
            <v>---</v>
          </cell>
          <cell r="J94" t="str">
            <v>3°5°</v>
          </cell>
          <cell r="L94" t="str">
            <v>3FI/QUI</v>
          </cell>
          <cell r="M94">
            <v>2232465</v>
          </cell>
          <cell r="N94" t="e">
            <v>#N/A</v>
          </cell>
        </row>
        <row r="95">
          <cell r="B95" t="str">
            <v xml:space="preserve"> </v>
          </cell>
          <cell r="C95" t="str">
            <v>SUPLENTE</v>
          </cell>
          <cell r="D95" t="e">
            <v>#REF!</v>
          </cell>
          <cell r="E95" t="str">
            <v>PF</v>
          </cell>
          <cell r="G95" t="str">
            <v>PERREYRA</v>
          </cell>
          <cell r="H95" t="str">
            <v>----</v>
          </cell>
          <cell r="I95" t="str">
            <v>----</v>
          </cell>
          <cell r="J95" t="str">
            <v>4°3°</v>
          </cell>
          <cell r="L95" t="str">
            <v>4EQUIS</v>
          </cell>
          <cell r="M95">
            <v>733563</v>
          </cell>
          <cell r="N95" t="str">
            <v>QUIMICA</v>
          </cell>
        </row>
        <row r="96">
          <cell r="B96" t="str">
            <v xml:space="preserve"> </v>
          </cell>
          <cell r="C96" t="str">
            <v>SUPLENTE</v>
          </cell>
          <cell r="D96" t="e">
            <v>#REF!</v>
          </cell>
          <cell r="E96" t="str">
            <v>PF</v>
          </cell>
          <cell r="G96" t="str">
            <v>LUNA</v>
          </cell>
          <cell r="H96" t="str">
            <v>----</v>
          </cell>
          <cell r="I96" t="str">
            <v>---</v>
          </cell>
          <cell r="J96" t="str">
            <v>6°1°</v>
          </cell>
          <cell r="L96" t="str">
            <v>6IINVOP</v>
          </cell>
          <cell r="M96">
            <v>733612</v>
          </cell>
          <cell r="N96" t="str">
            <v>INVESTIGACION OPERATIVA</v>
          </cell>
        </row>
        <row r="97">
          <cell r="B97" t="str">
            <v xml:space="preserve"> </v>
          </cell>
          <cell r="C97" t="str">
            <v>SUPLENTE</v>
          </cell>
          <cell r="D97" t="e">
            <v>#REF!</v>
          </cell>
          <cell r="E97" t="str">
            <v>PF</v>
          </cell>
          <cell r="G97" t="str">
            <v>GERSTNER</v>
          </cell>
          <cell r="H97">
            <v>44621</v>
          </cell>
          <cell r="I97" t="str">
            <v>--</v>
          </cell>
          <cell r="J97" t="str">
            <v>1°6°</v>
          </cell>
          <cell r="L97" t="str">
            <v>1SOC</v>
          </cell>
          <cell r="M97">
            <v>2232480</v>
          </cell>
          <cell r="N97" t="str">
            <v>CIENCIAS SOCIALES</v>
          </cell>
        </row>
        <row r="98">
          <cell r="B98" t="str">
            <v xml:space="preserve"> </v>
          </cell>
          <cell r="C98" t="str">
            <v>SUPLENTE</v>
          </cell>
          <cell r="D98" t="e">
            <v>#REF!</v>
          </cell>
          <cell r="E98" t="str">
            <v>PF</v>
          </cell>
          <cell r="G98" t="str">
            <v>JUAREZ NORMA</v>
          </cell>
          <cell r="H98">
            <v>44621</v>
          </cell>
          <cell r="I98" t="str">
            <v>---</v>
          </cell>
          <cell r="J98" t="str">
            <v>5°3°</v>
          </cell>
          <cell r="L98" t="str">
            <v>5EHIS5</v>
          </cell>
          <cell r="M98">
            <v>2355535</v>
          </cell>
          <cell r="N98" t="str">
            <v>HISTORIA</v>
          </cell>
        </row>
        <row r="99">
          <cell r="B99" t="str">
            <v xml:space="preserve"> </v>
          </cell>
          <cell r="C99" t="str">
            <v>SUPLENTE</v>
          </cell>
          <cell r="D99" t="e">
            <v>#REF!</v>
          </cell>
          <cell r="E99" t="str">
            <v>PF</v>
          </cell>
          <cell r="G99" t="str">
            <v>ROCHA, JULIETA</v>
          </cell>
          <cell r="H99" t="str">
            <v>----</v>
          </cell>
          <cell r="I99" t="str">
            <v>--</v>
          </cell>
          <cell r="J99" t="str">
            <v>6°1°</v>
          </cell>
          <cell r="K99">
            <v>611</v>
          </cell>
          <cell r="L99" t="str">
            <v>6IFTLH6</v>
          </cell>
          <cell r="M99" t="str">
            <v>S/C</v>
          </cell>
          <cell r="N99" t="str">
            <v xml:space="preserve">LAB DE HARDWARE </v>
          </cell>
        </row>
        <row r="100">
          <cell r="B100" t="str">
            <v xml:space="preserve"> </v>
          </cell>
          <cell r="C100" t="str">
            <v>SUPLENTE</v>
          </cell>
          <cell r="D100" t="e">
            <v>#REF!</v>
          </cell>
          <cell r="E100" t="str">
            <v>PF</v>
          </cell>
          <cell r="G100" t="str">
            <v>SELVAS EZEQUIEL</v>
          </cell>
          <cell r="H100" t="str">
            <v>----</v>
          </cell>
          <cell r="I100" t="str">
            <v>---</v>
          </cell>
          <cell r="J100" t="str">
            <v>6°1°</v>
          </cell>
          <cell r="K100">
            <v>612</v>
          </cell>
          <cell r="L100" t="str">
            <v>6IFTLA6</v>
          </cell>
          <cell r="M100" t="str">
            <v>S/C</v>
          </cell>
          <cell r="N100" t="str">
            <v xml:space="preserve">LAB DE APLICACIONES </v>
          </cell>
        </row>
        <row r="101">
          <cell r="B101" t="str">
            <v xml:space="preserve"> </v>
          </cell>
          <cell r="C101" t="str">
            <v>SUPLENTE</v>
          </cell>
          <cell r="D101" t="e">
            <v>#REF!</v>
          </cell>
          <cell r="E101" t="str">
            <v>PF</v>
          </cell>
          <cell r="F101">
            <v>29615231</v>
          </cell>
          <cell r="G101" t="str">
            <v xml:space="preserve">BARCENILLA, JAVIER </v>
          </cell>
          <cell r="H101" t="str">
            <v>----</v>
          </cell>
          <cell r="I101" t="str">
            <v>---</v>
          </cell>
          <cell r="J101" t="str">
            <v>5°5°</v>
          </cell>
          <cell r="K101">
            <v>551</v>
          </cell>
          <cell r="L101" t="str">
            <v>5IFTLA5</v>
          </cell>
          <cell r="M101" t="str">
            <v>S/C</v>
          </cell>
          <cell r="N101" t="str">
            <v xml:space="preserve">LAB DE APLICACIONES </v>
          </cell>
        </row>
        <row r="102">
          <cell r="B102" t="str">
            <v xml:space="preserve"> </v>
          </cell>
          <cell r="C102" t="str">
            <v>SUPLENTE</v>
          </cell>
          <cell r="D102" t="e">
            <v>#REF!</v>
          </cell>
          <cell r="E102" t="str">
            <v>PF</v>
          </cell>
          <cell r="F102" t="str">
            <v xml:space="preserve"> 20-24.636.854-0</v>
          </cell>
          <cell r="G102" t="str">
            <v>ANTONELLO, FERNANDO</v>
          </cell>
          <cell r="H102">
            <v>44621</v>
          </cell>
          <cell r="I102" t="str">
            <v>--</v>
          </cell>
          <cell r="J102" t="str">
            <v>3°5°</v>
          </cell>
          <cell r="L102" t="str">
            <v>3CCD</v>
          </cell>
          <cell r="M102">
            <v>2232462</v>
          </cell>
          <cell r="N102" t="str">
            <v>CONSTRUCCION DE LA CIUDADANIA</v>
          </cell>
        </row>
        <row r="103">
          <cell r="B103" t="str">
            <v xml:space="preserve"> </v>
          </cell>
          <cell r="C103" t="str">
            <v>SUPLENTE</v>
          </cell>
          <cell r="D103" t="e">
            <v>#REF!</v>
          </cell>
          <cell r="E103" t="str">
            <v>PF</v>
          </cell>
          <cell r="F103" t="str">
            <v>20-29.569.203-1</v>
          </cell>
          <cell r="G103" t="str">
            <v>LUEDUEÑA  NELSON</v>
          </cell>
          <cell r="H103" t="str">
            <v>----</v>
          </cell>
          <cell r="I103" t="str">
            <v>----</v>
          </cell>
          <cell r="J103" t="str">
            <v>1°2°</v>
          </cell>
          <cell r="L103" t="str">
            <v>1EFI</v>
          </cell>
          <cell r="M103">
            <v>839180</v>
          </cell>
          <cell r="N103" t="str">
            <v>EDUCACION FISICA</v>
          </cell>
        </row>
        <row r="104">
          <cell r="B104" t="str">
            <v xml:space="preserve"> </v>
          </cell>
          <cell r="C104" t="str">
            <v>SUPLENTE</v>
          </cell>
          <cell r="D104" t="e">
            <v>#REF!</v>
          </cell>
          <cell r="E104" t="str">
            <v>PF</v>
          </cell>
          <cell r="G104" t="str">
            <v>VERON LEANDRO DAMIAN</v>
          </cell>
          <cell r="H104" t="str">
            <v>----</v>
          </cell>
          <cell r="I104" t="str">
            <v>---</v>
          </cell>
          <cell r="J104" t="str">
            <v>6°1°</v>
          </cell>
          <cell r="K104">
            <v>611</v>
          </cell>
          <cell r="L104" t="str">
            <v>6IFTLA6</v>
          </cell>
          <cell r="M104" t="str">
            <v>S/C</v>
          </cell>
          <cell r="N104" t="str">
            <v xml:space="preserve">LAB DE APLICACIONES </v>
          </cell>
        </row>
        <row r="105">
          <cell r="B105" t="str">
            <v xml:space="preserve"> </v>
          </cell>
          <cell r="C105" t="str">
            <v>SUPLENTE</v>
          </cell>
          <cell r="D105" t="e">
            <v>#REF!</v>
          </cell>
          <cell r="G105" t="str">
            <v>CRUZ DAVID</v>
          </cell>
          <cell r="H105" t="str">
            <v>-----</v>
          </cell>
          <cell r="I105">
            <v>44926</v>
          </cell>
          <cell r="J105" t="str">
            <v>7°2°</v>
          </cell>
          <cell r="K105">
            <v>722</v>
          </cell>
          <cell r="L105" t="str">
            <v>7EPRODE</v>
          </cell>
          <cell r="M105">
            <v>1913848</v>
          </cell>
          <cell r="N105" t="str">
            <v xml:space="preserve">PROYECTO Y DISEÑO ELECTRONICO </v>
          </cell>
        </row>
        <row r="106">
          <cell r="B106" t="str">
            <v xml:space="preserve"> </v>
          </cell>
          <cell r="C106" t="str">
            <v>SUPLENTE</v>
          </cell>
          <cell r="D106" t="e">
            <v>#REF!</v>
          </cell>
          <cell r="E106" t="str">
            <v>PF</v>
          </cell>
          <cell r="F106">
            <v>29615231</v>
          </cell>
          <cell r="G106" t="str">
            <v xml:space="preserve">BARCENILLA, JAVIER </v>
          </cell>
          <cell r="H106" t="str">
            <v>----</v>
          </cell>
          <cell r="I106" t="str">
            <v>---</v>
          </cell>
          <cell r="J106" t="str">
            <v>6°2°</v>
          </cell>
          <cell r="K106">
            <v>621</v>
          </cell>
          <cell r="L106" t="str">
            <v>6IFTLH6</v>
          </cell>
          <cell r="M106" t="str">
            <v>S/C</v>
          </cell>
          <cell r="N106" t="str">
            <v xml:space="preserve">LAB DE HARDWARE </v>
          </cell>
        </row>
        <row r="107">
          <cell r="B107" t="str">
            <v>7°2°7227EELEAPS</v>
          </cell>
          <cell r="C107" t="str">
            <v>SUPLENTE</v>
          </cell>
          <cell r="D107" t="e">
            <v>#REF!</v>
          </cell>
          <cell r="E107" t="str">
            <v>PF</v>
          </cell>
          <cell r="G107" t="str">
            <v>GUTIERREZ NICOLAS</v>
          </cell>
          <cell r="H107">
            <v>44650</v>
          </cell>
          <cell r="J107" t="str">
            <v>7°2°</v>
          </cell>
          <cell r="K107">
            <v>722</v>
          </cell>
          <cell r="L107" t="str">
            <v>7EELEAP</v>
          </cell>
          <cell r="M107">
            <v>1913864</v>
          </cell>
          <cell r="N107" t="str">
            <v>ELECTRONICA APLICADA</v>
          </cell>
        </row>
        <row r="108">
          <cell r="B108" t="str">
            <v xml:space="preserve"> </v>
          </cell>
          <cell r="C108" t="str">
            <v>SUPLENTE</v>
          </cell>
          <cell r="D108" t="e">
            <v>#REF!</v>
          </cell>
          <cell r="E108" t="str">
            <v>PF</v>
          </cell>
          <cell r="G108" t="str">
            <v>ROCHA, JULIETA</v>
          </cell>
          <cell r="H108" t="str">
            <v>---</v>
          </cell>
          <cell r="I108" t="str">
            <v>---</v>
          </cell>
          <cell r="J108" t="str">
            <v>4°2°</v>
          </cell>
          <cell r="K108">
            <v>422</v>
          </cell>
          <cell r="L108" t="str">
            <v>4IFTLA4</v>
          </cell>
          <cell r="M108" t="str">
            <v>S/C</v>
          </cell>
          <cell r="N108" t="str">
            <v>LAB DE APLICACIONES</v>
          </cell>
        </row>
        <row r="109">
          <cell r="B109" t="str">
            <v xml:space="preserve"> </v>
          </cell>
          <cell r="C109" t="str">
            <v>SUPLENTE</v>
          </cell>
          <cell r="D109" t="e">
            <v>#REF!</v>
          </cell>
          <cell r="E109" t="str">
            <v>PF</v>
          </cell>
          <cell r="G109" t="str">
            <v>MONTENEGRO, CLAUDIA</v>
          </cell>
          <cell r="H109">
            <v>44651</v>
          </cell>
          <cell r="I109" t="str">
            <v>--</v>
          </cell>
          <cell r="J109" t="str">
            <v>6°2°</v>
          </cell>
          <cell r="K109">
            <v>622</v>
          </cell>
          <cell r="L109" t="str">
            <v>6IFTLH6</v>
          </cell>
          <cell r="M109" t="str">
            <v>S/C</v>
          </cell>
          <cell r="N109" t="str">
            <v xml:space="preserve">LAB DE HARDWARE </v>
          </cell>
        </row>
        <row r="110">
          <cell r="B110" t="str">
            <v xml:space="preserve"> </v>
          </cell>
          <cell r="C110" t="str">
            <v>SUPLENTE</v>
          </cell>
          <cell r="D110" t="e">
            <v>#REF!</v>
          </cell>
          <cell r="E110" t="str">
            <v>PF</v>
          </cell>
          <cell r="G110" t="str">
            <v>ACUÑA MARIA LAURA</v>
          </cell>
          <cell r="H110" t="str">
            <v>--</v>
          </cell>
          <cell r="I110" t="str">
            <v>--</v>
          </cell>
          <cell r="J110" t="str">
            <v>1°1°</v>
          </cell>
          <cell r="L110" t="str">
            <v>1NAT</v>
          </cell>
          <cell r="M110">
            <v>733442</v>
          </cell>
          <cell r="N110" t="str">
            <v>CIENCIAS NATUIRALES</v>
          </cell>
        </row>
        <row r="111">
          <cell r="B111" t="str">
            <v xml:space="preserve"> </v>
          </cell>
          <cell r="C111" t="str">
            <v>SUPLENTE</v>
          </cell>
          <cell r="D111" t="e">
            <v>#REF!</v>
          </cell>
          <cell r="E111" t="str">
            <v>PF</v>
          </cell>
          <cell r="G111" t="str">
            <v>DIAZ HECTOR</v>
          </cell>
          <cell r="H111" t="str">
            <v>--</v>
          </cell>
          <cell r="I111" t="str">
            <v>---</v>
          </cell>
          <cell r="J111" t="str">
            <v>1°3°</v>
          </cell>
          <cell r="L111" t="str">
            <v>1NAT</v>
          </cell>
          <cell r="M111">
            <v>733475</v>
          </cell>
          <cell r="N111" t="str">
            <v>CIENCIAS NATUIRALES</v>
          </cell>
        </row>
        <row r="112">
          <cell r="B112" t="str">
            <v>1°6°51EFIS</v>
          </cell>
          <cell r="C112" t="str">
            <v>SUPLENTE</v>
          </cell>
          <cell r="D112" t="e">
            <v>#REF!</v>
          </cell>
          <cell r="E112" t="str">
            <v>PF</v>
          </cell>
          <cell r="G112" t="str">
            <v>VERA PEDRO</v>
          </cell>
          <cell r="H112" t="str">
            <v>--</v>
          </cell>
          <cell r="J112" t="str">
            <v>1°6°</v>
          </cell>
          <cell r="K112">
            <v>5</v>
          </cell>
          <cell r="L112" t="str">
            <v>1EFI</v>
          </cell>
          <cell r="M112">
            <v>2232483</v>
          </cell>
          <cell r="N112" t="str">
            <v>EDUCACION FISICA</v>
          </cell>
        </row>
        <row r="113">
          <cell r="B113" t="str">
            <v>1°6°1611TPTS</v>
          </cell>
          <cell r="C113" t="str">
            <v>SUPLENTE</v>
          </cell>
          <cell r="D113" t="e">
            <v>#REF!</v>
          </cell>
          <cell r="E113" t="str">
            <v>PF</v>
          </cell>
          <cell r="G113" t="str">
            <v xml:space="preserve">LOPEZ. JOTHAN </v>
          </cell>
          <cell r="H113">
            <v>44652</v>
          </cell>
          <cell r="J113" t="str">
            <v>1°6°</v>
          </cell>
          <cell r="K113">
            <v>161</v>
          </cell>
          <cell r="L113" t="str">
            <v>1TPT</v>
          </cell>
          <cell r="M113">
            <v>2232499</v>
          </cell>
          <cell r="N113" t="str">
            <v>PROCEDIMIENTOS TECNICOS</v>
          </cell>
        </row>
        <row r="114">
          <cell r="B114" t="str">
            <v>1°6°1621TPTS</v>
          </cell>
          <cell r="C114" t="str">
            <v>SUPLENTE</v>
          </cell>
          <cell r="D114" t="e">
            <v>#REF!</v>
          </cell>
          <cell r="E114" t="str">
            <v>PF</v>
          </cell>
          <cell r="G114" t="str">
            <v xml:space="preserve">LOPEZ. JOTHAN </v>
          </cell>
          <cell r="H114">
            <v>44652</v>
          </cell>
          <cell r="J114" t="str">
            <v>1°6°</v>
          </cell>
          <cell r="K114">
            <v>162</v>
          </cell>
          <cell r="L114" t="str">
            <v>1TPT</v>
          </cell>
          <cell r="M114">
            <v>2232499</v>
          </cell>
          <cell r="N114" t="str">
            <v>PROCEDIMIENTOS TECNICOS</v>
          </cell>
        </row>
        <row r="115">
          <cell r="B115" t="str">
            <v xml:space="preserve"> </v>
          </cell>
          <cell r="C115" t="str">
            <v>SUPLENTE</v>
          </cell>
          <cell r="D115" t="e">
            <v>#REF!</v>
          </cell>
          <cell r="E115" t="str">
            <v>PF</v>
          </cell>
          <cell r="G115" t="str">
            <v xml:space="preserve">VERA LORENA                        </v>
          </cell>
          <cell r="H115" t="str">
            <v>--</v>
          </cell>
          <cell r="I115" t="str">
            <v>--</v>
          </cell>
          <cell r="J115" t="str">
            <v>2°1°</v>
          </cell>
          <cell r="K115">
            <v>212</v>
          </cell>
          <cell r="L115" t="str">
            <v>2TST2</v>
          </cell>
          <cell r="M115" t="str">
            <v>S/C</v>
          </cell>
          <cell r="N115" t="str">
            <v>SISTEMAS TECNOLGICOS</v>
          </cell>
        </row>
        <row r="116">
          <cell r="B116" t="str">
            <v>5°2°5215IFTLH5S</v>
          </cell>
          <cell r="C116" t="str">
            <v>SUPLENTE</v>
          </cell>
          <cell r="D116" t="e">
            <v>#REF!</v>
          </cell>
          <cell r="E116" t="str">
            <v>PF</v>
          </cell>
          <cell r="G116" t="str">
            <v>HERRRERA STELLA MARIS</v>
          </cell>
          <cell r="H116" t="str">
            <v>--</v>
          </cell>
          <cell r="J116" t="str">
            <v>5°2°</v>
          </cell>
          <cell r="K116">
            <v>521</v>
          </cell>
          <cell r="L116" t="str">
            <v>5IFTLH5</v>
          </cell>
          <cell r="M116" t="str">
            <v>S/C</v>
          </cell>
          <cell r="N116" t="str">
            <v xml:space="preserve">LAB DE HARDWARE </v>
          </cell>
        </row>
        <row r="117">
          <cell r="B117" t="str">
            <v xml:space="preserve"> </v>
          </cell>
          <cell r="C117" t="str">
            <v>SUPLENTE</v>
          </cell>
          <cell r="D117" t="e">
            <v>#REF!</v>
          </cell>
          <cell r="E117" t="str">
            <v>PF</v>
          </cell>
          <cell r="F117" t="str">
            <v>23-25.384.927-4</v>
          </cell>
          <cell r="G117" t="str">
            <v>AYALA VICORIA</v>
          </cell>
          <cell r="H117" t="str">
            <v>--</v>
          </cell>
          <cell r="I117" t="str">
            <v>--</v>
          </cell>
          <cell r="J117" t="str">
            <v>2°2°</v>
          </cell>
          <cell r="L117" t="str">
            <v>2GEO</v>
          </cell>
          <cell r="M117">
            <v>1644151</v>
          </cell>
          <cell r="N117" t="str">
            <v>GEOGRAFIA</v>
          </cell>
        </row>
        <row r="118">
          <cell r="B118" t="str">
            <v xml:space="preserve"> </v>
          </cell>
          <cell r="C118" t="str">
            <v>SUPLENTE</v>
          </cell>
          <cell r="D118" t="e">
            <v>#REF!</v>
          </cell>
          <cell r="G118" t="str">
            <v>VEGA TAMARA</v>
          </cell>
          <cell r="H118" t="str">
            <v>---</v>
          </cell>
          <cell r="I118" t="str">
            <v>--</v>
          </cell>
          <cell r="J118" t="str">
            <v>4°1°</v>
          </cell>
          <cell r="L118" t="str">
            <v>4IQUIS</v>
          </cell>
          <cell r="M118">
            <v>733424</v>
          </cell>
          <cell r="N118" t="e">
            <v>#N/A</v>
          </cell>
        </row>
        <row r="119">
          <cell r="B119" t="str">
            <v xml:space="preserve"> </v>
          </cell>
          <cell r="C119" t="str">
            <v>SUPLENTE</v>
          </cell>
          <cell r="D119" t="e">
            <v>#REF!</v>
          </cell>
          <cell r="E119" t="str">
            <v>PF</v>
          </cell>
          <cell r="G119" t="str">
            <v>GUTIERREZ NICOLAS</v>
          </cell>
          <cell r="H119" t="str">
            <v>---</v>
          </cell>
          <cell r="I119">
            <v>44657</v>
          </cell>
          <cell r="J119" t="str">
            <v>4°4°</v>
          </cell>
          <cell r="K119">
            <v>442</v>
          </cell>
          <cell r="L119" t="str">
            <v>4EFTED4</v>
          </cell>
          <cell r="M119" t="str">
            <v>S/C</v>
          </cell>
          <cell r="N119" t="str">
            <v xml:space="preserve">APLI DE ELECT DIGITAL </v>
          </cell>
        </row>
        <row r="120">
          <cell r="B120" t="str">
            <v xml:space="preserve"> </v>
          </cell>
          <cell r="C120" t="str">
            <v>SUPLENTE</v>
          </cell>
          <cell r="D120" t="e">
            <v>#REF!</v>
          </cell>
          <cell r="E120" t="str">
            <v>PF</v>
          </cell>
          <cell r="G120" t="str">
            <v>FRANCHINI SABRINA</v>
          </cell>
          <cell r="H120" t="str">
            <v>--</v>
          </cell>
          <cell r="I120" t="str">
            <v>---</v>
          </cell>
          <cell r="J120" t="str">
            <v>3°5°</v>
          </cell>
          <cell r="L120" t="str">
            <v>3BIO</v>
          </cell>
          <cell r="M120">
            <v>2232461</v>
          </cell>
          <cell r="N120" t="str">
            <v>BIOLOGIA</v>
          </cell>
        </row>
        <row r="121">
          <cell r="B121" t="str">
            <v>5°2°5225IFTLP5S</v>
          </cell>
          <cell r="C121" t="str">
            <v>SUPLENTE</v>
          </cell>
          <cell r="D121" t="e">
            <v>#REF!</v>
          </cell>
          <cell r="E121" t="str">
            <v>PF</v>
          </cell>
          <cell r="F121">
            <v>29615231</v>
          </cell>
          <cell r="G121" t="str">
            <v xml:space="preserve">BARCENILLA, JAVIER </v>
          </cell>
          <cell r="H121" t="str">
            <v>---</v>
          </cell>
          <cell r="J121" t="str">
            <v>5°2°</v>
          </cell>
          <cell r="K121">
            <v>522</v>
          </cell>
          <cell r="L121" t="str">
            <v>5IFTLP5</v>
          </cell>
          <cell r="M121" t="str">
            <v>S/C</v>
          </cell>
          <cell r="N121" t="str">
            <v xml:space="preserve">LAB DE PROGRAM </v>
          </cell>
        </row>
        <row r="122">
          <cell r="B122" t="str">
            <v xml:space="preserve"> </v>
          </cell>
          <cell r="C122" t="str">
            <v>SUPLENTE</v>
          </cell>
          <cell r="D122" t="e">
            <v>#REF!</v>
          </cell>
          <cell r="E122" t="str">
            <v>PF</v>
          </cell>
          <cell r="G122" t="str">
            <v>CIARDELLO NATALIA</v>
          </cell>
          <cell r="H122" t="str">
            <v>----</v>
          </cell>
          <cell r="I122" t="str">
            <v>---</v>
          </cell>
          <cell r="J122" t="str">
            <v>6°1°</v>
          </cell>
          <cell r="L122" t="str">
            <v>6IEFIS</v>
          </cell>
          <cell r="M122">
            <v>1180198</v>
          </cell>
          <cell r="N122" t="str">
            <v>EDUCACIÓN FISICA</v>
          </cell>
        </row>
        <row r="123">
          <cell r="B123" t="str">
            <v xml:space="preserve"> </v>
          </cell>
          <cell r="C123" t="str">
            <v>SUPLENTE</v>
          </cell>
          <cell r="D123" t="e">
            <v>#REF!</v>
          </cell>
          <cell r="E123" t="str">
            <v>PF</v>
          </cell>
          <cell r="G123" t="str">
            <v>FERNANDEZ MAXIMILIANO</v>
          </cell>
          <cell r="H123" t="str">
            <v>----</v>
          </cell>
          <cell r="I123" t="str">
            <v>---</v>
          </cell>
          <cell r="J123" t="str">
            <v>6°4°</v>
          </cell>
          <cell r="L123" t="str">
            <v>6EARTE</v>
          </cell>
          <cell r="M123" t="str">
            <v>S/C</v>
          </cell>
          <cell r="N123" t="str">
            <v>ARTE</v>
          </cell>
        </row>
        <row r="124">
          <cell r="B124" t="str">
            <v xml:space="preserve"> </v>
          </cell>
          <cell r="C124" t="str">
            <v>SUPLENTE</v>
          </cell>
          <cell r="D124" t="e">
            <v>#REF!</v>
          </cell>
          <cell r="E124" t="str">
            <v>PF</v>
          </cell>
          <cell r="F124">
            <v>27464627</v>
          </cell>
          <cell r="G124" t="str">
            <v xml:space="preserve">BARONI, ROBERTO </v>
          </cell>
          <cell r="H124" t="str">
            <v>----</v>
          </cell>
          <cell r="I124">
            <v>44810</v>
          </cell>
          <cell r="J124" t="str">
            <v>6°4°</v>
          </cell>
          <cell r="K124">
            <v>641</v>
          </cell>
          <cell r="L124" t="str">
            <v>6EFTED6</v>
          </cell>
          <cell r="M124" t="str">
            <v>S/C</v>
          </cell>
          <cell r="N124" t="str">
            <v xml:space="preserve">APLIC ELECTR DIGITAL </v>
          </cell>
        </row>
        <row r="125">
          <cell r="B125" t="str">
            <v xml:space="preserve"> </v>
          </cell>
          <cell r="C125" t="str">
            <v>SUPLENTE</v>
          </cell>
          <cell r="D125" t="e">
            <v>#REF!</v>
          </cell>
          <cell r="E125" t="str">
            <v>PF</v>
          </cell>
          <cell r="F125">
            <v>27316364454</v>
          </cell>
          <cell r="G125" t="str">
            <v>ACUÑA MARIA LAURA</v>
          </cell>
          <cell r="H125" t="str">
            <v>----</v>
          </cell>
          <cell r="I125" t="str">
            <v>--</v>
          </cell>
          <cell r="J125" t="str">
            <v>1°1°</v>
          </cell>
          <cell r="L125" t="str">
            <v>1NAT</v>
          </cell>
          <cell r="N125" t="str">
            <v>CIENCIAS NATURALES</v>
          </cell>
        </row>
        <row r="126">
          <cell r="B126" t="str">
            <v xml:space="preserve"> </v>
          </cell>
          <cell r="C126" t="str">
            <v>SUPLENTE</v>
          </cell>
          <cell r="D126" t="e">
            <v>#REF!</v>
          </cell>
          <cell r="E126" t="str">
            <v>PF</v>
          </cell>
          <cell r="G126" t="str">
            <v>FARIAS MATIAS</v>
          </cell>
          <cell r="H126" t="str">
            <v>----</v>
          </cell>
          <cell r="I126" t="str">
            <v>---</v>
          </cell>
          <cell r="J126" t="str">
            <v>1°6°</v>
          </cell>
          <cell r="L126" t="str">
            <v>1NAT</v>
          </cell>
          <cell r="N126" t="str">
            <v>CIENCIAS NATURALES</v>
          </cell>
        </row>
        <row r="127">
          <cell r="B127" t="str">
            <v>2°4°1MATS</v>
          </cell>
          <cell r="C127" t="str">
            <v>SUPLENTE</v>
          </cell>
          <cell r="D127" t="e">
            <v>#REF!</v>
          </cell>
          <cell r="E127" t="str">
            <v>PF</v>
          </cell>
          <cell r="G127" t="str">
            <v>BARRAZA  LUISA MADALENA</v>
          </cell>
          <cell r="H127" t="str">
            <v>----</v>
          </cell>
          <cell r="J127" t="str">
            <v>2°4°</v>
          </cell>
          <cell r="L127" t="str">
            <v>1MAT</v>
          </cell>
          <cell r="N127" t="str">
            <v>MATEMATICA</v>
          </cell>
        </row>
        <row r="128">
          <cell r="B128" t="str">
            <v xml:space="preserve"> </v>
          </cell>
          <cell r="C128" t="str">
            <v>SUPLENTE</v>
          </cell>
          <cell r="D128" t="e">
            <v>#REF!</v>
          </cell>
          <cell r="E128" t="str">
            <v>PF</v>
          </cell>
          <cell r="F128">
            <v>27292991164</v>
          </cell>
          <cell r="G128" t="str">
            <v>TEDESCO NATALIA</v>
          </cell>
          <cell r="H128" t="str">
            <v>----</v>
          </cell>
          <cell r="I128" t="str">
            <v>---</v>
          </cell>
          <cell r="J128" t="str">
            <v>5°2°</v>
          </cell>
          <cell r="L128" t="str">
            <v>5IANMAT</v>
          </cell>
          <cell r="N128" t="str">
            <v>ANALISIS MATEMATICA</v>
          </cell>
        </row>
        <row r="129">
          <cell r="B129" t="str">
            <v>4°4°4ESADSS</v>
          </cell>
          <cell r="C129" t="str">
            <v>SUPLENTE</v>
          </cell>
          <cell r="D129" t="e">
            <v>#REF!</v>
          </cell>
          <cell r="E129" t="str">
            <v>PF</v>
          </cell>
          <cell r="G129" t="str">
            <v>TORRES YANINA</v>
          </cell>
          <cell r="H129" t="str">
            <v>----</v>
          </cell>
          <cell r="J129" t="str">
            <v>4°4°</v>
          </cell>
          <cell r="L129" t="str">
            <v>4ESADS</v>
          </cell>
        </row>
        <row r="130">
          <cell r="B130" t="str">
            <v xml:space="preserve"> </v>
          </cell>
          <cell r="C130" t="str">
            <v>SUPLENTE</v>
          </cell>
          <cell r="D130" t="e">
            <v>#REF!</v>
          </cell>
          <cell r="E130" t="str">
            <v>PF</v>
          </cell>
          <cell r="G130" t="str">
            <v xml:space="preserve">MERCADO, GABRIELA </v>
          </cell>
          <cell r="H130" t="str">
            <v>----</v>
          </cell>
          <cell r="I130" t="str">
            <v>--</v>
          </cell>
          <cell r="J130" t="str">
            <v>6°1°</v>
          </cell>
          <cell r="L130" t="str">
            <v>6IMATAP</v>
          </cell>
        </row>
        <row r="131">
          <cell r="B131" t="str">
            <v xml:space="preserve"> </v>
          </cell>
          <cell r="C131" t="str">
            <v>SUPLENTE</v>
          </cell>
          <cell r="D131" t="e">
            <v>#REF!</v>
          </cell>
          <cell r="E131" t="str">
            <v>PF</v>
          </cell>
          <cell r="F131">
            <v>27262439858</v>
          </cell>
          <cell r="G131" t="str">
            <v>FERRARIS</v>
          </cell>
          <cell r="H131" t="str">
            <v>----</v>
          </cell>
          <cell r="I131" t="str">
            <v>--</v>
          </cell>
          <cell r="J131" t="str">
            <v>2°4°</v>
          </cell>
          <cell r="L131" t="str">
            <v>2MAT</v>
          </cell>
        </row>
        <row r="132">
          <cell r="B132" t="str">
            <v>3°3°3323TPT3S</v>
          </cell>
          <cell r="C132" t="str">
            <v>SUPLENTE</v>
          </cell>
          <cell r="D132" t="e">
            <v>#REF!</v>
          </cell>
          <cell r="E132" t="str">
            <v>PF</v>
          </cell>
          <cell r="G132" t="str">
            <v>CRUZ DAVID</v>
          </cell>
          <cell r="H132" t="str">
            <v>----</v>
          </cell>
          <cell r="J132" t="str">
            <v>3°3°</v>
          </cell>
          <cell r="K132">
            <v>332</v>
          </cell>
          <cell r="L132" t="str">
            <v>3TPT3</v>
          </cell>
          <cell r="M132" t="str">
            <v>S/C</v>
          </cell>
          <cell r="N132" t="str">
            <v>PROCEDIMIENTOS TECNICOS</v>
          </cell>
        </row>
        <row r="133">
          <cell r="B133" t="str">
            <v xml:space="preserve"> </v>
          </cell>
          <cell r="C133" t="str">
            <v>SUPLENTE</v>
          </cell>
          <cell r="D133" t="e">
            <v>#REF!</v>
          </cell>
          <cell r="E133" t="str">
            <v>PF</v>
          </cell>
          <cell r="G133" t="str">
            <v>HERRERA LEONEL</v>
          </cell>
          <cell r="H133" t="str">
            <v>---</v>
          </cell>
          <cell r="I133" t="str">
            <v>--</v>
          </cell>
          <cell r="J133" t="str">
            <v>4°1°</v>
          </cell>
          <cell r="K133">
            <v>411</v>
          </cell>
          <cell r="L133" t="str">
            <v>4IFTLS4</v>
          </cell>
          <cell r="M133" t="str">
            <v>S/C</v>
          </cell>
          <cell r="N133" t="str">
            <v xml:space="preserve">LAB DE SIST OPERATIVOS   </v>
          </cell>
        </row>
        <row r="134">
          <cell r="B134" t="str">
            <v xml:space="preserve"> </v>
          </cell>
          <cell r="C134" t="str">
            <v>SUPLENTE</v>
          </cell>
          <cell r="D134" t="e">
            <v>#REF!</v>
          </cell>
          <cell r="E134" t="str">
            <v>PF</v>
          </cell>
          <cell r="G134" t="str">
            <v xml:space="preserve"> KEMPER, NATALIA</v>
          </cell>
          <cell r="H134" t="str">
            <v>---</v>
          </cell>
          <cell r="I134" t="str">
            <v>--</v>
          </cell>
          <cell r="J134" t="str">
            <v>5°4°</v>
          </cell>
          <cell r="L134" t="str">
            <v>5EANMAT</v>
          </cell>
          <cell r="M134" t="str">
            <v>S/C</v>
          </cell>
          <cell r="N134" t="str">
            <v xml:space="preserve">LAB DE SIST OPERATIVOS   </v>
          </cell>
        </row>
        <row r="135">
          <cell r="B135" t="str">
            <v>4°4°4EFISS</v>
          </cell>
          <cell r="C135" t="str">
            <v>SUPLENTE</v>
          </cell>
          <cell r="D135" t="e">
            <v>#REF!</v>
          </cell>
          <cell r="E135" t="str">
            <v>PF</v>
          </cell>
          <cell r="G135" t="str">
            <v>PROCHOR JUAN</v>
          </cell>
          <cell r="H135" t="str">
            <v>---</v>
          </cell>
          <cell r="J135" t="str">
            <v>4°4°</v>
          </cell>
          <cell r="L135" t="str">
            <v>4EFIS</v>
          </cell>
          <cell r="M135">
            <v>733706</v>
          </cell>
          <cell r="N135" t="str">
            <v>FISICA</v>
          </cell>
        </row>
        <row r="136">
          <cell r="B136" t="str">
            <v xml:space="preserve"> </v>
          </cell>
          <cell r="C136" t="str">
            <v>SUPLENTE</v>
          </cell>
          <cell r="D136" t="e">
            <v>#REF!</v>
          </cell>
          <cell r="E136" t="str">
            <v>PF</v>
          </cell>
          <cell r="G136" t="str">
            <v>BRAUN BEATRIZ</v>
          </cell>
          <cell r="H136" t="str">
            <v>---</v>
          </cell>
          <cell r="I136" t="str">
            <v>---</v>
          </cell>
          <cell r="J136" t="str">
            <v>5°1°</v>
          </cell>
          <cell r="L136" t="str">
            <v>5ILITS</v>
          </cell>
          <cell r="M136">
            <v>733603</v>
          </cell>
          <cell r="N136" t="str">
            <v>LITERATURA</v>
          </cell>
        </row>
        <row r="137">
          <cell r="B137" t="str">
            <v>1°3°1321TSTS</v>
          </cell>
          <cell r="C137" t="str">
            <v>SUPLENTE</v>
          </cell>
          <cell r="D137" t="e">
            <v>#REF!</v>
          </cell>
          <cell r="E137" t="str">
            <v>PF</v>
          </cell>
          <cell r="G137" t="str">
            <v>GUTIERREZ NICOLAS</v>
          </cell>
          <cell r="H137" t="str">
            <v>---</v>
          </cell>
          <cell r="J137" t="str">
            <v>1°3°</v>
          </cell>
          <cell r="K137">
            <v>132</v>
          </cell>
          <cell r="L137" t="str">
            <v>1TST</v>
          </cell>
          <cell r="M137" t="str">
            <v>S/C</v>
          </cell>
          <cell r="N137" t="str">
            <v>SISTEMAS TECNOLGICOS</v>
          </cell>
        </row>
        <row r="138">
          <cell r="B138" t="str">
            <v xml:space="preserve"> </v>
          </cell>
          <cell r="C138" t="str">
            <v>SUPLENTE</v>
          </cell>
          <cell r="D138" t="e">
            <v>#REF!</v>
          </cell>
          <cell r="E138" t="str">
            <v>PF</v>
          </cell>
          <cell r="G138" t="str">
            <v>MAZU LEILA</v>
          </cell>
          <cell r="H138" t="str">
            <v>---</v>
          </cell>
          <cell r="I138" t="str">
            <v>---</v>
          </cell>
          <cell r="J138" t="str">
            <v>5°3°</v>
          </cell>
          <cell r="L138" t="str">
            <v>5EANMAT</v>
          </cell>
          <cell r="M138">
            <v>2355542</v>
          </cell>
          <cell r="N138" t="str">
            <v>ANALISIS MATEMATICO</v>
          </cell>
        </row>
        <row r="139">
          <cell r="B139" t="str">
            <v xml:space="preserve"> </v>
          </cell>
          <cell r="C139" t="str">
            <v>SUPLENTE</v>
          </cell>
          <cell r="D139" t="e">
            <v>#REF!</v>
          </cell>
          <cell r="E139" t="str">
            <v>PF</v>
          </cell>
          <cell r="G139" t="str">
            <v>FERNANDEZ JUAN</v>
          </cell>
          <cell r="H139" t="str">
            <v>---</v>
          </cell>
          <cell r="I139" t="str">
            <v>--</v>
          </cell>
          <cell r="J139" t="str">
            <v>4°3°</v>
          </cell>
          <cell r="L139" t="str">
            <v>4EQUIS</v>
          </cell>
          <cell r="M139">
            <v>733563</v>
          </cell>
          <cell r="N139" t="str">
            <v>QUIMICA</v>
          </cell>
        </row>
        <row r="140">
          <cell r="B140" t="str">
            <v>2°5°2FI/QUIS</v>
          </cell>
          <cell r="C140" t="str">
            <v>SUPLENTE</v>
          </cell>
          <cell r="D140" t="e">
            <v>#REF!</v>
          </cell>
          <cell r="E140" t="str">
            <v>PF</v>
          </cell>
          <cell r="G140" t="str">
            <v>MARTINEZ, CARLA</v>
          </cell>
          <cell r="H140" t="str">
            <v>---</v>
          </cell>
          <cell r="J140" t="str">
            <v>2°5°</v>
          </cell>
          <cell r="L140" t="str">
            <v>2FI/QUI</v>
          </cell>
          <cell r="M140">
            <v>1920684</v>
          </cell>
          <cell r="N140" t="str">
            <v>FISICO-QUIMICA</v>
          </cell>
        </row>
        <row r="141">
          <cell r="B141" t="str">
            <v xml:space="preserve"> </v>
          </cell>
          <cell r="C141" t="str">
            <v>SUPLENTE</v>
          </cell>
          <cell r="D141" t="e">
            <v>#REF!</v>
          </cell>
          <cell r="E141" t="str">
            <v>PF</v>
          </cell>
          <cell r="G141" t="str">
            <v>RODRIGUEZ ANA</v>
          </cell>
          <cell r="H141" t="str">
            <v>---</v>
          </cell>
          <cell r="I141" t="str">
            <v>---</v>
          </cell>
          <cell r="J141" t="str">
            <v>5°1°</v>
          </cell>
          <cell r="L141" t="str">
            <v>5IPYCS</v>
          </cell>
          <cell r="M141">
            <v>1643741</v>
          </cell>
          <cell r="N141" t="str">
            <v>POLITICA Y CIUDADANIA</v>
          </cell>
        </row>
        <row r="142">
          <cell r="B142" t="str">
            <v xml:space="preserve"> </v>
          </cell>
          <cell r="C142" t="str">
            <v>SUPLENTE</v>
          </cell>
          <cell r="D142" t="e">
            <v>#REF!</v>
          </cell>
          <cell r="E142" t="str">
            <v>PF</v>
          </cell>
          <cell r="G142" t="str">
            <v>MONTENEGRO, CLAUDIA</v>
          </cell>
          <cell r="H142" t="str">
            <v>----</v>
          </cell>
          <cell r="I142" t="str">
            <v>---</v>
          </cell>
          <cell r="J142" t="str">
            <v>6°2°</v>
          </cell>
          <cell r="L142" t="str">
            <v>6IINVOP</v>
          </cell>
          <cell r="M142">
            <v>733613</v>
          </cell>
          <cell r="N142" t="str">
            <v>INVESTIGACION OPERATIVA</v>
          </cell>
        </row>
        <row r="143">
          <cell r="B143" t="str">
            <v xml:space="preserve"> </v>
          </cell>
          <cell r="C143" t="str">
            <v>SUPLENTE</v>
          </cell>
          <cell r="D143" t="e">
            <v>#REF!</v>
          </cell>
          <cell r="E143" t="str">
            <v>PF</v>
          </cell>
          <cell r="G143" t="str">
            <v>LOPEZ CARLOS</v>
          </cell>
          <cell r="H143" t="str">
            <v>----</v>
          </cell>
          <cell r="I143" t="str">
            <v>--</v>
          </cell>
          <cell r="J143" t="str">
            <v>5°4°</v>
          </cell>
          <cell r="L143" t="str">
            <v>5EANMAT</v>
          </cell>
          <cell r="M143" t="str">
            <v>S/C</v>
          </cell>
          <cell r="N143" t="str">
            <v>ANALISIS MATEMATICO</v>
          </cell>
        </row>
        <row r="144">
          <cell r="B144" t="str">
            <v xml:space="preserve"> </v>
          </cell>
          <cell r="C144" t="str">
            <v>SUPLENTE</v>
          </cell>
          <cell r="D144" t="e">
            <v>#REF!</v>
          </cell>
          <cell r="E144" t="str">
            <v>PF</v>
          </cell>
          <cell r="G144" t="str">
            <v>GIMENEZ LUIS</v>
          </cell>
          <cell r="H144" t="str">
            <v>----</v>
          </cell>
          <cell r="I144" t="str">
            <v>---</v>
          </cell>
          <cell r="J144" t="str">
            <v>6°1°</v>
          </cell>
          <cell r="L144" t="str">
            <v>6IMATAP</v>
          </cell>
        </row>
        <row r="145">
          <cell r="B145" t="str">
            <v xml:space="preserve"> </v>
          </cell>
          <cell r="C145" t="str">
            <v>SUPLENTE</v>
          </cell>
          <cell r="D145" t="e">
            <v>#REF!</v>
          </cell>
          <cell r="E145" t="str">
            <v>PF</v>
          </cell>
          <cell r="G145" t="str">
            <v>IBARRA</v>
          </cell>
          <cell r="H145">
            <v>44834</v>
          </cell>
          <cell r="I145" t="str">
            <v>---</v>
          </cell>
          <cell r="J145" t="str">
            <v>2°1°</v>
          </cell>
          <cell r="K145">
            <v>211</v>
          </cell>
          <cell r="L145" t="str">
            <v>2TST2</v>
          </cell>
          <cell r="M145" t="str">
            <v>S/C</v>
          </cell>
          <cell r="N145" t="str">
            <v>SISTEMAS TECNOLGICOS</v>
          </cell>
        </row>
        <row r="146">
          <cell r="B146" t="str">
            <v xml:space="preserve"> </v>
          </cell>
          <cell r="C146" t="str">
            <v>SUPLENTE</v>
          </cell>
          <cell r="D146" t="e">
            <v>#REF!</v>
          </cell>
          <cell r="E146" t="str">
            <v>PF</v>
          </cell>
          <cell r="G146" t="str">
            <v>SPECIALE MAURICIO ANDRES</v>
          </cell>
          <cell r="H146">
            <v>44832</v>
          </cell>
          <cell r="I146" t="str">
            <v>---</v>
          </cell>
          <cell r="J146" t="str">
            <v>6°1°</v>
          </cell>
          <cell r="L146" t="str">
            <v>6IFILO</v>
          </cell>
          <cell r="M146">
            <v>7333604</v>
          </cell>
          <cell r="N146" t="str">
            <v>FILOSOFIA</v>
          </cell>
        </row>
        <row r="147">
          <cell r="B147" t="str">
            <v xml:space="preserve"> </v>
          </cell>
          <cell r="C147" t="str">
            <v>SUPLENTE</v>
          </cell>
          <cell r="D147" t="e">
            <v>#REF!</v>
          </cell>
          <cell r="E147" t="str">
            <v>PF</v>
          </cell>
          <cell r="G147" t="str">
            <v>ROCHA, JULIETA</v>
          </cell>
          <cell r="H147">
            <v>44832</v>
          </cell>
          <cell r="I147" t="str">
            <v>--</v>
          </cell>
          <cell r="J147" t="str">
            <v>7°1°</v>
          </cell>
          <cell r="L147" t="str">
            <v>7IMOSIS</v>
          </cell>
          <cell r="M147">
            <v>1913692</v>
          </cell>
          <cell r="N147" t="str">
            <v>MODELOS Y SISTEMAS</v>
          </cell>
        </row>
        <row r="148">
          <cell r="B148" t="str">
            <v>5°2°5225IFTLP5S</v>
          </cell>
          <cell r="C148" t="str">
            <v>SUPLENTE</v>
          </cell>
          <cell r="D148" t="e">
            <v>#REF!</v>
          </cell>
          <cell r="E148" t="str">
            <v>PF</v>
          </cell>
          <cell r="G148" t="str">
            <v>RIOS MARTA</v>
          </cell>
          <cell r="H148" t="str">
            <v>---</v>
          </cell>
          <cell r="J148" t="str">
            <v>5°2°</v>
          </cell>
          <cell r="K148">
            <v>522</v>
          </cell>
          <cell r="L148" t="str">
            <v>5IFTLP5</v>
          </cell>
          <cell r="M148" t="str">
            <v>S/C</v>
          </cell>
          <cell r="N148" t="str">
            <v xml:space="preserve">LAB DE PROGRAM </v>
          </cell>
        </row>
        <row r="149">
          <cell r="B149" t="str">
            <v xml:space="preserve"> </v>
          </cell>
          <cell r="C149" t="str">
            <v>SUPLENTE</v>
          </cell>
          <cell r="D149" t="e">
            <v>#REF!</v>
          </cell>
          <cell r="E149" t="str">
            <v>PF</v>
          </cell>
          <cell r="G149" t="str">
            <v>ROCHA, JULIETA</v>
          </cell>
          <cell r="H149" t="str">
            <v>---</v>
          </cell>
          <cell r="I149" t="str">
            <v>---</v>
          </cell>
          <cell r="J149" t="str">
            <v>6°2°</v>
          </cell>
          <cell r="K149">
            <v>621</v>
          </cell>
          <cell r="L149" t="str">
            <v>6IFHLS6</v>
          </cell>
          <cell r="M149" t="str">
            <v>S/C</v>
          </cell>
          <cell r="N149" t="str">
            <v xml:space="preserve">LAB DE SIST OPERATIVOS </v>
          </cell>
        </row>
        <row r="150">
          <cell r="B150" t="str">
            <v xml:space="preserve"> </v>
          </cell>
          <cell r="C150" t="str">
            <v>SUPLENTE</v>
          </cell>
          <cell r="D150" t="e">
            <v>#REF!</v>
          </cell>
          <cell r="E150" t="str">
            <v>PF</v>
          </cell>
          <cell r="G150" t="str">
            <v>BECERRO GUSTAVO</v>
          </cell>
          <cell r="H150" t="str">
            <v>---</v>
          </cell>
          <cell r="I150" t="str">
            <v>---</v>
          </cell>
          <cell r="J150" t="str">
            <v>3°2°</v>
          </cell>
          <cell r="K150">
            <v>322</v>
          </cell>
          <cell r="L150" t="str">
            <v>3TST3</v>
          </cell>
          <cell r="M150" t="str">
            <v>S/C</v>
          </cell>
          <cell r="N150" t="str">
            <v>SISTEMAS TECNOLGICOS</v>
          </cell>
        </row>
        <row r="151">
          <cell r="B151" t="str">
            <v xml:space="preserve"> </v>
          </cell>
          <cell r="C151" t="str">
            <v>SUPLENTE</v>
          </cell>
          <cell r="D151" t="e">
            <v>#REF!</v>
          </cell>
          <cell r="E151" t="str">
            <v>PF</v>
          </cell>
          <cell r="G151" t="str">
            <v>GATTESCO, RENZO</v>
          </cell>
          <cell r="H151" t="str">
            <v>---</v>
          </cell>
          <cell r="I151">
            <v>44895</v>
          </cell>
          <cell r="J151" t="str">
            <v>4°2°</v>
          </cell>
          <cell r="K151">
            <v>421</v>
          </cell>
          <cell r="L151" t="str">
            <v>4IFTLP4</v>
          </cell>
          <cell r="M151">
            <v>1643767</v>
          </cell>
          <cell r="N151" t="str">
            <v>LAB DE PROGRAM</v>
          </cell>
        </row>
        <row r="152">
          <cell r="B152" t="str">
            <v xml:space="preserve"> </v>
          </cell>
          <cell r="C152" t="str">
            <v>SUPLENTE</v>
          </cell>
          <cell r="D152" t="e">
            <v>#REF!</v>
          </cell>
          <cell r="E152" t="str">
            <v>PF</v>
          </cell>
          <cell r="G152" t="str">
            <v>ROCHA, JULIETA</v>
          </cell>
          <cell r="H152" t="str">
            <v>---</v>
          </cell>
          <cell r="I152">
            <v>44895</v>
          </cell>
          <cell r="J152" t="str">
            <v>4°2°</v>
          </cell>
          <cell r="K152">
            <v>421</v>
          </cell>
          <cell r="L152" t="str">
            <v>4IFTLA4</v>
          </cell>
          <cell r="M152" t="str">
            <v>S/C</v>
          </cell>
          <cell r="N152" t="str">
            <v>LAB DE APLICACIONES</v>
          </cell>
        </row>
        <row r="153">
          <cell r="B153" t="str">
            <v xml:space="preserve"> </v>
          </cell>
          <cell r="C153" t="str">
            <v>SUPLENTE</v>
          </cell>
          <cell r="D153" t="e">
            <v>#REF!</v>
          </cell>
          <cell r="E153" t="str">
            <v>PF</v>
          </cell>
          <cell r="G153" t="str">
            <v>ROCHA, JULIETA</v>
          </cell>
          <cell r="H153" t="str">
            <v>---</v>
          </cell>
          <cell r="I153">
            <v>44895</v>
          </cell>
          <cell r="J153" t="str">
            <v>6°2°</v>
          </cell>
          <cell r="K153">
            <v>621</v>
          </cell>
          <cell r="L153" t="str">
            <v>6IFTLP6</v>
          </cell>
          <cell r="M153">
            <v>1643763</v>
          </cell>
          <cell r="N153" t="str">
            <v xml:space="preserve">LAB DE PROGRAM </v>
          </cell>
        </row>
        <row r="154">
          <cell r="B154" t="str">
            <v xml:space="preserve"> </v>
          </cell>
          <cell r="C154" t="str">
            <v>SUPLENTE</v>
          </cell>
          <cell r="D154" t="e">
            <v>#REF!</v>
          </cell>
          <cell r="E154" t="str">
            <v>PF</v>
          </cell>
          <cell r="G154" t="str">
            <v>GATTESCO, RENZO</v>
          </cell>
          <cell r="H154" t="str">
            <v>---</v>
          </cell>
          <cell r="I154">
            <v>44895</v>
          </cell>
          <cell r="J154" t="str">
            <v>4°1°</v>
          </cell>
          <cell r="K154">
            <v>411</v>
          </cell>
          <cell r="L154" t="str">
            <v>4IFTLP4</v>
          </cell>
          <cell r="M154" t="str">
            <v>S/C</v>
          </cell>
          <cell r="N154" t="str">
            <v>LAB DE PROGRAM</v>
          </cell>
        </row>
        <row r="155">
          <cell r="B155" t="str">
            <v xml:space="preserve"> </v>
          </cell>
          <cell r="C155" t="str">
            <v>SUPLENTE</v>
          </cell>
          <cell r="D155" t="e">
            <v>#REF!</v>
          </cell>
          <cell r="E155" t="str">
            <v>PF</v>
          </cell>
          <cell r="G155" t="str">
            <v>ROCHA, JULIETA</v>
          </cell>
          <cell r="H155" t="str">
            <v>---</v>
          </cell>
          <cell r="I155">
            <v>44895</v>
          </cell>
          <cell r="J155" t="str">
            <v>5°2°</v>
          </cell>
          <cell r="K155">
            <v>521</v>
          </cell>
          <cell r="L155" t="str">
            <v>5IFTLP5</v>
          </cell>
          <cell r="M155">
            <v>733714</v>
          </cell>
          <cell r="N155" t="str">
            <v xml:space="preserve">LAB DE PROGRAM </v>
          </cell>
        </row>
        <row r="156">
          <cell r="B156" t="str">
            <v xml:space="preserve"> </v>
          </cell>
          <cell r="C156" t="str">
            <v>SUPLENTE</v>
          </cell>
          <cell r="D156" t="e">
            <v>#REF!</v>
          </cell>
          <cell r="E156" t="str">
            <v>PF</v>
          </cell>
          <cell r="G156" t="str">
            <v>MARTINEZ MARIO</v>
          </cell>
          <cell r="H156" t="str">
            <v>---</v>
          </cell>
          <cell r="I156" t="str">
            <v>--</v>
          </cell>
          <cell r="J156" t="str">
            <v>1°4°</v>
          </cell>
          <cell r="K156">
            <v>142</v>
          </cell>
          <cell r="L156" t="str">
            <v>1TLT</v>
          </cell>
          <cell r="M156" t="str">
            <v>S/C</v>
          </cell>
          <cell r="N156" t="str">
            <v>LENGUAJES TECNOLOGICOS</v>
          </cell>
        </row>
        <row r="157">
          <cell r="B157" t="str">
            <v xml:space="preserve"> </v>
          </cell>
          <cell r="C157" t="str">
            <v>SUPLENTE</v>
          </cell>
          <cell r="D157" t="e">
            <v>#REF!</v>
          </cell>
          <cell r="E157" t="str">
            <v>PF</v>
          </cell>
          <cell r="G157" t="str">
            <v>MONTENEGRO, CLAUDIA</v>
          </cell>
          <cell r="H157" t="str">
            <v>---</v>
          </cell>
          <cell r="I157" t="str">
            <v>---</v>
          </cell>
          <cell r="J157" t="str">
            <v>3°5°</v>
          </cell>
          <cell r="K157">
            <v>352</v>
          </cell>
          <cell r="L157" t="str">
            <v>3TLT3</v>
          </cell>
          <cell r="M157">
            <v>2232472</v>
          </cell>
          <cell r="N157" t="str">
            <v>LENGUAJES TECNOLOGICOS</v>
          </cell>
        </row>
        <row r="158">
          <cell r="B158" t="str">
            <v>5°2°5225IFTLH5S</v>
          </cell>
          <cell r="C158" t="str">
            <v>SUPLENTE</v>
          </cell>
          <cell r="D158" t="e">
            <v>#REF!</v>
          </cell>
          <cell r="E158" t="str">
            <v>PF</v>
          </cell>
          <cell r="G158" t="str">
            <v>CARRIZO ULISES</v>
          </cell>
          <cell r="H158" t="str">
            <v>---</v>
          </cell>
          <cell r="J158" t="str">
            <v>5°2°</v>
          </cell>
          <cell r="K158">
            <v>522</v>
          </cell>
          <cell r="L158" t="str">
            <v>5IFTLH5</v>
          </cell>
          <cell r="M158" t="str">
            <v>S/C</v>
          </cell>
          <cell r="N158" t="str">
            <v xml:space="preserve">LAB DE HARDWARE </v>
          </cell>
        </row>
        <row r="159">
          <cell r="B159" t="str">
            <v>1°6°1CCDS</v>
          </cell>
          <cell r="C159" t="str">
            <v>SUPLENTE</v>
          </cell>
          <cell r="D159" t="e">
            <v>#REF!</v>
          </cell>
          <cell r="E159" t="str">
            <v>PF</v>
          </cell>
          <cell r="G159" t="str">
            <v>CORSO NAHUEL</v>
          </cell>
          <cell r="H159" t="str">
            <v>---</v>
          </cell>
          <cell r="J159" t="str">
            <v>1°6°</v>
          </cell>
          <cell r="L159" t="str">
            <v>1CCD</v>
          </cell>
          <cell r="M159">
            <v>2232487</v>
          </cell>
          <cell r="N159" t="str">
            <v>CONTRUCCION DE LA CIUDADANIA</v>
          </cell>
        </row>
        <row r="160">
          <cell r="B160" t="str">
            <v xml:space="preserve"> </v>
          </cell>
          <cell r="C160" t="str">
            <v>SUPLENTE</v>
          </cell>
          <cell r="D160" t="e">
            <v>#REF!</v>
          </cell>
          <cell r="E160" t="str">
            <v>PF</v>
          </cell>
          <cell r="G160" t="str">
            <v>RADA LORENA</v>
          </cell>
          <cell r="H160" t="str">
            <v>---</v>
          </cell>
          <cell r="I160" t="str">
            <v>---</v>
          </cell>
          <cell r="J160" t="str">
            <v>4°2°</v>
          </cell>
          <cell r="L160" t="str">
            <v>4ISADS</v>
          </cell>
          <cell r="M160">
            <v>1517133</v>
          </cell>
          <cell r="N160" t="str">
            <v>SALUD Y ADOLESCENCIA</v>
          </cell>
        </row>
        <row r="161">
          <cell r="B161" t="str">
            <v xml:space="preserve"> </v>
          </cell>
          <cell r="C161" t="str">
            <v>SUPLENTE</v>
          </cell>
          <cell r="D161" t="e">
            <v>#REF!</v>
          </cell>
          <cell r="E161" t="str">
            <v>PF</v>
          </cell>
          <cell r="G161" t="str">
            <v>CLAUDIA  FERNANDA LUJAN</v>
          </cell>
          <cell r="H161" t="str">
            <v>---</v>
          </cell>
          <cell r="I161" t="str">
            <v>---</v>
          </cell>
          <cell r="J161" t="str">
            <v>3°5°</v>
          </cell>
          <cell r="L161" t="str">
            <v>3ING</v>
          </cell>
          <cell r="M161">
            <v>2232468</v>
          </cell>
          <cell r="N161" t="str">
            <v>INGLÉS</v>
          </cell>
        </row>
        <row r="162">
          <cell r="B162" t="str">
            <v xml:space="preserve"> </v>
          </cell>
          <cell r="C162" t="str">
            <v>SUPLENTE</v>
          </cell>
          <cell r="D162" t="e">
            <v>#REF!</v>
          </cell>
          <cell r="E162" t="str">
            <v>PF</v>
          </cell>
          <cell r="G162" t="str">
            <v>PROCHOR JUAN PABLO</v>
          </cell>
          <cell r="H162" t="str">
            <v>---</v>
          </cell>
          <cell r="I162" t="str">
            <v>---</v>
          </cell>
          <cell r="J162" t="str">
            <v>4°4°</v>
          </cell>
          <cell r="L162" t="str">
            <v>4EFIS</v>
          </cell>
          <cell r="M162">
            <v>733706</v>
          </cell>
          <cell r="N162" t="str">
            <v>FISICA</v>
          </cell>
        </row>
        <row r="163">
          <cell r="B163" t="str">
            <v>6°1°6IINVOPS</v>
          </cell>
          <cell r="C163" t="str">
            <v>SUPLENTE</v>
          </cell>
          <cell r="D163" t="e">
            <v>#REF!</v>
          </cell>
          <cell r="E163" t="str">
            <v>PF</v>
          </cell>
          <cell r="G163" t="str">
            <v>VALDES MARIA</v>
          </cell>
          <cell r="H163" t="str">
            <v>----</v>
          </cell>
          <cell r="J163" t="str">
            <v>6°1°</v>
          </cell>
          <cell r="L163" t="str">
            <v>6IINVOP</v>
          </cell>
          <cell r="M163">
            <v>733612</v>
          </cell>
          <cell r="N163" t="str">
            <v>INVESTIGACION OPERATIVA</v>
          </cell>
        </row>
        <row r="164">
          <cell r="B164" t="str">
            <v xml:space="preserve"> </v>
          </cell>
          <cell r="C164" t="str">
            <v>SUPLENTE</v>
          </cell>
          <cell r="D164" t="e">
            <v>#REF!</v>
          </cell>
          <cell r="E164" t="str">
            <v>PF</v>
          </cell>
          <cell r="G164" t="str">
            <v>SEGOVIA IRMA</v>
          </cell>
          <cell r="H164" t="str">
            <v>----</v>
          </cell>
          <cell r="I164" t="str">
            <v>---</v>
          </cell>
          <cell r="J164" t="str">
            <v>4°3°</v>
          </cell>
          <cell r="L164" t="str">
            <v>4EHIS</v>
          </cell>
          <cell r="M164">
            <v>733684</v>
          </cell>
          <cell r="N164" t="str">
            <v>HISTORIA</v>
          </cell>
        </row>
        <row r="165">
          <cell r="B165" t="str">
            <v xml:space="preserve"> </v>
          </cell>
          <cell r="C165" t="str">
            <v>SUPLENTE</v>
          </cell>
          <cell r="D165" t="e">
            <v>#REF!</v>
          </cell>
          <cell r="E165" t="str">
            <v>PF</v>
          </cell>
          <cell r="G165" t="str">
            <v>SEGOVIA IRMA</v>
          </cell>
          <cell r="H165" t="str">
            <v>----</v>
          </cell>
          <cell r="I165" t="str">
            <v>----</v>
          </cell>
          <cell r="J165" t="str">
            <v>5°2°</v>
          </cell>
          <cell r="L165" t="str">
            <v>5IHIS5</v>
          </cell>
          <cell r="M165">
            <v>1643753</v>
          </cell>
          <cell r="N165" t="str">
            <v>HISTORIA</v>
          </cell>
        </row>
        <row r="166">
          <cell r="B166" t="str">
            <v xml:space="preserve"> </v>
          </cell>
          <cell r="C166" t="str">
            <v>SUPLENTE</v>
          </cell>
          <cell r="D166" t="e">
            <v>#REF!</v>
          </cell>
          <cell r="E166" t="str">
            <v>PF</v>
          </cell>
          <cell r="G166" t="str">
            <v>OSTRTIZ  GISELA JORGELINA</v>
          </cell>
          <cell r="H166" t="str">
            <v>---</v>
          </cell>
          <cell r="I166" t="str">
            <v>--</v>
          </cell>
          <cell r="J166" t="str">
            <v>3°4°</v>
          </cell>
          <cell r="L166" t="str">
            <v>3GEO</v>
          </cell>
          <cell r="M166">
            <v>1492267</v>
          </cell>
          <cell r="N166" t="str">
            <v>GEOGRAFIA</v>
          </cell>
        </row>
        <row r="167">
          <cell r="B167" t="str">
            <v xml:space="preserve"> </v>
          </cell>
          <cell r="C167" t="str">
            <v>SUPLENTE</v>
          </cell>
          <cell r="D167" t="e">
            <v>#REF!</v>
          </cell>
          <cell r="E167" t="str">
            <v>PF</v>
          </cell>
          <cell r="G167" t="str">
            <v>MONTENEGRO, CLAUDIA</v>
          </cell>
          <cell r="H167" t="str">
            <v>---</v>
          </cell>
          <cell r="I167">
            <v>44895</v>
          </cell>
          <cell r="J167" t="str">
            <v>5°5°</v>
          </cell>
          <cell r="K167">
            <v>551</v>
          </cell>
          <cell r="L167" t="str">
            <v>5IFTLP5</v>
          </cell>
          <cell r="M167" t="str">
            <v>S/C</v>
          </cell>
          <cell r="N167" t="str">
            <v xml:space="preserve">LAB DE PROGRAM </v>
          </cell>
        </row>
        <row r="168">
          <cell r="B168" t="str">
            <v xml:space="preserve"> </v>
          </cell>
          <cell r="C168" t="str">
            <v>SUPLENTE</v>
          </cell>
          <cell r="D168" t="e">
            <v>#REF!</v>
          </cell>
          <cell r="E168" t="str">
            <v>PF</v>
          </cell>
          <cell r="G168" t="str">
            <v>BRANONI</v>
          </cell>
          <cell r="H168" t="str">
            <v>---</v>
          </cell>
          <cell r="I168" t="str">
            <v>---</v>
          </cell>
          <cell r="J168" t="str">
            <v>5°4°</v>
          </cell>
          <cell r="L168" t="str">
            <v>5EEFIS</v>
          </cell>
          <cell r="M168">
            <v>891879</v>
          </cell>
          <cell r="N168" t="str">
            <v>EDUCACIÓN FISICA</v>
          </cell>
        </row>
        <row r="169">
          <cell r="B169" t="str">
            <v xml:space="preserve"> </v>
          </cell>
          <cell r="C169" t="str">
            <v>SUPLENTE</v>
          </cell>
          <cell r="D169" t="e">
            <v>#REF!</v>
          </cell>
          <cell r="E169" t="str">
            <v>PF</v>
          </cell>
          <cell r="G169" t="str">
            <v>BECERRO GUSTAVO ALEJANDRO</v>
          </cell>
          <cell r="H169" t="str">
            <v>---</v>
          </cell>
          <cell r="I169" t="str">
            <v>---</v>
          </cell>
          <cell r="J169" t="str">
            <v>3°2°</v>
          </cell>
          <cell r="K169">
            <v>321</v>
          </cell>
          <cell r="L169" t="str">
            <v>3TST3</v>
          </cell>
          <cell r="M169" t="str">
            <v>S/C</v>
          </cell>
          <cell r="N169" t="str">
            <v>SISTEMAS TECNOLOGICOS</v>
          </cell>
        </row>
        <row r="170">
          <cell r="B170" t="str">
            <v xml:space="preserve"> </v>
          </cell>
          <cell r="C170" t="str">
            <v>SUPLENTE</v>
          </cell>
          <cell r="D170" t="e">
            <v>#REF!</v>
          </cell>
          <cell r="E170" t="str">
            <v>PF</v>
          </cell>
          <cell r="G170" t="str">
            <v>HERRERA CARMEN</v>
          </cell>
          <cell r="H170" t="str">
            <v>---</v>
          </cell>
          <cell r="I170" t="str">
            <v>---</v>
          </cell>
          <cell r="J170" t="str">
            <v>4°1°</v>
          </cell>
          <cell r="L170" t="str">
            <v>4IEFIS</v>
          </cell>
          <cell r="M170">
            <v>733409</v>
          </cell>
          <cell r="N170" t="str">
            <v>EDUCACIÓN FISICA</v>
          </cell>
        </row>
        <row r="171">
          <cell r="B171" t="str">
            <v xml:space="preserve"> </v>
          </cell>
          <cell r="C171" t="str">
            <v>SUPLENTE</v>
          </cell>
          <cell r="D171" t="e">
            <v>#REF!</v>
          </cell>
          <cell r="E171" t="str">
            <v>PF</v>
          </cell>
          <cell r="G171" t="str">
            <v>FEREYRA</v>
          </cell>
          <cell r="H171" t="str">
            <v>----</v>
          </cell>
          <cell r="I171" t="str">
            <v>--</v>
          </cell>
          <cell r="J171" t="str">
            <v>5°1°</v>
          </cell>
          <cell r="L171" t="str">
            <v>5IHIS5</v>
          </cell>
          <cell r="M171">
            <v>1643750</v>
          </cell>
          <cell r="N171" t="str">
            <v>HISTORIA</v>
          </cell>
        </row>
        <row r="172">
          <cell r="B172" t="str">
            <v>5°5°5515IFTLH5S</v>
          </cell>
          <cell r="C172" t="str">
            <v>SUPLENTE</v>
          </cell>
          <cell r="D172" t="e">
            <v>#REF!</v>
          </cell>
          <cell r="E172" t="str">
            <v>PF</v>
          </cell>
          <cell r="G172" t="str">
            <v>HERRERA STELLA</v>
          </cell>
          <cell r="H172" t="str">
            <v>---</v>
          </cell>
          <cell r="J172" t="str">
            <v>5°5°</v>
          </cell>
          <cell r="K172">
            <v>551</v>
          </cell>
          <cell r="L172" t="str">
            <v>5IFTLH5</v>
          </cell>
          <cell r="M172" t="str">
            <v>S/C</v>
          </cell>
          <cell r="N172" t="str">
            <v xml:space="preserve">LAB DE HARDWARE </v>
          </cell>
        </row>
        <row r="173">
          <cell r="B173" t="str">
            <v>2°5°2FI/QUIS</v>
          </cell>
          <cell r="C173" t="str">
            <v>SUPLENTE</v>
          </cell>
          <cell r="D173" t="e">
            <v>#REF!</v>
          </cell>
          <cell r="E173" t="str">
            <v>PF</v>
          </cell>
          <cell r="G173" t="str">
            <v>FEREYRA GUSTAVO</v>
          </cell>
          <cell r="H173" t="str">
            <v>---</v>
          </cell>
          <cell r="J173" t="str">
            <v>2°5°</v>
          </cell>
          <cell r="L173" t="str">
            <v>2FI/QUI</v>
          </cell>
          <cell r="M173">
            <v>1920684</v>
          </cell>
          <cell r="N173" t="str">
            <v>FISICO-QUIMICA</v>
          </cell>
        </row>
        <row r="174">
          <cell r="B174" t="str">
            <v xml:space="preserve"> </v>
          </cell>
          <cell r="C174" t="str">
            <v>SUPLENTE</v>
          </cell>
          <cell r="D174" t="e">
            <v>#REF!</v>
          </cell>
          <cell r="E174" t="str">
            <v>PF</v>
          </cell>
          <cell r="G174" t="str">
            <v>SELVAS EZEQUIEL</v>
          </cell>
          <cell r="H174" t="str">
            <v>---</v>
          </cell>
          <cell r="I174" t="str">
            <v>---</v>
          </cell>
          <cell r="J174" t="str">
            <v>4°2°</v>
          </cell>
          <cell r="K174">
            <v>422</v>
          </cell>
          <cell r="L174" t="str">
            <v>4IFTLA4</v>
          </cell>
          <cell r="M174" t="str">
            <v>S/C</v>
          </cell>
          <cell r="N174" t="str">
            <v>LAB DE APLICACIONES</v>
          </cell>
        </row>
        <row r="175">
          <cell r="B175" t="str">
            <v xml:space="preserve"> </v>
          </cell>
          <cell r="C175" t="str">
            <v>SUPLENTE</v>
          </cell>
          <cell r="D175" t="e">
            <v>#REF!</v>
          </cell>
          <cell r="E175" t="str">
            <v>PF</v>
          </cell>
          <cell r="G175" t="str">
            <v>MARTINEZ MARIO</v>
          </cell>
          <cell r="H175" t="str">
            <v>---</v>
          </cell>
          <cell r="I175" t="str">
            <v>--</v>
          </cell>
          <cell r="J175" t="str">
            <v>1°4°</v>
          </cell>
          <cell r="K175">
            <v>141</v>
          </cell>
          <cell r="L175" t="str">
            <v>1TLT</v>
          </cell>
          <cell r="M175" t="str">
            <v>S/C</v>
          </cell>
          <cell r="N175" t="str">
            <v>LENGUAJES TECNOLOGICOS</v>
          </cell>
        </row>
        <row r="176">
          <cell r="B176" t="str">
            <v>1°3°1321TSTS</v>
          </cell>
          <cell r="C176" t="str">
            <v>SUPLENTE</v>
          </cell>
          <cell r="D176" t="e">
            <v>#REF!</v>
          </cell>
          <cell r="E176" t="str">
            <v>PF</v>
          </cell>
          <cell r="G176" t="str">
            <v>GUTIERREZ NICOLAS</v>
          </cell>
          <cell r="H176" t="str">
            <v>----</v>
          </cell>
          <cell r="J176" t="str">
            <v>1°3°</v>
          </cell>
          <cell r="K176">
            <v>132</v>
          </cell>
          <cell r="L176" t="str">
            <v>1TST</v>
          </cell>
          <cell r="M176" t="str">
            <v>S/C</v>
          </cell>
          <cell r="N176" t="str">
            <v>SISTEMAS TECNOLOGICOS</v>
          </cell>
        </row>
        <row r="177">
          <cell r="B177" t="str">
            <v xml:space="preserve"> </v>
          </cell>
          <cell r="C177" t="str">
            <v>SUPLENTE</v>
          </cell>
          <cell r="D177" t="e">
            <v>#REF!</v>
          </cell>
          <cell r="E177" t="str">
            <v>PF</v>
          </cell>
          <cell r="G177" t="str">
            <v>GUTIERREZ NICOLAS</v>
          </cell>
          <cell r="H177" t="str">
            <v>---</v>
          </cell>
          <cell r="I177">
            <v>44895</v>
          </cell>
          <cell r="J177" t="str">
            <v>7°1°</v>
          </cell>
          <cell r="L177" t="str">
            <v>7IEVPRO</v>
          </cell>
          <cell r="M177">
            <v>1913689</v>
          </cell>
          <cell r="N177" t="str">
            <v>EVALUACION DE PROYECTO</v>
          </cell>
        </row>
        <row r="178">
          <cell r="B178" t="str">
            <v xml:space="preserve"> </v>
          </cell>
          <cell r="C178" t="str">
            <v>SUPLENTE</v>
          </cell>
          <cell r="D178" t="e">
            <v>#REF!</v>
          </cell>
          <cell r="E178" t="str">
            <v xml:space="preserve"> </v>
          </cell>
          <cell r="G178" t="str">
            <v>GUTIERREZ NICOLAS</v>
          </cell>
          <cell r="H178">
            <v>44858</v>
          </cell>
          <cell r="I178" t="str">
            <v>---</v>
          </cell>
          <cell r="J178" t="str">
            <v>7°1°</v>
          </cell>
          <cell r="L178" t="str">
            <v>7IPPDLO</v>
          </cell>
          <cell r="M178">
            <v>1913687</v>
          </cell>
          <cell r="N178" t="str">
            <v>EMPRENDIMIENTO PRODUCTIVO Y DESARROLLO LOCAL</v>
          </cell>
        </row>
        <row r="179">
          <cell r="B179" t="str">
            <v xml:space="preserve"> </v>
          </cell>
          <cell r="C179" t="str">
            <v>SUPLENTE</v>
          </cell>
          <cell r="D179" t="e">
            <v>#REF!</v>
          </cell>
          <cell r="E179" t="str">
            <v>PF</v>
          </cell>
          <cell r="G179" t="str">
            <v>PAZ DANIEL ORLANDO</v>
          </cell>
          <cell r="H179">
            <v>44858</v>
          </cell>
          <cell r="I179">
            <v>44895</v>
          </cell>
          <cell r="J179" t="str">
            <v>7°1°</v>
          </cell>
          <cell r="L179" t="str">
            <v>7IPPSIN</v>
          </cell>
          <cell r="M179">
            <v>1913682</v>
          </cell>
          <cell r="N179" t="str">
            <v>PRACTICAS PROFESIONALIZANTES</v>
          </cell>
        </row>
        <row r="180">
          <cell r="B180" t="str">
            <v>1°6°1621TSTS</v>
          </cell>
          <cell r="C180" t="str">
            <v>SUPLENTE</v>
          </cell>
          <cell r="D180" t="e">
            <v>#REF!</v>
          </cell>
          <cell r="E180" t="str">
            <v>PF</v>
          </cell>
          <cell r="G180" t="str">
            <v xml:space="preserve">ESCALADA ARNALDO     </v>
          </cell>
          <cell r="H180" t="str">
            <v>----</v>
          </cell>
          <cell r="J180" t="str">
            <v>1°6°</v>
          </cell>
          <cell r="K180">
            <v>162</v>
          </cell>
          <cell r="L180" t="str">
            <v>1TST</v>
          </cell>
          <cell r="M180" t="str">
            <v>S/C</v>
          </cell>
          <cell r="N180" t="str">
            <v>SISTEMAS TECNOLGICOS</v>
          </cell>
        </row>
        <row r="181">
          <cell r="B181" t="str">
            <v xml:space="preserve"> </v>
          </cell>
          <cell r="C181" t="str">
            <v>SUPLENTE</v>
          </cell>
          <cell r="D181" t="e">
            <v>#REF!</v>
          </cell>
          <cell r="E181" t="str">
            <v>PF</v>
          </cell>
          <cell r="G181" t="str">
            <v>CHAPARRO ROMINA</v>
          </cell>
          <cell r="H181" t="str">
            <v>---</v>
          </cell>
          <cell r="I181" t="str">
            <v>---</v>
          </cell>
          <cell r="J181" t="str">
            <v>3°4°</v>
          </cell>
          <cell r="L181" t="str">
            <v>3FI/QUI</v>
          </cell>
          <cell r="N181" t="str">
            <v>FISICO-QUIMICA</v>
          </cell>
        </row>
        <row r="182">
          <cell r="B182" t="str">
            <v xml:space="preserve"> </v>
          </cell>
          <cell r="C182" t="str">
            <v>SUPLENTE</v>
          </cell>
          <cell r="D182" t="e">
            <v>#REF!</v>
          </cell>
          <cell r="E182" t="str">
            <v>PF</v>
          </cell>
          <cell r="G182" t="str">
            <v xml:space="preserve">BARCENILLA, JAVIER </v>
          </cell>
          <cell r="H182" t="str">
            <v>---</v>
          </cell>
          <cell r="I182" t="str">
            <v>--</v>
          </cell>
          <cell r="J182" t="str">
            <v>4°1°</v>
          </cell>
          <cell r="K182">
            <v>412</v>
          </cell>
          <cell r="L182" t="str">
            <v>4IFTLS4</v>
          </cell>
        </row>
        <row r="183">
          <cell r="B183" t="str">
            <v xml:space="preserve"> </v>
          </cell>
          <cell r="C183" t="str">
            <v>SUPLENTE</v>
          </cell>
          <cell r="D183" t="e">
            <v>#REF!</v>
          </cell>
          <cell r="E183" t="str">
            <v>PF</v>
          </cell>
          <cell r="G183" t="str">
            <v>LENCINAS NOELIA</v>
          </cell>
          <cell r="H183" t="str">
            <v>----</v>
          </cell>
          <cell r="I183" t="str">
            <v>--</v>
          </cell>
          <cell r="J183" t="str">
            <v>4°3°</v>
          </cell>
          <cell r="L183" t="str">
            <v>4EMATES</v>
          </cell>
        </row>
        <row r="184">
          <cell r="B184" t="str">
            <v xml:space="preserve"> </v>
          </cell>
          <cell r="C184" t="str">
            <v>SUPLENTE</v>
          </cell>
          <cell r="D184" t="e">
            <v>#REF!</v>
          </cell>
          <cell r="E184" t="str">
            <v>PF</v>
          </cell>
          <cell r="G184" t="str">
            <v>AVALOS CARLOS</v>
          </cell>
          <cell r="H184" t="str">
            <v>----</v>
          </cell>
          <cell r="I184" t="str">
            <v>---</v>
          </cell>
          <cell r="J184" t="str">
            <v>6°1°</v>
          </cell>
          <cell r="L184" t="str">
            <v>6ISEIN</v>
          </cell>
        </row>
        <row r="185">
          <cell r="B185" t="str">
            <v>6°2°6IFILOS</v>
          </cell>
          <cell r="C185" t="str">
            <v>SUPLENTE</v>
          </cell>
          <cell r="D185" t="e">
            <v>#REF!</v>
          </cell>
          <cell r="E185" t="str">
            <v>PF</v>
          </cell>
          <cell r="G185" t="str">
            <v>ESCALANTE RUTH</v>
          </cell>
          <cell r="H185" t="str">
            <v>----</v>
          </cell>
          <cell r="J185" t="str">
            <v>6°2°</v>
          </cell>
          <cell r="L185" t="str">
            <v>6IFILO</v>
          </cell>
        </row>
        <row r="186">
          <cell r="B186" t="str">
            <v xml:space="preserve"> </v>
          </cell>
          <cell r="C186" t="str">
            <v>SUPLENTE</v>
          </cell>
          <cell r="D186" t="e">
            <v>#REF!</v>
          </cell>
          <cell r="E186" t="str">
            <v>PF</v>
          </cell>
          <cell r="G186" t="str">
            <v>MONTENEGRO, CLAUDIA</v>
          </cell>
          <cell r="H186" t="str">
            <v>----</v>
          </cell>
          <cell r="I186" t="str">
            <v>----</v>
          </cell>
          <cell r="J186" t="str">
            <v>6°2°</v>
          </cell>
          <cell r="L186" t="str">
            <v>6ISEIN</v>
          </cell>
          <cell r="M186" t="str">
            <v>S/C</v>
          </cell>
          <cell r="N186" t="str">
            <v>SEGURIDAD INFORMATICA</v>
          </cell>
        </row>
        <row r="187">
          <cell r="B187" t="str">
            <v>6°2°6216IFTLP6S</v>
          </cell>
          <cell r="C187" t="str">
            <v>SUPLENTE</v>
          </cell>
          <cell r="D187" t="e">
            <v>#REF!</v>
          </cell>
          <cell r="E187" t="str">
            <v>PF</v>
          </cell>
          <cell r="G187" t="str">
            <v>WITT GERARDO</v>
          </cell>
          <cell r="H187" t="str">
            <v>----</v>
          </cell>
          <cell r="J187" t="str">
            <v>6°2°</v>
          </cell>
          <cell r="K187">
            <v>621</v>
          </cell>
          <cell r="L187" t="str">
            <v>6IFTLP6</v>
          </cell>
          <cell r="M187">
            <v>1643763</v>
          </cell>
          <cell r="N187" t="str">
            <v xml:space="preserve">LAB DE PROGRAM </v>
          </cell>
        </row>
        <row r="188">
          <cell r="B188" t="str">
            <v xml:space="preserve"> </v>
          </cell>
          <cell r="C188" t="str">
            <v>SUPLENTE</v>
          </cell>
          <cell r="D188" t="e">
            <v>#REF!</v>
          </cell>
          <cell r="E188" t="str">
            <v>PF</v>
          </cell>
          <cell r="F188">
            <v>27464627</v>
          </cell>
          <cell r="G188" t="str">
            <v>WEBBER BRIAN</v>
          </cell>
          <cell r="H188" t="str">
            <v>----</v>
          </cell>
          <cell r="I188" t="str">
            <v>--</v>
          </cell>
          <cell r="J188" t="str">
            <v>6°4°</v>
          </cell>
          <cell r="L188" t="str">
            <v>6EMATAP</v>
          </cell>
          <cell r="M188" t="str">
            <v>S/C</v>
          </cell>
          <cell r="N188" t="str">
            <v>MATEMATICA APLICADA</v>
          </cell>
        </row>
        <row r="189">
          <cell r="B189" t="str">
            <v>7°1°7127IIMRRIS</v>
          </cell>
          <cell r="C189" t="str">
            <v>SUPLENTE</v>
          </cell>
          <cell r="D189" t="e">
            <v>#REF!</v>
          </cell>
          <cell r="E189" t="str">
            <v>PF</v>
          </cell>
          <cell r="G189" t="str">
            <v>DELLA VECCHIA I</v>
          </cell>
          <cell r="H189" t="str">
            <v>---</v>
          </cell>
          <cell r="J189" t="str">
            <v>7°1°</v>
          </cell>
          <cell r="K189">
            <v>712</v>
          </cell>
          <cell r="L189" t="str">
            <v>7IIMRRI</v>
          </cell>
        </row>
        <row r="190">
          <cell r="B190" t="str">
            <v xml:space="preserve"> </v>
          </cell>
          <cell r="C190" t="str">
            <v>SUPLENTE</v>
          </cell>
          <cell r="D190" t="e">
            <v>#REF!</v>
          </cell>
          <cell r="E190" t="str">
            <v>PF</v>
          </cell>
          <cell r="G190" t="str">
            <v>RODRIGUEZ PABLO</v>
          </cell>
          <cell r="H190" t="str">
            <v>---</v>
          </cell>
          <cell r="I190" t="str">
            <v>--</v>
          </cell>
          <cell r="J190" t="str">
            <v>2°2°</v>
          </cell>
          <cell r="K190">
            <v>222</v>
          </cell>
          <cell r="L190" t="str">
            <v>2TST2</v>
          </cell>
          <cell r="M190" t="str">
            <v>S/C</v>
          </cell>
          <cell r="N190" t="str">
            <v>SISTEMAS TECNOLOGICOS</v>
          </cell>
        </row>
        <row r="191">
          <cell r="B191" t="str">
            <v xml:space="preserve"> </v>
          </cell>
          <cell r="C191" t="str">
            <v>SUPLENTE</v>
          </cell>
          <cell r="D191" t="e">
            <v>#REF!</v>
          </cell>
          <cell r="E191" t="str">
            <v>PF</v>
          </cell>
          <cell r="G191" t="str">
            <v>MONTENEGRO, CLAUDIA</v>
          </cell>
          <cell r="H191" t="str">
            <v>----</v>
          </cell>
          <cell r="I191" t="str">
            <v>----</v>
          </cell>
          <cell r="J191" t="str">
            <v>6°2°</v>
          </cell>
          <cell r="L191" t="str">
            <v>6ISIDI6</v>
          </cell>
          <cell r="M191">
            <v>733683</v>
          </cell>
          <cell r="N191" t="str">
            <v>SISTEMA DIGITAL</v>
          </cell>
        </row>
        <row r="192">
          <cell r="B192" t="str">
            <v xml:space="preserve"> </v>
          </cell>
          <cell r="C192" t="str">
            <v>SUPLENTE</v>
          </cell>
          <cell r="D192" t="e">
            <v>#REF!</v>
          </cell>
          <cell r="E192" t="str">
            <v>PF</v>
          </cell>
          <cell r="G192" t="str">
            <v xml:space="preserve">GAUNA FEDERICO </v>
          </cell>
          <cell r="H192" t="str">
            <v>----</v>
          </cell>
          <cell r="I192" t="str">
            <v>--</v>
          </cell>
          <cell r="J192" t="str">
            <v>6°4°</v>
          </cell>
          <cell r="K192">
            <v>641</v>
          </cell>
          <cell r="L192" t="str">
            <v>6EFTED6</v>
          </cell>
          <cell r="M192" t="str">
            <v>S/C</v>
          </cell>
          <cell r="N192" t="str">
            <v xml:space="preserve">APLIC ELECTR DIGITAL </v>
          </cell>
        </row>
        <row r="193">
          <cell r="B193" t="str">
            <v xml:space="preserve"> </v>
          </cell>
          <cell r="C193" t="str">
            <v>SUPLENTE</v>
          </cell>
          <cell r="D193" t="e">
            <v>#REF!</v>
          </cell>
          <cell r="E193" t="str">
            <v>PF</v>
          </cell>
          <cell r="G193" t="str">
            <v>LOSA GASTON</v>
          </cell>
          <cell r="H193" t="str">
            <v>----</v>
          </cell>
          <cell r="I193" t="str">
            <v>---</v>
          </cell>
          <cell r="J193" t="str">
            <v>6°4°</v>
          </cell>
          <cell r="K193">
            <v>642</v>
          </cell>
          <cell r="L193" t="str">
            <v>6EFTAE6</v>
          </cell>
          <cell r="M193" t="str">
            <v>S/C</v>
          </cell>
          <cell r="N193" t="str">
            <v>APLIC ELECT ANALOG</v>
          </cell>
        </row>
        <row r="194">
          <cell r="B194" t="str">
            <v>5°3°5315EFTMP5S</v>
          </cell>
          <cell r="C194" t="str">
            <v>SUPLENTE</v>
          </cell>
          <cell r="D194" t="e">
            <v>#REF!</v>
          </cell>
          <cell r="E194" t="str">
            <v>PF</v>
          </cell>
          <cell r="G194" t="str">
            <v>SCHROEDER MATÍAS</v>
          </cell>
          <cell r="H194" t="str">
            <v>----</v>
          </cell>
          <cell r="J194" t="str">
            <v>5°3°</v>
          </cell>
          <cell r="K194">
            <v>531</v>
          </cell>
          <cell r="L194" t="str">
            <v>5EFTMP5</v>
          </cell>
          <cell r="M194">
            <v>2355566</v>
          </cell>
          <cell r="N194" t="str">
            <v xml:space="preserve">MONTAJE DE PROYECTO ELECTRONICOS </v>
          </cell>
        </row>
        <row r="195">
          <cell r="B195" t="str">
            <v>5°3°5315EDASES</v>
          </cell>
          <cell r="C195" t="str">
            <v>SUPLENTE</v>
          </cell>
          <cell r="D195" t="e">
            <v>#REF!</v>
          </cell>
          <cell r="E195" t="str">
            <v>PF</v>
          </cell>
          <cell r="G195" t="str">
            <v>GUTIERREZ NICOLAS</v>
          </cell>
          <cell r="H195" t="str">
            <v>----</v>
          </cell>
          <cell r="J195" t="str">
            <v>5°3°</v>
          </cell>
          <cell r="K195">
            <v>531</v>
          </cell>
          <cell r="L195" t="str">
            <v>5EDASE</v>
          </cell>
          <cell r="M195">
            <v>2355556</v>
          </cell>
          <cell r="N195" t="str">
            <v xml:space="preserve">DISEÑO ASIST Y SIMUL ELECT </v>
          </cell>
        </row>
        <row r="196">
          <cell r="B196" t="str">
            <v xml:space="preserve"> </v>
          </cell>
          <cell r="C196" t="str">
            <v>SUPLENTE</v>
          </cell>
          <cell r="D196" t="e">
            <v>#REF!</v>
          </cell>
          <cell r="E196" t="str">
            <v>PF</v>
          </cell>
          <cell r="G196" t="str">
            <v>SOLORZANO</v>
          </cell>
          <cell r="H196" t="str">
            <v>----</v>
          </cell>
          <cell r="I196" t="str">
            <v>----</v>
          </cell>
          <cell r="J196" t="str">
            <v>4°4°</v>
          </cell>
          <cell r="K196">
            <v>442</v>
          </cell>
          <cell r="L196" t="str">
            <v>4EFTED4</v>
          </cell>
          <cell r="M196" t="str">
            <v>S/C</v>
          </cell>
          <cell r="N196" t="str">
            <v>APLIC ELECTR DIGITAL</v>
          </cell>
        </row>
        <row r="197">
          <cell r="B197" t="str">
            <v xml:space="preserve"> </v>
          </cell>
          <cell r="C197" t="str">
            <v>SUPLENTE</v>
          </cell>
          <cell r="D197" t="e">
            <v>#REF!</v>
          </cell>
          <cell r="E197" t="str">
            <v>PF</v>
          </cell>
          <cell r="G197" t="str">
            <v>RAMIREZ CAROLINA</v>
          </cell>
          <cell r="H197" t="str">
            <v>----</v>
          </cell>
          <cell r="I197" t="str">
            <v>---</v>
          </cell>
          <cell r="J197" t="str">
            <v>6°3°</v>
          </cell>
          <cell r="L197" t="str">
            <v>6EINGS</v>
          </cell>
          <cell r="M197">
            <v>1180227</v>
          </cell>
          <cell r="N197" t="str">
            <v>INGLÉS</v>
          </cell>
        </row>
        <row r="198">
          <cell r="B198" t="str">
            <v xml:space="preserve"> </v>
          </cell>
          <cell r="C198" t="str">
            <v>SUPLENTE</v>
          </cell>
          <cell r="D198" t="e">
            <v>#REF!</v>
          </cell>
          <cell r="E198" t="str">
            <v>PF</v>
          </cell>
          <cell r="G198" t="str">
            <v xml:space="preserve">SOSA SILVIA BEATRIZ </v>
          </cell>
          <cell r="H198" t="str">
            <v>----</v>
          </cell>
          <cell r="I198" t="str">
            <v>----</v>
          </cell>
          <cell r="J198" t="str">
            <v>6°2°</v>
          </cell>
          <cell r="K198">
            <v>622</v>
          </cell>
          <cell r="L198" t="str">
            <v>6IFTLP6</v>
          </cell>
          <cell r="M198" t="str">
            <v>S/C</v>
          </cell>
          <cell r="N198" t="str">
            <v xml:space="preserve">LAB DE PROGRAM </v>
          </cell>
        </row>
        <row r="199">
          <cell r="B199" t="str">
            <v>7°2°7217EPRODES</v>
          </cell>
          <cell r="C199" t="str">
            <v>SUPLENTE</v>
          </cell>
          <cell r="D199" t="e">
            <v>#REF!</v>
          </cell>
          <cell r="E199" t="str">
            <v>PF</v>
          </cell>
          <cell r="G199" t="str">
            <v>GUTIERREZ NICOLAS</v>
          </cell>
          <cell r="H199" t="str">
            <v>----</v>
          </cell>
          <cell r="J199" t="str">
            <v>7°2°</v>
          </cell>
          <cell r="K199">
            <v>721</v>
          </cell>
          <cell r="L199" t="str">
            <v>7EPRODE</v>
          </cell>
          <cell r="M199">
            <v>1913842</v>
          </cell>
          <cell r="N199" t="str">
            <v xml:space="preserve">PROYECTO Y DISEÑO ELECTRONICO </v>
          </cell>
        </row>
        <row r="200">
          <cell r="B200" t="str">
            <v xml:space="preserve"> </v>
          </cell>
          <cell r="C200" t="str">
            <v>SUPLENTE</v>
          </cell>
          <cell r="D200" t="e">
            <v>#REF!</v>
          </cell>
          <cell r="E200" t="str">
            <v>PF</v>
          </cell>
          <cell r="G200" t="str">
            <v>FERREYRA YESICA</v>
          </cell>
          <cell r="H200" t="str">
            <v>----</v>
          </cell>
          <cell r="I200" t="str">
            <v>---</v>
          </cell>
          <cell r="J200" t="str">
            <v>6°1°</v>
          </cell>
          <cell r="K200">
            <v>611</v>
          </cell>
          <cell r="L200" t="str">
            <v>6IFTLP6</v>
          </cell>
          <cell r="M200">
            <v>733719</v>
          </cell>
          <cell r="N200" t="str">
            <v xml:space="preserve">LAB DE PROGRAM </v>
          </cell>
        </row>
        <row r="201">
          <cell r="B201" t="str">
            <v xml:space="preserve"> </v>
          </cell>
          <cell r="C201" t="str">
            <v>SUPLENTE</v>
          </cell>
          <cell r="D201" t="e">
            <v>#REF!</v>
          </cell>
          <cell r="E201" t="str">
            <v>PF</v>
          </cell>
          <cell r="G201" t="str">
            <v xml:space="preserve">BARCENILLA, JAVIER </v>
          </cell>
          <cell r="H201" t="str">
            <v>----</v>
          </cell>
          <cell r="I201" t="str">
            <v>--</v>
          </cell>
          <cell r="J201" t="str">
            <v>5°1°</v>
          </cell>
          <cell r="K201">
            <v>511</v>
          </cell>
          <cell r="L201" t="str">
            <v>5IFTLA5</v>
          </cell>
          <cell r="M201" t="str">
            <v>S/C</v>
          </cell>
          <cell r="N201" t="str">
            <v xml:space="preserve">LAB DE APLICACIONES </v>
          </cell>
        </row>
        <row r="202">
          <cell r="B202" t="str">
            <v xml:space="preserve"> </v>
          </cell>
          <cell r="C202" t="str">
            <v>SUPLENTE</v>
          </cell>
          <cell r="D202" t="e">
            <v>#REF!</v>
          </cell>
          <cell r="E202" t="str">
            <v>PF</v>
          </cell>
          <cell r="G202" t="str">
            <v xml:space="preserve">GONANO, GERMAN </v>
          </cell>
          <cell r="H202" t="str">
            <v>----</v>
          </cell>
          <cell r="I202" t="str">
            <v>---</v>
          </cell>
          <cell r="J202" t="str">
            <v>5°4°</v>
          </cell>
          <cell r="K202">
            <v>541</v>
          </cell>
          <cell r="L202" t="str">
            <v>5EDASE</v>
          </cell>
          <cell r="M202" t="str">
            <v>S/C</v>
          </cell>
          <cell r="N202" t="str">
            <v xml:space="preserve">DISEÑO ASIST Y SIMUL ELECT </v>
          </cell>
        </row>
        <row r="203">
          <cell r="B203" t="str">
            <v>3°4°3413TPT3S</v>
          </cell>
          <cell r="C203" t="str">
            <v>SUPLENTE</v>
          </cell>
          <cell r="D203" t="e">
            <v>#REF!</v>
          </cell>
          <cell r="E203" t="str">
            <v>PF</v>
          </cell>
          <cell r="G203" t="str">
            <v>CRUZ DAVID</v>
          </cell>
          <cell r="H203" t="str">
            <v>----</v>
          </cell>
          <cell r="J203" t="str">
            <v>3°4°</v>
          </cell>
          <cell r="K203">
            <v>341</v>
          </cell>
          <cell r="L203" t="str">
            <v>3TPT3</v>
          </cell>
          <cell r="M203" t="str">
            <v>S/C</v>
          </cell>
          <cell r="N203" t="str">
            <v>PROCEDIMIENTOS TECNICOS</v>
          </cell>
        </row>
        <row r="204">
          <cell r="B204" t="str">
            <v xml:space="preserve"> </v>
          </cell>
          <cell r="C204" t="str">
            <v>SUPLENTE</v>
          </cell>
          <cell r="D204" t="e">
            <v>#REF!</v>
          </cell>
          <cell r="E204" t="str">
            <v>PF</v>
          </cell>
          <cell r="G204" t="str">
            <v>ACOSTA GUSTAVO</v>
          </cell>
          <cell r="H204" t="str">
            <v>----</v>
          </cell>
          <cell r="I204" t="str">
            <v>---</v>
          </cell>
          <cell r="J204" t="str">
            <v>2°3°</v>
          </cell>
          <cell r="L204" t="str">
            <v>2HIS</v>
          </cell>
          <cell r="M204">
            <v>1644157</v>
          </cell>
          <cell r="N204" t="str">
            <v>HISTORIA</v>
          </cell>
        </row>
        <row r="205">
          <cell r="B205" t="str">
            <v xml:space="preserve"> </v>
          </cell>
          <cell r="C205" t="str">
            <v>SUPLENTE</v>
          </cell>
          <cell r="D205" t="e">
            <v>#REF!</v>
          </cell>
          <cell r="E205" t="str">
            <v>PF</v>
          </cell>
          <cell r="G205" t="str">
            <v>MARTINEZ CARLOS</v>
          </cell>
          <cell r="H205" t="str">
            <v>----</v>
          </cell>
          <cell r="I205" t="str">
            <v>--</v>
          </cell>
          <cell r="J205" t="str">
            <v>3°1°</v>
          </cell>
          <cell r="L205" t="str">
            <v>3HIS</v>
          </cell>
          <cell r="M205">
            <v>1644170</v>
          </cell>
          <cell r="N205" t="str">
            <v>HISTORIA</v>
          </cell>
        </row>
        <row r="206">
          <cell r="B206" t="str">
            <v xml:space="preserve"> </v>
          </cell>
          <cell r="C206" t="str">
            <v>SUPLENTE</v>
          </cell>
          <cell r="D206" t="e">
            <v>#REF!</v>
          </cell>
          <cell r="E206" t="str">
            <v>PF</v>
          </cell>
          <cell r="G206" t="str">
            <v>ARGAÑARAZ ALICIA</v>
          </cell>
          <cell r="H206" t="str">
            <v>----</v>
          </cell>
          <cell r="I206" t="str">
            <v>--</v>
          </cell>
          <cell r="J206" t="str">
            <v>3°1°</v>
          </cell>
          <cell r="L206" t="str">
            <v>3BIO</v>
          </cell>
          <cell r="M206">
            <v>1644174</v>
          </cell>
          <cell r="N206" t="str">
            <v>BIOLOGIA</v>
          </cell>
        </row>
        <row r="207">
          <cell r="B207" t="str">
            <v>1°1°1ARTS</v>
          </cell>
          <cell r="C207" t="str">
            <v>SUPLENTE</v>
          </cell>
          <cell r="D207" t="e">
            <v>#REF!</v>
          </cell>
          <cell r="E207" t="str">
            <v>PF</v>
          </cell>
          <cell r="G207" t="str">
            <v xml:space="preserve">DESIMONI, JESICA                       </v>
          </cell>
          <cell r="H207" t="str">
            <v>----</v>
          </cell>
          <cell r="J207" t="str">
            <v>1°1°</v>
          </cell>
          <cell r="L207" t="str">
            <v>1ART</v>
          </cell>
          <cell r="M207">
            <v>733478</v>
          </cell>
          <cell r="N207" t="str">
            <v>EDUCACION ARTISTICA (PLASTICA)</v>
          </cell>
        </row>
        <row r="208">
          <cell r="B208" t="str">
            <v xml:space="preserve"> </v>
          </cell>
          <cell r="C208" t="str">
            <v>SUPLENTE</v>
          </cell>
          <cell r="D208" t="e">
            <v>#REF!</v>
          </cell>
          <cell r="E208" t="str">
            <v>PF</v>
          </cell>
          <cell r="G208" t="str">
            <v>RAMIREZ CAROLINA</v>
          </cell>
          <cell r="H208" t="str">
            <v>----</v>
          </cell>
          <cell r="I208" t="str">
            <v>--</v>
          </cell>
          <cell r="J208" t="str">
            <v>1°2°</v>
          </cell>
          <cell r="L208" t="str">
            <v>1ING</v>
          </cell>
          <cell r="M208">
            <v>891876</v>
          </cell>
          <cell r="N208" t="str">
            <v>INGLÉS</v>
          </cell>
        </row>
        <row r="209">
          <cell r="B209" t="str">
            <v xml:space="preserve"> </v>
          </cell>
          <cell r="C209" t="str">
            <v>SUPLENTE</v>
          </cell>
          <cell r="D209" t="e">
            <v>#REF!</v>
          </cell>
          <cell r="E209" t="str">
            <v>PF</v>
          </cell>
          <cell r="G209" t="str">
            <v>GOMEZ HERNANDEZ</v>
          </cell>
          <cell r="H209" t="str">
            <v>----</v>
          </cell>
          <cell r="I209" t="str">
            <v>---</v>
          </cell>
          <cell r="J209" t="str">
            <v>1°6°</v>
          </cell>
          <cell r="L209" t="str">
            <v>1ING</v>
          </cell>
          <cell r="M209">
            <v>2232484</v>
          </cell>
          <cell r="N209" t="str">
            <v>INGLÉS</v>
          </cell>
        </row>
        <row r="210">
          <cell r="B210" t="str">
            <v xml:space="preserve"> </v>
          </cell>
          <cell r="C210" t="str">
            <v>SUPLENTE</v>
          </cell>
          <cell r="D210" t="e">
            <v>#REF!</v>
          </cell>
          <cell r="E210" t="str">
            <v>PF</v>
          </cell>
          <cell r="G210" t="str">
            <v>RAMIREZ CAROLINA</v>
          </cell>
          <cell r="H210" t="str">
            <v>----</v>
          </cell>
          <cell r="I210" t="str">
            <v>---</v>
          </cell>
          <cell r="J210" t="str">
            <v>3°2°</v>
          </cell>
          <cell r="L210" t="str">
            <v>3ING</v>
          </cell>
          <cell r="M210">
            <v>733558</v>
          </cell>
          <cell r="N210" t="str">
            <v>INGLÉS</v>
          </cell>
        </row>
        <row r="211">
          <cell r="B211" t="str">
            <v xml:space="preserve"> </v>
          </cell>
          <cell r="C211" t="str">
            <v>SUPLENTE</v>
          </cell>
          <cell r="D211" t="e">
            <v>#REF!</v>
          </cell>
          <cell r="E211" t="str">
            <v>PF</v>
          </cell>
          <cell r="G211" t="str">
            <v>LUQUE LEANDRO</v>
          </cell>
          <cell r="H211" t="str">
            <v>---</v>
          </cell>
          <cell r="I211" t="str">
            <v>--</v>
          </cell>
          <cell r="J211" t="str">
            <v>2°2°</v>
          </cell>
          <cell r="L211" t="str">
            <v>2HIS</v>
          </cell>
          <cell r="M211">
            <v>1644152</v>
          </cell>
          <cell r="N211" t="str">
            <v>HISTORIA</v>
          </cell>
        </row>
        <row r="212">
          <cell r="B212" t="str">
            <v xml:space="preserve"> </v>
          </cell>
          <cell r="C212" t="str">
            <v>SUPLENTE</v>
          </cell>
          <cell r="D212" t="e">
            <v>#REF!</v>
          </cell>
          <cell r="E212" t="str">
            <v>PF</v>
          </cell>
          <cell r="G212" t="str">
            <v>RAMIREZ CAROLINA</v>
          </cell>
          <cell r="H212" t="str">
            <v>----</v>
          </cell>
          <cell r="I212" t="str">
            <v>--</v>
          </cell>
          <cell r="J212" t="str">
            <v>5°4°</v>
          </cell>
          <cell r="L212" t="str">
            <v>5EINGS</v>
          </cell>
          <cell r="M212">
            <v>949779</v>
          </cell>
          <cell r="N212" t="str">
            <v>INGLÉS</v>
          </cell>
        </row>
        <row r="213">
          <cell r="B213" t="str">
            <v xml:space="preserve"> </v>
          </cell>
          <cell r="C213" t="str">
            <v>SUPLENTE</v>
          </cell>
          <cell r="D213" t="e">
            <v>#REF!</v>
          </cell>
          <cell r="E213" t="str">
            <v>PF</v>
          </cell>
          <cell r="G213" t="str">
            <v>VELAZQUEZ ALAN</v>
          </cell>
          <cell r="H213" t="str">
            <v>----</v>
          </cell>
          <cell r="I213" t="str">
            <v>--</v>
          </cell>
          <cell r="J213" t="str">
            <v>6°4°</v>
          </cell>
          <cell r="L213" t="str">
            <v>6ELITS</v>
          </cell>
          <cell r="M213">
            <v>733457</v>
          </cell>
          <cell r="N213" t="str">
            <v>LITERATURA</v>
          </cell>
        </row>
        <row r="214">
          <cell r="B214" t="str">
            <v xml:space="preserve"> </v>
          </cell>
          <cell r="C214" t="str">
            <v>SUPLENTE</v>
          </cell>
          <cell r="D214" t="e">
            <v>#REF!</v>
          </cell>
          <cell r="E214" t="str">
            <v>PF</v>
          </cell>
          <cell r="G214" t="str">
            <v>RAMIREZ CAROLINA</v>
          </cell>
          <cell r="H214" t="str">
            <v>----</v>
          </cell>
          <cell r="I214" t="str">
            <v>---</v>
          </cell>
          <cell r="J214" t="str">
            <v>3°4°</v>
          </cell>
          <cell r="L214" t="str">
            <v>3ING</v>
          </cell>
          <cell r="M214">
            <v>1492005</v>
          </cell>
          <cell r="N214" t="str">
            <v>INGLÉS</v>
          </cell>
        </row>
        <row r="215">
          <cell r="B215" t="str">
            <v xml:space="preserve"> </v>
          </cell>
          <cell r="C215" t="str">
            <v>SUPLENTE</v>
          </cell>
          <cell r="D215" t="e">
            <v>#REF!</v>
          </cell>
          <cell r="E215" t="str">
            <v>PF</v>
          </cell>
          <cell r="G215" t="str">
            <v>RAMIREZ CAROLINA</v>
          </cell>
          <cell r="H215" t="str">
            <v>----</v>
          </cell>
          <cell r="I215" t="str">
            <v>--</v>
          </cell>
          <cell r="J215" t="str">
            <v>6°4°</v>
          </cell>
          <cell r="L215" t="str">
            <v>6EINGS</v>
          </cell>
          <cell r="M215">
            <v>1180227</v>
          </cell>
          <cell r="N215" t="str">
            <v>INGLÉS</v>
          </cell>
        </row>
        <row r="216">
          <cell r="B216" t="str">
            <v xml:space="preserve"> </v>
          </cell>
          <cell r="C216" t="str">
            <v>SUPLENTE</v>
          </cell>
          <cell r="D216" t="e">
            <v>#REF!</v>
          </cell>
          <cell r="E216" t="str">
            <v>PF</v>
          </cell>
          <cell r="G216" t="str">
            <v>WITT GERARDO</v>
          </cell>
          <cell r="H216" t="str">
            <v>----</v>
          </cell>
          <cell r="I216" t="str">
            <v>--</v>
          </cell>
          <cell r="J216" t="str">
            <v>5°1°</v>
          </cell>
          <cell r="K216">
            <v>512</v>
          </cell>
          <cell r="L216" t="str">
            <v>5IFTLP5</v>
          </cell>
          <cell r="M216" t="str">
            <v>S/C</v>
          </cell>
          <cell r="N216" t="str">
            <v xml:space="preserve">LAB DE PROGRAM </v>
          </cell>
        </row>
        <row r="217">
          <cell r="B217" t="str">
            <v>5°2°5225IFTLA5S</v>
          </cell>
          <cell r="C217" t="str">
            <v>SUPLENTE</v>
          </cell>
          <cell r="D217" t="e">
            <v>#REF!</v>
          </cell>
          <cell r="E217" t="str">
            <v>PF</v>
          </cell>
          <cell r="G217" t="str">
            <v>WITT GERARDO</v>
          </cell>
          <cell r="H217" t="str">
            <v>----</v>
          </cell>
          <cell r="J217" t="str">
            <v>5°2°</v>
          </cell>
          <cell r="K217">
            <v>522</v>
          </cell>
          <cell r="L217" t="str">
            <v>5IFTLA5</v>
          </cell>
          <cell r="M217" t="str">
            <v>S/C</v>
          </cell>
          <cell r="N217" t="str">
            <v xml:space="preserve">LAB DE APLICACIONES </v>
          </cell>
        </row>
        <row r="218">
          <cell r="B218" t="str">
            <v xml:space="preserve"> </v>
          </cell>
          <cell r="C218" t="str">
            <v>SUPLENTE</v>
          </cell>
          <cell r="D218" t="e">
            <v>#REF!</v>
          </cell>
          <cell r="E218" t="str">
            <v>PF</v>
          </cell>
          <cell r="G218" t="str">
            <v>HERRERA LEONEL</v>
          </cell>
          <cell r="H218" t="str">
            <v>----</v>
          </cell>
          <cell r="I218" t="str">
            <v>---</v>
          </cell>
          <cell r="J218" t="str">
            <v>4°2°</v>
          </cell>
          <cell r="K218">
            <v>422</v>
          </cell>
          <cell r="L218" t="str">
            <v>4IFTLS4</v>
          </cell>
          <cell r="M218" t="str">
            <v>S/C</v>
          </cell>
          <cell r="N218" t="str">
            <v xml:space="preserve">LAB DE SIST OPERATIVOS   </v>
          </cell>
        </row>
        <row r="219">
          <cell r="B219" t="str">
            <v xml:space="preserve"> </v>
          </cell>
          <cell r="C219" t="str">
            <v>SUPLENTE</v>
          </cell>
          <cell r="D219" t="e">
            <v>#REF!</v>
          </cell>
          <cell r="E219" t="str">
            <v>PF</v>
          </cell>
          <cell r="G219" t="str">
            <v>WITT GERARDO</v>
          </cell>
          <cell r="H219" t="str">
            <v>----</v>
          </cell>
          <cell r="I219" t="str">
            <v>--</v>
          </cell>
          <cell r="J219" t="str">
            <v>5°1°</v>
          </cell>
          <cell r="K219">
            <v>512</v>
          </cell>
          <cell r="L219" t="str">
            <v>5IFTLA5</v>
          </cell>
          <cell r="M219" t="str">
            <v>S/C</v>
          </cell>
          <cell r="N219" t="str">
            <v xml:space="preserve">LAB DE APLICACIONES </v>
          </cell>
        </row>
        <row r="220">
          <cell r="B220" t="str">
            <v xml:space="preserve"> </v>
          </cell>
          <cell r="C220" t="str">
            <v>SUPLENTE</v>
          </cell>
          <cell r="D220" t="e">
            <v>#REF!</v>
          </cell>
          <cell r="E220" t="str">
            <v>PF</v>
          </cell>
          <cell r="G220" t="str">
            <v>PRIETO KAREN</v>
          </cell>
          <cell r="H220" t="str">
            <v>----</v>
          </cell>
          <cell r="I220" t="str">
            <v>---</v>
          </cell>
          <cell r="J220" t="str">
            <v>3°5°</v>
          </cell>
          <cell r="L220" t="str">
            <v>3ING</v>
          </cell>
          <cell r="M220">
            <v>2232468</v>
          </cell>
          <cell r="N220" t="str">
            <v>INGLÉS</v>
          </cell>
        </row>
        <row r="221">
          <cell r="B221" t="str">
            <v xml:space="preserve"> </v>
          </cell>
          <cell r="C221" t="str">
            <v>SUPLENTE</v>
          </cell>
          <cell r="D221" t="e">
            <v>#REF!</v>
          </cell>
          <cell r="E221" t="str">
            <v>PF</v>
          </cell>
          <cell r="G221" t="str">
            <v>CORDOBA ALEJANDRO</v>
          </cell>
          <cell r="H221" t="str">
            <v>----</v>
          </cell>
          <cell r="I221" t="str">
            <v>--</v>
          </cell>
          <cell r="J221" t="str">
            <v>7°2°</v>
          </cell>
          <cell r="K221">
            <v>722</v>
          </cell>
          <cell r="L221" t="str">
            <v>7EPRODE</v>
          </cell>
          <cell r="M221">
            <v>1913848</v>
          </cell>
          <cell r="N221" t="str">
            <v xml:space="preserve">PROYECTO Y DISEÑO ELECTRONICO </v>
          </cell>
        </row>
        <row r="222">
          <cell r="B222" t="str">
            <v xml:space="preserve"> </v>
          </cell>
          <cell r="C222" t="str">
            <v>SUPLENTE</v>
          </cell>
          <cell r="D222" t="e">
            <v>#REF!</v>
          </cell>
          <cell r="E222" t="str">
            <v>PF</v>
          </cell>
          <cell r="G222" t="str">
            <v>GONZALEZ FIORENCIA</v>
          </cell>
          <cell r="H222" t="str">
            <v>----</v>
          </cell>
          <cell r="I222" t="str">
            <v>----</v>
          </cell>
          <cell r="J222" t="str">
            <v>1°6°</v>
          </cell>
          <cell r="L222" t="str">
            <v>1LEN</v>
          </cell>
          <cell r="M222">
            <v>2232486</v>
          </cell>
          <cell r="N222" t="str">
            <v>PRACTICA DEL LENGUAJE</v>
          </cell>
        </row>
        <row r="223">
          <cell r="B223" t="str">
            <v xml:space="preserve"> </v>
          </cell>
          <cell r="C223" t="str">
            <v>SUPLENTE</v>
          </cell>
          <cell r="D223" t="e">
            <v>#REF!</v>
          </cell>
          <cell r="E223" t="str">
            <v>PF</v>
          </cell>
          <cell r="G223" t="str">
            <v>ESPINDOLA, S</v>
          </cell>
          <cell r="H223" t="str">
            <v>---</v>
          </cell>
          <cell r="I223" t="str">
            <v>--</v>
          </cell>
          <cell r="J223" t="str">
            <v>1°4°</v>
          </cell>
          <cell r="K223">
            <v>141</v>
          </cell>
          <cell r="L223" t="str">
            <v>1TLT</v>
          </cell>
          <cell r="M223" t="str">
            <v>S/C</v>
          </cell>
          <cell r="N223" t="str">
            <v>LENGUAJES TECNOLOGICOS</v>
          </cell>
        </row>
        <row r="224">
          <cell r="B224" t="str">
            <v xml:space="preserve"> </v>
          </cell>
          <cell r="C224" t="str">
            <v>SUPLENTE</v>
          </cell>
          <cell r="D224" t="e">
            <v>#REF!</v>
          </cell>
          <cell r="E224" t="str">
            <v>PF</v>
          </cell>
          <cell r="G224" t="str">
            <v>MARIO MARTINEZ</v>
          </cell>
          <cell r="H224" t="str">
            <v>---</v>
          </cell>
          <cell r="I224" t="str">
            <v>--</v>
          </cell>
          <cell r="J224" t="str">
            <v>1°4°</v>
          </cell>
          <cell r="K224">
            <v>142</v>
          </cell>
          <cell r="L224" t="str">
            <v>1TLT</v>
          </cell>
          <cell r="M224" t="str">
            <v>S/C</v>
          </cell>
          <cell r="N224" t="str">
            <v>LENGUAJES TECNOLOGICOS</v>
          </cell>
        </row>
        <row r="225">
          <cell r="B225" t="str">
            <v xml:space="preserve"> </v>
          </cell>
          <cell r="C225" t="str">
            <v>SUPLENTE</v>
          </cell>
          <cell r="D225" t="e">
            <v>#REF!</v>
          </cell>
          <cell r="E225" t="str">
            <v>PF</v>
          </cell>
          <cell r="G225" t="str">
            <v>HERRERA STELLA</v>
          </cell>
          <cell r="H225" t="str">
            <v>---</v>
          </cell>
          <cell r="I225" t="str">
            <v>--</v>
          </cell>
          <cell r="J225" t="str">
            <v>6°2°</v>
          </cell>
          <cell r="K225">
            <v>621</v>
          </cell>
          <cell r="L225" t="str">
            <v>6IFTLA6</v>
          </cell>
          <cell r="M225" t="str">
            <v>S/C</v>
          </cell>
          <cell r="N225" t="str">
            <v xml:space="preserve">LAB DE APLICACIONES </v>
          </cell>
        </row>
        <row r="226">
          <cell r="B226" t="str">
            <v>6°1°6ISIDI6S</v>
          </cell>
          <cell r="C226" t="str">
            <v>SUPLENTE</v>
          </cell>
          <cell r="D226" t="e">
            <v>#REF!</v>
          </cell>
          <cell r="E226" t="str">
            <v>PF</v>
          </cell>
          <cell r="G226" t="str">
            <v>MONTES IVAN</v>
          </cell>
          <cell r="H226" t="str">
            <v>---</v>
          </cell>
          <cell r="J226" t="str">
            <v>6°1°</v>
          </cell>
          <cell r="L226" t="str">
            <v>6ISIDI6</v>
          </cell>
          <cell r="M226">
            <v>733383</v>
          </cell>
          <cell r="N226" t="str">
            <v>SISTEMA DIGITAL</v>
          </cell>
        </row>
        <row r="227">
          <cell r="B227" t="str">
            <v xml:space="preserve"> </v>
          </cell>
          <cell r="C227" t="str">
            <v>SUPLENTE</v>
          </cell>
          <cell r="D227" t="e">
            <v>#REF!</v>
          </cell>
          <cell r="E227" t="str">
            <v>PF</v>
          </cell>
          <cell r="G227" t="str">
            <v>PEREIRA GUSTAVO</v>
          </cell>
          <cell r="H227" t="str">
            <v>----</v>
          </cell>
          <cell r="I227" t="str">
            <v>----</v>
          </cell>
          <cell r="J227" t="str">
            <v>4°2°</v>
          </cell>
          <cell r="L227" t="str">
            <v>4IQUIS</v>
          </cell>
          <cell r="M227">
            <v>733408</v>
          </cell>
          <cell r="N227" t="str">
            <v>QUIMICA</v>
          </cell>
        </row>
        <row r="228">
          <cell r="B228" t="str">
            <v xml:space="preserve"> </v>
          </cell>
          <cell r="C228" t="str">
            <v>SUPLENTE</v>
          </cell>
          <cell r="D228" t="e">
            <v>#REF!</v>
          </cell>
          <cell r="E228" t="str">
            <v>PF</v>
          </cell>
          <cell r="G228" t="str">
            <v>VALDES THOMAS</v>
          </cell>
          <cell r="H228" t="str">
            <v>----</v>
          </cell>
          <cell r="I228" t="str">
            <v>--</v>
          </cell>
          <cell r="J228" t="str">
            <v>3°4°</v>
          </cell>
          <cell r="L228" t="str">
            <v>3FI/QUI</v>
          </cell>
          <cell r="M228">
            <v>1492069</v>
          </cell>
          <cell r="N228" t="str">
            <v>FISICO-QUIMICA</v>
          </cell>
        </row>
        <row r="229">
          <cell r="B229" t="str">
            <v>2°3°2CCDS</v>
          </cell>
          <cell r="C229" t="str">
            <v>SUPLENTE</v>
          </cell>
          <cell r="D229" t="e">
            <v>#REF!</v>
          </cell>
          <cell r="E229" t="str">
            <v>PF</v>
          </cell>
          <cell r="G229" t="str">
            <v>ARCE MIRTA</v>
          </cell>
          <cell r="H229" t="str">
            <v>----</v>
          </cell>
          <cell r="J229" t="str">
            <v>2°3°</v>
          </cell>
          <cell r="L229" t="str">
            <v>2CCD</v>
          </cell>
          <cell r="M229">
            <v>1174484</v>
          </cell>
          <cell r="N229" t="str">
            <v>CONSTRUCCION DE LA CIUDADANIA</v>
          </cell>
        </row>
        <row r="230">
          <cell r="B230" t="str">
            <v xml:space="preserve"> </v>
          </cell>
          <cell r="C230" t="str">
            <v>SUPLENTE</v>
          </cell>
          <cell r="D230" t="e">
            <v>#REF!</v>
          </cell>
          <cell r="E230" t="str">
            <v>PF</v>
          </cell>
          <cell r="G230" t="str">
            <v>GOMEZ MARCELA</v>
          </cell>
          <cell r="H230" t="str">
            <v>----</v>
          </cell>
          <cell r="I230" t="str">
            <v>--</v>
          </cell>
          <cell r="J230" t="str">
            <v>3°3°</v>
          </cell>
          <cell r="L230" t="str">
            <v>3CCD</v>
          </cell>
          <cell r="M230">
            <v>1913965</v>
          </cell>
          <cell r="N230" t="str">
            <v>CONSTRUCCION DE LA CIUDADANIA</v>
          </cell>
        </row>
        <row r="231">
          <cell r="B231" t="str">
            <v>1°1°1CCDS</v>
          </cell>
          <cell r="C231" t="str">
            <v>SUPLENTE</v>
          </cell>
          <cell r="D231" t="e">
            <v>#REF!</v>
          </cell>
          <cell r="E231" t="str">
            <v>PF</v>
          </cell>
          <cell r="G231" t="str">
            <v>MEDINA</v>
          </cell>
          <cell r="H231" t="str">
            <v>----</v>
          </cell>
          <cell r="J231" t="str">
            <v>1°1°</v>
          </cell>
          <cell r="L231" t="str">
            <v>1CCD</v>
          </cell>
          <cell r="M231">
            <v>992715</v>
          </cell>
          <cell r="N231" t="str">
            <v>CONSTRUCCION DE LA CIUDADANIA</v>
          </cell>
        </row>
        <row r="232">
          <cell r="B232" t="str">
            <v xml:space="preserve"> </v>
          </cell>
          <cell r="C232" t="str">
            <v>SUPLENTE</v>
          </cell>
          <cell r="D232" t="e">
            <v>#REF!</v>
          </cell>
          <cell r="E232" t="str">
            <v>PF</v>
          </cell>
          <cell r="G232" t="str">
            <v>RUIZ LAURA</v>
          </cell>
          <cell r="H232" t="str">
            <v>----</v>
          </cell>
          <cell r="I232" t="str">
            <v>---</v>
          </cell>
          <cell r="J232" t="str">
            <v>2°2°</v>
          </cell>
          <cell r="L232" t="str">
            <v>2CCD</v>
          </cell>
          <cell r="M232">
            <v>1174482</v>
          </cell>
          <cell r="N232" t="str">
            <v>CONSTRUCCION DE LA CIUDADANIA</v>
          </cell>
        </row>
        <row r="233">
          <cell r="B233" t="str">
            <v xml:space="preserve"> </v>
          </cell>
          <cell r="C233" t="str">
            <v>SUPLENTE</v>
          </cell>
          <cell r="D233" t="e">
            <v>#REF!</v>
          </cell>
          <cell r="E233" t="str">
            <v>PF</v>
          </cell>
          <cell r="G233" t="str">
            <v xml:space="preserve">AVILA </v>
          </cell>
          <cell r="H233" t="str">
            <v>----</v>
          </cell>
          <cell r="I233" t="str">
            <v>---</v>
          </cell>
          <cell r="J233" t="str">
            <v>2°4°</v>
          </cell>
          <cell r="K233">
            <v>241</v>
          </cell>
          <cell r="L233" t="str">
            <v>2TST2</v>
          </cell>
          <cell r="M233" t="str">
            <v>S/C</v>
          </cell>
          <cell r="N233" t="str">
            <v>SISTEMAS TECNOLOGICOS</v>
          </cell>
        </row>
        <row r="234">
          <cell r="B234" t="str">
            <v xml:space="preserve"> </v>
          </cell>
          <cell r="C234" t="str">
            <v>SUPLENTE</v>
          </cell>
          <cell r="D234" t="e">
            <v>#REF!</v>
          </cell>
          <cell r="E234" t="str">
            <v>PF</v>
          </cell>
          <cell r="G234" t="str">
            <v xml:space="preserve"> ROMERO  ROXANA</v>
          </cell>
          <cell r="H234" t="str">
            <v>---</v>
          </cell>
          <cell r="I234" t="str">
            <v>--</v>
          </cell>
          <cell r="J234" t="str">
            <v>6°1°</v>
          </cell>
          <cell r="L234" t="str">
            <v>6ILITS</v>
          </cell>
          <cell r="M234" t="str">
            <v>S/C</v>
          </cell>
          <cell r="N234" t="str">
            <v>LITERATURA</v>
          </cell>
        </row>
        <row r="235">
          <cell r="B235" t="str">
            <v xml:space="preserve"> </v>
          </cell>
          <cell r="C235" t="str">
            <v>SUPLENTE</v>
          </cell>
          <cell r="D235" t="e">
            <v>#REF!</v>
          </cell>
          <cell r="E235" t="str">
            <v>PF</v>
          </cell>
          <cell r="F235">
            <v>23086757</v>
          </cell>
          <cell r="G235" t="str">
            <v>PALACIO MARIA EUGENIA</v>
          </cell>
          <cell r="H235" t="str">
            <v>---</v>
          </cell>
          <cell r="I235" t="str">
            <v>---</v>
          </cell>
          <cell r="J235" t="str">
            <v>5°1°</v>
          </cell>
          <cell r="L235" t="str">
            <v>5IINGS</v>
          </cell>
          <cell r="M235">
            <v>733672</v>
          </cell>
          <cell r="N235" t="str">
            <v>INGLÉS</v>
          </cell>
        </row>
        <row r="236">
          <cell r="B236" t="str">
            <v xml:space="preserve"> </v>
          </cell>
          <cell r="C236" t="str">
            <v>SUPLENTE</v>
          </cell>
          <cell r="D236" t="e">
            <v>#REF!</v>
          </cell>
          <cell r="E236" t="str">
            <v>PF</v>
          </cell>
          <cell r="F236">
            <v>23086757</v>
          </cell>
          <cell r="G236" t="str">
            <v>GILL ROBERTO</v>
          </cell>
          <cell r="H236" t="str">
            <v>---</v>
          </cell>
          <cell r="I236" t="str">
            <v>"--LICENCIA"</v>
          </cell>
          <cell r="J236" t="str">
            <v>4°4°</v>
          </cell>
          <cell r="L236" t="str">
            <v>4EQUIS</v>
          </cell>
          <cell r="M236">
            <v>733416</v>
          </cell>
          <cell r="N236" t="str">
            <v>QUIMICA</v>
          </cell>
        </row>
        <row r="237">
          <cell r="B237" t="str">
            <v xml:space="preserve"> </v>
          </cell>
          <cell r="C237" t="str">
            <v>SUPLENTE</v>
          </cell>
          <cell r="D237" t="e">
            <v>#REF!</v>
          </cell>
          <cell r="E237" t="str">
            <v>PF</v>
          </cell>
          <cell r="F237">
            <v>23086757</v>
          </cell>
          <cell r="G237" t="str">
            <v>PALACIO GUSTAVO</v>
          </cell>
          <cell r="H237" t="str">
            <v>---</v>
          </cell>
          <cell r="I237" t="str">
            <v>--</v>
          </cell>
          <cell r="J237" t="str">
            <v>5°5°</v>
          </cell>
          <cell r="L237" t="str">
            <v>5IHIS5</v>
          </cell>
          <cell r="M237">
            <v>1643750</v>
          </cell>
          <cell r="N237" t="str">
            <v>HISTORIA</v>
          </cell>
        </row>
        <row r="238">
          <cell r="B238" t="str">
            <v xml:space="preserve"> </v>
          </cell>
          <cell r="C238" t="str">
            <v>SUPLENTE</v>
          </cell>
          <cell r="D238" t="e">
            <v>#REF!</v>
          </cell>
          <cell r="E238" t="str">
            <v>PF</v>
          </cell>
          <cell r="F238">
            <v>23086757</v>
          </cell>
          <cell r="G238" t="str">
            <v>LUQUE NICOLAS</v>
          </cell>
          <cell r="H238" t="str">
            <v>---</v>
          </cell>
          <cell r="I238" t="str">
            <v>---</v>
          </cell>
          <cell r="J238" t="str">
            <v>5°3°</v>
          </cell>
          <cell r="L238" t="str">
            <v>5EHIS5</v>
          </cell>
          <cell r="M238">
            <v>2355535</v>
          </cell>
          <cell r="N238" t="str">
            <v>HISTORIA</v>
          </cell>
        </row>
        <row r="239">
          <cell r="B239" t="str">
            <v xml:space="preserve"> </v>
          </cell>
          <cell r="C239" t="str">
            <v>SUPLENTE</v>
          </cell>
          <cell r="D239" t="e">
            <v>#REF!</v>
          </cell>
          <cell r="E239" t="str">
            <v>PF</v>
          </cell>
          <cell r="F239">
            <v>23086757</v>
          </cell>
          <cell r="G239" t="str">
            <v>ORTIZ FERNANDA</v>
          </cell>
          <cell r="H239" t="str">
            <v>---</v>
          </cell>
          <cell r="I239" t="str">
            <v>--</v>
          </cell>
          <cell r="J239" t="str">
            <v>5°5°</v>
          </cell>
          <cell r="L239" t="str">
            <v>5ILITS</v>
          </cell>
          <cell r="M239">
            <v>733603</v>
          </cell>
          <cell r="N239" t="str">
            <v>LITERATURA</v>
          </cell>
        </row>
        <row r="240">
          <cell r="B240" t="str">
            <v xml:space="preserve"> </v>
          </cell>
          <cell r="C240" t="str">
            <v>SUPLENTE</v>
          </cell>
          <cell r="D240" t="e">
            <v>#REF!</v>
          </cell>
          <cell r="E240" t="str">
            <v>PF</v>
          </cell>
          <cell r="F240">
            <v>23086757</v>
          </cell>
          <cell r="G240" t="str">
            <v>CARPITELA</v>
          </cell>
          <cell r="H240" t="str">
            <v>---</v>
          </cell>
          <cell r="I240" t="str">
            <v>---</v>
          </cell>
          <cell r="J240" t="str">
            <v>6°1°</v>
          </cell>
          <cell r="K240">
            <v>612</v>
          </cell>
          <cell r="L240" t="str">
            <v>6IFTLA6</v>
          </cell>
          <cell r="M240" t="str">
            <v>S/C</v>
          </cell>
          <cell r="N240" t="str">
            <v xml:space="preserve">LAB DE APLICACIONES </v>
          </cell>
        </row>
        <row r="241">
          <cell r="B241" t="str">
            <v xml:space="preserve"> </v>
          </cell>
          <cell r="C241" t="str">
            <v>SUPLENTE</v>
          </cell>
          <cell r="D241" t="e">
            <v>#REF!</v>
          </cell>
          <cell r="E241" t="str">
            <v>PF</v>
          </cell>
          <cell r="F241">
            <v>23086757</v>
          </cell>
          <cell r="G241" t="str">
            <v>WITT GERARDO</v>
          </cell>
          <cell r="H241" t="str">
            <v>---</v>
          </cell>
          <cell r="I241" t="str">
            <v>--</v>
          </cell>
          <cell r="J241" t="str">
            <v>5°5°</v>
          </cell>
          <cell r="K241">
            <v>552</v>
          </cell>
          <cell r="L241" t="str">
            <v>5IFTLP5</v>
          </cell>
          <cell r="M241" t="str">
            <v>S/C</v>
          </cell>
          <cell r="N241" t="str">
            <v xml:space="preserve">LAB DE PROGRAM </v>
          </cell>
        </row>
        <row r="242">
          <cell r="B242" t="str">
            <v xml:space="preserve"> </v>
          </cell>
          <cell r="C242" t="str">
            <v>SUPLENTE</v>
          </cell>
          <cell r="D242" t="e">
            <v>#REF!</v>
          </cell>
          <cell r="E242" t="str">
            <v>PF</v>
          </cell>
          <cell r="G242" t="str">
            <v>WEBBER JONATHAN</v>
          </cell>
          <cell r="H242" t="str">
            <v>----</v>
          </cell>
          <cell r="I242" t="str">
            <v>--</v>
          </cell>
          <cell r="J242" t="str">
            <v>4°1°</v>
          </cell>
          <cell r="L242" t="str">
            <v>4IMATES</v>
          </cell>
          <cell r="M242">
            <v>733575</v>
          </cell>
          <cell r="N242" t="str">
            <v>MATEMATICA</v>
          </cell>
        </row>
        <row r="243">
          <cell r="B243" t="str">
            <v xml:space="preserve"> </v>
          </cell>
          <cell r="C243" t="str">
            <v>SUPLENTE</v>
          </cell>
          <cell r="D243" t="e">
            <v>#REF!</v>
          </cell>
          <cell r="E243" t="str">
            <v>PF</v>
          </cell>
          <cell r="G243" t="str">
            <v>ARBORIO</v>
          </cell>
          <cell r="H243" t="str">
            <v>----</v>
          </cell>
          <cell r="I243" t="str">
            <v>--</v>
          </cell>
          <cell r="J243" t="str">
            <v>5°3°</v>
          </cell>
          <cell r="L243" t="str">
            <v>5EPYCS</v>
          </cell>
          <cell r="M243">
            <v>2355532</v>
          </cell>
          <cell r="N243" t="str">
            <v>POLITICA Y CIUDADANIA</v>
          </cell>
        </row>
        <row r="244">
          <cell r="B244" t="str">
            <v xml:space="preserve"> </v>
          </cell>
          <cell r="C244" t="str">
            <v>SUPLENTE</v>
          </cell>
          <cell r="D244" t="e">
            <v>#REF!</v>
          </cell>
          <cell r="E244" t="str">
            <v>PF</v>
          </cell>
          <cell r="G244" t="str">
            <v>MIRAFIORI, N</v>
          </cell>
          <cell r="H244" t="str">
            <v>---</v>
          </cell>
          <cell r="I244" t="str">
            <v>--</v>
          </cell>
          <cell r="J244" t="str">
            <v>5°1°</v>
          </cell>
          <cell r="L244" t="str">
            <v>5ILITS</v>
          </cell>
          <cell r="M244">
            <v>733603</v>
          </cell>
          <cell r="N244" t="str">
            <v>LITERATURA</v>
          </cell>
        </row>
        <row r="245">
          <cell r="B245" t="str">
            <v xml:space="preserve"> </v>
          </cell>
          <cell r="C245" t="str">
            <v>SUPLENTE</v>
          </cell>
          <cell r="D245" t="e">
            <v>#REF!</v>
          </cell>
          <cell r="E245" t="str">
            <v>PF</v>
          </cell>
          <cell r="G245" t="str">
            <v>FERREYRA YESICA</v>
          </cell>
          <cell r="H245" t="str">
            <v>---</v>
          </cell>
          <cell r="I245" t="str">
            <v>--</v>
          </cell>
          <cell r="J245" t="str">
            <v>2°5°</v>
          </cell>
          <cell r="K245">
            <v>251</v>
          </cell>
          <cell r="L245" t="str">
            <v>2TPT2</v>
          </cell>
          <cell r="M245" t="str">
            <v>S/C</v>
          </cell>
          <cell r="N245" t="str">
            <v>PROCEDIMIENTOS TECNICOS</v>
          </cell>
        </row>
        <row r="246">
          <cell r="B246" t="str">
            <v>1°4°1CCDS</v>
          </cell>
          <cell r="C246" t="str">
            <v>SUPLENTE</v>
          </cell>
          <cell r="D246" t="e">
            <v>#REF!</v>
          </cell>
          <cell r="E246" t="str">
            <v>PF</v>
          </cell>
          <cell r="G246" t="str">
            <v>KUSNIER CUPAIOLO</v>
          </cell>
          <cell r="H246" t="str">
            <v>---</v>
          </cell>
          <cell r="J246" t="str">
            <v>1°4°</v>
          </cell>
          <cell r="L246" t="str">
            <v>1CCD</v>
          </cell>
          <cell r="M246">
            <v>839176</v>
          </cell>
          <cell r="N246" t="str">
            <v>CONSTRUCCION DE LA CIUDADANIA</v>
          </cell>
        </row>
        <row r="247">
          <cell r="B247" t="str">
            <v xml:space="preserve"> </v>
          </cell>
          <cell r="C247" t="str">
            <v>SUPLENTE</v>
          </cell>
          <cell r="D247" t="e">
            <v>#REF!</v>
          </cell>
          <cell r="E247" t="str">
            <v>PF</v>
          </cell>
          <cell r="G247" t="str">
            <v>HERRERA STELLA</v>
          </cell>
          <cell r="H247">
            <v>44834</v>
          </cell>
          <cell r="I247" t="str">
            <v>--</v>
          </cell>
          <cell r="J247" t="str">
            <v>6°4°</v>
          </cell>
          <cell r="K247">
            <v>642</v>
          </cell>
          <cell r="L247" t="str">
            <v>6ELENE6</v>
          </cell>
          <cell r="M247" t="str">
            <v>S/C</v>
          </cell>
          <cell r="N247" t="str">
            <v>LENGUAJES ELECTRONICOS</v>
          </cell>
        </row>
        <row r="248">
          <cell r="B248" t="str">
            <v xml:space="preserve"> </v>
          </cell>
          <cell r="C248" t="str">
            <v>SUPLENTE</v>
          </cell>
          <cell r="D248" t="e">
            <v>#REF!</v>
          </cell>
          <cell r="E248" t="str">
            <v>PF</v>
          </cell>
          <cell r="G248" t="str">
            <v>ISETTA</v>
          </cell>
          <cell r="H248" t="str">
            <v>----</v>
          </cell>
          <cell r="I248" t="str">
            <v>---</v>
          </cell>
          <cell r="J248" t="str">
            <v>6°3°</v>
          </cell>
          <cell r="L248" t="str">
            <v>6EARTE</v>
          </cell>
          <cell r="M248" t="str">
            <v>S/C</v>
          </cell>
          <cell r="N248" t="str">
            <v>ARTE</v>
          </cell>
        </row>
        <row r="249">
          <cell r="B249" t="str">
            <v xml:space="preserve"> </v>
          </cell>
          <cell r="C249" t="str">
            <v>SUPLENTE</v>
          </cell>
          <cell r="D249" t="e">
            <v>#REF!</v>
          </cell>
          <cell r="E249" t="str">
            <v>PF</v>
          </cell>
          <cell r="G249" t="str">
            <v>FERREYRA YESICA</v>
          </cell>
          <cell r="H249" t="str">
            <v>----</v>
          </cell>
          <cell r="I249" t="str">
            <v>----</v>
          </cell>
          <cell r="J249" t="str">
            <v>5°1°</v>
          </cell>
          <cell r="K249">
            <v>511</v>
          </cell>
          <cell r="L249" t="str">
            <v>5IFTLS5</v>
          </cell>
          <cell r="M249" t="str">
            <v>S/C</v>
          </cell>
          <cell r="N249" t="str">
            <v>LAB DE SIST OPERATIVOS</v>
          </cell>
        </row>
        <row r="250">
          <cell r="B250" t="str">
            <v xml:space="preserve"> </v>
          </cell>
          <cell r="C250" t="str">
            <v>SUPLENTE</v>
          </cell>
          <cell r="D250" t="e">
            <v>#REF!</v>
          </cell>
          <cell r="E250" t="str">
            <v>PF</v>
          </cell>
          <cell r="G250" t="str">
            <v>GOMEZ MARIANA</v>
          </cell>
          <cell r="H250" t="str">
            <v>----</v>
          </cell>
          <cell r="I250" t="str">
            <v>---</v>
          </cell>
          <cell r="J250" t="str">
            <v>4°2°</v>
          </cell>
          <cell r="L250" t="str">
            <v>4IINGS</v>
          </cell>
          <cell r="M250">
            <v>733377</v>
          </cell>
          <cell r="N250" t="str">
            <v>INGLÉS</v>
          </cell>
        </row>
        <row r="251">
          <cell r="B251" t="str">
            <v xml:space="preserve"> </v>
          </cell>
          <cell r="C251" t="str">
            <v>SUPLENTE</v>
          </cell>
          <cell r="D251" t="e">
            <v>#REF!</v>
          </cell>
          <cell r="E251" t="str">
            <v>PF</v>
          </cell>
          <cell r="G251" t="str">
            <v>SOLORZANO</v>
          </cell>
          <cell r="H251" t="str">
            <v>----</v>
          </cell>
          <cell r="I251" t="str">
            <v>--</v>
          </cell>
          <cell r="J251" t="str">
            <v>4°3°</v>
          </cell>
          <cell r="K251">
            <v>432</v>
          </cell>
          <cell r="L251" t="str">
            <v>4EFTMP4</v>
          </cell>
          <cell r="M251" t="str">
            <v>S/C</v>
          </cell>
          <cell r="N251" t="str">
            <v xml:space="preserve">MONTAJE DE PROYECTO ELECTRONICOS </v>
          </cell>
        </row>
        <row r="252">
          <cell r="B252" t="str">
            <v xml:space="preserve"> </v>
          </cell>
          <cell r="C252" t="str">
            <v>SUPLENTE</v>
          </cell>
          <cell r="D252" t="e">
            <v>#REF!</v>
          </cell>
          <cell r="E252" t="str">
            <v>PF</v>
          </cell>
          <cell r="G252" t="str">
            <v>ABRIL AVILA</v>
          </cell>
          <cell r="H252" t="str">
            <v>----</v>
          </cell>
          <cell r="I252" t="str">
            <v>---</v>
          </cell>
          <cell r="J252" t="str">
            <v>1°1°</v>
          </cell>
          <cell r="L252" t="str">
            <v>1LEN</v>
          </cell>
          <cell r="M252">
            <v>733465</v>
          </cell>
          <cell r="N252" t="str">
            <v>PRACTICA DEL LENGUAJE</v>
          </cell>
        </row>
        <row r="253">
          <cell r="B253" t="str">
            <v xml:space="preserve"> </v>
          </cell>
          <cell r="C253" t="str">
            <v>SUPLENTE</v>
          </cell>
          <cell r="D253" t="e">
            <v>#REF!</v>
          </cell>
          <cell r="E253" t="str">
            <v>PF</v>
          </cell>
          <cell r="F253">
            <v>23086757</v>
          </cell>
          <cell r="G253" t="str">
            <v xml:space="preserve"> RADA  LORENA</v>
          </cell>
          <cell r="H253" t="str">
            <v>---</v>
          </cell>
          <cell r="I253" t="str">
            <v>--</v>
          </cell>
          <cell r="J253" t="str">
            <v>4°2°</v>
          </cell>
          <cell r="L253" t="str">
            <v>4ISADS</v>
          </cell>
          <cell r="M253">
            <v>1517133</v>
          </cell>
          <cell r="N253" t="str">
            <v>SALUD Y ADOLESCENCIA</v>
          </cell>
        </row>
        <row r="254">
          <cell r="B254" t="str">
            <v xml:space="preserve"> </v>
          </cell>
          <cell r="C254" t="str">
            <v>SUPLENTE</v>
          </cell>
          <cell r="D254" t="e">
            <v>#REF!</v>
          </cell>
          <cell r="E254" t="str">
            <v>PF</v>
          </cell>
          <cell r="F254">
            <v>23086757</v>
          </cell>
          <cell r="G254" t="str">
            <v>SOLORZANO</v>
          </cell>
          <cell r="H254" t="str">
            <v>---</v>
          </cell>
          <cell r="I254" t="str">
            <v>---</v>
          </cell>
          <cell r="J254" t="str">
            <v>6°3°</v>
          </cell>
          <cell r="K254">
            <v>631</v>
          </cell>
          <cell r="L254" t="str">
            <v>6EFTAE6</v>
          </cell>
          <cell r="M254" t="str">
            <v>S/C</v>
          </cell>
          <cell r="N254" t="str">
            <v>APLIC ELECT ANALOG</v>
          </cell>
        </row>
        <row r="255">
          <cell r="B255" t="str">
            <v xml:space="preserve"> </v>
          </cell>
          <cell r="C255" t="str">
            <v>SUPLENTE</v>
          </cell>
          <cell r="D255" t="e">
            <v>#REF!</v>
          </cell>
          <cell r="E255" t="str">
            <v>PF</v>
          </cell>
          <cell r="F255">
            <v>23086757</v>
          </cell>
          <cell r="G255" t="str">
            <v>FERREYRA YESICA</v>
          </cell>
          <cell r="H255" t="str">
            <v>---</v>
          </cell>
          <cell r="I255" t="str">
            <v>--</v>
          </cell>
          <cell r="J255" t="str">
            <v>4°3°</v>
          </cell>
          <cell r="K255">
            <v>431</v>
          </cell>
          <cell r="L255" t="str">
            <v>4EFTAE4</v>
          </cell>
          <cell r="M255" t="str">
            <v>S/C</v>
          </cell>
          <cell r="N255" t="str">
            <v xml:space="preserve">APLIC ELECT ANALOG </v>
          </cell>
        </row>
        <row r="256">
          <cell r="B256" t="str">
            <v xml:space="preserve"> </v>
          </cell>
          <cell r="C256" t="str">
            <v>SUPLENTE</v>
          </cell>
          <cell r="D256" t="e">
            <v>#REF!</v>
          </cell>
          <cell r="E256" t="str">
            <v>PF</v>
          </cell>
          <cell r="G256" t="str">
            <v>SILVA</v>
          </cell>
          <cell r="H256" t="str">
            <v>----</v>
          </cell>
          <cell r="I256" t="str">
            <v>--</v>
          </cell>
          <cell r="J256" t="str">
            <v>3°4°</v>
          </cell>
          <cell r="L256" t="str">
            <v>3FI/QUI</v>
          </cell>
          <cell r="M256">
            <v>1492069</v>
          </cell>
          <cell r="N256" t="str">
            <v>FISICO-QUIMICA</v>
          </cell>
        </row>
        <row r="257">
          <cell r="B257" t="str">
            <v xml:space="preserve"> </v>
          </cell>
          <cell r="C257" t="str">
            <v>SUPLENTE</v>
          </cell>
          <cell r="D257" t="e">
            <v>#REF!</v>
          </cell>
          <cell r="E257" t="str">
            <v>PF</v>
          </cell>
          <cell r="G257" t="str">
            <v xml:space="preserve">CESPEDES EMILIANO </v>
          </cell>
          <cell r="H257" t="str">
            <v>----</v>
          </cell>
          <cell r="I257" t="str">
            <v>--</v>
          </cell>
          <cell r="J257" t="str">
            <v>2°5°</v>
          </cell>
          <cell r="K257">
            <v>252</v>
          </cell>
          <cell r="L257" t="str">
            <v>2TLT2</v>
          </cell>
          <cell r="M257" t="str">
            <v>S/C</v>
          </cell>
          <cell r="N257" t="str">
            <v>LENGUAJES TECNOLOGICOS</v>
          </cell>
        </row>
        <row r="258">
          <cell r="B258" t="str">
            <v xml:space="preserve"> </v>
          </cell>
          <cell r="C258" t="str">
            <v>SUPLENTE</v>
          </cell>
          <cell r="D258" t="e">
            <v>#REF!</v>
          </cell>
          <cell r="E258" t="str">
            <v>PF</v>
          </cell>
          <cell r="G258" t="str">
            <v>SOLORZANO PAS TOR</v>
          </cell>
          <cell r="H258" t="str">
            <v>----</v>
          </cell>
          <cell r="I258" t="str">
            <v>----</v>
          </cell>
          <cell r="J258" t="str">
            <v>6°4°</v>
          </cell>
          <cell r="K258">
            <v>642</v>
          </cell>
          <cell r="L258" t="str">
            <v>6EFTAE6</v>
          </cell>
          <cell r="M258" t="str">
            <v>S/C</v>
          </cell>
          <cell r="N258" t="str">
            <v>APLIC ELECT ANALOG</v>
          </cell>
        </row>
        <row r="259">
          <cell r="B259" t="str">
            <v xml:space="preserve"> </v>
          </cell>
          <cell r="C259" t="str">
            <v>SUPLENTE</v>
          </cell>
          <cell r="D259" t="e">
            <v>#REF!</v>
          </cell>
          <cell r="E259" t="str">
            <v>PF</v>
          </cell>
          <cell r="G259" t="str">
            <v>CASTILLO SOFIA</v>
          </cell>
          <cell r="H259" t="str">
            <v>----</v>
          </cell>
          <cell r="I259" t="str">
            <v>---</v>
          </cell>
          <cell r="J259" t="str">
            <v>1°4°</v>
          </cell>
          <cell r="K259">
            <v>142</v>
          </cell>
          <cell r="L259" t="str">
            <v>1TST</v>
          </cell>
          <cell r="M259" t="str">
            <v>S/C</v>
          </cell>
          <cell r="N259" t="str">
            <v>SISTEMAS TECNOLOGICOS</v>
          </cell>
        </row>
        <row r="260">
          <cell r="B260" t="str">
            <v xml:space="preserve"> </v>
          </cell>
          <cell r="C260" t="str">
            <v>SUPLENTE</v>
          </cell>
          <cell r="D260" t="e">
            <v>#REF!</v>
          </cell>
          <cell r="E260" t="str">
            <v>PF</v>
          </cell>
          <cell r="G260" t="str">
            <v>MONTENEGRO, CLAUDIA</v>
          </cell>
          <cell r="H260" t="str">
            <v>---</v>
          </cell>
          <cell r="I260" t="str">
            <v>---</v>
          </cell>
          <cell r="J260" t="str">
            <v>2°5°</v>
          </cell>
          <cell r="K260">
            <v>251</v>
          </cell>
          <cell r="L260" t="str">
            <v>2TLT2</v>
          </cell>
          <cell r="M260" t="str">
            <v>S/C</v>
          </cell>
          <cell r="N260" t="str">
            <v>LENGUAJES TECNOLOGICOS</v>
          </cell>
        </row>
        <row r="261">
          <cell r="B261" t="str">
            <v xml:space="preserve"> </v>
          </cell>
          <cell r="C261" t="str">
            <v>SUPLENTE</v>
          </cell>
          <cell r="D261" t="e">
            <v>#REF!</v>
          </cell>
          <cell r="E261" t="str">
            <v>PF</v>
          </cell>
          <cell r="G261" t="str">
            <v>NERIS VALERIA SILVANA</v>
          </cell>
          <cell r="H261" t="str">
            <v>---</v>
          </cell>
          <cell r="I261" t="str">
            <v>---</v>
          </cell>
          <cell r="J261" t="str">
            <v>1°1°</v>
          </cell>
          <cell r="L261" t="str">
            <v>1SOC</v>
          </cell>
          <cell r="M261">
            <v>733445</v>
          </cell>
          <cell r="N261" t="str">
            <v>CIENCIAS SOCIALES</v>
          </cell>
        </row>
        <row r="262">
          <cell r="B262" t="str">
            <v xml:space="preserve"> </v>
          </cell>
          <cell r="C262" t="str">
            <v>SUPLENTE</v>
          </cell>
          <cell r="D262" t="e">
            <v>#REF!</v>
          </cell>
          <cell r="E262" t="str">
            <v>PF</v>
          </cell>
          <cell r="F262">
            <v>23086757</v>
          </cell>
          <cell r="G262" t="str">
            <v>QUIROZ JESSICA</v>
          </cell>
          <cell r="H262" t="str">
            <v>---</v>
          </cell>
          <cell r="I262" t="str">
            <v>--</v>
          </cell>
          <cell r="J262" t="str">
            <v>4°2°</v>
          </cell>
          <cell r="K262">
            <v>422</v>
          </cell>
          <cell r="L262" t="str">
            <v>4IFTLP4</v>
          </cell>
          <cell r="M262">
            <v>733327</v>
          </cell>
          <cell r="N262" t="str">
            <v>LAB DE PROGRAM</v>
          </cell>
        </row>
        <row r="263">
          <cell r="B263" t="str">
            <v xml:space="preserve"> </v>
          </cell>
          <cell r="C263" t="str">
            <v>SUPLENTE</v>
          </cell>
          <cell r="D263" t="e">
            <v>#REF!</v>
          </cell>
          <cell r="E263" t="str">
            <v>PF</v>
          </cell>
          <cell r="F263">
            <v>23086757</v>
          </cell>
          <cell r="G263" t="str">
            <v>ABYG MARIA ROSA</v>
          </cell>
          <cell r="H263">
            <v>45475</v>
          </cell>
          <cell r="I263" t="str">
            <v>--</v>
          </cell>
          <cell r="J263" t="str">
            <v>5°5°</v>
          </cell>
          <cell r="L263" t="str">
            <v>5IPYCS</v>
          </cell>
          <cell r="M263">
            <v>1643741</v>
          </cell>
          <cell r="N263" t="str">
            <v>POLITICA Y CIUDADANIA</v>
          </cell>
        </row>
        <row r="264">
          <cell r="B264" t="str">
            <v>4°2°4224IFTLA4S</v>
          </cell>
          <cell r="C264" t="str">
            <v>SUPLENTE</v>
          </cell>
          <cell r="D264" t="e">
            <v>#REF!</v>
          </cell>
          <cell r="E264" t="str">
            <v>PF</v>
          </cell>
          <cell r="F264" t="str">
            <v xml:space="preserve"> 27- 29.873.235-7</v>
          </cell>
          <cell r="G264" t="str">
            <v xml:space="preserve">HERRERA STELLA      </v>
          </cell>
          <cell r="H264" t="str">
            <v>---</v>
          </cell>
          <cell r="J264" t="str">
            <v>4°2°</v>
          </cell>
          <cell r="K264">
            <v>422</v>
          </cell>
          <cell r="L264" t="str">
            <v>4IFTLA4</v>
          </cell>
          <cell r="M264" t="str">
            <v>S/C</v>
          </cell>
          <cell r="N264" t="str">
            <v>LAB DE APLICACIONES</v>
          </cell>
        </row>
        <row r="265">
          <cell r="B265" t="str">
            <v>7°2°7EPPDLOS</v>
          </cell>
          <cell r="C265" t="str">
            <v>SUPLENTE</v>
          </cell>
          <cell r="D265" t="e">
            <v>#REF!</v>
          </cell>
          <cell r="E265" t="str">
            <v>PF</v>
          </cell>
          <cell r="F265">
            <v>23086757</v>
          </cell>
          <cell r="G265" t="str">
            <v>GUTIERREZ NICOLAS</v>
          </cell>
          <cell r="H265" t="str">
            <v>---</v>
          </cell>
          <cell r="J265" t="str">
            <v>7°2°</v>
          </cell>
          <cell r="L265" t="str">
            <v>7EPPDLO</v>
          </cell>
          <cell r="M265">
            <v>1913829</v>
          </cell>
          <cell r="N265" t="str">
            <v>EMPRENDIMIENTO PRODUCTIVO Y DESARROLLO LOCAL</v>
          </cell>
        </row>
        <row r="266">
          <cell r="B266" t="str">
            <v xml:space="preserve"> </v>
          </cell>
          <cell r="C266" t="str">
            <v>SUPLENTE</v>
          </cell>
          <cell r="D266" t="e">
            <v>#REF!</v>
          </cell>
          <cell r="E266" t="str">
            <v>PF</v>
          </cell>
          <cell r="F266">
            <v>23086757</v>
          </cell>
          <cell r="G266" t="str">
            <v>HERRERA STELLA</v>
          </cell>
          <cell r="H266" t="str">
            <v>---</v>
          </cell>
          <cell r="I266" t="str">
            <v>--</v>
          </cell>
          <cell r="J266" t="str">
            <v>6°1°</v>
          </cell>
          <cell r="K266">
            <v>611</v>
          </cell>
          <cell r="L266" t="str">
            <v>6IFTLA6</v>
          </cell>
          <cell r="M266" t="str">
            <v>S/C</v>
          </cell>
          <cell r="N266" t="str">
            <v xml:space="preserve">LAB DE APLICACIONES </v>
          </cell>
        </row>
        <row r="267">
          <cell r="B267" t="str">
            <v xml:space="preserve"> </v>
          </cell>
          <cell r="C267" t="str">
            <v>SUPLENTE</v>
          </cell>
          <cell r="D267" t="e">
            <v>#REF!</v>
          </cell>
          <cell r="E267" t="str">
            <v>PF</v>
          </cell>
          <cell r="F267">
            <v>23086757</v>
          </cell>
          <cell r="G267" t="str">
            <v>DIAZ MARCOS</v>
          </cell>
          <cell r="H267" t="str">
            <v>---</v>
          </cell>
          <cell r="I267" t="str">
            <v>--</v>
          </cell>
          <cell r="J267" t="str">
            <v>5°3°</v>
          </cell>
          <cell r="L267" t="str">
            <v>5EGEOS5</v>
          </cell>
          <cell r="M267">
            <v>2355540</v>
          </cell>
          <cell r="N267" t="str">
            <v>GEOGRAFIA</v>
          </cell>
        </row>
        <row r="268">
          <cell r="B268" t="str">
            <v xml:space="preserve"> </v>
          </cell>
          <cell r="C268" t="str">
            <v>SUPLENTE</v>
          </cell>
          <cell r="D268" t="e">
            <v>#REF!</v>
          </cell>
          <cell r="E268" t="str">
            <v>PF</v>
          </cell>
          <cell r="F268">
            <v>23086757</v>
          </cell>
          <cell r="G268" t="str">
            <v>DIAZ MARCOS</v>
          </cell>
          <cell r="H268" t="str">
            <v>---</v>
          </cell>
          <cell r="I268" t="str">
            <v>--</v>
          </cell>
          <cell r="J268" t="str">
            <v>5°4°</v>
          </cell>
          <cell r="L268" t="str">
            <v>5EGEOS5</v>
          </cell>
          <cell r="M268">
            <v>949797</v>
          </cell>
          <cell r="N268" t="str">
            <v>GEOGRAFIA</v>
          </cell>
        </row>
        <row r="269">
          <cell r="B269" t="str">
            <v xml:space="preserve"> </v>
          </cell>
          <cell r="C269" t="str">
            <v>SUPLENTE</v>
          </cell>
          <cell r="D269" t="e">
            <v>#REF!</v>
          </cell>
          <cell r="E269" t="str">
            <v>PF</v>
          </cell>
          <cell r="F269">
            <v>23086757</v>
          </cell>
          <cell r="G269" t="str">
            <v>BEZERRA CARLOS</v>
          </cell>
          <cell r="H269" t="str">
            <v>---</v>
          </cell>
          <cell r="I269" t="str">
            <v>--</v>
          </cell>
          <cell r="J269" t="str">
            <v>5°5°</v>
          </cell>
          <cell r="L269" t="str">
            <v>5IGEOS5</v>
          </cell>
          <cell r="M269">
            <v>733650</v>
          </cell>
          <cell r="N269" t="str">
            <v>GEOGRAFIA</v>
          </cell>
        </row>
        <row r="270">
          <cell r="B270" t="str">
            <v>3°2°3GEOS</v>
          </cell>
          <cell r="C270" t="str">
            <v>SUPLENTE</v>
          </cell>
          <cell r="D270" t="e">
            <v>#REF!</v>
          </cell>
          <cell r="E270" t="str">
            <v>PF</v>
          </cell>
          <cell r="F270">
            <v>23086757</v>
          </cell>
          <cell r="G270" t="str">
            <v>ZAMBRANO GAMBOA JOSHUA</v>
          </cell>
          <cell r="H270" t="str">
            <v>---</v>
          </cell>
          <cell r="J270" t="str">
            <v>3°2°</v>
          </cell>
          <cell r="L270" t="str">
            <v>3GEO</v>
          </cell>
          <cell r="M270">
            <v>1644177</v>
          </cell>
          <cell r="N270" t="str">
            <v>GEOGRAFIA</v>
          </cell>
        </row>
        <row r="271">
          <cell r="B271" t="str">
            <v xml:space="preserve"> </v>
          </cell>
          <cell r="C271" t="str">
            <v>SUPLENTE</v>
          </cell>
          <cell r="D271" t="e">
            <v>#REF!</v>
          </cell>
          <cell r="E271" t="str">
            <v>PF</v>
          </cell>
          <cell r="F271">
            <v>23086757</v>
          </cell>
          <cell r="G271" t="str">
            <v>LEME VIVIANA</v>
          </cell>
          <cell r="H271" t="str">
            <v>---</v>
          </cell>
          <cell r="I271" t="str">
            <v>--</v>
          </cell>
          <cell r="J271" t="str">
            <v>3°5°</v>
          </cell>
          <cell r="L271" t="str">
            <v>3GEO</v>
          </cell>
          <cell r="M271">
            <v>2232466</v>
          </cell>
          <cell r="N271" t="str">
            <v>GEOGRAFIA</v>
          </cell>
        </row>
        <row r="272">
          <cell r="B272" t="str">
            <v xml:space="preserve"> </v>
          </cell>
          <cell r="C272" t="str">
            <v>SUPLENTE</v>
          </cell>
          <cell r="D272" t="e">
            <v>#REF!</v>
          </cell>
          <cell r="E272" t="str">
            <v>PF</v>
          </cell>
          <cell r="F272">
            <v>23086757</v>
          </cell>
          <cell r="G272" t="str">
            <v>SEGUEIRA  SUSANA</v>
          </cell>
          <cell r="H272" t="str">
            <v>---</v>
          </cell>
          <cell r="I272" t="str">
            <v>--</v>
          </cell>
          <cell r="J272" t="str">
            <v>3°3°</v>
          </cell>
          <cell r="L272" t="str">
            <v>3GEO</v>
          </cell>
          <cell r="M272">
            <v>1913979</v>
          </cell>
          <cell r="N272" t="str">
            <v>GEOGRAFIA</v>
          </cell>
        </row>
        <row r="273">
          <cell r="B273" t="str">
            <v xml:space="preserve"> </v>
          </cell>
          <cell r="C273" t="str">
            <v>SUPLENTE</v>
          </cell>
          <cell r="D273" t="e">
            <v>#REF!</v>
          </cell>
          <cell r="E273" t="str">
            <v>PF</v>
          </cell>
          <cell r="G273" t="str">
            <v>MONTENEGRO, CLAUDIA</v>
          </cell>
          <cell r="H273" t="str">
            <v>---</v>
          </cell>
          <cell r="I273" t="str">
            <v>--</v>
          </cell>
          <cell r="J273" t="str">
            <v>6°1°</v>
          </cell>
          <cell r="K273">
            <v>611</v>
          </cell>
          <cell r="L273" t="str">
            <v>6IFTLH6</v>
          </cell>
          <cell r="M273" t="str">
            <v>S/C</v>
          </cell>
          <cell r="N273" t="str">
            <v xml:space="preserve">LAB DE HARDWARE </v>
          </cell>
        </row>
        <row r="274">
          <cell r="B274" t="str">
            <v xml:space="preserve"> </v>
          </cell>
          <cell r="C274" t="str">
            <v>SUPLENTE</v>
          </cell>
          <cell r="D274" t="e">
            <v>#REF!</v>
          </cell>
          <cell r="E274" t="str">
            <v>PF</v>
          </cell>
          <cell r="G274" t="str">
            <v>GIMENEZ LUIS</v>
          </cell>
          <cell r="H274" t="str">
            <v>----</v>
          </cell>
          <cell r="I274" t="str">
            <v>--</v>
          </cell>
          <cell r="J274" t="str">
            <v>6°2°</v>
          </cell>
          <cell r="L274" t="str">
            <v>6IMATAP</v>
          </cell>
          <cell r="M274">
            <v>733485</v>
          </cell>
          <cell r="N274" t="str">
            <v>MATEMATICA APLICADA</v>
          </cell>
        </row>
        <row r="275">
          <cell r="B275" t="str">
            <v xml:space="preserve"> </v>
          </cell>
          <cell r="C275" t="str">
            <v>SUPLENTE</v>
          </cell>
          <cell r="D275" t="e">
            <v>#REF!</v>
          </cell>
          <cell r="E275" t="str">
            <v>PF</v>
          </cell>
          <cell r="G275" t="str">
            <v>FARIAS CECILIA</v>
          </cell>
          <cell r="H275" t="str">
            <v>----</v>
          </cell>
          <cell r="I275" t="str">
            <v>--</v>
          </cell>
          <cell r="J275" t="str">
            <v>3°5°</v>
          </cell>
          <cell r="L275" t="str">
            <v>3BIO</v>
          </cell>
          <cell r="M275">
            <v>2232461</v>
          </cell>
          <cell r="N275" t="str">
            <v>BIOLOGIA</v>
          </cell>
        </row>
        <row r="276">
          <cell r="B276" t="str">
            <v xml:space="preserve"> </v>
          </cell>
          <cell r="C276" t="str">
            <v>SUPLENTE</v>
          </cell>
          <cell r="D276" t="e">
            <v>#REF!</v>
          </cell>
          <cell r="E276" t="str">
            <v>PF</v>
          </cell>
          <cell r="G276" t="str">
            <v>SEGUEIRA  SUSANA</v>
          </cell>
          <cell r="H276" t="str">
            <v>----</v>
          </cell>
          <cell r="I276" t="str">
            <v>--</v>
          </cell>
          <cell r="J276" t="str">
            <v>5°1°</v>
          </cell>
          <cell r="L276" t="str">
            <v>5IGEOS5</v>
          </cell>
          <cell r="M276">
            <v>733650</v>
          </cell>
          <cell r="N276" t="str">
            <v>GEOGRAFIA</v>
          </cell>
        </row>
        <row r="277">
          <cell r="B277" t="str">
            <v>6°2°6216IFTLH6S</v>
          </cell>
          <cell r="C277" t="str">
            <v>SUPLENTE</v>
          </cell>
          <cell r="D277" t="e">
            <v>#REF!</v>
          </cell>
          <cell r="E277" t="str">
            <v>PF</v>
          </cell>
          <cell r="G277" t="str">
            <v>MONTENEGRO, CLAUDIA</v>
          </cell>
          <cell r="H277" t="str">
            <v>---</v>
          </cell>
          <cell r="J277" t="str">
            <v>6°2°</v>
          </cell>
          <cell r="K277">
            <v>621</v>
          </cell>
          <cell r="L277" t="str">
            <v>6IFTLH6</v>
          </cell>
          <cell r="M277" t="str">
            <v>S/C</v>
          </cell>
          <cell r="N277" t="str">
            <v xml:space="preserve">LAB DE HARDWARE </v>
          </cell>
        </row>
        <row r="278">
          <cell r="B278" t="str">
            <v xml:space="preserve"> </v>
          </cell>
          <cell r="C278" t="str">
            <v>SUPLENTE</v>
          </cell>
          <cell r="D278" t="e">
            <v>#REF!</v>
          </cell>
          <cell r="E278" t="str">
            <v>PF</v>
          </cell>
          <cell r="F278">
            <v>23086757</v>
          </cell>
          <cell r="G278" t="str">
            <v>CENTURION SILVIA</v>
          </cell>
          <cell r="H278" t="str">
            <v>---</v>
          </cell>
          <cell r="I278" t="str">
            <v>--</v>
          </cell>
          <cell r="J278" t="str">
            <v>5°1°</v>
          </cell>
          <cell r="L278" t="str">
            <v>5IANMAT</v>
          </cell>
          <cell r="M278">
            <v>2543652</v>
          </cell>
          <cell r="N278" t="str">
            <v>ANALISIS MATEMATICO</v>
          </cell>
        </row>
        <row r="279">
          <cell r="B279" t="str">
            <v xml:space="preserve"> </v>
          </cell>
          <cell r="C279" t="str">
            <v>SUPLENTE</v>
          </cell>
          <cell r="D279" t="e">
            <v>#REF!</v>
          </cell>
          <cell r="E279" t="str">
            <v>PF</v>
          </cell>
          <cell r="F279">
            <v>23086757</v>
          </cell>
          <cell r="G279" t="str">
            <v>CORDOBA ALEJANDRO</v>
          </cell>
          <cell r="H279" t="str">
            <v>---</v>
          </cell>
          <cell r="I279" t="str">
            <v>--</v>
          </cell>
          <cell r="J279" t="str">
            <v>5°4°</v>
          </cell>
          <cell r="K279">
            <v>541</v>
          </cell>
          <cell r="L279" t="str">
            <v>5EDASE</v>
          </cell>
          <cell r="M279" t="str">
            <v>S/C</v>
          </cell>
          <cell r="N279" t="str">
            <v xml:space="preserve">DISEÑO ASIST Y SIMUL ELECT </v>
          </cell>
        </row>
        <row r="280">
          <cell r="B280" t="str">
            <v xml:space="preserve"> </v>
          </cell>
          <cell r="C280" t="str">
            <v>SUPLENTE</v>
          </cell>
          <cell r="D280" t="e">
            <v>#REF!</v>
          </cell>
          <cell r="E280" t="str">
            <v>PF</v>
          </cell>
          <cell r="G280" t="str">
            <v xml:space="preserve">LUDUEÑA </v>
          </cell>
          <cell r="H280" t="str">
            <v>---</v>
          </cell>
          <cell r="I280" t="str">
            <v>---</v>
          </cell>
          <cell r="J280" t="str">
            <v>2°3°</v>
          </cell>
          <cell r="L280" t="str">
            <v>2EFI</v>
          </cell>
          <cell r="M280">
            <v>807724</v>
          </cell>
          <cell r="N280" t="str">
            <v>EDUCACIÓN FISICA</v>
          </cell>
        </row>
        <row r="281">
          <cell r="B281" t="str">
            <v>6°4°6ESIPROS</v>
          </cell>
          <cell r="C281" t="str">
            <v>SUPLENTE</v>
          </cell>
          <cell r="D281" t="e">
            <v>#REF!</v>
          </cell>
          <cell r="E281" t="str">
            <v>PF</v>
          </cell>
          <cell r="F281">
            <v>23086757</v>
          </cell>
          <cell r="G281" t="str">
            <v>VERON, DAIANA A 27-34985561-0</v>
          </cell>
          <cell r="H281" t="str">
            <v>---</v>
          </cell>
          <cell r="J281" t="str">
            <v>6°4°</v>
          </cell>
          <cell r="L281" t="str">
            <v>6ESIPRO</v>
          </cell>
          <cell r="M281">
            <v>2683110</v>
          </cell>
          <cell r="N281" t="str">
            <v>SISTEMA PRODUCTIVO</v>
          </cell>
        </row>
        <row r="282">
          <cell r="B282" t="str">
            <v xml:space="preserve"> </v>
          </cell>
          <cell r="C282" t="str">
            <v>SUPLENTE</v>
          </cell>
          <cell r="D282" t="e">
            <v>#REF!</v>
          </cell>
          <cell r="E282" t="str">
            <v>PF</v>
          </cell>
          <cell r="G282" t="str">
            <v>LOPEZ JONATHAN</v>
          </cell>
          <cell r="H282" t="str">
            <v>----</v>
          </cell>
          <cell r="I282" t="str">
            <v>----</v>
          </cell>
          <cell r="J282" t="str">
            <v>3°5°</v>
          </cell>
          <cell r="K282">
            <v>351</v>
          </cell>
          <cell r="L282" t="str">
            <v>3TPT3</v>
          </cell>
          <cell r="M282">
            <v>2232475</v>
          </cell>
          <cell r="N282" t="str">
            <v>PROCEDIMIENTOS TECNICOS</v>
          </cell>
        </row>
        <row r="283">
          <cell r="B283" t="str">
            <v xml:space="preserve"> </v>
          </cell>
          <cell r="C283" t="str">
            <v>SUPLENTE</v>
          </cell>
          <cell r="D283" t="e">
            <v>#REF!</v>
          </cell>
          <cell r="E283" t="str">
            <v>PF</v>
          </cell>
          <cell r="G283" t="str">
            <v>MARCUS GABRIEL 20367516683</v>
          </cell>
          <cell r="H283" t="str">
            <v>----</v>
          </cell>
          <cell r="I283" t="str">
            <v>--</v>
          </cell>
          <cell r="J283" t="str">
            <v>3°1°</v>
          </cell>
          <cell r="K283">
            <v>311</v>
          </cell>
          <cell r="L283" t="str">
            <v>3TPT3</v>
          </cell>
          <cell r="M283">
            <v>2682845</v>
          </cell>
          <cell r="N283" t="str">
            <v>PROCEDIMIENTOS TECNICOS</v>
          </cell>
        </row>
        <row r="284">
          <cell r="B284" t="str">
            <v>2°5°2INGS</v>
          </cell>
          <cell r="C284" t="str">
            <v>SUPLENTE</v>
          </cell>
          <cell r="D284" t="e">
            <v>#REF!</v>
          </cell>
          <cell r="E284" t="str">
            <v>PF</v>
          </cell>
          <cell r="G284" t="str">
            <v xml:space="preserve"> MONTOYA SONIA ISABEL</v>
          </cell>
          <cell r="H284" t="str">
            <v>---</v>
          </cell>
          <cell r="J284" t="str">
            <v>2°5°</v>
          </cell>
          <cell r="L284" t="str">
            <v>2ING</v>
          </cell>
          <cell r="M284">
            <v>1920689</v>
          </cell>
          <cell r="N284" t="str">
            <v>INGLÉS</v>
          </cell>
        </row>
        <row r="285">
          <cell r="B285" t="str">
            <v xml:space="preserve"> </v>
          </cell>
          <cell r="C285" t="str">
            <v>SUPLENTE</v>
          </cell>
          <cell r="D285" t="e">
            <v>#REF!</v>
          </cell>
          <cell r="E285" t="str">
            <v>PF</v>
          </cell>
          <cell r="F285" t="str">
            <v>CUIT 20338123125</v>
          </cell>
          <cell r="G285" t="str">
            <v xml:space="preserve">VILLALVA ESTEBAN  </v>
          </cell>
          <cell r="H285" t="str">
            <v>---</v>
          </cell>
          <cell r="I285" t="str">
            <v>---</v>
          </cell>
          <cell r="J285" t="str">
            <v>3°5°</v>
          </cell>
          <cell r="K285">
            <v>351</v>
          </cell>
          <cell r="L285" t="str">
            <v>3TLT3</v>
          </cell>
          <cell r="M285">
            <v>2232471</v>
          </cell>
          <cell r="N285" t="str">
            <v>LENGUAJES TECNOLOGICOS</v>
          </cell>
        </row>
        <row r="286">
          <cell r="B286" t="str">
            <v xml:space="preserve"> </v>
          </cell>
          <cell r="C286" t="str">
            <v>SUPLENTE</v>
          </cell>
          <cell r="D286" t="e">
            <v>#REF!</v>
          </cell>
          <cell r="E286" t="str">
            <v>PF</v>
          </cell>
          <cell r="F286" t="str">
            <v>CUIT 20370595551</v>
          </cell>
          <cell r="G286" t="str">
            <v xml:space="preserve">VARCHETTA GABRIEL  </v>
          </cell>
          <cell r="H286" t="str">
            <v>---</v>
          </cell>
          <cell r="I286" t="str">
            <v>--</v>
          </cell>
          <cell r="J286" t="str">
            <v>4°1°</v>
          </cell>
          <cell r="L286" t="str">
            <v>4IMATES</v>
          </cell>
          <cell r="M286">
            <v>733575</v>
          </cell>
          <cell r="N286" t="str">
            <v>MATEMATICA</v>
          </cell>
        </row>
        <row r="287">
          <cell r="B287" t="str">
            <v xml:space="preserve"> </v>
          </cell>
          <cell r="C287" t="str">
            <v>SUPLENTE</v>
          </cell>
          <cell r="D287" t="e">
            <v>#REF!</v>
          </cell>
          <cell r="E287" t="str">
            <v>PF</v>
          </cell>
          <cell r="G287" t="str">
            <v xml:space="preserve">VILLALVA ESTEBAN  </v>
          </cell>
          <cell r="H287" t="str">
            <v>---</v>
          </cell>
          <cell r="I287" t="str">
            <v>licencia</v>
          </cell>
          <cell r="J287" t="str">
            <v>6°1°</v>
          </cell>
          <cell r="K287">
            <v>611</v>
          </cell>
          <cell r="L287" t="str">
            <v>6IFHLS6</v>
          </cell>
          <cell r="M287">
            <v>2680838</v>
          </cell>
          <cell r="N287" t="str">
            <v xml:space="preserve">LAB DE SIST OPERATIVOS </v>
          </cell>
        </row>
        <row r="288">
          <cell r="B288" t="str">
            <v xml:space="preserve"> </v>
          </cell>
          <cell r="C288" t="str">
            <v>SUPLENTE</v>
          </cell>
          <cell r="D288" t="e">
            <v>#REF!</v>
          </cell>
          <cell r="E288" t="str">
            <v>PF</v>
          </cell>
          <cell r="F288">
            <v>23304927674</v>
          </cell>
          <cell r="G288" t="str">
            <v xml:space="preserve"> LEGUIZAMO ANA VALERIA</v>
          </cell>
          <cell r="H288" t="str">
            <v>---</v>
          </cell>
          <cell r="I288" t="str">
            <v>---</v>
          </cell>
          <cell r="J288" t="str">
            <v>6°2°</v>
          </cell>
          <cell r="L288" t="str">
            <v>6IINGS</v>
          </cell>
          <cell r="M288">
            <v>2681822</v>
          </cell>
          <cell r="N288" t="str">
            <v>INGLÉS</v>
          </cell>
        </row>
        <row r="289">
          <cell r="B289" t="str">
            <v>5°1°5115IFTLS5S</v>
          </cell>
          <cell r="C289" t="str">
            <v>SUPLENTE</v>
          </cell>
          <cell r="D289" t="e">
            <v>#REF!</v>
          </cell>
          <cell r="E289" t="str">
            <v>PF</v>
          </cell>
          <cell r="F289">
            <v>23086757</v>
          </cell>
          <cell r="G289" t="str">
            <v>FERREYRA JESICA</v>
          </cell>
          <cell r="H289" t="str">
            <v>---</v>
          </cell>
          <cell r="J289" t="str">
            <v>5°1°</v>
          </cell>
          <cell r="K289">
            <v>511</v>
          </cell>
          <cell r="L289" t="str">
            <v>5IFTLS5</v>
          </cell>
          <cell r="M289">
            <v>2543656</v>
          </cell>
          <cell r="N289" t="str">
            <v>LAB DE SIST OPERATIVOS</v>
          </cell>
        </row>
        <row r="290">
          <cell r="B290" t="str">
            <v>7°2°7ESISDCS</v>
          </cell>
          <cell r="C290" t="str">
            <v>SUPLENTE</v>
          </cell>
          <cell r="D290" t="e">
            <v>#REF!</v>
          </cell>
          <cell r="E290" t="str">
            <v>PF</v>
          </cell>
          <cell r="F290">
            <v>23086757</v>
          </cell>
          <cell r="G290" t="str">
            <v>SERENO, LEONEL</v>
          </cell>
          <cell r="H290" t="str">
            <v>---</v>
          </cell>
          <cell r="J290" t="str">
            <v>7°2°</v>
          </cell>
          <cell r="L290" t="str">
            <v>7ESISDC</v>
          </cell>
          <cell r="M290">
            <v>1913836</v>
          </cell>
          <cell r="N290" t="str">
            <v>SISTEMAS DE COMUNICACIONES</v>
          </cell>
        </row>
        <row r="291">
          <cell r="B291" t="str">
            <v>7°1°7127IIMRSCS</v>
          </cell>
          <cell r="C291" t="str">
            <v>SUPLENTE</v>
          </cell>
          <cell r="D291" t="e">
            <v>#REF!</v>
          </cell>
          <cell r="E291" t="str">
            <v>PF</v>
          </cell>
          <cell r="F291">
            <v>23086757</v>
          </cell>
          <cell r="G291" t="str">
            <v>MELGARJO. VERONICA</v>
          </cell>
          <cell r="H291" t="str">
            <v>---</v>
          </cell>
          <cell r="J291" t="str">
            <v>7°1°</v>
          </cell>
          <cell r="K291">
            <v>712</v>
          </cell>
          <cell r="L291" t="str">
            <v>7IIMRSC</v>
          </cell>
          <cell r="M291">
            <v>1913725</v>
          </cell>
          <cell r="N291" t="str">
            <v>INSTALACION, MANTENIMIENTO Y REPARACION DE SISTEMAS COMPUTACIONALES-</v>
          </cell>
        </row>
        <row r="292">
          <cell r="B292" t="str">
            <v>7°1°7117IIMRRIS</v>
          </cell>
          <cell r="C292" t="str">
            <v>SUPLENTE</v>
          </cell>
          <cell r="D292" t="e">
            <v>#REF!</v>
          </cell>
          <cell r="E292" t="str">
            <v>PF</v>
          </cell>
          <cell r="F292">
            <v>23086757</v>
          </cell>
          <cell r="G292" t="str">
            <v>DELLA VECCHIA</v>
          </cell>
          <cell r="H292" t="str">
            <v>---</v>
          </cell>
          <cell r="J292" t="str">
            <v>7°1°</v>
          </cell>
          <cell r="K292">
            <v>711</v>
          </cell>
          <cell r="L292" t="str">
            <v>7IIMRRI</v>
          </cell>
          <cell r="M292">
            <v>1913707</v>
          </cell>
          <cell r="N292" t="str">
            <v xml:space="preserve">INSTALACION, MANTENIMIENTO Y REPARACION DE REDES INFORMATICAS- </v>
          </cell>
        </row>
        <row r="293">
          <cell r="B293" t="str">
            <v>5°4°5415EDASES</v>
          </cell>
          <cell r="C293" t="str">
            <v>SUPLENTE</v>
          </cell>
          <cell r="D293" t="e">
            <v>#REF!</v>
          </cell>
          <cell r="E293" t="str">
            <v>PF</v>
          </cell>
          <cell r="F293">
            <v>23086757</v>
          </cell>
          <cell r="G293" t="str">
            <v>GAUNA FEDERICO</v>
          </cell>
          <cell r="H293" t="str">
            <v>---</v>
          </cell>
          <cell r="J293" t="str">
            <v>5°4°</v>
          </cell>
          <cell r="K293">
            <v>541</v>
          </cell>
          <cell r="L293" t="str">
            <v>5EDASE</v>
          </cell>
          <cell r="M293">
            <v>2680765</v>
          </cell>
          <cell r="N293" t="str">
            <v xml:space="preserve">DISEÑO ASIST Y SIMUL ELECT </v>
          </cell>
        </row>
        <row r="294">
          <cell r="B294" t="str">
            <v xml:space="preserve"> </v>
          </cell>
          <cell r="C294" t="str">
            <v>SUPLENTE</v>
          </cell>
          <cell r="D294" t="e">
            <v>#REF!</v>
          </cell>
          <cell r="E294" t="str">
            <v>PF</v>
          </cell>
          <cell r="F294">
            <v>20416920126</v>
          </cell>
          <cell r="G294" t="str">
            <v>FOSSATTI GABRIEL</v>
          </cell>
          <cell r="H294" t="str">
            <v>---</v>
          </cell>
          <cell r="I294" t="str">
            <v>--</v>
          </cell>
          <cell r="J294" t="str">
            <v>4°3°</v>
          </cell>
          <cell r="L294" t="str">
            <v>4ETELE</v>
          </cell>
          <cell r="M294">
            <v>733519</v>
          </cell>
          <cell r="N294" t="str">
            <v>TECNOLOGIAS ELECTRONICAS</v>
          </cell>
        </row>
        <row r="295">
          <cell r="B295" t="str">
            <v xml:space="preserve"> </v>
          </cell>
          <cell r="C295" t="str">
            <v>SUPLENTE</v>
          </cell>
          <cell r="D295" t="e">
            <v>#REF!</v>
          </cell>
          <cell r="E295" t="str">
            <v>PF</v>
          </cell>
          <cell r="F295">
            <v>27443818869</v>
          </cell>
          <cell r="G295" t="str">
            <v>FERRARIS OJEDA JULIETA</v>
          </cell>
          <cell r="H295" t="str">
            <v>---</v>
          </cell>
          <cell r="I295" t="str">
            <v>---</v>
          </cell>
          <cell r="J295" t="str">
            <v>2°4°</v>
          </cell>
          <cell r="L295" t="str">
            <v>2MAT</v>
          </cell>
          <cell r="M295">
            <v>1642674</v>
          </cell>
          <cell r="N295" t="str">
            <v>MATEMATICA</v>
          </cell>
        </row>
        <row r="296">
          <cell r="B296" t="str">
            <v xml:space="preserve"> </v>
          </cell>
          <cell r="C296" t="str">
            <v>SUPLENTE</v>
          </cell>
          <cell r="D296" t="e">
            <v>#REF!</v>
          </cell>
          <cell r="E296" t="str">
            <v>PF</v>
          </cell>
          <cell r="F296">
            <v>27371798329</v>
          </cell>
          <cell r="G296" t="str">
            <v>FONTANA MARIA JOSE</v>
          </cell>
          <cell r="H296" t="str">
            <v>---</v>
          </cell>
          <cell r="I296" t="str">
            <v>--</v>
          </cell>
          <cell r="J296" t="str">
            <v>1°2°</v>
          </cell>
          <cell r="L296" t="str">
            <v>1MAT</v>
          </cell>
          <cell r="M296">
            <v>789732</v>
          </cell>
          <cell r="N296" t="str">
            <v>MATEMATICA</v>
          </cell>
        </row>
        <row r="297">
          <cell r="B297" t="str">
            <v xml:space="preserve"> </v>
          </cell>
          <cell r="C297" t="str">
            <v>SUPLENTE</v>
          </cell>
          <cell r="D297" t="e">
            <v>#REF!</v>
          </cell>
          <cell r="E297" t="str">
            <v>PF</v>
          </cell>
          <cell r="F297">
            <v>27371798329</v>
          </cell>
          <cell r="G297" t="str">
            <v>FONTANA MARIA JOSE</v>
          </cell>
          <cell r="H297" t="str">
            <v>---</v>
          </cell>
          <cell r="I297" t="str">
            <v>---</v>
          </cell>
          <cell r="J297" t="str">
            <v>2°2°</v>
          </cell>
          <cell r="L297" t="str">
            <v>2MAT</v>
          </cell>
          <cell r="M297">
            <v>789737</v>
          </cell>
          <cell r="N297" t="str">
            <v>MATEMATICA</v>
          </cell>
        </row>
        <row r="298">
          <cell r="B298" t="str">
            <v xml:space="preserve"> </v>
          </cell>
          <cell r="C298" t="str">
            <v>SUPLENTE</v>
          </cell>
          <cell r="D298" t="e">
            <v>#REF!</v>
          </cell>
          <cell r="E298" t="str">
            <v>PF</v>
          </cell>
          <cell r="F298">
            <v>20382019971</v>
          </cell>
          <cell r="G298" t="str">
            <v xml:space="preserve"> DOMINGUEZ FACUNDO OSVALDO</v>
          </cell>
          <cell r="H298" t="str">
            <v>---</v>
          </cell>
          <cell r="I298" t="str">
            <v>---</v>
          </cell>
          <cell r="J298" t="str">
            <v>3°2°</v>
          </cell>
          <cell r="L298" t="str">
            <v>3MAT</v>
          </cell>
          <cell r="M298">
            <v>789744</v>
          </cell>
          <cell r="N298" t="str">
            <v>MATEMATICA</v>
          </cell>
        </row>
        <row r="299">
          <cell r="B299" t="str">
            <v xml:space="preserve"> </v>
          </cell>
          <cell r="C299" t="str">
            <v>SUPLENTE</v>
          </cell>
          <cell r="D299" t="e">
            <v>#REF!</v>
          </cell>
          <cell r="E299" t="str">
            <v>PF</v>
          </cell>
          <cell r="F299">
            <v>27373685599</v>
          </cell>
          <cell r="G299" t="str">
            <v>OTERO ANGELA DANIELA</v>
          </cell>
          <cell r="H299" t="str">
            <v>---</v>
          </cell>
          <cell r="I299" t="str">
            <v>--</v>
          </cell>
          <cell r="J299" t="str">
            <v>6°1°</v>
          </cell>
          <cell r="L299" t="str">
            <v>6ILITS</v>
          </cell>
          <cell r="M299">
            <v>733438</v>
          </cell>
          <cell r="N299" t="str">
            <v>LITERATURA</v>
          </cell>
        </row>
        <row r="300">
          <cell r="B300" t="str">
            <v xml:space="preserve"> </v>
          </cell>
          <cell r="C300" t="str">
            <v>SUPLENTE</v>
          </cell>
          <cell r="D300" t="e">
            <v>#REF!</v>
          </cell>
          <cell r="E300" t="str">
            <v>PF</v>
          </cell>
          <cell r="F300">
            <v>20370595551</v>
          </cell>
          <cell r="G300" t="str">
            <v>VARCHETTA GABRIEL</v>
          </cell>
          <cell r="H300" t="str">
            <v>---</v>
          </cell>
          <cell r="I300" t="str">
            <v>---</v>
          </cell>
          <cell r="J300" t="str">
            <v>4°2°</v>
          </cell>
          <cell r="L300" t="str">
            <v>4IMATES</v>
          </cell>
          <cell r="M300">
            <v>733458</v>
          </cell>
          <cell r="N300" t="str">
            <v>MATEMATICA</v>
          </cell>
        </row>
        <row r="301">
          <cell r="B301" t="str">
            <v xml:space="preserve"> </v>
          </cell>
          <cell r="C301" t="str">
            <v>SUPLENTE</v>
          </cell>
          <cell r="D301" t="e">
            <v>#REF!</v>
          </cell>
          <cell r="F301">
            <v>20378281475</v>
          </cell>
          <cell r="G301" t="str">
            <v>WEBBER JONATHAN ROY</v>
          </cell>
          <cell r="H301" t="str">
            <v>---</v>
          </cell>
          <cell r="I301" t="str">
            <v>--</v>
          </cell>
          <cell r="J301" t="str">
            <v>6°2°</v>
          </cell>
          <cell r="L301" t="str">
            <v>6IMATAP</v>
          </cell>
          <cell r="M301">
            <v>2681831</v>
          </cell>
          <cell r="N301" t="str">
            <v>MATEMATICA APLICADA</v>
          </cell>
        </row>
        <row r="302">
          <cell r="B302" t="str">
            <v>1°4°1INGS</v>
          </cell>
          <cell r="C302" t="str">
            <v>SUPLENTE</v>
          </cell>
          <cell r="D302" t="e">
            <v>#REF!</v>
          </cell>
          <cell r="F302" t="str">
            <v>23-30.492.767-4</v>
          </cell>
          <cell r="G302" t="str">
            <v xml:space="preserve">LEGUIZAMO ANA   </v>
          </cell>
          <cell r="H302" t="str">
            <v>---</v>
          </cell>
          <cell r="J302" t="str">
            <v>1°4°</v>
          </cell>
          <cell r="L302" t="str">
            <v>1ING</v>
          </cell>
          <cell r="M302">
            <v>149335</v>
          </cell>
          <cell r="N302" t="str">
            <v>INGLÉS</v>
          </cell>
        </row>
        <row r="303">
          <cell r="B303" t="str">
            <v>2°4°2INGS</v>
          </cell>
          <cell r="C303" t="str">
            <v>SUPLENTE</v>
          </cell>
          <cell r="D303" t="e">
            <v>#REF!</v>
          </cell>
          <cell r="E303" t="str">
            <v>PF</v>
          </cell>
          <cell r="F303">
            <v>27321538849</v>
          </cell>
          <cell r="G303" t="str">
            <v xml:space="preserve">GOMEZ HERNANDEZ MARIANA   27275092180 </v>
          </cell>
          <cell r="H303" t="str">
            <v>---</v>
          </cell>
          <cell r="J303" t="str">
            <v>2°4°</v>
          </cell>
          <cell r="L303" t="str">
            <v>2ING</v>
          </cell>
          <cell r="M303">
            <v>1642673</v>
          </cell>
          <cell r="N303" t="str">
            <v>INGLÉS</v>
          </cell>
        </row>
        <row r="304">
          <cell r="B304" t="str">
            <v>3°1°3113TPT3S</v>
          </cell>
          <cell r="C304" t="str">
            <v>SUPLENTE</v>
          </cell>
          <cell r="D304" t="e">
            <v>#REF!</v>
          </cell>
          <cell r="F304">
            <v>25749169</v>
          </cell>
          <cell r="G304" t="str">
            <v>CRUZ DAVID FRANCISCO</v>
          </cell>
          <cell r="H304">
            <v>45814</v>
          </cell>
          <cell r="J304" t="str">
            <v>3°1°</v>
          </cell>
          <cell r="K304">
            <v>311</v>
          </cell>
          <cell r="L304" t="str">
            <v>3TPT3</v>
          </cell>
          <cell r="M304">
            <v>2682845</v>
          </cell>
          <cell r="N304" t="str">
            <v>PROCEDIMIENTOS TECNICOS</v>
          </cell>
        </row>
        <row r="305">
          <cell r="B305" t="str">
            <v>4°4°4EQUISS</v>
          </cell>
          <cell r="C305" t="str">
            <v>SUPLENTE</v>
          </cell>
          <cell r="D305" t="e">
            <v>#REF!</v>
          </cell>
          <cell r="E305" t="str">
            <v>PF</v>
          </cell>
          <cell r="F305">
            <v>27290413414</v>
          </cell>
          <cell r="G305" t="str">
            <v xml:space="preserve">STEIN PAMELA </v>
          </cell>
          <cell r="H305" t="str">
            <v>---</v>
          </cell>
          <cell r="J305" t="str">
            <v>4°4°</v>
          </cell>
          <cell r="L305" t="str">
            <v>4EQUIS</v>
          </cell>
          <cell r="M305">
            <v>733703</v>
          </cell>
          <cell r="N305" t="str">
            <v>QUIMICA</v>
          </cell>
        </row>
        <row r="306">
          <cell r="B306" t="str">
            <v>6°1°6126IFHLS6S</v>
          </cell>
          <cell r="C306" t="str">
            <v>SUPLENTE</v>
          </cell>
          <cell r="D306" t="e">
            <v>#REF!</v>
          </cell>
          <cell r="E306" t="str">
            <v>PF</v>
          </cell>
          <cell r="G306" t="str">
            <v>FERREYRA YESICA</v>
          </cell>
          <cell r="H306" t="str">
            <v>---</v>
          </cell>
          <cell r="J306" t="str">
            <v>6°1°</v>
          </cell>
          <cell r="K306">
            <v>612</v>
          </cell>
          <cell r="L306" t="str">
            <v>6IFHLS6</v>
          </cell>
          <cell r="M306">
            <v>2680848</v>
          </cell>
          <cell r="N306" t="str">
            <v xml:space="preserve">LAB DE SIST OPERATIVOS </v>
          </cell>
        </row>
        <row r="307">
          <cell r="B307" t="str">
            <v xml:space="preserve"> </v>
          </cell>
          <cell r="C307" t="str">
            <v>SUPLENTE</v>
          </cell>
          <cell r="D307" t="e">
            <v>#REF!</v>
          </cell>
          <cell r="E307" t="str">
            <v>PF</v>
          </cell>
          <cell r="G307" t="str">
            <v>GIGILIOTTI JONATHAN</v>
          </cell>
          <cell r="H307" t="str">
            <v>---</v>
          </cell>
          <cell r="I307" t="str">
            <v>---</v>
          </cell>
          <cell r="J307" t="str">
            <v>7°3°</v>
          </cell>
          <cell r="K307">
            <v>732</v>
          </cell>
          <cell r="L307" t="str">
            <v>7IIMRSC</v>
          </cell>
          <cell r="M307">
            <v>2775781</v>
          </cell>
          <cell r="N307" t="str">
            <v>INSTALACION, MANTENIMIENTO Y REPARACION DE SISTEMAS COMPUTACIONALES-</v>
          </cell>
        </row>
        <row r="308">
          <cell r="B308" t="str">
            <v xml:space="preserve"> </v>
          </cell>
          <cell r="C308" t="str">
            <v>SUPLENTE</v>
          </cell>
          <cell r="D308" t="e">
            <v>#REF!</v>
          </cell>
          <cell r="E308" t="str">
            <v>PF</v>
          </cell>
          <cell r="G308" t="str">
            <v>ROCHA JULIETA</v>
          </cell>
          <cell r="H308">
            <v>45799</v>
          </cell>
          <cell r="I308">
            <v>0</v>
          </cell>
          <cell r="J308" t="str">
            <v>1°4°</v>
          </cell>
          <cell r="K308">
            <v>141</v>
          </cell>
          <cell r="L308" t="str">
            <v>1TLT</v>
          </cell>
          <cell r="M308" t="str">
            <v>S/C</v>
          </cell>
          <cell r="N308" t="str">
            <v>LENGUAJES TECNOLOGICOS</v>
          </cell>
        </row>
        <row r="309">
          <cell r="B309" t="str">
            <v xml:space="preserve"> </v>
          </cell>
          <cell r="C309" t="str">
            <v>SUPLENTE</v>
          </cell>
          <cell r="D309" t="e">
            <v>#REF!</v>
          </cell>
          <cell r="E309" t="str">
            <v>PF</v>
          </cell>
          <cell r="G309" t="str">
            <v>ROCHA JULIETA</v>
          </cell>
          <cell r="H309">
            <v>45799</v>
          </cell>
          <cell r="I309" t="str">
            <v>---</v>
          </cell>
          <cell r="J309" t="str">
            <v>1°4°</v>
          </cell>
          <cell r="K309">
            <v>142</v>
          </cell>
          <cell r="L309" t="str">
            <v>1TLT</v>
          </cell>
          <cell r="M309" t="str">
            <v>S/C</v>
          </cell>
          <cell r="N309" t="str">
            <v>LENGUAJES TECNOLOGICOS</v>
          </cell>
        </row>
        <row r="310">
          <cell r="B310" t="str">
            <v xml:space="preserve"> </v>
          </cell>
          <cell r="C310" t="str">
            <v>SUPLENTE</v>
          </cell>
          <cell r="D310" t="e">
            <v>#REF!</v>
          </cell>
          <cell r="E310" t="str">
            <v>PF</v>
          </cell>
          <cell r="F310">
            <v>27280452209</v>
          </cell>
          <cell r="G310" t="str">
            <v>AGUIRRE ISABEL ITATI</v>
          </cell>
          <cell r="H310" t="str">
            <v> 12/08/2025</v>
          </cell>
          <cell r="I310" t="str">
            <v>--</v>
          </cell>
          <cell r="J310" t="str">
            <v>4°1°</v>
          </cell>
          <cell r="K310">
            <v>411</v>
          </cell>
          <cell r="L310" t="str">
            <v>4IFTLS4</v>
          </cell>
          <cell r="M310">
            <v>2680045</v>
          </cell>
          <cell r="N310" t="str">
            <v xml:space="preserve">LAB DE SIST OPERATIVOS   </v>
          </cell>
        </row>
        <row r="311">
          <cell r="B311" t="str">
            <v>2°2°2BIOS</v>
          </cell>
          <cell r="C311" t="str">
            <v>SUPLENTE</v>
          </cell>
          <cell r="D311" t="e">
            <v>#REF!</v>
          </cell>
          <cell r="E311" t="str">
            <v>PF</v>
          </cell>
          <cell r="F311">
            <v>27274090400</v>
          </cell>
          <cell r="G311" t="str">
            <v xml:space="preserve"> ARIAS YANINA</v>
          </cell>
          <cell r="H311">
            <v>45896</v>
          </cell>
          <cell r="J311" t="str">
            <v>2°2°</v>
          </cell>
          <cell r="L311" t="str">
            <v>2BIO</v>
          </cell>
          <cell r="M311">
            <v>1644155</v>
          </cell>
          <cell r="N311" t="str">
            <v>BIOLOGIA</v>
          </cell>
        </row>
        <row r="312">
          <cell r="B312" t="str">
            <v>4°4°4EQUISS</v>
          </cell>
          <cell r="C312" t="str">
            <v>SUPLENTE</v>
          </cell>
          <cell r="D312" t="e">
            <v>#REF!</v>
          </cell>
          <cell r="E312" t="str">
            <v>PF</v>
          </cell>
          <cell r="F312">
            <v>27255938180</v>
          </cell>
          <cell r="G312" t="str">
            <v>QUINTEROS MIRTA BEATRIZ</v>
          </cell>
          <cell r="H312" t="str">
            <v> 25/08/2025</v>
          </cell>
          <cell r="J312" t="str">
            <v>4°4°</v>
          </cell>
          <cell r="L312" t="str">
            <v>4EQUIS</v>
          </cell>
          <cell r="M312">
            <v>733703</v>
          </cell>
          <cell r="N312" t="str">
            <v>QUIMICA</v>
          </cell>
        </row>
        <row r="313">
          <cell r="B313" t="str">
            <v xml:space="preserve"> </v>
          </cell>
          <cell r="C313" t="str">
            <v>SUPLENTE</v>
          </cell>
          <cell r="D313" t="e">
            <v>#REF!</v>
          </cell>
          <cell r="E313" t="str">
            <v>PF</v>
          </cell>
          <cell r="F313">
            <v>20461003630</v>
          </cell>
          <cell r="G313" t="str">
            <v>MATIAS EZEQUIEL MORALES RITZINGER</v>
          </cell>
          <cell r="H313">
            <v>45894</v>
          </cell>
          <cell r="I313" t="str">
            <v>--</v>
          </cell>
          <cell r="J313" t="str">
            <v>5°3°</v>
          </cell>
          <cell r="L313" t="str">
            <v>5EAMC</v>
          </cell>
          <cell r="M313">
            <v>2355546</v>
          </cell>
          <cell r="N313" t="str">
            <v>ANALISIS DE LOS MODELOS CIRCUITALES</v>
          </cell>
        </row>
        <row r="314">
          <cell r="B314" t="str">
            <v xml:space="preserve"> </v>
          </cell>
          <cell r="C314" t="str">
            <v>SUPLENTE</v>
          </cell>
          <cell r="D314" t="e">
            <v>#REF!</v>
          </cell>
          <cell r="E314" t="str">
            <v>PF</v>
          </cell>
          <cell r="F314">
            <v>20416920126</v>
          </cell>
          <cell r="G314" t="str">
            <v>FACUNDO GABRIEL FOSSATTI</v>
          </cell>
          <cell r="H314">
            <v>45894</v>
          </cell>
          <cell r="I314">
            <v>46065</v>
          </cell>
          <cell r="J314" t="str">
            <v>6°2°</v>
          </cell>
          <cell r="K314">
            <v>622</v>
          </cell>
          <cell r="L314" t="str">
            <v>6IFHLS6</v>
          </cell>
          <cell r="M314">
            <v>2681867</v>
          </cell>
          <cell r="N314" t="str">
            <v xml:space="preserve">LAB DE SIST OPERATIVOS </v>
          </cell>
        </row>
        <row r="315">
          <cell r="B315" t="str">
            <v>4°2°4224IFTLS4S</v>
          </cell>
          <cell r="C315" t="str">
            <v>SUPLENTE</v>
          </cell>
          <cell r="D315" t="e">
            <v>#REF!</v>
          </cell>
          <cell r="E315" t="str">
            <v>PF</v>
          </cell>
          <cell r="F315">
            <v>27280452209</v>
          </cell>
          <cell r="G315" t="str">
            <v>AGUIRRE ISABEL ITATI</v>
          </cell>
          <cell r="H315" t="str">
            <v> 12/08/2025</v>
          </cell>
          <cell r="J315" t="str">
            <v>4°2°</v>
          </cell>
          <cell r="K315">
            <v>422</v>
          </cell>
          <cell r="L315" t="str">
            <v>4IFTLS4</v>
          </cell>
          <cell r="M315">
            <v>2680168</v>
          </cell>
          <cell r="N315" t="str">
            <v xml:space="preserve">LAB DE SIST OPERATIVOS   </v>
          </cell>
        </row>
        <row r="316">
          <cell r="B316" t="str">
            <v xml:space="preserve"> </v>
          </cell>
          <cell r="C316" t="str">
            <v>SUPLENTE</v>
          </cell>
          <cell r="D316" t="e">
            <v>#REF!</v>
          </cell>
          <cell r="E316" t="str">
            <v>PF</v>
          </cell>
          <cell r="F316">
            <v>20402521458</v>
          </cell>
          <cell r="G316" t="str">
            <v>GAUNA FEDERICO</v>
          </cell>
          <cell r="H316" t="str">
            <v> 12/08/2025</v>
          </cell>
          <cell r="I316" t="str">
            <v>---</v>
          </cell>
          <cell r="J316" t="str">
            <v>4°2°</v>
          </cell>
          <cell r="K316">
            <v>421</v>
          </cell>
          <cell r="L316" t="str">
            <v>4IFTLH4</v>
          </cell>
          <cell r="M316">
            <v>2680161</v>
          </cell>
          <cell r="N316" t="str">
            <v>LAB DE HARDWARE</v>
          </cell>
        </row>
        <row r="317">
          <cell r="B317" t="str">
            <v>5°5°5515IFTLA5S</v>
          </cell>
          <cell r="C317" t="str">
            <v>SUPLENTE</v>
          </cell>
          <cell r="D317" t="e">
            <v>#REF!</v>
          </cell>
          <cell r="E317" t="str">
            <v>PF</v>
          </cell>
          <cell r="F317">
            <v>27298732357</v>
          </cell>
          <cell r="G317" t="str">
            <v xml:space="preserve"> HERRERA STELLA MARIS</v>
          </cell>
          <cell r="H317" t="str">
            <v xml:space="preserve"> 01/09/2025</v>
          </cell>
          <cell r="J317" t="str">
            <v>5°5°</v>
          </cell>
          <cell r="K317">
            <v>551</v>
          </cell>
          <cell r="L317" t="str">
            <v>5IFTLA5</v>
          </cell>
          <cell r="M317">
            <v>2680575</v>
          </cell>
          <cell r="N317" t="str">
            <v xml:space="preserve">LAB DE APLICACIONES </v>
          </cell>
        </row>
        <row r="318">
          <cell r="B318" t="str">
            <v>2°3°2BIOS</v>
          </cell>
          <cell r="C318" t="str">
            <v>SUPLENTE</v>
          </cell>
          <cell r="D318" t="e">
            <v>#REF!</v>
          </cell>
          <cell r="E318" t="str">
            <v>PF</v>
          </cell>
          <cell r="F318">
            <v>20329816665</v>
          </cell>
          <cell r="G318" t="str">
            <v>PERALTA LOURDES MARIA EUGE</v>
          </cell>
          <cell r="H318">
            <v>45828</v>
          </cell>
          <cell r="J318" t="str">
            <v>2°3°</v>
          </cell>
          <cell r="L318" t="str">
            <v>2BIO</v>
          </cell>
          <cell r="M318">
            <v>1644159</v>
          </cell>
          <cell r="N318" t="str">
            <v>BIOLOGIA</v>
          </cell>
        </row>
        <row r="319">
          <cell r="B319" t="str">
            <v xml:space="preserve"> </v>
          </cell>
          <cell r="C319" t="str">
            <v>SUPLENTE</v>
          </cell>
          <cell r="D319" t="e">
            <v>#REF!</v>
          </cell>
          <cell r="E319" t="str">
            <v>PF</v>
          </cell>
          <cell r="F319">
            <v>27234806470</v>
          </cell>
          <cell r="G319" t="str">
            <v>FARIAS CLAUDIA</v>
          </cell>
          <cell r="H319" t="str">
            <v xml:space="preserve"> 20/06/2025</v>
          </cell>
          <cell r="I319" t="str">
            <v>---</v>
          </cell>
          <cell r="J319" t="str">
            <v>2°1°</v>
          </cell>
          <cell r="L319" t="str">
            <v>2BIO</v>
          </cell>
          <cell r="M319">
            <v>1642764</v>
          </cell>
          <cell r="N319" t="str">
            <v>BIOLOGIA</v>
          </cell>
        </row>
        <row r="320">
          <cell r="B320" t="str">
            <v xml:space="preserve"> </v>
          </cell>
          <cell r="C320" t="str">
            <v>SUPLENTE</v>
          </cell>
          <cell r="D320" t="e">
            <v>#REF!</v>
          </cell>
          <cell r="E320" t="str">
            <v>PF</v>
          </cell>
          <cell r="F320">
            <v>23415422644</v>
          </cell>
          <cell r="G320" t="str">
            <v xml:space="preserve"> ROCHA JULIETA BELEN</v>
          </cell>
          <cell r="H320">
            <v>45875</v>
          </cell>
          <cell r="I320">
            <v>46065</v>
          </cell>
          <cell r="J320" t="str">
            <v>5°1°</v>
          </cell>
          <cell r="K320">
            <v>511</v>
          </cell>
          <cell r="L320" t="str">
            <v>5IFTLA5</v>
          </cell>
          <cell r="M320">
            <v>2680581</v>
          </cell>
          <cell r="N320" t="str">
            <v xml:space="preserve">LAB DE APLICACIONES </v>
          </cell>
        </row>
        <row r="321">
          <cell r="B321" t="str">
            <v>3°1°3113TPT3S</v>
          </cell>
          <cell r="C321" t="str">
            <v>SUPLENTE</v>
          </cell>
          <cell r="D321" t="e">
            <v>#REF!</v>
          </cell>
          <cell r="E321" t="str">
            <v>PF</v>
          </cell>
          <cell r="F321">
            <v>25749169</v>
          </cell>
          <cell r="G321" t="str">
            <v>CRUZ DAVID FRANCISCO</v>
          </cell>
          <cell r="H321">
            <v>45805</v>
          </cell>
          <cell r="J321" t="str">
            <v>3°1°</v>
          </cell>
          <cell r="K321">
            <v>311</v>
          </cell>
          <cell r="L321" t="str">
            <v>3TPT3</v>
          </cell>
          <cell r="M321">
            <v>2682845</v>
          </cell>
          <cell r="N321" t="str">
            <v>PROCEDIMIENTOS TECNICOS</v>
          </cell>
        </row>
        <row r="322">
          <cell r="B322" t="str">
            <v xml:space="preserve"> </v>
          </cell>
          <cell r="C322" t="str">
            <v>SUPLENTE</v>
          </cell>
          <cell r="D322" t="e">
            <v>#REF!</v>
          </cell>
          <cell r="E322" t="str">
            <v>PF</v>
          </cell>
          <cell r="F322">
            <v>25749169</v>
          </cell>
          <cell r="G322" t="str">
            <v xml:space="preserve">VILLALVA ESTEBAN  CUIT 20338123125 </v>
          </cell>
          <cell r="H322">
            <v>45805</v>
          </cell>
          <cell r="I322">
            <v>46254</v>
          </cell>
          <cell r="J322" t="str">
            <v>2°1°</v>
          </cell>
          <cell r="K322">
            <v>211</v>
          </cell>
          <cell r="L322" t="str">
            <v>2TLT2</v>
          </cell>
          <cell r="M322">
            <v>2683126</v>
          </cell>
          <cell r="N322" t="str">
            <v>LENGUAJES TECNOLOGICOS</v>
          </cell>
        </row>
        <row r="323">
          <cell r="B323" t="str">
            <v xml:space="preserve"> </v>
          </cell>
          <cell r="C323" t="str">
            <v>SUPLENTE</v>
          </cell>
          <cell r="D323" t="e">
            <v>#REF!</v>
          </cell>
          <cell r="E323" t="str">
            <v>PF</v>
          </cell>
          <cell r="F323">
            <v>23415422644</v>
          </cell>
          <cell r="G323" t="str">
            <v xml:space="preserve"> ROCHA JULIETA BELEN</v>
          </cell>
          <cell r="H323" t="str">
            <v>---</v>
          </cell>
          <cell r="I323">
            <v>46065</v>
          </cell>
          <cell r="J323" t="str">
            <v>5°5°</v>
          </cell>
          <cell r="K323">
            <v>552</v>
          </cell>
          <cell r="L323" t="str">
            <v>5IFTLA5</v>
          </cell>
          <cell r="M323">
            <v>2680581</v>
          </cell>
          <cell r="N323" t="str">
            <v xml:space="preserve">LAB DE APLICACIONES </v>
          </cell>
        </row>
        <row r="324">
          <cell r="B324" t="str">
            <v xml:space="preserve"> </v>
          </cell>
          <cell r="C324" t="str">
            <v>SUPLENTE</v>
          </cell>
          <cell r="D324" t="e">
            <v>#REF!</v>
          </cell>
          <cell r="E324" t="str">
            <v>PF</v>
          </cell>
          <cell r="F324">
            <v>23415422644</v>
          </cell>
          <cell r="G324" t="str">
            <v>ROCHA JULIETA BELEN</v>
          </cell>
          <cell r="H324" t="str">
            <v>---</v>
          </cell>
          <cell r="I324" t="str">
            <v>--</v>
          </cell>
          <cell r="J324" t="str">
            <v>6°1°</v>
          </cell>
          <cell r="K324">
            <v>611</v>
          </cell>
          <cell r="L324" t="str">
            <v>6IFTLA6</v>
          </cell>
          <cell r="M324">
            <v>2680842</v>
          </cell>
          <cell r="N324" t="str">
            <v xml:space="preserve">LAB DE APLICACIONES </v>
          </cell>
        </row>
        <row r="325">
          <cell r="B325" t="str">
            <v xml:space="preserve"> </v>
          </cell>
          <cell r="C325" t="str">
            <v>SUPLENTE</v>
          </cell>
          <cell r="D325" t="e">
            <v>#REF!</v>
          </cell>
          <cell r="E325" t="str">
            <v>PF</v>
          </cell>
          <cell r="F325">
            <v>20416920126</v>
          </cell>
          <cell r="G325" t="str">
            <v>FACUNDO GABRIEL FOSSATTI</v>
          </cell>
          <cell r="H325" t="str">
            <v xml:space="preserve"> 28/05/2025</v>
          </cell>
          <cell r="I325" t="str">
            <v>--</v>
          </cell>
          <cell r="J325" t="str">
            <v>6°1°</v>
          </cell>
          <cell r="K325">
            <v>611</v>
          </cell>
          <cell r="L325" t="str">
            <v>6IFHLS6</v>
          </cell>
          <cell r="M325">
            <v>2680838</v>
          </cell>
          <cell r="N325" t="str">
            <v xml:space="preserve">LAB DE SIST OPERATIVOS </v>
          </cell>
        </row>
        <row r="326">
          <cell r="B326" t="str">
            <v>6°1°6116IFTLP6S</v>
          </cell>
          <cell r="C326" t="str">
            <v>SUPLENTE</v>
          </cell>
          <cell r="D326" t="e">
            <v>#REF!</v>
          </cell>
          <cell r="E326" t="str">
            <v>PF</v>
          </cell>
          <cell r="F326">
            <v>27353523126</v>
          </cell>
          <cell r="G326" t="str">
            <v>FERREYRA JESICA</v>
          </cell>
          <cell r="H326">
            <v>45898</v>
          </cell>
          <cell r="J326" t="str">
            <v>6°1°</v>
          </cell>
          <cell r="K326">
            <v>611</v>
          </cell>
          <cell r="L326" t="str">
            <v>6IFTLP6</v>
          </cell>
          <cell r="M326">
            <v>2680835</v>
          </cell>
          <cell r="N326" t="str">
            <v xml:space="preserve">LAB DE PROGRAM </v>
          </cell>
        </row>
        <row r="327">
          <cell r="B327" t="str">
            <v xml:space="preserve"> </v>
          </cell>
          <cell r="C327" t="str">
            <v>SUPLENTE</v>
          </cell>
          <cell r="D327" t="e">
            <v>#REF!</v>
          </cell>
          <cell r="E327" t="str">
            <v>PF</v>
          </cell>
          <cell r="F327">
            <v>27368057083</v>
          </cell>
          <cell r="G327" t="str">
            <v xml:space="preserve"> PLAZA ADRIANA GRACIELA</v>
          </cell>
          <cell r="H327">
            <v>45908</v>
          </cell>
          <cell r="I327">
            <v>46065</v>
          </cell>
          <cell r="J327" t="str">
            <v>4°1°</v>
          </cell>
          <cell r="K327">
            <v>412</v>
          </cell>
          <cell r="L327" t="str">
            <v>4IFTLS4</v>
          </cell>
          <cell r="M327">
            <v>2680054</v>
          </cell>
          <cell r="N327" t="str">
            <v xml:space="preserve">LAB DE SIST OPERATIVOS   </v>
          </cell>
        </row>
        <row r="328">
          <cell r="B328" t="str">
            <v>6°2°6IINGSS</v>
          </cell>
          <cell r="C328" t="str">
            <v>SUPLENTE</v>
          </cell>
          <cell r="D328" t="e">
            <v>#REF!</v>
          </cell>
          <cell r="E328" t="str">
            <v>PF</v>
          </cell>
          <cell r="F328">
            <v>27315554360</v>
          </cell>
          <cell r="G328" t="str">
            <v>MARTINS RUTH MARIA DEL ROS</v>
          </cell>
          <cell r="H328">
            <v>45726.490277777775</v>
          </cell>
          <cell r="J328" t="str">
            <v>6°2°</v>
          </cell>
          <cell r="L328" t="str">
            <v>6IINGS</v>
          </cell>
          <cell r="M328">
            <v>2681822</v>
          </cell>
          <cell r="N328" t="str">
            <v>INGLÉS</v>
          </cell>
        </row>
        <row r="329">
          <cell r="B329" t="str">
            <v xml:space="preserve"> </v>
          </cell>
          <cell r="C329" t="str">
            <v>SUPLENTE</v>
          </cell>
          <cell r="D329" t="e">
            <v>#REF!</v>
          </cell>
          <cell r="E329" t="str">
            <v>PF</v>
          </cell>
          <cell r="F329">
            <v>27342508990</v>
          </cell>
          <cell r="G329" t="str">
            <v xml:space="preserve"> MAZU LEILA ANABELLA SOLED</v>
          </cell>
          <cell r="H329" t="str">
            <v xml:space="preserve"> 17/09/2025 07:23</v>
          </cell>
          <cell r="I329" t="str">
            <v>--</v>
          </cell>
          <cell r="J329" t="str">
            <v>3°1°</v>
          </cell>
          <cell r="L329" t="str">
            <v>3MAT</v>
          </cell>
          <cell r="M329">
            <v>1104261</v>
          </cell>
          <cell r="N329" t="str">
            <v>MATEMATICA</v>
          </cell>
        </row>
        <row r="330">
          <cell r="B330" t="str">
            <v>5°5°5IGEOS5S</v>
          </cell>
          <cell r="C330" t="str">
            <v>SUPLENTE</v>
          </cell>
          <cell r="D330" t="e">
            <v>#REF!</v>
          </cell>
          <cell r="E330" t="str">
            <v>PF</v>
          </cell>
          <cell r="F330">
            <v>27276906084</v>
          </cell>
          <cell r="G330" t="str">
            <v xml:space="preserve"> ROJAS SOLEDAD</v>
          </cell>
          <cell r="H330">
            <v>45919</v>
          </cell>
          <cell r="J330" t="str">
            <v>5°5°</v>
          </cell>
          <cell r="L330" t="str">
            <v>5IGEOS5</v>
          </cell>
          <cell r="M330">
            <v>733650</v>
          </cell>
          <cell r="N330" t="str">
            <v>GEOGRAFIA</v>
          </cell>
        </row>
        <row r="331">
          <cell r="B331" t="str">
            <v>3°5°3GEOS</v>
          </cell>
          <cell r="C331" t="str">
            <v>SUPLENTE</v>
          </cell>
          <cell r="D331" t="e">
            <v>#REF!</v>
          </cell>
          <cell r="E331" t="str">
            <v>PF</v>
          </cell>
          <cell r="G331" t="str">
            <v>MOURA FACUNDO</v>
          </cell>
          <cell r="H331">
            <v>45919</v>
          </cell>
          <cell r="J331" t="str">
            <v>3°5°</v>
          </cell>
          <cell r="L331" t="str">
            <v>3GEO</v>
          </cell>
          <cell r="M331">
            <v>2232466</v>
          </cell>
          <cell r="N331" t="str">
            <v>GEOGRAFIA</v>
          </cell>
        </row>
        <row r="332">
          <cell r="B332" t="str">
            <v xml:space="preserve"> </v>
          </cell>
          <cell r="C332" t="str">
            <v>SUPLENTE</v>
          </cell>
          <cell r="D332" t="e">
            <v>#REF!</v>
          </cell>
          <cell r="E332" t="str">
            <v>PF</v>
          </cell>
          <cell r="F332">
            <v>20274525917</v>
          </cell>
          <cell r="G332" t="str">
            <v>DIAZ MARCOS</v>
          </cell>
          <cell r="H332">
            <v>45919</v>
          </cell>
          <cell r="I332" t="str">
            <v>--</v>
          </cell>
          <cell r="J332" t="str">
            <v>5°3°</v>
          </cell>
          <cell r="L332" t="str">
            <v>5EGEOS5</v>
          </cell>
          <cell r="M332">
            <v>2355540</v>
          </cell>
          <cell r="N332" t="str">
            <v>GEOGRAFIA</v>
          </cell>
        </row>
        <row r="333">
          <cell r="B333" t="str">
            <v xml:space="preserve"> </v>
          </cell>
          <cell r="C333" t="str">
            <v>SUPLENTE</v>
          </cell>
          <cell r="D333" t="e">
            <v>#REF!</v>
          </cell>
          <cell r="E333" t="str">
            <v>PF</v>
          </cell>
          <cell r="F333">
            <v>27356576190</v>
          </cell>
          <cell r="G333" t="str">
            <v xml:space="preserve"> BUSTOS ROXANA MARIELA</v>
          </cell>
          <cell r="H333">
            <v>45912</v>
          </cell>
          <cell r="I333" t="str">
            <v>--</v>
          </cell>
          <cell r="J333" t="str">
            <v>5°3°</v>
          </cell>
          <cell r="L333" t="str">
            <v>5EHIS5</v>
          </cell>
          <cell r="M333">
            <v>2355535</v>
          </cell>
          <cell r="N333" t="str">
            <v>HISTORIA</v>
          </cell>
        </row>
        <row r="334">
          <cell r="B334" t="str">
            <v xml:space="preserve"> </v>
          </cell>
          <cell r="C334" t="str">
            <v>SUPLENTE</v>
          </cell>
          <cell r="D334" t="e">
            <v>#REF!</v>
          </cell>
          <cell r="E334" t="str">
            <v>PF</v>
          </cell>
          <cell r="F334">
            <v>27183200653</v>
          </cell>
          <cell r="G334" t="str">
            <v>MARCIRO ANA GRISELDA</v>
          </cell>
          <cell r="H334">
            <v>45849</v>
          </cell>
          <cell r="I334" t="str">
            <v>--</v>
          </cell>
          <cell r="J334" t="str">
            <v>4°3°</v>
          </cell>
          <cell r="L334" t="str">
            <v>4EHIS</v>
          </cell>
          <cell r="M334">
            <v>733689</v>
          </cell>
          <cell r="N334" t="str">
            <v>HISTORIA</v>
          </cell>
        </row>
        <row r="335">
          <cell r="B335" t="str">
            <v xml:space="preserve"> </v>
          </cell>
          <cell r="C335" t="str">
            <v>SUPLENTE</v>
          </cell>
          <cell r="D335" t="e">
            <v>#REF!</v>
          </cell>
          <cell r="E335" t="str">
            <v>PF</v>
          </cell>
          <cell r="F335">
            <v>20377659164</v>
          </cell>
          <cell r="G335" t="str">
            <v>BENITEZ HUGO JAVIER</v>
          </cell>
          <cell r="H335">
            <v>45912</v>
          </cell>
          <cell r="I335" t="str">
            <v>--</v>
          </cell>
          <cell r="J335" t="str">
            <v>4°3°</v>
          </cell>
          <cell r="L335" t="str">
            <v>4EHIS</v>
          </cell>
          <cell r="M335">
            <v>733689</v>
          </cell>
          <cell r="N335" t="str">
            <v>HISTORIA</v>
          </cell>
        </row>
        <row r="336">
          <cell r="B336" t="str">
            <v xml:space="preserve"> </v>
          </cell>
          <cell r="C336" t="str">
            <v>SUPLENTE</v>
          </cell>
          <cell r="D336" t="e">
            <v>#REF!</v>
          </cell>
          <cell r="E336" t="str">
            <v>PF</v>
          </cell>
          <cell r="F336">
            <v>27380843116</v>
          </cell>
          <cell r="G336" t="str">
            <v>GONZALEZ ROCIO NATALIA</v>
          </cell>
          <cell r="H336">
            <v>45848</v>
          </cell>
          <cell r="I336" t="str">
            <v>--</v>
          </cell>
          <cell r="J336" t="str">
            <v>5°5°</v>
          </cell>
          <cell r="L336" t="str">
            <v>5IHIS5</v>
          </cell>
          <cell r="M336">
            <v>1643750</v>
          </cell>
          <cell r="N336" t="str">
            <v>HISTORIA</v>
          </cell>
        </row>
        <row r="337">
          <cell r="B337" t="str">
            <v xml:space="preserve"> </v>
          </cell>
          <cell r="C337" t="str">
            <v>SUPLENTE</v>
          </cell>
          <cell r="D337" t="e">
            <v>#REF!</v>
          </cell>
          <cell r="E337" t="str">
            <v>PF</v>
          </cell>
          <cell r="F337">
            <v>27353957517</v>
          </cell>
          <cell r="G337" t="str">
            <v>BAIMA KUNTZ MARCELA PAOLA</v>
          </cell>
          <cell r="H337">
            <v>45769</v>
          </cell>
          <cell r="I337" t="str">
            <v>--</v>
          </cell>
          <cell r="J337" t="str">
            <v>5°3°</v>
          </cell>
          <cell r="L337" t="str">
            <v>5EINGS</v>
          </cell>
          <cell r="M337">
            <v>2355524</v>
          </cell>
          <cell r="N337" t="str">
            <v>INGLÉS</v>
          </cell>
        </row>
        <row r="338">
          <cell r="B338" t="str">
            <v>3°5°3FI/QUIS</v>
          </cell>
          <cell r="C338" t="str">
            <v>SUPLENTE</v>
          </cell>
          <cell r="D338" t="e">
            <v>#REF!</v>
          </cell>
          <cell r="E338" t="str">
            <v>PF</v>
          </cell>
          <cell r="F338">
            <v>20256000327</v>
          </cell>
          <cell r="G338" t="str">
            <v>CANTONI PABLO MARTIN</v>
          </cell>
          <cell r="H338">
            <v>45932.013194444444</v>
          </cell>
          <cell r="J338" t="str">
            <v>3°5°</v>
          </cell>
          <cell r="L338" t="str">
            <v>3FI/QUI</v>
          </cell>
          <cell r="M338">
            <v>2232465</v>
          </cell>
          <cell r="N338" t="str">
            <v>FISICO-QUIMICA</v>
          </cell>
        </row>
        <row r="339">
          <cell r="B339" t="str">
            <v>3°5°3INGS</v>
          </cell>
          <cell r="C339" t="str">
            <v>SUPLENTE</v>
          </cell>
          <cell r="D339" t="e">
            <v>#REF!</v>
          </cell>
          <cell r="E339" t="str">
            <v>PF</v>
          </cell>
          <cell r="F339">
            <v>27315554360</v>
          </cell>
          <cell r="G339" t="str">
            <v>LOPEZ LILIANA CUIT 27176913881</v>
          </cell>
          <cell r="H339" t="str">
            <v>---</v>
          </cell>
          <cell r="J339" t="str">
            <v>3°5°</v>
          </cell>
          <cell r="L339" t="str">
            <v>3ING</v>
          </cell>
          <cell r="M339">
            <v>2232468</v>
          </cell>
          <cell r="N339" t="str">
            <v>INGLÉS</v>
          </cell>
        </row>
        <row r="340">
          <cell r="B340" t="str">
            <v xml:space="preserve"> </v>
          </cell>
          <cell r="C340" t="str">
            <v>SUPLENTE</v>
          </cell>
          <cell r="D340" t="e">
            <v>#REF!</v>
          </cell>
          <cell r="E340" t="str">
            <v>PF</v>
          </cell>
          <cell r="F340">
            <v>27324644232</v>
          </cell>
          <cell r="G340" t="str">
            <v xml:space="preserve"> RIVADENEIRA MARECO NANCY N</v>
          </cell>
          <cell r="H340">
            <v>45880.826388888891</v>
          </cell>
          <cell r="I340">
            <v>46065</v>
          </cell>
          <cell r="J340" t="str">
            <v>5°1°</v>
          </cell>
          <cell r="L340" t="str">
            <v>5IHIS5</v>
          </cell>
          <cell r="M340">
            <v>2543649</v>
          </cell>
          <cell r="N340" t="str">
            <v>HISTORIA</v>
          </cell>
        </row>
        <row r="341">
          <cell r="B341" t="str">
            <v xml:space="preserve"> </v>
          </cell>
          <cell r="C341" t="str">
            <v>SUPLENTE</v>
          </cell>
          <cell r="D341" t="e">
            <v>#REF!</v>
          </cell>
          <cell r="E341" t="str">
            <v>PF</v>
          </cell>
          <cell r="F341">
            <v>20416920126</v>
          </cell>
          <cell r="G341" t="str">
            <v xml:space="preserve">FACUNDO GABRIEL FOSSATTI </v>
          </cell>
          <cell r="H341">
            <v>45811.375</v>
          </cell>
          <cell r="I341" t="str">
            <v>--</v>
          </cell>
          <cell r="J341" t="str">
            <v>6°1°</v>
          </cell>
          <cell r="K341">
            <v>611</v>
          </cell>
          <cell r="L341" t="str">
            <v>6IFHLS6</v>
          </cell>
          <cell r="M341">
            <v>2680838</v>
          </cell>
          <cell r="N341" t="str">
            <v xml:space="preserve">LAB DE SIST OPERATIVOS </v>
          </cell>
        </row>
        <row r="342">
          <cell r="B342" t="str">
            <v xml:space="preserve"> </v>
          </cell>
          <cell r="C342" t="str">
            <v>SUPLENTE</v>
          </cell>
          <cell r="D342" t="e">
            <v>#REF!</v>
          </cell>
          <cell r="E342" t="str">
            <v>PF</v>
          </cell>
          <cell r="F342">
            <v>27404590052</v>
          </cell>
          <cell r="G342" t="str">
            <v>COLMAN SOFIA DE LA MERCED</v>
          </cell>
          <cell r="H342" t="str">
            <v xml:space="preserve"> 08/07/2025 13:50</v>
          </cell>
          <cell r="I342">
            <v>45967.745833333334</v>
          </cell>
          <cell r="J342" t="str">
            <v>4°4°</v>
          </cell>
          <cell r="L342" t="str">
            <v>4EHIS</v>
          </cell>
          <cell r="M342">
            <v>733423</v>
          </cell>
          <cell r="N342" t="str">
            <v>HISTORIA</v>
          </cell>
        </row>
        <row r="343">
          <cell r="B343" t="str">
            <v xml:space="preserve"> </v>
          </cell>
          <cell r="C343" t="str">
            <v>SUPLENTE</v>
          </cell>
          <cell r="D343" t="e">
            <v>#REF!</v>
          </cell>
          <cell r="E343" t="str">
            <v>PF</v>
          </cell>
          <cell r="F343">
            <v>27378801678</v>
          </cell>
          <cell r="G343" t="str">
            <v>QUIROZ JESSICA TAMARA</v>
          </cell>
          <cell r="H343">
            <v>45965</v>
          </cell>
          <cell r="I343">
            <v>46065</v>
          </cell>
          <cell r="J343" t="str">
            <v>5°1°</v>
          </cell>
          <cell r="K343">
            <v>512</v>
          </cell>
          <cell r="L343" t="str">
            <v>5IFTLA5</v>
          </cell>
          <cell r="M343">
            <v>2543665</v>
          </cell>
          <cell r="N343" t="str">
            <v xml:space="preserve">LAB DE APLICACIONES </v>
          </cell>
        </row>
        <row r="344">
          <cell r="B344" t="str">
            <v xml:space="preserve"> </v>
          </cell>
          <cell r="C344" t="str">
            <v>SUPLENTE</v>
          </cell>
          <cell r="D344" t="e">
            <v>#REF!</v>
          </cell>
          <cell r="E344" t="str">
            <v>PF</v>
          </cell>
          <cell r="F344">
            <v>27321206765</v>
          </cell>
          <cell r="G344" t="str">
            <v>RAMIREZ GISELE VANESA</v>
          </cell>
          <cell r="H344" t="str">
            <v xml:space="preserve"> 02/11/2025 17:49</v>
          </cell>
          <cell r="I344" t="str">
            <v>--</v>
          </cell>
          <cell r="J344" t="str">
            <v>6°4°</v>
          </cell>
          <cell r="L344" t="str">
            <v>6EINGS</v>
          </cell>
          <cell r="M344">
            <v>2683103</v>
          </cell>
          <cell r="N344" t="str">
            <v>INGLÉS</v>
          </cell>
        </row>
        <row r="345">
          <cell r="B345" t="str">
            <v xml:space="preserve"> </v>
          </cell>
          <cell r="C345" t="str">
            <v>SUPLENTE</v>
          </cell>
          <cell r="D345" t="e">
            <v>#REF!</v>
          </cell>
          <cell r="E345" t="str">
            <v>PF</v>
          </cell>
          <cell r="F345">
            <v>20407970048</v>
          </cell>
          <cell r="G345" t="str">
            <v>IVAN GASTON RAMIREZ</v>
          </cell>
          <cell r="H345">
            <v>45961.463888888888</v>
          </cell>
          <cell r="I345" t="str">
            <v>--</v>
          </cell>
          <cell r="J345" t="str">
            <v>5°4°</v>
          </cell>
          <cell r="L345" t="str">
            <v>5EINGS</v>
          </cell>
          <cell r="M345">
            <v>2680752</v>
          </cell>
          <cell r="N345" t="str">
            <v>INGLÉS</v>
          </cell>
        </row>
        <row r="346">
          <cell r="B346" t="str">
            <v xml:space="preserve"> </v>
          </cell>
          <cell r="C346" t="str">
            <v>SUPLENTE</v>
          </cell>
          <cell r="D346" t="e">
            <v>#REF!</v>
          </cell>
          <cell r="E346" t="str">
            <v>PF</v>
          </cell>
          <cell r="F346">
            <v>27328263675</v>
          </cell>
          <cell r="G346" t="str">
            <v>PAMELA MARTINEZ</v>
          </cell>
          <cell r="H346">
            <v>45961.348611111112</v>
          </cell>
          <cell r="I346">
            <v>45961.348611111112</v>
          </cell>
          <cell r="J346" t="str">
            <v>4°2°</v>
          </cell>
          <cell r="L346" t="str">
            <v>4IINGS</v>
          </cell>
          <cell r="M346">
            <v>733377</v>
          </cell>
          <cell r="N346" t="str">
            <v>INGLÉS</v>
          </cell>
        </row>
        <row r="347">
          <cell r="B347" t="str">
            <v>2°5°2512TST2S</v>
          </cell>
          <cell r="C347" t="str">
            <v>SUPLENTE</v>
          </cell>
          <cell r="D347" t="e">
            <v>#REF!</v>
          </cell>
          <cell r="E347" t="str">
            <v>PF</v>
          </cell>
          <cell r="F347">
            <v>23458981299</v>
          </cell>
          <cell r="G347" t="str">
            <v xml:space="preserve"> PAZ ALEX GABRIEL</v>
          </cell>
          <cell r="H347" t="str">
            <v xml:space="preserve"> 27/10/2025 15:23</v>
          </cell>
          <cell r="J347" t="str">
            <v>2°5°</v>
          </cell>
          <cell r="K347">
            <v>251</v>
          </cell>
          <cell r="L347" t="str">
            <v>2TST2</v>
          </cell>
          <cell r="M347">
            <v>1920702</v>
          </cell>
          <cell r="N347" t="str">
            <v>SISTEMAS TECNOLOGICOS</v>
          </cell>
        </row>
        <row r="348">
          <cell r="B348" t="str">
            <v xml:space="preserve"> </v>
          </cell>
          <cell r="C348" t="str">
            <v>SUPLENTE</v>
          </cell>
          <cell r="D348" t="e">
            <v>#REF!</v>
          </cell>
          <cell r="E348" t="str">
            <v>PF</v>
          </cell>
          <cell r="F348">
            <v>20342514295</v>
          </cell>
          <cell r="G348" t="str">
            <v xml:space="preserve"> FERNANDO DAVID GARAY ECHENIQUE</v>
          </cell>
          <cell r="H348">
            <v>45957.352083333331</v>
          </cell>
          <cell r="I348" t="str">
            <v>---</v>
          </cell>
          <cell r="J348" t="str">
            <v>7°3°</v>
          </cell>
          <cell r="K348">
            <v>732</v>
          </cell>
          <cell r="L348" t="str">
            <v>7IIMRSC</v>
          </cell>
          <cell r="M348">
            <v>2775781</v>
          </cell>
          <cell r="N348" t="str">
            <v>INSTALACION, MANTENIMIENTO Y REPARACION DE SISTEMAS COMPUTACIONALES-</v>
          </cell>
        </row>
        <row r="349">
          <cell r="B349" t="str">
            <v xml:space="preserve"> </v>
          </cell>
          <cell r="C349" t="str">
            <v>SUPLENTE</v>
          </cell>
          <cell r="D349" t="e">
            <v>#REF!</v>
          </cell>
          <cell r="E349" t="str">
            <v>PF</v>
          </cell>
          <cell r="F349">
            <v>20200591268</v>
          </cell>
          <cell r="G349" t="str">
            <v>OMAR ALEJANDRO BAZAR</v>
          </cell>
          <cell r="H349" t="str">
            <v xml:space="preserve"> 03/11/2025 10:50</v>
          </cell>
          <cell r="I349">
            <v>46065</v>
          </cell>
          <cell r="J349" t="str">
            <v>5°1°</v>
          </cell>
          <cell r="K349">
            <v>511</v>
          </cell>
          <cell r="L349" t="str">
            <v>5IFTLP5</v>
          </cell>
          <cell r="M349">
            <v>2543654</v>
          </cell>
          <cell r="N349" t="str">
            <v xml:space="preserve">LAB DE PROGRAM </v>
          </cell>
        </row>
        <row r="350">
          <cell r="B350" t="str">
            <v xml:space="preserve"> </v>
          </cell>
          <cell r="C350" t="str">
            <v>SUPLENTE</v>
          </cell>
          <cell r="D350" t="e">
            <v>#REF!</v>
          </cell>
          <cell r="E350" t="str">
            <v>PF</v>
          </cell>
          <cell r="F350">
            <v>27279464120</v>
          </cell>
          <cell r="G350" t="str">
            <v xml:space="preserve"> AVILA ELIANA</v>
          </cell>
          <cell r="H350">
            <v>45967.745833333334</v>
          </cell>
          <cell r="I350">
            <v>45967.745833333334</v>
          </cell>
          <cell r="J350" t="str">
            <v>4°4°</v>
          </cell>
          <cell r="L350" t="str">
            <v>4EINGS</v>
          </cell>
          <cell r="M350">
            <v>733417</v>
          </cell>
          <cell r="N350" t="str">
            <v>INGLÉS</v>
          </cell>
        </row>
        <row r="351">
          <cell r="B351" t="str">
            <v xml:space="preserve"> </v>
          </cell>
          <cell r="C351" t="str">
            <v>SUPLENTE</v>
          </cell>
          <cell r="D351" t="e">
            <v>#REF!</v>
          </cell>
          <cell r="E351" t="str">
            <v>PF</v>
          </cell>
          <cell r="F351">
            <v>27351465234</v>
          </cell>
          <cell r="G351" t="str">
            <v>BURGOS ANDREA BEATRIZ</v>
          </cell>
          <cell r="H351" t="str">
            <v xml:space="preserve"> 06/11/2025 21:24</v>
          </cell>
          <cell r="I351" t="str">
            <v>---</v>
          </cell>
          <cell r="J351" t="str">
            <v>3°1°</v>
          </cell>
          <cell r="L351" t="str">
            <v>3GEO</v>
          </cell>
          <cell r="M351">
            <v>1644167</v>
          </cell>
          <cell r="N351" t="str">
            <v>GEOGRAFIA</v>
          </cell>
        </row>
        <row r="352">
          <cell r="B352" t="str">
            <v xml:space="preserve"> </v>
          </cell>
          <cell r="C352" t="str">
            <v>SUPLENTE</v>
          </cell>
          <cell r="D352" t="e">
            <v>#REF!</v>
          </cell>
          <cell r="E352" t="str">
            <v>PF</v>
          </cell>
          <cell r="F352">
            <v>27288132157</v>
          </cell>
          <cell r="G352" t="str">
            <v xml:space="preserve"> SUAVE ROMINA R</v>
          </cell>
          <cell r="H352" t="str">
            <v xml:space="preserve"> 03/11/2025 16:21</v>
          </cell>
          <cell r="I352" t="str">
            <v>--</v>
          </cell>
          <cell r="J352" t="str">
            <v>3°4°</v>
          </cell>
          <cell r="L352" t="str">
            <v>3ING</v>
          </cell>
          <cell r="M352">
            <v>1492005</v>
          </cell>
          <cell r="N352" t="str">
            <v>INGLÉS</v>
          </cell>
        </row>
        <row r="353">
          <cell r="B353" t="str">
            <v xml:space="preserve"> </v>
          </cell>
          <cell r="C353" t="str">
            <v>SUPLENTE</v>
          </cell>
          <cell r="D353" t="e">
            <v>#REF!</v>
          </cell>
          <cell r="E353" t="str">
            <v>PF</v>
          </cell>
          <cell r="F353">
            <v>20387887599</v>
          </cell>
          <cell r="G353" t="str">
            <v>YBAÁEZ NICOLAS ALEJANDRO</v>
          </cell>
          <cell r="H353" t="str">
            <v xml:space="preserve"> 04/11/2025 12:37</v>
          </cell>
          <cell r="I353">
            <v>46065</v>
          </cell>
          <cell r="J353" t="str">
            <v>5°1°</v>
          </cell>
          <cell r="L353" t="str">
            <v>5IINGS</v>
          </cell>
          <cell r="M353">
            <v>2543620</v>
          </cell>
          <cell r="N353" t="str">
            <v>INGLÉS</v>
          </cell>
        </row>
        <row r="354">
          <cell r="B354" t="str">
            <v xml:space="preserve"> </v>
          </cell>
          <cell r="C354" t="str">
            <v>SUPLENTE</v>
          </cell>
          <cell r="D354" t="e">
            <v>#REF!</v>
          </cell>
          <cell r="E354" t="str">
            <v>PF</v>
          </cell>
          <cell r="F354">
            <v>27378801678</v>
          </cell>
          <cell r="G354" t="str">
            <v xml:space="preserve"> QUIROZ JESSICA TAMARA </v>
          </cell>
          <cell r="H354">
            <v>45965.285416666666</v>
          </cell>
          <cell r="I354" t="str">
            <v>--</v>
          </cell>
          <cell r="J354" t="str">
            <v>6°1°</v>
          </cell>
          <cell r="K354">
            <v>612</v>
          </cell>
          <cell r="L354" t="str">
            <v>6IFTLP6</v>
          </cell>
          <cell r="M354">
            <v>2680843</v>
          </cell>
          <cell r="N354" t="str">
            <v xml:space="preserve">LAB DE PROGRAM </v>
          </cell>
        </row>
        <row r="355">
          <cell r="B355" t="str">
            <v xml:space="preserve"> </v>
          </cell>
          <cell r="C355" t="str">
            <v>SUPLENTE</v>
          </cell>
          <cell r="D355" t="e">
            <v>#REF!</v>
          </cell>
          <cell r="E355" t="str">
            <v>PF</v>
          </cell>
          <cell r="F355">
            <v>27378801678</v>
          </cell>
          <cell r="G355" t="str">
            <v xml:space="preserve"> QUIROZ JESSICA TAMARA </v>
          </cell>
          <cell r="H355" t="str">
            <v xml:space="preserve"> 04/11/2025 06:58</v>
          </cell>
          <cell r="I355">
            <v>46065</v>
          </cell>
          <cell r="J355" t="str">
            <v>5°1°</v>
          </cell>
          <cell r="K355">
            <v>512</v>
          </cell>
          <cell r="L355" t="str">
            <v>5IFTLP5</v>
          </cell>
          <cell r="M355">
            <v>2543659</v>
          </cell>
          <cell r="N355" t="str">
            <v xml:space="preserve">LAB DE PROGRAM </v>
          </cell>
        </row>
        <row r="356">
          <cell r="B356" t="str">
            <v xml:space="preserve"> </v>
          </cell>
          <cell r="C356" t="str">
            <v>SUPLENTE</v>
          </cell>
          <cell r="D356" t="e">
            <v>#REF!</v>
          </cell>
          <cell r="E356" t="str">
            <v>PF</v>
          </cell>
          <cell r="F356">
            <v>27378801678</v>
          </cell>
          <cell r="G356" t="str">
            <v xml:space="preserve"> QUIROZ JESSICA TAMARA </v>
          </cell>
          <cell r="H356" t="str">
            <v xml:space="preserve"> 04/11/2025 06:49</v>
          </cell>
          <cell r="I356" t="str">
            <v>--</v>
          </cell>
          <cell r="J356" t="str">
            <v>5°5°</v>
          </cell>
          <cell r="K356">
            <v>551</v>
          </cell>
          <cell r="L356" t="str">
            <v>5IFTLP5</v>
          </cell>
          <cell r="M356">
            <v>2680572</v>
          </cell>
          <cell r="N356" t="str">
            <v xml:space="preserve">LAB DE PROGRAM </v>
          </cell>
        </row>
        <row r="357">
          <cell r="B357" t="str">
            <v>4°1°4114IFTLA4S</v>
          </cell>
          <cell r="C357" t="str">
            <v>SUPLENTE</v>
          </cell>
          <cell r="D357" t="e">
            <v>#REF!</v>
          </cell>
          <cell r="E357" t="str">
            <v>PF</v>
          </cell>
          <cell r="F357">
            <v>27280452209</v>
          </cell>
          <cell r="G357" t="str">
            <v xml:space="preserve"> AGUIRRE ISABEL ITATI</v>
          </cell>
          <cell r="H357" t="str">
            <v xml:space="preserve"> 28/08/2025 17:40</v>
          </cell>
          <cell r="J357" t="str">
            <v>4°1°</v>
          </cell>
          <cell r="K357">
            <v>411</v>
          </cell>
          <cell r="L357" t="str">
            <v>4IFTLA4</v>
          </cell>
          <cell r="M357">
            <v>2680049</v>
          </cell>
          <cell r="N357" t="str">
            <v>LAB DE APLICACIONES</v>
          </cell>
        </row>
        <row r="358">
          <cell r="B358" t="str">
            <v>3°3°3FI/QUIS</v>
          </cell>
          <cell r="C358" t="str">
            <v>SUPLENTE</v>
          </cell>
          <cell r="D358" t="e">
            <v>#REF!</v>
          </cell>
          <cell r="E358" t="str">
            <v>PF</v>
          </cell>
          <cell r="F358" t="str">
            <v xml:space="preserve"> 27-26.381.174-2</v>
          </cell>
          <cell r="G358" t="str">
            <v>DIEGO UGALDEA</v>
          </cell>
          <cell r="H358" t="str">
            <v>---</v>
          </cell>
          <cell r="J358" t="str">
            <v>3°3°</v>
          </cell>
          <cell r="L358" t="str">
            <v>3FI/QUI</v>
          </cell>
          <cell r="M358">
            <v>1913974</v>
          </cell>
          <cell r="N358" t="str">
            <v>FISICO-QUIMICA</v>
          </cell>
        </row>
        <row r="359">
          <cell r="B359" t="str">
            <v>5°3°5EINGSS</v>
          </cell>
          <cell r="C359" t="str">
            <v>SUPLENTE</v>
          </cell>
          <cell r="D359" t="e">
            <v>#REF!</v>
          </cell>
          <cell r="E359" t="str">
            <v>PF</v>
          </cell>
          <cell r="F359">
            <v>27293688988</v>
          </cell>
          <cell r="G359" t="str">
            <v xml:space="preserve">BAIMA KUNTZ MARCELA PAOLA  </v>
          </cell>
          <cell r="H359" t="str">
            <v>---</v>
          </cell>
          <cell r="J359" t="str">
            <v>5°3°</v>
          </cell>
          <cell r="L359" t="str">
            <v>5EINGS</v>
          </cell>
          <cell r="M359">
            <v>2355524</v>
          </cell>
          <cell r="N359" t="str">
            <v>INGLÉS</v>
          </cell>
        </row>
        <row r="360">
          <cell r="B360" t="str">
            <v>5°5°5IINGSS</v>
          </cell>
          <cell r="C360" t="str">
            <v>SUPLENTE</v>
          </cell>
          <cell r="D360" t="e">
            <v>#REF!</v>
          </cell>
          <cell r="E360" t="str">
            <v>PF</v>
          </cell>
          <cell r="G360" t="str">
            <v>BARBIERI MARIA 27361711800</v>
          </cell>
          <cell r="H360" t="str">
            <v>---</v>
          </cell>
          <cell r="J360" t="str">
            <v>5°5°</v>
          </cell>
          <cell r="L360" t="str">
            <v>5IINGS</v>
          </cell>
          <cell r="M360">
            <v>733672</v>
          </cell>
          <cell r="N360" t="str">
            <v>INGLÉS</v>
          </cell>
        </row>
        <row r="361">
          <cell r="B361" t="str">
            <v xml:space="preserve"> </v>
          </cell>
          <cell r="C361" t="str">
            <v>SUPLENTE</v>
          </cell>
          <cell r="D361" t="e">
            <v>#REF!</v>
          </cell>
          <cell r="E361" t="str">
            <v>PF</v>
          </cell>
          <cell r="F361">
            <v>27404590052</v>
          </cell>
          <cell r="G361" t="str">
            <v>COLMAN SOFIA DE LA MERCED</v>
          </cell>
          <cell r="H361" t="str">
            <v> 10/03/2026</v>
          </cell>
          <cell r="I361" t="str">
            <v>--</v>
          </cell>
          <cell r="J361" t="str">
            <v>1°4°</v>
          </cell>
          <cell r="L361" t="str">
            <v>1SOC</v>
          </cell>
          <cell r="M361">
            <v>1493343</v>
          </cell>
          <cell r="N361" t="str">
            <v>CIENCIAS SOCIALES</v>
          </cell>
        </row>
        <row r="362">
          <cell r="B362" t="str">
            <v>3°5°3MATS</v>
          </cell>
          <cell r="C362" t="str">
            <v>SUPLENTE</v>
          </cell>
          <cell r="D362" t="e">
            <v>#REF!</v>
          </cell>
          <cell r="E362" t="str">
            <v>PF</v>
          </cell>
          <cell r="F362">
            <v>27443818869</v>
          </cell>
          <cell r="G362" t="str">
            <v xml:space="preserve"> FERRARIS OJEDA JULIETA MAR</v>
          </cell>
          <cell r="H362">
            <v>46082</v>
          </cell>
          <cell r="J362" t="str">
            <v>3°5°</v>
          </cell>
          <cell r="L362" t="str">
            <v>3MAT</v>
          </cell>
          <cell r="M362">
            <v>2232469</v>
          </cell>
          <cell r="N362" t="str">
            <v>MATEMATICA</v>
          </cell>
        </row>
        <row r="363">
          <cell r="B363" t="str">
            <v>1°4°1421TLTS</v>
          </cell>
          <cell r="C363" t="str">
            <v>SUPLENTE</v>
          </cell>
          <cell r="D363" t="e">
            <v>#REF!</v>
          </cell>
          <cell r="E363" t="str">
            <v>PF</v>
          </cell>
          <cell r="F363" t="str">
            <v>VERA LORENA</v>
          </cell>
          <cell r="G363" t="str">
            <v>VERA LORENA</v>
          </cell>
          <cell r="H363" t="str">
            <v xml:space="preserve"> 09/03/2026</v>
          </cell>
          <cell r="J363" t="str">
            <v>1°4°</v>
          </cell>
          <cell r="K363">
            <v>142</v>
          </cell>
          <cell r="L363" t="str">
            <v>1TLT</v>
          </cell>
          <cell r="M363">
            <v>2683136</v>
          </cell>
          <cell r="N363" t="str">
            <v>LENGUAJES TECNOLOGICOS</v>
          </cell>
        </row>
        <row r="364">
          <cell r="B364" t="str">
            <v xml:space="preserve"> </v>
          </cell>
          <cell r="C364" t="str">
            <v>SUPLENTE</v>
          </cell>
          <cell r="D364" t="e">
            <v>#REF!</v>
          </cell>
          <cell r="E364" t="str">
            <v>PF</v>
          </cell>
          <cell r="F364">
            <v>27378801678</v>
          </cell>
          <cell r="G364" t="str">
            <v>AGUIRRE ISABEL ITATI</v>
          </cell>
          <cell r="H364" t="str">
            <v xml:space="preserve"> 25/03/2026 14:48</v>
          </cell>
          <cell r="I364" t="str">
            <v xml:space="preserve"> 25/03/2026 14:48</v>
          </cell>
          <cell r="J364" t="str">
            <v>6°2°</v>
          </cell>
          <cell r="K364">
            <v>622</v>
          </cell>
          <cell r="L364" t="str">
            <v>6IFTLA6</v>
          </cell>
          <cell r="M364">
            <v>2681873</v>
          </cell>
          <cell r="N364" t="str">
            <v xml:space="preserve">LAB DE APLICACIONES </v>
          </cell>
        </row>
        <row r="365">
          <cell r="B365" t="str">
            <v xml:space="preserve"> </v>
          </cell>
          <cell r="C365" t="str">
            <v>SUPLENTE</v>
          </cell>
          <cell r="D365" t="e">
            <v>#REF!</v>
          </cell>
          <cell r="E365" t="str">
            <v>PF</v>
          </cell>
          <cell r="F365">
            <v>20231517406</v>
          </cell>
          <cell r="G365" t="str">
            <v xml:space="preserve"> AVILA MAURO GASTÓN</v>
          </cell>
          <cell r="H365">
            <v>46111.306250000001</v>
          </cell>
          <cell r="I365" t="str">
            <v>---</v>
          </cell>
          <cell r="J365" t="str">
            <v>2°3°</v>
          </cell>
          <cell r="K365">
            <v>232</v>
          </cell>
          <cell r="L365" t="str">
            <v>2TST2</v>
          </cell>
          <cell r="M365">
            <v>2673124</v>
          </cell>
          <cell r="N365" t="str">
            <v>SISTEMAS TECNOLOGICOS</v>
          </cell>
        </row>
        <row r="366">
          <cell r="B366" t="str">
            <v xml:space="preserve"> </v>
          </cell>
          <cell r="C366" t="str">
            <v>SUPLENTE</v>
          </cell>
          <cell r="D366" t="e">
            <v>#REF!</v>
          </cell>
          <cell r="E366" t="str">
            <v>PF</v>
          </cell>
          <cell r="F366">
            <v>27288817427</v>
          </cell>
          <cell r="G366" t="str">
            <v>MIRTA GABRIELA ZEBALLOS</v>
          </cell>
          <cell r="H366">
            <v>46111.306250000001</v>
          </cell>
          <cell r="I366" t="str">
            <v>--</v>
          </cell>
          <cell r="J366" t="str">
            <v>2°3°</v>
          </cell>
          <cell r="K366">
            <v>231</v>
          </cell>
          <cell r="L366" t="str">
            <v>2TST2</v>
          </cell>
          <cell r="M366">
            <v>2673119</v>
          </cell>
          <cell r="N366" t="str">
            <v>SISTEMAS TECNOLOGICOS</v>
          </cell>
        </row>
        <row r="367">
          <cell r="B367" t="str">
            <v xml:space="preserve"> </v>
          </cell>
          <cell r="C367" t="str">
            <v>SUPLENTE</v>
          </cell>
          <cell r="D367" t="e">
            <v>#REF!</v>
          </cell>
          <cell r="E367" t="str">
            <v>PF</v>
          </cell>
          <cell r="F367">
            <v>27404002304</v>
          </cell>
          <cell r="G367" t="str">
            <v>BARROS MELANIE</v>
          </cell>
          <cell r="H367">
            <v>46110.879166666666</v>
          </cell>
          <cell r="I367">
            <v>45967.745833333334</v>
          </cell>
          <cell r="J367" t="str">
            <v>4°4°</v>
          </cell>
          <cell r="L367" t="str">
            <v>4ELITS</v>
          </cell>
          <cell r="M367">
            <v>733426</v>
          </cell>
          <cell r="N367" t="str">
            <v>LITERATURA</v>
          </cell>
        </row>
        <row r="368">
          <cell r="B368" t="str">
            <v xml:space="preserve"> </v>
          </cell>
          <cell r="C368" t="str">
            <v>SUPLENTE</v>
          </cell>
          <cell r="D368" t="e">
            <v>#REF!</v>
          </cell>
          <cell r="E368" t="str">
            <v>PF</v>
          </cell>
          <cell r="F368">
            <v>27383711911</v>
          </cell>
          <cell r="G368" t="str">
            <v>ROMERO ROXANA VERÓNICA</v>
          </cell>
          <cell r="H368" t="str">
            <v xml:space="preserve"> 28/03/2026 11:37</v>
          </cell>
          <cell r="I368" t="str">
            <v xml:space="preserve"> 28/03/2026 11:37</v>
          </cell>
          <cell r="J368" t="str">
            <v>4°1°</v>
          </cell>
          <cell r="L368" t="str">
            <v>4ILITS</v>
          </cell>
          <cell r="M368">
            <v>733437</v>
          </cell>
          <cell r="N368" t="str">
            <v>LITERATURA</v>
          </cell>
        </row>
        <row r="369">
          <cell r="B369" t="str">
            <v xml:space="preserve"> </v>
          </cell>
          <cell r="C369" t="str">
            <v>SUPLENTE</v>
          </cell>
          <cell r="D369" t="e">
            <v>#REF!</v>
          </cell>
          <cell r="E369" t="str">
            <v>PF</v>
          </cell>
          <cell r="F369">
            <v>20231517406</v>
          </cell>
          <cell r="G369" t="str">
            <v xml:space="preserve"> AVILA MAURO GASTÓN</v>
          </cell>
          <cell r="H369">
            <v>46111.306250000001</v>
          </cell>
          <cell r="I369">
            <v>46111.306250000001</v>
          </cell>
          <cell r="J369" t="str">
            <v>2°2°</v>
          </cell>
          <cell r="K369">
            <v>221</v>
          </cell>
          <cell r="L369" t="str">
            <v>2TST2</v>
          </cell>
          <cell r="M369">
            <v>2673402</v>
          </cell>
          <cell r="N369" t="str">
            <v>SISTEMAS TECNOLOGICOS</v>
          </cell>
        </row>
        <row r="370">
          <cell r="B370" t="str">
            <v xml:space="preserve"> </v>
          </cell>
          <cell r="C370" t="str">
            <v>SUPLENTE</v>
          </cell>
          <cell r="D370" t="e">
            <v>#REF!</v>
          </cell>
          <cell r="E370" t="str">
            <v>PF</v>
          </cell>
          <cell r="F370">
            <v>27380843116</v>
          </cell>
          <cell r="G370" t="str">
            <v>GONZALEZ ROCIO NATALIA</v>
          </cell>
          <cell r="H370">
            <v>46108.430555555555</v>
          </cell>
          <cell r="I370" t="str">
            <v>--</v>
          </cell>
          <cell r="J370" t="str">
            <v>5°5°</v>
          </cell>
          <cell r="L370" t="str">
            <v>5IHIS5</v>
          </cell>
          <cell r="M370">
            <v>1643750</v>
          </cell>
          <cell r="N370" t="str">
            <v>HISTORIA</v>
          </cell>
        </row>
        <row r="371">
          <cell r="B371" t="str">
            <v xml:space="preserve"> </v>
          </cell>
          <cell r="C371" t="str">
            <v>SUPLENTE</v>
          </cell>
          <cell r="D371" t="e">
            <v>#REF!</v>
          </cell>
          <cell r="E371" t="str">
            <v>PF</v>
          </cell>
          <cell r="F371">
            <v>20179125103</v>
          </cell>
          <cell r="G371" t="str">
            <v>AGUIRRE JUAN ANTONIO</v>
          </cell>
          <cell r="H371">
            <v>46107.668055555558</v>
          </cell>
          <cell r="I371">
            <v>46107.668055555558</v>
          </cell>
          <cell r="J371" t="str">
            <v>3°4°</v>
          </cell>
          <cell r="K371">
            <v>341</v>
          </cell>
          <cell r="L371" t="str">
            <v>3TST3</v>
          </cell>
          <cell r="M371">
            <v>2683084</v>
          </cell>
          <cell r="N371" t="str">
            <v>SISTEMAS TECNOLOGICOS</v>
          </cell>
        </row>
        <row r="372">
          <cell r="B372" t="str">
            <v xml:space="preserve"> </v>
          </cell>
          <cell r="C372" t="str">
            <v>SUPLENTE</v>
          </cell>
          <cell r="D372" t="e">
            <v>#REF!</v>
          </cell>
          <cell r="E372" t="str">
            <v>PF</v>
          </cell>
          <cell r="F372">
            <v>27356462756</v>
          </cell>
          <cell r="G372" t="str">
            <v>BECERRO PERLA FLORENCIA</v>
          </cell>
          <cell r="H372">
            <v>46104.828472222223</v>
          </cell>
          <cell r="I372" t="str">
            <v>--</v>
          </cell>
          <cell r="J372" t="str">
            <v>1°4°</v>
          </cell>
          <cell r="L372" t="str">
            <v>1LEN</v>
          </cell>
          <cell r="M372">
            <v>1492411</v>
          </cell>
          <cell r="N372" t="str">
            <v>PRACTICA DEL LENGUAJE</v>
          </cell>
        </row>
        <row r="373">
          <cell r="B373" t="str">
            <v xml:space="preserve"> </v>
          </cell>
          <cell r="C373" t="str">
            <v>SUPLENTE</v>
          </cell>
          <cell r="D373" t="e">
            <v>#REF!</v>
          </cell>
          <cell r="E373" t="str">
            <v>PF</v>
          </cell>
          <cell r="F373">
            <v>27309531022</v>
          </cell>
          <cell r="G373" t="str">
            <v>SANTILLAN ESTELA ISIDORA</v>
          </cell>
          <cell r="H373">
            <v>46101.775694444441</v>
          </cell>
          <cell r="I373" t="str">
            <v>---</v>
          </cell>
          <cell r="J373" t="str">
            <v>3°3°</v>
          </cell>
          <cell r="L373" t="str">
            <v>3PLG</v>
          </cell>
          <cell r="M373">
            <v>1913986</v>
          </cell>
          <cell r="N373" t="str">
            <v>PRACTICA DEL LENGUAJE</v>
          </cell>
        </row>
        <row r="374">
          <cell r="B374" t="str">
            <v xml:space="preserve"> </v>
          </cell>
          <cell r="C374" t="str">
            <v>SUPLENTE</v>
          </cell>
          <cell r="D374" t="e">
            <v>#REF!</v>
          </cell>
          <cell r="E374" t="str">
            <v>PF</v>
          </cell>
          <cell r="F374">
            <v>27378801678</v>
          </cell>
          <cell r="G374" t="str">
            <v>AGUIRRE ISABEL ITATI</v>
          </cell>
          <cell r="H374" t="str">
            <v xml:space="preserve"> 25/03/2026 14:48</v>
          </cell>
          <cell r="I374" t="str">
            <v>---</v>
          </cell>
          <cell r="J374" t="str">
            <v>4°2°</v>
          </cell>
          <cell r="K374">
            <v>421</v>
          </cell>
          <cell r="L374" t="str">
            <v>4IFTLS4</v>
          </cell>
          <cell r="M374">
            <v>2680162</v>
          </cell>
          <cell r="N374" t="str">
            <v xml:space="preserve">LAB DE SIST OPERATIVOS   </v>
          </cell>
        </row>
        <row r="375">
          <cell r="B375" t="str">
            <v xml:space="preserve"> </v>
          </cell>
          <cell r="C375" t="str">
            <v>SUPLENTE</v>
          </cell>
          <cell r="D375" t="e">
            <v>#REF!</v>
          </cell>
          <cell r="E375" t="str">
            <v>PF</v>
          </cell>
          <cell r="F375">
            <v>23431049104</v>
          </cell>
          <cell r="G375" t="str">
            <v xml:space="preserve"> ANA CELESTE ROJAS</v>
          </cell>
          <cell r="H375">
            <v>46102.862500000003</v>
          </cell>
          <cell r="I375" t="str">
            <v>---</v>
          </cell>
          <cell r="J375" t="str">
            <v>1°3°</v>
          </cell>
          <cell r="L375" t="str">
            <v>1LEN</v>
          </cell>
          <cell r="M375">
            <v>733507</v>
          </cell>
          <cell r="N375" t="str">
            <v>PRACTICA DEL LENGUAJE</v>
          </cell>
        </row>
        <row r="376">
          <cell r="B376" t="str">
            <v xml:space="preserve"> </v>
          </cell>
          <cell r="C376" t="str">
            <v>SUPLENTE</v>
          </cell>
          <cell r="D376" t="e">
            <v>#REF!</v>
          </cell>
          <cell r="E376" t="str">
            <v>PF</v>
          </cell>
          <cell r="F376">
            <v>27356462756</v>
          </cell>
          <cell r="G376" t="str">
            <v>GIMENEZ MAMBRIN VALERIA EV</v>
          </cell>
          <cell r="H376">
            <v>46104.829861111109</v>
          </cell>
          <cell r="I376" t="str">
            <v>--</v>
          </cell>
          <cell r="J376" t="str">
            <v>3°5°</v>
          </cell>
          <cell r="L376" t="str">
            <v>3PLG</v>
          </cell>
          <cell r="M376">
            <v>2232470</v>
          </cell>
          <cell r="N376" t="str">
            <v>PRACTICA DEL LENGUAJE</v>
          </cell>
        </row>
        <row r="377">
          <cell r="B377" t="str">
            <v>2°3°2FI/QUIS</v>
          </cell>
          <cell r="C377" t="str">
            <v>SUPLENTE</v>
          </cell>
          <cell r="D377" t="e">
            <v>#REF!</v>
          </cell>
          <cell r="E377" t="str">
            <v>PF</v>
          </cell>
          <cell r="F377">
            <v>27309231800</v>
          </cell>
          <cell r="G377" t="str">
            <v xml:space="preserve">PEREYRA MARISA ALEJANDR </v>
          </cell>
          <cell r="H377" t="str">
            <v>--</v>
          </cell>
          <cell r="J377" t="str">
            <v>2°3°</v>
          </cell>
          <cell r="L377" t="str">
            <v>2FI/QUI</v>
          </cell>
          <cell r="M377">
            <v>1644158</v>
          </cell>
          <cell r="N377" t="str">
            <v>FISICO-QUIMICA</v>
          </cell>
        </row>
        <row r="378">
          <cell r="B378" t="str">
            <v>5°1°5115IFTLS5S</v>
          </cell>
          <cell r="C378" t="str">
            <v>SUPLENTE</v>
          </cell>
          <cell r="D378" t="e">
            <v>#REF!</v>
          </cell>
          <cell r="E378" t="str">
            <v>PF</v>
          </cell>
          <cell r="G378" t="str">
            <v>FERREIRA YESICA</v>
          </cell>
          <cell r="H378" t="str">
            <v>---</v>
          </cell>
          <cell r="J378" t="str">
            <v>5°1°</v>
          </cell>
          <cell r="K378">
            <v>511</v>
          </cell>
          <cell r="L378" t="str">
            <v>5IFTLS5</v>
          </cell>
          <cell r="M378">
            <v>2543656</v>
          </cell>
          <cell r="N378" t="str">
            <v>LAB DE SIST OPERATIVOS</v>
          </cell>
        </row>
        <row r="379">
          <cell r="B379" t="str">
            <v>6°1°6116IFHLS6S</v>
          </cell>
          <cell r="C379" t="str">
            <v>SUPLENTE</v>
          </cell>
          <cell r="D379" t="e">
            <v>#REF!</v>
          </cell>
          <cell r="E379" t="str">
            <v>PF</v>
          </cell>
          <cell r="G379" t="str">
            <v>VILLALVA ESTEBAN</v>
          </cell>
          <cell r="H379" t="str">
            <v>---</v>
          </cell>
          <cell r="J379" t="str">
            <v>6°1°</v>
          </cell>
          <cell r="K379">
            <v>611</v>
          </cell>
          <cell r="L379" t="str">
            <v>6IFHLS6</v>
          </cell>
          <cell r="M379">
            <v>2680838</v>
          </cell>
          <cell r="N379" t="str">
            <v xml:space="preserve">LAB DE SIST OPERATIVOS </v>
          </cell>
        </row>
        <row r="380">
          <cell r="B380" t="str">
            <v>1°4°1411TLTS</v>
          </cell>
          <cell r="C380" t="str">
            <v>SUPLENTE</v>
          </cell>
          <cell r="D380" t="e">
            <v>#REF!</v>
          </cell>
          <cell r="E380" t="str">
            <v>PF</v>
          </cell>
          <cell r="G380" t="str">
            <v xml:space="preserve">VERA LORENA </v>
          </cell>
          <cell r="H380" t="str">
            <v>---</v>
          </cell>
          <cell r="J380" t="str">
            <v>1°4°</v>
          </cell>
          <cell r="K380">
            <v>141</v>
          </cell>
          <cell r="L380" t="str">
            <v>1TLT</v>
          </cell>
          <cell r="M380">
            <v>1493350</v>
          </cell>
          <cell r="N380" t="str">
            <v>LENGUAJES TECNOLOGICOS</v>
          </cell>
        </row>
        <row r="381">
          <cell r="G381" t="str">
            <v xml:space="preserve">VERA LORENA    </v>
          </cell>
        </row>
        <row r="382">
          <cell r="B382" t="str">
            <v>4°2°4IQUISS</v>
          </cell>
          <cell r="C382" t="str">
            <v>SUPLENTE</v>
          </cell>
          <cell r="D382" t="e">
            <v>#REF!</v>
          </cell>
          <cell r="E382" t="str">
            <v>PF</v>
          </cell>
          <cell r="F382">
            <v>20311451163</v>
          </cell>
          <cell r="G382" t="str">
            <v>CASCIANO CLAUDIO RUBEN</v>
          </cell>
          <cell r="H382">
            <v>46094.263888888891</v>
          </cell>
          <cell r="J382" t="str">
            <v>4°2°</v>
          </cell>
          <cell r="L382" t="str">
            <v>4IQUIS</v>
          </cell>
          <cell r="M382">
            <v>733408</v>
          </cell>
          <cell r="N382" t="str">
            <v>QUIMICA</v>
          </cell>
        </row>
        <row r="383">
          <cell r="F383" t="str">
            <v xml:space="preserve"> </v>
          </cell>
        </row>
        <row r="384">
          <cell r="B384" t="str">
            <v xml:space="preserve"> </v>
          </cell>
          <cell r="C384" t="str">
            <v>SUPLENTE</v>
          </cell>
          <cell r="D384" t="e">
            <v>#REF!</v>
          </cell>
          <cell r="E384" t="str">
            <v>PF</v>
          </cell>
          <cell r="F384">
            <v>27309531022</v>
          </cell>
          <cell r="G384" t="str">
            <v xml:space="preserve">SANTILLAN ESTELA ISIDORA   </v>
          </cell>
          <cell r="H384" t="str">
            <v>----</v>
          </cell>
          <cell r="I384" t="str">
            <v>----</v>
          </cell>
          <cell r="J384" t="str">
            <v>3°1°</v>
          </cell>
          <cell r="L384" t="str">
            <v>3PLG</v>
          </cell>
          <cell r="M384">
            <v>733471</v>
          </cell>
          <cell r="N384" t="str">
            <v>PRACTICA DEL LENGUAJE</v>
          </cell>
        </row>
        <row r="385">
          <cell r="B385" t="str">
            <v>6°4°6416EFTED6S</v>
          </cell>
          <cell r="C385" t="str">
            <v>SUPLENTE</v>
          </cell>
          <cell r="D385" t="e">
            <v>#REF!</v>
          </cell>
          <cell r="E385" t="str">
            <v>PF</v>
          </cell>
          <cell r="F385">
            <v>20402521458</v>
          </cell>
          <cell r="G385" t="str">
            <v>GAUNA FEDERICO</v>
          </cell>
          <cell r="H385" t="str">
            <v>---</v>
          </cell>
          <cell r="J385" t="str">
            <v>6°4°</v>
          </cell>
          <cell r="K385">
            <v>641</v>
          </cell>
          <cell r="L385" t="str">
            <v>6EFTED6</v>
          </cell>
          <cell r="M385">
            <v>2683114</v>
          </cell>
          <cell r="N385" t="str">
            <v xml:space="preserve">APLIC ELECTR DIGITAL </v>
          </cell>
        </row>
        <row r="386">
          <cell r="B386" t="str">
            <v xml:space="preserve"> </v>
          </cell>
          <cell r="C386" t="str">
            <v>SUPLENTE</v>
          </cell>
          <cell r="D386" t="e">
            <v>#REF!</v>
          </cell>
          <cell r="E386" t="str">
            <v>PF</v>
          </cell>
          <cell r="F386">
            <v>27324729963</v>
          </cell>
          <cell r="G386" t="str">
            <v xml:space="preserve"> LEDESMA VALERIA GISELE</v>
          </cell>
          <cell r="J386" t="str">
            <v>5°3°</v>
          </cell>
          <cell r="L386" t="str">
            <v>5EANMAT</v>
          </cell>
          <cell r="M386">
            <v>2355542</v>
          </cell>
          <cell r="N386" t="str">
            <v>ANALISIS MATEMATICO</v>
          </cell>
        </row>
        <row r="387">
          <cell r="B387" t="str">
            <v xml:space="preserve"> </v>
          </cell>
          <cell r="C387" t="str">
            <v>SUPLENTE</v>
          </cell>
          <cell r="D387" t="e">
            <v>#REF!</v>
          </cell>
          <cell r="E387" t="str">
            <v>PF</v>
          </cell>
          <cell r="F387">
            <v>27418921442</v>
          </cell>
          <cell r="G387" t="str">
            <v>AGUSTINA FLORENCIA SERRANO</v>
          </cell>
          <cell r="H387" t="str">
            <v>---</v>
          </cell>
          <cell r="I387" t="str">
            <v>,,</v>
          </cell>
          <cell r="J387" t="str">
            <v>2°1°</v>
          </cell>
          <cell r="K387">
            <v>211</v>
          </cell>
          <cell r="L387" t="str">
            <v>2TPT2</v>
          </cell>
          <cell r="M387">
            <v>2683128</v>
          </cell>
          <cell r="N387" t="str">
            <v>PROCEDIMIENTOS TECNICOS</v>
          </cell>
        </row>
        <row r="388">
          <cell r="B388" t="str">
            <v>5°3°5EGEOS5S</v>
          </cell>
          <cell r="C388" t="str">
            <v>SUPLENTE</v>
          </cell>
          <cell r="D388" t="e">
            <v>#REF!</v>
          </cell>
          <cell r="E388" t="str">
            <v>PF</v>
          </cell>
          <cell r="F388">
            <v>20274525917</v>
          </cell>
          <cell r="G388" t="str">
            <v xml:space="preserve"> DIAZ MARCOS</v>
          </cell>
          <cell r="H388" t="str">
            <v>---</v>
          </cell>
          <cell r="J388" t="str">
            <v>5°3°</v>
          </cell>
          <cell r="L388" t="str">
            <v>5EGEOS5</v>
          </cell>
          <cell r="M388">
            <v>2355540</v>
          </cell>
          <cell r="N388" t="str">
            <v>GEOGRAFIA</v>
          </cell>
        </row>
        <row r="390">
          <cell r="B390" t="str">
            <v xml:space="preserve"> </v>
          </cell>
          <cell r="C390" t="str">
            <v>SUPLENTE</v>
          </cell>
          <cell r="D390" t="e">
            <v>#REF!</v>
          </cell>
          <cell r="E390" t="str">
            <v>PF</v>
          </cell>
          <cell r="F390">
            <v>27373875584</v>
          </cell>
          <cell r="G390" t="str">
            <v>CASTILLO MARISOL ANABEL</v>
          </cell>
          <cell r="H390" t="str">
            <v>---</v>
          </cell>
          <cell r="I390">
            <v>0</v>
          </cell>
          <cell r="J390" t="str">
            <v>1°1°</v>
          </cell>
          <cell r="K390">
            <v>112</v>
          </cell>
          <cell r="L390" t="str">
            <v>1TST</v>
          </cell>
          <cell r="M390">
            <v>2673016</v>
          </cell>
          <cell r="N390" t="str">
            <v>SISTEMAS TECNOLOGICOS</v>
          </cell>
        </row>
        <row r="391">
          <cell r="B391" t="str">
            <v xml:space="preserve"> </v>
          </cell>
          <cell r="C391" t="str">
            <v>SUPLENTE</v>
          </cell>
          <cell r="D391" t="e">
            <v>#REF!</v>
          </cell>
          <cell r="E391" t="str">
            <v>PF</v>
          </cell>
          <cell r="F391">
            <v>27309231800</v>
          </cell>
          <cell r="G391" t="str">
            <v>QUEVEDO</v>
          </cell>
          <cell r="H391" t="str">
            <v>--</v>
          </cell>
          <cell r="I391" t="str">
            <v>--</v>
          </cell>
          <cell r="J391" t="str">
            <v>2°3°</v>
          </cell>
          <cell r="L391" t="str">
            <v>2ART</v>
          </cell>
          <cell r="M391">
            <v>807722</v>
          </cell>
          <cell r="N391" t="str">
            <v>EDUCACION ARTISTICA (PLASTICA)</v>
          </cell>
        </row>
        <row r="392">
          <cell r="B392" t="str">
            <v xml:space="preserve"> </v>
          </cell>
          <cell r="C392" t="str">
            <v>SUPLENTE</v>
          </cell>
          <cell r="D392" t="e">
            <v>#REF!</v>
          </cell>
          <cell r="E392" t="str">
            <v>PF</v>
          </cell>
          <cell r="F392">
            <v>27309832383</v>
          </cell>
          <cell r="G392" t="str">
            <v xml:space="preserve">RODRIGUEZ MERCEDES NATALIA  </v>
          </cell>
          <cell r="J392" t="str">
            <v>4°1°</v>
          </cell>
          <cell r="L392" t="str">
            <v>4IQUIS</v>
          </cell>
          <cell r="M392">
            <v>733716</v>
          </cell>
          <cell r="N392" t="str">
            <v>QUIMICA</v>
          </cell>
        </row>
        <row r="393">
          <cell r="B393" t="str">
            <v xml:space="preserve"> </v>
          </cell>
          <cell r="C393" t="str">
            <v>SUPLENTE</v>
          </cell>
          <cell r="D393" t="e">
            <v>#REF!</v>
          </cell>
          <cell r="E393" t="str">
            <v>PF</v>
          </cell>
          <cell r="F393">
            <v>20238846375</v>
          </cell>
          <cell r="G393" t="str">
            <v>ESPINDOLA SERGIO DANIEL</v>
          </cell>
          <cell r="H393">
            <v>46181.970833333333</v>
          </cell>
          <cell r="I393" t="str">
            <v>DDD</v>
          </cell>
          <cell r="J393" t="str">
            <v>5°3°</v>
          </cell>
          <cell r="L393" t="str">
            <v>5EANMAT</v>
          </cell>
          <cell r="M393">
            <v>2355542</v>
          </cell>
          <cell r="N393" t="str">
            <v>ANALISIS MATEMATICO</v>
          </cell>
        </row>
        <row r="394">
          <cell r="B394" t="str">
            <v>4°1°4IQUISS</v>
          </cell>
          <cell r="C394" t="str">
            <v>SUPLENTE</v>
          </cell>
          <cell r="D394" t="e">
            <v>#REF!</v>
          </cell>
          <cell r="E394" t="str">
            <v>PF</v>
          </cell>
          <cell r="F394">
            <v>27309832383</v>
          </cell>
          <cell r="G394" t="str">
            <v>RODRIGUEZ MERCEDES NATALIA</v>
          </cell>
          <cell r="H394">
            <v>46098.396527777775</v>
          </cell>
          <cell r="J394" t="str">
            <v>4°1°</v>
          </cell>
          <cell r="L394" t="str">
            <v>4IQUIS</v>
          </cell>
          <cell r="M394">
            <v>733716</v>
          </cell>
          <cell r="N394" t="str">
            <v>QUIMICA</v>
          </cell>
        </row>
        <row r="395">
          <cell r="B395" t="str">
            <v>3°1°3123TST3S</v>
          </cell>
          <cell r="C395" t="str">
            <v>SUPLENTE</v>
          </cell>
          <cell r="D395" t="e">
            <v>#REF!</v>
          </cell>
          <cell r="E395" t="str">
            <v>PF</v>
          </cell>
          <cell r="F395">
            <v>27288817427</v>
          </cell>
          <cell r="G395" t="str">
            <v>MIRTA GABRIELA ZEBALLOS</v>
          </cell>
          <cell r="H395" t="str">
            <v>----</v>
          </cell>
          <cell r="J395" t="str">
            <v>3°1°</v>
          </cell>
          <cell r="K395">
            <v>312</v>
          </cell>
          <cell r="L395" t="str">
            <v>3TST3</v>
          </cell>
          <cell r="M395">
            <v>2682850</v>
          </cell>
          <cell r="N395" t="str">
            <v>SISTEMAS TECNOLOGICOS</v>
          </cell>
        </row>
        <row r="396">
          <cell r="B396" t="str">
            <v>3°1°3123TLT3S</v>
          </cell>
          <cell r="C396" t="str">
            <v>SUPLENTE</v>
          </cell>
          <cell r="D396" t="e">
            <v>#REF!</v>
          </cell>
          <cell r="E396" t="str">
            <v>PF</v>
          </cell>
          <cell r="F396">
            <v>20238846375</v>
          </cell>
          <cell r="G396" t="str">
            <v>ESPINDOLA SERGIO DANIEL</v>
          </cell>
          <cell r="H396" t="str">
            <v>----</v>
          </cell>
          <cell r="J396" t="str">
            <v>3°1°</v>
          </cell>
          <cell r="K396">
            <v>312</v>
          </cell>
          <cell r="L396" t="str">
            <v>3TLT3</v>
          </cell>
          <cell r="M396">
            <v>2682848</v>
          </cell>
          <cell r="N396" t="str">
            <v>LENGUAJES TECNOLOGICOS</v>
          </cell>
        </row>
        <row r="397">
          <cell r="B397" t="str">
            <v>2°3°2322TPT2S</v>
          </cell>
          <cell r="C397" t="str">
            <v>SUPLENTE</v>
          </cell>
          <cell r="D397" t="e">
            <v>#REF!</v>
          </cell>
          <cell r="E397" t="str">
            <v>PF</v>
          </cell>
          <cell r="F397">
            <v>20238846375</v>
          </cell>
          <cell r="G397" t="str">
            <v>BECERRO GUSTAVO ALEJANDRO</v>
          </cell>
          <cell r="H397" t="str">
            <v>----</v>
          </cell>
          <cell r="J397" t="str">
            <v>2°3°</v>
          </cell>
          <cell r="K397">
            <v>232</v>
          </cell>
          <cell r="L397" t="str">
            <v>2TPT2</v>
          </cell>
          <cell r="M397">
            <v>2672126</v>
          </cell>
          <cell r="N397" t="str">
            <v>PROCEDIMIENTOS TECNICOS</v>
          </cell>
        </row>
        <row r="398">
          <cell r="B398" t="str">
            <v>4°2°4IHISS</v>
          </cell>
          <cell r="C398" t="str">
            <v>SUPLENTE</v>
          </cell>
          <cell r="D398" t="e">
            <v>#REF!</v>
          </cell>
          <cell r="E398" t="str">
            <v>PF</v>
          </cell>
          <cell r="F398">
            <v>27301808394</v>
          </cell>
          <cell r="G398" t="str">
            <v>GILES NATALIA</v>
          </cell>
          <cell r="H398" t="str">
            <v>----</v>
          </cell>
          <cell r="J398" t="str">
            <v>4°2°</v>
          </cell>
          <cell r="L398" t="str">
            <v>4IHIS</v>
          </cell>
          <cell r="M398">
            <v>733419</v>
          </cell>
          <cell r="N398" t="str">
            <v>HISTORIA</v>
          </cell>
        </row>
        <row r="399">
          <cell r="B399" t="str">
            <v>3°1°3113TLT3S</v>
          </cell>
          <cell r="C399" t="str">
            <v>SUPLENTE</v>
          </cell>
          <cell r="D399" t="e">
            <v>#REF!</v>
          </cell>
          <cell r="E399" t="str">
            <v>PF</v>
          </cell>
          <cell r="F399">
            <v>20445049736</v>
          </cell>
          <cell r="G399" t="str">
            <v xml:space="preserve"> OSORIO FRANCO PATRICIO</v>
          </cell>
          <cell r="H399" t="str">
            <v>----</v>
          </cell>
          <cell r="J399" t="str">
            <v>3°1°</v>
          </cell>
          <cell r="K399">
            <v>311</v>
          </cell>
          <cell r="L399" t="str">
            <v>3TLT3</v>
          </cell>
          <cell r="M399">
            <v>2682842</v>
          </cell>
          <cell r="N399" t="str">
            <v>LENGUAJES TECNOLOGICOS</v>
          </cell>
        </row>
        <row r="400">
          <cell r="B400" t="str">
            <v>3°3°3313TLT3S</v>
          </cell>
          <cell r="C400" t="str">
            <v>SUPLENTE</v>
          </cell>
          <cell r="D400" t="e">
            <v>#REF!</v>
          </cell>
          <cell r="E400" t="str">
            <v>PF</v>
          </cell>
          <cell r="F400">
            <v>20445049736</v>
          </cell>
          <cell r="G400" t="str">
            <v>MARCELO ELIAN GONZÁLEZ BALDERRAMA</v>
          </cell>
          <cell r="H400" t="str">
            <v>----</v>
          </cell>
          <cell r="J400" t="str">
            <v>3°3°</v>
          </cell>
          <cell r="K400">
            <v>331</v>
          </cell>
          <cell r="L400" t="str">
            <v>3TLT3</v>
          </cell>
          <cell r="M400">
            <v>1913987</v>
          </cell>
          <cell r="N400" t="str">
            <v>LENGUAJES TECNOLOGICOS</v>
          </cell>
        </row>
        <row r="401">
          <cell r="B401" t="str">
            <v>1°1°1111TPTS</v>
          </cell>
          <cell r="C401" t="str">
            <v>SUPLENTE</v>
          </cell>
          <cell r="D401" t="e">
            <v>#REF!</v>
          </cell>
          <cell r="E401" t="str">
            <v>PF</v>
          </cell>
          <cell r="F401">
            <v>20445049736</v>
          </cell>
          <cell r="G401" t="str">
            <v>LUCAS NICOLÁS ARGÜELLO</v>
          </cell>
          <cell r="H401" t="str">
            <v>----</v>
          </cell>
          <cell r="J401" t="str">
            <v>1°1°</v>
          </cell>
          <cell r="K401">
            <v>111</v>
          </cell>
          <cell r="L401" t="str">
            <v>1TPT</v>
          </cell>
          <cell r="M401">
            <v>2673013</v>
          </cell>
          <cell r="N401" t="str">
            <v>PROCEDIMIENTOS TECNICOS</v>
          </cell>
        </row>
        <row r="402">
          <cell r="B402" t="str">
            <v>1°3°1311TPTS</v>
          </cell>
          <cell r="C402" t="str">
            <v>SUPLENTE</v>
          </cell>
          <cell r="D402" t="e">
            <v>#REF!</v>
          </cell>
          <cell r="E402" t="str">
            <v>PF</v>
          </cell>
          <cell r="G402" t="str">
            <v xml:space="preserve"> ESPINDOLA SERGIO DANIEL</v>
          </cell>
          <cell r="H402" t="str">
            <v>----</v>
          </cell>
          <cell r="J402" t="str">
            <v>1°3°</v>
          </cell>
          <cell r="K402">
            <v>131</v>
          </cell>
          <cell r="L402" t="str">
            <v>1TPT</v>
          </cell>
          <cell r="M402">
            <v>2673079</v>
          </cell>
          <cell r="N402" t="str">
            <v>PROCEDIMIENTOS TECNICOS</v>
          </cell>
        </row>
        <row r="403">
          <cell r="B403" t="str">
            <v>1°3°1321TPTS</v>
          </cell>
          <cell r="C403" t="str">
            <v>SUPLENTE</v>
          </cell>
          <cell r="D403" t="e">
            <v>#REF!</v>
          </cell>
          <cell r="E403" t="str">
            <v>PF</v>
          </cell>
          <cell r="G403" t="str">
            <v>GENARO ARIEL AVILA SANTILLAN</v>
          </cell>
          <cell r="H403" t="str">
            <v>----</v>
          </cell>
          <cell r="J403" t="str">
            <v>1°3°</v>
          </cell>
          <cell r="K403">
            <v>132</v>
          </cell>
          <cell r="L403" t="str">
            <v>1TPT</v>
          </cell>
          <cell r="M403">
            <v>2673079</v>
          </cell>
          <cell r="N403" t="str">
            <v>PROCEDIMIENTOS TECNICOS</v>
          </cell>
        </row>
        <row r="404">
          <cell r="B404" t="str">
            <v>2°1°2BIOS</v>
          </cell>
          <cell r="C404" t="str">
            <v>SUPLENTE</v>
          </cell>
          <cell r="D404" t="e">
            <v>#REF!</v>
          </cell>
          <cell r="E404" t="str">
            <v>PF</v>
          </cell>
          <cell r="G404" t="str">
            <v>FARIAS CLAUDIA</v>
          </cell>
          <cell r="H404" t="str">
            <v>----</v>
          </cell>
          <cell r="J404" t="str">
            <v>2°1°</v>
          </cell>
          <cell r="L404" t="str">
            <v>2BIO</v>
          </cell>
          <cell r="M404">
            <v>1642764</v>
          </cell>
          <cell r="N404" t="str">
            <v>BIOLOGIA</v>
          </cell>
        </row>
        <row r="405">
          <cell r="B405" t="str">
            <v>2°1°2112TLT2S</v>
          </cell>
          <cell r="C405" t="str">
            <v>SUPLENTE</v>
          </cell>
          <cell r="D405" t="e">
            <v>#REF!</v>
          </cell>
          <cell r="E405" t="str">
            <v>PF</v>
          </cell>
          <cell r="F405">
            <v>20426267994</v>
          </cell>
          <cell r="G405" t="str">
            <v xml:space="preserve">MARCELO ELIAN GONZÁLEZ BALDERRAMA  </v>
          </cell>
          <cell r="H405" t="str">
            <v xml:space="preserve"> 20/08/2026 21:06</v>
          </cell>
          <cell r="J405" t="str">
            <v>2°1°</v>
          </cell>
          <cell r="K405">
            <v>211</v>
          </cell>
          <cell r="L405" t="str">
            <v>2TLT2</v>
          </cell>
          <cell r="M405">
            <v>2683126</v>
          </cell>
          <cell r="N405" t="str">
            <v>LENGUAJES TECNOLOGICOS</v>
          </cell>
        </row>
        <row r="406">
          <cell r="B406" t="str">
            <v>2°1°2CCDS</v>
          </cell>
          <cell r="C406" t="str">
            <v>SUPLENTE</v>
          </cell>
          <cell r="D406" t="e">
            <v>#REF!</v>
          </cell>
          <cell r="E406" t="str">
            <v>PF</v>
          </cell>
          <cell r="F406">
            <v>27310342306</v>
          </cell>
          <cell r="G406" t="str">
            <v>LEDO VIVIANA SOLEDAD</v>
          </cell>
          <cell r="H406" t="str">
            <v xml:space="preserve"> 20/08/2026 21:06</v>
          </cell>
          <cell r="J406" t="str">
            <v>2°1°</v>
          </cell>
          <cell r="L406" t="str">
            <v>2CCD</v>
          </cell>
          <cell r="M406">
            <v>2683134</v>
          </cell>
          <cell r="N406" t="str">
            <v>CONSTRUCCION DE LA CIUDADANIA</v>
          </cell>
        </row>
        <row r="1048559">
          <cell r="D1048559" t="e">
            <v>#REF!</v>
          </cell>
        </row>
        <row r="1048563">
          <cell r="H1048563" t="str">
            <v>--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>
        <row r="1">
          <cell r="B1" t="str">
            <v>docente</v>
          </cell>
          <cell r="C1" t="str">
            <v>fecha_inicio</v>
          </cell>
          <cell r="D1" t="str">
            <v>fecha_final</v>
          </cell>
          <cell r="E1" t="str">
            <v>estado</v>
          </cell>
        </row>
        <row r="2">
          <cell r="B2" t="str">
            <v xml:space="preserve">AGUILERA CRISTINA                      </v>
          </cell>
          <cell r="C2" t="str">
            <v>---</v>
          </cell>
          <cell r="D2">
            <v>0</v>
          </cell>
          <cell r="E2" t="str">
            <v>licencia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B3" t="str">
            <v xml:space="preserve">SOSA SILVIA BEATRIZ </v>
          </cell>
          <cell r="C3" t="str">
            <v>---</v>
          </cell>
          <cell r="D3">
            <v>44895</v>
          </cell>
          <cell r="E3" t="str">
            <v xml:space="preserve">  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B4" t="str">
            <v xml:space="preserve">RODRIGUEZ COLUCIGNO, </v>
          </cell>
          <cell r="C4" t="str">
            <v>---</v>
          </cell>
          <cell r="D4">
            <v>0</v>
          </cell>
          <cell r="E4" t="str">
            <v>licencia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C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T494"/>
  <sheetViews>
    <sheetView tabSelected="1" zoomScaleNormal="100" zoomScaleSheetLayoutView="130" workbookViewId="0">
      <selection activeCell="J156" sqref="J156"/>
    </sheetView>
  </sheetViews>
  <sheetFormatPr baseColWidth="10" defaultRowHeight="21.75" customHeight="1"/>
  <cols>
    <col min="1" max="1" width="9.42578125" customWidth="1"/>
    <col min="2" max="2" width="4.140625" customWidth="1"/>
    <col min="3" max="3" width="3.7109375" customWidth="1"/>
    <col min="4" max="4" width="9.85546875" customWidth="1"/>
    <col min="5" max="5" width="6.85546875" customWidth="1"/>
    <col min="6" max="6" width="21.42578125" customWidth="1"/>
    <col min="7" max="8" width="9.28515625" customWidth="1"/>
    <col min="9" max="9" width="15.7109375" style="20" customWidth="1"/>
    <col min="10" max="10" width="24" style="20" customWidth="1"/>
    <col min="11" max="11" width="16.85546875" style="20" customWidth="1"/>
    <col min="12" max="12" width="14.28515625" style="23" bestFit="1" customWidth="1"/>
    <col min="13" max="13" width="16.28515625" style="20" customWidth="1"/>
    <col min="14" max="14" width="12.42578125" style="20" customWidth="1"/>
    <col min="15" max="15" width="17.140625" style="18" customWidth="1"/>
    <col min="16" max="16" width="15.5703125" customWidth="1"/>
    <col min="17" max="17" width="30.42578125" customWidth="1"/>
    <col min="18" max="18" width="3.5703125" customWidth="1"/>
    <col min="19" max="19" width="6.5703125" bestFit="1" customWidth="1"/>
  </cols>
  <sheetData>
    <row r="1" spans="1:20" s="13" customFormat="1" ht="30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9" t="s">
        <v>8</v>
      </c>
      <c r="J1" s="19" t="s">
        <v>9</v>
      </c>
      <c r="K1" s="19" t="s">
        <v>10</v>
      </c>
      <c r="L1" s="21" t="s">
        <v>11</v>
      </c>
      <c r="M1" s="19" t="s">
        <v>12</v>
      </c>
      <c r="N1" s="19" t="s">
        <v>13</v>
      </c>
      <c r="O1" s="15" t="s">
        <v>740</v>
      </c>
      <c r="P1" s="11" t="s">
        <v>748</v>
      </c>
      <c r="Q1" s="12" t="s">
        <v>605</v>
      </c>
      <c r="T1" s="14" t="s">
        <v>672</v>
      </c>
    </row>
    <row r="2" spans="1:20" ht="18.75" hidden="1" customHeight="1">
      <c r="A2" s="3" t="str">
        <f t="shared" ref="A2:A9" si="0">CONCATENATE(B2,C2,D2)</f>
        <v>1°1°1NAT</v>
      </c>
      <c r="B2" s="3" t="s">
        <v>15</v>
      </c>
      <c r="C2" s="3"/>
      <c r="D2" s="3" t="s">
        <v>16</v>
      </c>
      <c r="E2" s="3">
        <v>733442</v>
      </c>
      <c r="F2" s="3" t="str">
        <f>VLOOKUP(D2,[1]Hoja1!$A:$K,11,0)</f>
        <v>CIENCIAS NATURALES</v>
      </c>
      <c r="G2" s="7" t="s">
        <v>67</v>
      </c>
      <c r="H2" s="7" t="s">
        <v>138</v>
      </c>
      <c r="I2" s="5" t="s">
        <v>68</v>
      </c>
      <c r="J2" s="5"/>
      <c r="K2" s="6"/>
      <c r="L2" s="5" t="str">
        <f>IFERROR(VLOOKUP(CONCATENATE(A2,"S"),[2]Hoja1!$B:$N,5,0)," ")</f>
        <v xml:space="preserve"> </v>
      </c>
      <c r="M2" s="6" t="str">
        <f>IFERROR(VLOOKUP(CONCATENATE(A2,"S"),[2]Hoja1!$B:$N,6,0)," ")</f>
        <v xml:space="preserve"> </v>
      </c>
      <c r="N2" s="4" t="str">
        <f t="shared" ref="N2:N9" si="1">IF((M2)=" ",IF(COUNTBLANK(K2),"TITULAR","PROVISIONAL"),"SUPLENTE")</f>
        <v>TITULAR</v>
      </c>
      <c r="O2" s="17" t="str">
        <f t="shared" ref="O2:O9" si="2">IF((M2)=" ",IF(COUNTBLANK(K2),I2,K2),M2)</f>
        <v xml:space="preserve">OLIVIERI NESTOR            </v>
      </c>
      <c r="P2" s="4" t="str">
        <f>IF(O2="vacante","vacante",IFERROR(IF(VLOOKUP(IF((M2)=" ",IF(COUNTBLANK(K2),I2,K2),M2),[3]Hoja1!$B:$I,4,0)="licencia","vacante"," ")," "))</f>
        <v xml:space="preserve"> </v>
      </c>
      <c r="Q2" s="4"/>
      <c r="R2">
        <f>IF(B2=B1,B1+1,1)</f>
        <v>1</v>
      </c>
      <c r="S2" t="str">
        <f t="shared" ref="S2:S9" si="3">CONCATENATE(B2,R2)</f>
        <v>1°1°1</v>
      </c>
    </row>
    <row r="3" spans="1:20" ht="18.75" hidden="1" customHeight="1">
      <c r="A3" s="3" t="str">
        <f t="shared" si="0"/>
        <v>1°1°1SOC</v>
      </c>
      <c r="B3" s="3" t="s">
        <v>15</v>
      </c>
      <c r="C3" s="3"/>
      <c r="D3" s="3" t="s">
        <v>20</v>
      </c>
      <c r="E3" s="3">
        <v>733445</v>
      </c>
      <c r="F3" s="3" t="str">
        <f>VLOOKUP(D3,[1]Hoja1!$A:$K,11,0)</f>
        <v>CIENCIAS SOCIALES</v>
      </c>
      <c r="G3" s="7" t="s">
        <v>584</v>
      </c>
      <c r="H3" s="7"/>
      <c r="I3" s="5" t="s">
        <v>701</v>
      </c>
      <c r="J3" s="5"/>
      <c r="K3" s="6"/>
      <c r="L3" s="5" t="str">
        <f>IFERROR(VLOOKUP(CONCATENATE(A3,"S"),[2]Hoja1!$B:$N,5,0)," ")</f>
        <v xml:space="preserve"> </v>
      </c>
      <c r="M3" s="6" t="str">
        <f>IFERROR(VLOOKUP(CONCATENATE(A3,"S"),[2]Hoja1!$B:$N,6,0)," ")</f>
        <v xml:space="preserve"> </v>
      </c>
      <c r="N3" s="4" t="str">
        <f t="shared" si="1"/>
        <v>TITULAR</v>
      </c>
      <c r="O3" s="17" t="str">
        <f t="shared" si="2"/>
        <v>PEREYRA, DANIEL</v>
      </c>
      <c r="P3" s="4" t="str">
        <f>IF(O3="vacante","vacante",IFERROR(IF(VLOOKUP(IF((M3)=" ",IF(COUNTBLANK(K3),I3,K3),M3),[3]Hoja1!$B:$I,4,0)="licencia","vacante"," ")," "))</f>
        <v xml:space="preserve"> </v>
      </c>
      <c r="Q3" s="4"/>
      <c r="R3">
        <f t="shared" ref="R3:R9" si="4">IF(B3=B2,R2+1,1)</f>
        <v>2</v>
      </c>
      <c r="S3" t="str">
        <f t="shared" si="3"/>
        <v>1°1°2</v>
      </c>
    </row>
    <row r="4" spans="1:20" ht="18.75" hidden="1" customHeight="1">
      <c r="A4" s="3" t="str">
        <f t="shared" si="0"/>
        <v>1°1°1ART</v>
      </c>
      <c r="B4" s="3" t="s">
        <v>15</v>
      </c>
      <c r="C4" s="3"/>
      <c r="D4" s="3" t="s">
        <v>21</v>
      </c>
      <c r="E4" s="3">
        <v>733478</v>
      </c>
      <c r="F4" s="3" t="str">
        <f>VLOOKUP(D4,[1]Hoja1!$A:$K,11,0)</f>
        <v>EDUCACION ARTISTICA (PLASTICA)</v>
      </c>
      <c r="G4" s="7" t="s">
        <v>22</v>
      </c>
      <c r="H4" s="7" t="str">
        <f>IFERROR(VLOOKUP(CONCATENATE(A4,"T"),[2]Hoja1!$B:$N,5,0)," ")</f>
        <v xml:space="preserve"> </v>
      </c>
      <c r="I4" s="5" t="s">
        <v>557</v>
      </c>
      <c r="J4" s="5"/>
      <c r="K4" s="6"/>
      <c r="L4" s="5">
        <f>IFERROR(VLOOKUP(CONCATENATE(A4,"S"),[2]Hoja1!$B:$N,5,0)," ")</f>
        <v>0</v>
      </c>
      <c r="M4" s="6" t="str">
        <f>IFERROR(VLOOKUP(CONCATENATE(A4,"S"),[2]Hoja1!$B:$N,6,0)," ")</f>
        <v xml:space="preserve">DESIMONI, JESICA                       </v>
      </c>
      <c r="N4" s="4" t="str">
        <f t="shared" si="1"/>
        <v>SUPLENTE</v>
      </c>
      <c r="O4" s="17" t="str">
        <f t="shared" si="2"/>
        <v xml:space="preserve">DESIMONI, JESICA                       </v>
      </c>
      <c r="P4" s="4" t="str">
        <f>IF(O4="vacante","vacante",IFERROR(IF(VLOOKUP(IF((M4)=" ",IF(COUNTBLANK(K4),I4,K4),M4),[3]Hoja1!$B:$I,4,0)="licencia","vacante"," ")," "))</f>
        <v xml:space="preserve"> </v>
      </c>
      <c r="Q4" s="4"/>
      <c r="R4">
        <f t="shared" si="4"/>
        <v>3</v>
      </c>
      <c r="S4" t="str">
        <f t="shared" si="3"/>
        <v>1°1°3</v>
      </c>
    </row>
    <row r="5" spans="1:20" ht="18.75" hidden="1" customHeight="1">
      <c r="A5" s="3" t="str">
        <f t="shared" si="0"/>
        <v>1°1°1EFI</v>
      </c>
      <c r="B5" s="3" t="s">
        <v>15</v>
      </c>
      <c r="C5" s="3"/>
      <c r="D5" s="3" t="s">
        <v>23</v>
      </c>
      <c r="E5" s="3">
        <v>891873</v>
      </c>
      <c r="F5" s="3" t="str">
        <f>VLOOKUP(D5,[1]Hoja1!$A:$K,11,0)</f>
        <v>EDUCACIÓN FISICA</v>
      </c>
      <c r="G5" s="7" t="s">
        <v>24</v>
      </c>
      <c r="H5" s="7"/>
      <c r="I5" s="5" t="s">
        <v>25</v>
      </c>
      <c r="J5" s="5"/>
      <c r="K5" s="6"/>
      <c r="L5" s="5" t="str">
        <f>IFERROR(VLOOKUP(CONCATENATE(A5,"S"),[2]Hoja1!$B:$N,5,0)," ")</f>
        <v xml:space="preserve"> </v>
      </c>
      <c r="M5" s="6" t="str">
        <f>IFERROR(VLOOKUP(CONCATENATE(A5,"S"),[2]Hoja1!$B:$N,6,0)," ")</f>
        <v xml:space="preserve"> </v>
      </c>
      <c r="N5" s="4" t="str">
        <f t="shared" si="1"/>
        <v>TITULAR</v>
      </c>
      <c r="O5" s="17" t="str">
        <f t="shared" si="2"/>
        <v xml:space="preserve">SANCHEZ CARLOS        </v>
      </c>
      <c r="P5" s="4" t="str">
        <f>IF(O5="vacante","vacante",IFERROR(IF(VLOOKUP(IF((M5)=" ",IF(COUNTBLANK(K5),I5,K5),M5),[3]Hoja1!$B:$I,4,0)="licencia","vacante"," ")," "))</f>
        <v xml:space="preserve"> </v>
      </c>
      <c r="Q5" s="4"/>
      <c r="R5">
        <f t="shared" si="4"/>
        <v>4</v>
      </c>
      <c r="S5" t="str">
        <f t="shared" si="3"/>
        <v>1°1°4</v>
      </c>
    </row>
    <row r="6" spans="1:20" ht="18.75" hidden="1" customHeight="1">
      <c r="A6" s="3" t="str">
        <f t="shared" si="0"/>
        <v>1°1°1ING</v>
      </c>
      <c r="B6" s="3" t="s">
        <v>15</v>
      </c>
      <c r="C6" s="3"/>
      <c r="D6" s="3" t="s">
        <v>26</v>
      </c>
      <c r="E6" s="3">
        <v>733462</v>
      </c>
      <c r="F6" s="3" t="str">
        <f>VLOOKUP(D6,[1]Hoja1!$A:$K,11,0)</f>
        <v>INGLÉS</v>
      </c>
      <c r="G6" s="7" t="s">
        <v>27</v>
      </c>
      <c r="H6" s="7"/>
      <c r="I6" s="5" t="s">
        <v>662</v>
      </c>
      <c r="J6" s="5"/>
      <c r="K6" s="6"/>
      <c r="L6" s="5" t="str">
        <f>IFERROR(VLOOKUP(CONCATENATE(A6,"S"),[2]Hoja1!$B:$N,5,0)," ")</f>
        <v xml:space="preserve"> </v>
      </c>
      <c r="M6" s="6" t="str">
        <f>IFERROR(VLOOKUP(CONCATENATE(A6,"S"),[2]Hoja1!$B:$N,6,0)," ")</f>
        <v xml:space="preserve"> </v>
      </c>
      <c r="N6" s="4" t="str">
        <f t="shared" si="1"/>
        <v>TITULAR</v>
      </c>
      <c r="O6" s="17" t="str">
        <f t="shared" si="2"/>
        <v xml:space="preserve">LEGUIZAMO  ANA </v>
      </c>
      <c r="P6" s="4" t="str">
        <f>IF(O6="vacante","vacante",IFERROR(IF(VLOOKUP(IF((M6)=" ",IF(COUNTBLANK(K6),I6,K6),M6),[3]Hoja1!$B:$I,4,0)="licencia","vacante"," ")," "))</f>
        <v xml:space="preserve"> </v>
      </c>
      <c r="Q6" s="4"/>
      <c r="R6">
        <f t="shared" si="4"/>
        <v>5</v>
      </c>
      <c r="S6" t="str">
        <f t="shared" si="3"/>
        <v>1°1°5</v>
      </c>
    </row>
    <row r="7" spans="1:20" ht="18.75" hidden="1" customHeight="1">
      <c r="A7" s="3" t="str">
        <f t="shared" si="0"/>
        <v>1°1°1MAT</v>
      </c>
      <c r="B7" s="3" t="s">
        <v>15</v>
      </c>
      <c r="C7" s="3"/>
      <c r="D7" s="3" t="s">
        <v>29</v>
      </c>
      <c r="E7" s="3">
        <v>733472</v>
      </c>
      <c r="F7" s="3" t="str">
        <f>VLOOKUP(D7,[1]Hoja1!$A:$K,11,0)</f>
        <v>MATEMATICA</v>
      </c>
      <c r="G7" s="7" t="s">
        <v>30</v>
      </c>
      <c r="H7" s="7"/>
      <c r="I7" s="5" t="s">
        <v>31</v>
      </c>
      <c r="J7" s="5"/>
      <c r="K7" s="6"/>
      <c r="L7" s="5" t="str">
        <f>IFERROR(VLOOKUP(CONCATENATE(A7,"S"),[2]Hoja1!$B:$N,5,0)," ")</f>
        <v xml:space="preserve"> </v>
      </c>
      <c r="M7" s="6" t="str">
        <f>IFERROR(VLOOKUP(CONCATENATE(A7,"S"),[2]Hoja1!$B:$N,6,0)," ")</f>
        <v xml:space="preserve"> </v>
      </c>
      <c r="N7" s="4" t="str">
        <f t="shared" si="1"/>
        <v>TITULAR</v>
      </c>
      <c r="O7" s="17" t="str">
        <f t="shared" si="2"/>
        <v xml:space="preserve">GONZALEZ M EUGENIA </v>
      </c>
      <c r="P7" s="4" t="str">
        <f>IF(O7="vacante","vacante",IFERROR(IF(VLOOKUP(IF((M7)=" ",IF(COUNTBLANK(K7),I7,K7),M7),[3]Hoja1!$B:$I,4,0)="licencia","vacante"," ")," "))</f>
        <v xml:space="preserve"> </v>
      </c>
      <c r="Q7" s="4"/>
      <c r="R7">
        <f t="shared" si="4"/>
        <v>6</v>
      </c>
      <c r="S7" t="str">
        <f t="shared" si="3"/>
        <v>1°1°6</v>
      </c>
    </row>
    <row r="8" spans="1:20" ht="18.75" hidden="1" customHeight="1">
      <c r="A8" s="3" t="str">
        <f t="shared" si="0"/>
        <v>1°1°1LEN</v>
      </c>
      <c r="B8" s="3" t="s">
        <v>15</v>
      </c>
      <c r="C8" s="3"/>
      <c r="D8" s="3" t="s">
        <v>32</v>
      </c>
      <c r="E8" s="3">
        <v>733465</v>
      </c>
      <c r="F8" s="3" t="str">
        <f>VLOOKUP(D8,[1]Hoja1!$A:$K,11,0)</f>
        <v>PRACTICA DEL LENGUAJE</v>
      </c>
      <c r="G8" s="7" t="s">
        <v>552</v>
      </c>
      <c r="H8" s="7">
        <v>44621</v>
      </c>
      <c r="I8" s="5" t="s">
        <v>551</v>
      </c>
      <c r="J8" s="5"/>
      <c r="K8" s="6"/>
      <c r="L8" s="5" t="str">
        <f>IFERROR(VLOOKUP(CONCATENATE(A8,"S"),[2]Hoja1!$B:$N,5,0)," ")</f>
        <v xml:space="preserve"> </v>
      </c>
      <c r="M8" s="6" t="str">
        <f>IFERROR(VLOOKUP(CONCATENATE(A8,"S"),[2]Hoja1!$B:$N,6,0)," ")</f>
        <v xml:space="preserve"> </v>
      </c>
      <c r="N8" s="4" t="str">
        <f t="shared" si="1"/>
        <v>TITULAR</v>
      </c>
      <c r="O8" s="17" t="str">
        <f t="shared" si="2"/>
        <v>ZURITA REINA</v>
      </c>
      <c r="P8" s="4" t="str">
        <f>IF(O8="vacante","vacante",IFERROR(IF(VLOOKUP(IF((M8)=" ",IF(COUNTBLANK(K8),I8,K8),M8),[3]Hoja1!$B:$I,4,0)="licencia","vacante"," ")," "))</f>
        <v xml:space="preserve"> </v>
      </c>
      <c r="Q8" s="4"/>
      <c r="R8">
        <f t="shared" si="4"/>
        <v>7</v>
      </c>
      <c r="S8" t="str">
        <f t="shared" si="3"/>
        <v>1°1°7</v>
      </c>
    </row>
    <row r="9" spans="1:20" ht="18.75" hidden="1" customHeight="1">
      <c r="A9" s="3" t="str">
        <f t="shared" si="0"/>
        <v>1°1°1CCD</v>
      </c>
      <c r="B9" s="3" t="s">
        <v>15</v>
      </c>
      <c r="C9" s="3"/>
      <c r="D9" s="3" t="s">
        <v>33</v>
      </c>
      <c r="E9" s="3">
        <v>992715</v>
      </c>
      <c r="F9" s="3" t="str">
        <f>VLOOKUP(D9,[1]Hoja1!$A:$K,11,0)</f>
        <v>CONSTRUCCION DE LA CIUDADANIA</v>
      </c>
      <c r="G9" s="7" t="s">
        <v>34</v>
      </c>
      <c r="H9" s="7"/>
      <c r="I9" s="5" t="s">
        <v>35</v>
      </c>
      <c r="J9" s="5"/>
      <c r="K9" s="6"/>
      <c r="L9" s="5">
        <f>IFERROR(VLOOKUP(CONCATENATE(A9,"S"),[2]Hoja1!$B:$N,5,0)," ")</f>
        <v>0</v>
      </c>
      <c r="M9" s="6" t="str">
        <f>IFERROR(VLOOKUP(CONCATENATE(A9,"S"),[2]Hoja1!$B:$N,6,0)," ")</f>
        <v>MEDINA</v>
      </c>
      <c r="N9" s="4" t="str">
        <f t="shared" si="1"/>
        <v>SUPLENTE</v>
      </c>
      <c r="O9" s="17" t="str">
        <f t="shared" si="2"/>
        <v>MEDINA</v>
      </c>
      <c r="P9" s="4" t="str">
        <f>IF(O9="vacante","vacante",IFERROR(IF(VLOOKUP(IF((M9)=" ",IF(COUNTBLANK(K9),I9,K9),M9),[3]Hoja1!$B:$I,4,0)="licencia","vacante"," ")," "))</f>
        <v xml:space="preserve"> </v>
      </c>
      <c r="Q9" s="4"/>
      <c r="R9">
        <f t="shared" si="4"/>
        <v>8</v>
      </c>
      <c r="S9" t="str">
        <f t="shared" si="3"/>
        <v>1°1°8</v>
      </c>
    </row>
    <row r="10" spans="1:20" ht="18.75" hidden="1" customHeight="1">
      <c r="A10" s="3" t="str">
        <f t="shared" ref="A10:A41" si="5">CONCATENATE(B10,C10,D10)</f>
        <v>1°1°1111TLT</v>
      </c>
      <c r="B10" s="3" t="s">
        <v>15</v>
      </c>
      <c r="C10" s="3">
        <v>111</v>
      </c>
      <c r="D10" s="3" t="s">
        <v>36</v>
      </c>
      <c r="E10" s="3">
        <v>2673007</v>
      </c>
      <c r="F10" s="3" t="str">
        <f>VLOOKUP(D10,[1]Hoja1!$A:$K,11,0)</f>
        <v>LENGUAJES TECNOLOGICOS</v>
      </c>
      <c r="G10" s="7"/>
      <c r="H10" s="7"/>
      <c r="I10" s="5"/>
      <c r="J10" s="5" t="s">
        <v>37</v>
      </c>
      <c r="K10" s="6" t="s">
        <v>300</v>
      </c>
      <c r="L10" s="5" t="str">
        <f>IFERROR(VLOOKUP(CONCATENATE(A10,"S"),[2]Hoja1!$B:$N,5,0)," ")</f>
        <v xml:space="preserve"> </v>
      </c>
      <c r="M10" s="6" t="str">
        <f>IFERROR(VLOOKUP(CONCATENATE(A10,"S"),[2]Hoja1!$B:$N,6,0)," ")</f>
        <v xml:space="preserve"> </v>
      </c>
      <c r="N10" s="4" t="str">
        <f t="shared" ref="N10:N41" si="6">IF((M10)=" ",IF(COUNTBLANK(K10),"TITULAR","PROVISIONAL"),"SUPLENTE")</f>
        <v>PROVISIONAL</v>
      </c>
      <c r="O10" s="17" t="str">
        <f t="shared" ref="O10:O41" si="7">IF((M10)=" ",IF(COUNTBLANK(K10),I10,K10),M10)</f>
        <v>LEYES RICARDO</v>
      </c>
      <c r="P10" s="4" t="str">
        <f>IF(O10="vacante","vacante",IFERROR(IF(VLOOKUP(IF((M10)=" ",IF(COUNTBLANK(K10),I10,K10),M10),[3]Hoja1!$B:$I,4,0)="licencia","vacante"," ")," "))</f>
        <v xml:space="preserve"> </v>
      </c>
      <c r="Q10" s="4"/>
      <c r="R10">
        <f t="shared" ref="R10:R41" si="8">IF(B10=B9,R9+1,1)</f>
        <v>9</v>
      </c>
      <c r="S10" t="str">
        <f t="shared" ref="S10:S41" si="9">CONCATENATE(B10,R10)</f>
        <v>1°1°9</v>
      </c>
    </row>
    <row r="11" spans="1:20" ht="18.75" hidden="1" customHeight="1">
      <c r="A11" s="3" t="str">
        <f t="shared" si="5"/>
        <v>1°1°1111TST</v>
      </c>
      <c r="B11" s="3" t="s">
        <v>15</v>
      </c>
      <c r="C11" s="3">
        <v>111</v>
      </c>
      <c r="D11" s="3" t="s">
        <v>38</v>
      </c>
      <c r="E11" s="3">
        <v>2673010</v>
      </c>
      <c r="F11" s="3" t="str">
        <f>VLOOKUP(D11,[1]Hoja1!$A:$K,11,0)</f>
        <v>SISTEMAS TECNOLOGICOS</v>
      </c>
      <c r="G11" s="7"/>
      <c r="H11" s="7"/>
      <c r="I11" s="5"/>
      <c r="J11" s="5"/>
      <c r="K11" s="28" t="s">
        <v>778</v>
      </c>
      <c r="L11" s="5" t="str">
        <f>IFERROR(VLOOKUP(CONCATENATE(A11,"S"),[2]Hoja1!$B:$N,5,0)," ")</f>
        <v xml:space="preserve"> </v>
      </c>
      <c r="M11" s="6" t="str">
        <f>IFERROR(VLOOKUP(CONCATENATE(A11,"S"),[2]Hoja1!$B:$N,6,0)," ")</f>
        <v xml:space="preserve"> </v>
      </c>
      <c r="N11" s="4" t="str">
        <f t="shared" si="6"/>
        <v>PROVISIONAL</v>
      </c>
      <c r="O11" s="17" t="str">
        <f t="shared" si="7"/>
        <v>VERA LORENA</v>
      </c>
      <c r="P11" s="4" t="str">
        <f>IF(O11="vacante","vacante",IFERROR(IF(VLOOKUP(IF((M11)=" ",IF(COUNTBLANK(K11),I11,K11),M11),[3]Hoja1!$B:$I,4,0)="licencia","vacante"," ")," "))</f>
        <v xml:space="preserve"> </v>
      </c>
      <c r="Q11" s="4"/>
      <c r="R11">
        <f t="shared" si="8"/>
        <v>10</v>
      </c>
      <c r="S11" t="str">
        <f t="shared" si="9"/>
        <v>1°1°10</v>
      </c>
    </row>
    <row r="12" spans="1:20" ht="18.75" hidden="1" customHeight="1">
      <c r="A12" s="3" t="str">
        <f t="shared" si="5"/>
        <v>1°1°1111TPT</v>
      </c>
      <c r="B12" s="3" t="s">
        <v>15</v>
      </c>
      <c r="C12" s="3">
        <v>111</v>
      </c>
      <c r="D12" s="3" t="s">
        <v>41</v>
      </c>
      <c r="E12" s="3">
        <v>2673013</v>
      </c>
      <c r="F12" s="3" t="str">
        <f>VLOOKUP(D12,[1]Hoja1!$A:$K,11,0)</f>
        <v>PROCEDIMIENTOS TECNICOS</v>
      </c>
      <c r="G12" s="7" t="s">
        <v>522</v>
      </c>
      <c r="H12" s="7" t="s">
        <v>42</v>
      </c>
      <c r="I12" s="5" t="s">
        <v>43</v>
      </c>
      <c r="J12" s="5"/>
      <c r="K12" s="6"/>
      <c r="L12" s="5">
        <f>IFERROR(VLOOKUP(CONCATENATE(A12,"S"),[2]Hoja1!$B:$N,5,0)," ")</f>
        <v>20445049736</v>
      </c>
      <c r="M12" s="6" t="str">
        <f>IFERROR(VLOOKUP(CONCATENATE(A12,"S"),[2]Hoja1!$B:$N,6,0)," ")</f>
        <v>LUCAS NICOLÁS ARGÜELLO</v>
      </c>
      <c r="N12" s="4" t="str">
        <f t="shared" si="6"/>
        <v>SUPLENTE</v>
      </c>
      <c r="O12" s="17" t="str">
        <f t="shared" si="7"/>
        <v>LUCAS NICOLÁS ARGÜELLO</v>
      </c>
      <c r="P12" s="4" t="str">
        <f>IF(O12="vacante","vacante",IFERROR(IF(VLOOKUP(IF((M12)=" ",IF(COUNTBLANK(K12),I12,K12),M12),[3]Hoja1!$B:$I,4,0)="licencia","vacante"," ")," "))</f>
        <v xml:space="preserve"> </v>
      </c>
      <c r="Q12" s="4"/>
      <c r="R12">
        <f t="shared" si="8"/>
        <v>11</v>
      </c>
      <c r="S12" t="str">
        <f t="shared" si="9"/>
        <v>1°1°11</v>
      </c>
    </row>
    <row r="13" spans="1:20" ht="18.75" hidden="1" customHeight="1">
      <c r="A13" s="3" t="str">
        <f t="shared" si="5"/>
        <v>1°1°1121TLT</v>
      </c>
      <c r="B13" s="3" t="s">
        <v>15</v>
      </c>
      <c r="C13" s="3">
        <v>112</v>
      </c>
      <c r="D13" s="3" t="s">
        <v>36</v>
      </c>
      <c r="E13" s="3">
        <v>2673015</v>
      </c>
      <c r="F13" s="3" t="str">
        <f>VLOOKUP(D13,[1]Hoja1!$A:$K,11,0)</f>
        <v>LENGUAJES TECNOLOGICOS</v>
      </c>
      <c r="G13" s="7"/>
      <c r="H13" s="7"/>
      <c r="I13" s="5"/>
      <c r="J13" s="5"/>
      <c r="K13" s="6" t="s">
        <v>300</v>
      </c>
      <c r="L13" s="5" t="str">
        <f>IFERROR(VLOOKUP(CONCATENATE(A13,"S"),[2]Hoja1!$B:$N,5,0)," ")</f>
        <v xml:space="preserve"> </v>
      </c>
      <c r="M13" s="6" t="str">
        <f>IFERROR(VLOOKUP(CONCATENATE(A13,"S"),[2]Hoja1!$B:$N,6,0)," ")</f>
        <v xml:space="preserve"> </v>
      </c>
      <c r="N13" s="4" t="str">
        <f t="shared" si="6"/>
        <v>PROVISIONAL</v>
      </c>
      <c r="O13" s="17" t="str">
        <f t="shared" si="7"/>
        <v>LEYES RICARDO</v>
      </c>
      <c r="P13" s="4" t="str">
        <f>IF(O13="vacante","vacante",IFERROR(IF(VLOOKUP(IF((M13)=" ",IF(COUNTBLANK(K13),I13,K13),M13),[3]Hoja1!$B:$I,4,0)="licencia","vacante"," ")," "))</f>
        <v xml:space="preserve"> </v>
      </c>
      <c r="Q13" s="4"/>
      <c r="R13">
        <f t="shared" si="8"/>
        <v>12</v>
      </c>
      <c r="S13" t="str">
        <f t="shared" si="9"/>
        <v>1°1°12</v>
      </c>
    </row>
    <row r="14" spans="1:20" ht="18.75" hidden="1" customHeight="1">
      <c r="A14" s="3" t="str">
        <f t="shared" si="5"/>
        <v>1°1°1121TST</v>
      </c>
      <c r="B14" s="3" t="s">
        <v>15</v>
      </c>
      <c r="C14" s="3">
        <v>112</v>
      </c>
      <c r="D14" s="3" t="s">
        <v>38</v>
      </c>
      <c r="E14" s="3">
        <v>2673016</v>
      </c>
      <c r="F14" s="3" t="str">
        <f>VLOOKUP(D14,[1]Hoja1!$A:$K,11,0)</f>
        <v>SISTEMAS TECNOLOGICOS</v>
      </c>
      <c r="G14" s="7"/>
      <c r="H14" s="7"/>
      <c r="I14" s="5"/>
      <c r="J14" s="5" t="s">
        <v>44</v>
      </c>
      <c r="K14" s="6" t="s">
        <v>45</v>
      </c>
      <c r="L14" s="5" t="str">
        <f>IFERROR(VLOOKUP(CONCATENATE(A14,"S"),[2]Hoja1!$B:$N,5,0)," ")</f>
        <v xml:space="preserve"> </v>
      </c>
      <c r="M14" s="6" t="str">
        <f>IFERROR(VLOOKUP(CONCATENATE(A14,"S"),[2]Hoja1!$B:$N,6,0)," ")</f>
        <v xml:space="preserve"> </v>
      </c>
      <c r="N14" s="4" t="str">
        <f t="shared" si="6"/>
        <v>PROVISIONAL</v>
      </c>
      <c r="O14" s="17" t="str">
        <f t="shared" si="7"/>
        <v xml:space="preserve">RODRIGUEZ RAUL         </v>
      </c>
      <c r="P14" s="4" t="str">
        <f>IF(O14="vacante","vacante",IFERROR(IF(VLOOKUP(IF((M14)=" ",IF(COUNTBLANK(K14),I14,K14),M14),[3]Hoja1!$B:$I,4,0)="licencia","vacante"," ")," "))</f>
        <v xml:space="preserve"> </v>
      </c>
      <c r="Q14" s="4"/>
      <c r="R14">
        <f t="shared" si="8"/>
        <v>13</v>
      </c>
      <c r="S14" t="str">
        <f t="shared" si="9"/>
        <v>1°1°13</v>
      </c>
    </row>
    <row r="15" spans="1:20" ht="18.75" hidden="1" customHeight="1">
      <c r="A15" s="3" t="str">
        <f t="shared" si="5"/>
        <v>1°1°1121TPT</v>
      </c>
      <c r="B15" s="3" t="s">
        <v>15</v>
      </c>
      <c r="C15" s="3">
        <v>112</v>
      </c>
      <c r="D15" s="3" t="s">
        <v>41</v>
      </c>
      <c r="E15" s="3">
        <v>2673017</v>
      </c>
      <c r="F15" s="3" t="str">
        <f>VLOOKUP(D15,[1]Hoja1!$A:$K,11,0)</f>
        <v>PROCEDIMIENTOS TECNICOS</v>
      </c>
      <c r="G15" s="7"/>
      <c r="H15" s="7"/>
      <c r="I15" s="5"/>
      <c r="J15" s="5" t="s">
        <v>46</v>
      </c>
      <c r="K15" s="6" t="s">
        <v>47</v>
      </c>
      <c r="L15" s="5" t="str">
        <f>IFERROR(VLOOKUP(CONCATENATE(A15,"S"),[2]Hoja1!$B:$N,5,0)," ")</f>
        <v xml:space="preserve"> </v>
      </c>
      <c r="M15" s="6" t="str">
        <f>IFERROR(VLOOKUP(CONCATENATE(A15,"S"),[2]Hoja1!$B:$N,6,0)," ")</f>
        <v xml:space="preserve"> </v>
      </c>
      <c r="N15" s="4" t="str">
        <f t="shared" si="6"/>
        <v>PROVISIONAL</v>
      </c>
      <c r="O15" s="17" t="str">
        <f t="shared" si="7"/>
        <v xml:space="preserve">LEYES RICARDO              </v>
      </c>
      <c r="P15" s="4" t="str">
        <f>IF(O15="vacante","vacante",IFERROR(IF(VLOOKUP(IF((M15)=" ",IF(COUNTBLANK(K15),I15,K15),M15),[3]Hoja1!$B:$I,4,0)="licencia","vacante"," ")," "))</f>
        <v xml:space="preserve"> </v>
      </c>
      <c r="Q15" s="4"/>
      <c r="R15">
        <f t="shared" si="8"/>
        <v>14</v>
      </c>
      <c r="S15" t="str">
        <f t="shared" si="9"/>
        <v>1°1°14</v>
      </c>
    </row>
    <row r="16" spans="1:20" ht="18.75" hidden="1" customHeight="1">
      <c r="A16" s="3" t="str">
        <f t="shared" si="5"/>
        <v>1°2°1NAT</v>
      </c>
      <c r="B16" s="3" t="s">
        <v>48</v>
      </c>
      <c r="C16" s="3"/>
      <c r="D16" s="3" t="s">
        <v>16</v>
      </c>
      <c r="E16" s="3">
        <v>733711</v>
      </c>
      <c r="F16" s="3" t="str">
        <f>VLOOKUP(D16,[1]Hoja1!$A:$K,11,0)</f>
        <v>CIENCIAS NATURALES</v>
      </c>
      <c r="G16" s="7" t="s">
        <v>49</v>
      </c>
      <c r="H16" s="7"/>
      <c r="I16" s="5" t="s">
        <v>50</v>
      </c>
      <c r="J16" s="5"/>
      <c r="K16" s="6"/>
      <c r="L16" s="5" t="str">
        <f>IFERROR(VLOOKUP(CONCATENATE(A16,"S"),[2]Hoja1!$B:$N,5,0)," ")</f>
        <v xml:space="preserve"> </v>
      </c>
      <c r="M16" s="6" t="str">
        <f>IFERROR(VLOOKUP(CONCATENATE(A16,"S"),[2]Hoja1!$B:$N,6,0)," ")</f>
        <v xml:space="preserve"> </v>
      </c>
      <c r="N16" s="4" t="str">
        <f t="shared" si="6"/>
        <v>TITULAR</v>
      </c>
      <c r="O16" s="17" t="str">
        <f t="shared" si="7"/>
        <v xml:space="preserve">ESPINDOLA SERGIO                          </v>
      </c>
      <c r="P16" s="4" t="str">
        <f>IF(O16="vacante","vacante",IFERROR(IF(VLOOKUP(IF((M16)=" ",IF(COUNTBLANK(K16),I16,K16),M16),[3]Hoja1!$B:$I,4,0)="licencia","vacante"," ")," "))</f>
        <v xml:space="preserve"> </v>
      </c>
      <c r="Q16" s="4"/>
      <c r="R16">
        <f t="shared" si="8"/>
        <v>1</v>
      </c>
      <c r="S16" t="str">
        <f t="shared" si="9"/>
        <v>1°2°1</v>
      </c>
    </row>
    <row r="17" spans="1:19" ht="18.75" hidden="1" customHeight="1">
      <c r="A17" s="3" t="str">
        <f t="shared" si="5"/>
        <v>1°2°1SOC</v>
      </c>
      <c r="B17" s="3" t="s">
        <v>48</v>
      </c>
      <c r="C17" s="3"/>
      <c r="D17" s="3" t="s">
        <v>20</v>
      </c>
      <c r="E17" s="3">
        <v>2683145</v>
      </c>
      <c r="F17" s="3" t="str">
        <f>VLOOKUP(D17,[1]Hoja1!$A:$K,11,0)</f>
        <v>CIENCIAS SOCIALES</v>
      </c>
      <c r="G17" s="7"/>
      <c r="H17" s="7"/>
      <c r="I17" s="5" t="s">
        <v>357</v>
      </c>
      <c r="J17" s="5"/>
      <c r="K17" s="6"/>
      <c r="L17" s="5" t="str">
        <f>IFERROR(VLOOKUP(CONCATENATE(A17,"S"),[2]Hoja1!$B:$N,5,0)," ")</f>
        <v xml:space="preserve"> </v>
      </c>
      <c r="M17" s="6" t="str">
        <f>IFERROR(VLOOKUP(CONCATENATE(A17,"S"),[2]Hoja1!$B:$N,6,0)," ")</f>
        <v xml:space="preserve"> </v>
      </c>
      <c r="N17" s="4" t="str">
        <f t="shared" si="6"/>
        <v>TITULAR</v>
      </c>
      <c r="O17" s="17" t="str">
        <f t="shared" si="7"/>
        <v xml:space="preserve">LOPEZ MARINA  </v>
      </c>
      <c r="P17" s="4" t="str">
        <f>IF(O17="vacante","vacante",IFERROR(IF(VLOOKUP(IF((M17)=" ",IF(COUNTBLANK(K17),I17,K17),M17),[3]Hoja1!$B:$I,4,0)="licencia","vacante"," ")," "))</f>
        <v xml:space="preserve"> </v>
      </c>
      <c r="Q17" s="4"/>
      <c r="R17">
        <f t="shared" si="8"/>
        <v>2</v>
      </c>
      <c r="S17" t="str">
        <f t="shared" si="9"/>
        <v>1°2°2</v>
      </c>
    </row>
    <row r="18" spans="1:19" ht="18.75" hidden="1" customHeight="1">
      <c r="A18" s="3" t="str">
        <f t="shared" si="5"/>
        <v>1°2°1ART</v>
      </c>
      <c r="B18" s="3" t="s">
        <v>48</v>
      </c>
      <c r="C18" s="3"/>
      <c r="D18" s="3" t="s">
        <v>21</v>
      </c>
      <c r="E18" s="3">
        <v>733441</v>
      </c>
      <c r="F18" s="3" t="str">
        <f>VLOOKUP(D18,[1]Hoja1!$A:$K,11,0)</f>
        <v>EDUCACION ARTISTICA (PLASTICA)</v>
      </c>
      <c r="G18" s="7" t="s">
        <v>51</v>
      </c>
      <c r="H18" s="7"/>
      <c r="I18" s="5" t="s">
        <v>52</v>
      </c>
      <c r="J18" s="5"/>
      <c r="K18" s="6"/>
      <c r="L18" s="5" t="str">
        <f>IFERROR(VLOOKUP(CONCATENATE(A18,"S"),[2]Hoja1!$B:$N,5,0)," ")</f>
        <v xml:space="preserve"> </v>
      </c>
      <c r="M18" s="6" t="str">
        <f>IFERROR(VLOOKUP(CONCATENATE(A18,"S"),[2]Hoja1!$B:$N,6,0)," ")</f>
        <v xml:space="preserve"> </v>
      </c>
      <c r="N18" s="4" t="str">
        <f t="shared" si="6"/>
        <v>TITULAR</v>
      </c>
      <c r="O18" s="17" t="str">
        <f t="shared" si="7"/>
        <v xml:space="preserve">FIGUEROA CARLOS </v>
      </c>
      <c r="P18" s="4" t="str">
        <f>IF(O18="vacante","vacante",IFERROR(IF(VLOOKUP(IF((M18)=" ",IF(COUNTBLANK(K18),I18,K18),M18),[3]Hoja1!$B:$I,4,0)="licencia","vacante"," ")," "))</f>
        <v xml:space="preserve"> </v>
      </c>
      <c r="Q18" s="4"/>
      <c r="R18">
        <f t="shared" si="8"/>
        <v>3</v>
      </c>
      <c r="S18" t="str">
        <f t="shared" si="9"/>
        <v>1°2°3</v>
      </c>
    </row>
    <row r="19" spans="1:19" ht="18.75" hidden="1" customHeight="1">
      <c r="A19" s="3" t="str">
        <f t="shared" si="5"/>
        <v>1°2°1EFI</v>
      </c>
      <c r="B19" s="3" t="s">
        <v>48</v>
      </c>
      <c r="C19" s="3"/>
      <c r="D19" s="3" t="s">
        <v>23</v>
      </c>
      <c r="E19" s="3">
        <v>839180</v>
      </c>
      <c r="F19" s="3" t="str">
        <f>VLOOKUP(D19,[1]Hoja1!$A:$K,11,0)</f>
        <v>EDUCACIÓN FISICA</v>
      </c>
      <c r="G19" s="7" t="s">
        <v>53</v>
      </c>
      <c r="H19" s="7"/>
      <c r="I19" s="5" t="s">
        <v>54</v>
      </c>
      <c r="J19" s="5"/>
      <c r="K19" s="6"/>
      <c r="L19" s="5" t="str">
        <f>IFERROR(VLOOKUP(CONCATENATE(A19,"S"),[2]Hoja1!$B:$N,5,0)," ")</f>
        <v xml:space="preserve"> </v>
      </c>
      <c r="M19" s="6" t="str">
        <f>IFERROR(VLOOKUP(CONCATENATE(A19,"S"),[2]Hoja1!$B:$N,6,0)," ")</f>
        <v xml:space="preserve"> </v>
      </c>
      <c r="N19" s="4" t="str">
        <f t="shared" si="6"/>
        <v>TITULAR</v>
      </c>
      <c r="O19" s="17" t="str">
        <f t="shared" si="7"/>
        <v xml:space="preserve">DE LA FUENTE F.        </v>
      </c>
      <c r="P19" s="4" t="str">
        <f>IF(O19="vacante","vacante",IFERROR(IF(VLOOKUP(IF((M19)=" ",IF(COUNTBLANK(K19),I19,K19),M19),[3]Hoja1!$B:$I,4,0)="licencia","vacante"," ")," "))</f>
        <v xml:space="preserve"> </v>
      </c>
      <c r="Q19" s="4"/>
      <c r="R19">
        <f t="shared" si="8"/>
        <v>4</v>
      </c>
      <c r="S19" t="str">
        <f t="shared" si="9"/>
        <v>1°2°4</v>
      </c>
    </row>
    <row r="20" spans="1:19" ht="18.75" hidden="1" customHeight="1">
      <c r="A20" s="3" t="str">
        <f t="shared" si="5"/>
        <v>1°2°1ING</v>
      </c>
      <c r="B20" s="3" t="s">
        <v>48</v>
      </c>
      <c r="C20" s="3"/>
      <c r="D20" s="3" t="s">
        <v>26</v>
      </c>
      <c r="E20" s="3">
        <v>891876</v>
      </c>
      <c r="F20" s="3" t="str">
        <f>VLOOKUP(D20,[1]Hoja1!$A:$K,11,0)</f>
        <v>INGLÉS</v>
      </c>
      <c r="G20" s="7" t="s">
        <v>55</v>
      </c>
      <c r="H20" s="7" t="s">
        <v>56</v>
      </c>
      <c r="I20" s="5" t="s">
        <v>57</v>
      </c>
      <c r="J20" s="5"/>
      <c r="K20" s="6"/>
      <c r="L20" s="5" t="str">
        <f>IFERROR(VLOOKUP(CONCATENATE(A20,"S"),[2]Hoja1!$B:$N,5,0)," ")</f>
        <v xml:space="preserve"> </v>
      </c>
      <c r="M20" s="6" t="str">
        <f>IFERROR(VLOOKUP(CONCATENATE(A20,"S"),[2]Hoja1!$B:$N,6,0)," ")</f>
        <v xml:space="preserve"> </v>
      </c>
      <c r="N20" s="4" t="str">
        <f t="shared" si="6"/>
        <v>TITULAR</v>
      </c>
      <c r="O20" s="17" t="str">
        <f t="shared" si="7"/>
        <v xml:space="preserve">ARCE KARINA </v>
      </c>
      <c r="P20" s="4" t="str">
        <f>IF(O20="vacante","vacante",IFERROR(IF(VLOOKUP(IF((M20)=" ",IF(COUNTBLANK(K20),I20,K20),M20),[3]Hoja1!$B:$I,4,0)="licencia","vacante"," ")," "))</f>
        <v xml:space="preserve"> </v>
      </c>
      <c r="Q20" s="4"/>
      <c r="R20">
        <f t="shared" si="8"/>
        <v>5</v>
      </c>
      <c r="S20" t="str">
        <f t="shared" si="9"/>
        <v>1°2°5</v>
      </c>
    </row>
    <row r="21" spans="1:19" ht="18.75" hidden="1" customHeight="1">
      <c r="A21" s="3" t="str">
        <f t="shared" si="5"/>
        <v>1°2°1MAT</v>
      </c>
      <c r="B21" s="3" t="s">
        <v>48</v>
      </c>
      <c r="C21" s="3"/>
      <c r="D21" s="3" t="s">
        <v>29</v>
      </c>
      <c r="E21" s="3">
        <v>789732</v>
      </c>
      <c r="F21" s="3" t="str">
        <f>VLOOKUP(D21,[1]Hoja1!$A:$K,11,0)</f>
        <v>MATEMATICA</v>
      </c>
      <c r="G21" s="7"/>
      <c r="H21" s="7"/>
      <c r="I21" s="5" t="s">
        <v>780</v>
      </c>
      <c r="J21" s="5"/>
      <c r="K21" s="6"/>
      <c r="L21" s="5" t="str">
        <f>IFERROR(VLOOKUP(CONCATENATE(A21,"S"),[2]Hoja1!$B:$N,5,0)," ")</f>
        <v xml:space="preserve"> </v>
      </c>
      <c r="M21" s="6" t="str">
        <f>IFERROR(VLOOKUP(CONCATENATE(A21,"S"),[2]Hoja1!$B:$N,6,0)," ")</f>
        <v xml:space="preserve"> </v>
      </c>
      <c r="N21" s="4" t="str">
        <f t="shared" si="6"/>
        <v>TITULAR</v>
      </c>
      <c r="O21" s="17" t="str">
        <f t="shared" si="7"/>
        <v xml:space="preserve">OVEJERO, JAVIER </v>
      </c>
      <c r="P21" s="4" t="str">
        <f>IF(O21="vacante","vacante",IFERROR(IF(VLOOKUP(IF((M21)=" ",IF(COUNTBLANK(K21),I21,K21),M21),[3]Hoja1!$B:$I,4,0)="licencia","vacante"," ")," "))</f>
        <v xml:space="preserve"> </v>
      </c>
      <c r="Q21" s="4"/>
      <c r="R21">
        <f t="shared" si="8"/>
        <v>6</v>
      </c>
      <c r="S21" t="str">
        <f t="shared" si="9"/>
        <v>1°2°6</v>
      </c>
    </row>
    <row r="22" spans="1:19" ht="18.75" hidden="1" customHeight="1">
      <c r="A22" s="3" t="str">
        <f t="shared" si="5"/>
        <v>1°2°1LEN</v>
      </c>
      <c r="B22" s="3" t="s">
        <v>48</v>
      </c>
      <c r="C22" s="3"/>
      <c r="D22" s="3" t="s">
        <v>32</v>
      </c>
      <c r="E22" s="3">
        <v>733448</v>
      </c>
      <c r="F22" s="3" t="str">
        <f>VLOOKUP(D22,[1]Hoja1!$A:$K,11,0)</f>
        <v>PRACTICA DEL LENGUAJE</v>
      </c>
      <c r="G22" s="7"/>
      <c r="H22" s="7"/>
      <c r="I22" s="5" t="s">
        <v>782</v>
      </c>
      <c r="J22" s="5"/>
      <c r="K22" s="6"/>
      <c r="L22" s="5" t="str">
        <f>IFERROR(VLOOKUP(CONCATENATE(A22,"S"),[2]Hoja1!$B:$N,5,0)," ")</f>
        <v xml:space="preserve"> </v>
      </c>
      <c r="M22" s="6" t="str">
        <f>IFERROR(VLOOKUP(CONCATENATE(A22,"S"),[2]Hoja1!$B:$N,6,0)," ")</f>
        <v xml:space="preserve"> </v>
      </c>
      <c r="N22" s="4" t="str">
        <f t="shared" si="6"/>
        <v>TITULAR</v>
      </c>
      <c r="O22" s="17" t="str">
        <f t="shared" si="7"/>
        <v xml:space="preserve">CAÑETE, JOHANA  </v>
      </c>
      <c r="P22" s="4" t="str">
        <f>IF(O22="vacante","vacante",IFERROR(IF(VLOOKUP(IF((M22)=" ",IF(COUNTBLANK(K22),I22,K22),M22),[3]Hoja1!$B:$I,4,0)="licencia","vacante"," ")," "))</f>
        <v xml:space="preserve"> </v>
      </c>
      <c r="Q22" s="4"/>
      <c r="R22">
        <f t="shared" si="8"/>
        <v>7</v>
      </c>
      <c r="S22" t="str">
        <f t="shared" si="9"/>
        <v>1°2°7</v>
      </c>
    </row>
    <row r="23" spans="1:19" ht="18.75" hidden="1" customHeight="1">
      <c r="A23" s="3" t="str">
        <f t="shared" si="5"/>
        <v>1°2°1CCD</v>
      </c>
      <c r="B23" s="3" t="s">
        <v>48</v>
      </c>
      <c r="C23" s="3"/>
      <c r="D23" s="3" t="s">
        <v>33</v>
      </c>
      <c r="E23" s="3">
        <v>839178</v>
      </c>
      <c r="F23" s="3" t="str">
        <f>VLOOKUP(D23,[1]Hoja1!$A:$K,11,0)</f>
        <v>CONSTRUCCION DE LA CIUDADANIA</v>
      </c>
      <c r="G23" s="7" t="s">
        <v>59</v>
      </c>
      <c r="H23" s="7"/>
      <c r="I23" s="5" t="s">
        <v>60</v>
      </c>
      <c r="J23" s="5"/>
      <c r="K23" s="6"/>
      <c r="L23" s="5" t="str">
        <f>IFERROR(VLOOKUP(CONCATENATE(A23,"S"),[2]Hoja1!$B:$N,5,0)," ")</f>
        <v xml:space="preserve"> </v>
      </c>
      <c r="M23" s="6" t="str">
        <f>IFERROR(VLOOKUP(CONCATENATE(A23,"S"),[2]Hoja1!$B:$N,6,0)," ")</f>
        <v xml:space="preserve"> </v>
      </c>
      <c r="N23" s="4" t="str">
        <f t="shared" si="6"/>
        <v>TITULAR</v>
      </c>
      <c r="O23" s="17" t="str">
        <f t="shared" si="7"/>
        <v xml:space="preserve">CHAMORRO CRISTIAN </v>
      </c>
      <c r="P23" s="4" t="str">
        <f>IF(O23="vacante","vacante",IFERROR(IF(VLOOKUP(IF((M23)=" ",IF(COUNTBLANK(K23),I23,K23),M23),[3]Hoja1!$B:$I,4,0)="licencia","vacante"," ")," "))</f>
        <v xml:space="preserve"> </v>
      </c>
      <c r="Q23" s="4"/>
      <c r="R23">
        <f t="shared" si="8"/>
        <v>8</v>
      </c>
      <c r="S23" t="str">
        <f t="shared" si="9"/>
        <v>1°2°8</v>
      </c>
    </row>
    <row r="24" spans="1:19" ht="18.75" hidden="1" customHeight="1">
      <c r="A24" s="3" t="str">
        <f t="shared" si="5"/>
        <v>1°2°1211TLT</v>
      </c>
      <c r="B24" s="3" t="s">
        <v>48</v>
      </c>
      <c r="C24" s="3">
        <v>121</v>
      </c>
      <c r="D24" s="3" t="s">
        <v>36</v>
      </c>
      <c r="E24" s="3">
        <v>2673023</v>
      </c>
      <c r="F24" s="3" t="str">
        <f>VLOOKUP(D24,[1]Hoja1!$A:$K,11,0)</f>
        <v>LENGUAJES TECNOLOGICOS</v>
      </c>
      <c r="G24" s="7"/>
      <c r="H24" s="7"/>
      <c r="I24" s="5"/>
      <c r="J24" s="5">
        <v>27289218209</v>
      </c>
      <c r="K24" s="6" t="s">
        <v>777</v>
      </c>
      <c r="L24" s="5" t="str">
        <f>IFERROR(VLOOKUP(CONCATENATE(A24,"S"),[2]Hoja1!$B:$N,5,0)," ")</f>
        <v xml:space="preserve"> </v>
      </c>
      <c r="M24" s="6" t="str">
        <f>IFERROR(VLOOKUP(CONCATENATE(A24,"S"),[2]Hoja1!$B:$N,6,0)," ")</f>
        <v xml:space="preserve"> </v>
      </c>
      <c r="N24" s="4" t="str">
        <f t="shared" si="6"/>
        <v>PROVISIONAL</v>
      </c>
      <c r="O24" s="17" t="str">
        <f t="shared" si="7"/>
        <v>VALLBONA MIRNA SOLEDAD</v>
      </c>
      <c r="P24" s="4" t="str">
        <f>IF(O24="vacante","vacante",IFERROR(IF(VLOOKUP(IF((M24)=" ",IF(COUNTBLANK(K24),I24,K24),M24),[3]Hoja1!$B:$I,4,0)="licencia","vacante"," ")," "))</f>
        <v xml:space="preserve"> </v>
      </c>
      <c r="Q24" s="4"/>
      <c r="R24">
        <f t="shared" si="8"/>
        <v>9</v>
      </c>
      <c r="S24" t="str">
        <f t="shared" si="9"/>
        <v>1°2°9</v>
      </c>
    </row>
    <row r="25" spans="1:19" ht="18.75" hidden="1" customHeight="1">
      <c r="A25" s="3" t="str">
        <f t="shared" si="5"/>
        <v>1°2°1211TST</v>
      </c>
      <c r="B25" s="3" t="s">
        <v>48</v>
      </c>
      <c r="C25" s="3">
        <v>121</v>
      </c>
      <c r="D25" s="3" t="s">
        <v>38</v>
      </c>
      <c r="E25" s="3">
        <v>2673025</v>
      </c>
      <c r="F25" s="3" t="str">
        <f>VLOOKUP(D25,[1]Hoja1!$A:$K,11,0)</f>
        <v>SISTEMAS TECNOLOGICOS</v>
      </c>
      <c r="G25" s="7"/>
      <c r="H25" s="7"/>
      <c r="I25" s="5"/>
      <c r="J25" s="5" t="s">
        <v>62</v>
      </c>
      <c r="K25" s="6" t="s">
        <v>63</v>
      </c>
      <c r="L25" s="5" t="str">
        <f>IFERROR(VLOOKUP(CONCATENATE(A25,"S"),[2]Hoja1!$B:$N,5,0)," ")</f>
        <v xml:space="preserve"> </v>
      </c>
      <c r="M25" s="6" t="str">
        <f>IFERROR(VLOOKUP(CONCATENATE(A25,"S"),[2]Hoja1!$B:$N,6,0)," ")</f>
        <v xml:space="preserve"> </v>
      </c>
      <c r="N25" s="4" t="str">
        <f t="shared" si="6"/>
        <v>PROVISIONAL</v>
      </c>
      <c r="O25" s="17" t="str">
        <f t="shared" si="7"/>
        <v xml:space="preserve">ETCHEVERRY MARTIN                            </v>
      </c>
      <c r="P25" s="4" t="str">
        <f>IF(O25="vacante","vacante",IFERROR(IF(VLOOKUP(IF((M25)=" ",IF(COUNTBLANK(K25),I25,K25),M25),[3]Hoja1!$B:$I,4,0)="licencia","vacante"," ")," "))</f>
        <v xml:space="preserve"> </v>
      </c>
      <c r="Q25" s="4"/>
      <c r="R25">
        <f t="shared" si="8"/>
        <v>10</v>
      </c>
      <c r="S25" t="str">
        <f t="shared" si="9"/>
        <v>1°2°10</v>
      </c>
    </row>
    <row r="26" spans="1:19" ht="18.75" hidden="1" customHeight="1">
      <c r="A26" s="3" t="str">
        <f t="shared" si="5"/>
        <v>1°2°1211TPT</v>
      </c>
      <c r="B26" s="3" t="s">
        <v>48</v>
      </c>
      <c r="C26" s="3">
        <v>121</v>
      </c>
      <c r="D26" s="3" t="s">
        <v>41</v>
      </c>
      <c r="E26" s="3">
        <v>2673026</v>
      </c>
      <c r="F26" s="3" t="str">
        <f>VLOOKUP(D26,[1]Hoja1!$A:$K,11,0)</f>
        <v>PROCEDIMIENTOS TECNICOS</v>
      </c>
      <c r="G26" s="7"/>
      <c r="H26" s="7"/>
      <c r="I26" s="5"/>
      <c r="J26" s="5" t="s">
        <v>64</v>
      </c>
      <c r="K26" s="6" t="s">
        <v>63</v>
      </c>
      <c r="L26" s="5" t="str">
        <f>IFERROR(VLOOKUP(CONCATENATE(A26,"S"),[2]Hoja1!$B:$N,5,0)," ")</f>
        <v xml:space="preserve"> </v>
      </c>
      <c r="M26" s="6" t="str">
        <f>IFERROR(VLOOKUP(CONCATENATE(A26,"S"),[2]Hoja1!$B:$N,6,0)," ")</f>
        <v xml:space="preserve"> </v>
      </c>
      <c r="N26" s="4" t="str">
        <f t="shared" si="6"/>
        <v>PROVISIONAL</v>
      </c>
      <c r="O26" s="17" t="str">
        <f t="shared" si="7"/>
        <v xml:space="preserve">ETCHEVERRY MARTIN                            </v>
      </c>
      <c r="P26" s="4" t="str">
        <f>IF(O26="vacante","vacante",IFERROR(IF(VLOOKUP(IF((M26)=" ",IF(COUNTBLANK(K26),I26,K26),M26),[3]Hoja1!$B:$I,4,0)="licencia","vacante"," ")," "))</f>
        <v xml:space="preserve"> </v>
      </c>
      <c r="Q26" s="4"/>
      <c r="R26">
        <f t="shared" si="8"/>
        <v>11</v>
      </c>
      <c r="S26" t="str">
        <f t="shared" si="9"/>
        <v>1°2°11</v>
      </c>
    </row>
    <row r="27" spans="1:19" ht="18.75" hidden="1" customHeight="1">
      <c r="A27" s="3" t="str">
        <f t="shared" si="5"/>
        <v>1°2°1221TLT</v>
      </c>
      <c r="B27" s="3" t="s">
        <v>48</v>
      </c>
      <c r="C27" s="3">
        <v>122</v>
      </c>
      <c r="D27" s="3" t="s">
        <v>36</v>
      </c>
      <c r="E27" s="3">
        <v>2673027</v>
      </c>
      <c r="F27" s="3" t="str">
        <f>VLOOKUP(D27,[1]Hoja1!$A:$K,11,0)</f>
        <v>LENGUAJES TECNOLOGICOS</v>
      </c>
      <c r="G27" s="7"/>
      <c r="H27" s="7"/>
      <c r="I27" s="5"/>
      <c r="J27" s="5" t="s">
        <v>61</v>
      </c>
      <c r="K27" s="32" t="s">
        <v>781</v>
      </c>
      <c r="L27" s="5" t="str">
        <f>IFERROR(VLOOKUP(CONCATENATE(A27,"S"),[2]Hoja1!$B:$N,5,0)," ")</f>
        <v xml:space="preserve"> </v>
      </c>
      <c r="M27" s="6" t="str">
        <f>IFERROR(VLOOKUP(CONCATENATE(A27,"S"),[2]Hoja1!$B:$N,6,0)," ")</f>
        <v xml:space="preserve"> </v>
      </c>
      <c r="N27" s="4" t="str">
        <f t="shared" si="6"/>
        <v>PROVISIONAL</v>
      </c>
      <c r="O27" s="17" t="str">
        <f t="shared" si="7"/>
        <v>VALLBONA MIRNA SOLEDAD                   27289218209</v>
      </c>
      <c r="P27" s="4" t="str">
        <f>IF(O27="vacante","vacante",IFERROR(IF(VLOOKUP(IF((M27)=" ",IF(COUNTBLANK(K27),I27,K27),M27),[3]Hoja1!$B:$I,4,0)="licencia","vacante"," ")," "))</f>
        <v xml:space="preserve"> </v>
      </c>
      <c r="Q27" s="4"/>
      <c r="R27">
        <f t="shared" si="8"/>
        <v>12</v>
      </c>
      <c r="S27" t="str">
        <f t="shared" si="9"/>
        <v>1°2°12</v>
      </c>
    </row>
    <row r="28" spans="1:19" ht="18.75" hidden="1" customHeight="1">
      <c r="A28" s="3" t="str">
        <f t="shared" si="5"/>
        <v>1°2°1221TST</v>
      </c>
      <c r="B28" s="3" t="s">
        <v>48</v>
      </c>
      <c r="C28" s="3">
        <v>122</v>
      </c>
      <c r="D28" s="3" t="s">
        <v>38</v>
      </c>
      <c r="E28" s="3">
        <v>2673028</v>
      </c>
      <c r="F28" s="3" t="str">
        <f>VLOOKUP(D28,[1]Hoja1!$A:$K,11,0)</f>
        <v>SISTEMAS TECNOLOGICOS</v>
      </c>
      <c r="G28" s="7"/>
      <c r="H28" s="7"/>
      <c r="I28" s="5"/>
      <c r="J28" s="5"/>
      <c r="K28" s="6" t="s">
        <v>148</v>
      </c>
      <c r="L28" s="5" t="str">
        <f>IFERROR(VLOOKUP(CONCATENATE(A28,"S"),[2]Hoja1!$B:$N,5,0)," ")</f>
        <v xml:space="preserve"> </v>
      </c>
      <c r="M28" s="6" t="str">
        <f>IFERROR(VLOOKUP(CONCATENATE(A28,"S"),[2]Hoja1!$B:$N,6,0)," ")</f>
        <v xml:space="preserve"> </v>
      </c>
      <c r="N28" s="4" t="str">
        <f t="shared" si="6"/>
        <v>PROVISIONAL</v>
      </c>
      <c r="O28" s="17" t="str">
        <f t="shared" si="7"/>
        <v xml:space="preserve">ESCALADA ARNALDO     </v>
      </c>
      <c r="P28" s="4" t="str">
        <f>IF(O28="vacante","vacante",IFERROR(IF(VLOOKUP(IF((M28)=" ",IF(COUNTBLANK(K28),I28,K28),M28),[3]Hoja1!$B:$I,4,0)="licencia","vacante"," ")," "))</f>
        <v xml:space="preserve"> </v>
      </c>
      <c r="Q28" s="4"/>
      <c r="R28">
        <f t="shared" si="8"/>
        <v>13</v>
      </c>
      <c r="S28" t="str">
        <f t="shared" si="9"/>
        <v>1°2°13</v>
      </c>
    </row>
    <row r="29" spans="1:19" ht="18.75" hidden="1" customHeight="1">
      <c r="A29" s="3" t="str">
        <f t="shared" si="5"/>
        <v>1°2°1221TPT</v>
      </c>
      <c r="B29" s="3" t="s">
        <v>48</v>
      </c>
      <c r="C29" s="3">
        <v>122</v>
      </c>
      <c r="D29" s="3" t="s">
        <v>41</v>
      </c>
      <c r="E29" s="3">
        <v>2673029</v>
      </c>
      <c r="F29" s="3" t="str">
        <f>VLOOKUP(D29,[1]Hoja1!$A:$K,11,0)</f>
        <v>PROCEDIMIENTOS TECNICOS</v>
      </c>
      <c r="G29" s="7"/>
      <c r="H29" s="7"/>
      <c r="I29" s="5"/>
      <c r="J29" s="5" t="s">
        <v>64</v>
      </c>
      <c r="K29" s="6" t="s">
        <v>63</v>
      </c>
      <c r="L29" s="5" t="str">
        <f>IFERROR(VLOOKUP(CONCATENATE(A29,"S"),[2]Hoja1!$B:$N,5,0)," ")</f>
        <v xml:space="preserve"> </v>
      </c>
      <c r="M29" s="6" t="str">
        <f>IFERROR(VLOOKUP(CONCATENATE(A29,"S"),[2]Hoja1!$B:$N,6,0)," ")</f>
        <v xml:space="preserve"> </v>
      </c>
      <c r="N29" s="4" t="str">
        <f t="shared" si="6"/>
        <v>PROVISIONAL</v>
      </c>
      <c r="O29" s="17" t="str">
        <f t="shared" si="7"/>
        <v xml:space="preserve">ETCHEVERRY MARTIN                            </v>
      </c>
      <c r="P29" s="4" t="str">
        <f>IF(O29="vacante","vacante",IFERROR(IF(VLOOKUP(IF((M29)=" ",IF(COUNTBLANK(K29),I29,K29),M29),[3]Hoja1!$B:$I,4,0)="licencia","vacante"," ")," "))</f>
        <v xml:space="preserve"> </v>
      </c>
      <c r="Q29" s="4"/>
      <c r="R29">
        <f t="shared" si="8"/>
        <v>14</v>
      </c>
      <c r="S29" t="str">
        <f t="shared" si="9"/>
        <v>1°2°14</v>
      </c>
    </row>
    <row r="30" spans="1:19" ht="18.75" hidden="1" customHeight="1">
      <c r="A30" s="3" t="str">
        <f t="shared" si="5"/>
        <v>1°3°1NAT</v>
      </c>
      <c r="B30" s="3" t="s">
        <v>66</v>
      </c>
      <c r="C30" s="3"/>
      <c r="D30" s="3" t="s">
        <v>16</v>
      </c>
      <c r="E30" s="3">
        <v>2683140</v>
      </c>
      <c r="F30" s="3" t="str">
        <f>VLOOKUP(D30,[1]Hoja1!$A:$K,11,0)</f>
        <v>CIENCIAS NATURALES</v>
      </c>
      <c r="G30" s="7" t="s">
        <v>17</v>
      </c>
      <c r="H30" s="7" t="s">
        <v>18</v>
      </c>
      <c r="I30" s="5" t="s">
        <v>19</v>
      </c>
      <c r="J30" s="5"/>
      <c r="K30" s="6"/>
      <c r="L30" s="5" t="str">
        <f>IFERROR(VLOOKUP(CONCATENATE(A30,"S"),[2]Hoja1!$B:$N,5,0)," ")</f>
        <v xml:space="preserve"> </v>
      </c>
      <c r="M30" s="6" t="str">
        <f>IFERROR(VLOOKUP(CONCATENATE(A30,"S"),[2]Hoja1!$B:$N,6,0)," ")</f>
        <v xml:space="preserve"> </v>
      </c>
      <c r="N30" s="4" t="str">
        <f t="shared" si="6"/>
        <v>TITULAR</v>
      </c>
      <c r="O30" s="17" t="str">
        <f t="shared" si="7"/>
        <v>FARIAS CLAUDIA ANTONIA</v>
      </c>
      <c r="P30" s="4" t="str">
        <f>IF(O30="vacante","vacante",IFERROR(IF(VLOOKUP(IF((M30)=" ",IF(COUNTBLANK(K30),I30,K30),M30),[3]Hoja1!$B:$I,4,0)="licencia","vacante"," ")," "))</f>
        <v xml:space="preserve"> </v>
      </c>
      <c r="Q30" s="4"/>
      <c r="R30">
        <f t="shared" si="8"/>
        <v>1</v>
      </c>
      <c r="S30" t="str">
        <f t="shared" si="9"/>
        <v>1°3°1</v>
      </c>
    </row>
    <row r="31" spans="1:19" ht="18.75" hidden="1" customHeight="1">
      <c r="A31" s="3" t="str">
        <f t="shared" si="5"/>
        <v>1°3°1SOC</v>
      </c>
      <c r="B31" s="3" t="s">
        <v>66</v>
      </c>
      <c r="C31" s="3"/>
      <c r="D31" s="3" t="s">
        <v>20</v>
      </c>
      <c r="E31" s="3">
        <v>733446</v>
      </c>
      <c r="F31" s="3" t="str">
        <f>VLOOKUP(D31,[1]Hoja1!$A:$K,11,0)</f>
        <v>CIENCIAS SOCIALES</v>
      </c>
      <c r="G31" s="7" t="s">
        <v>69</v>
      </c>
      <c r="H31" s="7"/>
      <c r="I31" s="5" t="s">
        <v>70</v>
      </c>
      <c r="J31" s="5"/>
      <c r="K31" s="6"/>
      <c r="L31" s="5" t="str">
        <f>IFERROR(VLOOKUP(CONCATENATE(A31,"S"),[2]Hoja1!$B:$N,5,0)," ")</f>
        <v xml:space="preserve"> </v>
      </c>
      <c r="M31" s="6" t="str">
        <f>IFERROR(VLOOKUP(CONCATENATE(A31,"S"),[2]Hoja1!$B:$N,6,0)," ")</f>
        <v xml:space="preserve"> </v>
      </c>
      <c r="N31" s="4" t="str">
        <f t="shared" si="6"/>
        <v>TITULAR</v>
      </c>
      <c r="O31" s="17" t="str">
        <f t="shared" si="7"/>
        <v xml:space="preserve">TORRES LUIS                    </v>
      </c>
      <c r="P31" s="4" t="str">
        <f>IF(O31="vacante","vacante",IFERROR(IF(VLOOKUP(IF((M31)=" ",IF(COUNTBLANK(K31),I31,K31),M31),[3]Hoja1!$B:$I,4,0)="licencia","vacante"," ")," "))</f>
        <v xml:space="preserve"> </v>
      </c>
      <c r="Q31" s="4"/>
      <c r="R31">
        <f t="shared" si="8"/>
        <v>2</v>
      </c>
      <c r="S31" t="str">
        <f t="shared" si="9"/>
        <v>1°3°2</v>
      </c>
    </row>
    <row r="32" spans="1:19" ht="18.75" hidden="1" customHeight="1">
      <c r="A32" s="3" t="str">
        <f t="shared" si="5"/>
        <v>1°3°1ART</v>
      </c>
      <c r="B32" s="3" t="s">
        <v>66</v>
      </c>
      <c r="C32" s="3"/>
      <c r="D32" s="3" t="s">
        <v>21</v>
      </c>
      <c r="E32" s="3">
        <v>733699</v>
      </c>
      <c r="F32" s="3" t="str">
        <f>VLOOKUP(D32,[1]Hoja1!$A:$K,11,0)</f>
        <v>EDUCACION ARTISTICA (PLASTICA)</v>
      </c>
      <c r="G32" s="7"/>
      <c r="H32" s="7"/>
      <c r="I32" s="5" t="s">
        <v>651</v>
      </c>
      <c r="J32" s="5"/>
      <c r="K32" s="6"/>
      <c r="L32" s="5" t="str">
        <f>IFERROR(VLOOKUP(CONCATENATE(A32,"S"),[2]Hoja1!$B:$N,5,0)," ")</f>
        <v xml:space="preserve"> </v>
      </c>
      <c r="M32" s="6" t="str">
        <f>IFERROR(VLOOKUP(CONCATENATE(A32,"S"),[2]Hoja1!$B:$N,6,0)," ")</f>
        <v xml:space="preserve"> </v>
      </c>
      <c r="N32" s="4" t="str">
        <f t="shared" si="6"/>
        <v>TITULAR</v>
      </c>
      <c r="O32" s="17" t="str">
        <f t="shared" si="7"/>
        <v>CHAWET MATIAS</v>
      </c>
      <c r="P32" s="4" t="str">
        <f>IF(O32="vacante","vacante",IFERROR(IF(VLOOKUP(IF((M32)=" ",IF(COUNTBLANK(K32),I32,K32),M32),[3]Hoja1!$B:$I,4,0)="licencia","vacante"," ")," "))</f>
        <v xml:space="preserve"> </v>
      </c>
      <c r="Q32" s="4"/>
      <c r="R32">
        <f t="shared" si="8"/>
        <v>3</v>
      </c>
      <c r="S32" t="str">
        <f t="shared" si="9"/>
        <v>1°3°3</v>
      </c>
    </row>
    <row r="33" spans="1:19" ht="18.75" hidden="1" customHeight="1">
      <c r="A33" s="3" t="str">
        <f t="shared" si="5"/>
        <v>1°3°1EFI</v>
      </c>
      <c r="B33" s="3" t="s">
        <v>66</v>
      </c>
      <c r="C33" s="3"/>
      <c r="D33" s="3" t="s">
        <v>23</v>
      </c>
      <c r="E33" s="3">
        <v>816361</v>
      </c>
      <c r="F33" s="3" t="str">
        <f>VLOOKUP(D33,[1]Hoja1!$A:$K,11,0)</f>
        <v>EDUCACIÓN FISICA</v>
      </c>
      <c r="G33" s="7"/>
      <c r="H33" s="7"/>
      <c r="I33" s="5"/>
      <c r="J33" s="5"/>
      <c r="K33" s="6" t="s">
        <v>758</v>
      </c>
      <c r="L33" s="5" t="str">
        <f>IFERROR(VLOOKUP(CONCATENATE(A33,"S"),[2]Hoja1!$B:$N,5,0)," ")</f>
        <v xml:space="preserve"> </v>
      </c>
      <c r="M33" s="6" t="str">
        <f>IFERROR(VLOOKUP(CONCATENATE(A33,"S"),[2]Hoja1!$B:$N,6,0)," ")</f>
        <v xml:space="preserve"> </v>
      </c>
      <c r="N33" s="4" t="str">
        <f t="shared" si="6"/>
        <v>PROVISIONAL</v>
      </c>
      <c r="O33" s="17" t="str">
        <f t="shared" si="7"/>
        <v>LUDUEÑA NELSON           20-29.569.203-1</v>
      </c>
      <c r="P33" s="4" t="str">
        <f>IF(O33="vacante","vacante",IFERROR(IF(VLOOKUP(IF((M33)=" ",IF(COUNTBLANK(K33),I33,K33),M33),[3]Hoja1!$B:$I,4,0)="licencia","vacante"," ")," "))</f>
        <v xml:space="preserve"> </v>
      </c>
      <c r="Q33" s="4"/>
      <c r="R33">
        <f t="shared" si="8"/>
        <v>4</v>
      </c>
      <c r="S33" t="str">
        <f t="shared" si="9"/>
        <v>1°3°4</v>
      </c>
    </row>
    <row r="34" spans="1:19" ht="18.75" hidden="1" customHeight="1">
      <c r="A34" s="3" t="str">
        <f t="shared" si="5"/>
        <v>1°3°1ING</v>
      </c>
      <c r="B34" s="3" t="s">
        <v>66</v>
      </c>
      <c r="C34" s="3"/>
      <c r="D34" s="3" t="s">
        <v>26</v>
      </c>
      <c r="E34" s="3">
        <v>733464</v>
      </c>
      <c r="F34" s="3" t="str">
        <f>VLOOKUP(D34,[1]Hoja1!$A:$K,11,0)</f>
        <v>INGLÉS</v>
      </c>
      <c r="G34" s="7"/>
      <c r="H34" s="7"/>
      <c r="I34" s="5"/>
      <c r="J34" s="7">
        <v>30181613</v>
      </c>
      <c r="K34" s="5" t="s">
        <v>567</v>
      </c>
      <c r="L34" s="5" t="str">
        <f>IFERROR(VLOOKUP(CONCATENATE(A34,"S"),[2]Hoja1!$B:$N,5,0)," ")</f>
        <v xml:space="preserve"> </v>
      </c>
      <c r="M34" s="6" t="str">
        <f>IFERROR(VLOOKUP(CONCATENATE(A34,"S"),[2]Hoja1!$B:$N,6,0)," ")</f>
        <v xml:space="preserve"> </v>
      </c>
      <c r="N34" s="4" t="str">
        <f t="shared" si="6"/>
        <v>PROVISIONAL</v>
      </c>
      <c r="O34" s="17" t="str">
        <f t="shared" si="7"/>
        <v>RAMIREZ GISELE</v>
      </c>
      <c r="P34" s="4" t="str">
        <f>IF(O34="vacante","vacante",IFERROR(IF(VLOOKUP(IF((M34)=" ",IF(COUNTBLANK(K34),I34,K34),M34),[3]Hoja1!$B:$I,4,0)="licencia","vacante"," ")," "))</f>
        <v xml:space="preserve"> </v>
      </c>
      <c r="Q34" s="4"/>
      <c r="R34">
        <f t="shared" si="8"/>
        <v>5</v>
      </c>
      <c r="S34" t="str">
        <f t="shared" si="9"/>
        <v>1°3°5</v>
      </c>
    </row>
    <row r="35" spans="1:19" ht="18.75" hidden="1" customHeight="1">
      <c r="A35" s="3" t="str">
        <f t="shared" si="5"/>
        <v>1°3°1MAT</v>
      </c>
      <c r="B35" s="3" t="s">
        <v>66</v>
      </c>
      <c r="C35" s="3"/>
      <c r="D35" s="3" t="s">
        <v>29</v>
      </c>
      <c r="E35" s="3">
        <v>733452</v>
      </c>
      <c r="F35" s="3" t="str">
        <f>VLOOKUP(D35,[1]Hoja1!$A:$K,11,0)</f>
        <v>MATEMATICA</v>
      </c>
      <c r="G35" s="7" t="s">
        <v>71</v>
      </c>
      <c r="H35" s="7" t="s">
        <v>72</v>
      </c>
      <c r="I35" s="5" t="s">
        <v>50</v>
      </c>
      <c r="J35" s="5"/>
      <c r="K35" s="6"/>
      <c r="L35" s="5" t="str">
        <f>IFERROR(VLOOKUP(CONCATENATE(A35,"S"),[2]Hoja1!$B:$N,5,0)," ")</f>
        <v xml:space="preserve"> </v>
      </c>
      <c r="M35" s="6" t="str">
        <f>IFERROR(VLOOKUP(CONCATENATE(A35,"S"),[2]Hoja1!$B:$N,6,0)," ")</f>
        <v xml:space="preserve"> </v>
      </c>
      <c r="N35" s="4" t="str">
        <f t="shared" si="6"/>
        <v>TITULAR</v>
      </c>
      <c r="O35" s="17" t="str">
        <f t="shared" si="7"/>
        <v xml:space="preserve">ESPINDOLA SERGIO                          </v>
      </c>
      <c r="P35" s="4" t="str">
        <f>IF(O35="vacante","vacante",IFERROR(IF(VLOOKUP(IF((M35)=" ",IF(COUNTBLANK(K35),I35,K35),M35),[3]Hoja1!$B:$I,4,0)="licencia","vacante"," ")," "))</f>
        <v xml:space="preserve"> </v>
      </c>
      <c r="Q35" s="4"/>
      <c r="R35">
        <f t="shared" si="8"/>
        <v>6</v>
      </c>
      <c r="S35" t="str">
        <f t="shared" si="9"/>
        <v>1°3°6</v>
      </c>
    </row>
    <row r="36" spans="1:19" ht="18.75" hidden="1" customHeight="1">
      <c r="A36" s="3" t="str">
        <f t="shared" si="5"/>
        <v>1°3°1LEN</v>
      </c>
      <c r="B36" s="3" t="s">
        <v>66</v>
      </c>
      <c r="C36" s="3"/>
      <c r="D36" s="3" t="s">
        <v>32</v>
      </c>
      <c r="E36" s="3">
        <v>733507</v>
      </c>
      <c r="F36" s="3" t="str">
        <f>VLOOKUP(D36,[1]Hoja1!$A:$K,11,0)</f>
        <v>PRACTICA DEL LENGUAJE</v>
      </c>
      <c r="G36" s="7">
        <v>13642940</v>
      </c>
      <c r="H36" s="7" t="s">
        <v>73</v>
      </c>
      <c r="I36" s="5" t="s">
        <v>74</v>
      </c>
      <c r="J36" s="5"/>
      <c r="K36" s="6"/>
      <c r="L36" s="5" t="str">
        <f>IFERROR(VLOOKUP(CONCATENATE(A36,"S"),[2]Hoja1!$B:$N,5,0)," ")</f>
        <v xml:space="preserve"> </v>
      </c>
      <c r="M36" s="6" t="str">
        <f>IFERROR(VLOOKUP(CONCATENATE(A36,"S"),[2]Hoja1!$B:$N,6,0)," ")</f>
        <v xml:space="preserve"> </v>
      </c>
      <c r="N36" s="4" t="str">
        <f t="shared" si="6"/>
        <v>TITULAR</v>
      </c>
      <c r="O36" s="17" t="str">
        <f t="shared" si="7"/>
        <v xml:space="preserve">CARESTIA, NOEMI </v>
      </c>
      <c r="P36" s="4" t="str">
        <f>IF(O36="vacante","vacante",IFERROR(IF(VLOOKUP(IF((M36)=" ",IF(COUNTBLANK(K36),I36,K36),M36),[3]Hoja1!$B:$I,4,0)="licencia","vacante"," ")," "))</f>
        <v xml:space="preserve"> </v>
      </c>
      <c r="Q36" s="4"/>
      <c r="R36">
        <f t="shared" si="8"/>
        <v>7</v>
      </c>
      <c r="S36" t="str">
        <f t="shared" si="9"/>
        <v>1°3°7</v>
      </c>
    </row>
    <row r="37" spans="1:19" ht="18.75" hidden="1" customHeight="1">
      <c r="A37" s="3" t="str">
        <f t="shared" si="5"/>
        <v>1°3°1CCD</v>
      </c>
      <c r="B37" s="3" t="s">
        <v>66</v>
      </c>
      <c r="C37" s="3"/>
      <c r="D37" s="3" t="s">
        <v>33</v>
      </c>
      <c r="E37" s="3">
        <v>2683142</v>
      </c>
      <c r="F37" s="3" t="str">
        <f>VLOOKUP(D37,[1]Hoja1!$A:$K,11,0)</f>
        <v>CONSTRUCCION DE LA CIUDADANIA</v>
      </c>
      <c r="G37" s="7" t="s">
        <v>75</v>
      </c>
      <c r="H37" s="7"/>
      <c r="I37" s="5" t="s">
        <v>76</v>
      </c>
      <c r="J37" s="5"/>
      <c r="K37" s="6"/>
      <c r="L37" s="5" t="str">
        <f>IFERROR(VLOOKUP(CONCATENATE(A37,"S"),[2]Hoja1!$B:$N,5,0)," ")</f>
        <v xml:space="preserve"> </v>
      </c>
      <c r="M37" s="6" t="str">
        <f>IFERROR(VLOOKUP(CONCATENATE(A37,"S"),[2]Hoja1!$B:$N,6,0)," ")</f>
        <v xml:space="preserve"> </v>
      </c>
      <c r="N37" s="4" t="str">
        <f t="shared" si="6"/>
        <v>TITULAR</v>
      </c>
      <c r="O37" s="17" t="str">
        <f t="shared" si="7"/>
        <v xml:space="preserve">HERRERA CARMEN                    </v>
      </c>
      <c r="P37" s="4" t="str">
        <f>IF(O37="vacante","vacante",IFERROR(IF(VLOOKUP(IF((M37)=" ",IF(COUNTBLANK(K37),I37,K37),M37),[3]Hoja1!$B:$I,4,0)="licencia","vacante"," ")," "))</f>
        <v xml:space="preserve"> </v>
      </c>
      <c r="Q37" s="4"/>
      <c r="R37">
        <f t="shared" si="8"/>
        <v>8</v>
      </c>
      <c r="S37" t="str">
        <f t="shared" si="9"/>
        <v>1°3°8</v>
      </c>
    </row>
    <row r="38" spans="1:19" ht="18.75" hidden="1" customHeight="1">
      <c r="A38" s="3" t="str">
        <f t="shared" si="5"/>
        <v>1°3°1311TLT</v>
      </c>
      <c r="B38" s="3" t="s">
        <v>66</v>
      </c>
      <c r="C38" s="3">
        <v>131</v>
      </c>
      <c r="D38" s="3" t="s">
        <v>36</v>
      </c>
      <c r="E38" s="3">
        <v>2673072</v>
      </c>
      <c r="F38" s="3" t="str">
        <f>VLOOKUP(D38,[1]Hoja1!$A:$K,11,0)</f>
        <v>LENGUAJES TECNOLOGICOS</v>
      </c>
      <c r="G38" s="7"/>
      <c r="H38" s="7"/>
      <c r="I38" s="5"/>
      <c r="J38" s="5" t="s">
        <v>77</v>
      </c>
      <c r="K38" s="6" t="s">
        <v>784</v>
      </c>
      <c r="L38" s="5" t="str">
        <f>IFERROR(VLOOKUP(CONCATENATE(A38,"S"),[2]Hoja1!$B:$N,5,0)," ")</f>
        <v xml:space="preserve"> </v>
      </c>
      <c r="M38" s="6" t="str">
        <f>IFERROR(VLOOKUP(CONCATENATE(A38,"S"),[2]Hoja1!$B:$N,6,0)," ")</f>
        <v xml:space="preserve"> </v>
      </c>
      <c r="N38" s="4" t="str">
        <f t="shared" si="6"/>
        <v>PROVISIONAL</v>
      </c>
      <c r="O38" s="17" t="str">
        <f t="shared" si="7"/>
        <v>BELIZAN</v>
      </c>
      <c r="P38" s="4" t="str">
        <f>IF(O38="vacante","vacante",IFERROR(IF(VLOOKUP(IF((M38)=" ",IF(COUNTBLANK(K38),I38,K38),M38),[3]Hoja1!$B:$I,4,0)="licencia","vacante"," ")," "))</f>
        <v xml:space="preserve"> </v>
      </c>
      <c r="Q38" s="4"/>
      <c r="R38">
        <f t="shared" si="8"/>
        <v>9</v>
      </c>
      <c r="S38" t="str">
        <f t="shared" si="9"/>
        <v>1°3°9</v>
      </c>
    </row>
    <row r="39" spans="1:19" ht="18.75" hidden="1" customHeight="1">
      <c r="A39" s="3" t="str">
        <f t="shared" si="5"/>
        <v>1°3°1311TST</v>
      </c>
      <c r="B39" s="3" t="s">
        <v>66</v>
      </c>
      <c r="C39" s="3">
        <v>131</v>
      </c>
      <c r="D39" s="3" t="s">
        <v>38</v>
      </c>
      <c r="E39" s="3">
        <v>2673076</v>
      </c>
      <c r="F39" s="3" t="str">
        <f>VLOOKUP(D39,[1]Hoja1!$A:$K,11,0)</f>
        <v>SISTEMAS TECNOLOGICOS</v>
      </c>
      <c r="G39" s="7">
        <v>16354054</v>
      </c>
      <c r="H39" s="7" t="s">
        <v>78</v>
      </c>
      <c r="I39" s="5"/>
      <c r="J39" s="5" t="s">
        <v>710</v>
      </c>
      <c r="K39" s="6" t="s">
        <v>709</v>
      </c>
      <c r="L39" s="5" t="str">
        <f>IFERROR(VLOOKUP(CONCATENATE(A39,"S"),[2]Hoja1!$B:$N,5,0)," ")</f>
        <v xml:space="preserve"> </v>
      </c>
      <c r="M39" s="6" t="str">
        <f>IFERROR(VLOOKUP(CONCATENATE(A39,"S"),[2]Hoja1!$B:$N,6,0)," ")</f>
        <v xml:space="preserve"> </v>
      </c>
      <c r="N39" s="4" t="str">
        <f t="shared" si="6"/>
        <v>PROVISIONAL</v>
      </c>
      <c r="O39" s="17" t="str">
        <f t="shared" si="7"/>
        <v>CASTILLO MARISOL ANABEL</v>
      </c>
      <c r="P39" s="4" t="str">
        <f>IF(O39="vacante","vacante",IFERROR(IF(VLOOKUP(IF((M39)=" ",IF(COUNTBLANK(K39),I39,K39),M39),[3]Hoja1!$B:$I,4,0)="licencia","vacante"," ")," "))</f>
        <v xml:space="preserve"> </v>
      </c>
      <c r="Q39" s="4"/>
      <c r="R39">
        <f t="shared" si="8"/>
        <v>10</v>
      </c>
      <c r="S39" t="str">
        <f t="shared" si="9"/>
        <v>1°3°10</v>
      </c>
    </row>
    <row r="40" spans="1:19" ht="18.75" hidden="1" customHeight="1">
      <c r="A40" s="3" t="str">
        <f t="shared" si="5"/>
        <v>1°3°1311TPT</v>
      </c>
      <c r="B40" s="3" t="s">
        <v>66</v>
      </c>
      <c r="C40" s="3">
        <v>131</v>
      </c>
      <c r="D40" s="3" t="s">
        <v>41</v>
      </c>
      <c r="E40" s="3">
        <v>2673079</v>
      </c>
      <c r="F40" s="3" t="str">
        <f>VLOOKUP(D40,[1]Hoja1!$A:$K,11,0)</f>
        <v>PROCEDIMIENTOS TECNICOS</v>
      </c>
      <c r="G40" s="7" t="s">
        <v>79</v>
      </c>
      <c r="H40" s="7" t="s">
        <v>80</v>
      </c>
      <c r="I40" s="5" t="s">
        <v>81</v>
      </c>
      <c r="J40" s="5"/>
      <c r="K40" s="6"/>
      <c r="L40" s="5">
        <f>IFERROR(VLOOKUP(CONCATENATE(A40,"S"),[2]Hoja1!$B:$N,5,0)," ")</f>
        <v>0</v>
      </c>
      <c r="M40" s="6" t="str">
        <f>IFERROR(VLOOKUP(CONCATENATE(A40,"S"),[2]Hoja1!$B:$N,6,0)," ")</f>
        <v xml:space="preserve"> ESPINDOLA SERGIO DANIEL</v>
      </c>
      <c r="N40" s="4" t="str">
        <f t="shared" si="6"/>
        <v>SUPLENTE</v>
      </c>
      <c r="O40" s="17" t="str">
        <f t="shared" si="7"/>
        <v xml:space="preserve"> ESPINDOLA SERGIO DANIEL</v>
      </c>
      <c r="P40" s="4" t="str">
        <f>IF(O40="vacante","vacante",IFERROR(IF(VLOOKUP(IF((M40)=" ",IF(COUNTBLANK(K40),I40,K40),M40),[3]Hoja1!$B:$I,4,0)="licencia","vacante"," ")," "))</f>
        <v xml:space="preserve"> </v>
      </c>
      <c r="Q40" s="4"/>
      <c r="R40">
        <f t="shared" si="8"/>
        <v>11</v>
      </c>
      <c r="S40" t="str">
        <f t="shared" si="9"/>
        <v>1°3°11</v>
      </c>
    </row>
    <row r="41" spans="1:19" ht="18.75" hidden="1" customHeight="1">
      <c r="A41" s="3" t="str">
        <f t="shared" si="5"/>
        <v>1°3°1321TLT</v>
      </c>
      <c r="B41" s="3" t="s">
        <v>66</v>
      </c>
      <c r="C41" s="3">
        <v>132</v>
      </c>
      <c r="D41" s="3" t="s">
        <v>36</v>
      </c>
      <c r="E41" s="3">
        <v>2673082</v>
      </c>
      <c r="F41" s="3" t="str">
        <f>VLOOKUP(D41,[1]Hoja1!$A:$K,11,0)</f>
        <v>LENGUAJES TECNOLOGICOS</v>
      </c>
      <c r="G41" s="7"/>
      <c r="H41" s="7"/>
      <c r="I41" s="5"/>
      <c r="J41" s="5" t="s">
        <v>82</v>
      </c>
      <c r="K41" s="6" t="s">
        <v>784</v>
      </c>
      <c r="L41" s="5" t="str">
        <f>IFERROR(VLOOKUP(CONCATENATE(A41,"S"),[2]Hoja1!$B:$N,5,0)," ")</f>
        <v xml:space="preserve"> </v>
      </c>
      <c r="M41" s="6" t="str">
        <f>IFERROR(VLOOKUP(CONCATENATE(A41,"S"),[2]Hoja1!$B:$N,6,0)," ")</f>
        <v xml:space="preserve"> </v>
      </c>
      <c r="N41" s="4" t="str">
        <f t="shared" si="6"/>
        <v>PROVISIONAL</v>
      </c>
      <c r="O41" s="17" t="str">
        <f t="shared" si="7"/>
        <v>BELIZAN</v>
      </c>
      <c r="P41" s="4" t="str">
        <f>IF(O41="vacante","vacante",IFERROR(IF(VLOOKUP(IF((M41)=" ",IF(COUNTBLANK(K41),I41,K41),M41),[3]Hoja1!$B:$I,4,0)="licencia","vacante"," ")," "))</f>
        <v xml:space="preserve"> </v>
      </c>
      <c r="Q41" s="4"/>
      <c r="R41">
        <f t="shared" si="8"/>
        <v>12</v>
      </c>
      <c r="S41" t="str">
        <f t="shared" si="9"/>
        <v>1°3°12</v>
      </c>
    </row>
    <row r="42" spans="1:19" ht="18.75" hidden="1" customHeight="1">
      <c r="A42" s="3" t="str">
        <f t="shared" ref="A42:A69" si="10">CONCATENATE(B42,C42,D42)</f>
        <v>1°3°1321TST</v>
      </c>
      <c r="B42" s="3" t="s">
        <v>66</v>
      </c>
      <c r="C42" s="3">
        <v>132</v>
      </c>
      <c r="D42" s="3" t="s">
        <v>38</v>
      </c>
      <c r="E42" s="3">
        <v>2673083</v>
      </c>
      <c r="F42" s="3" t="str">
        <f>VLOOKUP(D42,[1]Hoja1!$A:$K,11,0)</f>
        <v>SISTEMAS TECNOLOGICOS</v>
      </c>
      <c r="G42" s="7" t="s">
        <v>83</v>
      </c>
      <c r="H42" s="7" t="s">
        <v>84</v>
      </c>
      <c r="I42" s="5"/>
      <c r="J42" s="5" t="s">
        <v>608</v>
      </c>
      <c r="K42" s="6" t="s">
        <v>401</v>
      </c>
      <c r="L42" s="5">
        <f>IFERROR(VLOOKUP(CONCATENATE(A42,"S"),[2]Hoja1!$B:$N,5,0)," ")</f>
        <v>0</v>
      </c>
      <c r="M42" s="6" t="str">
        <f>IFERROR(VLOOKUP(CONCATENATE(A42,"S"),[2]Hoja1!$B:$N,6,0)," ")</f>
        <v>GUTIERREZ NICOLAS</v>
      </c>
      <c r="N42" s="4" t="str">
        <f t="shared" ref="N42:N69" si="11">IF((M42)=" ",IF(COUNTBLANK(K42),"TITULAR","PROVISIONAL"),"SUPLENTE")</f>
        <v>SUPLENTE</v>
      </c>
      <c r="O42" s="17" t="str">
        <f t="shared" ref="O42:O69" si="12">IF((M42)=" ",IF(COUNTBLANK(K42),I42,K42),M42)</f>
        <v>GUTIERREZ NICOLAS</v>
      </c>
      <c r="P42" s="4" t="str">
        <f>IF(O42="vacante","vacante",IFERROR(IF(VLOOKUP(IF((M42)=" ",IF(COUNTBLANK(K42),I42,K42),M42),[3]Hoja1!$B:$I,4,0)="licencia","vacante"," ")," "))</f>
        <v xml:space="preserve"> </v>
      </c>
      <c r="Q42" s="4"/>
      <c r="R42">
        <f t="shared" ref="R42:R69" si="13">IF(B42=B41,R41+1,1)</f>
        <v>13</v>
      </c>
      <c r="S42" t="str">
        <f t="shared" ref="S42:S69" si="14">CONCATENATE(B42,R42)</f>
        <v>1°3°13</v>
      </c>
    </row>
    <row r="43" spans="1:19" ht="18.75" hidden="1" customHeight="1">
      <c r="A43" s="3" t="str">
        <f t="shared" si="10"/>
        <v>1°3°1321TPT</v>
      </c>
      <c r="B43" s="3" t="s">
        <v>66</v>
      </c>
      <c r="C43" s="3">
        <v>132</v>
      </c>
      <c r="D43" s="3" t="s">
        <v>41</v>
      </c>
      <c r="E43" s="3">
        <v>2673084</v>
      </c>
      <c r="F43" s="3" t="str">
        <f>VLOOKUP(D43,[1]Hoja1!$A:$K,11,0)</f>
        <v>PROCEDIMIENTOS TECNICOS</v>
      </c>
      <c r="G43" s="7" t="s">
        <v>85</v>
      </c>
      <c r="H43" s="7" t="s">
        <v>80</v>
      </c>
      <c r="I43" s="5" t="s">
        <v>86</v>
      </c>
      <c r="J43" s="5"/>
      <c r="K43" s="6"/>
      <c r="L43" s="5">
        <f>IFERROR(VLOOKUP(CONCATENATE(A43,"S"),[2]Hoja1!$B:$N,5,0)," ")</f>
        <v>0</v>
      </c>
      <c r="M43" s="6" t="str">
        <f>IFERROR(VLOOKUP(CONCATENATE(A43,"S"),[2]Hoja1!$B:$N,6,0)," ")</f>
        <v>GENARO ARIEL AVILA SANTILLAN</v>
      </c>
      <c r="N43" s="4" t="str">
        <f t="shared" si="11"/>
        <v>SUPLENTE</v>
      </c>
      <c r="O43" s="17" t="str">
        <f t="shared" si="12"/>
        <v>GENARO ARIEL AVILA SANTILLAN</v>
      </c>
      <c r="P43" s="4" t="str">
        <f>IF(O43="vacante","vacante",IFERROR(IF(VLOOKUP(IF((M43)=" ",IF(COUNTBLANK(K43),I43,K43),M43),[3]Hoja1!$B:$I,4,0)="licencia","vacante"," ")," "))</f>
        <v xml:space="preserve"> </v>
      </c>
      <c r="Q43" s="4"/>
      <c r="R43">
        <f t="shared" si="13"/>
        <v>14</v>
      </c>
      <c r="S43" t="str">
        <f t="shared" si="14"/>
        <v>1°3°14</v>
      </c>
    </row>
    <row r="44" spans="1:19" ht="18.75" hidden="1" customHeight="1">
      <c r="A44" s="3" t="str">
        <f t="shared" si="10"/>
        <v>1°4°1NAT</v>
      </c>
      <c r="B44" s="3" t="s">
        <v>87</v>
      </c>
      <c r="C44" s="3"/>
      <c r="D44" s="3" t="s">
        <v>16</v>
      </c>
      <c r="E44" s="3">
        <v>1493342</v>
      </c>
      <c r="F44" s="3" t="str">
        <f>VLOOKUP(D44,[1]Hoja1!$A:$K,11,0)</f>
        <v>CIENCIAS NATURALES</v>
      </c>
      <c r="G44" s="7" t="s">
        <v>88</v>
      </c>
      <c r="H44" s="7"/>
      <c r="I44" s="5" t="s">
        <v>89</v>
      </c>
      <c r="J44" s="5"/>
      <c r="K44" s="6"/>
      <c r="L44" s="5" t="str">
        <f>IFERROR(VLOOKUP(CONCATENATE(A44,"S"),[2]Hoja1!$B:$N,5,0)," ")</f>
        <v xml:space="preserve"> </v>
      </c>
      <c r="M44" s="6" t="str">
        <f>IFERROR(VLOOKUP(CONCATENATE(A44,"S"),[2]Hoja1!$B:$N,6,0)," ")</f>
        <v xml:space="preserve"> </v>
      </c>
      <c r="N44" s="4" t="str">
        <f t="shared" si="11"/>
        <v>TITULAR</v>
      </c>
      <c r="O44" s="17" t="str">
        <f t="shared" si="12"/>
        <v xml:space="preserve">DA CHILE IGLESIAS V                 </v>
      </c>
      <c r="P44" s="4" t="str">
        <f>IF(O44="vacante","vacante",IFERROR(IF(VLOOKUP(IF((M44)=" ",IF(COUNTBLANK(K44),I44,K44),M44),[3]Hoja1!$B:$I,4,0)="licencia","vacante"," ")," "))</f>
        <v xml:space="preserve"> </v>
      </c>
      <c r="Q44" s="4"/>
      <c r="R44">
        <f t="shared" si="13"/>
        <v>1</v>
      </c>
      <c r="S44" t="str">
        <f t="shared" si="14"/>
        <v>1°4°1</v>
      </c>
    </row>
    <row r="45" spans="1:19" ht="18.75" hidden="1" customHeight="1">
      <c r="A45" s="3" t="str">
        <f t="shared" si="10"/>
        <v>1°4°1SOC</v>
      </c>
      <c r="B45" s="3" t="s">
        <v>87</v>
      </c>
      <c r="C45" s="3"/>
      <c r="D45" s="3" t="s">
        <v>20</v>
      </c>
      <c r="E45" s="3">
        <v>1493343</v>
      </c>
      <c r="F45" s="3" t="str">
        <f>VLOOKUP(D45,[1]Hoja1!$A:$K,11,0)</f>
        <v>CIENCIAS SOCIALES</v>
      </c>
      <c r="G45" s="7" t="s">
        <v>90</v>
      </c>
      <c r="H45" s="7"/>
      <c r="I45" s="5" t="s">
        <v>91</v>
      </c>
      <c r="J45" s="5"/>
      <c r="K45" s="6"/>
      <c r="L45" s="5" t="str">
        <f>IFERROR(VLOOKUP(CONCATENATE(A45,"S"),[2]Hoja1!$B:$N,5,0)," ")</f>
        <v xml:space="preserve"> </v>
      </c>
      <c r="M45" s="6" t="str">
        <f>IFERROR(VLOOKUP(CONCATENATE(A45,"S"),[2]Hoja1!$B:$N,6,0)," ")</f>
        <v xml:space="preserve"> </v>
      </c>
      <c r="N45" s="4" t="str">
        <f t="shared" si="11"/>
        <v>TITULAR</v>
      </c>
      <c r="O45" s="17" t="str">
        <f t="shared" si="12"/>
        <v xml:space="preserve">GERSTER MYRIAN                 </v>
      </c>
      <c r="P45" s="4" t="str">
        <f>IF(O45="vacante","vacante",IFERROR(IF(VLOOKUP(IF((M45)=" ",IF(COUNTBLANK(K45),I45,K45),M45),[3]Hoja1!$B:$I,4,0)="licencia","vacante"," ")," "))</f>
        <v xml:space="preserve"> </v>
      </c>
      <c r="Q45" s="4"/>
      <c r="R45">
        <f t="shared" si="13"/>
        <v>2</v>
      </c>
      <c r="S45" t="str">
        <f t="shared" si="14"/>
        <v>1°4°2</v>
      </c>
    </row>
    <row r="46" spans="1:19" ht="18.75" hidden="1" customHeight="1">
      <c r="A46" s="3" t="str">
        <f t="shared" si="10"/>
        <v>1°4°1ART</v>
      </c>
      <c r="B46" s="3" t="s">
        <v>87</v>
      </c>
      <c r="C46" s="3"/>
      <c r="D46" s="3" t="s">
        <v>21</v>
      </c>
      <c r="E46" s="3">
        <v>1493339</v>
      </c>
      <c r="F46" s="3" t="str">
        <f>VLOOKUP(D46,[1]Hoja1!$A:$K,11,0)</f>
        <v>EDUCACION ARTISTICA (PLASTICA)</v>
      </c>
      <c r="G46" s="7"/>
      <c r="H46" s="7"/>
      <c r="I46" s="5" t="s">
        <v>702</v>
      </c>
      <c r="J46" s="5"/>
      <c r="K46" s="6"/>
      <c r="L46" s="5" t="str">
        <f>IFERROR(VLOOKUP(CONCATENATE(A46,"S"),[2]Hoja1!$B:$N,5,0)," ")</f>
        <v xml:space="preserve"> </v>
      </c>
      <c r="M46" s="6" t="str">
        <f>IFERROR(VLOOKUP(CONCATENATE(A46,"S"),[2]Hoja1!$B:$N,6,0)," ")</f>
        <v xml:space="preserve"> </v>
      </c>
      <c r="N46" s="4" t="str">
        <f t="shared" si="11"/>
        <v>TITULAR</v>
      </c>
      <c r="O46" s="17" t="str">
        <f t="shared" si="12"/>
        <v>CHAVVET, MATIAS</v>
      </c>
      <c r="P46" s="4" t="str">
        <f>IF(O46="vacante","vacante",IFERROR(IF(VLOOKUP(IF((M46)=" ",IF(COUNTBLANK(K46),I46,K46),M46),[3]Hoja1!$B:$I,4,0)="licencia","vacante"," ")," "))</f>
        <v xml:space="preserve"> </v>
      </c>
      <c r="Q46" s="4"/>
      <c r="R46">
        <f t="shared" si="13"/>
        <v>3</v>
      </c>
      <c r="S46" t="str">
        <f t="shared" si="14"/>
        <v>1°4°3</v>
      </c>
    </row>
    <row r="47" spans="1:19" ht="18.75" hidden="1" customHeight="1">
      <c r="A47" s="3" t="str">
        <f t="shared" si="10"/>
        <v>1°4°1EFI</v>
      </c>
      <c r="B47" s="3" t="s">
        <v>87</v>
      </c>
      <c r="C47" s="3"/>
      <c r="D47" s="3" t="s">
        <v>23</v>
      </c>
      <c r="E47" s="3">
        <v>1493340</v>
      </c>
      <c r="F47" s="3" t="str">
        <f>VLOOKUP(D47,[1]Hoja1!$A:$K,11,0)</f>
        <v>EDUCACIÓN FISICA</v>
      </c>
      <c r="G47" s="7" t="s">
        <v>92</v>
      </c>
      <c r="H47" s="7"/>
      <c r="I47" s="5" t="s">
        <v>191</v>
      </c>
      <c r="J47" s="5"/>
      <c r="K47" s="6"/>
      <c r="L47" s="5" t="str">
        <f>IFERROR(VLOOKUP(CONCATENATE(A47,"S"),[2]Hoja1!$B:$N,5,0)," ")</f>
        <v xml:space="preserve"> </v>
      </c>
      <c r="M47" s="6" t="str">
        <f>IFERROR(VLOOKUP(CONCATENATE(A47,"S"),[2]Hoja1!$B:$N,6,0)," ")</f>
        <v xml:space="preserve"> </v>
      </c>
      <c r="N47" s="4" t="str">
        <f t="shared" si="11"/>
        <v>TITULAR</v>
      </c>
      <c r="O47" s="17" t="str">
        <f t="shared" si="12"/>
        <v xml:space="preserve">DE LA FUENTE F.                         </v>
      </c>
      <c r="P47" s="4" t="str">
        <f>IF(O47="vacante","vacante",IFERROR(IF(VLOOKUP(IF((M47)=" ",IF(COUNTBLANK(K47),I47,K47),M47),[3]Hoja1!$B:$I,4,0)="licencia","vacante"," ")," "))</f>
        <v xml:space="preserve"> </v>
      </c>
      <c r="Q47" s="4"/>
      <c r="R47">
        <f t="shared" si="13"/>
        <v>4</v>
      </c>
      <c r="S47" t="str">
        <f t="shared" si="14"/>
        <v>1°4°4</v>
      </c>
    </row>
    <row r="48" spans="1:19" ht="18.75" hidden="1" customHeight="1">
      <c r="A48" s="3" t="str">
        <f t="shared" si="10"/>
        <v>1°4°1ING</v>
      </c>
      <c r="B48" s="3" t="s">
        <v>87</v>
      </c>
      <c r="C48" s="3"/>
      <c r="D48" s="3" t="s">
        <v>26</v>
      </c>
      <c r="E48" s="3">
        <v>149335</v>
      </c>
      <c r="F48" s="3" t="str">
        <f>VLOOKUP(D48,[1]Hoja1!$A:$K,11,0)</f>
        <v>INGLÉS</v>
      </c>
      <c r="G48" s="7" t="s">
        <v>94</v>
      </c>
      <c r="H48" s="7"/>
      <c r="I48" s="5" t="s">
        <v>95</v>
      </c>
      <c r="J48" s="5"/>
      <c r="K48" s="6"/>
      <c r="L48" s="5" t="str">
        <f>IFERROR(VLOOKUP(CONCATENATE(A48,"S"),[2]Hoja1!$B:$N,5,0)," ")</f>
        <v>23-30.492.767-4</v>
      </c>
      <c r="M48" s="6" t="str">
        <f>IFERROR(VLOOKUP(CONCATENATE(A48,"S"),[2]Hoja1!$B:$N,6,0)," ")</f>
        <v xml:space="preserve">LEGUIZAMO ANA   </v>
      </c>
      <c r="N48" s="4" t="str">
        <f t="shared" si="11"/>
        <v>SUPLENTE</v>
      </c>
      <c r="O48" s="17" t="str">
        <f t="shared" si="12"/>
        <v xml:space="preserve">LEGUIZAMO ANA   </v>
      </c>
      <c r="P48" s="4" t="str">
        <f>IF(O48="vacante","vacante",IFERROR(IF(VLOOKUP(IF((M48)=" ",IF(COUNTBLANK(K48),I48,K48),M48),[3]Hoja1!$B:$I,4,0)="licencia","vacante"," ")," "))</f>
        <v xml:space="preserve"> </v>
      </c>
      <c r="Q48" s="4"/>
      <c r="R48">
        <f t="shared" si="13"/>
        <v>5</v>
      </c>
      <c r="S48" t="str">
        <f t="shared" si="14"/>
        <v>1°4°5</v>
      </c>
    </row>
    <row r="49" spans="1:19" ht="18.75" hidden="1" customHeight="1">
      <c r="A49" s="3" t="str">
        <f t="shared" si="10"/>
        <v>1°4°1MAT</v>
      </c>
      <c r="B49" s="3" t="s">
        <v>87</v>
      </c>
      <c r="C49" s="3"/>
      <c r="D49" s="3" t="s">
        <v>29</v>
      </c>
      <c r="E49" s="3">
        <v>1493338</v>
      </c>
      <c r="F49" s="3" t="str">
        <f>VLOOKUP(D49,[1]Hoja1!$A:$K,11,0)</f>
        <v>MATEMATICA</v>
      </c>
      <c r="G49" s="7" t="s">
        <v>96</v>
      </c>
      <c r="H49" s="7" t="s">
        <v>97</v>
      </c>
      <c r="I49" s="5" t="s">
        <v>98</v>
      </c>
      <c r="J49" s="5"/>
      <c r="K49" s="6"/>
      <c r="L49" s="5" t="str">
        <f>IFERROR(VLOOKUP(CONCATENATE(A49,"S"),[2]Hoja1!$B:$N,5,0)," ")</f>
        <v xml:space="preserve"> </v>
      </c>
      <c r="M49" s="6" t="str">
        <f>IFERROR(VLOOKUP(CONCATENATE(A49,"S"),[2]Hoja1!$B:$N,6,0)," ")</f>
        <v xml:space="preserve"> </v>
      </c>
      <c r="N49" s="4" t="str">
        <f t="shared" si="11"/>
        <v>TITULAR</v>
      </c>
      <c r="O49" s="17" t="str">
        <f t="shared" si="12"/>
        <v xml:space="preserve">OVEJERO, JAVIER               </v>
      </c>
      <c r="P49" s="4" t="str">
        <f>IF(O49="vacante","vacante",IFERROR(IF(VLOOKUP(IF((M49)=" ",IF(COUNTBLANK(K49),I49,K49),M49),[3]Hoja1!$B:$I,4,0)="licencia","vacante"," ")," "))</f>
        <v xml:space="preserve"> </v>
      </c>
      <c r="Q49" s="4"/>
      <c r="R49">
        <f t="shared" si="13"/>
        <v>6</v>
      </c>
      <c r="S49" t="str">
        <f t="shared" si="14"/>
        <v>1°4°6</v>
      </c>
    </row>
    <row r="50" spans="1:19" ht="18.75" hidden="1" customHeight="1">
      <c r="A50" s="3" t="str">
        <f t="shared" si="10"/>
        <v>1°4°1LEN</v>
      </c>
      <c r="B50" s="3" t="s">
        <v>87</v>
      </c>
      <c r="C50" s="3"/>
      <c r="D50" s="3" t="s">
        <v>32</v>
      </c>
      <c r="E50" s="3">
        <v>1492411</v>
      </c>
      <c r="F50" s="3" t="str">
        <f>VLOOKUP(D50,[1]Hoja1!$A:$K,11,0)</f>
        <v>PRACTICA DEL LENGUAJE</v>
      </c>
      <c r="G50" s="7">
        <v>13642940</v>
      </c>
      <c r="H50" s="7" t="s">
        <v>99</v>
      </c>
      <c r="I50" s="5" t="s">
        <v>74</v>
      </c>
      <c r="J50" s="5"/>
      <c r="K50" s="6"/>
      <c r="L50" s="5" t="str">
        <f>IFERROR(VLOOKUP(CONCATENATE(A50,"S"),[2]Hoja1!$B:$N,5,0)," ")</f>
        <v xml:space="preserve"> </v>
      </c>
      <c r="M50" s="6" t="str">
        <f>IFERROR(VLOOKUP(CONCATENATE(A50,"S"),[2]Hoja1!$B:$N,6,0)," ")</f>
        <v xml:space="preserve"> </v>
      </c>
      <c r="N50" s="4" t="str">
        <f t="shared" si="11"/>
        <v>TITULAR</v>
      </c>
      <c r="O50" s="17" t="str">
        <f t="shared" si="12"/>
        <v xml:space="preserve">CARESTIA, NOEMI </v>
      </c>
      <c r="P50" s="4" t="str">
        <f>IF(O50="vacante","vacante",IFERROR(IF(VLOOKUP(IF((M50)=" ",IF(COUNTBLANK(K50),I50,K50),M50),[3]Hoja1!$B:$I,4,0)="licencia","vacante"," ")," "))</f>
        <v xml:space="preserve"> </v>
      </c>
      <c r="Q50" s="4"/>
      <c r="R50">
        <f t="shared" si="13"/>
        <v>7</v>
      </c>
      <c r="S50" t="str">
        <f t="shared" si="14"/>
        <v>1°4°7</v>
      </c>
    </row>
    <row r="51" spans="1:19" ht="18.75" hidden="1" customHeight="1">
      <c r="A51" s="3" t="str">
        <f t="shared" si="10"/>
        <v>1°4°1CCD</v>
      </c>
      <c r="B51" s="3" t="s">
        <v>87</v>
      </c>
      <c r="C51" s="3"/>
      <c r="D51" s="3" t="s">
        <v>33</v>
      </c>
      <c r="E51" s="3">
        <v>839179</v>
      </c>
      <c r="F51" s="3" t="str">
        <f>VLOOKUP(D51,[1]Hoja1!$A:$K,11,0)</f>
        <v>CONSTRUCCION DE LA CIUDADANIA</v>
      </c>
      <c r="G51" s="7" t="s">
        <v>100</v>
      </c>
      <c r="H51" s="7"/>
      <c r="I51" s="5" t="s">
        <v>101</v>
      </c>
      <c r="J51" s="5"/>
      <c r="K51" s="6"/>
      <c r="L51" s="5">
        <f>IFERROR(VLOOKUP(CONCATENATE(A51,"S"),[2]Hoja1!$B:$N,5,0)," ")</f>
        <v>0</v>
      </c>
      <c r="M51" s="6" t="str">
        <f>IFERROR(VLOOKUP(CONCATENATE(A51,"S"),[2]Hoja1!$B:$N,6,0)," ")</f>
        <v>KUSNIER CUPAIOLO</v>
      </c>
      <c r="N51" s="4" t="str">
        <f t="shared" si="11"/>
        <v>SUPLENTE</v>
      </c>
      <c r="O51" s="17" t="str">
        <f t="shared" si="12"/>
        <v>KUSNIER CUPAIOLO</v>
      </c>
      <c r="P51" s="4" t="str">
        <f>IF(O51="vacante","vacante",IFERROR(IF(VLOOKUP(IF((M51)=" ",IF(COUNTBLANK(K51),I51,K51),M51),[3]Hoja1!$B:$I,4,0)="licencia","vacante"," ")," "))</f>
        <v xml:space="preserve"> </v>
      </c>
      <c r="Q51" s="4"/>
      <c r="R51">
        <f t="shared" si="13"/>
        <v>8</v>
      </c>
      <c r="S51" t="str">
        <f t="shared" si="14"/>
        <v>1°4°8</v>
      </c>
    </row>
    <row r="52" spans="1:19" ht="18.75" hidden="1" customHeight="1">
      <c r="A52" s="3" t="str">
        <f t="shared" si="10"/>
        <v>1°4°1411TLT</v>
      </c>
      <c r="B52" s="3" t="s">
        <v>87</v>
      </c>
      <c r="C52" s="3">
        <v>141</v>
      </c>
      <c r="D52" s="3" t="s">
        <v>36</v>
      </c>
      <c r="E52" s="3">
        <v>1493350</v>
      </c>
      <c r="F52" s="3" t="str">
        <f>VLOOKUP(D52,[1]Hoja1!$A:$K,11,0)</f>
        <v>LENGUAJES TECNOLOGICOS</v>
      </c>
      <c r="G52" s="7"/>
      <c r="H52" s="7"/>
      <c r="I52" s="5"/>
      <c r="J52" s="5" t="s">
        <v>102</v>
      </c>
      <c r="K52" s="6" t="s">
        <v>103</v>
      </c>
      <c r="L52" s="5">
        <f>IFERROR(VLOOKUP(CONCATENATE(A52,"S"),[2]Hoja1!$B:$N,5,0)," ")</f>
        <v>0</v>
      </c>
      <c r="M52" s="6" t="str">
        <f>IFERROR(VLOOKUP(CONCATENATE(A52,"S"),[2]Hoja1!$B:$N,6,0)," ")</f>
        <v xml:space="preserve">VERA LORENA </v>
      </c>
      <c r="N52" s="4" t="str">
        <f t="shared" si="11"/>
        <v>SUPLENTE</v>
      </c>
      <c r="O52" s="17" t="str">
        <f t="shared" si="12"/>
        <v xml:space="preserve">VERA LORENA </v>
      </c>
      <c r="P52" s="4" t="str">
        <f>IF(O52="vacante","vacante",IFERROR(IF(VLOOKUP(IF((M52)=" ",IF(COUNTBLANK(K52),I52,K52),M52),[3]Hoja1!$B:$I,4,0)="licencia","vacante"," ")," "))</f>
        <v xml:space="preserve"> </v>
      </c>
      <c r="Q52" s="4"/>
      <c r="R52">
        <f t="shared" si="13"/>
        <v>9</v>
      </c>
      <c r="S52" t="str">
        <f t="shared" si="14"/>
        <v>1°4°9</v>
      </c>
    </row>
    <row r="53" spans="1:19" ht="18.75" hidden="1" customHeight="1">
      <c r="A53" s="3" t="str">
        <f t="shared" si="10"/>
        <v>1°4°1411TST</v>
      </c>
      <c r="B53" s="3" t="s">
        <v>87</v>
      </c>
      <c r="C53" s="3">
        <v>141</v>
      </c>
      <c r="D53" s="3" t="s">
        <v>38</v>
      </c>
      <c r="E53" s="3">
        <v>1493353</v>
      </c>
      <c r="F53" s="3" t="str">
        <f>VLOOKUP(D53,[1]Hoja1!$A:$K,11,0)</f>
        <v>SISTEMAS TECNOLOGICOS</v>
      </c>
      <c r="G53" s="7"/>
      <c r="H53" s="7"/>
      <c r="I53" s="5"/>
      <c r="J53" s="5"/>
      <c r="K53" s="6" t="s">
        <v>549</v>
      </c>
      <c r="L53" s="5" t="str">
        <f>IFERROR(VLOOKUP(CONCATENATE(A53,"S"),[2]Hoja1!$B:$N,5,0)," ")</f>
        <v xml:space="preserve"> </v>
      </c>
      <c r="M53" s="6" t="str">
        <f>IFERROR(VLOOKUP(CONCATENATE(A53,"S"),[2]Hoja1!$B:$N,6,0)," ")</f>
        <v xml:space="preserve"> </v>
      </c>
      <c r="N53" s="4" t="str">
        <f t="shared" si="11"/>
        <v>PROVISIONAL</v>
      </c>
      <c r="O53" s="17" t="str">
        <f t="shared" si="12"/>
        <v>ETCHEVERRY MARTIN</v>
      </c>
      <c r="P53" s="4" t="str">
        <f>IF(O53="vacante","vacante",IFERROR(IF(VLOOKUP(IF((M53)=" ",IF(COUNTBLANK(K53),I53,K53),M53),[3]Hoja1!$B:$I,4,0)="licencia","vacante"," ")," "))</f>
        <v xml:space="preserve"> </v>
      </c>
      <c r="Q53" s="4" t="s">
        <v>104</v>
      </c>
      <c r="R53">
        <f t="shared" si="13"/>
        <v>10</v>
      </c>
      <c r="S53" t="str">
        <f t="shared" si="14"/>
        <v>1°4°10</v>
      </c>
    </row>
    <row r="54" spans="1:19" ht="18.75" hidden="1" customHeight="1">
      <c r="A54" s="3" t="str">
        <f t="shared" si="10"/>
        <v>1°4°1411TPT</v>
      </c>
      <c r="B54" s="3" t="s">
        <v>87</v>
      </c>
      <c r="C54" s="3">
        <v>141</v>
      </c>
      <c r="D54" s="3" t="s">
        <v>41</v>
      </c>
      <c r="E54" s="3">
        <v>1493345</v>
      </c>
      <c r="F54" s="3" t="str">
        <f>VLOOKUP(D54,[1]Hoja1!$A:$K,11,0)</f>
        <v>PROCEDIMIENTOS TECNICOS</v>
      </c>
      <c r="G54" s="7" t="s">
        <v>105</v>
      </c>
      <c r="H54" s="7"/>
      <c r="I54" s="5" t="s">
        <v>50</v>
      </c>
      <c r="J54" s="5"/>
      <c r="K54" s="6"/>
      <c r="L54" s="5" t="str">
        <f>IFERROR(VLOOKUP(CONCATENATE(A54,"S"),[2]Hoja1!$B:$N,5,0)," ")</f>
        <v xml:space="preserve"> </v>
      </c>
      <c r="M54" s="6" t="str">
        <f>IFERROR(VLOOKUP(CONCATENATE(A54,"S"),[2]Hoja1!$B:$N,6,0)," ")</f>
        <v xml:space="preserve"> </v>
      </c>
      <c r="N54" s="4" t="str">
        <f t="shared" si="11"/>
        <v>TITULAR</v>
      </c>
      <c r="O54" s="17" t="str">
        <f t="shared" si="12"/>
        <v xml:space="preserve">ESPINDOLA SERGIO                          </v>
      </c>
      <c r="P54" s="4" t="str">
        <f>IF(O54="vacante","vacante",IFERROR(IF(VLOOKUP(IF((M54)=" ",IF(COUNTBLANK(K54),I54,K54),M54),[3]Hoja1!$B:$I,4,0)="licencia","vacante"," ")," "))</f>
        <v xml:space="preserve"> </v>
      </c>
      <c r="Q54" s="4"/>
      <c r="R54">
        <f t="shared" si="13"/>
        <v>11</v>
      </c>
      <c r="S54" t="str">
        <f t="shared" si="14"/>
        <v>1°4°11</v>
      </c>
    </row>
    <row r="55" spans="1:19" ht="18.75" hidden="1" customHeight="1">
      <c r="A55" s="3" t="str">
        <f t="shared" si="10"/>
        <v>1°4°1421TLT</v>
      </c>
      <c r="B55" s="3" t="s">
        <v>87</v>
      </c>
      <c r="C55" s="3">
        <v>142</v>
      </c>
      <c r="D55" s="3" t="s">
        <v>36</v>
      </c>
      <c r="E55" s="3">
        <v>2683136</v>
      </c>
      <c r="F55" s="3" t="str">
        <f>VLOOKUP(D55,[1]Hoja1!$A:$K,11,0)</f>
        <v>LENGUAJES TECNOLOGICOS</v>
      </c>
      <c r="G55" s="7"/>
      <c r="H55" s="7"/>
      <c r="I55" s="5"/>
      <c r="J55" s="5" t="s">
        <v>106</v>
      </c>
      <c r="K55" s="6" t="s">
        <v>107</v>
      </c>
      <c r="L55" s="5" t="str">
        <f>IFERROR(VLOOKUP(CONCATENATE(A55,"S"),[2]Hoja1!$B:$N,5,0)," ")</f>
        <v>VERA LORENA</v>
      </c>
      <c r="M55" s="6" t="str">
        <f>IFERROR(VLOOKUP(CONCATENATE(A55,"S"),[2]Hoja1!$B:$N,6,0)," ")</f>
        <v>VERA LORENA</v>
      </c>
      <c r="N55" s="4" t="str">
        <f t="shared" si="11"/>
        <v>SUPLENTE</v>
      </c>
      <c r="O55" s="17" t="str">
        <f t="shared" si="12"/>
        <v>VERA LORENA</v>
      </c>
      <c r="P55" s="4" t="str">
        <f>IF(O55="vacante","vacante",IFERROR(IF(VLOOKUP(IF((M55)=" ",IF(COUNTBLANK(K55),I55,K55),M55),[3]Hoja1!$B:$I,4,0)="licencia","vacante"," ")," "))</f>
        <v xml:space="preserve"> </v>
      </c>
      <c r="Q55" s="4"/>
      <c r="R55">
        <f t="shared" si="13"/>
        <v>12</v>
      </c>
      <c r="S55" t="str">
        <f t="shared" si="14"/>
        <v>1°4°12</v>
      </c>
    </row>
    <row r="56" spans="1:19" ht="18.75" hidden="1" customHeight="1">
      <c r="A56" s="3" t="str">
        <f t="shared" si="10"/>
        <v>1°4°1421TST</v>
      </c>
      <c r="B56" s="3" t="s">
        <v>87</v>
      </c>
      <c r="C56" s="3">
        <v>142</v>
      </c>
      <c r="D56" s="3" t="s">
        <v>38</v>
      </c>
      <c r="E56" s="3">
        <v>2683137</v>
      </c>
      <c r="F56" s="3" t="str">
        <f>VLOOKUP(D56,[1]Hoja1!$A:$K,11,0)</f>
        <v>SISTEMAS TECNOLOGICOS</v>
      </c>
      <c r="G56" s="7" t="s">
        <v>151</v>
      </c>
      <c r="H56" s="7" t="s">
        <v>152</v>
      </c>
      <c r="I56" s="5" t="s">
        <v>153</v>
      </c>
      <c r="J56" s="5"/>
      <c r="K56" s="6"/>
      <c r="L56" s="5">
        <f>IFERROR(VLOOKUP(CONCATENATE(A70,"S"),[2]Hoja1!$B:$N,5,0)," ")</f>
        <v>0</v>
      </c>
      <c r="M56" s="6" t="str">
        <f>IFERROR(VLOOKUP(CONCATENATE(A70,"S"),[2]Hoja1!$B:$N,6,0)," ")</f>
        <v xml:space="preserve">ESCALADA ARNALDO     </v>
      </c>
      <c r="N56" s="4" t="str">
        <f t="shared" si="11"/>
        <v>SUPLENTE</v>
      </c>
      <c r="O56" s="17" t="str">
        <f t="shared" si="12"/>
        <v xml:space="preserve">ESCALADA ARNALDO     </v>
      </c>
      <c r="P56" s="4" t="str">
        <f>IF(O56="vacante","vacante",IFERROR(IF(VLOOKUP(IF((M56)=" ",IF(COUNTBLANK(K56),I56,K56),M56),[3]Hoja1!$B:$I,4,0)="licencia","vacante"," ")," "))</f>
        <v xml:space="preserve"> </v>
      </c>
      <c r="Q56" s="4"/>
      <c r="R56">
        <f t="shared" si="13"/>
        <v>13</v>
      </c>
      <c r="S56" t="str">
        <f t="shared" si="14"/>
        <v>1°4°13</v>
      </c>
    </row>
    <row r="57" spans="1:19" ht="18.75" hidden="1" customHeight="1">
      <c r="A57" s="3" t="str">
        <f t="shared" si="10"/>
        <v>1°4°1421TPT</v>
      </c>
      <c r="B57" s="3" t="s">
        <v>87</v>
      </c>
      <c r="C57" s="3">
        <v>142</v>
      </c>
      <c r="D57" s="3" t="s">
        <v>41</v>
      </c>
      <c r="E57" s="3">
        <v>2683138</v>
      </c>
      <c r="F57" s="3" t="str">
        <f>VLOOKUP(D57,[1]Hoja1!$A:$K,11,0)</f>
        <v>PROCEDIMIENTOS TECNICOS</v>
      </c>
      <c r="G57" s="7" t="s">
        <v>109</v>
      </c>
      <c r="H57" s="7"/>
      <c r="I57" s="5" t="s">
        <v>50</v>
      </c>
      <c r="J57" s="5" t="s">
        <v>110</v>
      </c>
      <c r="K57" s="6" t="s">
        <v>50</v>
      </c>
      <c r="L57" s="5" t="str">
        <f>IFERROR(VLOOKUP(CONCATENATE(A57,"S"),[2]Hoja1!$B:$N,5,0)," ")</f>
        <v xml:space="preserve"> </v>
      </c>
      <c r="M57" s="6" t="str">
        <f>IFERROR(VLOOKUP(CONCATENATE(A57,"S"),[2]Hoja1!$B:$N,6,0)," ")</f>
        <v xml:space="preserve"> </v>
      </c>
      <c r="N57" s="4" t="str">
        <f t="shared" si="11"/>
        <v>PROVISIONAL</v>
      </c>
      <c r="O57" s="17" t="str">
        <f t="shared" si="12"/>
        <v xml:space="preserve">ESPINDOLA SERGIO                          </v>
      </c>
      <c r="P57" s="4" t="str">
        <f>IF(O57="vacante","vacante",IFERROR(IF(VLOOKUP(IF((M57)=" ",IF(COUNTBLANK(K57),I57,K57),M57),[3]Hoja1!$B:$I,4,0)="licencia","vacante"," ")," "))</f>
        <v xml:space="preserve"> </v>
      </c>
      <c r="Q57" s="4"/>
      <c r="R57">
        <f t="shared" si="13"/>
        <v>14</v>
      </c>
      <c r="S57" t="str">
        <f t="shared" si="14"/>
        <v>1°4°14</v>
      </c>
    </row>
    <row r="58" spans="1:19" ht="18.75" hidden="1" customHeight="1">
      <c r="A58" s="3" t="str">
        <f t="shared" si="10"/>
        <v>1°6°1NAT</v>
      </c>
      <c r="B58" s="3" t="s">
        <v>137</v>
      </c>
      <c r="C58" s="3"/>
      <c r="D58" s="3" t="s">
        <v>16</v>
      </c>
      <c r="E58" s="3">
        <v>2232479</v>
      </c>
      <c r="F58" s="3" t="str">
        <f>VLOOKUP(D58,[1]Hoja1!$A:$K,11,0)</f>
        <v>CIENCIAS NATURALES</v>
      </c>
      <c r="G58" s="7"/>
      <c r="H58" s="7"/>
      <c r="I58" s="5" t="s">
        <v>654</v>
      </c>
      <c r="J58" s="5"/>
      <c r="K58" s="6"/>
      <c r="L58" s="5" t="str">
        <f>IFERROR(VLOOKUP(CONCATENATE(A58,"S"),[2]Hoja1!$B:$N,5,0)," ")</f>
        <v xml:space="preserve"> </v>
      </c>
      <c r="M58" s="6" t="str">
        <f>IFERROR(VLOOKUP(CONCATENATE(A58,"S"),[2]Hoja1!$B:$N,6,0)," ")</f>
        <v xml:space="preserve"> </v>
      </c>
      <c r="N58" s="4" t="str">
        <f t="shared" si="11"/>
        <v>TITULAR</v>
      </c>
      <c r="O58" s="17" t="str">
        <f t="shared" si="12"/>
        <v>COLAZO VIRGINIA</v>
      </c>
      <c r="P58" s="4" t="str">
        <f>IF(O58="vacante","vacante",IFERROR(IF(VLOOKUP(IF((M58)=" ",IF(COUNTBLANK(K58),I58,K58),M58),[3]Hoja1!$B:$I,4,0)="licencia","vacante"," ")," "))</f>
        <v xml:space="preserve"> </v>
      </c>
      <c r="Q58" s="4" t="s">
        <v>612</v>
      </c>
      <c r="R58">
        <f t="shared" si="13"/>
        <v>1</v>
      </c>
      <c r="S58" t="str">
        <f t="shared" si="14"/>
        <v>1°6°1</v>
      </c>
    </row>
    <row r="59" spans="1:19" ht="18.75" hidden="1" customHeight="1">
      <c r="A59" s="3" t="str">
        <f t="shared" si="10"/>
        <v>1°6°1SOC</v>
      </c>
      <c r="B59" s="3" t="s">
        <v>137</v>
      </c>
      <c r="C59" s="3"/>
      <c r="D59" s="3" t="s">
        <v>20</v>
      </c>
      <c r="E59" s="3">
        <v>2232480</v>
      </c>
      <c r="F59" s="3" t="str">
        <f>VLOOKUP(D59,[1]Hoja1!$A:$K,11,0)</f>
        <v>CIENCIAS SOCIALES</v>
      </c>
      <c r="G59" s="7" t="s">
        <v>139</v>
      </c>
      <c r="H59" s="7"/>
      <c r="I59" s="5" t="s">
        <v>91</v>
      </c>
      <c r="J59" s="5"/>
      <c r="K59" s="6"/>
      <c r="L59" s="5" t="str">
        <f>IFERROR(VLOOKUP(CONCATENATE(A59,"S"),[2]Hoja1!$B:$N,5,0)," ")</f>
        <v xml:space="preserve"> </v>
      </c>
      <c r="M59" s="6" t="str">
        <f>IFERROR(VLOOKUP(CONCATENATE(A59,"S"),[2]Hoja1!$B:$N,6,0)," ")</f>
        <v xml:space="preserve"> </v>
      </c>
      <c r="N59" s="4" t="str">
        <f t="shared" si="11"/>
        <v>TITULAR</v>
      </c>
      <c r="O59" s="17" t="str">
        <f t="shared" si="12"/>
        <v xml:space="preserve">GERSTER MYRIAN                 </v>
      </c>
      <c r="P59" s="4" t="str">
        <f>IF(O59="vacante","vacante",IFERROR(IF(VLOOKUP(IF((M59)=" ",IF(COUNTBLANK(K59),I59,K59),M59),[3]Hoja1!$B:$I,4,0)="licencia","vacante"," ")," "))</f>
        <v xml:space="preserve"> </v>
      </c>
      <c r="Q59" s="4"/>
      <c r="R59">
        <f t="shared" si="13"/>
        <v>2</v>
      </c>
      <c r="S59" t="str">
        <f t="shared" si="14"/>
        <v>1°6°2</v>
      </c>
    </row>
    <row r="60" spans="1:19" ht="18.75" hidden="1" customHeight="1">
      <c r="A60" s="3" t="str">
        <f t="shared" si="10"/>
        <v>1°6°1ART</v>
      </c>
      <c r="B60" s="3" t="s">
        <v>137</v>
      </c>
      <c r="C60" s="3"/>
      <c r="D60" s="3" t="s">
        <v>21</v>
      </c>
      <c r="E60" s="3">
        <v>2232482</v>
      </c>
      <c r="F60" s="3" t="str">
        <f>VLOOKUP(D60,[1]Hoja1!$A:$K,11,0)</f>
        <v>EDUCACION ARTISTICA (PLASTICA)</v>
      </c>
      <c r="G60" s="7" t="s">
        <v>558</v>
      </c>
      <c r="H60" s="7"/>
      <c r="I60" s="5"/>
      <c r="J60" s="5"/>
      <c r="K60" s="6"/>
      <c r="L60" s="5" t="str">
        <f>IFERROR(VLOOKUP(CONCATENATE(A60,"S"),[2]Hoja1!$B:$N,5,0)," ")</f>
        <v xml:space="preserve"> </v>
      </c>
      <c r="M60" s="6" t="str">
        <f>IFERROR(VLOOKUP(CONCATENATE(A60,"S"),[2]Hoja1!$B:$N,6,0)," ")</f>
        <v xml:space="preserve"> </v>
      </c>
      <c r="N60" s="4" t="str">
        <f t="shared" si="11"/>
        <v>TITULAR</v>
      </c>
      <c r="O60" s="17">
        <f t="shared" si="12"/>
        <v>0</v>
      </c>
      <c r="P60" s="4" t="str">
        <f>IF(O60="vacante","vacante",IFERROR(IF(VLOOKUP(IF((M60)=" ",IF(COUNTBLANK(K60),I60,K60),M60),[3]Hoja1!$B:$I,4,0)="licencia","vacante"," ")," "))</f>
        <v xml:space="preserve"> </v>
      </c>
      <c r="Q60" s="4"/>
      <c r="R60">
        <f t="shared" si="13"/>
        <v>3</v>
      </c>
      <c r="S60" t="str">
        <f t="shared" si="14"/>
        <v>1°6°3</v>
      </c>
    </row>
    <row r="61" spans="1:19" ht="18.75" hidden="1" customHeight="1">
      <c r="A61" s="3" t="str">
        <f t="shared" si="10"/>
        <v>1°6°1EFI</v>
      </c>
      <c r="B61" s="3" t="s">
        <v>137</v>
      </c>
      <c r="C61" s="3"/>
      <c r="D61" s="3" t="s">
        <v>23</v>
      </c>
      <c r="E61" s="3">
        <v>2232483</v>
      </c>
      <c r="F61" s="3" t="str">
        <f>VLOOKUP(D61,[1]Hoja1!$A:$K,11,0)</f>
        <v>EDUCACIÓN FISICA</v>
      </c>
      <c r="G61" s="7" t="s">
        <v>140</v>
      </c>
      <c r="H61" s="7">
        <v>26024974</v>
      </c>
      <c r="I61" s="5" t="s">
        <v>210</v>
      </c>
      <c r="J61" s="5"/>
      <c r="K61" s="6"/>
      <c r="L61" s="5" t="str">
        <f>IFERROR(VLOOKUP(CONCATENATE(A61,"S"),[2]Hoja1!$B:$N,5,0)," ")</f>
        <v xml:space="preserve"> </v>
      </c>
      <c r="M61" s="6" t="str">
        <f>IFERROR(VLOOKUP(CONCATENATE(A61,"S"),[2]Hoja1!$B:$N,6,0)," ")</f>
        <v xml:space="preserve"> </v>
      </c>
      <c r="N61" s="4" t="str">
        <f t="shared" si="11"/>
        <v>TITULAR</v>
      </c>
      <c r="O61" s="17" t="str">
        <f t="shared" si="12"/>
        <v>FUENTE, DIEGO</v>
      </c>
      <c r="P61" s="4" t="str">
        <f>IF(O61="vacante","vacante",IFERROR(IF(VLOOKUP(IF((M61)=" ",IF(COUNTBLANK(K61),I61,K61),M61),[3]Hoja1!$B:$I,4,0)="licencia","vacante"," ")," "))</f>
        <v xml:space="preserve"> </v>
      </c>
      <c r="Q61" s="4" t="s">
        <v>613</v>
      </c>
      <c r="R61">
        <f t="shared" si="13"/>
        <v>4</v>
      </c>
      <c r="S61" t="str">
        <f t="shared" si="14"/>
        <v>1°6°4</v>
      </c>
    </row>
    <row r="62" spans="1:19" ht="18.75" hidden="1" customHeight="1">
      <c r="A62" s="3" t="str">
        <f t="shared" si="10"/>
        <v>1°6°1ING</v>
      </c>
      <c r="B62" s="3" t="s">
        <v>137</v>
      </c>
      <c r="C62" s="3"/>
      <c r="D62" s="3" t="s">
        <v>26</v>
      </c>
      <c r="E62" s="3">
        <v>2232484</v>
      </c>
      <c r="F62" s="3" t="str">
        <f>VLOOKUP(D62,[1]Hoja1!$A:$K,11,0)</f>
        <v>INGLÉS</v>
      </c>
      <c r="G62" s="7" t="s">
        <v>55</v>
      </c>
      <c r="H62" s="7" t="s">
        <v>141</v>
      </c>
      <c r="I62" s="5" t="s">
        <v>57</v>
      </c>
      <c r="J62" s="5"/>
      <c r="K62" s="6"/>
      <c r="L62" s="5" t="str">
        <f>IFERROR(VLOOKUP(CONCATENATE(A62,"S"),[2]Hoja1!$B:$N,5,0)," ")</f>
        <v xml:space="preserve"> </v>
      </c>
      <c r="M62" s="6" t="str">
        <f>IFERROR(VLOOKUP(CONCATENATE(A62,"S"),[2]Hoja1!$B:$N,6,0)," ")</f>
        <v xml:space="preserve"> </v>
      </c>
      <c r="N62" s="4" t="str">
        <f t="shared" si="11"/>
        <v>TITULAR</v>
      </c>
      <c r="O62" s="17" t="str">
        <f t="shared" si="12"/>
        <v xml:space="preserve">ARCE KARINA </v>
      </c>
      <c r="P62" s="4" t="str">
        <f>IF(O62="vacante","vacante",IFERROR(IF(VLOOKUP(IF((M62)=" ",IF(COUNTBLANK(K62),I62,K62),M62),[3]Hoja1!$B:$I,4,0)="licencia","vacante"," ")," "))</f>
        <v xml:space="preserve"> </v>
      </c>
      <c r="Q62" s="4"/>
      <c r="R62">
        <f t="shared" si="13"/>
        <v>5</v>
      </c>
      <c r="S62" t="str">
        <f t="shared" si="14"/>
        <v>1°6°5</v>
      </c>
    </row>
    <row r="63" spans="1:19" ht="18.75" hidden="1" customHeight="1">
      <c r="A63" s="3" t="str">
        <f t="shared" si="10"/>
        <v>1°6°1MAT</v>
      </c>
      <c r="B63" s="3" t="s">
        <v>137</v>
      </c>
      <c r="C63" s="3"/>
      <c r="D63" s="3" t="s">
        <v>29</v>
      </c>
      <c r="E63" s="3">
        <v>2232485</v>
      </c>
      <c r="F63" s="3" t="str">
        <f>VLOOKUP(D63,[1]Hoja1!$A:$K,11,0)</f>
        <v>MATEMATICA</v>
      </c>
      <c r="G63" s="7" t="s">
        <v>58</v>
      </c>
      <c r="H63" s="7"/>
      <c r="I63" s="5" t="s">
        <v>142</v>
      </c>
      <c r="J63" s="5"/>
      <c r="K63" s="6"/>
      <c r="L63" s="5" t="str">
        <f>IFERROR(VLOOKUP(CONCATENATE(A63,"S"),[2]Hoja1!$B:$N,5,0)," ")</f>
        <v xml:space="preserve"> </v>
      </c>
      <c r="M63" s="6" t="str">
        <f>IFERROR(VLOOKUP(CONCATENATE(A63,"S"),[2]Hoja1!$B:$N,6,0)," ")</f>
        <v xml:space="preserve"> </v>
      </c>
      <c r="N63" s="4" t="str">
        <f t="shared" si="11"/>
        <v>TITULAR</v>
      </c>
      <c r="O63" s="17" t="str">
        <f t="shared" si="12"/>
        <v>FERNANDA, RODRIGUEZ</v>
      </c>
      <c r="P63" s="4" t="str">
        <f>IF(O63="vacante","vacante",IFERROR(IF(VLOOKUP(IF((M63)=" ",IF(COUNTBLANK(K63),I63,K63),M63),[3]Hoja1!$B:$I,4,0)="licencia","vacante"," ")," "))</f>
        <v xml:space="preserve"> </v>
      </c>
      <c r="Q63" s="4"/>
      <c r="R63">
        <f t="shared" si="13"/>
        <v>6</v>
      </c>
      <c r="S63" t="str">
        <f t="shared" si="14"/>
        <v>1°6°6</v>
      </c>
    </row>
    <row r="64" spans="1:19" ht="18.75" hidden="1" customHeight="1">
      <c r="A64" s="3" t="str">
        <f t="shared" si="10"/>
        <v>1°6°1LEN</v>
      </c>
      <c r="B64" s="3" t="s">
        <v>137</v>
      </c>
      <c r="C64" s="3"/>
      <c r="D64" s="3" t="s">
        <v>32</v>
      </c>
      <c r="E64" s="3">
        <v>2232486</v>
      </c>
      <c r="F64" s="3" t="str">
        <f>VLOOKUP(D64,[1]Hoja1!$A:$K,11,0)</f>
        <v>PRACTICA DEL LENGUAJE</v>
      </c>
      <c r="G64" s="7">
        <v>34631207</v>
      </c>
      <c r="H64" s="7" t="s">
        <v>143</v>
      </c>
      <c r="I64" s="5" t="s">
        <v>144</v>
      </c>
      <c r="J64" s="5"/>
      <c r="K64" s="6"/>
      <c r="L64" s="5" t="str">
        <f>IFERROR(VLOOKUP(CONCATENATE(A64,"S"),[2]Hoja1!$B:$N,5,0)," ")</f>
        <v xml:space="preserve"> </v>
      </c>
      <c r="M64" s="6" t="str">
        <f>IFERROR(VLOOKUP(CONCATENATE(A64,"S"),[2]Hoja1!$B:$N,6,0)," ")</f>
        <v xml:space="preserve"> </v>
      </c>
      <c r="N64" s="4" t="str">
        <f t="shared" si="11"/>
        <v>TITULAR</v>
      </c>
      <c r="O64" s="17" t="str">
        <f t="shared" si="12"/>
        <v xml:space="preserve">SIERRA DEBORA  </v>
      </c>
      <c r="P64" s="4" t="str">
        <f>IF(O64="vacante","vacante",IFERROR(IF(VLOOKUP(IF((M64)=" ",IF(COUNTBLANK(K64),I64,K64),M64),[3]Hoja1!$B:$I,4,0)="licencia","vacante"," ")," "))</f>
        <v xml:space="preserve"> </v>
      </c>
      <c r="Q64" s="4"/>
      <c r="R64">
        <f t="shared" si="13"/>
        <v>7</v>
      </c>
      <c r="S64" t="str">
        <f t="shared" si="14"/>
        <v>1°6°7</v>
      </c>
    </row>
    <row r="65" spans="1:19" ht="18.75" hidden="1" customHeight="1">
      <c r="A65" s="3" t="str">
        <f t="shared" si="10"/>
        <v>1°6°1CCD</v>
      </c>
      <c r="B65" s="3" t="s">
        <v>137</v>
      </c>
      <c r="C65" s="3"/>
      <c r="D65" s="3" t="s">
        <v>33</v>
      </c>
      <c r="E65" s="3">
        <v>2232487</v>
      </c>
      <c r="F65" s="3" t="str">
        <f>VLOOKUP(D65,[1]Hoja1!$A:$K,11,0)</f>
        <v>CONSTRUCCION DE LA CIUDADANIA</v>
      </c>
      <c r="G65" s="7" t="s">
        <v>145</v>
      </c>
      <c r="H65" s="7"/>
      <c r="I65" s="5" t="s">
        <v>146</v>
      </c>
      <c r="J65" s="5"/>
      <c r="K65" s="6"/>
      <c r="L65" s="5">
        <f>IFERROR(VLOOKUP(CONCATENATE(A65,"S"),[2]Hoja1!$B:$N,5,0)," ")</f>
        <v>0</v>
      </c>
      <c r="M65" s="6" t="str">
        <f>IFERROR(VLOOKUP(CONCATENATE(A65,"S"),[2]Hoja1!$B:$N,6,0)," ")</f>
        <v>CORSO NAHUEL</v>
      </c>
      <c r="N65" s="4" t="str">
        <f t="shared" si="11"/>
        <v>SUPLENTE</v>
      </c>
      <c r="O65" s="17" t="str">
        <f t="shared" si="12"/>
        <v>CORSO NAHUEL</v>
      </c>
      <c r="P65" s="4" t="str">
        <f>IF(O65="vacante","vacante",IFERROR(IF(VLOOKUP(IF((M65)=" ",IF(COUNTBLANK(K65),I65,K65),M65),[3]Hoja1!$B:$I,4,0)="licencia","vacante"," ")," "))</f>
        <v xml:space="preserve"> </v>
      </c>
      <c r="Q65" s="4"/>
      <c r="R65">
        <f t="shared" si="13"/>
        <v>8</v>
      </c>
      <c r="S65" t="str">
        <f t="shared" si="14"/>
        <v>1°6°8</v>
      </c>
    </row>
    <row r="66" spans="1:19" ht="18.75" hidden="1" customHeight="1">
      <c r="A66" s="3" t="str">
        <f t="shared" si="10"/>
        <v>1°6°1611TLT</v>
      </c>
      <c r="B66" s="3" t="s">
        <v>137</v>
      </c>
      <c r="C66" s="3">
        <v>161</v>
      </c>
      <c r="D66" s="3" t="s">
        <v>36</v>
      </c>
      <c r="E66" s="3">
        <v>2232490</v>
      </c>
      <c r="F66" s="3" t="str">
        <f>VLOOKUP(D66,[1]Hoja1!$A:$K,11,0)</f>
        <v>LENGUAJES TECNOLOGICOS</v>
      </c>
      <c r="G66" s="7"/>
      <c r="H66" s="7"/>
      <c r="I66" s="5"/>
      <c r="J66" s="5" t="s">
        <v>147</v>
      </c>
      <c r="K66" s="6" t="s">
        <v>148</v>
      </c>
      <c r="L66" s="5" t="str">
        <f>IFERROR(VLOOKUP(CONCATENATE(A66,"S"),[2]Hoja1!$B:$N,5,0)," ")</f>
        <v xml:space="preserve"> </v>
      </c>
      <c r="M66" s="6" t="str">
        <f>IFERROR(VLOOKUP(CONCATENATE(A66,"S"),[2]Hoja1!$B:$N,6,0)," ")</f>
        <v xml:space="preserve"> </v>
      </c>
      <c r="N66" s="4" t="str">
        <f t="shared" si="11"/>
        <v>PROVISIONAL</v>
      </c>
      <c r="O66" s="17" t="str">
        <f t="shared" si="12"/>
        <v xml:space="preserve">ESCALADA ARNALDO     </v>
      </c>
      <c r="P66" s="4" t="str">
        <f>IF(O66="vacante","vacante",IFERROR(IF(VLOOKUP(IF((M66)=" ",IF(COUNTBLANK(K66),I66,K66),M66),[3]Hoja1!$B:$I,4,0)="licencia","vacante"," ")," "))</f>
        <v xml:space="preserve"> </v>
      </c>
      <c r="Q66" s="4"/>
      <c r="R66">
        <f t="shared" si="13"/>
        <v>9</v>
      </c>
      <c r="S66" t="str">
        <f t="shared" si="14"/>
        <v>1°6°9</v>
      </c>
    </row>
    <row r="67" spans="1:19" ht="18.75" hidden="1" customHeight="1">
      <c r="A67" s="3" t="str">
        <f t="shared" si="10"/>
        <v>1°6°1611TST</v>
      </c>
      <c r="B67" s="3" t="s">
        <v>137</v>
      </c>
      <c r="C67" s="3">
        <v>161</v>
      </c>
      <c r="D67" s="3" t="s">
        <v>38</v>
      </c>
      <c r="E67" s="3">
        <v>2232494</v>
      </c>
      <c r="F67" s="3" t="str">
        <f>VLOOKUP(D67,[1]Hoja1!$A:$K,11,0)</f>
        <v>SISTEMAS TECNOLOGICOS</v>
      </c>
      <c r="G67" s="7"/>
      <c r="H67" s="7"/>
      <c r="I67" s="5"/>
      <c r="J67" s="5" t="s">
        <v>147</v>
      </c>
      <c r="K67" s="6" t="s">
        <v>148</v>
      </c>
      <c r="L67" s="5" t="str">
        <f>IFERROR(VLOOKUP(CONCATENATE(A67,"S"),[2]Hoja1!$B:$N,5,0)," ")</f>
        <v xml:space="preserve"> </v>
      </c>
      <c r="M67" s="6" t="str">
        <f>IFERROR(VLOOKUP(CONCATENATE(A67,"S"),[2]Hoja1!$B:$N,6,0)," ")</f>
        <v xml:space="preserve"> </v>
      </c>
      <c r="N67" s="4" t="str">
        <f t="shared" si="11"/>
        <v>PROVISIONAL</v>
      </c>
      <c r="O67" s="17" t="str">
        <f t="shared" si="12"/>
        <v xml:space="preserve">ESCALADA ARNALDO     </v>
      </c>
      <c r="P67" s="4" t="str">
        <f>IF(O67="vacante","vacante",IFERROR(IF(VLOOKUP(IF((M67)=" ",IF(COUNTBLANK(K67),I67,K67),M67),[3]Hoja1!$B:$I,4,0)="licencia","vacante"," ")," "))</f>
        <v xml:space="preserve"> </v>
      </c>
      <c r="Q67" s="4"/>
      <c r="R67">
        <f t="shared" si="13"/>
        <v>10</v>
      </c>
      <c r="S67" t="str">
        <f t="shared" si="14"/>
        <v>1°6°10</v>
      </c>
    </row>
    <row r="68" spans="1:19" ht="18.75" hidden="1" customHeight="1">
      <c r="A68" s="3" t="str">
        <f t="shared" si="10"/>
        <v>1°6°1611TPT</v>
      </c>
      <c r="B68" s="3" t="s">
        <v>137</v>
      </c>
      <c r="C68" s="3">
        <v>161</v>
      </c>
      <c r="D68" s="3" t="s">
        <v>41</v>
      </c>
      <c r="E68" s="3">
        <v>2232499</v>
      </c>
      <c r="F68" s="3" t="str">
        <f>VLOOKUP(D68,[1]Hoja1!$A:$K,11,0)</f>
        <v>PROCEDIMIENTOS TECNICOS</v>
      </c>
      <c r="G68" s="7"/>
      <c r="H68" s="7"/>
      <c r="I68" s="5"/>
      <c r="J68" s="5"/>
      <c r="K68" s="6" t="s">
        <v>706</v>
      </c>
      <c r="L68" s="5"/>
      <c r="M68" s="6"/>
      <c r="N68" s="4" t="str">
        <f t="shared" si="11"/>
        <v>SUPLENTE</v>
      </c>
      <c r="O68" s="17">
        <f t="shared" si="12"/>
        <v>0</v>
      </c>
      <c r="P68" s="4" t="str">
        <f>IF(O68="vacante","vacante",IFERROR(IF(VLOOKUP(IF((M68)=" ",IF(COUNTBLANK(K68),I68,K68),M68),[3]Hoja1!$B:$I,4,0)="licencia","vacante"," ")," "))</f>
        <v xml:space="preserve"> </v>
      </c>
      <c r="Q68" s="4"/>
      <c r="R68">
        <f t="shared" si="13"/>
        <v>11</v>
      </c>
      <c r="S68" t="str">
        <f t="shared" si="14"/>
        <v>1°6°11</v>
      </c>
    </row>
    <row r="69" spans="1:19" ht="18.75" hidden="1" customHeight="1">
      <c r="A69" s="3" t="str">
        <f t="shared" si="10"/>
        <v>1°6°1621TLT</v>
      </c>
      <c r="B69" s="3" t="s">
        <v>137</v>
      </c>
      <c r="C69" s="3">
        <v>162</v>
      </c>
      <c r="D69" s="3" t="s">
        <v>36</v>
      </c>
      <c r="E69" s="3">
        <v>2232491</v>
      </c>
      <c r="F69" s="3" t="str">
        <f>VLOOKUP(D69,[1]Hoja1!$A:$K,11,0)</f>
        <v>LENGUAJES TECNOLOGICOS</v>
      </c>
      <c r="G69" s="7"/>
      <c r="H69" s="7"/>
      <c r="I69" s="5"/>
      <c r="J69" s="5" t="s">
        <v>147</v>
      </c>
      <c r="K69" s="6" t="s">
        <v>148</v>
      </c>
      <c r="L69" s="5" t="str">
        <f>IFERROR(VLOOKUP(CONCATENATE(A69,"S"),[2]Hoja1!$B:$N,5,0)," ")</f>
        <v xml:space="preserve"> </v>
      </c>
      <c r="M69" s="6" t="str">
        <f>IFERROR(VLOOKUP(CONCATENATE(A69,"S"),[2]Hoja1!$B:$N,6,0)," ")</f>
        <v xml:space="preserve"> </v>
      </c>
      <c r="N69" s="4" t="str">
        <f t="shared" si="11"/>
        <v>PROVISIONAL</v>
      </c>
      <c r="O69" s="17" t="str">
        <f t="shared" si="12"/>
        <v xml:space="preserve">ESCALADA ARNALDO     </v>
      </c>
      <c r="P69" s="4" t="str">
        <f>IF(O69="vacante","vacante",IFERROR(IF(VLOOKUP(IF((M69)=" ",IF(COUNTBLANK(K69),I69,K69),M69),[3]Hoja1!$B:$I,4,0)="licencia","vacante"," ")," "))</f>
        <v xml:space="preserve"> </v>
      </c>
      <c r="Q69" s="4"/>
      <c r="R69">
        <f t="shared" si="13"/>
        <v>12</v>
      </c>
      <c r="S69" t="str">
        <f t="shared" si="14"/>
        <v>1°6°12</v>
      </c>
    </row>
    <row r="70" spans="1:19" ht="18.75" hidden="1" customHeight="1">
      <c r="A70" s="3" t="str">
        <f t="shared" ref="A70:A129" si="15">CONCATENATE(B70,C70,D70)</f>
        <v>1°6°1621TST</v>
      </c>
      <c r="B70" s="3" t="s">
        <v>137</v>
      </c>
      <c r="C70" s="3">
        <v>162</v>
      </c>
      <c r="D70" s="3" t="s">
        <v>38</v>
      </c>
      <c r="E70" s="3">
        <v>2232497</v>
      </c>
      <c r="F70" s="3" t="str">
        <f>VLOOKUP(D70,[1]Hoja1!$A:$K,11,0)</f>
        <v>SISTEMAS TECNOLOGICOS</v>
      </c>
      <c r="G70" s="7"/>
      <c r="H70" s="7"/>
      <c r="I70" s="5"/>
      <c r="J70" s="5" t="s">
        <v>108</v>
      </c>
      <c r="K70" s="6" t="s">
        <v>670</v>
      </c>
      <c r="L70" s="5"/>
      <c r="M70" s="6"/>
      <c r="N70" s="4" t="str">
        <f>IF((M56)=" ",IF(COUNTBLANK(K70),"TITULAR","PROVISIONAL"),"SUPLENTE")</f>
        <v>SUPLENTE</v>
      </c>
      <c r="O70" s="17" t="str">
        <f>IF((M56)=" ",IF(COUNTBLANK(K70),I70,K70),M56)</f>
        <v xml:space="preserve">ESCALADA ARNALDO     </v>
      </c>
      <c r="P70" s="4" t="str">
        <f>IF(O70="vacante","vacante",IFERROR(IF(VLOOKUP(IF((M56)=" ",IF(COUNTBLANK(K70),I70,K70),M56),[3]Hoja1!$B:$I,4,0)="licencia","vacante"," ")," "))</f>
        <v xml:space="preserve"> </v>
      </c>
      <c r="Q70" s="4"/>
      <c r="R70">
        <f t="shared" ref="R70:R130" si="16">IF(B70=B69,R69+1,1)</f>
        <v>13</v>
      </c>
      <c r="S70" t="str">
        <f t="shared" ref="S70:S129" si="17">CONCATENATE(B70,R70)</f>
        <v>1°6°13</v>
      </c>
    </row>
    <row r="71" spans="1:19" ht="18.75" hidden="1" customHeight="1">
      <c r="A71" s="3" t="str">
        <f t="shared" si="15"/>
        <v>1°6°1621TPT</v>
      </c>
      <c r="B71" s="3" t="s">
        <v>137</v>
      </c>
      <c r="C71" s="3">
        <v>162</v>
      </c>
      <c r="D71" s="3" t="s">
        <v>41</v>
      </c>
      <c r="E71" s="3">
        <v>2232501</v>
      </c>
      <c r="F71" s="3" t="str">
        <f>VLOOKUP(D71,[1]Hoja1!$A:$K,11,0)</f>
        <v>PROCEDIMIENTOS TECNICOS</v>
      </c>
      <c r="G71" s="7"/>
      <c r="H71" s="7"/>
      <c r="I71" s="5"/>
      <c r="J71" s="5" t="s">
        <v>154</v>
      </c>
      <c r="K71" s="6" t="s">
        <v>150</v>
      </c>
      <c r="L71" s="5">
        <f>IFERROR(VLOOKUP(CONCATENATE(A71,"S"),[2]Hoja1!$B:$N,5,0)," ")</f>
        <v>0</v>
      </c>
      <c r="M71" s="6" t="str">
        <f>IFERROR(VLOOKUP(CONCATENATE(A71,"S"),[2]Hoja1!$B:$N,6,0)," ")</f>
        <v xml:space="preserve">LOPEZ. JOTHAN </v>
      </c>
      <c r="N71" s="4" t="str">
        <f t="shared" ref="N71:N129" si="18">IF((M71)=" ",IF(COUNTBLANK(K71),"TITULAR","PROVISIONAL"),"SUPLENTE")</f>
        <v>SUPLENTE</v>
      </c>
      <c r="O71" s="17" t="str">
        <f t="shared" ref="O71:O129" si="19">IF((M71)=" ",IF(COUNTBLANK(K71),I71,K71),M71)</f>
        <v xml:space="preserve">LOPEZ. JOTHAN </v>
      </c>
      <c r="P71" s="4" t="str">
        <f>IF(O71="vacante","vacante",IFERROR(IF(VLOOKUP(IF((M71)=" ",IF(COUNTBLANK(K71),I71,K71),M71),[3]Hoja1!$B:$I,4,0)="licencia","vacante"," ")," "))</f>
        <v xml:space="preserve"> </v>
      </c>
      <c r="Q71" s="4"/>
      <c r="R71">
        <f t="shared" si="16"/>
        <v>14</v>
      </c>
      <c r="S71" t="str">
        <f t="shared" si="17"/>
        <v>1°6°14</v>
      </c>
    </row>
    <row r="72" spans="1:19" ht="18.75" hidden="1" customHeight="1">
      <c r="A72" s="3" t="str">
        <f t="shared" si="15"/>
        <v>2°1°2BIO</v>
      </c>
      <c r="B72" s="3" t="s">
        <v>155</v>
      </c>
      <c r="C72" s="3"/>
      <c r="D72" s="3" t="s">
        <v>156</v>
      </c>
      <c r="E72" s="3">
        <v>1642764</v>
      </c>
      <c r="F72" s="3" t="str">
        <f>VLOOKUP(D72,[1]Hoja1!$A:$K,11,0)</f>
        <v>BIOLOGIA</v>
      </c>
      <c r="G72" s="29">
        <v>23480647</v>
      </c>
      <c r="H72" s="7"/>
      <c r="I72" s="5" t="s">
        <v>816</v>
      </c>
      <c r="J72" s="5"/>
      <c r="K72" s="6"/>
      <c r="L72" s="5">
        <f>IFERROR(VLOOKUP(CONCATENATE(A72,"S"),[2]Hoja1!$B:$N,5,0)," ")</f>
        <v>0</v>
      </c>
      <c r="M72" s="6" t="str">
        <f>IFERROR(VLOOKUP(CONCATENATE(A72,"S"),[2]Hoja1!$B:$N,6,0)," ")</f>
        <v>FARIAS CLAUDIA</v>
      </c>
      <c r="N72" s="4" t="str">
        <f t="shared" si="18"/>
        <v>SUPLENTE</v>
      </c>
      <c r="O72" s="17" t="str">
        <f t="shared" si="19"/>
        <v>FARIAS CLAUDIA</v>
      </c>
      <c r="P72" s="4" t="str">
        <f>IF(O72="vacante","vacante",IFERROR(IF(VLOOKUP(IF((M72)=" ",IF(COUNTBLANK(K72),I72,K72),M72),[3]Hoja1!$B:$I,4,0)="licencia","vacante"," ")," "))</f>
        <v xml:space="preserve"> </v>
      </c>
      <c r="Q72" s="4"/>
      <c r="R72">
        <f t="shared" si="16"/>
        <v>1</v>
      </c>
      <c r="S72" t="str">
        <f t="shared" si="17"/>
        <v>2°1°1</v>
      </c>
    </row>
    <row r="73" spans="1:19" ht="18.75" hidden="1" customHeight="1">
      <c r="A73" s="3" t="str">
        <f t="shared" si="15"/>
        <v>2°1°2CCD</v>
      </c>
      <c r="B73" s="3" t="s">
        <v>155</v>
      </c>
      <c r="C73" s="3"/>
      <c r="D73" s="3" t="s">
        <v>159</v>
      </c>
      <c r="E73" s="3">
        <v>2683134</v>
      </c>
      <c r="F73" s="3" t="str">
        <f>VLOOKUP(D73,[1]Hoja1!$A:$K,11,0)</f>
        <v>CONSTRUCCION DE LA CIUDADANIA</v>
      </c>
      <c r="G73" s="7" t="s">
        <v>160</v>
      </c>
      <c r="H73" s="7"/>
      <c r="I73" s="5" t="s">
        <v>161</v>
      </c>
      <c r="J73" s="5"/>
      <c r="K73" s="6"/>
      <c r="L73" s="5">
        <f>IFERROR(VLOOKUP(CONCATENATE(A73,"S"),[2]Hoja1!$B:$N,5,0)," ")</f>
        <v>27310342306</v>
      </c>
      <c r="M73" s="6" t="str">
        <f>IFERROR(VLOOKUP(CONCATENATE(A73,"S"),[2]Hoja1!$B:$N,6,0)," ")</f>
        <v>LEDO VIVIANA SOLEDAD</v>
      </c>
      <c r="N73" s="4" t="str">
        <f t="shared" si="18"/>
        <v>SUPLENTE</v>
      </c>
      <c r="O73" s="17" t="str">
        <f t="shared" si="19"/>
        <v>LEDO VIVIANA SOLEDAD</v>
      </c>
      <c r="P73" s="4" t="str">
        <f>IF(O73="vacante","vacante",IFERROR(IF(VLOOKUP(IF((M73)=" ",IF(COUNTBLANK(K73),I73,K73),M73),[3]Hoja1!$B:$I,4,0)="licencia","vacante"," ")," "))</f>
        <v xml:space="preserve"> </v>
      </c>
      <c r="Q73" s="4"/>
      <c r="R73">
        <f t="shared" si="16"/>
        <v>2</v>
      </c>
      <c r="S73" t="str">
        <f t="shared" si="17"/>
        <v>2°1°2</v>
      </c>
    </row>
    <row r="74" spans="1:19" ht="18.75" hidden="1" customHeight="1">
      <c r="A74" s="3" t="str">
        <f t="shared" si="15"/>
        <v>2°1°2ART</v>
      </c>
      <c r="B74" s="3" t="s">
        <v>155</v>
      </c>
      <c r="C74" s="3"/>
      <c r="D74" s="3" t="s">
        <v>162</v>
      </c>
      <c r="E74" s="3">
        <v>733585</v>
      </c>
      <c r="F74" s="3" t="str">
        <f>VLOOKUP(D74,[1]Hoja1!$A:$K,11,0)</f>
        <v>EDUCACION ARTISTICA (PLASTICA)</v>
      </c>
      <c r="G74" s="7"/>
      <c r="H74" s="7"/>
      <c r="I74" s="5"/>
      <c r="J74" s="5"/>
      <c r="K74" s="46" t="s">
        <v>817</v>
      </c>
      <c r="L74" s="5" t="str">
        <f>IFERROR(VLOOKUP(CONCATENATE(A74,"S"),[2]Hoja1!$B:$N,5,0)," ")</f>
        <v xml:space="preserve"> </v>
      </c>
      <c r="M74" s="6" t="str">
        <f>IFERROR(VLOOKUP(CONCATENATE(A74,"S"),[2]Hoja1!$B:$N,6,0)," ")</f>
        <v xml:space="preserve"> </v>
      </c>
      <c r="N74" s="4" t="str">
        <f t="shared" si="18"/>
        <v>PROVISIONAL</v>
      </c>
      <c r="O74" s="17" t="str">
        <f t="shared" si="19"/>
        <v>SEGGIARO GISELA PAMELA  27324520711</v>
      </c>
      <c r="P74" s="4" t="str">
        <f>IF(O74="vacante","vacante",IFERROR(IF(VLOOKUP(IF((M74)=" ",IF(COUNTBLANK(K74),I74,K74),M74),[3]Hoja1!$B:$I,4,0)="licencia","vacante"," ")," "))</f>
        <v xml:space="preserve"> </v>
      </c>
      <c r="Q74" s="4"/>
      <c r="R74">
        <f t="shared" si="16"/>
        <v>3</v>
      </c>
      <c r="S74" t="str">
        <f t="shared" si="17"/>
        <v>2°1°3</v>
      </c>
    </row>
    <row r="75" spans="1:19" ht="18.75" hidden="1" customHeight="1">
      <c r="A75" s="3" t="str">
        <f t="shared" si="15"/>
        <v>2°1°2EFI</v>
      </c>
      <c r="B75" s="3" t="s">
        <v>155</v>
      </c>
      <c r="C75" s="3"/>
      <c r="D75" s="3" t="s">
        <v>163</v>
      </c>
      <c r="E75" s="3">
        <v>733460</v>
      </c>
      <c r="F75" s="3" t="str">
        <f>VLOOKUP(D75,[1]Hoja1!$A:$K,11,0)</f>
        <v>EDUCACIÓN FISICA</v>
      </c>
      <c r="G75" s="7" t="s">
        <v>821</v>
      </c>
      <c r="H75" s="7" t="s">
        <v>119</v>
      </c>
      <c r="I75" s="5" t="s">
        <v>820</v>
      </c>
      <c r="J75" s="5"/>
      <c r="K75" s="6"/>
      <c r="L75" s="5" t="str">
        <f>IFERROR(VLOOKUP(CONCATENATE(A75,"S"),[2]Hoja1!$B:$N,5,0)," ")</f>
        <v xml:space="preserve"> </v>
      </c>
      <c r="M75" s="6" t="str">
        <f>IFERROR(VLOOKUP(CONCATENATE(A75,"S"),[2]Hoja1!$B:$N,6,0)," ")</f>
        <v xml:space="preserve"> </v>
      </c>
      <c r="N75" s="4" t="str">
        <f t="shared" si="18"/>
        <v>TITULAR</v>
      </c>
      <c r="O75" s="17" t="str">
        <f t="shared" si="19"/>
        <v>LUDUEÑA NELSON            ACRECENTAMIENTO 2020</v>
      </c>
      <c r="P75" s="4" t="str">
        <f>IF(O75="vacante","vacante",IFERROR(IF(VLOOKUP(IF((M75)=" ",IF(COUNTBLANK(K75),I75,K75),M75),[3]Hoja1!$B:$I,4,0)="licencia","vacante"," ")," "))</f>
        <v xml:space="preserve"> </v>
      </c>
      <c r="Q75" s="4"/>
      <c r="R75">
        <f t="shared" si="16"/>
        <v>4</v>
      </c>
      <c r="S75" t="str">
        <f t="shared" si="17"/>
        <v>2°1°4</v>
      </c>
    </row>
    <row r="76" spans="1:19" ht="18.75" hidden="1" customHeight="1">
      <c r="A76" s="3" t="str">
        <f t="shared" si="15"/>
        <v>2°1°2FI/QUI</v>
      </c>
      <c r="B76" s="3" t="s">
        <v>155</v>
      </c>
      <c r="C76" s="3"/>
      <c r="D76" s="3" t="s">
        <v>164</v>
      </c>
      <c r="E76" s="3">
        <v>1642762</v>
      </c>
      <c r="F76" s="3" t="str">
        <f>VLOOKUP(D76,[1]Hoja1!$A:$K,11,0)</f>
        <v>FISICO-QUIMICA</v>
      </c>
      <c r="G76" s="7" t="s">
        <v>823</v>
      </c>
      <c r="H76" s="7"/>
      <c r="I76" s="5" t="s">
        <v>822</v>
      </c>
      <c r="J76" s="5"/>
      <c r="K76" s="6"/>
      <c r="L76" s="5" t="str">
        <f>IFERROR(VLOOKUP(CONCATENATE(A76,"S"),[2]Hoja1!$B:$N,5,0)," ")</f>
        <v xml:space="preserve"> </v>
      </c>
      <c r="M76" s="6" t="str">
        <f>IFERROR(VLOOKUP(CONCATENATE(A76,"S"),[2]Hoja1!$B:$N,6,0)," ")</f>
        <v xml:space="preserve"> </v>
      </c>
      <c r="N76" s="4" t="str">
        <f t="shared" si="18"/>
        <v>TITULAR</v>
      </c>
      <c r="O76" s="17" t="str">
        <f t="shared" si="19"/>
        <v xml:space="preserve">ESPINDOLA SERGIO                        </v>
      </c>
      <c r="P76" s="4" t="str">
        <f>IF(O76="vacante","vacante",IFERROR(IF(VLOOKUP(IF((M76)=" ",IF(COUNTBLANK(K76),I76,K76),M76),[3]Hoja1!$B:$I,4,0)="licencia","vacante"," ")," "))</f>
        <v xml:space="preserve"> </v>
      </c>
      <c r="Q76" s="4"/>
      <c r="R76">
        <f t="shared" si="16"/>
        <v>5</v>
      </c>
      <c r="S76" t="str">
        <f t="shared" si="17"/>
        <v>2°1°5</v>
      </c>
    </row>
    <row r="77" spans="1:19" ht="18.75" hidden="1" customHeight="1">
      <c r="A77" s="3" t="str">
        <f t="shared" si="15"/>
        <v>2°1°2GEO</v>
      </c>
      <c r="B77" s="3" t="s">
        <v>155</v>
      </c>
      <c r="C77" s="3"/>
      <c r="D77" s="3" t="s">
        <v>165</v>
      </c>
      <c r="E77" s="3">
        <v>31174482</v>
      </c>
      <c r="F77" s="3" t="str">
        <f>VLOOKUP(D77,[1]Hoja1!$A:$K,11,0)</f>
        <v>GEOGRAFIA</v>
      </c>
      <c r="G77" s="7"/>
      <c r="H77" s="7"/>
      <c r="I77" s="5"/>
      <c r="J77" s="5">
        <v>27289018420</v>
      </c>
      <c r="K77" s="6" t="s">
        <v>810</v>
      </c>
      <c r="L77" s="5" t="str">
        <f>IFERROR(VLOOKUP(CONCATENATE(A77,"S"),[2]Hoja1!$B:$N,5,0)," ")</f>
        <v xml:space="preserve"> </v>
      </c>
      <c r="M77" s="6" t="str">
        <f>IFERROR(VLOOKUP(CONCATENATE(A77,"S"),[2]Hoja1!$B:$N,6,0)," ")</f>
        <v xml:space="preserve"> </v>
      </c>
      <c r="N77" s="4" t="str">
        <f t="shared" si="18"/>
        <v>PROVISIONAL</v>
      </c>
      <c r="O77" s="17" t="str">
        <f t="shared" si="19"/>
        <v>OSTRIZ GISELA JORGELINA</v>
      </c>
      <c r="P77" s="4" t="str">
        <f>IF(O77="vacante","vacante",IFERROR(IF(VLOOKUP(IF((M77)=" ",IF(COUNTBLANK(K77),I77,K77),M77),[3]Hoja1!$B:$I,4,0)="licencia","vacante"," ")," "))</f>
        <v xml:space="preserve"> </v>
      </c>
      <c r="Q77" s="4"/>
      <c r="R77">
        <f t="shared" si="16"/>
        <v>6</v>
      </c>
      <c r="S77" t="str">
        <f t="shared" si="17"/>
        <v>2°1°6</v>
      </c>
    </row>
    <row r="78" spans="1:19" ht="18.75" hidden="1" customHeight="1">
      <c r="A78" s="3" t="str">
        <f t="shared" si="15"/>
        <v>2°1°2HIS</v>
      </c>
      <c r="B78" s="3" t="s">
        <v>155</v>
      </c>
      <c r="C78" s="3"/>
      <c r="D78" s="3" t="s">
        <v>167</v>
      </c>
      <c r="E78" s="3">
        <v>1642703</v>
      </c>
      <c r="F78" s="3" t="str">
        <f>VLOOKUP(D78,[1]Hoja1!$A:$K,11,0)</f>
        <v>HISTORIA</v>
      </c>
      <c r="G78" s="7" t="s">
        <v>168</v>
      </c>
      <c r="H78" s="7"/>
      <c r="I78" s="5" t="s">
        <v>70</v>
      </c>
      <c r="J78" s="5"/>
      <c r="K78" s="6"/>
      <c r="L78" s="5" t="str">
        <f>IFERROR(VLOOKUP(CONCATENATE(A78,"S"),[2]Hoja1!$B:$N,5,0)," ")</f>
        <v xml:space="preserve"> </v>
      </c>
      <c r="M78" s="6" t="str">
        <f>IFERROR(VLOOKUP(CONCATENATE(A78,"S"),[2]Hoja1!$B:$N,6,0)," ")</f>
        <v xml:space="preserve"> </v>
      </c>
      <c r="N78" s="4" t="str">
        <f t="shared" si="18"/>
        <v>TITULAR</v>
      </c>
      <c r="O78" s="17" t="str">
        <f t="shared" si="19"/>
        <v xml:space="preserve">TORRES LUIS                    </v>
      </c>
      <c r="P78" s="4" t="str">
        <f>IF(O78="vacante","vacante",IFERROR(IF(VLOOKUP(IF((M78)=" ",IF(COUNTBLANK(K78),I78,K78),M78),[3]Hoja1!$B:$I,4,0)="licencia","vacante"," ")," "))</f>
        <v xml:space="preserve"> </v>
      </c>
      <c r="Q78" s="4"/>
      <c r="R78">
        <f t="shared" si="16"/>
        <v>7</v>
      </c>
      <c r="S78" t="str">
        <f t="shared" si="17"/>
        <v>2°1°7</v>
      </c>
    </row>
    <row r="79" spans="1:19" ht="18.75" hidden="1" customHeight="1">
      <c r="A79" s="3" t="str">
        <f t="shared" si="15"/>
        <v>2°1°2ING</v>
      </c>
      <c r="B79" s="3" t="s">
        <v>155</v>
      </c>
      <c r="C79" s="3"/>
      <c r="D79" s="3" t="s">
        <v>169</v>
      </c>
      <c r="E79" s="3">
        <v>733561</v>
      </c>
      <c r="F79" s="3" t="str">
        <f>VLOOKUP(D79,[1]Hoja1!$A:$K,11,0)</f>
        <v>INGLÉS</v>
      </c>
      <c r="G79" s="7" t="s">
        <v>170</v>
      </c>
      <c r="H79" s="7"/>
      <c r="I79" s="5" t="s">
        <v>171</v>
      </c>
      <c r="J79" s="5"/>
      <c r="K79" s="6"/>
      <c r="L79" s="5" t="str">
        <f>IFERROR(VLOOKUP(CONCATENATE(A79,"S"),[2]Hoja1!$B:$N,5,0)," ")</f>
        <v xml:space="preserve"> </v>
      </c>
      <c r="M79" s="6" t="str">
        <f>IFERROR(VLOOKUP(CONCATENATE(A79,"S"),[2]Hoja1!$B:$N,6,0)," ")</f>
        <v xml:space="preserve"> </v>
      </c>
      <c r="N79" s="4" t="str">
        <f t="shared" si="18"/>
        <v>TITULAR</v>
      </c>
      <c r="O79" s="17" t="str">
        <f t="shared" si="19"/>
        <v xml:space="preserve">BONELLI PAMELA                                </v>
      </c>
      <c r="P79" s="4" t="str">
        <f>IF(O79="vacante","vacante",IFERROR(IF(VLOOKUP(IF((M79)=" ",IF(COUNTBLANK(K79),I79,K79),M79),[3]Hoja1!$B:$I,4,0)="licencia","vacante"," ")," "))</f>
        <v xml:space="preserve"> </v>
      </c>
      <c r="Q79" s="4"/>
      <c r="R79">
        <f t="shared" si="16"/>
        <v>8</v>
      </c>
      <c r="S79" t="str">
        <f t="shared" si="17"/>
        <v>2°1°8</v>
      </c>
    </row>
    <row r="80" spans="1:19" ht="18.75" hidden="1" customHeight="1">
      <c r="A80" s="3" t="str">
        <f t="shared" si="15"/>
        <v>2°1°2MAT</v>
      </c>
      <c r="B80" s="3" t="s">
        <v>155</v>
      </c>
      <c r="C80" s="3"/>
      <c r="D80" s="3" t="s">
        <v>172</v>
      </c>
      <c r="E80" s="3">
        <v>733468</v>
      </c>
      <c r="F80" s="3" t="str">
        <f>VLOOKUP(D80,[1]Hoja1!$A:$K,11,0)</f>
        <v>MATEMATICA</v>
      </c>
      <c r="G80" s="7"/>
      <c r="H80" s="7">
        <v>44621</v>
      </c>
      <c r="I80" s="5" t="s">
        <v>554</v>
      </c>
      <c r="J80" s="5"/>
      <c r="K80" s="6"/>
      <c r="L80" s="5" t="str">
        <f>IFERROR(VLOOKUP(CONCATENATE(A80,"S"),[2]Hoja1!$B:$N,5,0)," ")</f>
        <v xml:space="preserve"> </v>
      </c>
      <c r="M80" s="6" t="str">
        <f>IFERROR(VLOOKUP(CONCATENATE(A80,"S"),[2]Hoja1!$B:$N,6,0)," ")</f>
        <v xml:space="preserve"> </v>
      </c>
      <c r="N80" s="4" t="str">
        <f t="shared" si="18"/>
        <v>TITULAR</v>
      </c>
      <c r="O80" s="17" t="str">
        <f t="shared" si="19"/>
        <v>GARCIA. C.</v>
      </c>
      <c r="P80" s="4" t="str">
        <f>IF(O80="vacante","vacante",IFERROR(IF(VLOOKUP(IF((M80)=" ",IF(COUNTBLANK(K80),I80,K80),M80),[3]Hoja1!$B:$I,4,0)="licencia","vacante"," ")," "))</f>
        <v xml:space="preserve"> </v>
      </c>
      <c r="Q80" s="4"/>
      <c r="R80">
        <f t="shared" si="16"/>
        <v>9</v>
      </c>
      <c r="S80" t="str">
        <f t="shared" si="17"/>
        <v>2°1°9</v>
      </c>
    </row>
    <row r="81" spans="1:19" ht="18.75" hidden="1" customHeight="1">
      <c r="A81" s="3" t="str">
        <f t="shared" si="15"/>
        <v>2°1°2PLG</v>
      </c>
      <c r="B81" s="3" t="s">
        <v>155</v>
      </c>
      <c r="C81" s="3"/>
      <c r="D81" s="3" t="s">
        <v>173</v>
      </c>
      <c r="E81" s="3">
        <v>733470</v>
      </c>
      <c r="F81" s="3" t="str">
        <f>VLOOKUP(D81,[1]Hoja1!$A:$K,11,0)</f>
        <v>PRACTICA DEL LENGUAJE</v>
      </c>
      <c r="G81" s="7" t="s">
        <v>174</v>
      </c>
      <c r="H81" s="7" t="s">
        <v>703</v>
      </c>
      <c r="I81" s="5" t="s">
        <v>704</v>
      </c>
      <c r="J81" s="5"/>
      <c r="K81" s="6"/>
      <c r="L81" s="5" t="str">
        <f>IFERROR(VLOOKUP(CONCATENATE(A81,"S"),[2]Hoja1!$B:$N,5,0)," ")</f>
        <v xml:space="preserve"> </v>
      </c>
      <c r="M81" s="6" t="str">
        <f>IFERROR(VLOOKUP(CONCATENATE(A81,"S"),[2]Hoja1!$B:$N,6,0)," ")</f>
        <v xml:space="preserve"> </v>
      </c>
      <c r="N81" s="4" t="str">
        <f t="shared" si="18"/>
        <v>TITULAR</v>
      </c>
      <c r="O81" s="17" t="str">
        <f t="shared" si="19"/>
        <v>CAÑETE YOHANA</v>
      </c>
      <c r="P81" s="4" t="str">
        <f>IF(O81="vacante","vacante",IFERROR(IF(VLOOKUP(IF((M81)=" ",IF(COUNTBLANK(K81),I81,K81),M81),[3]Hoja1!$B:$I,4,0)="licencia","vacante"," ")," "))</f>
        <v xml:space="preserve"> </v>
      </c>
      <c r="Q81" s="4"/>
      <c r="R81">
        <f t="shared" si="16"/>
        <v>10</v>
      </c>
      <c r="S81" t="str">
        <f t="shared" si="17"/>
        <v>2°1°10</v>
      </c>
    </row>
    <row r="82" spans="1:19" ht="18.75" hidden="1" customHeight="1">
      <c r="A82" s="3" t="str">
        <f t="shared" si="15"/>
        <v>2°1°2112TLT2</v>
      </c>
      <c r="B82" s="3" t="s">
        <v>155</v>
      </c>
      <c r="C82" s="3">
        <v>211</v>
      </c>
      <c r="D82" s="3" t="s">
        <v>175</v>
      </c>
      <c r="E82" s="3">
        <v>2683126</v>
      </c>
      <c r="F82" s="3" t="str">
        <f>VLOOKUP(D82,[1]Hoja1!$A:$K,11,0)</f>
        <v>LENGUAJES TECNOLOGICOS</v>
      </c>
      <c r="G82" s="7" t="s">
        <v>176</v>
      </c>
      <c r="H82" s="7" t="s">
        <v>80</v>
      </c>
      <c r="I82" s="5"/>
      <c r="J82" s="5" t="s">
        <v>149</v>
      </c>
      <c r="K82" s="6" t="s">
        <v>346</v>
      </c>
      <c r="L82" s="5">
        <f>IFERROR(VLOOKUP(CONCATENATE(A82,"S"),[2]Hoja1!$B:$N,5,0)," ")</f>
        <v>20426267994</v>
      </c>
      <c r="M82" s="6" t="str">
        <f>IFERROR(VLOOKUP(CONCATENATE(A82,"S"),[2]Hoja1!$B:$N,6,0)," ")</f>
        <v xml:space="preserve">MARCELO ELIAN GONZÁLEZ BALDERRAMA  </v>
      </c>
      <c r="N82" s="4" t="str">
        <f t="shared" si="18"/>
        <v>SUPLENTE</v>
      </c>
      <c r="O82" s="17" t="str">
        <f t="shared" si="19"/>
        <v xml:space="preserve">MARCELO ELIAN GONZÁLEZ BALDERRAMA  </v>
      </c>
      <c r="P82" s="4" t="str">
        <f>IF(O82="vacante","vacante",IFERROR(IF(VLOOKUP(IF((M82)=" ",IF(COUNTBLANK(K82),I82,K82),M82),[3]Hoja1!$B:$I,4,0)="licencia","vacante"," ")," "))</f>
        <v xml:space="preserve"> </v>
      </c>
      <c r="Q82" s="4"/>
      <c r="R82">
        <f t="shared" si="16"/>
        <v>11</v>
      </c>
      <c r="S82" t="str">
        <f t="shared" si="17"/>
        <v>2°1°11</v>
      </c>
    </row>
    <row r="83" spans="1:19" ht="18.75" hidden="1" customHeight="1">
      <c r="A83" s="3" t="str">
        <f t="shared" si="15"/>
        <v>2°1°2112TST2</v>
      </c>
      <c r="B83" s="3" t="s">
        <v>155</v>
      </c>
      <c r="C83" s="3">
        <v>211</v>
      </c>
      <c r="D83" s="3" t="s">
        <v>177</v>
      </c>
      <c r="E83" s="3">
        <v>2683127</v>
      </c>
      <c r="F83" s="3" t="str">
        <f>VLOOKUP(D83,[1]Hoja1!$A:$K,11,0)</f>
        <v>SISTEMAS TECNOLOGICOS</v>
      </c>
      <c r="G83" s="7"/>
      <c r="H83" s="7"/>
      <c r="I83" s="5"/>
      <c r="J83" s="5" t="s">
        <v>786</v>
      </c>
      <c r="K83" s="33" t="s">
        <v>785</v>
      </c>
      <c r="L83" s="5" t="str">
        <f>IFERROR(VLOOKUP(CONCATENATE(A83,"S"),[2]Hoja1!$B:$N,5,0)," ")</f>
        <v xml:space="preserve"> </v>
      </c>
      <c r="M83" s="6" t="str">
        <f>IFERROR(VLOOKUP(CONCATENATE(A83,"S"),[2]Hoja1!$B:$N,6,0)," ")</f>
        <v xml:space="preserve"> </v>
      </c>
      <c r="N83" s="4" t="str">
        <f t="shared" si="18"/>
        <v>PROVISIONAL</v>
      </c>
      <c r="O83" s="17" t="str">
        <f t="shared" si="19"/>
        <v xml:space="preserve">CRUZ DAVID   </v>
      </c>
      <c r="P83" s="4" t="str">
        <f>IF(O83="vacante","vacante",IFERROR(IF(VLOOKUP(IF((M83)=" ",IF(COUNTBLANK(K83),I83,K83),M83),[3]Hoja1!$B:$I,4,0)="licencia","vacante"," ")," "))</f>
        <v xml:space="preserve"> </v>
      </c>
      <c r="Q83" s="4"/>
      <c r="R83">
        <f t="shared" si="16"/>
        <v>12</v>
      </c>
      <c r="S83" t="str">
        <f t="shared" si="17"/>
        <v>2°1°12</v>
      </c>
    </row>
    <row r="84" spans="1:19" ht="18.75" hidden="1" customHeight="1">
      <c r="A84" s="3" t="str">
        <f t="shared" si="15"/>
        <v>2°1°2112TPT2</v>
      </c>
      <c r="B84" s="3" t="s">
        <v>155</v>
      </c>
      <c r="C84" s="3">
        <v>211</v>
      </c>
      <c r="D84" s="3" t="s">
        <v>179</v>
      </c>
      <c r="E84" s="3">
        <v>2683128</v>
      </c>
      <c r="F84" s="3" t="str">
        <f>VLOOKUP(D84,[1]Hoja1!$A:$K,11,0)</f>
        <v>PROCEDIMIENTOS TECNICOS</v>
      </c>
      <c r="G84" s="7"/>
      <c r="H84" s="7"/>
      <c r="I84" s="5"/>
      <c r="J84" s="5" t="s">
        <v>180</v>
      </c>
      <c r="K84" s="6" t="s">
        <v>181</v>
      </c>
      <c r="L84" s="5" t="str">
        <f>IFERROR(VLOOKUP(CONCATENATE(A84,"S"),[2]Hoja1!$B:$N,5,0)," ")</f>
        <v xml:space="preserve"> </v>
      </c>
      <c r="M84" s="6" t="str">
        <f>IFERROR(VLOOKUP(CONCATENATE(A84,"S"),[2]Hoja1!$B:$N,6,0)," ")</f>
        <v xml:space="preserve"> </v>
      </c>
      <c r="N84" s="4" t="str">
        <f t="shared" si="18"/>
        <v>PROVISIONAL</v>
      </c>
      <c r="O84" s="17" t="str">
        <f t="shared" si="19"/>
        <v xml:space="preserve">RODRIGUEZ RAUL                            </v>
      </c>
      <c r="P84" s="4" t="str">
        <f>IF(O84="vacante","vacante",IFERROR(IF(VLOOKUP(IF((M84)=" ",IF(COUNTBLANK(K84),I84,K84),M84),[3]Hoja1!$B:$I,4,0)="licencia","vacante"," ")," "))</f>
        <v xml:space="preserve"> </v>
      </c>
      <c r="Q84" s="4"/>
      <c r="R84">
        <f t="shared" si="16"/>
        <v>13</v>
      </c>
      <c r="S84" t="str">
        <f t="shared" si="17"/>
        <v>2°1°13</v>
      </c>
    </row>
    <row r="85" spans="1:19" ht="18.75" hidden="1" customHeight="1">
      <c r="A85" s="3" t="str">
        <f t="shared" si="15"/>
        <v>2°1°2122TLT2</v>
      </c>
      <c r="B85" s="3" t="s">
        <v>155</v>
      </c>
      <c r="C85" s="3">
        <v>212</v>
      </c>
      <c r="D85" s="3" t="s">
        <v>175</v>
      </c>
      <c r="E85" s="3">
        <v>2683129</v>
      </c>
      <c r="F85" s="3" t="str">
        <f>VLOOKUP(D85,[1]Hoja1!$A:$K,11,0)</f>
        <v>LENGUAJES TECNOLOGICOS</v>
      </c>
      <c r="G85" s="7" t="s">
        <v>182</v>
      </c>
      <c r="H85" s="7" t="s">
        <v>78</v>
      </c>
      <c r="I85" s="5"/>
      <c r="J85" s="5"/>
      <c r="K85" s="6" t="s">
        <v>663</v>
      </c>
      <c r="L85" s="5" t="str">
        <f>IFERROR(VLOOKUP(CONCATENATE(A85,"S"),[2]Hoja1!$B:$N,5,0)," ")</f>
        <v xml:space="preserve"> </v>
      </c>
      <c r="M85" s="6" t="str">
        <f>IFERROR(VLOOKUP(CONCATENATE(A85,"S"),[2]Hoja1!$B:$N,6,0)," ")</f>
        <v xml:space="preserve"> </v>
      </c>
      <c r="N85" s="4" t="str">
        <f t="shared" si="18"/>
        <v>PROVISIONAL</v>
      </c>
      <c r="O85" s="17" t="str">
        <f t="shared" si="19"/>
        <v xml:space="preserve">VERA LORENA                        </v>
      </c>
      <c r="P85" s="4" t="str">
        <f>IF(O85="vacante","vacante",IFERROR(IF(VLOOKUP(IF((M85)=" ",IF(COUNTBLANK(K85),I85,K85),M85),[3]Hoja1!$B:$I,4,0)="licencia","vacante"," ")," "))</f>
        <v xml:space="preserve"> </v>
      </c>
      <c r="Q85" s="4"/>
      <c r="R85">
        <f t="shared" si="16"/>
        <v>14</v>
      </c>
      <c r="S85" t="str">
        <f t="shared" si="17"/>
        <v>2°1°14</v>
      </c>
    </row>
    <row r="86" spans="1:19" ht="18.75" hidden="1" customHeight="1">
      <c r="A86" s="3" t="str">
        <f t="shared" si="15"/>
        <v>2°1°2122TST2</v>
      </c>
      <c r="B86" s="3" t="s">
        <v>155</v>
      </c>
      <c r="C86" s="3">
        <v>212</v>
      </c>
      <c r="D86" s="3" t="s">
        <v>177</v>
      </c>
      <c r="E86" s="3">
        <v>2683131</v>
      </c>
      <c r="F86" s="3" t="str">
        <f>VLOOKUP(D86,[1]Hoja1!$A:$K,11,0)</f>
        <v>SISTEMAS TECNOLOGICOS</v>
      </c>
      <c r="G86" s="7"/>
      <c r="H86" s="7"/>
      <c r="I86" s="5"/>
      <c r="J86" s="5"/>
      <c r="K86" s="6" t="s">
        <v>663</v>
      </c>
      <c r="L86" s="5"/>
      <c r="M86" s="6" t="str">
        <f>IFERROR(VLOOKUP(CONCATENATE(A86,"S"),[2]Hoja1!$B:$N,6,0)," ")</f>
        <v xml:space="preserve"> </v>
      </c>
      <c r="N86" s="4" t="str">
        <f t="shared" si="18"/>
        <v>PROVISIONAL</v>
      </c>
      <c r="O86" s="17" t="str">
        <f t="shared" si="19"/>
        <v xml:space="preserve">VERA LORENA                        </v>
      </c>
      <c r="P86" s="4" t="str">
        <f>IF(O86="vacante","vacante",IFERROR(IF(VLOOKUP(IF((M86)=" ",IF(COUNTBLANK(K86),I86,K86),M86),[3]Hoja1!$B:$I,4,0)="licencia","vacante"," ")," "))</f>
        <v xml:space="preserve"> </v>
      </c>
      <c r="Q86" s="4"/>
      <c r="R86">
        <f t="shared" si="16"/>
        <v>15</v>
      </c>
      <c r="S86" t="str">
        <f t="shared" si="17"/>
        <v>2°1°15</v>
      </c>
    </row>
    <row r="87" spans="1:19" ht="18.75" hidden="1" customHeight="1">
      <c r="A87" s="3" t="str">
        <f t="shared" si="15"/>
        <v>2°1°2122TPT2</v>
      </c>
      <c r="B87" s="3" t="s">
        <v>155</v>
      </c>
      <c r="C87" s="3">
        <v>212</v>
      </c>
      <c r="D87" s="3" t="s">
        <v>179</v>
      </c>
      <c r="E87" s="3">
        <v>2683132</v>
      </c>
      <c r="F87" s="3" t="str">
        <f>VLOOKUP(D87,[1]Hoja1!$A:$K,11,0)</f>
        <v>PROCEDIMIENTOS TECNICOS</v>
      </c>
      <c r="G87" s="7" t="s">
        <v>183</v>
      </c>
      <c r="H87" s="7" t="s">
        <v>80</v>
      </c>
      <c r="I87" s="5" t="s">
        <v>184</v>
      </c>
      <c r="J87" s="5"/>
      <c r="K87" s="6"/>
      <c r="L87" s="5" t="str">
        <f>IFERROR(VLOOKUP(CONCATENATE(A87,"S"),[2]Hoja1!$B:$N,5,0)," ")</f>
        <v xml:space="preserve"> </v>
      </c>
      <c r="M87" s="6" t="str">
        <f>IFERROR(VLOOKUP(CONCATENATE(A87,"S"),[2]Hoja1!$B:$N,6,0)," ")</f>
        <v xml:space="preserve"> </v>
      </c>
      <c r="N87" s="4" t="str">
        <f t="shared" si="18"/>
        <v>TITULAR</v>
      </c>
      <c r="O87" s="17" t="str">
        <f t="shared" si="19"/>
        <v xml:space="preserve">CHAMORRO CRISTIAN                        </v>
      </c>
      <c r="P87" s="4" t="str">
        <f>IF(O87="vacante","vacante",IFERROR(IF(VLOOKUP(IF((M87)=" ",IF(COUNTBLANK(K87),I87,K87),M87),[3]Hoja1!$B:$I,4,0)="licencia","vacante"," ")," "))</f>
        <v xml:space="preserve"> </v>
      </c>
      <c r="Q87" s="4"/>
      <c r="R87">
        <f t="shared" si="16"/>
        <v>16</v>
      </c>
      <c r="S87" t="str">
        <f t="shared" si="17"/>
        <v>2°1°16</v>
      </c>
    </row>
    <row r="88" spans="1:19" ht="18.75" hidden="1" customHeight="1">
      <c r="A88" s="3" t="str">
        <f t="shared" si="15"/>
        <v>2°2°2BIO</v>
      </c>
      <c r="B88" s="3" t="s">
        <v>185</v>
      </c>
      <c r="C88" s="3"/>
      <c r="D88" s="3" t="s">
        <v>156</v>
      </c>
      <c r="E88" s="3">
        <v>1644155</v>
      </c>
      <c r="F88" s="3" t="str">
        <f>VLOOKUP(D88,[1]Hoja1!$A:$K,11,0)</f>
        <v>BIOLOGIA</v>
      </c>
      <c r="G88" s="7" t="s">
        <v>157</v>
      </c>
      <c r="H88" s="7"/>
      <c r="I88" s="5" t="s">
        <v>158</v>
      </c>
      <c r="J88" s="5"/>
      <c r="K88" s="6"/>
      <c r="L88" s="5">
        <f>IFERROR(VLOOKUP(CONCATENATE(A88,"S"),[2]Hoja1!$B:$N,5,0)," ")</f>
        <v>27274090400</v>
      </c>
      <c r="M88" s="6" t="str">
        <f>IFERROR(VLOOKUP(CONCATENATE(A88,"S"),[2]Hoja1!$B:$N,6,0)," ")</f>
        <v xml:space="preserve"> ARIAS YANINA</v>
      </c>
      <c r="N88" s="4" t="str">
        <f t="shared" si="18"/>
        <v>SUPLENTE</v>
      </c>
      <c r="O88" s="17" t="str">
        <f t="shared" si="19"/>
        <v xml:space="preserve"> ARIAS YANINA</v>
      </c>
      <c r="P88" s="4" t="str">
        <f>IF(O88="vacante","vacante",IFERROR(IF(VLOOKUP(IF((M88)=" ",IF(COUNTBLANK(K88),I88,K88),M88),[3]Hoja1!$B:$I,4,0)="licencia","vacante"," ")," "))</f>
        <v xml:space="preserve"> </v>
      </c>
      <c r="Q88" s="4"/>
      <c r="R88">
        <f t="shared" si="16"/>
        <v>1</v>
      </c>
      <c r="S88" t="str">
        <f t="shared" si="17"/>
        <v>2°2°1</v>
      </c>
    </row>
    <row r="89" spans="1:19" ht="18.75" hidden="1" customHeight="1">
      <c r="A89" s="3" t="str">
        <f t="shared" si="15"/>
        <v>2°2°2CCD</v>
      </c>
      <c r="B89" s="3" t="s">
        <v>185</v>
      </c>
      <c r="C89" s="3"/>
      <c r="D89" s="3" t="s">
        <v>159</v>
      </c>
      <c r="E89" s="3">
        <v>2174482</v>
      </c>
      <c r="F89" s="3" t="str">
        <f>VLOOKUP(D89,[1]Hoja1!$A:$K,11,0)</f>
        <v>CONSTRUCCION DE LA CIUDADANIA</v>
      </c>
      <c r="G89" s="7" t="s">
        <v>186</v>
      </c>
      <c r="H89" s="7" t="s">
        <v>187</v>
      </c>
      <c r="I89" s="5" t="s">
        <v>188</v>
      </c>
      <c r="J89" s="5"/>
      <c r="K89" s="6"/>
      <c r="L89" s="5" t="str">
        <f>IFERROR(VLOOKUP(CONCATENATE(A89,"S"),[2]Hoja1!$B:$N,5,0)," ")</f>
        <v xml:space="preserve"> </v>
      </c>
      <c r="M89" s="6" t="str">
        <f>IFERROR(VLOOKUP(CONCATENATE(A89,"S"),[2]Hoja1!$B:$N,6,0)," ")</f>
        <v xml:space="preserve"> </v>
      </c>
      <c r="N89" s="4" t="str">
        <f t="shared" si="18"/>
        <v>TITULAR</v>
      </c>
      <c r="O89" s="17" t="str">
        <f t="shared" si="19"/>
        <v xml:space="preserve">HERRERA CARMEN                   </v>
      </c>
      <c r="P89" s="4" t="str">
        <f>IF(O89="vacante","vacante",IFERROR(IF(VLOOKUP(IF((M89)=" ",IF(COUNTBLANK(K89),I89,K89),M89),[3]Hoja1!$B:$I,4,0)="licencia","vacante"," ")," "))</f>
        <v xml:space="preserve"> </v>
      </c>
      <c r="Q89" s="4"/>
      <c r="R89">
        <f t="shared" si="16"/>
        <v>2</v>
      </c>
      <c r="S89" t="str">
        <f t="shared" si="17"/>
        <v>2°2°2</v>
      </c>
    </row>
    <row r="90" spans="1:19" ht="18.75" hidden="1" customHeight="1">
      <c r="A90" s="3" t="str">
        <f t="shared" si="15"/>
        <v>2°2°2ART</v>
      </c>
      <c r="B90" s="3" t="s">
        <v>185</v>
      </c>
      <c r="C90" s="3"/>
      <c r="D90" s="3" t="s">
        <v>162</v>
      </c>
      <c r="E90" s="3">
        <v>733691</v>
      </c>
      <c r="F90" s="3" t="str">
        <f>VLOOKUP(D90,[1]Hoja1!$A:$K,11,0)</f>
        <v>EDUCACION ARTISTICA (PLASTICA)</v>
      </c>
      <c r="G90" s="7" t="s">
        <v>560</v>
      </c>
      <c r="H90" s="7"/>
      <c r="I90" s="5" t="s">
        <v>559</v>
      </c>
      <c r="J90" s="5"/>
      <c r="K90" s="6"/>
      <c r="L90" s="5" t="str">
        <f>IFERROR(VLOOKUP(CONCATENATE(A90,"S"),[2]Hoja1!$B:$N,5,0)," ")</f>
        <v xml:space="preserve"> </v>
      </c>
      <c r="M90" s="6" t="str">
        <f>IFERROR(VLOOKUP(CONCATENATE(A90,"S"),[2]Hoja1!$B:$N,6,0)," ")</f>
        <v xml:space="preserve"> </v>
      </c>
      <c r="N90" s="4" t="str">
        <f t="shared" si="18"/>
        <v>TITULAR</v>
      </c>
      <c r="O90" s="17" t="str">
        <f t="shared" si="19"/>
        <v>MELGAREJO, PAULA</v>
      </c>
      <c r="P90" s="4" t="str">
        <f>IF(O90="vacante","vacante",IFERROR(IF(VLOOKUP(IF((M90)=" ",IF(COUNTBLANK(K90),I90,K90),M90),[3]Hoja1!$B:$I,4,0)="licencia","vacante"," ")," "))</f>
        <v xml:space="preserve"> </v>
      </c>
      <c r="Q90" s="4"/>
      <c r="R90">
        <f t="shared" si="16"/>
        <v>3</v>
      </c>
      <c r="S90" t="str">
        <f t="shared" si="17"/>
        <v>2°2°3</v>
      </c>
    </row>
    <row r="91" spans="1:19" ht="18.75" hidden="1" customHeight="1">
      <c r="A91" s="3" t="str">
        <f t="shared" si="15"/>
        <v>2°2°2EFI</v>
      </c>
      <c r="B91" s="3" t="s">
        <v>185</v>
      </c>
      <c r="C91" s="3"/>
      <c r="D91" s="3" t="s">
        <v>163</v>
      </c>
      <c r="E91" s="3">
        <v>733701</v>
      </c>
      <c r="F91" s="3" t="str">
        <f>VLOOKUP(D91,[1]Hoja1!$A:$K,11,0)</f>
        <v>EDUCACIÓN FISICA</v>
      </c>
      <c r="G91" s="7" t="s">
        <v>190</v>
      </c>
      <c r="H91" s="7"/>
      <c r="I91" s="5" t="s">
        <v>93</v>
      </c>
      <c r="J91" s="5"/>
      <c r="K91" s="6"/>
      <c r="L91" s="5" t="str">
        <f>IFERROR(VLOOKUP(CONCATENATE(A91,"S"),[2]Hoja1!$B:$N,5,0)," ")</f>
        <v xml:space="preserve"> </v>
      </c>
      <c r="M91" s="6" t="str">
        <f>IFERROR(VLOOKUP(CONCATENATE(A91,"S"),[2]Hoja1!$B:$N,6,0)," ")</f>
        <v xml:space="preserve"> </v>
      </c>
      <c r="N91" s="4" t="str">
        <f t="shared" si="18"/>
        <v>TITULAR</v>
      </c>
      <c r="O91" s="17" t="str">
        <f t="shared" si="19"/>
        <v xml:space="preserve">LUDUEÑA NELSON           </v>
      </c>
      <c r="P91" s="4" t="str">
        <f>IF(O91="vacante","vacante",IFERROR(IF(VLOOKUP(IF((M91)=" ",IF(COUNTBLANK(K91),I91,K91),M91),[3]Hoja1!$B:$I,4,0)="licencia","vacante"," ")," "))</f>
        <v xml:space="preserve"> </v>
      </c>
      <c r="Q91" s="4"/>
      <c r="R91">
        <f t="shared" si="16"/>
        <v>4</v>
      </c>
      <c r="S91" t="str">
        <f t="shared" si="17"/>
        <v>2°2°4</v>
      </c>
    </row>
    <row r="92" spans="1:19" ht="18.75" hidden="1" customHeight="1">
      <c r="A92" s="3" t="str">
        <f t="shared" si="15"/>
        <v>2°2°2FI/QUI</v>
      </c>
      <c r="B92" s="3" t="s">
        <v>185</v>
      </c>
      <c r="C92" s="3"/>
      <c r="D92" s="3" t="s">
        <v>164</v>
      </c>
      <c r="E92" s="3">
        <v>1644154</v>
      </c>
      <c r="F92" s="3" t="str">
        <f>VLOOKUP(D92,[1]Hoja1!$A:$K,11,0)</f>
        <v>FISICO-QUIMICA</v>
      </c>
      <c r="G92" s="7" t="s">
        <v>192</v>
      </c>
      <c r="H92" s="7"/>
      <c r="I92" s="5" t="s">
        <v>193</v>
      </c>
      <c r="J92" s="5"/>
      <c r="K92" s="6"/>
      <c r="L92" s="5" t="str">
        <f>IFERROR(VLOOKUP(CONCATENATE(A92,"S"),[2]Hoja1!$B:$N,5,0)," ")</f>
        <v xml:space="preserve"> </v>
      </c>
      <c r="M92" s="6" t="str">
        <f>IFERROR(VLOOKUP(CONCATENATE(A92,"S"),[2]Hoja1!$B:$N,6,0)," ")</f>
        <v xml:space="preserve"> </v>
      </c>
      <c r="N92" s="4" t="str">
        <f t="shared" si="18"/>
        <v>TITULAR</v>
      </c>
      <c r="O92" s="17" t="str">
        <f t="shared" si="19"/>
        <v xml:space="preserve">AGUIRRE VALERIA                            </v>
      </c>
      <c r="P92" s="4" t="str">
        <f>IF(O92="vacante","vacante",IFERROR(IF(VLOOKUP(IF((M92)=" ",IF(COUNTBLANK(K92),I92,K92),M92),[3]Hoja1!$B:$I,4,0)="licencia","vacante"," ")," "))</f>
        <v xml:space="preserve"> </v>
      </c>
      <c r="Q92" s="4"/>
      <c r="R92">
        <f t="shared" si="16"/>
        <v>5</v>
      </c>
      <c r="S92" t="str">
        <f t="shared" si="17"/>
        <v>2°2°5</v>
      </c>
    </row>
    <row r="93" spans="1:19" ht="18.75" hidden="1" customHeight="1">
      <c r="A93" s="3" t="str">
        <f t="shared" si="15"/>
        <v>2°2°2GEO</v>
      </c>
      <c r="B93" s="3" t="s">
        <v>185</v>
      </c>
      <c r="C93" s="3"/>
      <c r="D93" s="3" t="s">
        <v>165</v>
      </c>
      <c r="E93" s="3">
        <v>1644151</v>
      </c>
      <c r="F93" s="3" t="str">
        <f>VLOOKUP(D93,[1]Hoja1!$A:$K,11,0)</f>
        <v>GEOGRAFIA</v>
      </c>
      <c r="G93" s="7"/>
      <c r="H93" s="7"/>
      <c r="I93" s="5"/>
      <c r="J93" s="5" t="s">
        <v>673</v>
      </c>
      <c r="K93" s="6" t="s">
        <v>674</v>
      </c>
      <c r="L93" s="5" t="str">
        <f>IFERROR(VLOOKUP(CONCATENATE(A93,"S"),[2]Hoja1!$B:$N,5,0)," ")</f>
        <v xml:space="preserve"> </v>
      </c>
      <c r="M93" s="6" t="str">
        <f>IFERROR(VLOOKUP(CONCATENATE(A93,"S"),[2]Hoja1!$B:$N,6,0)," ")</f>
        <v xml:space="preserve"> </v>
      </c>
      <c r="N93" s="4" t="str">
        <f t="shared" si="18"/>
        <v>PROVISIONAL</v>
      </c>
      <c r="O93" s="17" t="str">
        <f t="shared" si="19"/>
        <v>AYALA VICORIA</v>
      </c>
      <c r="P93" s="4" t="str">
        <f>IF(O93="vacante","vacante",IFERROR(IF(VLOOKUP(IF((M93)=" ",IF(COUNTBLANK(K93),I93,K93),M93),[3]Hoja1!$B:$I,4,0)="licencia","vacante"," ")," "))</f>
        <v xml:space="preserve"> </v>
      </c>
      <c r="Q93" s="4"/>
      <c r="R93">
        <f t="shared" si="16"/>
        <v>6</v>
      </c>
      <c r="S93" t="str">
        <f t="shared" si="17"/>
        <v>2°2°6</v>
      </c>
    </row>
    <row r="94" spans="1:19" ht="18.75" hidden="1" customHeight="1">
      <c r="A94" s="3" t="str">
        <f t="shared" si="15"/>
        <v>2°2°2HIS</v>
      </c>
      <c r="B94" s="3" t="s">
        <v>185</v>
      </c>
      <c r="C94" s="3"/>
      <c r="D94" s="3" t="s">
        <v>167</v>
      </c>
      <c r="E94" s="3">
        <v>1644152</v>
      </c>
      <c r="F94" s="3" t="str">
        <f>VLOOKUP(D94,[1]Hoja1!$A:$K,11,0)</f>
        <v>HISTORIA</v>
      </c>
      <c r="G94" s="7" t="s">
        <v>565</v>
      </c>
      <c r="H94" s="7"/>
      <c r="I94" s="5" t="s">
        <v>564</v>
      </c>
      <c r="J94" s="5"/>
      <c r="K94" s="6"/>
      <c r="L94" s="5" t="str">
        <f>IFERROR(VLOOKUP(CONCATENATE(A94,"S"),[2]Hoja1!$B:$N,5,0)," ")</f>
        <v xml:space="preserve"> </v>
      </c>
      <c r="M94" s="6" t="str">
        <f>IFERROR(VLOOKUP(CONCATENATE(A94,"S"),[2]Hoja1!$B:$N,6,0)," ")</f>
        <v xml:space="preserve"> </v>
      </c>
      <c r="N94" s="4" t="str">
        <f t="shared" si="18"/>
        <v>TITULAR</v>
      </c>
      <c r="O94" s="17" t="str">
        <f t="shared" si="19"/>
        <v xml:space="preserve">JUAREZ NORMA </v>
      </c>
      <c r="P94" s="4" t="str">
        <f>IF(O94="vacante","vacante",IFERROR(IF(VLOOKUP(IF((M94)=" ",IF(COUNTBLANK(K94),I94,K94),M94),[3]Hoja1!$B:$I,4,0)="licencia","vacante"," ")," "))</f>
        <v xml:space="preserve"> </v>
      </c>
      <c r="Q94" s="4"/>
      <c r="R94">
        <f t="shared" si="16"/>
        <v>7</v>
      </c>
      <c r="S94" t="str">
        <f t="shared" si="17"/>
        <v>2°2°7</v>
      </c>
    </row>
    <row r="95" spans="1:19" ht="18.75" hidden="1" customHeight="1">
      <c r="A95" s="3" t="str">
        <f t="shared" si="15"/>
        <v>2°2°2ING</v>
      </c>
      <c r="B95" s="3" t="s">
        <v>185</v>
      </c>
      <c r="C95" s="3"/>
      <c r="D95" s="3" t="s">
        <v>169</v>
      </c>
      <c r="E95" s="3">
        <v>968803</v>
      </c>
      <c r="F95" s="3" t="str">
        <f>VLOOKUP(D95,[1]Hoja1!$A:$K,11,0)</f>
        <v>INGLÉS</v>
      </c>
      <c r="G95" s="7" t="s">
        <v>779</v>
      </c>
      <c r="H95" s="7"/>
      <c r="I95" s="5" t="s">
        <v>567</v>
      </c>
      <c r="J95" s="5"/>
      <c r="K95" s="6"/>
      <c r="L95" s="5" t="str">
        <f>IFERROR(VLOOKUP(CONCATENATE(A95,"S"),[2]Hoja1!$B:$N,5,0)," ")</f>
        <v xml:space="preserve"> </v>
      </c>
      <c r="M95" s="6" t="str">
        <f>IFERROR(VLOOKUP(CONCATENATE(A95,"S"),[2]Hoja1!$B:$N,6,0)," ")</f>
        <v xml:space="preserve"> </v>
      </c>
      <c r="N95" s="4" t="str">
        <f t="shared" si="18"/>
        <v>TITULAR</v>
      </c>
      <c r="O95" s="17" t="str">
        <f t="shared" si="19"/>
        <v>RAMIREZ GISELE</v>
      </c>
      <c r="P95" s="4" t="str">
        <f>IF(O95="vacante","vacante",IFERROR(IF(VLOOKUP(IF((M95)=" ",IF(COUNTBLANK(K95),I95,K95),M95),[3]Hoja1!$B:$I,4,0)="licencia","vacante"," ")," "))</f>
        <v xml:space="preserve"> </v>
      </c>
      <c r="Q95" s="4"/>
      <c r="R95">
        <f t="shared" si="16"/>
        <v>8</v>
      </c>
      <c r="S95" t="str">
        <f t="shared" si="17"/>
        <v>2°2°8</v>
      </c>
    </row>
    <row r="96" spans="1:19" ht="18.75" hidden="1" customHeight="1">
      <c r="A96" s="3" t="str">
        <f t="shared" si="15"/>
        <v>2°2°2MAT</v>
      </c>
      <c r="B96" s="3" t="s">
        <v>185</v>
      </c>
      <c r="C96" s="3"/>
      <c r="D96" s="3" t="s">
        <v>172</v>
      </c>
      <c r="E96" s="3">
        <v>789737</v>
      </c>
      <c r="F96" s="3" t="str">
        <f>VLOOKUP(D96,[1]Hoja1!$A:$K,11,0)</f>
        <v>MATEMATICA</v>
      </c>
      <c r="G96" s="7" t="s">
        <v>58</v>
      </c>
      <c r="H96" s="7"/>
      <c r="I96" s="5" t="s">
        <v>783</v>
      </c>
      <c r="J96" s="5"/>
      <c r="K96" s="6"/>
      <c r="L96" s="5" t="str">
        <f>IFERROR(VLOOKUP(CONCATENATE(A96,"S"),[2]Hoja1!$B:$N,5,0)," ")</f>
        <v xml:space="preserve"> </v>
      </c>
      <c r="M96" s="6" t="str">
        <f>IFERROR(VLOOKUP(CONCATENATE(A96,"S"),[2]Hoja1!$B:$N,6,0)," ")</f>
        <v xml:space="preserve"> </v>
      </c>
      <c r="N96" s="4" t="str">
        <f t="shared" si="18"/>
        <v>TITULAR</v>
      </c>
      <c r="O96" s="17" t="str">
        <f t="shared" si="19"/>
        <v>VARCHETTA, GABRIEL</v>
      </c>
      <c r="P96" s="4" t="str">
        <f>IF(O96="vacante","vacante",IFERROR(IF(VLOOKUP(IF((M96)=" ",IF(COUNTBLANK(K96),I96,K96),M96),[3]Hoja1!$B:$I,4,0)="licencia","vacante"," ")," "))</f>
        <v xml:space="preserve"> </v>
      </c>
      <c r="Q96" s="4"/>
      <c r="R96">
        <f t="shared" si="16"/>
        <v>9</v>
      </c>
      <c r="S96" t="str">
        <f t="shared" si="17"/>
        <v>2°2°9</v>
      </c>
    </row>
    <row r="97" spans="1:19" ht="18.75" hidden="1" customHeight="1">
      <c r="A97" s="3" t="str">
        <f t="shared" si="15"/>
        <v>2°2°2PLG</v>
      </c>
      <c r="B97" s="3" t="s">
        <v>185</v>
      </c>
      <c r="C97" s="3"/>
      <c r="D97" s="3" t="s">
        <v>173</v>
      </c>
      <c r="E97" s="3">
        <v>733450</v>
      </c>
      <c r="F97" s="3" t="str">
        <f>VLOOKUP(D97,[1]Hoja1!$A:$K,11,0)</f>
        <v>PRACTICA DEL LENGUAJE</v>
      </c>
      <c r="G97" s="7" t="s">
        <v>194</v>
      </c>
      <c r="H97" s="7"/>
      <c r="I97" s="5" t="s">
        <v>195</v>
      </c>
      <c r="J97" s="5"/>
      <c r="K97" s="6"/>
      <c r="L97" s="5" t="str">
        <f>IFERROR(VLOOKUP(CONCATENATE(A97,"S"),[2]Hoja1!$B:$N,5,0)," ")</f>
        <v xml:space="preserve"> </v>
      </c>
      <c r="M97" s="6" t="str">
        <f>IFERROR(VLOOKUP(CONCATENATE(A97,"S"),[2]Hoja1!$B:$N,6,0)," ")</f>
        <v xml:space="preserve"> </v>
      </c>
      <c r="N97" s="4" t="str">
        <f t="shared" si="18"/>
        <v>TITULAR</v>
      </c>
      <c r="O97" s="17" t="str">
        <f t="shared" si="19"/>
        <v xml:space="preserve">GONZALEZ DANIELA                                 </v>
      </c>
      <c r="P97" s="4" t="str">
        <f>IF(O97="vacante","vacante",IFERROR(IF(VLOOKUP(IF((M97)=" ",IF(COUNTBLANK(K97),I97,K97),M97),[3]Hoja1!$B:$I,4,0)="licencia","vacante"," ")," "))</f>
        <v xml:space="preserve"> </v>
      </c>
      <c r="Q97" s="4"/>
      <c r="R97">
        <f t="shared" si="16"/>
        <v>10</v>
      </c>
      <c r="S97" t="str">
        <f t="shared" si="17"/>
        <v>2°2°10</v>
      </c>
    </row>
    <row r="98" spans="1:19" ht="18.75" hidden="1" customHeight="1">
      <c r="A98" s="3" t="str">
        <f t="shared" si="15"/>
        <v>2°2°2212TLT2</v>
      </c>
      <c r="B98" s="3" t="s">
        <v>185</v>
      </c>
      <c r="C98" s="3">
        <v>221</v>
      </c>
      <c r="D98" s="3" t="s">
        <v>175</v>
      </c>
      <c r="E98" s="3">
        <v>2673400</v>
      </c>
      <c r="F98" s="3" t="str">
        <f>VLOOKUP(D98,[1]Hoja1!$A:$K,11,0)</f>
        <v>LENGUAJES TECNOLOGICOS</v>
      </c>
      <c r="G98" s="7" t="s">
        <v>196</v>
      </c>
      <c r="H98" s="7" t="s">
        <v>78</v>
      </c>
      <c r="I98" s="5" t="s">
        <v>197</v>
      </c>
      <c r="J98" s="5"/>
      <c r="K98" s="6"/>
      <c r="L98" s="5" t="str">
        <f>IFERROR(VLOOKUP(CONCATENATE(A98,"S"),[2]Hoja1!$B:$N,5,0)," ")</f>
        <v xml:space="preserve"> </v>
      </c>
      <c r="M98" s="6" t="str">
        <f>IFERROR(VLOOKUP(CONCATENATE(A98,"S"),[2]Hoja1!$B:$N,6,0)," ")</f>
        <v xml:space="preserve"> </v>
      </c>
      <c r="N98" s="4" t="str">
        <f t="shared" si="18"/>
        <v>TITULAR</v>
      </c>
      <c r="O98" s="17" t="str">
        <f t="shared" si="19"/>
        <v xml:space="preserve">RIVAROLA NORMA                            </v>
      </c>
      <c r="P98" s="4" t="str">
        <f>IF(O98="vacante","vacante",IFERROR(IF(VLOOKUP(IF((M98)=" ",IF(COUNTBLANK(K98),I98,K98),M98),[3]Hoja1!$B:$I,4,0)="licencia","vacante"," ")," "))</f>
        <v xml:space="preserve"> </v>
      </c>
      <c r="Q98" s="4"/>
      <c r="R98">
        <f t="shared" si="16"/>
        <v>11</v>
      </c>
      <c r="S98" t="str">
        <f t="shared" si="17"/>
        <v>2°2°11</v>
      </c>
    </row>
    <row r="99" spans="1:19" ht="18.75" hidden="1" customHeight="1">
      <c r="A99" s="3" t="str">
        <f t="shared" si="15"/>
        <v>2°2°2212TST2</v>
      </c>
      <c r="B99" s="3" t="s">
        <v>185</v>
      </c>
      <c r="C99" s="3">
        <v>221</v>
      </c>
      <c r="D99" s="3" t="s">
        <v>177</v>
      </c>
      <c r="E99" s="3">
        <v>2673402</v>
      </c>
      <c r="F99" s="3" t="str">
        <f>VLOOKUP(D99,[1]Hoja1!$A:$K,11,0)</f>
        <v>SISTEMAS TECNOLOGICOS</v>
      </c>
      <c r="G99" s="7" t="s">
        <v>198</v>
      </c>
      <c r="H99" s="7" t="s">
        <v>80</v>
      </c>
      <c r="I99" s="5" t="s">
        <v>199</v>
      </c>
      <c r="J99" s="5"/>
      <c r="K99" s="6"/>
      <c r="L99" s="5" t="str">
        <f>IFERROR(VLOOKUP(CONCATENATE(A99,"S"),[2]Hoja1!$B:$N,5,0)," ")</f>
        <v xml:space="preserve"> </v>
      </c>
      <c r="M99" s="6" t="str">
        <f>IFERROR(VLOOKUP(CONCATENATE(A99,"S"),[2]Hoja1!$B:$N,6,0)," ")</f>
        <v xml:space="preserve"> </v>
      </c>
      <c r="N99" s="4" t="str">
        <f t="shared" si="18"/>
        <v>TITULAR</v>
      </c>
      <c r="O99" s="17" t="str">
        <f t="shared" si="19"/>
        <v xml:space="preserve">GOMEZ ANALIA                                     </v>
      </c>
      <c r="P99" s="4" t="str">
        <f>IF(O99="vacante","vacante",IFERROR(IF(VLOOKUP(IF((M99)=" ",IF(COUNTBLANK(K99),I99,K99),M99),[3]Hoja1!$B:$I,4,0)="licencia","vacante"," ")," "))</f>
        <v xml:space="preserve"> </v>
      </c>
      <c r="Q99" s="4"/>
      <c r="R99">
        <f t="shared" si="16"/>
        <v>12</v>
      </c>
      <c r="S99" t="str">
        <f t="shared" si="17"/>
        <v>2°2°12</v>
      </c>
    </row>
    <row r="100" spans="1:19" ht="18.75" hidden="1" customHeight="1">
      <c r="A100" s="3" t="str">
        <f t="shared" si="15"/>
        <v>2°2°2212TPT2</v>
      </c>
      <c r="B100" s="3" t="s">
        <v>185</v>
      </c>
      <c r="C100" s="3">
        <v>221</v>
      </c>
      <c r="D100" s="3" t="s">
        <v>179</v>
      </c>
      <c r="E100" s="3">
        <v>2673403</v>
      </c>
      <c r="F100" s="3" t="str">
        <f>VLOOKUP(D100,[1]Hoja1!$A:$K,11,0)</f>
        <v>PROCEDIMIENTOS TECNICOS</v>
      </c>
      <c r="G100" s="7"/>
      <c r="H100" s="7"/>
      <c r="I100" s="5"/>
      <c r="J100" s="5"/>
      <c r="K100" s="6" t="s">
        <v>607</v>
      </c>
      <c r="L100" s="5" t="str">
        <f>IFERROR(VLOOKUP(CONCATENATE(A100,"S"),[2]Hoja1!$B:$N,5,0)," ")</f>
        <v xml:space="preserve"> </v>
      </c>
      <c r="M100" s="6" t="str">
        <f>IFERROR(VLOOKUP(CONCATENATE(A100,"S"),[2]Hoja1!$B:$N,6,0)," ")</f>
        <v xml:space="preserve"> </v>
      </c>
      <c r="N100" s="4" t="str">
        <f t="shared" si="18"/>
        <v>PROVISIONAL</v>
      </c>
      <c r="O100" s="17" t="str">
        <f t="shared" si="19"/>
        <v>CRUZ DAVID</v>
      </c>
      <c r="P100" s="4" t="str">
        <f>IF(O100="vacante","vacante",IFERROR(IF(VLOOKUP(IF((M100)=" ",IF(COUNTBLANK(K100),I100,K100),M100),[3]Hoja1!$B:$I,4,0)="licencia","vacante"," ")," "))</f>
        <v xml:space="preserve"> </v>
      </c>
      <c r="Q100" s="4"/>
      <c r="R100">
        <f t="shared" si="16"/>
        <v>13</v>
      </c>
      <c r="S100" t="str">
        <f t="shared" si="17"/>
        <v>2°2°13</v>
      </c>
    </row>
    <row r="101" spans="1:19" ht="18.75" hidden="1" customHeight="1">
      <c r="A101" s="3" t="str">
        <f t="shared" si="15"/>
        <v>2°2°2222TLT2</v>
      </c>
      <c r="B101" s="3" t="s">
        <v>185</v>
      </c>
      <c r="C101" s="3">
        <v>222</v>
      </c>
      <c r="D101" s="3" t="s">
        <v>175</v>
      </c>
      <c r="E101" s="3">
        <v>2673404</v>
      </c>
      <c r="F101" s="3" t="str">
        <f>VLOOKUP(D101,[1]Hoja1!$A:$K,11,0)</f>
        <v>LENGUAJES TECNOLOGICOS</v>
      </c>
      <c r="G101" s="7" t="s">
        <v>201</v>
      </c>
      <c r="H101" s="7" t="s">
        <v>202</v>
      </c>
      <c r="I101" s="5" t="s">
        <v>65</v>
      </c>
      <c r="J101" s="5"/>
      <c r="K101" s="6"/>
      <c r="L101" s="5" t="str">
        <f>IFERROR(VLOOKUP(CONCATENATE(A101,"S"),[2]Hoja1!$B:$N,5,0)," ")</f>
        <v xml:space="preserve"> </v>
      </c>
      <c r="M101" s="6" t="str">
        <f>IFERROR(VLOOKUP(CONCATENATE(A101,"S"),[2]Hoja1!$B:$N,6,0)," ")</f>
        <v xml:space="preserve"> </v>
      </c>
      <c r="N101" s="4" t="str">
        <f t="shared" si="18"/>
        <v>TITULAR</v>
      </c>
      <c r="O101" s="17" t="str">
        <f t="shared" si="19"/>
        <v xml:space="preserve">RIVAROLA NORMA              </v>
      </c>
      <c r="P101" s="4" t="str">
        <f>IF(O101="vacante","vacante",IFERROR(IF(VLOOKUP(IF((M101)=" ",IF(COUNTBLANK(K101),I101,K101),M101),[3]Hoja1!$B:$I,4,0)="licencia","vacante"," ")," "))</f>
        <v xml:space="preserve"> </v>
      </c>
      <c r="Q101" s="4"/>
      <c r="R101">
        <f t="shared" si="16"/>
        <v>14</v>
      </c>
      <c r="S101" t="str">
        <f t="shared" si="17"/>
        <v>2°2°14</v>
      </c>
    </row>
    <row r="102" spans="1:19" ht="18.75" hidden="1" customHeight="1">
      <c r="A102" s="3" t="str">
        <f t="shared" si="15"/>
        <v>2°2°2222TST2</v>
      </c>
      <c r="B102" s="3" t="s">
        <v>185</v>
      </c>
      <c r="C102" s="3">
        <v>222</v>
      </c>
      <c r="D102" s="3" t="s">
        <v>177</v>
      </c>
      <c r="E102" s="3">
        <v>2673405</v>
      </c>
      <c r="F102" s="3" t="str">
        <f>VLOOKUP(D102,[1]Hoja1!$A:$K,11,0)</f>
        <v>SISTEMAS TECNOLOGICOS</v>
      </c>
      <c r="G102" s="7"/>
      <c r="H102" s="7"/>
      <c r="I102" s="5"/>
      <c r="J102" s="5"/>
      <c r="K102" s="6" t="s">
        <v>664</v>
      </c>
      <c r="L102" s="5"/>
      <c r="M102" s="6" t="str">
        <f>IFERROR(VLOOKUP(CONCATENATE(A102,"S"),[2]Hoja1!$B:$N,6,0)," ")</f>
        <v xml:space="preserve"> </v>
      </c>
      <c r="N102" s="4" t="str">
        <f t="shared" si="18"/>
        <v>PROVISIONAL</v>
      </c>
      <c r="O102" s="17" t="str">
        <f t="shared" si="19"/>
        <v>RODRIGUEZ PABLO</v>
      </c>
      <c r="P102" s="4" t="str">
        <f>IF(O102="vacante","vacante",IFERROR(IF(VLOOKUP(IF((M102)=" ",IF(COUNTBLANK(K102),I102,K102),M102),[3]Hoja1!$B:$I,4,0)="licencia","vacante"," ")," "))</f>
        <v xml:space="preserve"> </v>
      </c>
      <c r="Q102" s="4"/>
      <c r="R102">
        <f t="shared" si="16"/>
        <v>15</v>
      </c>
      <c r="S102" t="str">
        <f t="shared" si="17"/>
        <v>2°2°15</v>
      </c>
    </row>
    <row r="103" spans="1:19" ht="18.75" hidden="1" customHeight="1">
      <c r="A103" s="3" t="str">
        <f t="shared" si="15"/>
        <v>2°2°2222TPT2</v>
      </c>
      <c r="B103" s="3" t="s">
        <v>185</v>
      </c>
      <c r="C103" s="3">
        <v>222</v>
      </c>
      <c r="D103" s="3" t="s">
        <v>179</v>
      </c>
      <c r="E103" s="3">
        <v>2673406</v>
      </c>
      <c r="F103" s="3" t="str">
        <f>VLOOKUP(D103,[1]Hoja1!$A:$K,11,0)</f>
        <v>PROCEDIMIENTOS TECNICOS</v>
      </c>
      <c r="G103" s="7"/>
      <c r="H103" s="7"/>
      <c r="I103" s="5"/>
      <c r="J103" s="5" t="s">
        <v>203</v>
      </c>
      <c r="K103" s="6" t="s">
        <v>63</v>
      </c>
      <c r="L103" s="5" t="str">
        <f>IFERROR(VLOOKUP(CONCATENATE(A103,"S"),[2]Hoja1!$B:$N,5,0)," ")</f>
        <v xml:space="preserve"> </v>
      </c>
      <c r="M103" s="6" t="str">
        <f>IFERROR(VLOOKUP(CONCATENATE(A103,"S"),[2]Hoja1!$B:$N,6,0)," ")</f>
        <v xml:space="preserve"> </v>
      </c>
      <c r="N103" s="4" t="str">
        <f t="shared" si="18"/>
        <v>PROVISIONAL</v>
      </c>
      <c r="O103" s="17" t="str">
        <f t="shared" si="19"/>
        <v xml:space="preserve">ETCHEVERRY MARTIN                            </v>
      </c>
      <c r="P103" s="4" t="str">
        <f>IF(O103="vacante","vacante",IFERROR(IF(VLOOKUP(IF((M103)=" ",IF(COUNTBLANK(K103),I103,K103),M103),[3]Hoja1!$B:$I,4,0)="licencia","vacante"," ")," "))</f>
        <v xml:space="preserve"> </v>
      </c>
      <c r="Q103" s="4"/>
      <c r="R103">
        <f t="shared" si="16"/>
        <v>16</v>
      </c>
      <c r="S103" t="str">
        <f t="shared" si="17"/>
        <v>2°2°16</v>
      </c>
    </row>
    <row r="104" spans="1:19" ht="18.75" hidden="1" customHeight="1">
      <c r="A104" s="3" t="str">
        <f t="shared" si="15"/>
        <v>2°3°2BIO</v>
      </c>
      <c r="B104" s="3" t="s">
        <v>204</v>
      </c>
      <c r="C104" s="3"/>
      <c r="D104" s="3" t="s">
        <v>156</v>
      </c>
      <c r="E104" s="3">
        <v>1644159</v>
      </c>
      <c r="F104" s="3" t="str">
        <f>VLOOKUP(D104,[1]Hoja1!$A:$K,11,0)</f>
        <v>BIOLOGIA</v>
      </c>
      <c r="G104" s="7" t="s">
        <v>205</v>
      </c>
      <c r="H104" s="7"/>
      <c r="I104" s="5" t="s">
        <v>206</v>
      </c>
      <c r="J104" s="5"/>
      <c r="K104" s="6"/>
      <c r="L104" s="5">
        <f>IFERROR(VLOOKUP(CONCATENATE(A104,"S"),[2]Hoja1!$B:$N,5,0)," ")</f>
        <v>20329816665</v>
      </c>
      <c r="M104" s="6" t="str">
        <f>IFERROR(VLOOKUP(CONCATENATE(A104,"S"),[2]Hoja1!$B:$N,6,0)," ")</f>
        <v>PERALTA LOURDES MARIA EUGE</v>
      </c>
      <c r="N104" s="4" t="str">
        <f t="shared" si="18"/>
        <v>SUPLENTE</v>
      </c>
      <c r="O104" s="17" t="str">
        <f t="shared" si="19"/>
        <v>PERALTA LOURDES MARIA EUGE</v>
      </c>
      <c r="P104" s="4" t="str">
        <f>IF(O104="vacante","vacante",IFERROR(IF(VLOOKUP(IF((M104)=" ",IF(COUNTBLANK(K104),I104,K104),M104),[3]Hoja1!$B:$I,4,0)="licencia","vacante"," ")," "))</f>
        <v xml:space="preserve"> </v>
      </c>
      <c r="Q104" s="4"/>
      <c r="R104">
        <f t="shared" si="16"/>
        <v>1</v>
      </c>
      <c r="S104" t="str">
        <f t="shared" si="17"/>
        <v>2°3°1</v>
      </c>
    </row>
    <row r="105" spans="1:19" ht="18.75" hidden="1" customHeight="1">
      <c r="A105" s="3" t="str">
        <f t="shared" si="15"/>
        <v>2°3°2CCD</v>
      </c>
      <c r="B105" s="3" t="s">
        <v>204</v>
      </c>
      <c r="C105" s="3"/>
      <c r="D105" s="3" t="s">
        <v>159</v>
      </c>
      <c r="E105" s="3">
        <v>2683123</v>
      </c>
      <c r="F105" s="3" t="str">
        <f>VLOOKUP(D105,[1]Hoja1!$A:$K,11,0)</f>
        <v>CONSTRUCCION DE LA CIUDADANIA</v>
      </c>
      <c r="G105" s="7"/>
      <c r="H105" s="7"/>
      <c r="I105" s="5" t="s">
        <v>306</v>
      </c>
      <c r="J105" s="5"/>
      <c r="K105" s="6"/>
      <c r="L105" s="5">
        <f>IFERROR(VLOOKUP(CONCATENATE(A105,"S"),[2]Hoja1!$B:$N,5,0)," ")</f>
        <v>0</v>
      </c>
      <c r="M105" s="6" t="str">
        <f>IFERROR(VLOOKUP(CONCATENATE(A105,"S"),[2]Hoja1!$B:$N,6,0)," ")</f>
        <v>ARCE MIRTA</v>
      </c>
      <c r="N105" s="4" t="str">
        <f t="shared" si="18"/>
        <v>SUPLENTE</v>
      </c>
      <c r="O105" s="17" t="str">
        <f t="shared" si="19"/>
        <v>ARCE MIRTA</v>
      </c>
      <c r="P105" s="4" t="str">
        <f>IF(O105="vacante","vacante",IFERROR(IF(VLOOKUP(IF((M105)=" ",IF(COUNTBLANK(K105),I105,K105),M105),[3]Hoja1!$B:$I,4,0)="licencia","vacante"," ")," "))</f>
        <v xml:space="preserve"> </v>
      </c>
      <c r="Q105" s="4"/>
      <c r="R105">
        <f t="shared" si="16"/>
        <v>2</v>
      </c>
      <c r="S105" t="str">
        <f t="shared" si="17"/>
        <v>2°3°2</v>
      </c>
    </row>
    <row r="106" spans="1:19" ht="18.75" hidden="1" customHeight="1">
      <c r="A106" s="3" t="str">
        <f t="shared" si="15"/>
        <v>2°3°2ART</v>
      </c>
      <c r="B106" s="3" t="s">
        <v>204</v>
      </c>
      <c r="C106" s="3"/>
      <c r="D106" s="3" t="s">
        <v>162</v>
      </c>
      <c r="E106" s="3">
        <v>807722</v>
      </c>
      <c r="F106" s="3" t="str">
        <f>VLOOKUP(D106,[1]Hoja1!$A:$K,11,0)</f>
        <v>EDUCACION ARTISTICA (PLASTICA)</v>
      </c>
      <c r="G106" s="7"/>
      <c r="H106" s="7"/>
      <c r="I106" s="5"/>
      <c r="J106" s="5">
        <v>27272953819</v>
      </c>
      <c r="K106" s="6" t="s">
        <v>818</v>
      </c>
      <c r="L106" s="5" t="str">
        <f>IFERROR(VLOOKUP(CONCATENATE(A106,"S"),[2]Hoja1!$B:$N,5,0)," ")</f>
        <v xml:space="preserve"> </v>
      </c>
      <c r="M106" s="6" t="str">
        <f>IFERROR(VLOOKUP(CONCATENATE(A106,"S"),[2]Hoja1!$B:$N,6,0)," ")</f>
        <v xml:space="preserve"> </v>
      </c>
      <c r="N106" s="4" t="str">
        <f t="shared" si="18"/>
        <v>PROVISIONAL</v>
      </c>
      <c r="O106" s="17" t="str">
        <f t="shared" si="19"/>
        <v xml:space="preserve">PEREYRA, GISELA VANESA  </v>
      </c>
      <c r="P106" s="4" t="str">
        <f>IF(O106="vacante","vacante",IFERROR(IF(VLOOKUP(IF((M106)=" ",IF(COUNTBLANK(K106),I106,K106),M106),[3]Hoja1!$B:$I,4,0)="licencia","vacante"," ")," "))</f>
        <v xml:space="preserve"> </v>
      </c>
      <c r="Q106" s="4"/>
      <c r="R106">
        <f t="shared" si="16"/>
        <v>3</v>
      </c>
      <c r="S106" t="str">
        <f t="shared" si="17"/>
        <v>2°3°3</v>
      </c>
    </row>
    <row r="107" spans="1:19" ht="18.75" hidden="1" customHeight="1">
      <c r="A107" s="3" t="str">
        <f t="shared" si="15"/>
        <v>2°3°2EFI</v>
      </c>
      <c r="B107" s="3" t="s">
        <v>204</v>
      </c>
      <c r="C107" s="3"/>
      <c r="D107" s="3" t="s">
        <v>163</v>
      </c>
      <c r="E107" s="3">
        <v>807724</v>
      </c>
      <c r="F107" s="3" t="str">
        <f>VLOOKUP(D107,[1]Hoja1!$A:$K,11,0)</f>
        <v>EDUCACIÓN FISICA</v>
      </c>
      <c r="G107" s="7">
        <v>2725153709</v>
      </c>
      <c r="H107" s="7" t="s">
        <v>209</v>
      </c>
      <c r="I107" s="5" t="s">
        <v>247</v>
      </c>
      <c r="J107" s="5"/>
      <c r="K107" s="6"/>
      <c r="L107" s="5" t="str">
        <f>IFERROR(VLOOKUP(CONCATENATE(A107,"S"),[2]Hoja1!$B:$N,5,0)," ")</f>
        <v xml:space="preserve"> </v>
      </c>
      <c r="M107" s="6" t="str">
        <f>IFERROR(VLOOKUP(CONCATENATE(A107,"S"),[2]Hoja1!$B:$N,6,0)," ")</f>
        <v xml:space="preserve"> </v>
      </c>
      <c r="N107" s="4" t="str">
        <f t="shared" si="18"/>
        <v>TITULAR</v>
      </c>
      <c r="O107" s="17" t="str">
        <f t="shared" si="19"/>
        <v xml:space="preserve">AMAYA SILVIA </v>
      </c>
      <c r="P107" s="4" t="str">
        <f>IF(O107="vacante","vacante",IFERROR(IF(VLOOKUP(IF((M107)=" ",IF(COUNTBLANK(K107),I107,K107),M107),[3]Hoja1!$B:$I,4,0)="licencia","vacante"," ")," "))</f>
        <v xml:space="preserve"> </v>
      </c>
      <c r="Q107" s="4"/>
      <c r="R107">
        <f t="shared" si="16"/>
        <v>4</v>
      </c>
      <c r="S107" t="str">
        <f t="shared" si="17"/>
        <v>2°3°4</v>
      </c>
    </row>
    <row r="108" spans="1:19" ht="18.75" hidden="1" customHeight="1">
      <c r="A108" s="3" t="str">
        <f t="shared" si="15"/>
        <v>2°3°2FI/QUI</v>
      </c>
      <c r="B108" s="3" t="s">
        <v>204</v>
      </c>
      <c r="C108" s="3"/>
      <c r="D108" s="3" t="s">
        <v>164</v>
      </c>
      <c r="E108" s="3">
        <v>1644158</v>
      </c>
      <c r="F108" s="3" t="str">
        <f>VLOOKUP(D108,[1]Hoja1!$A:$K,11,0)</f>
        <v>FISICO-QUIMICA</v>
      </c>
      <c r="G108" s="7" t="s">
        <v>211</v>
      </c>
      <c r="H108" s="7"/>
      <c r="I108" s="5" t="s">
        <v>212</v>
      </c>
      <c r="J108" s="5"/>
      <c r="K108" s="6"/>
      <c r="L108" s="5">
        <f>IFERROR(VLOOKUP(CONCATENATE(A108,"S"),[2]Hoja1!$B:$N,5,0)," ")</f>
        <v>27309231800</v>
      </c>
      <c r="M108" s="6" t="str">
        <f>IFERROR(VLOOKUP(CONCATENATE(A108,"S"),[2]Hoja1!$B:$N,6,0)," ")</f>
        <v xml:space="preserve">PEREYRA MARISA ALEJANDR </v>
      </c>
      <c r="N108" s="4" t="str">
        <f t="shared" si="18"/>
        <v>SUPLENTE</v>
      </c>
      <c r="O108" s="17" t="str">
        <f t="shared" si="19"/>
        <v xml:space="preserve">PEREYRA MARISA ALEJANDR </v>
      </c>
      <c r="P108" s="4" t="str">
        <f>IF(O108="vacante","vacante",IFERROR(IF(VLOOKUP(IF((M108)=" ",IF(COUNTBLANK(K108),I108,K108),M108),[3]Hoja1!$B:$I,4,0)="licencia","vacante"," ")," "))</f>
        <v xml:space="preserve"> </v>
      </c>
      <c r="Q108" s="4"/>
      <c r="R108">
        <f t="shared" si="16"/>
        <v>5</v>
      </c>
      <c r="S108" t="str">
        <f t="shared" si="17"/>
        <v>2°3°5</v>
      </c>
    </row>
    <row r="109" spans="1:19" ht="18.75" hidden="1" customHeight="1">
      <c r="A109" s="3" t="str">
        <f t="shared" si="15"/>
        <v>2°3°2GEO</v>
      </c>
      <c r="B109" s="3" t="s">
        <v>204</v>
      </c>
      <c r="C109" s="3"/>
      <c r="D109" s="3" t="s">
        <v>165</v>
      </c>
      <c r="E109" s="3">
        <v>1228009</v>
      </c>
      <c r="F109" s="3" t="str">
        <f>VLOOKUP(D109,[1]Hoja1!$A:$K,11,0)</f>
        <v>GEOGRAFIA</v>
      </c>
      <c r="G109" s="7" t="s">
        <v>166</v>
      </c>
      <c r="H109" s="7"/>
      <c r="I109" s="5" t="s">
        <v>798</v>
      </c>
      <c r="J109" s="5"/>
      <c r="K109" s="6"/>
      <c r="L109" s="5" t="str">
        <f>IFERROR(VLOOKUP(CONCATENATE(A109,"S"),[2]Hoja1!$B:$N,5,0)," ")</f>
        <v xml:space="preserve"> </v>
      </c>
      <c r="M109" s="6" t="str">
        <f>IFERROR(VLOOKUP(CONCATENATE(A109,"S"),[2]Hoja1!$B:$N,6,0)," ")</f>
        <v xml:space="preserve"> </v>
      </c>
      <c r="N109" s="4" t="str">
        <f t="shared" si="18"/>
        <v>TITULAR</v>
      </c>
      <c r="O109" s="17" t="str">
        <f t="shared" si="19"/>
        <v>ROJAS SOLEDAD</v>
      </c>
      <c r="P109" s="4" t="str">
        <f>IF(O109="vacante","vacante",IFERROR(IF(VLOOKUP(IF((M109)=" ",IF(COUNTBLANK(K109),I109,K109),M109),[3]Hoja1!$B:$I,4,0)="licencia","vacante"," ")," "))</f>
        <v xml:space="preserve"> </v>
      </c>
      <c r="Q109" s="4"/>
      <c r="R109">
        <f t="shared" si="16"/>
        <v>6</v>
      </c>
      <c r="S109" t="str">
        <f t="shared" si="17"/>
        <v>2°3°6</v>
      </c>
    </row>
    <row r="110" spans="1:19" ht="18.75" hidden="1" customHeight="1">
      <c r="A110" s="3" t="str">
        <f t="shared" si="15"/>
        <v>2°3°2HIS</v>
      </c>
      <c r="B110" s="3" t="s">
        <v>204</v>
      </c>
      <c r="C110" s="3"/>
      <c r="D110" s="3" t="s">
        <v>167</v>
      </c>
      <c r="E110" s="3">
        <v>1644157</v>
      </c>
      <c r="F110" s="3" t="str">
        <f>VLOOKUP(D110,[1]Hoja1!$A:$K,11,0)</f>
        <v>HISTORIA</v>
      </c>
      <c r="G110" s="7" t="s">
        <v>705</v>
      </c>
      <c r="H110" s="7" t="s">
        <v>677</v>
      </c>
      <c r="I110" s="5" t="s">
        <v>577</v>
      </c>
      <c r="J110" s="5"/>
      <c r="K110" s="6"/>
      <c r="L110" s="5" t="str">
        <f>IFERROR(VLOOKUP(CONCATENATE(A110,"S"),[2]Hoja1!$B:$N,5,0)," ")</f>
        <v xml:space="preserve"> </v>
      </c>
      <c r="M110" s="6" t="str">
        <f>IFERROR(VLOOKUP(CONCATENATE(A110,"S"),[2]Hoja1!$B:$N,6,0)," ")</f>
        <v xml:space="preserve"> </v>
      </c>
      <c r="N110" s="4" t="str">
        <f t="shared" si="18"/>
        <v>TITULAR</v>
      </c>
      <c r="O110" s="17" t="str">
        <f t="shared" si="19"/>
        <v>JUAREZ NORMA</v>
      </c>
      <c r="P110" s="4" t="str">
        <f>IF(O110="vacante","vacante",IFERROR(IF(VLOOKUP(IF((M110)=" ",IF(COUNTBLANK(K110),I110,K110),M110),[3]Hoja1!$B:$I,4,0)="licencia","vacante"," ")," "))</f>
        <v xml:space="preserve"> </v>
      </c>
      <c r="Q110" s="4"/>
      <c r="R110">
        <f t="shared" si="16"/>
        <v>7</v>
      </c>
      <c r="S110" t="str">
        <f t="shared" si="17"/>
        <v>2°3°7</v>
      </c>
    </row>
    <row r="111" spans="1:19" ht="18.75" hidden="1" customHeight="1">
      <c r="A111" s="3" t="str">
        <f t="shared" si="15"/>
        <v>2°3°2ING</v>
      </c>
      <c r="B111" s="3" t="s">
        <v>204</v>
      </c>
      <c r="C111" s="3"/>
      <c r="D111" s="3" t="s">
        <v>169</v>
      </c>
      <c r="E111" s="3">
        <v>807720</v>
      </c>
      <c r="F111" s="3" t="str">
        <f>VLOOKUP(D111,[1]Hoja1!$A:$K,11,0)</f>
        <v>INGLÉS</v>
      </c>
      <c r="G111" s="7"/>
      <c r="H111" s="7"/>
      <c r="I111" s="5" t="s">
        <v>567</v>
      </c>
      <c r="J111" s="5"/>
      <c r="K111" s="6"/>
      <c r="L111" s="5" t="str">
        <f>IFERROR(VLOOKUP(CONCATENATE(A111,"S"),[2]Hoja1!$B:$N,5,0)," ")</f>
        <v xml:space="preserve"> </v>
      </c>
      <c r="M111" s="6" t="str">
        <f>IFERROR(VLOOKUP(CONCATENATE(A111,"S"),[2]Hoja1!$B:$N,6,0)," ")</f>
        <v xml:space="preserve"> </v>
      </c>
      <c r="N111" s="4" t="str">
        <f t="shared" si="18"/>
        <v>TITULAR</v>
      </c>
      <c r="O111" s="17" t="str">
        <f t="shared" si="19"/>
        <v>RAMIREZ GISELE</v>
      </c>
      <c r="P111" s="4" t="str">
        <f>IF(O111="vacante","vacante",IFERROR(IF(VLOOKUP(IF((M111)=" ",IF(COUNTBLANK(K111),I111,K111),M111),[3]Hoja1!$B:$I,4,0)="licencia","vacante"," ")," "))</f>
        <v xml:space="preserve"> </v>
      </c>
      <c r="Q111" s="4"/>
      <c r="R111">
        <f t="shared" si="16"/>
        <v>8</v>
      </c>
      <c r="S111" t="str">
        <f t="shared" si="17"/>
        <v>2°3°8</v>
      </c>
    </row>
    <row r="112" spans="1:19" ht="18.75" hidden="1" customHeight="1">
      <c r="A112" s="3" t="str">
        <f t="shared" si="15"/>
        <v>2°3°2MAT</v>
      </c>
      <c r="B112" s="3" t="s">
        <v>204</v>
      </c>
      <c r="C112" s="3"/>
      <c r="D112" s="3" t="s">
        <v>172</v>
      </c>
      <c r="E112" s="3">
        <v>807717</v>
      </c>
      <c r="F112" s="3" t="str">
        <f>VLOOKUP(D112,[1]Hoja1!$A:$K,11,0)</f>
        <v>MATEMATICA</v>
      </c>
      <c r="G112" s="7" t="s">
        <v>213</v>
      </c>
      <c r="H112" s="7" t="s">
        <v>214</v>
      </c>
      <c r="I112" s="5" t="s">
        <v>215</v>
      </c>
      <c r="J112" s="5"/>
      <c r="K112" s="6"/>
      <c r="L112" s="5" t="str">
        <f>IFERROR(VLOOKUP(CONCATENATE(A112,"S"),[2]Hoja1!$B:$N,5,0)," ")</f>
        <v>23-25.384.927-4</v>
      </c>
      <c r="M112" s="6" t="str">
        <f>IFERROR(VLOOKUP(CONCATENATE(A112,"S"),[2]Hoja1!$B:$N,6,0)," ")</f>
        <v>ALARCON, MARIA</v>
      </c>
      <c r="N112" s="4" t="str">
        <f t="shared" si="18"/>
        <v>SUPLENTE</v>
      </c>
      <c r="O112" s="17" t="str">
        <f t="shared" si="19"/>
        <v>ALARCON, MARIA</v>
      </c>
      <c r="P112" s="4" t="str">
        <f>IF(O112="vacante","vacante",IFERROR(IF(VLOOKUP(IF((M112)=" ",IF(COUNTBLANK(K112),I112,K112),M112),[3]Hoja1!$B:$I,4,0)="licencia","vacante"," ")," "))</f>
        <v xml:space="preserve"> </v>
      </c>
      <c r="Q112" s="4"/>
      <c r="R112">
        <f t="shared" si="16"/>
        <v>9</v>
      </c>
      <c r="S112" t="str">
        <f t="shared" si="17"/>
        <v>2°3°9</v>
      </c>
    </row>
    <row r="113" spans="1:19" ht="18.75" hidden="1" customHeight="1">
      <c r="A113" s="3" t="str">
        <f t="shared" si="15"/>
        <v>2°3°2PLG</v>
      </c>
      <c r="B113" s="3" t="s">
        <v>204</v>
      </c>
      <c r="C113" s="3"/>
      <c r="D113" s="3" t="s">
        <v>173</v>
      </c>
      <c r="E113" s="3">
        <v>807715</v>
      </c>
      <c r="F113" s="3" t="str">
        <f>VLOOKUP(D113,[1]Hoja1!$A:$K,11,0)</f>
        <v>PRACTICA DEL LENGUAJE</v>
      </c>
      <c r="G113" s="7" t="s">
        <v>216</v>
      </c>
      <c r="H113" s="7"/>
      <c r="I113" s="5" t="s">
        <v>217</v>
      </c>
      <c r="J113" s="5"/>
      <c r="K113" s="6"/>
      <c r="L113" s="5" t="str">
        <f>IFERROR(VLOOKUP(CONCATENATE(A113,"S"),[2]Hoja1!$B:$N,5,0)," ")</f>
        <v xml:space="preserve"> </v>
      </c>
      <c r="M113" s="6" t="str">
        <f>IFERROR(VLOOKUP(CONCATENATE(A113,"S"),[2]Hoja1!$B:$N,6,0)," ")</f>
        <v xml:space="preserve"> </v>
      </c>
      <c r="N113" s="4" t="str">
        <f t="shared" si="18"/>
        <v>TITULAR</v>
      </c>
      <c r="O113" s="17" t="str">
        <f t="shared" si="19"/>
        <v>VELAZQUEZ VALERIA</v>
      </c>
      <c r="P113" s="4" t="str">
        <f>IF(O113="vacante","vacante",IFERROR(IF(VLOOKUP(IF((M113)=" ",IF(COUNTBLANK(K113),I113,K113),M113),[3]Hoja1!$B:$I,4,0)="licencia","vacante"," ")," "))</f>
        <v xml:space="preserve"> </v>
      </c>
      <c r="Q113" s="4"/>
      <c r="R113">
        <f t="shared" si="16"/>
        <v>10</v>
      </c>
      <c r="S113" t="str">
        <f t="shared" si="17"/>
        <v>2°3°10</v>
      </c>
    </row>
    <row r="114" spans="1:19" ht="18.75" hidden="1" customHeight="1">
      <c r="A114" s="3" t="str">
        <f t="shared" si="15"/>
        <v>2°3°2312TLT2</v>
      </c>
      <c r="B114" s="3" t="s">
        <v>204</v>
      </c>
      <c r="C114" s="3">
        <v>231</v>
      </c>
      <c r="D114" s="3" t="s">
        <v>175</v>
      </c>
      <c r="E114" s="3">
        <v>2673117</v>
      </c>
      <c r="F114" s="3" t="str">
        <f>VLOOKUP(D114,[1]Hoja1!$A:$K,11,0)</f>
        <v>LENGUAJES TECNOLOGICOS</v>
      </c>
      <c r="G114" s="7" t="s">
        <v>77</v>
      </c>
      <c r="H114" s="7" t="s">
        <v>80</v>
      </c>
      <c r="I114" s="5"/>
      <c r="J114" s="5"/>
      <c r="K114" s="33" t="s">
        <v>819</v>
      </c>
      <c r="L114" s="5" t="str">
        <f>IFERROR(VLOOKUP(CONCATENATE(A114,"S"),[2]Hoja1!$B:$N,5,0)," ")</f>
        <v xml:space="preserve"> </v>
      </c>
      <c r="M114" s="6" t="str">
        <f>IFERROR(VLOOKUP(CONCATENATE(A114,"S"),[2]Hoja1!$B:$N,6,0)," ")</f>
        <v xml:space="preserve"> </v>
      </c>
      <c r="N114" s="4" t="str">
        <f t="shared" si="18"/>
        <v>PROVISIONAL</v>
      </c>
      <c r="O114" s="17" t="str">
        <f t="shared" si="19"/>
        <v>CRUZ JESUS NAZARENO 20256926157</v>
      </c>
      <c r="P114" s="4" t="str">
        <f>IF(O114="vacante","vacante",IFERROR(IF(VLOOKUP(IF((M114)=" ",IF(COUNTBLANK(K114),I114,K114),M114),[3]Hoja1!$B:$I,4,0)="licencia","vacante"," ")," "))</f>
        <v xml:space="preserve"> </v>
      </c>
      <c r="Q114" s="4"/>
      <c r="R114">
        <f t="shared" si="16"/>
        <v>11</v>
      </c>
      <c r="S114" t="str">
        <f t="shared" si="17"/>
        <v>2°3°11</v>
      </c>
    </row>
    <row r="115" spans="1:19" ht="18.75" hidden="1" customHeight="1">
      <c r="A115" s="3" t="str">
        <f t="shared" si="15"/>
        <v>2°3°2312TST2</v>
      </c>
      <c r="B115" s="3" t="s">
        <v>204</v>
      </c>
      <c r="C115" s="3">
        <v>231</v>
      </c>
      <c r="D115" s="3" t="s">
        <v>177</v>
      </c>
      <c r="E115" s="3">
        <v>2673119</v>
      </c>
      <c r="F115" s="3" t="str">
        <f>VLOOKUP(D115,[1]Hoja1!$A:$K,11,0)</f>
        <v>SISTEMAS TECNOLOGICOS</v>
      </c>
      <c r="G115" s="7" t="s">
        <v>218</v>
      </c>
      <c r="H115" s="7" t="s">
        <v>219</v>
      </c>
      <c r="I115" s="5" t="s">
        <v>220</v>
      </c>
      <c r="J115" s="5"/>
      <c r="K115" s="6"/>
      <c r="L115" s="5" t="str">
        <f>IFERROR(VLOOKUP(CONCATENATE(A115,"S"),[2]Hoja1!$B:$N,5,0)," ")</f>
        <v xml:space="preserve"> </v>
      </c>
      <c r="M115" s="6" t="str">
        <f>IFERROR(VLOOKUP(CONCATENATE(A115,"S"),[2]Hoja1!$B:$N,6,0)," ")</f>
        <v xml:space="preserve"> </v>
      </c>
      <c r="N115" s="4" t="str">
        <f t="shared" si="18"/>
        <v>TITULAR</v>
      </c>
      <c r="O115" s="17" t="str">
        <f t="shared" si="19"/>
        <v xml:space="preserve">GOMEZ ANALIA </v>
      </c>
      <c r="P115" s="4" t="str">
        <f>IF(O115="vacante","vacante",IFERROR(IF(VLOOKUP(IF((M115)=" ",IF(COUNTBLANK(K115),I115,K115),M115),[3]Hoja1!$B:$I,4,0)="licencia","vacante"," ")," "))</f>
        <v xml:space="preserve"> </v>
      </c>
      <c r="Q115" s="4"/>
      <c r="R115">
        <f t="shared" si="16"/>
        <v>12</v>
      </c>
      <c r="S115" t="str">
        <f t="shared" si="17"/>
        <v>2°3°12</v>
      </c>
    </row>
    <row r="116" spans="1:19" ht="18.75" hidden="1" customHeight="1">
      <c r="A116" s="3" t="str">
        <f t="shared" si="15"/>
        <v>2°3°2312TPT2</v>
      </c>
      <c r="B116" s="3" t="s">
        <v>204</v>
      </c>
      <c r="C116" s="3">
        <v>231</v>
      </c>
      <c r="D116" s="3" t="s">
        <v>179</v>
      </c>
      <c r="E116" s="3">
        <v>2673121</v>
      </c>
      <c r="F116" s="3" t="str">
        <f>VLOOKUP(D116,[1]Hoja1!$A:$K,11,0)</f>
        <v>PROCEDIMIENTOS TECNICOS</v>
      </c>
      <c r="G116" s="7" t="s">
        <v>183</v>
      </c>
      <c r="H116" s="7" t="s">
        <v>80</v>
      </c>
      <c r="I116" s="5" t="s">
        <v>221</v>
      </c>
      <c r="J116" s="5"/>
      <c r="K116" s="6"/>
      <c r="L116" s="5" t="str">
        <f>IFERROR(VLOOKUP(CONCATENATE(A116,"S"),[2]Hoja1!$B:$N,5,0)," ")</f>
        <v xml:space="preserve"> </v>
      </c>
      <c r="M116" s="6" t="str">
        <f>IFERROR(VLOOKUP(CONCATENATE(A116,"S"),[2]Hoja1!$B:$N,6,0)," ")</f>
        <v xml:space="preserve"> </v>
      </c>
      <c r="N116" s="4" t="str">
        <f t="shared" si="18"/>
        <v>TITULAR</v>
      </c>
      <c r="O116" s="17" t="str">
        <f t="shared" si="19"/>
        <v>CHAMORRO CRISTIAN</v>
      </c>
      <c r="P116" s="4" t="str">
        <f>IF(O116="vacante","vacante",IFERROR(IF(VLOOKUP(IF((M116)=" ",IF(COUNTBLANK(K116),I116,K116),M116),[3]Hoja1!$B:$I,4,0)="licencia","vacante"," ")," "))</f>
        <v xml:space="preserve"> </v>
      </c>
      <c r="Q116" s="4"/>
      <c r="R116">
        <f t="shared" si="16"/>
        <v>13</v>
      </c>
      <c r="S116" t="str">
        <f t="shared" si="17"/>
        <v>2°3°13</v>
      </c>
    </row>
    <row r="117" spans="1:19" ht="18.75" hidden="1" customHeight="1">
      <c r="A117" s="3" t="str">
        <f t="shared" si="15"/>
        <v>2°3°2322TLT2</v>
      </c>
      <c r="B117" s="3" t="s">
        <v>204</v>
      </c>
      <c r="C117" s="3">
        <v>232</v>
      </c>
      <c r="D117" s="3" t="s">
        <v>175</v>
      </c>
      <c r="E117" s="3">
        <v>2673123</v>
      </c>
      <c r="F117" s="3" t="str">
        <f>VLOOKUP(D117,[1]Hoja1!$A:$K,11,0)</f>
        <v>LENGUAJES TECNOLOGICOS</v>
      </c>
      <c r="G117" s="7" t="s">
        <v>77</v>
      </c>
      <c r="H117" s="7" t="s">
        <v>78</v>
      </c>
      <c r="I117" s="5"/>
      <c r="J117" s="5">
        <v>27373875584</v>
      </c>
      <c r="K117" s="34" t="s">
        <v>787</v>
      </c>
      <c r="L117" s="5" t="str">
        <f>IFERROR(VLOOKUP(CONCATENATE(A117,"S"),[2]Hoja1!$B:$N,5,0)," ")</f>
        <v xml:space="preserve"> </v>
      </c>
      <c r="M117" s="6" t="str">
        <f>IFERROR(VLOOKUP(CONCATENATE(A117,"S"),[2]Hoja1!$B:$N,6,0)," ")</f>
        <v xml:space="preserve"> </v>
      </c>
      <c r="N117" s="4" t="str">
        <f t="shared" si="18"/>
        <v>PROVISIONAL</v>
      </c>
      <c r="O117" s="17" t="str">
        <f t="shared" si="19"/>
        <v xml:space="preserve">CASTILLO MARISOL ANABEL </v>
      </c>
      <c r="P117" s="4" t="str">
        <f>IF(O117="vacante","vacante",IFERROR(IF(VLOOKUP(IF((M117)=" ",IF(COUNTBLANK(K117),I117,K117),M117),[3]Hoja1!$B:$I,4,0)="licencia","vacante"," ")," "))</f>
        <v xml:space="preserve"> </v>
      </c>
      <c r="Q117" s="4"/>
      <c r="R117">
        <f t="shared" si="16"/>
        <v>14</v>
      </c>
      <c r="S117" t="str">
        <f t="shared" si="17"/>
        <v>2°3°14</v>
      </c>
    </row>
    <row r="118" spans="1:19" ht="18.75" hidden="1" customHeight="1">
      <c r="A118" s="3" t="str">
        <f t="shared" si="15"/>
        <v>2°3°2322TST2</v>
      </c>
      <c r="B118" s="3" t="s">
        <v>204</v>
      </c>
      <c r="C118" s="3">
        <v>232</v>
      </c>
      <c r="D118" s="3" t="s">
        <v>177</v>
      </c>
      <c r="E118" s="3">
        <v>2673124</v>
      </c>
      <c r="F118" s="3" t="str">
        <f>VLOOKUP(D118,[1]Hoja1!$A:$K,11,0)</f>
        <v>SISTEMAS TECNOLOGICOS</v>
      </c>
      <c r="G118" s="7"/>
      <c r="H118" s="7"/>
      <c r="I118" s="5"/>
      <c r="J118" s="5" t="s">
        <v>222</v>
      </c>
      <c r="K118" s="6" t="s">
        <v>223</v>
      </c>
      <c r="L118" s="5" t="str">
        <f>IFERROR(VLOOKUP(CONCATENATE(A118,"S"),[2]Hoja1!$B:$N,5,0)," ")</f>
        <v xml:space="preserve"> </v>
      </c>
      <c r="M118" s="6" t="str">
        <f>IFERROR(VLOOKUP(CONCATENATE(A118,"S"),[2]Hoja1!$B:$N,6,0)," ")</f>
        <v xml:space="preserve"> </v>
      </c>
      <c r="N118" s="4" t="str">
        <f t="shared" si="18"/>
        <v>PROVISIONAL</v>
      </c>
      <c r="O118" s="17" t="str">
        <f t="shared" si="19"/>
        <v>GOMEZ ANALIA</v>
      </c>
      <c r="P118" s="4" t="str">
        <f>IF(O118="vacante","vacante",IFERROR(IF(VLOOKUP(IF((M118)=" ",IF(COUNTBLANK(K118),I118,K118),M118),[3]Hoja1!$B:$I,4,0)="licencia","vacante"," ")," "))</f>
        <v xml:space="preserve"> </v>
      </c>
      <c r="Q118" s="4"/>
      <c r="R118">
        <f t="shared" si="16"/>
        <v>15</v>
      </c>
      <c r="S118" t="str">
        <f t="shared" si="17"/>
        <v>2°3°15</v>
      </c>
    </row>
    <row r="119" spans="1:19" ht="18.75" hidden="1" customHeight="1">
      <c r="A119" s="3" t="str">
        <f t="shared" si="15"/>
        <v>2°3°2322TPT2</v>
      </c>
      <c r="B119" s="3" t="s">
        <v>204</v>
      </c>
      <c r="C119" s="3">
        <v>232</v>
      </c>
      <c r="D119" s="3" t="s">
        <v>179</v>
      </c>
      <c r="E119" s="3">
        <v>2672126</v>
      </c>
      <c r="F119" s="3" t="str">
        <f>VLOOKUP(D119,[1]Hoja1!$A:$K,11,0)</f>
        <v>PROCEDIMIENTOS TECNICOS</v>
      </c>
      <c r="G119" s="7" t="s">
        <v>224</v>
      </c>
      <c r="H119" s="7" t="s">
        <v>78</v>
      </c>
      <c r="I119" s="5" t="s">
        <v>225</v>
      </c>
      <c r="J119" s="5"/>
      <c r="K119" s="6"/>
      <c r="L119" s="5">
        <f>IFERROR(VLOOKUP(CONCATENATE(A119,"S"),[2]Hoja1!$B:$N,5,0)," ")</f>
        <v>20238846375</v>
      </c>
      <c r="M119" s="6" t="str">
        <f>IFERROR(VLOOKUP(CONCATENATE(A119,"S"),[2]Hoja1!$B:$N,6,0)," ")</f>
        <v>BECERRO GUSTAVO ALEJANDRO</v>
      </c>
      <c r="N119" s="4" t="str">
        <f t="shared" si="18"/>
        <v>SUPLENTE</v>
      </c>
      <c r="O119" s="17" t="str">
        <f t="shared" si="19"/>
        <v>BECERRO GUSTAVO ALEJANDRO</v>
      </c>
      <c r="P119" s="4" t="str">
        <f>IF(O119="vacante","vacante",IFERROR(IF(VLOOKUP(IF((M119)=" ",IF(COUNTBLANK(K119),I119,K119),M119),[3]Hoja1!$B:$I,4,0)="licencia","vacante"," ")," "))</f>
        <v xml:space="preserve"> </v>
      </c>
      <c r="Q119" s="4"/>
      <c r="R119">
        <f t="shared" si="16"/>
        <v>16</v>
      </c>
      <c r="S119" t="str">
        <f t="shared" si="17"/>
        <v>2°3°16</v>
      </c>
    </row>
    <row r="120" spans="1:19" ht="18.75" hidden="1" customHeight="1">
      <c r="A120" s="3" t="str">
        <f t="shared" si="15"/>
        <v>2°4°2BIO</v>
      </c>
      <c r="B120" s="3" t="s">
        <v>226</v>
      </c>
      <c r="C120" s="3"/>
      <c r="D120" s="3" t="s">
        <v>156</v>
      </c>
      <c r="E120" s="3">
        <v>1642680</v>
      </c>
      <c r="F120" s="3" t="str">
        <f>VLOOKUP(D120,[1]Hoja1!$A:$K,11,0)</f>
        <v>BIOLOGIA</v>
      </c>
      <c r="G120" s="7"/>
      <c r="H120" s="7"/>
      <c r="I120" s="5" t="s">
        <v>568</v>
      </c>
      <c r="J120" s="5"/>
      <c r="K120" s="6"/>
      <c r="L120" s="5" t="str">
        <f>IFERROR(VLOOKUP(CONCATENATE(A120,"S"),[2]Hoja1!$B:$N,5,0)," ")</f>
        <v xml:space="preserve"> </v>
      </c>
      <c r="M120" s="6" t="str">
        <f>IFERROR(VLOOKUP(CONCATENATE(A120,"S"),[2]Hoja1!$B:$N,6,0)," ")</f>
        <v xml:space="preserve"> </v>
      </c>
      <c r="N120" s="4" t="str">
        <f t="shared" si="18"/>
        <v>TITULAR</v>
      </c>
      <c r="O120" s="17" t="str">
        <f t="shared" si="19"/>
        <v>BARRIONUEVO MARIANELA</v>
      </c>
      <c r="P120" s="4" t="str">
        <f>IF(O120="vacante","vacante",IFERROR(IF(VLOOKUP(IF((M120)=" ",IF(COUNTBLANK(K120),I120,K120),M120),[3]Hoja1!$B:$I,4,0)="licencia","vacante"," ")," "))</f>
        <v xml:space="preserve"> </v>
      </c>
      <c r="Q120" s="4"/>
      <c r="R120">
        <f t="shared" si="16"/>
        <v>1</v>
      </c>
      <c r="S120" t="str">
        <f t="shared" si="17"/>
        <v>2°4°1</v>
      </c>
    </row>
    <row r="121" spans="1:19" ht="18.75" hidden="1" customHeight="1">
      <c r="A121" s="3" t="str">
        <f t="shared" si="15"/>
        <v>2°4°2CCD</v>
      </c>
      <c r="B121" s="3" t="s">
        <v>226</v>
      </c>
      <c r="C121" s="3"/>
      <c r="D121" s="3" t="s">
        <v>159</v>
      </c>
      <c r="E121" s="3">
        <v>1642681</v>
      </c>
      <c r="F121" s="3" t="str">
        <f>VLOOKUP(D121,[1]Hoja1!$A:$K,11,0)</f>
        <v>CONSTRUCCION DE LA CIUDADANIA</v>
      </c>
      <c r="G121" s="7" t="s">
        <v>227</v>
      </c>
      <c r="H121" s="7"/>
      <c r="I121" s="5" t="s">
        <v>228</v>
      </c>
      <c r="J121" s="5"/>
      <c r="K121" s="6"/>
      <c r="L121" s="5" t="str">
        <f>IFERROR(VLOOKUP(CONCATENATE(A121,"S"),[2]Hoja1!$B:$N,5,0)," ")</f>
        <v xml:space="preserve"> </v>
      </c>
      <c r="M121" s="6" t="str">
        <f>IFERROR(VLOOKUP(CONCATENATE(A121,"S"),[2]Hoja1!$B:$N,6,0)," ")</f>
        <v xml:space="preserve"> </v>
      </c>
      <c r="N121" s="4" t="str">
        <f t="shared" si="18"/>
        <v>TITULAR</v>
      </c>
      <c r="O121" s="17" t="str">
        <f t="shared" si="19"/>
        <v>AMAYA SILVIA</v>
      </c>
      <c r="P121" s="4" t="str">
        <f>IF(O121="vacante","vacante",IFERROR(IF(VLOOKUP(IF((M121)=" ",IF(COUNTBLANK(K121),I121,K121),M121),[3]Hoja1!$B:$I,4,0)="licencia","vacante"," ")," "))</f>
        <v xml:space="preserve"> </v>
      </c>
      <c r="Q121" s="4"/>
      <c r="R121">
        <f t="shared" si="16"/>
        <v>2</v>
      </c>
      <c r="S121" t="str">
        <f t="shared" si="17"/>
        <v>2°4°2</v>
      </c>
    </row>
    <row r="122" spans="1:19" ht="18.75" hidden="1" customHeight="1">
      <c r="A122" s="3" t="str">
        <f t="shared" si="15"/>
        <v>2°4°2ART</v>
      </c>
      <c r="B122" s="3" t="s">
        <v>226</v>
      </c>
      <c r="C122" s="3"/>
      <c r="D122" s="3" t="s">
        <v>162</v>
      </c>
      <c r="E122" s="3">
        <v>1642684</v>
      </c>
      <c r="F122" s="3" t="str">
        <f>VLOOKUP(D122,[1]Hoja1!$A:$K,11,0)</f>
        <v>EDUCACION ARTISTICA (PLASTICA)</v>
      </c>
      <c r="G122" s="7"/>
      <c r="H122" s="7"/>
      <c r="I122" s="5"/>
      <c r="J122" s="5" t="s">
        <v>675</v>
      </c>
      <c r="K122" s="6" t="s">
        <v>676</v>
      </c>
      <c r="L122" s="5" t="str">
        <f>IFERROR(VLOOKUP(CONCATENATE(A122,"S"),[2]Hoja1!$B:$N,5,0)," ")</f>
        <v xml:space="preserve"> </v>
      </c>
      <c r="M122" s="6" t="str">
        <f>IFERROR(VLOOKUP(CONCATENATE(A122,"S"),[2]Hoja1!$B:$N,6,0)," ")</f>
        <v xml:space="preserve"> </v>
      </c>
      <c r="N122" s="4" t="str">
        <f t="shared" si="18"/>
        <v>PROVISIONAL</v>
      </c>
      <c r="O122" s="17" t="str">
        <f t="shared" si="19"/>
        <v xml:space="preserve">QUEVEDO OMAR </v>
      </c>
      <c r="P122" s="4" t="str">
        <f>IF(O122="vacante","vacante",IFERROR(IF(VLOOKUP(IF((M122)=" ",IF(COUNTBLANK(K122),I122,K122),M122),[3]Hoja1!$B:$I,4,0)="licencia","vacante"," ")," "))</f>
        <v xml:space="preserve"> </v>
      </c>
      <c r="Q122" s="4"/>
      <c r="R122">
        <f t="shared" si="16"/>
        <v>3</v>
      </c>
      <c r="S122" t="str">
        <f t="shared" si="17"/>
        <v>2°4°3</v>
      </c>
    </row>
    <row r="123" spans="1:19" ht="18.75" hidden="1" customHeight="1">
      <c r="A123" s="3" t="str">
        <f t="shared" si="15"/>
        <v>2°4°2EFI</v>
      </c>
      <c r="B123" s="3" t="s">
        <v>226</v>
      </c>
      <c r="C123" s="3"/>
      <c r="D123" s="3" t="s">
        <v>163</v>
      </c>
      <c r="E123" s="3">
        <v>1642683</v>
      </c>
      <c r="F123" s="3" t="str">
        <f>VLOOKUP(D123,[1]Hoja1!$A:$K,11,0)</f>
        <v>EDUCACIÓN FISICA</v>
      </c>
      <c r="G123" s="7" t="s">
        <v>24</v>
      </c>
      <c r="H123" s="7"/>
      <c r="I123" s="5" t="s">
        <v>229</v>
      </c>
      <c r="J123" s="5"/>
      <c r="K123" s="6"/>
      <c r="L123" s="5" t="str">
        <f>IFERROR(VLOOKUP(CONCATENATE(A123,"S"),[2]Hoja1!$B:$N,5,0)," ")</f>
        <v xml:space="preserve"> </v>
      </c>
      <c r="M123" s="6" t="str">
        <f>IFERROR(VLOOKUP(CONCATENATE(A123,"S"),[2]Hoja1!$B:$N,6,0)," ")</f>
        <v xml:space="preserve"> </v>
      </c>
      <c r="N123" s="4" t="str">
        <f t="shared" si="18"/>
        <v>TITULAR</v>
      </c>
      <c r="O123" s="17" t="str">
        <f t="shared" si="19"/>
        <v>SANCHEZ CARLOS</v>
      </c>
      <c r="P123" s="4" t="str">
        <f>IF(O123="vacante","vacante",IFERROR(IF(VLOOKUP(IF((M123)=" ",IF(COUNTBLANK(K123),I123,K123),M123),[3]Hoja1!$B:$I,4,0)="licencia","vacante"," ")," "))</f>
        <v xml:space="preserve"> </v>
      </c>
      <c r="Q123" s="4"/>
      <c r="R123">
        <f t="shared" si="16"/>
        <v>4</v>
      </c>
      <c r="S123" t="str">
        <f t="shared" si="17"/>
        <v>2°4°4</v>
      </c>
    </row>
    <row r="124" spans="1:19" ht="18.75" hidden="1" customHeight="1">
      <c r="A124" s="3" t="str">
        <f t="shared" si="15"/>
        <v>2°4°2FI/QUI</v>
      </c>
      <c r="B124" s="3" t="s">
        <v>226</v>
      </c>
      <c r="C124" s="3"/>
      <c r="D124" s="3" t="s">
        <v>164</v>
      </c>
      <c r="E124" s="3">
        <v>1642679</v>
      </c>
      <c r="F124" s="3" t="str">
        <f>VLOOKUP(D124,[1]Hoja1!$A:$K,11,0)</f>
        <v>FISICO-QUIMICA</v>
      </c>
      <c r="G124" s="7" t="s">
        <v>88</v>
      </c>
      <c r="H124" s="7"/>
      <c r="I124" s="5" t="s">
        <v>89</v>
      </c>
      <c r="J124" s="5"/>
      <c r="K124" s="6"/>
      <c r="L124" s="5" t="str">
        <f>IFERROR(VLOOKUP(CONCATENATE(A124,"S"),[2]Hoja1!$B:$N,5,0)," ")</f>
        <v xml:space="preserve"> </v>
      </c>
      <c r="M124" s="6" t="str">
        <f>IFERROR(VLOOKUP(CONCATENATE(A124,"S"),[2]Hoja1!$B:$N,6,0)," ")</f>
        <v xml:space="preserve"> </v>
      </c>
      <c r="N124" s="4" t="str">
        <f t="shared" si="18"/>
        <v>TITULAR</v>
      </c>
      <c r="O124" s="17" t="str">
        <f t="shared" si="19"/>
        <v xml:space="preserve">DA CHILE IGLESIAS V                 </v>
      </c>
      <c r="P124" s="4" t="str">
        <f>IF(O124="vacante","vacante",IFERROR(IF(VLOOKUP(IF((M124)=" ",IF(COUNTBLANK(K124),I124,K124),M124),[3]Hoja1!$B:$I,4,0)="licencia","vacante"," ")," "))</f>
        <v xml:space="preserve"> </v>
      </c>
      <c r="Q124" s="4"/>
      <c r="R124">
        <f t="shared" si="16"/>
        <v>5</v>
      </c>
      <c r="S124" t="str">
        <f t="shared" si="17"/>
        <v>2°4°5</v>
      </c>
    </row>
    <row r="125" spans="1:19" ht="18.75" hidden="1" customHeight="1">
      <c r="A125" s="3" t="str">
        <f t="shared" si="15"/>
        <v>2°4°2GEO</v>
      </c>
      <c r="B125" s="3" t="s">
        <v>226</v>
      </c>
      <c r="C125" s="3"/>
      <c r="D125" s="3" t="s">
        <v>165</v>
      </c>
      <c r="E125" s="3">
        <v>1642675</v>
      </c>
      <c r="F125" s="3" t="str">
        <f>VLOOKUP(D125,[1]Hoja1!$A:$K,11,0)</f>
        <v>GEOGRAFIA</v>
      </c>
      <c r="G125" s="7" t="s">
        <v>230</v>
      </c>
      <c r="H125" s="7"/>
      <c r="I125" s="5"/>
      <c r="J125" s="5">
        <v>27289018420</v>
      </c>
      <c r="K125" s="6" t="s">
        <v>810</v>
      </c>
      <c r="L125" s="5" t="str">
        <f>IFERROR(VLOOKUP(CONCATENATE(A125,"S"),[2]Hoja1!$B:$N,5,0)," ")</f>
        <v xml:space="preserve"> </v>
      </c>
      <c r="M125" s="6" t="str">
        <f>IFERROR(VLOOKUP(CONCATENATE(A125,"S"),[2]Hoja1!$B:$N,6,0)," ")</f>
        <v xml:space="preserve"> </v>
      </c>
      <c r="N125" s="4" t="str">
        <f t="shared" si="18"/>
        <v>PROVISIONAL</v>
      </c>
      <c r="O125" s="17" t="str">
        <f t="shared" si="19"/>
        <v>OSTRIZ GISELA JORGELINA</v>
      </c>
      <c r="P125" s="4" t="str">
        <f>IF(O125="vacante","vacante",IFERROR(IF(VLOOKUP(IF((M125)=" ",IF(COUNTBLANK(K125),I125,K125),M125),[3]Hoja1!$B:$I,4,0)="licencia","vacante"," ")," "))</f>
        <v xml:space="preserve"> </v>
      </c>
      <c r="Q125" s="4"/>
      <c r="R125">
        <f t="shared" si="16"/>
        <v>6</v>
      </c>
      <c r="S125" t="str">
        <f t="shared" si="17"/>
        <v>2°4°6</v>
      </c>
    </row>
    <row r="126" spans="1:19" ht="18.75" hidden="1" customHeight="1">
      <c r="A126" s="3" t="str">
        <f t="shared" si="15"/>
        <v>2°4°2HIS</v>
      </c>
      <c r="B126" s="3" t="s">
        <v>226</v>
      </c>
      <c r="C126" s="3"/>
      <c r="D126" s="3" t="s">
        <v>167</v>
      </c>
      <c r="E126" s="3">
        <v>1642678</v>
      </c>
      <c r="F126" s="3" t="str">
        <f>VLOOKUP(D126,[1]Hoja1!$A:$K,11,0)</f>
        <v>HISTORIA</v>
      </c>
      <c r="G126" s="7" t="s">
        <v>231</v>
      </c>
      <c r="H126" s="7" t="s">
        <v>232</v>
      </c>
      <c r="I126" s="5" t="s">
        <v>70</v>
      </c>
      <c r="J126" s="5"/>
      <c r="K126" s="6"/>
      <c r="L126" s="5" t="str">
        <f>IFERROR(VLOOKUP(CONCATENATE(A126,"S"),[2]Hoja1!$B:$N,5,0)," ")</f>
        <v xml:space="preserve"> </v>
      </c>
      <c r="M126" s="6" t="str">
        <f>IFERROR(VLOOKUP(CONCATENATE(A126,"S"),[2]Hoja1!$B:$N,6,0)," ")</f>
        <v xml:space="preserve"> </v>
      </c>
      <c r="N126" s="4" t="str">
        <f t="shared" si="18"/>
        <v>TITULAR</v>
      </c>
      <c r="O126" s="17" t="str">
        <f t="shared" si="19"/>
        <v xml:space="preserve">TORRES LUIS                    </v>
      </c>
      <c r="P126" s="4" t="str">
        <f>IF(O126="vacante","vacante",IFERROR(IF(VLOOKUP(IF((M126)=" ",IF(COUNTBLANK(K126),I126,K126),M126),[3]Hoja1!$B:$I,4,0)="licencia","vacante"," ")," "))</f>
        <v xml:space="preserve"> </v>
      </c>
      <c r="Q126" s="4"/>
      <c r="R126">
        <f t="shared" si="16"/>
        <v>7</v>
      </c>
      <c r="S126" t="str">
        <f t="shared" si="17"/>
        <v>2°4°7</v>
      </c>
    </row>
    <row r="127" spans="1:19" ht="18.75" hidden="1" customHeight="1">
      <c r="A127" s="3" t="str">
        <f t="shared" si="15"/>
        <v>2°4°2ING</v>
      </c>
      <c r="B127" s="3" t="s">
        <v>226</v>
      </c>
      <c r="C127" s="3"/>
      <c r="D127" s="3" t="s">
        <v>169</v>
      </c>
      <c r="E127" s="3">
        <v>1642673</v>
      </c>
      <c r="F127" s="3" t="str">
        <f>VLOOKUP(D127,[1]Hoja1!$A:$K,11,0)</f>
        <v>INGLÉS</v>
      </c>
      <c r="G127" s="7" t="s">
        <v>233</v>
      </c>
      <c r="H127" s="7"/>
      <c r="I127" s="5" t="s">
        <v>95</v>
      </c>
      <c r="J127" s="5"/>
      <c r="K127" s="6"/>
      <c r="L127" s="5">
        <f>IFERROR(VLOOKUP(CONCATENATE(A127,"S"),[2]Hoja1!$B:$N,5,0)," ")</f>
        <v>27321538849</v>
      </c>
      <c r="M127" s="6" t="str">
        <f>IFERROR(VLOOKUP(CONCATENATE(A127,"S"),[2]Hoja1!$B:$N,6,0)," ")</f>
        <v xml:space="preserve">GOMEZ HERNANDEZ MARIANA   27275092180 </v>
      </c>
      <c r="N127" s="4" t="str">
        <f t="shared" si="18"/>
        <v>SUPLENTE</v>
      </c>
      <c r="O127" s="17" t="str">
        <f t="shared" si="19"/>
        <v xml:space="preserve">GOMEZ HERNANDEZ MARIANA   27275092180 </v>
      </c>
      <c r="P127" s="4" t="str">
        <f>IF(O127="vacante","vacante",IFERROR(IF(VLOOKUP(IF((M127)=" ",IF(COUNTBLANK(K127),I127,K127),M127),[3]Hoja1!$B:$I,4,0)="licencia","vacante"," ")," "))</f>
        <v xml:space="preserve"> </v>
      </c>
      <c r="Q127" s="4"/>
      <c r="R127">
        <f t="shared" si="16"/>
        <v>8</v>
      </c>
      <c r="S127" t="str">
        <f t="shared" si="17"/>
        <v>2°4°8</v>
      </c>
    </row>
    <row r="128" spans="1:19" ht="18.75" hidden="1" customHeight="1">
      <c r="A128" s="3" t="str">
        <f t="shared" si="15"/>
        <v>2°4°2MAT</v>
      </c>
      <c r="B128" s="3" t="s">
        <v>226</v>
      </c>
      <c r="C128" s="3"/>
      <c r="D128" s="3" t="s">
        <v>172</v>
      </c>
      <c r="E128" s="3">
        <v>1642674</v>
      </c>
      <c r="F128" s="3" t="str">
        <f>VLOOKUP(D128,[1]Hoja1!$A:$K,11,0)</f>
        <v>MATEMATICA</v>
      </c>
      <c r="G128" s="7"/>
      <c r="H128" s="7"/>
      <c r="I128" s="5"/>
      <c r="J128" s="5"/>
      <c r="K128" s="6" t="s">
        <v>754</v>
      </c>
      <c r="L128" s="5"/>
      <c r="M128" s="6" t="str">
        <f>IFERROR(VLOOKUP(CONCATENATE(A128,"S"),[2]Hoja1!$B:$N,6,0)," ")</f>
        <v xml:space="preserve"> </v>
      </c>
      <c r="N128" s="4" t="str">
        <f t="shared" si="18"/>
        <v>PROVISIONAL</v>
      </c>
      <c r="O128" s="17" t="str">
        <f t="shared" si="19"/>
        <v>FERRARIS OJEDA JULIETA</v>
      </c>
      <c r="P128" s="4" t="str">
        <f>IF(O128="vacante","vacante",IFERROR(IF(VLOOKUP(IF((M128)=" ",IF(COUNTBLANK(K128),I128,K128),M128),[3]Hoja1!$B:$I,4,0)="licencia","vacante"," ")," "))</f>
        <v xml:space="preserve"> </v>
      </c>
      <c r="Q128" s="4"/>
      <c r="R128">
        <f t="shared" si="16"/>
        <v>9</v>
      </c>
      <c r="S128" t="str">
        <f t="shared" si="17"/>
        <v>2°4°9</v>
      </c>
    </row>
    <row r="129" spans="1:19" ht="18.75" hidden="1" customHeight="1">
      <c r="A129" s="3" t="str">
        <f t="shared" si="15"/>
        <v>2°4°2PLG</v>
      </c>
      <c r="B129" s="3" t="s">
        <v>226</v>
      </c>
      <c r="C129" s="3"/>
      <c r="D129" s="3" t="s">
        <v>173</v>
      </c>
      <c r="E129" s="3">
        <v>1642672</v>
      </c>
      <c r="F129" s="3" t="str">
        <f>VLOOKUP(D129,[1]Hoja1!$A:$K,11,0)</f>
        <v>PRACTICA DEL LENGUAJE</v>
      </c>
      <c r="G129" s="7" t="s">
        <v>234</v>
      </c>
      <c r="H129" s="7"/>
      <c r="I129" s="5" t="s">
        <v>235</v>
      </c>
      <c r="J129" s="5"/>
      <c r="K129" s="6"/>
      <c r="L129" s="5" t="str">
        <f>IFERROR(VLOOKUP(CONCATENATE(A129,"S"),[2]Hoja1!$B:$N,5,0)," ")</f>
        <v xml:space="preserve"> </v>
      </c>
      <c r="M129" s="6" t="str">
        <f>IFERROR(VLOOKUP(CONCATENATE(A129,"S"),[2]Hoja1!$B:$N,6,0)," ")</f>
        <v xml:space="preserve"> </v>
      </c>
      <c r="N129" s="4" t="str">
        <f t="shared" si="18"/>
        <v>TITULAR</v>
      </c>
      <c r="O129" s="17" t="str">
        <f t="shared" si="19"/>
        <v>ARANDA NELIDA</v>
      </c>
      <c r="P129" s="4" t="str">
        <f>IF(O129="vacante","vacante",IFERROR(IF(VLOOKUP(IF((M129)=" ",IF(COUNTBLANK(K129),I129,K129),M129),[3]Hoja1!$B:$I,4,0)="licencia","vacante"," ")," "))</f>
        <v xml:space="preserve"> </v>
      </c>
      <c r="Q129" s="4"/>
      <c r="R129">
        <f t="shared" si="16"/>
        <v>10</v>
      </c>
      <c r="S129" t="str">
        <f t="shared" si="17"/>
        <v>2°4°10</v>
      </c>
    </row>
    <row r="130" spans="1:19" ht="18.75" hidden="1" customHeight="1">
      <c r="A130" s="3" t="str">
        <f t="shared" ref="A130:A193" si="20">CONCATENATE(B130,C130,D130)</f>
        <v>2°4°2412TLT2</v>
      </c>
      <c r="B130" s="3" t="s">
        <v>226</v>
      </c>
      <c r="C130" s="3">
        <v>241</v>
      </c>
      <c r="D130" s="3" t="s">
        <v>175</v>
      </c>
      <c r="E130" s="3">
        <v>2673421</v>
      </c>
      <c r="F130" s="3" t="str">
        <f>VLOOKUP(D130,[1]Hoja1!$A:$K,11,0)</f>
        <v>LENGUAJES TECNOLOGICOS</v>
      </c>
      <c r="G130" s="7"/>
      <c r="H130" s="7"/>
      <c r="I130" s="5"/>
      <c r="J130" s="5" t="s">
        <v>133</v>
      </c>
      <c r="K130" s="6" t="s">
        <v>236</v>
      </c>
      <c r="L130" s="5" t="str">
        <f>IFERROR(VLOOKUP(CONCATENATE(A130,"S"),[2]Hoja1!$B:$N,5,0)," ")</f>
        <v xml:space="preserve"> </v>
      </c>
      <c r="M130" s="6" t="str">
        <f>IFERROR(VLOOKUP(CONCATENATE(A130,"S"),[2]Hoja1!$B:$N,6,0)," ")</f>
        <v xml:space="preserve"> </v>
      </c>
      <c r="N130" s="4" t="str">
        <f t="shared" ref="N130:N193" si="21">IF((M130)=" ",IF(COUNTBLANK(K130),"TITULAR","PROVISIONAL"),"SUPLENTE")</f>
        <v>PROVISIONAL</v>
      </c>
      <c r="O130" s="17" t="str">
        <f t="shared" ref="O130:O193" si="22">IF((M130)=" ",IF(COUNTBLANK(K130),I130,K130),M130)</f>
        <v>FISTER, VICTOR</v>
      </c>
      <c r="P130" s="4" t="str">
        <f>IF(O130="vacante","vacante",IFERROR(IF(VLOOKUP(IF((M130)=" ",IF(COUNTBLANK(K130),I130,K130),M130),[3]Hoja1!$B:$I,4,0)="licencia","vacante"," ")," "))</f>
        <v xml:space="preserve"> </v>
      </c>
      <c r="Q130" s="4"/>
      <c r="R130">
        <f t="shared" si="16"/>
        <v>11</v>
      </c>
      <c r="S130" t="str">
        <f t="shared" ref="S130:S193" si="23">CONCATENATE(B130,R130)</f>
        <v>2°4°11</v>
      </c>
    </row>
    <row r="131" spans="1:19" ht="18.75" hidden="1" customHeight="1">
      <c r="A131" s="3" t="str">
        <f t="shared" si="20"/>
        <v>2°4°2412TST2</v>
      </c>
      <c r="B131" s="3" t="s">
        <v>226</v>
      </c>
      <c r="C131" s="3">
        <v>241</v>
      </c>
      <c r="D131" s="3" t="s">
        <v>177</v>
      </c>
      <c r="E131" s="3">
        <v>2673423</v>
      </c>
      <c r="F131" s="3" t="str">
        <f>VLOOKUP(D131,[1]Hoja1!$A:$K,11,0)</f>
        <v>SISTEMAS TECNOLOGICOS</v>
      </c>
      <c r="G131" s="7"/>
      <c r="H131" s="7"/>
      <c r="I131" s="5"/>
      <c r="J131" s="5" t="s">
        <v>237</v>
      </c>
      <c r="K131" s="6" t="s">
        <v>669</v>
      </c>
      <c r="L131" s="5" t="str">
        <f>IFERROR(VLOOKUP(CONCATENATE(A131,"S"),[2]Hoja1!$B:$N,5,0)," ")</f>
        <v xml:space="preserve"> </v>
      </c>
      <c r="M131" s="6" t="str">
        <f>IFERROR(VLOOKUP(CONCATENATE(A131,"S"),[2]Hoja1!$B:$N,6,0)," ")</f>
        <v xml:space="preserve"> </v>
      </c>
      <c r="N131" s="4" t="str">
        <f t="shared" si="21"/>
        <v>PROVISIONAL</v>
      </c>
      <c r="O131" s="17" t="str">
        <f t="shared" si="22"/>
        <v xml:space="preserve">AVILA </v>
      </c>
      <c r="P131" s="4" t="str">
        <f>IF(O131="vacante","vacante",IFERROR(IF(VLOOKUP(IF((M131)=" ",IF(COUNTBLANK(K131),I131,K131),M131),[3]Hoja1!$B:$I,4,0)="licencia","vacante"," ")," "))</f>
        <v xml:space="preserve"> </v>
      </c>
      <c r="Q131" s="4" t="s">
        <v>671</v>
      </c>
      <c r="R131">
        <f t="shared" ref="R131:R194" si="24">IF(B131=B130,R130+1,1)</f>
        <v>12</v>
      </c>
      <c r="S131" t="str">
        <f t="shared" si="23"/>
        <v>2°4°12</v>
      </c>
    </row>
    <row r="132" spans="1:19" ht="18.75" hidden="1" customHeight="1">
      <c r="A132" s="3" t="str">
        <f t="shared" si="20"/>
        <v>2°4°2412TPT2</v>
      </c>
      <c r="B132" s="3" t="s">
        <v>226</v>
      </c>
      <c r="C132" s="3">
        <v>241</v>
      </c>
      <c r="D132" s="3" t="s">
        <v>179</v>
      </c>
      <c r="E132" s="3">
        <v>2673425</v>
      </c>
      <c r="F132" s="3" t="str">
        <f>VLOOKUP(D132,[1]Hoja1!$A:$K,11,0)</f>
        <v>PROCEDIMIENTOS TECNICOS</v>
      </c>
      <c r="G132" s="7" t="s">
        <v>238</v>
      </c>
      <c r="H132" s="7" t="s">
        <v>239</v>
      </c>
      <c r="I132" s="5" t="s">
        <v>240</v>
      </c>
      <c r="J132" s="5" t="s">
        <v>241</v>
      </c>
      <c r="K132" s="6" t="s">
        <v>242</v>
      </c>
      <c r="L132" s="5">
        <f>IFERROR(VLOOKUP(CONCATENATE(A132,"S"),[2]Hoja1!$B:$N,5,0)," ")</f>
        <v>0</v>
      </c>
      <c r="M132" s="6" t="str">
        <f>IFERROR(VLOOKUP(CONCATENATE(A132,"S"),[2]Hoja1!$B:$N,6,0)," ")</f>
        <v>CRUZ DAVID</v>
      </c>
      <c r="N132" s="4" t="str">
        <f t="shared" si="21"/>
        <v>SUPLENTE</v>
      </c>
      <c r="O132" s="17" t="str">
        <f t="shared" si="22"/>
        <v>CRUZ DAVID</v>
      </c>
      <c r="P132" s="4" t="str">
        <f>IF(O132="vacante","vacante",IFERROR(IF(VLOOKUP(IF((M132)=" ",IF(COUNTBLANK(K132),I132,K132),M132),[3]Hoja1!$B:$I,4,0)="licencia","vacante"," ")," "))</f>
        <v xml:space="preserve"> </v>
      </c>
      <c r="Q132" s="4"/>
      <c r="R132">
        <f t="shared" si="24"/>
        <v>13</v>
      </c>
      <c r="S132" t="str">
        <f t="shared" si="23"/>
        <v>2°4°13</v>
      </c>
    </row>
    <row r="133" spans="1:19" ht="18.75" hidden="1" customHeight="1">
      <c r="A133" s="3" t="str">
        <f t="shared" si="20"/>
        <v>2°4°2422TLT2</v>
      </c>
      <c r="B133" s="3" t="s">
        <v>226</v>
      </c>
      <c r="C133" s="3">
        <v>242</v>
      </c>
      <c r="D133" s="3" t="s">
        <v>175</v>
      </c>
      <c r="E133" s="3">
        <v>2673427</v>
      </c>
      <c r="F133" s="3" t="str">
        <f>VLOOKUP(D133,[1]Hoja1!$A:$K,11,0)</f>
        <v>LENGUAJES TECNOLOGICOS</v>
      </c>
      <c r="G133" s="7" t="s">
        <v>243</v>
      </c>
      <c r="H133" s="7"/>
      <c r="I133" s="5" t="s">
        <v>240</v>
      </c>
      <c r="J133" s="5"/>
      <c r="K133" s="6"/>
      <c r="L133" s="5" t="str">
        <f>IFERROR(VLOOKUP(CONCATENATE(A133,"S"),[2]Hoja1!$B:$N,5,0)," ")</f>
        <v xml:space="preserve"> 20-21.103.894-3</v>
      </c>
      <c r="M133" s="6" t="str">
        <f>IFERROR(VLOOKUP(CONCATENATE(A133,"S"),[2]Hoja1!$B:$N,6,0)," ")</f>
        <v xml:space="preserve">LEYES RICARDO  </v>
      </c>
      <c r="N133" s="4" t="str">
        <f t="shared" si="21"/>
        <v>SUPLENTE</v>
      </c>
      <c r="O133" s="17" t="str">
        <f t="shared" si="22"/>
        <v xml:space="preserve">LEYES RICARDO  </v>
      </c>
      <c r="P133" s="4" t="str">
        <f>IF(O133="vacante","vacante",IFERROR(IF(VLOOKUP(IF((M133)=" ",IF(COUNTBLANK(K133),I133,K133),M133),[3]Hoja1!$B:$I,4,0)="licencia","vacante"," ")," "))</f>
        <v xml:space="preserve"> </v>
      </c>
      <c r="Q133" s="4"/>
      <c r="R133">
        <f t="shared" si="24"/>
        <v>14</v>
      </c>
      <c r="S133" t="str">
        <f t="shared" si="23"/>
        <v>2°4°14</v>
      </c>
    </row>
    <row r="134" spans="1:19" ht="18.75" hidden="1" customHeight="1">
      <c r="A134" s="3" t="str">
        <f t="shared" si="20"/>
        <v>2°4°2422TST2</v>
      </c>
      <c r="B134" s="3" t="s">
        <v>226</v>
      </c>
      <c r="C134" s="3">
        <v>242</v>
      </c>
      <c r="D134" s="3" t="s">
        <v>177</v>
      </c>
      <c r="E134" s="3">
        <v>2673428</v>
      </c>
      <c r="F134" s="3" t="str">
        <f>VLOOKUP(D134,[1]Hoja1!$A:$K,11,0)</f>
        <v>SISTEMAS TECNOLOGICOS</v>
      </c>
      <c r="G134" s="7"/>
      <c r="H134" s="7"/>
      <c r="I134" s="5"/>
      <c r="J134" s="5" t="s">
        <v>64</v>
      </c>
      <c r="K134" s="6" t="s">
        <v>244</v>
      </c>
      <c r="L134" s="5" t="str">
        <f>IFERROR(VLOOKUP(CONCATENATE(A134,"S"),[2]Hoja1!$B:$N,5,0)," ")</f>
        <v xml:space="preserve"> </v>
      </c>
      <c r="M134" s="6" t="str">
        <f>IFERROR(VLOOKUP(CONCATENATE(A134,"S"),[2]Hoja1!$B:$N,6,0)," ")</f>
        <v xml:space="preserve"> </v>
      </c>
      <c r="N134" s="4" t="str">
        <f t="shared" si="21"/>
        <v>PROVISIONAL</v>
      </c>
      <c r="O134" s="17" t="str">
        <f t="shared" si="22"/>
        <v xml:space="preserve">ETCHEVERRY MARTIN  </v>
      </c>
      <c r="P134" s="4" t="str">
        <f>IF(O134="vacante","vacante",IFERROR(IF(VLOOKUP(IF((M134)=" ",IF(COUNTBLANK(K134),I134,K134),M134),[3]Hoja1!$B:$I,4,0)="licencia","vacante"," ")," "))</f>
        <v xml:space="preserve"> </v>
      </c>
      <c r="Q134" s="4"/>
      <c r="R134">
        <f t="shared" si="24"/>
        <v>15</v>
      </c>
      <c r="S134" t="str">
        <f t="shared" si="23"/>
        <v>2°4°15</v>
      </c>
    </row>
    <row r="135" spans="1:19" ht="18.75" hidden="1" customHeight="1">
      <c r="A135" s="3" t="str">
        <f t="shared" si="20"/>
        <v>2°4°2422TPT2</v>
      </c>
      <c r="B135" s="3" t="s">
        <v>226</v>
      </c>
      <c r="C135" s="3">
        <v>242</v>
      </c>
      <c r="D135" s="3" t="s">
        <v>179</v>
      </c>
      <c r="E135" s="3">
        <v>2673429</v>
      </c>
      <c r="F135" s="3" t="str">
        <f>VLOOKUP(D135,[1]Hoja1!$A:$K,11,0)</f>
        <v>PROCEDIMIENTOS TECNICOS</v>
      </c>
      <c r="G135" s="7"/>
      <c r="H135" s="7"/>
      <c r="I135" s="5"/>
      <c r="J135" s="5" t="s">
        <v>243</v>
      </c>
      <c r="K135" s="6" t="s">
        <v>240</v>
      </c>
      <c r="L135" s="5">
        <f>IFERROR(VLOOKUP(CONCATENATE(A135,"S"),[2]Hoja1!$B:$N,5,0)," ")</f>
        <v>0</v>
      </c>
      <c r="M135" s="6" t="str">
        <f>IFERROR(VLOOKUP(CONCATENATE(A135,"S"),[2]Hoja1!$B:$N,6,0)," ")</f>
        <v>CRUZ DAVID</v>
      </c>
      <c r="N135" s="4" t="str">
        <f t="shared" si="21"/>
        <v>SUPLENTE</v>
      </c>
      <c r="O135" s="17" t="str">
        <f t="shared" si="22"/>
        <v>CRUZ DAVID</v>
      </c>
      <c r="P135" s="4" t="str">
        <f>IF(O135="vacante","vacante",IFERROR(IF(VLOOKUP(IF((M135)=" ",IF(COUNTBLANK(K135),I135,K135),M135),[3]Hoja1!$B:$I,4,0)="licencia","vacante"," ")," "))</f>
        <v xml:space="preserve"> </v>
      </c>
      <c r="Q135" s="4"/>
      <c r="R135">
        <f t="shared" si="24"/>
        <v>16</v>
      </c>
      <c r="S135" t="str">
        <f t="shared" si="23"/>
        <v>2°4°16</v>
      </c>
    </row>
    <row r="136" spans="1:19" ht="18.75" hidden="1" customHeight="1">
      <c r="A136" s="3" t="str">
        <f t="shared" si="20"/>
        <v>2°5°2BIO</v>
      </c>
      <c r="B136" s="3" t="s">
        <v>245</v>
      </c>
      <c r="C136" s="3"/>
      <c r="D136" s="3" t="s">
        <v>156</v>
      </c>
      <c r="E136" s="3">
        <v>1920674</v>
      </c>
      <c r="F136" s="3" t="str">
        <f>VLOOKUP(D136,[1]Hoja1!$A:$K,11,0)</f>
        <v>BIOLOGIA</v>
      </c>
      <c r="G136" s="7">
        <v>23480647</v>
      </c>
      <c r="H136" s="7"/>
      <c r="I136" s="5" t="s">
        <v>19</v>
      </c>
      <c r="J136" s="5"/>
      <c r="K136" s="6"/>
      <c r="L136" s="5" t="str">
        <f>IFERROR(VLOOKUP(CONCATENATE(A136,"S"),[2]Hoja1!$B:$N,5,0)," ")</f>
        <v xml:space="preserve"> </v>
      </c>
      <c r="M136" s="6" t="str">
        <f>IFERROR(VLOOKUP(CONCATENATE(A136,"S"),[2]Hoja1!$B:$N,6,0)," ")</f>
        <v xml:space="preserve"> </v>
      </c>
      <c r="N136" s="4" t="str">
        <f t="shared" si="21"/>
        <v>TITULAR</v>
      </c>
      <c r="O136" s="17" t="str">
        <f t="shared" si="22"/>
        <v>FARIAS CLAUDIA ANTONIA</v>
      </c>
      <c r="P136" s="4" t="str">
        <f>IF(O136="vacante","vacante",IFERROR(IF(VLOOKUP(IF((M136)=" ",IF(COUNTBLANK(K136),I136,K136),M136),[3]Hoja1!$B:$I,4,0)="licencia","vacante"," ")," "))</f>
        <v xml:space="preserve"> </v>
      </c>
      <c r="Q136" s="4"/>
      <c r="R136">
        <f t="shared" si="24"/>
        <v>1</v>
      </c>
      <c r="S136" t="str">
        <f t="shared" si="23"/>
        <v>2°5°1</v>
      </c>
    </row>
    <row r="137" spans="1:19" ht="18.75" hidden="1" customHeight="1">
      <c r="A137" s="3" t="str">
        <f t="shared" si="20"/>
        <v>2°5°2CCD</v>
      </c>
      <c r="B137" s="3" t="s">
        <v>245</v>
      </c>
      <c r="C137" s="3"/>
      <c r="D137" s="3" t="s">
        <v>159</v>
      </c>
      <c r="E137" s="3">
        <v>1174482</v>
      </c>
      <c r="F137" s="3" t="str">
        <f>VLOOKUP(D137,[1]Hoja1!$A:$K,11,0)</f>
        <v>CONSTRUCCION DE LA CIUDADANIA</v>
      </c>
      <c r="G137" s="7" t="s">
        <v>246</v>
      </c>
      <c r="H137" s="7"/>
      <c r="I137" s="5" t="s">
        <v>247</v>
      </c>
      <c r="J137" s="5"/>
      <c r="K137" s="6"/>
      <c r="L137" s="5" t="str">
        <f>IFERROR(VLOOKUP(CONCATENATE(A137,"S"),[2]Hoja1!$B:$N,5,0)," ")</f>
        <v xml:space="preserve"> </v>
      </c>
      <c r="M137" s="6" t="str">
        <f>IFERROR(VLOOKUP(CONCATENATE(A137,"S"),[2]Hoja1!$B:$N,6,0)," ")</f>
        <v xml:space="preserve"> </v>
      </c>
      <c r="N137" s="4" t="str">
        <f t="shared" si="21"/>
        <v>TITULAR</v>
      </c>
      <c r="O137" s="17" t="str">
        <f t="shared" si="22"/>
        <v xml:space="preserve">AMAYA SILVIA </v>
      </c>
      <c r="P137" s="4" t="str">
        <f>IF(O137="vacante","vacante",IFERROR(IF(VLOOKUP(IF((M137)=" ",IF(COUNTBLANK(K137),I137,K137),M137),[3]Hoja1!$B:$I,4,0)="licencia","vacante"," ")," "))</f>
        <v xml:space="preserve"> </v>
      </c>
      <c r="Q137" s="4"/>
      <c r="R137">
        <f t="shared" si="24"/>
        <v>2</v>
      </c>
      <c r="S137" t="str">
        <f t="shared" si="23"/>
        <v>2°5°2</v>
      </c>
    </row>
    <row r="138" spans="1:19" ht="18.75" hidden="1" customHeight="1">
      <c r="A138" s="3" t="str">
        <f t="shared" si="20"/>
        <v>2°5°2ART</v>
      </c>
      <c r="B138" s="3" t="s">
        <v>245</v>
      </c>
      <c r="C138" s="3"/>
      <c r="D138" s="3" t="s">
        <v>162</v>
      </c>
      <c r="E138" s="3">
        <v>1920681</v>
      </c>
      <c r="F138" s="3" t="str">
        <f>VLOOKUP(D138,[1]Hoja1!$A:$K,11,0)</f>
        <v>EDUCACION ARTISTICA (PLASTICA)</v>
      </c>
      <c r="G138" s="7">
        <v>24680551</v>
      </c>
      <c r="H138" s="7" t="s">
        <v>214</v>
      </c>
      <c r="I138" s="5" t="s">
        <v>208</v>
      </c>
      <c r="J138" s="5"/>
      <c r="K138" s="6"/>
      <c r="L138" s="5" t="str">
        <f>IFERROR(VLOOKUP(CONCATENATE(A138,"S"),[2]Hoja1!$B:$N,5,0)," ")</f>
        <v xml:space="preserve"> </v>
      </c>
      <c r="M138" s="6" t="str">
        <f>IFERROR(VLOOKUP(CONCATENATE(A138,"S"),[2]Hoja1!$B:$N,6,0)," ")</f>
        <v xml:space="preserve"> </v>
      </c>
      <c r="N138" s="4" t="str">
        <f t="shared" si="21"/>
        <v>TITULAR</v>
      </c>
      <c r="O138" s="17" t="str">
        <f t="shared" si="22"/>
        <v xml:space="preserve">ISSETTA LORENA </v>
      </c>
      <c r="P138" s="4" t="str">
        <f>IF(O138="vacante","vacante",IFERROR(IF(VLOOKUP(IF((M138)=" ",IF(COUNTBLANK(K138),I138,K138),M138),[3]Hoja1!$B:$I,4,0)="licencia","vacante"," ")," "))</f>
        <v xml:space="preserve"> </v>
      </c>
      <c r="Q138" s="4"/>
      <c r="R138">
        <f t="shared" si="24"/>
        <v>3</v>
      </c>
      <c r="S138" t="str">
        <f t="shared" si="23"/>
        <v>2°5°3</v>
      </c>
    </row>
    <row r="139" spans="1:19" ht="18.75" hidden="1" customHeight="1">
      <c r="A139" s="3" t="str">
        <f t="shared" si="20"/>
        <v>2°5°2EFI</v>
      </c>
      <c r="B139" s="3" t="s">
        <v>245</v>
      </c>
      <c r="C139" s="3"/>
      <c r="D139" s="3" t="s">
        <v>163</v>
      </c>
      <c r="E139" s="3">
        <v>1920683</v>
      </c>
      <c r="F139" s="3" t="str">
        <f>VLOOKUP(D139,[1]Hoja1!$A:$K,11,0)</f>
        <v>EDUCACIÓN FISICA</v>
      </c>
      <c r="G139" s="7" t="s">
        <v>248</v>
      </c>
      <c r="H139" s="7"/>
      <c r="I139" s="5" t="s">
        <v>249</v>
      </c>
      <c r="J139" s="5"/>
      <c r="K139" s="6"/>
      <c r="L139" s="5" t="str">
        <f>IFERROR(VLOOKUP(CONCATENATE(A139,"S"),[2]Hoja1!$B:$N,5,0)," ")</f>
        <v xml:space="preserve"> </v>
      </c>
      <c r="M139" s="6" t="str">
        <f>IFERROR(VLOOKUP(CONCATENATE(A139,"S"),[2]Hoja1!$B:$N,6,0)," ")</f>
        <v xml:space="preserve"> </v>
      </c>
      <c r="N139" s="4" t="str">
        <f t="shared" si="21"/>
        <v>TITULAR</v>
      </c>
      <c r="O139" s="17" t="str">
        <f t="shared" si="22"/>
        <v xml:space="preserve">GUERRERO DANIEL </v>
      </c>
      <c r="P139" s="4" t="str">
        <f>IF(O139="vacante","vacante",IFERROR(IF(VLOOKUP(IF((M139)=" ",IF(COUNTBLANK(K139),I139,K139),M139),[3]Hoja1!$B:$I,4,0)="licencia","vacante"," ")," "))</f>
        <v xml:space="preserve"> </v>
      </c>
      <c r="Q139" s="4"/>
      <c r="R139">
        <f t="shared" si="24"/>
        <v>4</v>
      </c>
      <c r="S139" t="str">
        <f t="shared" si="23"/>
        <v>2°5°4</v>
      </c>
    </row>
    <row r="140" spans="1:19" ht="18.75" hidden="1" customHeight="1">
      <c r="A140" s="3" t="str">
        <f t="shared" si="20"/>
        <v>2°5°2FI/QUI</v>
      </c>
      <c r="B140" s="3" t="s">
        <v>245</v>
      </c>
      <c r="C140" s="3"/>
      <c r="D140" s="3" t="s">
        <v>164</v>
      </c>
      <c r="E140" s="3">
        <v>1920684</v>
      </c>
      <c r="F140" s="3" t="str">
        <f>VLOOKUP(D140,[1]Hoja1!$A:$K,11,0)</f>
        <v>FISICO-QUIMICA</v>
      </c>
      <c r="G140" s="7" t="s">
        <v>250</v>
      </c>
      <c r="H140" s="7"/>
      <c r="I140" s="5" t="s">
        <v>251</v>
      </c>
      <c r="J140" s="5"/>
      <c r="K140" s="6"/>
      <c r="L140" s="5">
        <f>IFERROR(VLOOKUP(CONCATENATE(A140,"S"),[2]Hoja1!$B:$N,5,0)," ")</f>
        <v>0</v>
      </c>
      <c r="M140" s="6" t="str">
        <f>IFERROR(VLOOKUP(CONCATENATE(A140,"S"),[2]Hoja1!$B:$N,6,0)," ")</f>
        <v>MARTINEZ, CARLA</v>
      </c>
      <c r="N140" s="4" t="str">
        <f t="shared" si="21"/>
        <v>SUPLENTE</v>
      </c>
      <c r="O140" s="17" t="str">
        <f t="shared" si="22"/>
        <v>MARTINEZ, CARLA</v>
      </c>
      <c r="P140" s="4" t="str">
        <f>IF(O140="vacante","vacante",IFERROR(IF(VLOOKUP(IF((M140)=" ",IF(COUNTBLANK(K140),I140,K140),M140),[3]Hoja1!$B:$I,4,0)="licencia","vacante"," ")," "))</f>
        <v xml:space="preserve"> </v>
      </c>
      <c r="Q140" s="4"/>
      <c r="R140">
        <f t="shared" si="24"/>
        <v>5</v>
      </c>
      <c r="S140" t="str">
        <f t="shared" si="23"/>
        <v>2°5°5</v>
      </c>
    </row>
    <row r="141" spans="1:19" ht="18.75" hidden="1" customHeight="1">
      <c r="A141" s="3" t="str">
        <f t="shared" si="20"/>
        <v>2°5°2GEO</v>
      </c>
      <c r="B141" s="3" t="s">
        <v>245</v>
      </c>
      <c r="C141" s="3"/>
      <c r="D141" s="3" t="s">
        <v>165</v>
      </c>
      <c r="E141" s="3">
        <v>1920686</v>
      </c>
      <c r="F141" s="3" t="str">
        <f>VLOOKUP(D141,[1]Hoja1!$A:$K,11,0)</f>
        <v>GEOGRAFIA</v>
      </c>
      <c r="G141" s="7" t="s">
        <v>230</v>
      </c>
      <c r="H141" s="7"/>
      <c r="I141" s="5" t="s">
        <v>578</v>
      </c>
      <c r="J141" s="5"/>
      <c r="K141" s="6"/>
      <c r="L141" s="5" t="str">
        <f>IFERROR(VLOOKUP(CONCATENATE(A141,"S"),[2]Hoja1!$B:$N,5,0)," ")</f>
        <v xml:space="preserve"> </v>
      </c>
      <c r="M141" s="6" t="str">
        <f>IFERROR(VLOOKUP(CONCATENATE(A141,"S"),[2]Hoja1!$B:$N,6,0)," ")</f>
        <v xml:space="preserve"> </v>
      </c>
      <c r="N141" s="4" t="str">
        <f t="shared" si="21"/>
        <v>TITULAR</v>
      </c>
      <c r="O141" s="17" t="str">
        <f t="shared" si="22"/>
        <v>ANTONELLO, FERNANDO</v>
      </c>
      <c r="P141" s="4" t="str">
        <f>IF(O141="vacante","vacante",IFERROR(IF(VLOOKUP(IF((M141)=" ",IF(COUNTBLANK(K141),I141,K141),M141),[3]Hoja1!$B:$I,4,0)="licencia","vacante"," ")," "))</f>
        <v xml:space="preserve"> </v>
      </c>
      <c r="Q141" s="4"/>
      <c r="R141">
        <f t="shared" si="24"/>
        <v>6</v>
      </c>
      <c r="S141" t="str">
        <f t="shared" si="23"/>
        <v>2°5°6</v>
      </c>
    </row>
    <row r="142" spans="1:19" ht="18.75" hidden="1" customHeight="1">
      <c r="A142" s="3" t="str">
        <f t="shared" si="20"/>
        <v>2°5°2HIS</v>
      </c>
      <c r="B142" s="3" t="s">
        <v>245</v>
      </c>
      <c r="C142" s="3"/>
      <c r="D142" s="3" t="s">
        <v>167</v>
      </c>
      <c r="E142" s="3">
        <v>1920688</v>
      </c>
      <c r="F142" s="3" t="str">
        <f>VLOOKUP(D142,[1]Hoja1!$A:$K,11,0)</f>
        <v>HISTORIA</v>
      </c>
      <c r="G142" s="7" t="s">
        <v>615</v>
      </c>
      <c r="H142" s="7"/>
      <c r="I142" s="5" t="s">
        <v>616</v>
      </c>
      <c r="J142" s="5"/>
      <c r="K142" s="6"/>
      <c r="L142" s="5" t="str">
        <f>IFERROR(VLOOKUP(CONCATENATE(A142,"S"),[2]Hoja1!$B:$N,5,0)," ")</f>
        <v xml:space="preserve"> </v>
      </c>
      <c r="M142" s="6" t="str">
        <f>IFERROR(VLOOKUP(CONCATENATE(A142,"S"),[2]Hoja1!$B:$N,6,0)," ")</f>
        <v xml:space="preserve"> </v>
      </c>
      <c r="N142" s="4" t="str">
        <f t="shared" si="21"/>
        <v>TITULAR</v>
      </c>
      <c r="O142" s="17" t="str">
        <f t="shared" si="22"/>
        <v>LOPEZ NARINA</v>
      </c>
      <c r="P142" s="4" t="str">
        <f>IF(O142="vacante","vacante",IFERROR(IF(VLOOKUP(IF((M142)=" ",IF(COUNTBLANK(K142),I142,K142),M142),[3]Hoja1!$B:$I,4,0)="licencia","vacante"," ")," "))</f>
        <v xml:space="preserve"> </v>
      </c>
      <c r="Q142" s="4" t="s">
        <v>614</v>
      </c>
      <c r="R142">
        <f t="shared" si="24"/>
        <v>7</v>
      </c>
      <c r="S142" t="str">
        <f t="shared" si="23"/>
        <v>2°5°7</v>
      </c>
    </row>
    <row r="143" spans="1:19" ht="18.75" hidden="1" customHeight="1">
      <c r="A143" s="3" t="str">
        <f t="shared" si="20"/>
        <v>2°5°2ING</v>
      </c>
      <c r="B143" s="3" t="s">
        <v>245</v>
      </c>
      <c r="C143" s="3"/>
      <c r="D143" s="3" t="s">
        <v>169</v>
      </c>
      <c r="E143" s="3">
        <v>1920689</v>
      </c>
      <c r="F143" s="3" t="str">
        <f>VLOOKUP(D143,[1]Hoja1!$A:$K,11,0)</f>
        <v>INGLÉS</v>
      </c>
      <c r="G143" s="7"/>
      <c r="H143" s="7" t="s">
        <v>94</v>
      </c>
      <c r="I143" s="5" t="s">
        <v>95</v>
      </c>
      <c r="J143" s="5"/>
      <c r="K143" s="6"/>
      <c r="L143" s="5">
        <f>IFERROR(VLOOKUP(CONCATENATE(A143,"S"),[2]Hoja1!$B:$N,5,0)," ")</f>
        <v>0</v>
      </c>
      <c r="M143" s="6" t="str">
        <f>IFERROR(VLOOKUP(CONCATENATE(A143,"S"),[2]Hoja1!$B:$N,6,0)," ")</f>
        <v xml:space="preserve"> MONTOYA SONIA ISABEL</v>
      </c>
      <c r="N143" s="4" t="str">
        <f t="shared" si="21"/>
        <v>SUPLENTE</v>
      </c>
      <c r="O143" s="17" t="str">
        <f t="shared" si="22"/>
        <v xml:space="preserve"> MONTOYA SONIA ISABEL</v>
      </c>
      <c r="P143" s="4" t="str">
        <f>IF(O143="vacante","vacante",IFERROR(IF(VLOOKUP(IF((M143)=" ",IF(COUNTBLANK(K143),I143,K143),M143),[3]Hoja1!$B:$I,4,0)="licencia","vacante"," ")," "))</f>
        <v xml:space="preserve"> </v>
      </c>
      <c r="Q143" s="4"/>
      <c r="R143">
        <f t="shared" si="24"/>
        <v>8</v>
      </c>
      <c r="S143" t="str">
        <f t="shared" si="23"/>
        <v>2°5°8</v>
      </c>
    </row>
    <row r="144" spans="1:19" ht="18.75" hidden="1" customHeight="1">
      <c r="A144" s="3" t="str">
        <f t="shared" si="20"/>
        <v>2°5°2MAT</v>
      </c>
      <c r="B144" s="3" t="s">
        <v>245</v>
      </c>
      <c r="C144" s="3"/>
      <c r="D144" s="3" t="s">
        <v>172</v>
      </c>
      <c r="E144" s="3">
        <v>1920690</v>
      </c>
      <c r="F144" s="3" t="str">
        <f>VLOOKUP(D144,[1]Hoja1!$A:$K,11,0)</f>
        <v>MATEMATICA</v>
      </c>
      <c r="G144" s="7"/>
      <c r="H144" s="7"/>
      <c r="I144" s="5"/>
      <c r="J144" s="5">
        <v>27164343125</v>
      </c>
      <c r="K144" s="6" t="s">
        <v>753</v>
      </c>
      <c r="L144" s="5" t="str">
        <f>IFERROR(VLOOKUP(CONCATENATE(A144,"S"),[2]Hoja1!$B:$N,5,0)," ")</f>
        <v xml:space="preserve"> </v>
      </c>
      <c r="M144" s="6" t="str">
        <f>IFERROR(VLOOKUP(CONCATENATE(A144,"S"),[2]Hoja1!$B:$N,6,0)," ")</f>
        <v xml:space="preserve"> </v>
      </c>
      <c r="N144" s="4" t="str">
        <f t="shared" si="21"/>
        <v>PROVISIONAL</v>
      </c>
      <c r="O144" s="17" t="str">
        <f t="shared" si="22"/>
        <v xml:space="preserve">CENTURION SILVIA BEATRIZ   </v>
      </c>
      <c r="P144" s="4" t="str">
        <f>IF(O144="vacante","vacante",IFERROR(IF(VLOOKUP(IF((M144)=" ",IF(COUNTBLANK(K144),I144,K144),M144),[3]Hoja1!$B:$I,4,0)="licencia","vacante"," ")," "))</f>
        <v xml:space="preserve"> </v>
      </c>
      <c r="Q144" s="4"/>
      <c r="R144">
        <f t="shared" si="24"/>
        <v>9</v>
      </c>
      <c r="S144" t="str">
        <f t="shared" si="23"/>
        <v>2°5°9</v>
      </c>
    </row>
    <row r="145" spans="1:19" ht="18.75" hidden="1" customHeight="1">
      <c r="A145" s="3" t="str">
        <f t="shared" si="20"/>
        <v>2°5°2PLG</v>
      </c>
      <c r="B145" s="3" t="s">
        <v>245</v>
      </c>
      <c r="C145" s="3"/>
      <c r="D145" s="3" t="s">
        <v>173</v>
      </c>
      <c r="E145" s="3">
        <v>1920692</v>
      </c>
      <c r="F145" s="3" t="str">
        <f>VLOOKUP(D145,[1]Hoja1!$A:$K,11,0)</f>
        <v>PRACTICA DEL LENGUAJE</v>
      </c>
      <c r="G145" s="7" t="s">
        <v>252</v>
      </c>
      <c r="H145" s="7"/>
      <c r="I145" s="5" t="s">
        <v>253</v>
      </c>
      <c r="J145" s="5"/>
      <c r="K145" s="6"/>
      <c r="L145" s="5" t="str">
        <f>IFERROR(VLOOKUP(CONCATENATE(A145,"S"),[2]Hoja1!$B:$N,5,0)," ")</f>
        <v xml:space="preserve"> </v>
      </c>
      <c r="M145" s="6" t="str">
        <f>IFERROR(VLOOKUP(CONCATENATE(A145,"S"),[2]Hoja1!$B:$N,6,0)," ")</f>
        <v xml:space="preserve"> </v>
      </c>
      <c r="N145" s="4" t="str">
        <f t="shared" si="21"/>
        <v>TITULAR</v>
      </c>
      <c r="O145" s="17" t="str">
        <f t="shared" si="22"/>
        <v xml:space="preserve">MEDINA, CLAUDIA B  </v>
      </c>
      <c r="P145" s="4" t="str">
        <f>IF(O145="vacante","vacante",IFERROR(IF(VLOOKUP(IF((M145)=" ",IF(COUNTBLANK(K145),I145,K145),M145),[3]Hoja1!$B:$I,4,0)="licencia","vacante"," ")," "))</f>
        <v xml:space="preserve"> </v>
      </c>
      <c r="Q145" s="4"/>
      <c r="R145">
        <f t="shared" si="24"/>
        <v>10</v>
      </c>
      <c r="S145" t="str">
        <f t="shared" si="23"/>
        <v>2°5°10</v>
      </c>
    </row>
    <row r="146" spans="1:19" ht="18.75" hidden="1" customHeight="1">
      <c r="A146" s="3" t="str">
        <f t="shared" si="20"/>
        <v>2°5°2512TLT2</v>
      </c>
      <c r="B146" s="3" t="s">
        <v>245</v>
      </c>
      <c r="C146" s="3">
        <v>251</v>
      </c>
      <c r="D146" s="3" t="s">
        <v>175</v>
      </c>
      <c r="E146" s="3">
        <v>1920693</v>
      </c>
      <c r="F146" s="3" t="str">
        <f>VLOOKUP(D146,[1]Hoja1!$A:$K,11,0)</f>
        <v>LENGUAJES TECNOLOGICOS</v>
      </c>
      <c r="G146" s="7">
        <v>23288016569</v>
      </c>
      <c r="H146" s="7"/>
      <c r="I146" s="5" t="s">
        <v>744</v>
      </c>
      <c r="J146" s="5"/>
      <c r="K146" s="6"/>
      <c r="L146" s="5" t="str">
        <f>IFERROR(VLOOKUP(CONCATENATE(A146,"S"),[2]Hoja1!$B:$N,5,0)," ")</f>
        <v xml:space="preserve"> </v>
      </c>
      <c r="M146" s="6" t="str">
        <f>IFERROR(VLOOKUP(CONCATENATE(A146,"S"),[2]Hoja1!$B:$N,6,0)," ")</f>
        <v xml:space="preserve"> </v>
      </c>
      <c r="N146" s="4" t="str">
        <f t="shared" si="21"/>
        <v>TITULAR</v>
      </c>
      <c r="O146" s="17" t="str">
        <f t="shared" si="22"/>
        <v>BELIZAN JUAN</v>
      </c>
      <c r="P146" s="4" t="str">
        <f>IF(O146="vacante","vacante",IFERROR(IF(VLOOKUP(IF((M146)=" ",IF(COUNTBLANK(K146),I146,K146),M146),[3]Hoja1!$B:$I,4,0)="licencia","vacante"," ")," "))</f>
        <v xml:space="preserve"> </v>
      </c>
      <c r="Q146" s="4"/>
      <c r="R146">
        <f t="shared" si="24"/>
        <v>11</v>
      </c>
      <c r="S146" t="str">
        <f t="shared" si="23"/>
        <v>2°5°11</v>
      </c>
    </row>
    <row r="147" spans="1:19" ht="18.75" hidden="1" customHeight="1">
      <c r="A147" s="3" t="str">
        <f t="shared" si="20"/>
        <v>2°5°2512TST2</v>
      </c>
      <c r="B147" s="3" t="s">
        <v>245</v>
      </c>
      <c r="C147" s="3">
        <v>251</v>
      </c>
      <c r="D147" s="3" t="s">
        <v>177</v>
      </c>
      <c r="E147" s="3">
        <v>1920702</v>
      </c>
      <c r="F147" s="3" t="str">
        <f>VLOOKUP(D147,[1]Hoja1!$A:$K,11,0)</f>
        <v>SISTEMAS TECNOLOGICOS</v>
      </c>
      <c r="G147" s="7"/>
      <c r="H147" s="7"/>
      <c r="I147" s="5"/>
      <c r="J147" s="5"/>
      <c r="K147" s="6" t="s">
        <v>569</v>
      </c>
      <c r="L147" s="5">
        <f>IFERROR(VLOOKUP(CONCATENATE(A147,"S"),[2]Hoja1!$B:$N,5,0)," ")</f>
        <v>23458981299</v>
      </c>
      <c r="M147" s="6" t="str">
        <f>IFERROR(VLOOKUP(CONCATENATE(A147,"S"),[2]Hoja1!$B:$N,6,0)," ")</f>
        <v xml:space="preserve"> PAZ ALEX GABRIEL</v>
      </c>
      <c r="N147" s="4" t="str">
        <f t="shared" si="21"/>
        <v>SUPLENTE</v>
      </c>
      <c r="O147" s="17" t="str">
        <f t="shared" si="22"/>
        <v xml:space="preserve"> PAZ ALEX GABRIEL</v>
      </c>
      <c r="P147" s="4" t="str">
        <f>IF(O147="vacante","vacante",IFERROR(IF(VLOOKUP(IF((M147)=" ",IF(COUNTBLANK(K147),I147,K147),M147),[3]Hoja1!$B:$I,4,0)="licencia","vacante"," ")," "))</f>
        <v xml:space="preserve"> </v>
      </c>
      <c r="Q147" s="4" t="s">
        <v>561</v>
      </c>
      <c r="R147">
        <f t="shared" si="24"/>
        <v>12</v>
      </c>
      <c r="S147" t="str">
        <f t="shared" si="23"/>
        <v>2°5°12</v>
      </c>
    </row>
    <row r="148" spans="1:19" ht="18.75" hidden="1" customHeight="1">
      <c r="A148" s="3" t="str">
        <f t="shared" si="20"/>
        <v>2°5°2512TPT2</v>
      </c>
      <c r="B148" s="3" t="s">
        <v>245</v>
      </c>
      <c r="C148" s="3">
        <v>251</v>
      </c>
      <c r="D148" s="3" t="s">
        <v>179</v>
      </c>
      <c r="E148" s="3">
        <v>1920696</v>
      </c>
      <c r="F148" s="3" t="str">
        <f>VLOOKUP(D148,[1]Hoja1!$A:$K,11,0)</f>
        <v>PROCEDIMIENTOS TECNICOS</v>
      </c>
      <c r="G148" s="7"/>
      <c r="H148" s="7"/>
      <c r="I148" s="5"/>
      <c r="J148" s="5"/>
      <c r="K148" s="6" t="s">
        <v>749</v>
      </c>
      <c r="L148" s="5" t="str">
        <f>IFERROR(VLOOKUP(CONCATENATE(A148,"S"),[2]Hoja1!$B:$N,5,0)," ")</f>
        <v xml:space="preserve"> </v>
      </c>
      <c r="M148" s="6" t="str">
        <f>IFERROR(VLOOKUP(CONCATENATE(A148,"S"),[2]Hoja1!$B:$N,6,0)," ")</f>
        <v xml:space="preserve"> </v>
      </c>
      <c r="N148" s="4" t="str">
        <f t="shared" si="21"/>
        <v>PROVISIONAL</v>
      </c>
      <c r="O148" s="17" t="str">
        <f t="shared" si="22"/>
        <v>MONTENEGRO JUILIO</v>
      </c>
      <c r="P148" s="4" t="str">
        <f>IF(O148="vacante","vacante",IFERROR(IF(VLOOKUP(IF((M148)=" ",IF(COUNTBLANK(K148),I148,K148),M148),[3]Hoja1!$B:$I,4,0)="licencia","vacante"," ")," "))</f>
        <v xml:space="preserve"> </v>
      </c>
      <c r="Q148" s="4"/>
      <c r="R148">
        <f t="shared" si="24"/>
        <v>13</v>
      </c>
      <c r="S148" t="str">
        <f t="shared" si="23"/>
        <v>2°5°13</v>
      </c>
    </row>
    <row r="149" spans="1:19" ht="18.75" hidden="1" customHeight="1">
      <c r="A149" s="3" t="str">
        <f t="shared" si="20"/>
        <v>2°5°2522TLT2</v>
      </c>
      <c r="B149" s="3" t="s">
        <v>245</v>
      </c>
      <c r="C149" s="3">
        <v>252</v>
      </c>
      <c r="D149" s="3" t="s">
        <v>175</v>
      </c>
      <c r="E149" s="3">
        <v>1920695</v>
      </c>
      <c r="F149" s="3" t="str">
        <f>VLOOKUP(D149,[1]Hoja1!$A:$K,11,0)</f>
        <v>LENGUAJES TECNOLOGICOS</v>
      </c>
      <c r="G149" s="7">
        <v>23288016569</v>
      </c>
      <c r="H149" s="7"/>
      <c r="I149" s="5" t="s">
        <v>744</v>
      </c>
      <c r="J149" s="5"/>
      <c r="K149" s="6"/>
      <c r="L149" s="5" t="str">
        <f>IFERROR(VLOOKUP(CONCATENATE(A149,"S"),[2]Hoja1!$B:$N,5,0)," ")</f>
        <v xml:space="preserve"> </v>
      </c>
      <c r="M149" s="6" t="str">
        <f>IFERROR(VLOOKUP(CONCATENATE(A149,"S"),[2]Hoja1!$B:$N,6,0)," ")</f>
        <v xml:space="preserve"> </v>
      </c>
      <c r="N149" s="4" t="str">
        <f t="shared" si="21"/>
        <v>TITULAR</v>
      </c>
      <c r="O149" s="17" t="str">
        <f t="shared" si="22"/>
        <v>BELIZAN JUAN</v>
      </c>
      <c r="P149" s="4" t="str">
        <f>IF(O149="vacante","vacante",IFERROR(IF(VLOOKUP(IF((M149)=" ",IF(COUNTBLANK(K149),I149,K149),M149),[3]Hoja1!$B:$I,4,0)="licencia","vacante"," ")," "))</f>
        <v xml:space="preserve"> </v>
      </c>
      <c r="Q149" s="4"/>
      <c r="R149">
        <f t="shared" si="24"/>
        <v>14</v>
      </c>
      <c r="S149" t="str">
        <f t="shared" si="23"/>
        <v>2°5°14</v>
      </c>
    </row>
    <row r="150" spans="1:19" ht="18.75" hidden="1" customHeight="1">
      <c r="A150" s="3" t="str">
        <f t="shared" si="20"/>
        <v>2°5°2522TST2</v>
      </c>
      <c r="B150" s="3" t="s">
        <v>245</v>
      </c>
      <c r="C150" s="3">
        <v>252</v>
      </c>
      <c r="D150" s="3" t="s">
        <v>177</v>
      </c>
      <c r="E150" s="3">
        <v>1920704</v>
      </c>
      <c r="F150" s="3" t="str">
        <f>VLOOKUP(D150,[1]Hoja1!$A:$K,11,0)</f>
        <v>SISTEMAS TECNOLOGICOS</v>
      </c>
      <c r="G150" s="7"/>
      <c r="H150" s="7"/>
      <c r="I150" s="5"/>
      <c r="J150" s="5"/>
      <c r="K150" s="6" t="s">
        <v>606</v>
      </c>
      <c r="L150" s="5" t="str">
        <f>IFERROR(VLOOKUP(CONCATENATE(A150,"S"),[2]Hoja1!$B:$N,5,0)," ")</f>
        <v xml:space="preserve"> </v>
      </c>
      <c r="M150" s="6" t="str">
        <f>IFERROR(VLOOKUP(CONCATENATE(A150,"S"),[2]Hoja1!$B:$N,6,0)," ")</f>
        <v xml:space="preserve"> </v>
      </c>
      <c r="N150" s="4" t="str">
        <f t="shared" si="21"/>
        <v>PROVISIONAL</v>
      </c>
      <c r="O150" s="17" t="str">
        <f t="shared" si="22"/>
        <v>LOIS  EDUARDO</v>
      </c>
      <c r="P150" s="4" t="str">
        <f>IF(O150="vacante","vacante",IFERROR(IF(VLOOKUP(IF((M150)=" ",IF(COUNTBLANK(K150),I150,K150),M150),[3]Hoja1!$B:$I,4,0)="licencia","vacante"," ")," "))</f>
        <v xml:space="preserve"> </v>
      </c>
      <c r="Q150" s="4" t="s">
        <v>562</v>
      </c>
      <c r="R150">
        <f t="shared" si="24"/>
        <v>15</v>
      </c>
      <c r="S150" t="str">
        <f t="shared" si="23"/>
        <v>2°5°15</v>
      </c>
    </row>
    <row r="151" spans="1:19" ht="18.75" hidden="1" customHeight="1">
      <c r="A151" s="3" t="str">
        <f t="shared" si="20"/>
        <v>2°5°2522TPT2</v>
      </c>
      <c r="B151" s="3" t="s">
        <v>245</v>
      </c>
      <c r="C151" s="3">
        <v>252</v>
      </c>
      <c r="D151" s="3" t="s">
        <v>179</v>
      </c>
      <c r="E151" s="3">
        <v>1920700</v>
      </c>
      <c r="F151" s="3" t="str">
        <f>VLOOKUP(D151,[1]Hoja1!$A:$K,11,0)</f>
        <v>PROCEDIMIENTOS TECNICOS</v>
      </c>
      <c r="G151" s="7" t="s">
        <v>200</v>
      </c>
      <c r="H151" s="7" t="s">
        <v>80</v>
      </c>
      <c r="I151" s="5"/>
      <c r="J151" s="5"/>
      <c r="K151" s="6" t="s">
        <v>607</v>
      </c>
      <c r="L151" s="5" t="str">
        <f>IFERROR(VLOOKUP(CONCATENATE(A151,"S"),[2]Hoja1!$B:$N,5,0)," ")</f>
        <v xml:space="preserve"> </v>
      </c>
      <c r="M151" s="6" t="str">
        <f>IFERROR(VLOOKUP(CONCATENATE(A151,"S"),[2]Hoja1!$B:$N,6,0)," ")</f>
        <v xml:space="preserve"> </v>
      </c>
      <c r="N151" s="4" t="str">
        <f t="shared" si="21"/>
        <v>PROVISIONAL</v>
      </c>
      <c r="O151" s="17" t="str">
        <f t="shared" si="22"/>
        <v>CRUZ DAVID</v>
      </c>
      <c r="P151" s="4" t="str">
        <f>IF(O151="vacante","vacante",IFERROR(IF(VLOOKUP(IF((M151)=" ",IF(COUNTBLANK(K151),I151,K151),M151),[3]Hoja1!$B:$I,4,0)="licencia","vacante"," ")," "))</f>
        <v xml:space="preserve"> </v>
      </c>
      <c r="Q151" s="4" t="s">
        <v>254</v>
      </c>
      <c r="R151">
        <f t="shared" si="24"/>
        <v>16</v>
      </c>
      <c r="S151" t="str">
        <f t="shared" si="23"/>
        <v>2°5°16</v>
      </c>
    </row>
    <row r="152" spans="1:19" ht="18.75" customHeight="1">
      <c r="A152" s="3" t="str">
        <f t="shared" si="20"/>
        <v>3°1°3BIO</v>
      </c>
      <c r="B152" s="3" t="s">
        <v>255</v>
      </c>
      <c r="C152" s="3"/>
      <c r="D152" s="3" t="s">
        <v>256</v>
      </c>
      <c r="E152" s="3">
        <v>1644174</v>
      </c>
      <c r="F152" s="3" t="str">
        <f>VLOOKUP(D152,[1]Hoja1!$A:$K,11,0)</f>
        <v>BIOLOGIA</v>
      </c>
      <c r="G152" s="29">
        <v>23480647</v>
      </c>
      <c r="H152" s="7"/>
      <c r="I152" s="5" t="s">
        <v>759</v>
      </c>
      <c r="J152" s="5"/>
      <c r="K152" s="6"/>
      <c r="L152" s="5" t="str">
        <f>IFERROR(VLOOKUP(CONCATENATE(A152,"S"),[2]Hoja1!$B:$N,5,0)," ")</f>
        <v xml:space="preserve"> </v>
      </c>
      <c r="M152" s="6" t="str">
        <f>IFERROR(VLOOKUP(CONCATENATE(A152,"S"),[2]Hoja1!$B:$N,6,0)," ")</f>
        <v xml:space="preserve"> </v>
      </c>
      <c r="N152" s="4" t="str">
        <f t="shared" si="21"/>
        <v>TITULAR</v>
      </c>
      <c r="O152" s="17" t="str">
        <f t="shared" si="22"/>
        <v xml:space="preserve">FARIAS CLAUDIA ANTONIA </v>
      </c>
      <c r="P152" s="4" t="str">
        <f>IF(O152="vacante","vacante",IFERROR(IF(VLOOKUP(IF((M152)=" ",IF(COUNTBLANK(K152),I152,K152),M152),[3]Hoja1!$B:$I,4,0)="licencia","vacante"," ")," "))</f>
        <v xml:space="preserve"> </v>
      </c>
      <c r="Q152" s="4"/>
      <c r="R152">
        <f t="shared" si="24"/>
        <v>1</v>
      </c>
      <c r="S152" t="str">
        <f t="shared" si="23"/>
        <v>3°1°1</v>
      </c>
    </row>
    <row r="153" spans="1:19" ht="18.75" customHeight="1">
      <c r="A153" s="3" t="str">
        <f t="shared" si="20"/>
        <v>3°1°3CCD</v>
      </c>
      <c r="B153" s="3" t="s">
        <v>255</v>
      </c>
      <c r="C153" s="3"/>
      <c r="D153" s="3" t="s">
        <v>257</v>
      </c>
      <c r="E153" s="3">
        <v>789589</v>
      </c>
      <c r="F153" s="3" t="str">
        <f>VLOOKUP(D153,[1]Hoja1!$A:$K,11,0)</f>
        <v>CONSTRUCCION DE LA CIUDADANIA</v>
      </c>
      <c r="G153" s="7" t="s">
        <v>258</v>
      </c>
      <c r="H153" s="7"/>
      <c r="I153" s="5" t="s">
        <v>259</v>
      </c>
      <c r="J153" s="5"/>
      <c r="K153" s="6"/>
      <c r="L153" s="5" t="str">
        <f>IFERROR(VLOOKUP(CONCATENATE(A153,"S"),[2]Hoja1!$B:$N,5,0)," ")</f>
        <v xml:space="preserve"> </v>
      </c>
      <c r="M153" s="6" t="str">
        <f>IFERROR(VLOOKUP(CONCATENATE(A153,"S"),[2]Hoja1!$B:$N,6,0)," ")</f>
        <v xml:space="preserve"> </v>
      </c>
      <c r="N153" s="4" t="str">
        <f t="shared" si="21"/>
        <v>TITULAR</v>
      </c>
      <c r="O153" s="17" t="str">
        <f t="shared" si="22"/>
        <v xml:space="preserve">TORRES GABRIEL </v>
      </c>
      <c r="P153" s="4" t="str">
        <f>IF(O153="vacante","vacante",IFERROR(IF(VLOOKUP(IF((M153)=" ",IF(COUNTBLANK(K153),I153,K153),M153),[3]Hoja1!$B:$I,4,0)="licencia","vacante"," ")," "))</f>
        <v xml:space="preserve"> </v>
      </c>
      <c r="Q153" s="4"/>
      <c r="R153">
        <f t="shared" si="24"/>
        <v>2</v>
      </c>
      <c r="S153" t="str">
        <f t="shared" si="23"/>
        <v>3°1°2</v>
      </c>
    </row>
    <row r="154" spans="1:19" ht="18.75" customHeight="1">
      <c r="A154" s="3" t="str">
        <f t="shared" si="20"/>
        <v>3°1°3ART</v>
      </c>
      <c r="B154" s="3" t="s">
        <v>255</v>
      </c>
      <c r="C154" s="3"/>
      <c r="D154" s="3" t="s">
        <v>260</v>
      </c>
      <c r="E154" s="3">
        <v>733584</v>
      </c>
      <c r="F154" s="3" t="str">
        <f>VLOOKUP(D154,[1]Hoja1!$A:$K,11,0)</f>
        <v>EDUCACION ARTISTICA (PLASTICA)</v>
      </c>
      <c r="G154" s="7" t="s">
        <v>261</v>
      </c>
      <c r="H154" s="7"/>
      <c r="I154" s="5"/>
      <c r="J154" s="5"/>
      <c r="K154" s="6" t="s">
        <v>746</v>
      </c>
      <c r="L154" s="5" t="str">
        <f>IFERROR(VLOOKUP(CONCATENATE(A154,"S"),[2]Hoja1!$B:$N,5,0)," ")</f>
        <v xml:space="preserve"> </v>
      </c>
      <c r="M154" s="6" t="str">
        <f>IFERROR(VLOOKUP(CONCATENATE(A154,"S"),[2]Hoja1!$B:$N,6,0)," ")</f>
        <v xml:space="preserve"> </v>
      </c>
      <c r="N154" s="4" t="str">
        <f t="shared" si="21"/>
        <v>PROVISIONAL</v>
      </c>
      <c r="O154" s="17" t="str">
        <f t="shared" si="22"/>
        <v xml:space="preserve">TAPIA EVANGELINA EMILCE  </v>
      </c>
      <c r="P154" s="4" t="str">
        <f>IF(O154="vacante","vacante",IFERROR(IF(VLOOKUP(IF((M154)=" ",IF(COUNTBLANK(K154),I154,K154),M154),[3]Hoja1!$B:$I,4,0)="licencia","vacante"," ")," "))</f>
        <v xml:space="preserve"> </v>
      </c>
      <c r="Q154" s="4"/>
      <c r="R154">
        <f t="shared" si="24"/>
        <v>3</v>
      </c>
      <c r="S154" t="str">
        <f t="shared" si="23"/>
        <v>3°1°3</v>
      </c>
    </row>
    <row r="155" spans="1:19" ht="18.75" customHeight="1">
      <c r="A155" s="3" t="str">
        <f t="shared" si="20"/>
        <v>3°1°3EFI</v>
      </c>
      <c r="B155" s="3" t="s">
        <v>255</v>
      </c>
      <c r="C155" s="3"/>
      <c r="D155" s="3" t="s">
        <v>262</v>
      </c>
      <c r="E155" s="3">
        <v>733533</v>
      </c>
      <c r="F155" s="3" t="str">
        <f>VLOOKUP(D155,[1]Hoja1!$A:$K,11,0)</f>
        <v>EDUCACIÓN FISICA</v>
      </c>
      <c r="G155" s="7" t="s">
        <v>263</v>
      </c>
      <c r="H155" s="7"/>
      <c r="I155" s="5" t="s">
        <v>264</v>
      </c>
      <c r="J155" s="5"/>
      <c r="K155" s="6"/>
      <c r="L155" s="5" t="str">
        <f>IFERROR(VLOOKUP(CONCATENATE(A155,"S"),[2]Hoja1!$B:$N,5,0)," ")</f>
        <v xml:space="preserve"> </v>
      </c>
      <c r="M155" s="6" t="str">
        <f>IFERROR(VLOOKUP(CONCATENATE(A155,"S"),[2]Hoja1!$B:$N,6,0)," ")</f>
        <v xml:space="preserve"> </v>
      </c>
      <c r="N155" s="4" t="str">
        <f t="shared" si="21"/>
        <v>TITULAR</v>
      </c>
      <c r="O155" s="17" t="str">
        <f t="shared" si="22"/>
        <v xml:space="preserve">SANCHEZ CARLOS </v>
      </c>
      <c r="P155" s="4" t="str">
        <f>IF(O155="vacante","vacante",IFERROR(IF(VLOOKUP(IF((M155)=" ",IF(COUNTBLANK(K155),I155,K155),M155),[3]Hoja1!$B:$I,4,0)="licencia","vacante"," ")," "))</f>
        <v xml:space="preserve"> </v>
      </c>
      <c r="Q155" s="4"/>
      <c r="R155">
        <f t="shared" si="24"/>
        <v>4</v>
      </c>
      <c r="S155" t="str">
        <f t="shared" si="23"/>
        <v>3°1°4</v>
      </c>
    </row>
    <row r="156" spans="1:19" ht="18.75" customHeight="1">
      <c r="A156" s="3" t="str">
        <f t="shared" si="20"/>
        <v>3°1°3FI/QUI</v>
      </c>
      <c r="B156" s="3" t="s">
        <v>255</v>
      </c>
      <c r="C156" s="3"/>
      <c r="D156" s="3" t="s">
        <v>265</v>
      </c>
      <c r="E156" s="3">
        <v>1644172</v>
      </c>
      <c r="F156" s="3" t="str">
        <f>VLOOKUP(D156,[1]Hoja1!$A:$K,11,0)</f>
        <v>FISICO-QUIMICA</v>
      </c>
      <c r="G156" s="7" t="s">
        <v>266</v>
      </c>
      <c r="H156" s="7"/>
      <c r="I156" s="5" t="s">
        <v>50</v>
      </c>
      <c r="J156" s="5"/>
      <c r="K156" s="6"/>
      <c r="L156" s="5" t="str">
        <f>IFERROR(VLOOKUP(CONCATENATE(A156,"S"),[2]Hoja1!$B:$N,5,0)," ")</f>
        <v xml:space="preserve"> </v>
      </c>
      <c r="M156" s="6" t="str">
        <f>IFERROR(VLOOKUP(CONCATENATE(A156,"S"),[2]Hoja1!$B:$N,6,0)," ")</f>
        <v xml:space="preserve"> </v>
      </c>
      <c r="N156" s="4" t="str">
        <f t="shared" si="21"/>
        <v>TITULAR</v>
      </c>
      <c r="O156" s="17" t="str">
        <f t="shared" si="22"/>
        <v xml:space="preserve">ESPINDOLA SERGIO                          </v>
      </c>
      <c r="P156" s="4" t="str">
        <f>IF(O156="vacante","vacante",IFERROR(IF(VLOOKUP(IF((M156)=" ",IF(COUNTBLANK(K156),I156,K156),M156),[3]Hoja1!$B:$I,4,0)="licencia","vacante"," ")," "))</f>
        <v xml:space="preserve"> </v>
      </c>
      <c r="Q156" s="4"/>
      <c r="R156">
        <f t="shared" si="24"/>
        <v>5</v>
      </c>
      <c r="S156" t="str">
        <f t="shared" si="23"/>
        <v>3°1°5</v>
      </c>
    </row>
    <row r="157" spans="1:19" ht="18.75" customHeight="1">
      <c r="A157" s="3" t="str">
        <f t="shared" si="20"/>
        <v>3°1°3GEO</v>
      </c>
      <c r="B157" s="3" t="s">
        <v>255</v>
      </c>
      <c r="C157" s="3"/>
      <c r="D157" s="3" t="s">
        <v>267</v>
      </c>
      <c r="E157" s="3">
        <v>1644167</v>
      </c>
      <c r="F157" s="3" t="str">
        <f>VLOOKUP(D157,[1]Hoja1!$A:$K,11,0)</f>
        <v>GEOGRAFIA</v>
      </c>
      <c r="G157" s="7" t="s">
        <v>268</v>
      </c>
      <c r="H157" s="7"/>
      <c r="I157" s="5"/>
      <c r="J157" s="5">
        <v>27353496129</v>
      </c>
      <c r="K157" s="6" t="s">
        <v>812</v>
      </c>
      <c r="L157" s="5" t="str">
        <f>IFERROR(VLOOKUP(CONCATENATE(A157,"S"),[2]Hoja1!$B:$N,5,0)," ")</f>
        <v xml:space="preserve"> </v>
      </c>
      <c r="M157" s="6" t="str">
        <f>IFERROR(VLOOKUP(CONCATENATE(A157,"S"),[2]Hoja1!$B:$N,6,0)," ")</f>
        <v xml:space="preserve"> </v>
      </c>
      <c r="N157" s="4" t="str">
        <f t="shared" si="21"/>
        <v>PROVISIONAL</v>
      </c>
      <c r="O157" s="17" t="str">
        <f t="shared" si="22"/>
        <v>BLANCO NOGUEIRAS MICAELA E</v>
      </c>
      <c r="P157" s="4" t="str">
        <f>IF(O157="vacante","vacante",IFERROR(IF(VLOOKUP(IF((M157)=" ",IF(COUNTBLANK(K157),I157,K157),M157),[3]Hoja1!$B:$I,4,0)="licencia","vacante"," ")," "))</f>
        <v xml:space="preserve"> </v>
      </c>
      <c r="Q157" s="4"/>
      <c r="R157">
        <f t="shared" si="24"/>
        <v>6</v>
      </c>
      <c r="S157" t="str">
        <f t="shared" si="23"/>
        <v>3°1°6</v>
      </c>
    </row>
    <row r="158" spans="1:19" ht="18.75" customHeight="1">
      <c r="A158" s="3" t="str">
        <f t="shared" si="20"/>
        <v>3°1°3HIS</v>
      </c>
      <c r="B158" s="3" t="s">
        <v>255</v>
      </c>
      <c r="C158" s="3"/>
      <c r="D158" s="3" t="s">
        <v>269</v>
      </c>
      <c r="E158" s="3">
        <v>1644170</v>
      </c>
      <c r="F158" s="3" t="str">
        <f>VLOOKUP(D158,[1]Hoja1!$A:$K,11,0)</f>
        <v>HISTORIA</v>
      </c>
      <c r="G158" s="7" t="s">
        <v>270</v>
      </c>
      <c r="H158" s="7" t="s">
        <v>677</v>
      </c>
      <c r="I158" s="5" t="s">
        <v>577</v>
      </c>
      <c r="J158" s="5"/>
      <c r="K158" s="6"/>
      <c r="L158" s="5" t="str">
        <f>IFERROR(VLOOKUP(CONCATENATE(A158,"S"),[2]Hoja1!$B:$N,5,0)," ")</f>
        <v xml:space="preserve"> </v>
      </c>
      <c r="M158" s="6" t="str">
        <f>IFERROR(VLOOKUP(CONCATENATE(A158,"S"),[2]Hoja1!$B:$N,6,0)," ")</f>
        <v xml:space="preserve"> </v>
      </c>
      <c r="N158" s="4" t="str">
        <f t="shared" si="21"/>
        <v>TITULAR</v>
      </c>
      <c r="O158" s="17" t="str">
        <f t="shared" si="22"/>
        <v>JUAREZ NORMA</v>
      </c>
      <c r="P158" s="4" t="str">
        <f>IF(O158="vacante","vacante",IFERROR(IF(VLOOKUP(IF((M158)=" ",IF(COUNTBLANK(K158),I158,K158),M158),[3]Hoja1!$B:$I,4,0)="licencia","vacante"," ")," "))</f>
        <v xml:space="preserve"> </v>
      </c>
      <c r="Q158" s="4"/>
      <c r="R158">
        <f t="shared" si="24"/>
        <v>7</v>
      </c>
      <c r="S158" t="str">
        <f t="shared" si="23"/>
        <v>3°1°7</v>
      </c>
    </row>
    <row r="159" spans="1:19" ht="18.75" customHeight="1">
      <c r="A159" s="3" t="str">
        <f t="shared" si="20"/>
        <v>3°1°3ING</v>
      </c>
      <c r="B159" s="3" t="s">
        <v>255</v>
      </c>
      <c r="C159" s="3"/>
      <c r="D159" s="3" t="s">
        <v>271</v>
      </c>
      <c r="E159" s="3">
        <v>733560</v>
      </c>
      <c r="F159" s="3" t="str">
        <f>VLOOKUP(D159,[1]Hoja1!$A:$K,11,0)</f>
        <v>INGLÉS</v>
      </c>
      <c r="G159" s="7" t="s">
        <v>170</v>
      </c>
      <c r="H159" s="7"/>
      <c r="I159" s="5" t="s">
        <v>272</v>
      </c>
      <c r="J159" s="5"/>
      <c r="K159" s="6"/>
      <c r="L159" s="5" t="str">
        <f>IFERROR(VLOOKUP(CONCATENATE(A159,"S"),[2]Hoja1!$B:$N,5,0)," ")</f>
        <v xml:space="preserve"> </v>
      </c>
      <c r="M159" s="6" t="str">
        <f>IFERROR(VLOOKUP(CONCATENATE(A159,"S"),[2]Hoja1!$B:$N,6,0)," ")</f>
        <v xml:space="preserve"> </v>
      </c>
      <c r="N159" s="4" t="str">
        <f t="shared" si="21"/>
        <v>TITULAR</v>
      </c>
      <c r="O159" s="17" t="str">
        <f t="shared" si="22"/>
        <v xml:space="preserve">BONELLI PAMELA   </v>
      </c>
      <c r="P159" s="4" t="str">
        <f>IF(O159="vacante","vacante",IFERROR(IF(VLOOKUP(IF((M159)=" ",IF(COUNTBLANK(K159),I159,K159),M159),[3]Hoja1!$B:$I,4,0)="licencia","vacante"," ")," "))</f>
        <v xml:space="preserve"> </v>
      </c>
      <c r="Q159" s="4"/>
      <c r="R159">
        <f t="shared" si="24"/>
        <v>8</v>
      </c>
      <c r="S159" t="str">
        <f t="shared" si="23"/>
        <v>3°1°8</v>
      </c>
    </row>
    <row r="160" spans="1:19" ht="18.75" customHeight="1">
      <c r="A160" s="3" t="str">
        <f t="shared" si="20"/>
        <v>3°1°3MAT</v>
      </c>
      <c r="B160" s="3" t="s">
        <v>255</v>
      </c>
      <c r="C160" s="3"/>
      <c r="D160" s="3" t="s">
        <v>273</v>
      </c>
      <c r="E160" s="3">
        <v>1104261</v>
      </c>
      <c r="F160" s="3" t="str">
        <f>VLOOKUP(D160,[1]Hoja1!$A:$K,11,0)</f>
        <v>MATEMATICA</v>
      </c>
      <c r="G160" s="7" t="s">
        <v>274</v>
      </c>
      <c r="H160" s="7" t="s">
        <v>275</v>
      </c>
      <c r="I160" s="5" t="s">
        <v>276</v>
      </c>
      <c r="J160" s="5"/>
      <c r="K160" s="6"/>
      <c r="L160" s="5" t="str">
        <f>IFERROR(VLOOKUP(CONCATENATE(A160,"S"),[2]Hoja1!$B:$N,5,0)," ")</f>
        <v xml:space="preserve"> </v>
      </c>
      <c r="M160" s="6" t="str">
        <f>IFERROR(VLOOKUP(CONCATENATE(A160,"S"),[2]Hoja1!$B:$N,6,0)," ")</f>
        <v xml:space="preserve"> </v>
      </c>
      <c r="N160" s="4" t="str">
        <f t="shared" si="21"/>
        <v>TITULAR</v>
      </c>
      <c r="O160" s="17" t="str">
        <f t="shared" si="22"/>
        <v xml:space="preserve">MARTINEZ, GISELA       </v>
      </c>
      <c r="P160" s="4" t="str">
        <f>IF(O160="vacante","vacante",IFERROR(IF(VLOOKUP(IF((M160)=" ",IF(COUNTBLANK(K160),I160,K160),M160),[3]Hoja1!$B:$I,4,0)="licencia","vacante"," ")," "))</f>
        <v xml:space="preserve"> </v>
      </c>
      <c r="Q160" s="4"/>
      <c r="R160">
        <f t="shared" si="24"/>
        <v>9</v>
      </c>
      <c r="S160" t="str">
        <f t="shared" si="23"/>
        <v>3°1°9</v>
      </c>
    </row>
    <row r="161" spans="1:19" ht="18.75" customHeight="1">
      <c r="A161" s="3" t="str">
        <f t="shared" si="20"/>
        <v>3°1°3PLG</v>
      </c>
      <c r="B161" s="3" t="s">
        <v>255</v>
      </c>
      <c r="C161" s="3"/>
      <c r="D161" s="3" t="s">
        <v>277</v>
      </c>
      <c r="E161" s="3">
        <v>733471</v>
      </c>
      <c r="F161" s="3" t="str">
        <f>VLOOKUP(D161,[1]Hoja1!$A:$K,11,0)</f>
        <v>PRACTICA DEL LENGUAJE</v>
      </c>
      <c r="G161" s="7" t="s">
        <v>278</v>
      </c>
      <c r="H161" s="7" t="s">
        <v>678</v>
      </c>
      <c r="I161" s="35" t="s">
        <v>791</v>
      </c>
      <c r="J161" s="5"/>
      <c r="K161" s="6"/>
      <c r="L161" s="5" t="str">
        <f>IFERROR(VLOOKUP(CONCATENATE(A161,"S"),[2]Hoja1!$B:$N,5,0)," ")</f>
        <v xml:space="preserve"> </v>
      </c>
      <c r="M161" s="6" t="str">
        <f>IFERROR(VLOOKUP(CONCATENATE(A161,"S"),[2]Hoja1!$B:$N,6,0)," ")</f>
        <v xml:space="preserve"> </v>
      </c>
      <c r="N161" s="4" t="str">
        <f t="shared" si="21"/>
        <v>TITULAR</v>
      </c>
      <c r="O161" s="17" t="str">
        <f t="shared" si="22"/>
        <v>ROSSI, MARIA FERNANDA  27221013714</v>
      </c>
      <c r="P161" s="4" t="str">
        <f>IF(O161="vacante","vacante",IFERROR(IF(VLOOKUP(IF((M161)=" ",IF(COUNTBLANK(K161),I161,K161),M161),[3]Hoja1!$B:$I,4,0)="licencia","vacante"," ")," "))</f>
        <v xml:space="preserve"> </v>
      </c>
      <c r="Q161" s="4"/>
      <c r="R161">
        <f t="shared" si="24"/>
        <v>10</v>
      </c>
      <c r="S161" t="str">
        <f t="shared" si="23"/>
        <v>3°1°10</v>
      </c>
    </row>
    <row r="162" spans="1:19" ht="18.75" customHeight="1">
      <c r="A162" s="3" t="str">
        <f t="shared" si="20"/>
        <v>3°1°3113TLT3</v>
      </c>
      <c r="B162" s="3" t="s">
        <v>255</v>
      </c>
      <c r="C162" s="3">
        <v>311</v>
      </c>
      <c r="D162" s="3" t="s">
        <v>279</v>
      </c>
      <c r="E162" s="3">
        <v>2682842</v>
      </c>
      <c r="F162" s="3" t="str">
        <f>VLOOKUP(D162,[1]Hoja1!$A:$K,11,0)</f>
        <v>LENGUAJES TECNOLOGICOS</v>
      </c>
      <c r="G162" s="7"/>
      <c r="H162" s="7"/>
      <c r="I162" s="5"/>
      <c r="J162" s="5" t="s">
        <v>280</v>
      </c>
      <c r="K162" s="6" t="s">
        <v>281</v>
      </c>
      <c r="L162" s="5">
        <f>IFERROR(VLOOKUP(CONCATENATE(A162,"S"),[2]Hoja1!$B:$N,5,0)," ")</f>
        <v>20445049736</v>
      </c>
      <c r="M162" s="6" t="str">
        <f>IFERROR(VLOOKUP(CONCATENATE(A162,"S"),[2]Hoja1!$B:$N,6,0)," ")</f>
        <v xml:space="preserve"> OSORIO FRANCO PATRICIO</v>
      </c>
      <c r="N162" s="4" t="str">
        <f t="shared" si="21"/>
        <v>SUPLENTE</v>
      </c>
      <c r="O162" s="17" t="str">
        <f t="shared" si="22"/>
        <v xml:space="preserve"> OSORIO FRANCO PATRICIO</v>
      </c>
      <c r="P162" s="4" t="str">
        <f>IF(O162="vacante","vacante",IFERROR(IF(VLOOKUP(IF((M162)=" ",IF(COUNTBLANK(K162),I162,K162),M162),[3]Hoja1!$B:$I,4,0)="licencia","vacante"," ")," "))</f>
        <v xml:space="preserve"> </v>
      </c>
      <c r="Q162" s="4"/>
      <c r="R162">
        <f t="shared" si="24"/>
        <v>11</v>
      </c>
      <c r="S162" t="str">
        <f t="shared" si="23"/>
        <v>3°1°11</v>
      </c>
    </row>
    <row r="163" spans="1:19" ht="18.75" customHeight="1">
      <c r="A163" s="3" t="str">
        <f t="shared" si="20"/>
        <v>3°1°3113TST3</v>
      </c>
      <c r="B163" s="3" t="s">
        <v>255</v>
      </c>
      <c r="C163" s="3">
        <v>311</v>
      </c>
      <c r="D163" s="3" t="s">
        <v>282</v>
      </c>
      <c r="E163" s="3">
        <v>2682844</v>
      </c>
      <c r="F163" s="3" t="str">
        <f>VLOOKUP(D163,[1]Hoja1!$A:$K,11,0)</f>
        <v>SISTEMAS TECNOLOGICOS</v>
      </c>
      <c r="G163" s="7"/>
      <c r="H163" s="7"/>
      <c r="I163" s="5"/>
      <c r="J163" s="5" t="s">
        <v>283</v>
      </c>
      <c r="K163" s="6" t="s">
        <v>570</v>
      </c>
      <c r="L163" s="5" t="str">
        <f>IFERROR(VLOOKUP(CONCATENATE(A163,"S"),[2]Hoja1!$B:$N,5,0)," ")</f>
        <v xml:space="preserve"> </v>
      </c>
      <c r="M163" s="6" t="str">
        <f>IFERROR(VLOOKUP(CONCATENATE(A163,"S"),[2]Hoja1!$B:$N,6,0)," ")</f>
        <v xml:space="preserve"> </v>
      </c>
      <c r="N163" s="4" t="str">
        <f t="shared" si="21"/>
        <v>PROVISIONAL</v>
      </c>
      <c r="O163" s="17" t="str">
        <f t="shared" si="22"/>
        <v>ECHAZU FARIAS  ANALIA</v>
      </c>
      <c r="P163" s="4" t="str">
        <f>IF(O163="vacante","vacante",IFERROR(IF(VLOOKUP(IF((M163)=" ",IF(COUNTBLANK(K163),I163,K163),M163),[3]Hoja1!$B:$I,4,0)="licencia","vacante"," ")," "))</f>
        <v xml:space="preserve"> </v>
      </c>
      <c r="Q163" s="4"/>
      <c r="R163">
        <f t="shared" si="24"/>
        <v>12</v>
      </c>
      <c r="S163" t="str">
        <f t="shared" si="23"/>
        <v>3°1°12</v>
      </c>
    </row>
    <row r="164" spans="1:19" ht="18.75" customHeight="1">
      <c r="A164" s="3" t="str">
        <f t="shared" si="20"/>
        <v>3°1°3113TPT3</v>
      </c>
      <c r="B164" s="3" t="s">
        <v>255</v>
      </c>
      <c r="C164" s="3">
        <v>311</v>
      </c>
      <c r="D164" s="3" t="s">
        <v>284</v>
      </c>
      <c r="E164" s="3">
        <v>2682845</v>
      </c>
      <c r="F164" s="3" t="str">
        <f>VLOOKUP(D164,[1]Hoja1!$A:$K,11,0)</f>
        <v>PROCEDIMIENTOS TECNICOS</v>
      </c>
      <c r="G164" s="7"/>
      <c r="H164" s="7"/>
      <c r="I164" s="5"/>
      <c r="J164" s="5" t="s">
        <v>149</v>
      </c>
      <c r="K164" s="6" t="s">
        <v>346</v>
      </c>
      <c r="L164" s="5">
        <f>IFERROR(VLOOKUP(CONCATENATE(A164,"S"),[2]Hoja1!$B:$N,5,0)," ")</f>
        <v>25749169</v>
      </c>
      <c r="M164" s="6" t="str">
        <f>IFERROR(VLOOKUP(CONCATENATE(A164,"S"),[2]Hoja1!$B:$N,6,0)," ")</f>
        <v>CRUZ DAVID FRANCISCO</v>
      </c>
      <c r="N164" s="4" t="str">
        <f t="shared" si="21"/>
        <v>SUPLENTE</v>
      </c>
      <c r="O164" s="17" t="str">
        <f t="shared" si="22"/>
        <v>CRUZ DAVID FRANCISCO</v>
      </c>
      <c r="P164" s="4" t="str">
        <f>IF(O164="vacante","vacante",IFERROR(IF(VLOOKUP(IF((M164)=" ",IF(COUNTBLANK(K164),I164,K164),M164),[3]Hoja1!$B:$I,4,0)="licencia","vacante"," ")," "))</f>
        <v xml:space="preserve"> </v>
      </c>
      <c r="Q164" s="4"/>
      <c r="R164">
        <f t="shared" si="24"/>
        <v>13</v>
      </c>
      <c r="S164" t="str">
        <f t="shared" si="23"/>
        <v>3°1°13</v>
      </c>
    </row>
    <row r="165" spans="1:19" ht="18" customHeight="1">
      <c r="A165" s="3" t="str">
        <f t="shared" si="20"/>
        <v>3°1°3123TLT3</v>
      </c>
      <c r="B165" s="3" t="s">
        <v>255</v>
      </c>
      <c r="C165" s="3">
        <v>312</v>
      </c>
      <c r="D165" s="3" t="s">
        <v>279</v>
      </c>
      <c r="E165" s="3">
        <v>2682848</v>
      </c>
      <c r="F165" s="3" t="str">
        <f>VLOOKUP(D165,[1]Hoja1!$A:$K,11,0)</f>
        <v>LENGUAJES TECNOLOGICOS</v>
      </c>
      <c r="G165" s="7" t="s">
        <v>280</v>
      </c>
      <c r="H165" s="7" t="s">
        <v>80</v>
      </c>
      <c r="I165" s="5" t="s">
        <v>286</v>
      </c>
      <c r="J165" s="5"/>
      <c r="K165" s="6"/>
      <c r="L165" s="5">
        <f>IFERROR(VLOOKUP(CONCATENATE(A165,"S"),[2]Hoja1!$B:$N,5,0)," ")</f>
        <v>20238846375</v>
      </c>
      <c r="M165" s="6" t="str">
        <f>IFERROR(VLOOKUP(CONCATENATE(A165,"S"),[2]Hoja1!$B:$N,6,0)," ")</f>
        <v>ESPINDOLA SERGIO DANIEL</v>
      </c>
      <c r="N165" s="4" t="str">
        <f t="shared" si="21"/>
        <v>SUPLENTE</v>
      </c>
      <c r="O165" s="17" t="str">
        <f t="shared" si="22"/>
        <v>ESPINDOLA SERGIO DANIEL</v>
      </c>
      <c r="P165" s="4" t="str">
        <f>IF(O165="vacante","vacante",IFERROR(IF(VLOOKUP(IF((M165)=" ",IF(COUNTBLANK(K165),I165,K165),M165),[3]Hoja1!$B:$I,4,0)="licencia","vacante"," ")," "))</f>
        <v xml:space="preserve"> </v>
      </c>
      <c r="Q165" s="4"/>
      <c r="R165">
        <f t="shared" si="24"/>
        <v>14</v>
      </c>
      <c r="S165" t="str">
        <f t="shared" si="23"/>
        <v>3°1°14</v>
      </c>
    </row>
    <row r="166" spans="1:19" ht="18.75" customHeight="1">
      <c r="A166" s="3" t="str">
        <f t="shared" si="20"/>
        <v>3°1°3123TST3</v>
      </c>
      <c r="B166" s="3" t="s">
        <v>255</v>
      </c>
      <c r="C166" s="3">
        <v>312</v>
      </c>
      <c r="D166" s="3" t="s">
        <v>282</v>
      </c>
      <c r="E166" s="3">
        <v>2682850</v>
      </c>
      <c r="F166" s="3" t="str">
        <f>VLOOKUP(D166,[1]Hoja1!$A:$K,11,0)</f>
        <v>SISTEMAS TECNOLOGICOS</v>
      </c>
      <c r="G166" s="7"/>
      <c r="H166" s="7"/>
      <c r="I166" s="5"/>
      <c r="J166" s="5" t="s">
        <v>679</v>
      </c>
      <c r="K166" s="6" t="s">
        <v>617</v>
      </c>
      <c r="L166" s="5">
        <f>IFERROR(VLOOKUP(CONCATENATE(A166,"S"),[2]Hoja1!$B:$N,5,0)," ")</f>
        <v>27288817427</v>
      </c>
      <c r="M166" s="6" t="str">
        <f>IFERROR(VLOOKUP(CONCATENATE(A166,"S"),[2]Hoja1!$B:$N,6,0)," ")</f>
        <v>MIRTA GABRIELA ZEBALLOS</v>
      </c>
      <c r="N166" s="4" t="str">
        <f t="shared" si="21"/>
        <v>SUPLENTE</v>
      </c>
      <c r="O166" s="17" t="str">
        <f t="shared" si="22"/>
        <v>MIRTA GABRIELA ZEBALLOS</v>
      </c>
      <c r="P166" s="4" t="str">
        <f>IF(O166="vacante","vacante",IFERROR(IF(VLOOKUP(IF((M166)=" ",IF(COUNTBLANK(K166),I166,K166),M166),[3]Hoja1!$B:$I,4,0)="licencia","vacante"," ")," "))</f>
        <v xml:space="preserve"> </v>
      </c>
      <c r="Q166" s="4" t="s">
        <v>638</v>
      </c>
      <c r="R166">
        <f t="shared" si="24"/>
        <v>15</v>
      </c>
      <c r="S166" t="str">
        <f t="shared" si="23"/>
        <v>3°1°15</v>
      </c>
    </row>
    <row r="167" spans="1:19" ht="18.75" customHeight="1">
      <c r="A167" s="3" t="str">
        <f t="shared" si="20"/>
        <v>3°1°3123TPT3</v>
      </c>
      <c r="B167" s="3" t="s">
        <v>255</v>
      </c>
      <c r="C167" s="3">
        <v>312</v>
      </c>
      <c r="D167" s="3" t="s">
        <v>284</v>
      </c>
      <c r="E167" s="3">
        <v>2682852</v>
      </c>
      <c r="F167" s="3" t="str">
        <f>VLOOKUP(D167,[1]Hoja1!$A:$K,11,0)</f>
        <v>PROCEDIMIENTOS TECNICOS</v>
      </c>
      <c r="G167" s="7"/>
      <c r="H167" s="7"/>
      <c r="I167" s="5"/>
      <c r="J167" s="5" t="s">
        <v>679</v>
      </c>
      <c r="K167" s="6" t="s">
        <v>617</v>
      </c>
      <c r="L167" s="5" t="str">
        <f>IFERROR(VLOOKUP(CONCATENATE(A167,"S"),[2]Hoja1!$B:$N,5,0)," ")</f>
        <v xml:space="preserve"> </v>
      </c>
      <c r="M167" s="6" t="str">
        <f>IFERROR(VLOOKUP(CONCATENATE(A167,"S"),[2]Hoja1!$B:$N,6,0)," ")</f>
        <v xml:space="preserve"> </v>
      </c>
      <c r="N167" s="4" t="str">
        <f t="shared" si="21"/>
        <v>PROVISIONAL</v>
      </c>
      <c r="O167" s="17" t="str">
        <f t="shared" si="22"/>
        <v>CAMBULE PEDRO</v>
      </c>
      <c r="P167" s="4" t="str">
        <f>IF(O167="vacante","vacante",IFERROR(IF(VLOOKUP(IF((M167)=" ",IF(COUNTBLANK(K167),I167,K167),M167),[3]Hoja1!$B:$I,4,0)="licencia","vacante"," ")," "))</f>
        <v xml:space="preserve"> </v>
      </c>
      <c r="Q167" s="4"/>
      <c r="R167">
        <f t="shared" si="24"/>
        <v>16</v>
      </c>
      <c r="S167" t="str">
        <f t="shared" si="23"/>
        <v>3°1°16</v>
      </c>
    </row>
    <row r="168" spans="1:19" ht="18.75" hidden="1" customHeight="1">
      <c r="A168" s="3" t="str">
        <f t="shared" si="20"/>
        <v>3°2°3BIO</v>
      </c>
      <c r="B168" s="3" t="s">
        <v>287</v>
      </c>
      <c r="C168" s="3"/>
      <c r="D168" s="3" t="s">
        <v>256</v>
      </c>
      <c r="E168" s="3">
        <v>1644183</v>
      </c>
      <c r="F168" s="3" t="str">
        <f>VLOOKUP(D168,[1]Hoja1!$A:$K,11,0)</f>
        <v>BIOLOGIA</v>
      </c>
      <c r="G168" s="7"/>
      <c r="H168" s="7"/>
      <c r="I168" s="5" t="s">
        <v>574</v>
      </c>
      <c r="J168" s="5"/>
      <c r="K168" s="6"/>
      <c r="L168" s="5" t="str">
        <f>IFERROR(VLOOKUP(CONCATENATE(A168,"S"),[2]Hoja1!$B:$N,5,0)," ")</f>
        <v xml:space="preserve"> </v>
      </c>
      <c r="M168" s="6" t="str">
        <f>IFERROR(VLOOKUP(CONCATENATE(A168,"S"),[2]Hoja1!$B:$N,6,0)," ")</f>
        <v xml:space="preserve"> </v>
      </c>
      <c r="N168" s="4" t="str">
        <f t="shared" si="21"/>
        <v>TITULAR</v>
      </c>
      <c r="O168" s="17" t="str">
        <f t="shared" si="22"/>
        <v>ARIAS, YANINA</v>
      </c>
      <c r="P168" s="4" t="str">
        <f>IF(O168="vacante","vacante",IFERROR(IF(VLOOKUP(IF((M168)=" ",IF(COUNTBLANK(K168),I168,K168),M168),[3]Hoja1!$B:$I,4,0)="licencia","vacante"," ")," "))</f>
        <v xml:space="preserve"> </v>
      </c>
      <c r="Q168" s="4"/>
      <c r="R168">
        <f t="shared" si="24"/>
        <v>1</v>
      </c>
      <c r="S168" t="str">
        <f t="shared" si="23"/>
        <v>3°2°1</v>
      </c>
    </row>
    <row r="169" spans="1:19" ht="18.75" hidden="1" customHeight="1">
      <c r="A169" s="3" t="str">
        <f t="shared" si="20"/>
        <v>3°2°3CCD</v>
      </c>
      <c r="B169" s="3" t="s">
        <v>287</v>
      </c>
      <c r="C169" s="3"/>
      <c r="D169" s="3" t="s">
        <v>257</v>
      </c>
      <c r="E169" s="3">
        <v>733451</v>
      </c>
      <c r="F169" s="3" t="str">
        <f>VLOOKUP(D169,[1]Hoja1!$A:$K,11,0)</f>
        <v>CONSTRUCCION DE LA CIUDADANIA</v>
      </c>
      <c r="G169" s="7"/>
      <c r="H169" s="7"/>
      <c r="I169" s="5" t="s">
        <v>259</v>
      </c>
      <c r="J169" s="5"/>
      <c r="K169" s="6"/>
      <c r="L169" s="5" t="str">
        <f>IFERROR(VLOOKUP(CONCATENATE(A169,"S"),[2]Hoja1!$B:$N,5,0)," ")</f>
        <v xml:space="preserve"> </v>
      </c>
      <c r="M169" s="6" t="str">
        <f>IFERROR(VLOOKUP(CONCATENATE(A169,"S"),[2]Hoja1!$B:$N,6,0)," ")</f>
        <v xml:space="preserve"> </v>
      </c>
      <c r="N169" s="4" t="str">
        <f t="shared" si="21"/>
        <v>TITULAR</v>
      </c>
      <c r="O169" s="17" t="str">
        <f t="shared" si="22"/>
        <v xml:space="preserve">TORRES GABRIEL </v>
      </c>
      <c r="P169" s="4" t="str">
        <f>IF(O169="vacante","vacante",IFERROR(IF(VLOOKUP(IF((M169)=" ",IF(COUNTBLANK(K169),I169,K169),M169),[3]Hoja1!$B:$I,4,0)="licencia","vacante"," ")," "))</f>
        <v xml:space="preserve"> </v>
      </c>
      <c r="Q169" s="4" t="s">
        <v>618</v>
      </c>
      <c r="R169">
        <f t="shared" si="24"/>
        <v>2</v>
      </c>
      <c r="S169" t="str">
        <f t="shared" si="23"/>
        <v>3°2°2</v>
      </c>
    </row>
    <row r="170" spans="1:19" ht="32.25" hidden="1" customHeight="1">
      <c r="A170" s="3" t="str">
        <f t="shared" si="20"/>
        <v>3°2°3ART</v>
      </c>
      <c r="B170" s="3" t="s">
        <v>287</v>
      </c>
      <c r="C170" s="3"/>
      <c r="D170" s="3" t="s">
        <v>260</v>
      </c>
      <c r="E170" s="3">
        <v>733531</v>
      </c>
      <c r="F170" s="3" t="str">
        <f>VLOOKUP(D170,[1]Hoja1!$A:$K,11,0)</f>
        <v>EDUCACION ARTISTICA (PLASTICA)</v>
      </c>
      <c r="G170" s="7"/>
      <c r="H170" s="7"/>
      <c r="I170" s="5"/>
      <c r="J170" s="5">
        <v>27304278973</v>
      </c>
      <c r="K170" s="6" t="s">
        <v>746</v>
      </c>
      <c r="L170" s="5" t="str">
        <f>IFERROR(VLOOKUP(CONCATENATE(A170,"S"),[2]Hoja1!$B:$N,5,0)," ")</f>
        <v xml:space="preserve"> </v>
      </c>
      <c r="M170" s="6" t="str">
        <f>IFERROR(VLOOKUP(CONCATENATE(A170,"S"),[2]Hoja1!$B:$N,6,0)," ")</f>
        <v xml:space="preserve"> </v>
      </c>
      <c r="N170" s="4" t="str">
        <f t="shared" si="21"/>
        <v>PROVISIONAL</v>
      </c>
      <c r="O170" s="17" t="str">
        <f t="shared" si="22"/>
        <v xml:space="preserve">TAPIA EVANGELINA EMILCE  </v>
      </c>
      <c r="P170" s="4" t="str">
        <f>IF(O170="vacante","vacante",IFERROR(IF(VLOOKUP(IF((M170)=" ",IF(COUNTBLANK(K170),I170,K170),M170),[3]Hoja1!$B:$I,4,0)="licencia","vacante"," ")," "))</f>
        <v xml:space="preserve"> </v>
      </c>
      <c r="Q170" s="4"/>
      <c r="R170">
        <f t="shared" si="24"/>
        <v>3</v>
      </c>
      <c r="S170" t="str">
        <f t="shared" si="23"/>
        <v>3°2°3</v>
      </c>
    </row>
    <row r="171" spans="1:19" ht="18.75" hidden="1" customHeight="1">
      <c r="A171" s="3" t="str">
        <f t="shared" si="20"/>
        <v>3°2°3EFI</v>
      </c>
      <c r="B171" s="3" t="s">
        <v>287</v>
      </c>
      <c r="C171" s="3"/>
      <c r="D171" s="3" t="s">
        <v>262</v>
      </c>
      <c r="E171" s="3">
        <v>733459</v>
      </c>
      <c r="F171" s="3" t="str">
        <f>VLOOKUP(D171,[1]Hoja1!$A:$K,11,0)</f>
        <v>EDUCACIÓN FISICA</v>
      </c>
      <c r="G171" s="7" t="s">
        <v>190</v>
      </c>
      <c r="H171" s="7"/>
      <c r="I171" s="5" t="s">
        <v>288</v>
      </c>
      <c r="J171" s="5"/>
      <c r="K171" s="6"/>
      <c r="L171" s="5" t="str">
        <f>IFERROR(VLOOKUP(CONCATENATE(A171,"S"),[2]Hoja1!$B:$N,5,0)," ")</f>
        <v xml:space="preserve"> </v>
      </c>
      <c r="M171" s="6" t="str">
        <f>IFERROR(VLOOKUP(CONCATENATE(A171,"S"),[2]Hoja1!$B:$N,6,0)," ")</f>
        <v xml:space="preserve"> </v>
      </c>
      <c r="N171" s="4" t="str">
        <f t="shared" si="21"/>
        <v>TITULAR</v>
      </c>
      <c r="O171" s="17" t="str">
        <f t="shared" si="22"/>
        <v>DE LA FUENTE F.</v>
      </c>
      <c r="P171" s="4" t="str">
        <f>IF(O171="vacante","vacante",IFERROR(IF(VLOOKUP(IF((M171)=" ",IF(COUNTBLANK(K171),I171,K171),M171),[3]Hoja1!$B:$I,4,0)="licencia","vacante"," ")," "))</f>
        <v xml:space="preserve"> </v>
      </c>
      <c r="Q171" s="4"/>
      <c r="R171">
        <f t="shared" si="24"/>
        <v>4</v>
      </c>
      <c r="S171" t="str">
        <f t="shared" si="23"/>
        <v>3°2°4</v>
      </c>
    </row>
    <row r="172" spans="1:19" ht="18.75" hidden="1" customHeight="1">
      <c r="A172" s="3" t="str">
        <f t="shared" si="20"/>
        <v>3°2°3FI/QUI</v>
      </c>
      <c r="B172" s="3" t="s">
        <v>287</v>
      </c>
      <c r="C172" s="3"/>
      <c r="D172" s="3" t="s">
        <v>265</v>
      </c>
      <c r="E172" s="3">
        <v>1644182</v>
      </c>
      <c r="F172" s="3" t="str">
        <f>VLOOKUP(D172,[1]Hoja1!$A:$K,11,0)</f>
        <v>FISICO-QUIMICA</v>
      </c>
      <c r="G172" s="7" t="s">
        <v>192</v>
      </c>
      <c r="H172" s="7"/>
      <c r="I172" s="5" t="s">
        <v>289</v>
      </c>
      <c r="J172" s="5"/>
      <c r="K172" s="6"/>
      <c r="L172" s="5" t="str">
        <f>IFERROR(VLOOKUP(CONCATENATE(A172,"S"),[2]Hoja1!$B:$N,5,0)," ")</f>
        <v xml:space="preserve"> </v>
      </c>
      <c r="M172" s="6" t="str">
        <f>IFERROR(VLOOKUP(CONCATENATE(A172,"S"),[2]Hoja1!$B:$N,6,0)," ")</f>
        <v xml:space="preserve"> </v>
      </c>
      <c r="N172" s="4" t="str">
        <f t="shared" si="21"/>
        <v>TITULAR</v>
      </c>
      <c r="O172" s="17" t="str">
        <f t="shared" si="22"/>
        <v xml:space="preserve">AGUIRRE VALERIA </v>
      </c>
      <c r="P172" s="4" t="str">
        <f>IF(O172="vacante","vacante",IFERROR(IF(VLOOKUP(IF((M172)=" ",IF(COUNTBLANK(K172),I172,K172),M172),[3]Hoja1!$B:$I,4,0)="licencia","vacante"," ")," "))</f>
        <v xml:space="preserve"> </v>
      </c>
      <c r="Q172" s="4"/>
      <c r="R172">
        <f t="shared" si="24"/>
        <v>5</v>
      </c>
      <c r="S172" t="str">
        <f t="shared" si="23"/>
        <v>3°2°5</v>
      </c>
    </row>
    <row r="173" spans="1:19" ht="18.75" hidden="1" customHeight="1">
      <c r="A173" s="3" t="str">
        <f t="shared" si="20"/>
        <v>3°2°3GEO</v>
      </c>
      <c r="B173" s="3" t="s">
        <v>287</v>
      </c>
      <c r="C173" s="3"/>
      <c r="D173" s="3" t="s">
        <v>267</v>
      </c>
      <c r="E173" s="3">
        <v>1644177</v>
      </c>
      <c r="F173" s="3" t="str">
        <f>VLOOKUP(D173,[1]Hoja1!$A:$K,11,0)</f>
        <v>GEOGRAFIA</v>
      </c>
      <c r="G173" s="7" t="s">
        <v>290</v>
      </c>
      <c r="H173" s="7" t="s">
        <v>291</v>
      </c>
      <c r="I173" s="5" t="s">
        <v>292</v>
      </c>
      <c r="J173" s="5"/>
      <c r="K173" s="6"/>
      <c r="L173" s="5">
        <f>IFERROR(VLOOKUP(CONCATENATE(A173,"S"),[2]Hoja1!$B:$N,5,0)," ")</f>
        <v>23086757</v>
      </c>
      <c r="M173" s="6" t="str">
        <f>IFERROR(VLOOKUP(CONCATENATE(A173,"S"),[2]Hoja1!$B:$N,6,0)," ")</f>
        <v>ZAMBRANO GAMBOA JOSHUA</v>
      </c>
      <c r="N173" s="4" t="str">
        <f t="shared" si="21"/>
        <v>SUPLENTE</v>
      </c>
      <c r="O173" s="17" t="str">
        <f t="shared" si="22"/>
        <v>ZAMBRANO GAMBOA JOSHUA</v>
      </c>
      <c r="P173" s="4" t="str">
        <f>IF(O173="vacante","vacante",IFERROR(IF(VLOOKUP(IF((M173)=" ",IF(COUNTBLANK(K173),I173,K173),M173),[3]Hoja1!$B:$I,4,0)="licencia","vacante"," ")," "))</f>
        <v xml:space="preserve"> </v>
      </c>
      <c r="Q173" s="4"/>
      <c r="R173">
        <f t="shared" si="24"/>
        <v>6</v>
      </c>
      <c r="S173" t="str">
        <f t="shared" si="23"/>
        <v>3°2°6</v>
      </c>
    </row>
    <row r="174" spans="1:19" ht="18.75" hidden="1" customHeight="1">
      <c r="A174" s="3" t="str">
        <f t="shared" si="20"/>
        <v>3°2°3HIS</v>
      </c>
      <c r="B174" s="3" t="s">
        <v>287</v>
      </c>
      <c r="C174" s="3"/>
      <c r="D174" s="3" t="s">
        <v>269</v>
      </c>
      <c r="E174" s="3">
        <v>1644179</v>
      </c>
      <c r="F174" s="3" t="str">
        <f>VLOOKUP(D174,[1]Hoja1!$A:$K,11,0)</f>
        <v>HISTORIA</v>
      </c>
      <c r="G174" s="7" t="s">
        <v>168</v>
      </c>
      <c r="H174" s="7"/>
      <c r="I174" s="5" t="s">
        <v>70</v>
      </c>
      <c r="J174" s="5"/>
      <c r="K174" s="6"/>
      <c r="L174" s="5" t="str">
        <f>IFERROR(VLOOKUP(CONCATENATE(A174,"S"),[2]Hoja1!$B:$N,5,0)," ")</f>
        <v xml:space="preserve"> </v>
      </c>
      <c r="M174" s="6" t="str">
        <f>IFERROR(VLOOKUP(CONCATENATE(A174,"S"),[2]Hoja1!$B:$N,6,0)," ")</f>
        <v xml:space="preserve"> </v>
      </c>
      <c r="N174" s="4" t="str">
        <f t="shared" si="21"/>
        <v>TITULAR</v>
      </c>
      <c r="O174" s="17" t="str">
        <f t="shared" si="22"/>
        <v xml:space="preserve">TORRES LUIS                    </v>
      </c>
      <c r="P174" s="4" t="str">
        <f>IF(O174="vacante","vacante",IFERROR(IF(VLOOKUP(IF((M174)=" ",IF(COUNTBLANK(K174),I174,K174),M174),[3]Hoja1!$B:$I,4,0)="licencia","vacante"," ")," "))</f>
        <v xml:space="preserve"> </v>
      </c>
      <c r="Q174" s="4"/>
      <c r="R174">
        <f t="shared" si="24"/>
        <v>7</v>
      </c>
      <c r="S174" t="str">
        <f t="shared" si="23"/>
        <v>3°2°7</v>
      </c>
    </row>
    <row r="175" spans="1:19" ht="18.75" hidden="1" customHeight="1">
      <c r="A175" s="3" t="str">
        <f t="shared" si="20"/>
        <v>3°2°3ING</v>
      </c>
      <c r="B175" s="3" t="s">
        <v>287</v>
      </c>
      <c r="C175" s="3"/>
      <c r="D175" s="3" t="s">
        <v>271</v>
      </c>
      <c r="E175" s="3">
        <v>733558</v>
      </c>
      <c r="F175" s="3" t="str">
        <f>VLOOKUP(D175,[1]Hoja1!$A:$K,11,0)</f>
        <v>INGLÉS</v>
      </c>
      <c r="G175" s="7" t="s">
        <v>55</v>
      </c>
      <c r="H175" s="7" t="s">
        <v>293</v>
      </c>
      <c r="I175" s="5" t="s">
        <v>57</v>
      </c>
      <c r="J175" s="5"/>
      <c r="K175" s="6"/>
      <c r="L175" s="5" t="str">
        <f>IFERROR(VLOOKUP(CONCATENATE(A175,"S"),[2]Hoja1!$B:$N,5,0)," ")</f>
        <v xml:space="preserve"> </v>
      </c>
      <c r="M175" s="6" t="str">
        <f>IFERROR(VLOOKUP(CONCATENATE(A175,"S"),[2]Hoja1!$B:$N,6,0)," ")</f>
        <v xml:space="preserve"> </v>
      </c>
      <c r="N175" s="4" t="str">
        <f t="shared" si="21"/>
        <v>TITULAR</v>
      </c>
      <c r="O175" s="17" t="str">
        <f t="shared" si="22"/>
        <v xml:space="preserve">ARCE KARINA </v>
      </c>
      <c r="P175" s="4" t="str">
        <f>IF(O175="vacante","vacante",IFERROR(IF(VLOOKUP(IF((M175)=" ",IF(COUNTBLANK(K175),I175,K175),M175),[3]Hoja1!$B:$I,4,0)="licencia","vacante"," ")," "))</f>
        <v xml:space="preserve"> </v>
      </c>
      <c r="Q175" s="4"/>
      <c r="R175">
        <f t="shared" si="24"/>
        <v>8</v>
      </c>
      <c r="S175" t="str">
        <f t="shared" si="23"/>
        <v>3°2°8</v>
      </c>
    </row>
    <row r="176" spans="1:19" ht="18.75" hidden="1" customHeight="1">
      <c r="A176" s="3" t="str">
        <f t="shared" si="20"/>
        <v>3°2°3MAT</v>
      </c>
      <c r="B176" s="3" t="s">
        <v>287</v>
      </c>
      <c r="C176" s="3"/>
      <c r="D176" s="3" t="s">
        <v>273</v>
      </c>
      <c r="E176" s="3">
        <v>789744</v>
      </c>
      <c r="F176" s="3" t="str">
        <f>VLOOKUP(D176,[1]Hoja1!$A:$K,11,0)</f>
        <v>MATEMATICA</v>
      </c>
      <c r="G176" s="7" t="s">
        <v>806</v>
      </c>
      <c r="H176" s="7"/>
      <c r="I176" s="44" t="s">
        <v>805</v>
      </c>
      <c r="J176" s="5"/>
      <c r="K176" s="6"/>
      <c r="L176" s="5" t="str">
        <f>IFERROR(VLOOKUP(CONCATENATE(A176,"S"),[2]Hoja1!$B:$N,5,0)," ")</f>
        <v xml:space="preserve"> </v>
      </c>
      <c r="M176" s="6" t="str">
        <f>IFERROR(VLOOKUP(CONCATENATE(A176,"S"),[2]Hoja1!$B:$N,6,0)," ")</f>
        <v xml:space="preserve"> </v>
      </c>
      <c r="N176" s="4" t="str">
        <f t="shared" si="21"/>
        <v>TITULAR</v>
      </c>
      <c r="O176" s="17" t="str">
        <f t="shared" si="22"/>
        <v xml:space="preserve">VARCHETTA, GABRIEL OMAR   </v>
      </c>
      <c r="P176" s="4" t="str">
        <f>IF(O176="vacante","vacante",IFERROR(IF(VLOOKUP(IF((M176)=" ",IF(COUNTBLANK(K176),I176,K176),M176),[3]Hoja1!$B:$I,4,0)="licencia","vacante"," ")," "))</f>
        <v xml:space="preserve"> </v>
      </c>
      <c r="Q176" s="4"/>
      <c r="R176">
        <f t="shared" si="24"/>
        <v>9</v>
      </c>
      <c r="S176" t="str">
        <f t="shared" si="23"/>
        <v>3°2°9</v>
      </c>
    </row>
    <row r="177" spans="1:19" ht="18.75" hidden="1" customHeight="1">
      <c r="A177" s="3" t="str">
        <f t="shared" si="20"/>
        <v>3°2°3PLG</v>
      </c>
      <c r="B177" s="3" t="s">
        <v>287</v>
      </c>
      <c r="C177" s="3"/>
      <c r="D177" s="3" t="s">
        <v>277</v>
      </c>
      <c r="E177" s="3">
        <v>733447</v>
      </c>
      <c r="F177" s="3" t="str">
        <f>VLOOKUP(D177,[1]Hoja1!$A:$K,11,0)</f>
        <v>PRACTICA DEL LENGUAJE</v>
      </c>
      <c r="G177" s="7" t="s">
        <v>294</v>
      </c>
      <c r="H177" s="7"/>
      <c r="I177" s="5" t="s">
        <v>295</v>
      </c>
      <c r="J177" s="5"/>
      <c r="K177" s="6"/>
      <c r="L177" s="5" t="str">
        <f>IFERROR(VLOOKUP(CONCATENATE(A177,"S"),[2]Hoja1!$B:$N,5,0)," ")</f>
        <v xml:space="preserve"> </v>
      </c>
      <c r="M177" s="6" t="str">
        <f>IFERROR(VLOOKUP(CONCATENATE(A177,"S"),[2]Hoja1!$B:$N,6,0)," ")</f>
        <v xml:space="preserve"> </v>
      </c>
      <c r="N177" s="4" t="str">
        <f t="shared" si="21"/>
        <v>TITULAR</v>
      </c>
      <c r="O177" s="17" t="str">
        <f t="shared" si="22"/>
        <v>GONZALEZ DANIELA</v>
      </c>
      <c r="P177" s="4" t="str">
        <f>IF(O177="vacante","vacante",IFERROR(IF(VLOOKUP(IF((M177)=" ",IF(COUNTBLANK(K177),I177,K177),M177),[3]Hoja1!$B:$I,4,0)="licencia","vacante"," ")," "))</f>
        <v xml:space="preserve"> </v>
      </c>
      <c r="Q177" s="4"/>
      <c r="R177">
        <f t="shared" si="24"/>
        <v>10</v>
      </c>
      <c r="S177" t="str">
        <f t="shared" si="23"/>
        <v>3°2°10</v>
      </c>
    </row>
    <row r="178" spans="1:19" ht="18.75" hidden="1" customHeight="1">
      <c r="A178" s="3" t="str">
        <f t="shared" si="20"/>
        <v>3°2°3213TLT3</v>
      </c>
      <c r="B178" s="3" t="s">
        <v>287</v>
      </c>
      <c r="C178" s="3">
        <v>321</v>
      </c>
      <c r="D178" s="3" t="s">
        <v>279</v>
      </c>
      <c r="E178" s="3">
        <v>2682790</v>
      </c>
      <c r="F178" s="3" t="str">
        <f>VLOOKUP(D178,[1]Hoja1!$A:$K,11,0)</f>
        <v>LENGUAJES TECNOLOGICOS</v>
      </c>
      <c r="G178" s="7" t="s">
        <v>296</v>
      </c>
      <c r="H178" s="7"/>
      <c r="I178" s="5" t="s">
        <v>297</v>
      </c>
      <c r="J178" s="5"/>
      <c r="K178" s="6"/>
      <c r="L178" s="5" t="str">
        <f>IFERROR(VLOOKUP(CONCATENATE(A178,"S"),[2]Hoja1!$B:$N,5,0)," ")</f>
        <v xml:space="preserve">27-21.065.864-0 </v>
      </c>
      <c r="M178" s="6" t="str">
        <f>IFERROR(VLOOKUP(CONCATENATE(A178,"S"),[2]Hoja1!$B:$N,6,0)," ")</f>
        <v>TITO JUAN MANUEL</v>
      </c>
      <c r="N178" s="4" t="str">
        <f t="shared" si="21"/>
        <v>SUPLENTE</v>
      </c>
      <c r="O178" s="17" t="str">
        <f t="shared" si="22"/>
        <v>TITO JUAN MANUEL</v>
      </c>
      <c r="P178" s="4" t="str">
        <f>IF(O178="vacante","vacante",IFERROR(IF(VLOOKUP(IF((M178)=" ",IF(COUNTBLANK(K178),I178,K178),M178),[3]Hoja1!$B:$I,4,0)="licencia","vacante"," ")," "))</f>
        <v xml:space="preserve"> </v>
      </c>
      <c r="Q178" s="4" t="s">
        <v>298</v>
      </c>
      <c r="R178">
        <f t="shared" si="24"/>
        <v>11</v>
      </c>
      <c r="S178" t="str">
        <f t="shared" si="23"/>
        <v>3°2°11</v>
      </c>
    </row>
    <row r="179" spans="1:19" ht="18.75" hidden="1" customHeight="1">
      <c r="A179" s="3" t="str">
        <f t="shared" si="20"/>
        <v>3°2°3213TST3</v>
      </c>
      <c r="B179" s="3" t="s">
        <v>287</v>
      </c>
      <c r="C179" s="3">
        <v>321</v>
      </c>
      <c r="D179" s="3" t="s">
        <v>282</v>
      </c>
      <c r="E179" s="3">
        <v>2682791</v>
      </c>
      <c r="F179" s="3" t="str">
        <f>VLOOKUP(D179,[1]Hoja1!$A:$K,11,0)</f>
        <v>SISTEMAS TECNOLOGICOS</v>
      </c>
      <c r="G179" s="7" t="s">
        <v>301</v>
      </c>
      <c r="H179" s="7"/>
      <c r="I179" s="5"/>
      <c r="J179" s="5" t="s">
        <v>760</v>
      </c>
      <c r="K179" s="6" t="s">
        <v>685</v>
      </c>
      <c r="L179" s="5" t="str">
        <f>IFERROR(VLOOKUP(CONCATENATE(A179,"S"),[2]Hoja1!$B:$N,5,0)," ")</f>
        <v xml:space="preserve"> </v>
      </c>
      <c r="M179" s="6" t="str">
        <f>IFERROR(VLOOKUP(CONCATENATE(A179,"S"),[2]Hoja1!$B:$N,6,0)," ")</f>
        <v xml:space="preserve"> </v>
      </c>
      <c r="N179" s="4" t="str">
        <f t="shared" si="21"/>
        <v>PROVISIONAL</v>
      </c>
      <c r="O179" s="17" t="str">
        <f t="shared" si="22"/>
        <v>CRUZ JESUS</v>
      </c>
      <c r="P179" s="4" t="str">
        <f>IF(O179="vacante","vacante",IFERROR(IF(VLOOKUP(IF((M179)=" ",IF(COUNTBLANK(K179),I179,K179),M179),[3]Hoja1!$B:$I,4,0)="licencia","vacante"," ")," "))</f>
        <v xml:space="preserve"> </v>
      </c>
      <c r="Q179" s="4" t="s">
        <v>639</v>
      </c>
      <c r="R179">
        <f t="shared" si="24"/>
        <v>12</v>
      </c>
      <c r="S179" t="str">
        <f t="shared" si="23"/>
        <v>3°2°12</v>
      </c>
    </row>
    <row r="180" spans="1:19" ht="18.75" hidden="1" customHeight="1">
      <c r="A180" s="3" t="str">
        <f t="shared" si="20"/>
        <v>3°2°3213TPT3</v>
      </c>
      <c r="B180" s="3" t="s">
        <v>287</v>
      </c>
      <c r="C180" s="3">
        <v>321</v>
      </c>
      <c r="D180" s="3" t="s">
        <v>284</v>
      </c>
      <c r="E180" s="3">
        <v>2682793</v>
      </c>
      <c r="F180" s="3" t="str">
        <f>VLOOKUP(D180,[1]Hoja1!$A:$K,11,0)</f>
        <v>PROCEDIMIENTOS TECNICOS</v>
      </c>
      <c r="G180" s="7"/>
      <c r="H180" s="7"/>
      <c r="I180" s="5"/>
      <c r="J180" s="5" t="s">
        <v>299</v>
      </c>
      <c r="K180" s="6" t="s">
        <v>300</v>
      </c>
      <c r="L180" s="5" t="str">
        <f>IFERROR(VLOOKUP(CONCATENATE(A180,"S"),[2]Hoja1!$B:$N,5,0)," ")</f>
        <v xml:space="preserve"> </v>
      </c>
      <c r="M180" s="6" t="str">
        <f>IFERROR(VLOOKUP(CONCATENATE(A180,"S"),[2]Hoja1!$B:$N,6,0)," ")</f>
        <v xml:space="preserve"> </v>
      </c>
      <c r="N180" s="4" t="str">
        <f t="shared" si="21"/>
        <v>PROVISIONAL</v>
      </c>
      <c r="O180" s="17" t="str">
        <f t="shared" si="22"/>
        <v>LEYES RICARDO</v>
      </c>
      <c r="P180" s="4" t="str">
        <f>IF(O180="vacante","vacante",IFERROR(IF(VLOOKUP(IF((M180)=" ",IF(COUNTBLANK(K180),I180,K180),M180),[3]Hoja1!$B:$I,4,0)="licencia","vacante"," ")," "))</f>
        <v xml:space="preserve"> </v>
      </c>
      <c r="Q180" s="4"/>
      <c r="R180">
        <f t="shared" si="24"/>
        <v>13</v>
      </c>
      <c r="S180" t="str">
        <f t="shared" si="23"/>
        <v>3°2°13</v>
      </c>
    </row>
    <row r="181" spans="1:19" ht="18.75" hidden="1" customHeight="1">
      <c r="A181" s="3" t="str">
        <f t="shared" si="20"/>
        <v>3°2°3223TLT3</v>
      </c>
      <c r="B181" s="3" t="s">
        <v>287</v>
      </c>
      <c r="C181" s="3">
        <v>322</v>
      </c>
      <c r="D181" s="3" t="s">
        <v>279</v>
      </c>
      <c r="E181" s="3">
        <v>2682794</v>
      </c>
      <c r="F181" s="3" t="str">
        <f>VLOOKUP(D181,[1]Hoja1!$A:$K,11,0)</f>
        <v>LENGUAJES TECNOLOGICOS</v>
      </c>
      <c r="G181" s="7"/>
      <c r="H181" s="7"/>
      <c r="I181" s="5"/>
      <c r="J181" s="5"/>
      <c r="K181" s="6" t="s">
        <v>575</v>
      </c>
      <c r="L181" s="5" t="str">
        <f>IFERROR(VLOOKUP(CONCATENATE(A181,"S"),[2]Hoja1!$B:$N,5,0)," ")</f>
        <v xml:space="preserve"> </v>
      </c>
      <c r="M181" s="6" t="str">
        <f>IFERROR(VLOOKUP(CONCATENATE(A181,"S"),[2]Hoja1!$B:$N,6,0)," ")</f>
        <v xml:space="preserve"> </v>
      </c>
      <c r="N181" s="4" t="str">
        <f t="shared" si="21"/>
        <v>PROVISIONAL</v>
      </c>
      <c r="O181" s="17" t="str">
        <f t="shared" si="22"/>
        <v>TITO JUAN MANUEL</v>
      </c>
      <c r="P181" s="4" t="str">
        <f>IF(O181="vacante","vacante",IFERROR(IF(VLOOKUP(IF((M181)=" ",IF(COUNTBLANK(K181),I181,K181),M181),[3]Hoja1!$B:$I,4,0)="licencia","vacante"," ")," "))</f>
        <v xml:space="preserve"> </v>
      </c>
      <c r="Q181" s="4"/>
      <c r="R181">
        <f t="shared" si="24"/>
        <v>14</v>
      </c>
      <c r="S181" t="str">
        <f t="shared" si="23"/>
        <v>3°2°14</v>
      </c>
    </row>
    <row r="182" spans="1:19" ht="18.75" hidden="1" customHeight="1">
      <c r="A182" s="3" t="str">
        <f t="shared" si="20"/>
        <v>3°2°3223TST3</v>
      </c>
      <c r="B182" s="3" t="s">
        <v>287</v>
      </c>
      <c r="C182" s="3">
        <v>322</v>
      </c>
      <c r="D182" s="3" t="s">
        <v>282</v>
      </c>
      <c r="E182" s="3">
        <v>2682796</v>
      </c>
      <c r="F182" s="3" t="str">
        <f>VLOOKUP(D182,[1]Hoja1!$A:$K,11,0)</f>
        <v>SISTEMAS TECNOLOGICOS</v>
      </c>
      <c r="G182" s="7"/>
      <c r="H182" s="7"/>
      <c r="I182" s="5"/>
      <c r="J182" s="5" t="s">
        <v>149</v>
      </c>
      <c r="K182" s="6" t="s">
        <v>346</v>
      </c>
      <c r="L182" s="5" t="str">
        <f>IFERROR(VLOOKUP(CONCATENATE(A182,"S"),[2]Hoja1!$B:$N,5,0)," ")</f>
        <v xml:space="preserve"> </v>
      </c>
      <c r="M182" s="6" t="str">
        <f>IFERROR(VLOOKUP(CONCATENATE(A182,"S"),[2]Hoja1!$B:$N,6,0)," ")</f>
        <v xml:space="preserve"> </v>
      </c>
      <c r="N182" s="4" t="str">
        <f t="shared" si="21"/>
        <v>PROVISIONAL</v>
      </c>
      <c r="O182" s="17" t="str">
        <f t="shared" si="22"/>
        <v>PAZ DANIEL</v>
      </c>
      <c r="P182" s="4" t="str">
        <f>IF(O182="vacante","vacante",IFERROR(IF(VLOOKUP(IF((M182)=" ",IF(COUNTBLANK(K182),I182,K182),M182),[3]Hoja1!$B:$I,4,0)="licencia","vacante"," ")," "))</f>
        <v xml:space="preserve"> </v>
      </c>
      <c r="Q182" s="4"/>
      <c r="R182">
        <f t="shared" si="24"/>
        <v>15</v>
      </c>
      <c r="S182" t="str">
        <f t="shared" si="23"/>
        <v>3°2°15</v>
      </c>
    </row>
    <row r="183" spans="1:19" ht="18.75" hidden="1" customHeight="1">
      <c r="A183" s="3" t="str">
        <f t="shared" si="20"/>
        <v>3°2°3223TPT3</v>
      </c>
      <c r="B183" s="3" t="s">
        <v>287</v>
      </c>
      <c r="C183" s="3">
        <v>322</v>
      </c>
      <c r="D183" s="3" t="s">
        <v>284</v>
      </c>
      <c r="E183" s="3">
        <v>2682798</v>
      </c>
      <c r="F183" s="3" t="str">
        <f>VLOOKUP(D183,[1]Hoja1!$A:$K,11,0)</f>
        <v>PROCEDIMIENTOS TECNICOS</v>
      </c>
      <c r="G183" s="7"/>
      <c r="H183" s="7"/>
      <c r="I183" s="5"/>
      <c r="J183" s="5" t="s">
        <v>62</v>
      </c>
      <c r="K183" s="6" t="s">
        <v>63</v>
      </c>
      <c r="L183" s="5" t="str">
        <f>IFERROR(VLOOKUP(CONCATENATE(A183,"S"),[2]Hoja1!$B:$N,5,0)," ")</f>
        <v xml:space="preserve"> </v>
      </c>
      <c r="M183" s="6" t="str">
        <f>IFERROR(VLOOKUP(CONCATENATE(A183,"S"),[2]Hoja1!$B:$N,6,0)," ")</f>
        <v xml:space="preserve"> </v>
      </c>
      <c r="N183" s="4" t="str">
        <f t="shared" si="21"/>
        <v>PROVISIONAL</v>
      </c>
      <c r="O183" s="17" t="str">
        <f t="shared" si="22"/>
        <v xml:space="preserve">ETCHEVERRY MARTIN                            </v>
      </c>
      <c r="P183" s="4" t="str">
        <f>IF(O183="vacante","vacante",IFERROR(IF(VLOOKUP(IF((M183)=" ",IF(COUNTBLANK(K183),I183,K183),M183),[3]Hoja1!$B:$I,4,0)="licencia","vacante"," ")," "))</f>
        <v xml:space="preserve"> </v>
      </c>
      <c r="Q183" s="4"/>
      <c r="R183">
        <f t="shared" si="24"/>
        <v>16</v>
      </c>
      <c r="S183" t="str">
        <f t="shared" si="23"/>
        <v>3°2°16</v>
      </c>
    </row>
    <row r="184" spans="1:19" ht="18.75" hidden="1" customHeight="1">
      <c r="A184" s="3" t="str">
        <f t="shared" si="20"/>
        <v>3°3°3BIO</v>
      </c>
      <c r="B184" s="3" t="s">
        <v>302</v>
      </c>
      <c r="C184" s="3"/>
      <c r="D184" s="3" t="s">
        <v>256</v>
      </c>
      <c r="E184" s="3">
        <v>1913939</v>
      </c>
      <c r="F184" s="3" t="str">
        <f>VLOOKUP(D184,[1]Hoja1!$A:$K,11,0)</f>
        <v>BIOLOGIA</v>
      </c>
      <c r="G184" s="7" t="s">
        <v>303</v>
      </c>
      <c r="H184" s="7"/>
      <c r="I184" s="5" t="s">
        <v>304</v>
      </c>
      <c r="J184" s="5"/>
      <c r="K184" s="6"/>
      <c r="L184" s="5" t="str">
        <f>IFERROR(VLOOKUP(CONCATENATE(A184,"S"),[2]Hoja1!$B:$N,5,0)," ")</f>
        <v xml:space="preserve"> </v>
      </c>
      <c r="M184" s="6" t="str">
        <f>IFERROR(VLOOKUP(CONCATENATE(A184,"S"),[2]Hoja1!$B:$N,6,0)," ")</f>
        <v xml:space="preserve"> </v>
      </c>
      <c r="N184" s="4" t="str">
        <f t="shared" si="21"/>
        <v>TITULAR</v>
      </c>
      <c r="O184" s="17" t="str">
        <f t="shared" si="22"/>
        <v xml:space="preserve">CANCELA GONZALEZ M </v>
      </c>
      <c r="P184" s="4" t="str">
        <f>IF(O184="vacante","vacante",IFERROR(IF(VLOOKUP(IF((M184)=" ",IF(COUNTBLANK(K184),I184,K184),M184),[3]Hoja1!$B:$I,4,0)="licencia","vacante"," ")," "))</f>
        <v xml:space="preserve"> </v>
      </c>
      <c r="Q184" s="4"/>
      <c r="R184">
        <f t="shared" si="24"/>
        <v>1</v>
      </c>
      <c r="S184" t="str">
        <f t="shared" si="23"/>
        <v>3°3°1</v>
      </c>
    </row>
    <row r="185" spans="1:19" ht="18.75" hidden="1" customHeight="1">
      <c r="A185" s="3" t="str">
        <f t="shared" si="20"/>
        <v>3°3°3CCD</v>
      </c>
      <c r="B185" s="3" t="s">
        <v>302</v>
      </c>
      <c r="C185" s="3"/>
      <c r="D185" s="3" t="s">
        <v>257</v>
      </c>
      <c r="E185" s="3">
        <v>1913965</v>
      </c>
      <c r="F185" s="3" t="str">
        <f>VLOOKUP(D185,[1]Hoja1!$A:$K,11,0)</f>
        <v>CONSTRUCCION DE LA CIUDADANIA</v>
      </c>
      <c r="G185" s="7" t="s">
        <v>305</v>
      </c>
      <c r="H185" s="7"/>
      <c r="I185" s="5" t="s">
        <v>306</v>
      </c>
      <c r="J185" s="5"/>
      <c r="K185" s="6"/>
      <c r="L185" s="5" t="str">
        <f>IFERROR(VLOOKUP(CONCATENATE(A185,"S"),[2]Hoja1!$B:$N,5,0)," ")</f>
        <v xml:space="preserve"> </v>
      </c>
      <c r="M185" s="6" t="str">
        <f>IFERROR(VLOOKUP(CONCATENATE(A185,"S"),[2]Hoja1!$B:$N,6,0)," ")</f>
        <v xml:space="preserve"> </v>
      </c>
      <c r="N185" s="4" t="str">
        <f t="shared" si="21"/>
        <v>TITULAR</v>
      </c>
      <c r="O185" s="17" t="str">
        <f t="shared" si="22"/>
        <v>HERRERA CARMEN</v>
      </c>
      <c r="P185" s="4" t="str">
        <f>IF(O185="vacante","vacante",IFERROR(IF(VLOOKUP(IF((M185)=" ",IF(COUNTBLANK(K185),I185,K185),M185),[3]Hoja1!$B:$I,4,0)="licencia","vacante"," ")," "))</f>
        <v xml:space="preserve"> </v>
      </c>
      <c r="Q185" s="4"/>
      <c r="R185">
        <f t="shared" si="24"/>
        <v>2</v>
      </c>
      <c r="S185" t="str">
        <f t="shared" si="23"/>
        <v>3°3°2</v>
      </c>
    </row>
    <row r="186" spans="1:19" ht="18.75" hidden="1" customHeight="1">
      <c r="A186" s="3" t="str">
        <f t="shared" si="20"/>
        <v>3°3°3ART</v>
      </c>
      <c r="B186" s="3" t="s">
        <v>302</v>
      </c>
      <c r="C186" s="3"/>
      <c r="D186" s="3" t="s">
        <v>260</v>
      </c>
      <c r="E186" s="3">
        <v>1913969</v>
      </c>
      <c r="F186" s="3" t="str">
        <f>VLOOKUP(D186,[1]Hoja1!$A:$K,11,0)</f>
        <v>EDUCACION ARTISTICA (PLASTICA)</v>
      </c>
      <c r="G186" s="7" t="s">
        <v>307</v>
      </c>
      <c r="H186" s="7"/>
      <c r="I186" s="5"/>
      <c r="J186" s="5"/>
      <c r="K186" s="6" t="s">
        <v>807</v>
      </c>
      <c r="L186" s="5" t="str">
        <f>IFERROR(VLOOKUP(CONCATENATE(A186,"S"),[2]Hoja1!$B:$N,5,0)," ")</f>
        <v xml:space="preserve"> </v>
      </c>
      <c r="M186" s="6" t="str">
        <f>IFERROR(VLOOKUP(CONCATENATE(A186,"S"),[2]Hoja1!$B:$N,6,0)," ")</f>
        <v xml:space="preserve"> </v>
      </c>
      <c r="N186" s="4" t="str">
        <f t="shared" si="21"/>
        <v>PROVISIONAL</v>
      </c>
      <c r="O186" s="17" t="str">
        <f t="shared" si="22"/>
        <v>PERALTA GISELA</v>
      </c>
      <c r="P186" s="4" t="str">
        <f>IF(O186="vacante","vacante",IFERROR(IF(VLOOKUP(IF((M186)=" ",IF(COUNTBLANK(K186),I186,K186),M186),[3]Hoja1!$B:$I,4,0)="licencia","vacante"," ")," "))</f>
        <v xml:space="preserve"> </v>
      </c>
      <c r="Q186" s="4"/>
      <c r="R186">
        <f t="shared" si="24"/>
        <v>3</v>
      </c>
      <c r="S186" t="str">
        <f t="shared" si="23"/>
        <v>3°3°3</v>
      </c>
    </row>
    <row r="187" spans="1:19" ht="18.75" hidden="1" customHeight="1">
      <c r="A187" s="3" t="str">
        <f t="shared" si="20"/>
        <v>3°3°3EFI</v>
      </c>
      <c r="B187" s="3" t="s">
        <v>302</v>
      </c>
      <c r="C187" s="3"/>
      <c r="D187" s="3" t="s">
        <v>262</v>
      </c>
      <c r="E187" s="3">
        <v>1913973</v>
      </c>
      <c r="F187" s="3" t="str">
        <f>VLOOKUP(D187,[1]Hoja1!$A:$K,11,0)</f>
        <v>EDUCACIÓN FISICA</v>
      </c>
      <c r="G187" s="7" t="s">
        <v>762</v>
      </c>
      <c r="H187" s="7"/>
      <c r="I187" s="5" t="s">
        <v>761</v>
      </c>
      <c r="J187" s="5"/>
      <c r="K187" s="6"/>
      <c r="L187" s="5" t="str">
        <f>IFERROR(VLOOKUP(CONCATENATE(A187,"S"),[2]Hoja1!$B:$N,5,0)," ")</f>
        <v xml:space="preserve"> </v>
      </c>
      <c r="M187" s="6" t="str">
        <f>IFERROR(VLOOKUP(CONCATENATE(A187,"S"),[2]Hoja1!$B:$N,6,0)," ")</f>
        <v xml:space="preserve"> </v>
      </c>
      <c r="N187" s="4" t="str">
        <f t="shared" si="21"/>
        <v>TITULAR</v>
      </c>
      <c r="O187" s="17" t="str">
        <f t="shared" si="22"/>
        <v xml:space="preserve">RIOS, LEONARDO  </v>
      </c>
      <c r="P187" s="4" t="str">
        <f>IF(O187="vacante","vacante",IFERROR(IF(VLOOKUP(IF((M187)=" ",IF(COUNTBLANK(K187),I187,K187),M187),[3]Hoja1!$B:$I,4,0)="licencia","vacante"," ")," "))</f>
        <v xml:space="preserve"> </v>
      </c>
      <c r="Q187" s="4"/>
      <c r="R187">
        <f t="shared" si="24"/>
        <v>4</v>
      </c>
      <c r="S187" t="str">
        <f t="shared" si="23"/>
        <v>3°3°4</v>
      </c>
    </row>
    <row r="188" spans="1:19" ht="18.75" hidden="1" customHeight="1">
      <c r="A188" s="3" t="str">
        <f t="shared" si="20"/>
        <v>3°3°3FI/QUI</v>
      </c>
      <c r="B188" s="3" t="s">
        <v>302</v>
      </c>
      <c r="C188" s="3"/>
      <c r="D188" s="3" t="s">
        <v>265</v>
      </c>
      <c r="E188" s="3">
        <v>1913974</v>
      </c>
      <c r="F188" s="3" t="str">
        <f>VLOOKUP(D188,[1]Hoja1!$A:$K,11,0)</f>
        <v>FISICO-QUIMICA</v>
      </c>
      <c r="G188" s="7" t="s">
        <v>764</v>
      </c>
      <c r="H188" s="7"/>
      <c r="I188" s="5" t="s">
        <v>763</v>
      </c>
      <c r="J188" s="5"/>
      <c r="K188" s="6"/>
      <c r="L188" s="5" t="str">
        <f>IFERROR(VLOOKUP(CONCATENATE(A188,"S"),[2]Hoja1!$B:$N,5,0)," ")</f>
        <v xml:space="preserve"> 27-26.381.174-2</v>
      </c>
      <c r="M188" s="6" t="str">
        <f>IFERROR(VLOOKUP(CONCATENATE(A188,"S"),[2]Hoja1!$B:$N,6,0)," ")</f>
        <v>DIEGO UGALDEA</v>
      </c>
      <c r="N188" s="4" t="str">
        <f t="shared" si="21"/>
        <v>SUPLENTE</v>
      </c>
      <c r="O188" s="17" t="str">
        <f t="shared" si="22"/>
        <v>DIEGO UGALDEA</v>
      </c>
      <c r="P188" s="4" t="str">
        <f>IF(O188="vacante","vacante",IFERROR(IF(VLOOKUP(IF((M188)=" ",IF(COUNTBLANK(K188),I188,K188),M188),[3]Hoja1!$B:$I,4,0)="licencia","vacante"," ")," "))</f>
        <v xml:space="preserve"> </v>
      </c>
      <c r="Q188" s="4"/>
      <c r="R188">
        <f t="shared" si="24"/>
        <v>5</v>
      </c>
      <c r="S188" t="str">
        <f t="shared" si="23"/>
        <v>3°3°5</v>
      </c>
    </row>
    <row r="189" spans="1:19" ht="18.75" hidden="1" customHeight="1">
      <c r="A189" s="3" t="str">
        <f t="shared" si="20"/>
        <v>3°3°3GEO</v>
      </c>
      <c r="B189" s="3" t="s">
        <v>302</v>
      </c>
      <c r="C189" s="3"/>
      <c r="D189" s="3" t="s">
        <v>267</v>
      </c>
      <c r="E189" s="3">
        <v>1913979</v>
      </c>
      <c r="F189" s="3" t="str">
        <f>VLOOKUP(D189,[1]Hoja1!$A:$K,11,0)</f>
        <v>GEOGRAFIA</v>
      </c>
      <c r="G189" s="7" t="s">
        <v>308</v>
      </c>
      <c r="H189" s="7"/>
      <c r="I189" s="38"/>
      <c r="J189" s="5">
        <v>27276906084</v>
      </c>
      <c r="K189" s="6" t="s">
        <v>811</v>
      </c>
      <c r="L189" s="5" t="str">
        <f>IFERROR(VLOOKUP(CONCATENATE(A189,"S"),[2]Hoja1!$B:$N,5,0)," ")</f>
        <v xml:space="preserve"> </v>
      </c>
      <c r="M189" s="6" t="str">
        <f>IFERROR(VLOOKUP(CONCATENATE(A189,"S"),[2]Hoja1!$B:$N,6,0)," ")</f>
        <v xml:space="preserve"> </v>
      </c>
      <c r="N189" s="4" t="str">
        <f t="shared" si="21"/>
        <v>PROVISIONAL</v>
      </c>
      <c r="O189" s="17" t="str">
        <f t="shared" si="22"/>
        <v xml:space="preserve"> ROJAS SOLEDAD</v>
      </c>
      <c r="P189" s="4" t="str">
        <f>IF(O189="vacante","vacante",IFERROR(IF(VLOOKUP(IF((M189)=" ",IF(COUNTBLANK(K189),I189,K189),M189),[3]Hoja1!$B:$I,4,0)="licencia","vacante"," ")," "))</f>
        <v xml:space="preserve"> </v>
      </c>
      <c r="Q189" s="4"/>
      <c r="R189">
        <f t="shared" si="24"/>
        <v>6</v>
      </c>
      <c r="S189" t="str">
        <f t="shared" si="23"/>
        <v>3°3°6</v>
      </c>
    </row>
    <row r="190" spans="1:19" ht="18.75" hidden="1" customHeight="1">
      <c r="A190" s="3" t="str">
        <f t="shared" si="20"/>
        <v>3°3°3HIS</v>
      </c>
      <c r="B190" s="3" t="s">
        <v>302</v>
      </c>
      <c r="C190" s="3"/>
      <c r="D190" s="3" t="s">
        <v>269</v>
      </c>
      <c r="E190" s="3">
        <v>1913981</v>
      </c>
      <c r="F190" s="3" t="str">
        <f>VLOOKUP(D190,[1]Hoja1!$A:$K,11,0)</f>
        <v>HISTORIA</v>
      </c>
      <c r="G190" s="7" t="s">
        <v>309</v>
      </c>
      <c r="H190" s="7" t="s">
        <v>310</v>
      </c>
      <c r="I190" s="5" t="s">
        <v>70</v>
      </c>
      <c r="J190" s="5"/>
      <c r="K190" s="6"/>
      <c r="L190" s="5" t="str">
        <f>IFERROR(VLOOKUP(CONCATENATE(A190,"S"),[2]Hoja1!$B:$N,5,0)," ")</f>
        <v xml:space="preserve"> </v>
      </c>
      <c r="M190" s="6" t="str">
        <f>IFERROR(VLOOKUP(CONCATENATE(A190,"S"),[2]Hoja1!$B:$N,6,0)," ")</f>
        <v xml:space="preserve"> </v>
      </c>
      <c r="N190" s="4" t="str">
        <f t="shared" si="21"/>
        <v>TITULAR</v>
      </c>
      <c r="O190" s="17" t="str">
        <f t="shared" si="22"/>
        <v xml:space="preserve">TORRES LUIS                    </v>
      </c>
      <c r="P190" s="4" t="str">
        <f>IF(O190="vacante","vacante",IFERROR(IF(VLOOKUP(IF((M190)=" ",IF(COUNTBLANK(K190),I190,K190),M190),[3]Hoja1!$B:$I,4,0)="licencia","vacante"," ")," "))</f>
        <v xml:space="preserve"> </v>
      </c>
      <c r="Q190" s="4"/>
      <c r="R190">
        <f t="shared" si="24"/>
        <v>7</v>
      </c>
      <c r="S190" t="str">
        <f t="shared" si="23"/>
        <v>3°3°7</v>
      </c>
    </row>
    <row r="191" spans="1:19" ht="18.75" hidden="1" customHeight="1">
      <c r="A191" s="3" t="str">
        <f t="shared" si="20"/>
        <v>3°3°3ING</v>
      </c>
      <c r="B191" s="3" t="s">
        <v>302</v>
      </c>
      <c r="C191" s="3"/>
      <c r="D191" s="3" t="s">
        <v>271</v>
      </c>
      <c r="E191" s="3">
        <v>1913982</v>
      </c>
      <c r="F191" s="3" t="str">
        <f>VLOOKUP(D191,[1]Hoja1!$A:$K,11,0)</f>
        <v>INGLÉS</v>
      </c>
      <c r="G191" s="7" t="s">
        <v>311</v>
      </c>
      <c r="H191" s="7" t="s">
        <v>312</v>
      </c>
      <c r="I191" s="5" t="s">
        <v>28</v>
      </c>
      <c r="J191" s="5"/>
      <c r="K191" s="6"/>
      <c r="L191" s="5" t="str">
        <f>IFERROR(VLOOKUP(CONCATENATE(A191,"S"),[2]Hoja1!$B:$N,5,0)," ")</f>
        <v xml:space="preserve"> </v>
      </c>
      <c r="M191" s="6" t="str">
        <f>IFERROR(VLOOKUP(CONCATENATE(A191,"S"),[2]Hoja1!$B:$N,6,0)," ")</f>
        <v xml:space="preserve"> </v>
      </c>
      <c r="N191" s="4" t="str">
        <f t="shared" si="21"/>
        <v>TITULAR</v>
      </c>
      <c r="O191" s="17" t="str">
        <f t="shared" si="22"/>
        <v xml:space="preserve">LEGUIZAMON ANA </v>
      </c>
      <c r="P191" s="4" t="str">
        <f>IF(O191="vacante","vacante",IFERROR(IF(VLOOKUP(IF((M191)=" ",IF(COUNTBLANK(K191),I191,K191),M191),[3]Hoja1!$B:$I,4,0)="licencia","vacante"," ")," "))</f>
        <v xml:space="preserve"> </v>
      </c>
      <c r="Q191" s="4"/>
      <c r="R191">
        <f t="shared" si="24"/>
        <v>8</v>
      </c>
      <c r="S191" t="str">
        <f t="shared" si="23"/>
        <v>3°3°8</v>
      </c>
    </row>
    <row r="192" spans="1:19" ht="18.75" hidden="1" customHeight="1">
      <c r="A192" s="3" t="str">
        <f t="shared" si="20"/>
        <v>3°3°3MAT</v>
      </c>
      <c r="B192" s="3" t="s">
        <v>302</v>
      </c>
      <c r="C192" s="3"/>
      <c r="D192" s="3" t="s">
        <v>273</v>
      </c>
      <c r="E192" s="3">
        <v>1913983</v>
      </c>
      <c r="F192" s="3" t="str">
        <f>VLOOKUP(D192,[1]Hoja1!$A:$K,11,0)</f>
        <v>MATEMATICA</v>
      </c>
      <c r="G192" s="7" t="s">
        <v>682</v>
      </c>
      <c r="H192" s="7" t="s">
        <v>683</v>
      </c>
      <c r="I192" s="5" t="s">
        <v>680</v>
      </c>
      <c r="J192" s="5"/>
      <c r="K192" s="6"/>
      <c r="L192" s="5" t="str">
        <f>IFERROR(VLOOKUP(CONCATENATE(A192,"S"),[2]Hoja1!$B:$N,5,0)," ")</f>
        <v xml:space="preserve"> </v>
      </c>
      <c r="M192" s="6" t="str">
        <f>IFERROR(VLOOKUP(CONCATENATE(A192,"S"),[2]Hoja1!$B:$N,6,0)," ")</f>
        <v xml:space="preserve"> </v>
      </c>
      <c r="N192" s="4" t="str">
        <f t="shared" si="21"/>
        <v>TITULAR</v>
      </c>
      <c r="O192" s="17" t="str">
        <f t="shared" si="22"/>
        <v xml:space="preserve">VARCHETTA, GABRIEL OMAR </v>
      </c>
      <c r="P192" s="4" t="str">
        <f>IF(O192="vacante","vacante",IFERROR(IF(VLOOKUP(IF((M192)=" ",IF(COUNTBLANK(K192),I192,K192),M192),[3]Hoja1!$B:$I,4,0)="licencia","vacante"," ")," "))</f>
        <v xml:space="preserve"> </v>
      </c>
      <c r="Q192" s="4"/>
      <c r="R192">
        <f t="shared" si="24"/>
        <v>9</v>
      </c>
      <c r="S192" t="str">
        <f t="shared" si="23"/>
        <v>3°3°9</v>
      </c>
    </row>
    <row r="193" spans="1:19" ht="18.75" hidden="1" customHeight="1">
      <c r="A193" s="3" t="str">
        <f t="shared" si="20"/>
        <v>3°3°3PLG</v>
      </c>
      <c r="B193" s="3" t="s">
        <v>302</v>
      </c>
      <c r="C193" s="3"/>
      <c r="D193" s="3" t="s">
        <v>277</v>
      </c>
      <c r="E193" s="3">
        <v>1913986</v>
      </c>
      <c r="F193" s="3" t="str">
        <f>VLOOKUP(D193,[1]Hoja1!$A:$K,11,0)</f>
        <v>PRACTICA DEL LENGUAJE</v>
      </c>
      <c r="G193" s="7">
        <v>13642940</v>
      </c>
      <c r="H193" s="7" t="s">
        <v>99</v>
      </c>
      <c r="I193" s="5" t="s">
        <v>313</v>
      </c>
      <c r="J193" s="5"/>
      <c r="K193" s="6"/>
      <c r="L193" s="5" t="str">
        <f>IFERROR(VLOOKUP(CONCATENATE(A193,"S"),[2]Hoja1!$B:$N,5,0)," ")</f>
        <v xml:space="preserve"> </v>
      </c>
      <c r="M193" s="6" t="str">
        <f>IFERROR(VLOOKUP(CONCATENATE(A193,"S"),[2]Hoja1!$B:$N,6,0)," ")</f>
        <v xml:space="preserve"> </v>
      </c>
      <c r="N193" s="4" t="str">
        <f t="shared" si="21"/>
        <v>TITULAR</v>
      </c>
      <c r="O193" s="17" t="str">
        <f t="shared" si="22"/>
        <v>CARESTIA, NOEMI</v>
      </c>
      <c r="P193" s="4" t="str">
        <f>IF(O193="vacante","vacante",IFERROR(IF(VLOOKUP(IF((M193)=" ",IF(COUNTBLANK(K193),I193,K193),M193),[3]Hoja1!$B:$I,4,0)="licencia","vacante"," ")," "))</f>
        <v xml:space="preserve"> </v>
      </c>
      <c r="Q193" s="4"/>
      <c r="R193">
        <f t="shared" si="24"/>
        <v>10</v>
      </c>
      <c r="S193" t="str">
        <f t="shared" si="23"/>
        <v>3°3°10</v>
      </c>
    </row>
    <row r="194" spans="1:19" ht="18.75" hidden="1" customHeight="1">
      <c r="A194" s="3" t="str">
        <f t="shared" ref="A194:A253" si="25">CONCATENATE(B194,C194,D194)</f>
        <v>3°3°3313TLT3</v>
      </c>
      <c r="B194" s="3" t="s">
        <v>302</v>
      </c>
      <c r="C194" s="3">
        <v>331</v>
      </c>
      <c r="D194" s="3" t="s">
        <v>279</v>
      </c>
      <c r="E194" s="3">
        <v>1913987</v>
      </c>
      <c r="F194" s="3" t="str">
        <f>VLOOKUP(D194,[1]Hoja1!$A:$K,11,0)</f>
        <v>LENGUAJES TECNOLOGICOS</v>
      </c>
      <c r="G194" s="7" t="s">
        <v>314</v>
      </c>
      <c r="H194" s="7" t="s">
        <v>78</v>
      </c>
      <c r="I194" s="5" t="s">
        <v>43</v>
      </c>
      <c r="J194" s="5"/>
      <c r="K194" s="6"/>
      <c r="L194" s="5">
        <f>IFERROR(VLOOKUP(CONCATENATE(A194,"S"),[2]Hoja1!$B:$N,5,0)," ")</f>
        <v>20445049736</v>
      </c>
      <c r="M194" s="6" t="str">
        <f>IFERROR(VLOOKUP(CONCATENATE(A194,"S"),[2]Hoja1!$B:$N,6,0)," ")</f>
        <v>MARCELO ELIAN GONZÁLEZ BALDERRAMA</v>
      </c>
      <c r="N194" s="4" t="str">
        <f t="shared" ref="N194:N253" si="26">IF((M194)=" ",IF(COUNTBLANK(K194),"TITULAR","PROVISIONAL"),"SUPLENTE")</f>
        <v>SUPLENTE</v>
      </c>
      <c r="O194" s="17" t="str">
        <f t="shared" ref="O194:O253" si="27">IF((M194)=" ",IF(COUNTBLANK(K194),I194,K194),M194)</f>
        <v>MARCELO ELIAN GONZÁLEZ BALDERRAMA</v>
      </c>
      <c r="P194" s="4" t="str">
        <f>IF(O194="vacante","vacante",IFERROR(IF(VLOOKUP(IF((M194)=" ",IF(COUNTBLANK(K194),I194,K194),M194),[3]Hoja1!$B:$I,4,0)="licencia","vacante"," ")," "))</f>
        <v xml:space="preserve"> </v>
      </c>
      <c r="Q194" s="4"/>
      <c r="R194">
        <f t="shared" si="24"/>
        <v>11</v>
      </c>
      <c r="S194" t="str">
        <f t="shared" ref="S194:S253" si="28">CONCATENATE(B194,R194)</f>
        <v>3°3°11</v>
      </c>
    </row>
    <row r="195" spans="1:19" ht="18.75" hidden="1" customHeight="1">
      <c r="A195" s="3" t="str">
        <f t="shared" si="25"/>
        <v>3°3°3313TST3</v>
      </c>
      <c r="B195" s="3" t="s">
        <v>302</v>
      </c>
      <c r="C195" s="3">
        <v>331</v>
      </c>
      <c r="D195" s="3" t="s">
        <v>282</v>
      </c>
      <c r="E195" s="3">
        <v>1914000</v>
      </c>
      <c r="F195" s="3" t="str">
        <f>VLOOKUP(D195,[1]Hoja1!$A:$K,11,0)</f>
        <v>SISTEMAS TECNOLOGICOS</v>
      </c>
      <c r="G195" s="7"/>
      <c r="H195" s="7"/>
      <c r="I195" s="5"/>
      <c r="J195" s="5" t="s">
        <v>684</v>
      </c>
      <c r="K195" s="6" t="s">
        <v>659</v>
      </c>
      <c r="L195" s="5" t="str">
        <f>IFERROR(VLOOKUP(CONCATENATE(A195,"S"),[2]Hoja1!$B:$N,5,0)," ")</f>
        <v xml:space="preserve"> </v>
      </c>
      <c r="M195" s="6" t="str">
        <f>IFERROR(VLOOKUP(CONCATENATE(A195,"S"),[2]Hoja1!$B:$N,6,0)," ")</f>
        <v xml:space="preserve"> </v>
      </c>
      <c r="N195" s="4" t="str">
        <f t="shared" si="26"/>
        <v>PROVISIONAL</v>
      </c>
      <c r="O195" s="17" t="str">
        <f t="shared" si="27"/>
        <v>DANIEL PAZ</v>
      </c>
      <c r="P195" s="4" t="str">
        <f>IF(O195="vacante","vacante",IFERROR(IF(VLOOKUP(IF((M195)=" ",IF(COUNTBLANK(K195),I195,K195),M195),[3]Hoja1!$B:$I,4,0)="licencia","vacante"," ")," "))</f>
        <v xml:space="preserve"> </v>
      </c>
      <c r="Q195" s="4"/>
      <c r="R195">
        <f t="shared" ref="R195:R254" si="29">IF(B195=B194,R194+1,1)</f>
        <v>12</v>
      </c>
      <c r="S195" t="str">
        <f t="shared" si="28"/>
        <v>3°3°12</v>
      </c>
    </row>
    <row r="196" spans="1:19" ht="18.75" hidden="1" customHeight="1">
      <c r="A196" s="3" t="str">
        <f t="shared" si="25"/>
        <v>3°3°3313TPT3</v>
      </c>
      <c r="B196" s="3" t="s">
        <v>302</v>
      </c>
      <c r="C196" s="3">
        <v>331</v>
      </c>
      <c r="D196" s="3" t="s">
        <v>284</v>
      </c>
      <c r="E196" s="3">
        <v>1913994</v>
      </c>
      <c r="F196" s="3" t="str">
        <f>VLOOKUP(D196,[1]Hoja1!$A:$K,11,0)</f>
        <v>PROCEDIMIENTOS TECNICOS</v>
      </c>
      <c r="G196" s="7"/>
      <c r="H196" s="7"/>
      <c r="I196" s="5"/>
      <c r="J196" s="5" t="s">
        <v>59</v>
      </c>
      <c r="K196" s="6" t="s">
        <v>60</v>
      </c>
      <c r="L196" s="5" t="str">
        <f>IFERROR(VLOOKUP(CONCATENATE(A196,"S"),[2]Hoja1!$B:$N,5,0)," ")</f>
        <v xml:space="preserve"> </v>
      </c>
      <c r="M196" s="6" t="str">
        <f>IFERROR(VLOOKUP(CONCATENATE(A196,"S"),[2]Hoja1!$B:$N,6,0)," ")</f>
        <v xml:space="preserve"> </v>
      </c>
      <c r="N196" s="4" t="str">
        <f t="shared" si="26"/>
        <v>PROVISIONAL</v>
      </c>
      <c r="O196" s="17" t="str">
        <f t="shared" si="27"/>
        <v xml:space="preserve">CHAMORRO CRISTIAN </v>
      </c>
      <c r="P196" s="4" t="str">
        <f>IF(O196="vacante","vacante",IFERROR(IF(VLOOKUP(IF((M196)=" ",IF(COUNTBLANK(K196),I196,K196),M196),[3]Hoja1!$B:$I,4,0)="licencia","vacante"," ")," "))</f>
        <v xml:space="preserve"> </v>
      </c>
      <c r="Q196" s="4"/>
      <c r="R196">
        <f t="shared" si="29"/>
        <v>13</v>
      </c>
      <c r="S196" t="str">
        <f t="shared" si="28"/>
        <v>3°3°13</v>
      </c>
    </row>
    <row r="197" spans="1:19" ht="18.75" hidden="1" customHeight="1">
      <c r="A197" s="3" t="str">
        <f t="shared" si="25"/>
        <v>3°3°3323TLT3</v>
      </c>
      <c r="B197" s="3" t="s">
        <v>302</v>
      </c>
      <c r="C197" s="3">
        <v>332</v>
      </c>
      <c r="D197" s="3" t="s">
        <v>279</v>
      </c>
      <c r="E197" s="3">
        <v>1913991</v>
      </c>
      <c r="F197" s="3" t="str">
        <f>VLOOKUP(D197,[1]Hoja1!$A:$K,11,0)</f>
        <v>LENGUAJES TECNOLOGICOS</v>
      </c>
      <c r="G197" s="7"/>
      <c r="H197" s="7"/>
      <c r="I197" s="5"/>
      <c r="J197" s="5" t="s">
        <v>315</v>
      </c>
      <c r="K197" s="6" t="s">
        <v>316</v>
      </c>
      <c r="L197" s="5" t="str">
        <f>IFERROR(VLOOKUP(CONCATENATE(A197,"S"),[2]Hoja1!$B:$N,5,0)," ")</f>
        <v xml:space="preserve"> </v>
      </c>
      <c r="M197" s="6" t="str">
        <f>IFERROR(VLOOKUP(CONCATENATE(A197,"S"),[2]Hoja1!$B:$N,6,0)," ")</f>
        <v xml:space="preserve"> </v>
      </c>
      <c r="N197" s="4" t="str">
        <f t="shared" si="26"/>
        <v>PROVISIONAL</v>
      </c>
      <c r="O197" s="17" t="str">
        <f t="shared" si="27"/>
        <v xml:space="preserve">PROCHOR PABLO  </v>
      </c>
      <c r="P197" s="4" t="str">
        <f>IF(O197="vacante","vacante",IFERROR(IF(VLOOKUP(IF((M197)=" ",IF(COUNTBLANK(K197),I197,K197),M197),[3]Hoja1!$B:$I,4,0)="licencia","vacante"," ")," "))</f>
        <v xml:space="preserve"> </v>
      </c>
      <c r="Q197" s="4"/>
      <c r="R197">
        <f t="shared" si="29"/>
        <v>14</v>
      </c>
      <c r="S197" t="str">
        <f t="shared" si="28"/>
        <v>3°3°14</v>
      </c>
    </row>
    <row r="198" spans="1:19" ht="18.75" hidden="1" customHeight="1">
      <c r="A198" s="3" t="str">
        <f t="shared" si="25"/>
        <v>3°3°3323TST3</v>
      </c>
      <c r="B198" s="3" t="s">
        <v>302</v>
      </c>
      <c r="C198" s="3">
        <v>332</v>
      </c>
      <c r="D198" s="3" t="s">
        <v>282</v>
      </c>
      <c r="E198" s="3">
        <v>1914002</v>
      </c>
      <c r="F198" s="3" t="str">
        <f>VLOOKUP(D198,[1]Hoja1!$A:$K,11,0)</f>
        <v>SISTEMAS TECNOLOGICOS</v>
      </c>
      <c r="G198" s="7"/>
      <c r="H198" s="7"/>
      <c r="I198" s="5"/>
      <c r="J198" s="5" t="s">
        <v>317</v>
      </c>
      <c r="K198" s="6" t="s">
        <v>318</v>
      </c>
      <c r="L198" s="5" t="str">
        <f>IFERROR(VLOOKUP(CONCATENATE(A198,"S"),[2]Hoja1!$B:$N,5,0)," ")</f>
        <v xml:space="preserve"> </v>
      </c>
      <c r="M198" s="6" t="str">
        <f>IFERROR(VLOOKUP(CONCATENATE(A198,"S"),[2]Hoja1!$B:$N,6,0)," ")</f>
        <v xml:space="preserve"> </v>
      </c>
      <c r="N198" s="4" t="str">
        <f t="shared" si="26"/>
        <v>PROVISIONAL</v>
      </c>
      <c r="O198" s="17" t="str">
        <f t="shared" si="27"/>
        <v>CORDOBA ALEJANDRO</v>
      </c>
      <c r="P198" s="4" t="str">
        <f>IF(O198="vacante","vacante",IFERROR(IF(VLOOKUP(IF((M198)=" ",IF(COUNTBLANK(K198),I198,K198),M198),[3]Hoja1!$B:$I,4,0)="licencia","vacante"," ")," "))</f>
        <v xml:space="preserve"> </v>
      </c>
      <c r="Q198" s="4" t="s">
        <v>319</v>
      </c>
      <c r="R198">
        <f t="shared" si="29"/>
        <v>15</v>
      </c>
      <c r="S198" t="str">
        <f t="shared" si="28"/>
        <v>3°3°15</v>
      </c>
    </row>
    <row r="199" spans="1:19" ht="18.75" hidden="1" customHeight="1">
      <c r="A199" s="3" t="str">
        <f t="shared" si="25"/>
        <v>3°3°3323TPT3</v>
      </c>
      <c r="B199" s="3" t="s">
        <v>302</v>
      </c>
      <c r="C199" s="3">
        <v>332</v>
      </c>
      <c r="D199" s="3" t="s">
        <v>284</v>
      </c>
      <c r="E199" s="3">
        <v>1913997</v>
      </c>
      <c r="F199" s="3" t="str">
        <f>VLOOKUP(D199,[1]Hoja1!$A:$K,11,0)</f>
        <v>PROCEDIMIENTOS TECNICOS</v>
      </c>
      <c r="G199" s="7"/>
      <c r="H199" s="7"/>
      <c r="I199" s="5"/>
      <c r="J199" s="5" t="s">
        <v>320</v>
      </c>
      <c r="K199" s="6" t="s">
        <v>321</v>
      </c>
      <c r="L199" s="5">
        <f>IFERROR(VLOOKUP(CONCATENATE(A199,"S"),[2]Hoja1!$B:$N,5,0)," ")</f>
        <v>0</v>
      </c>
      <c r="M199" s="6" t="str">
        <f>IFERROR(VLOOKUP(CONCATENATE(A199,"S"),[2]Hoja1!$B:$N,6,0)," ")</f>
        <v>CRUZ DAVID</v>
      </c>
      <c r="N199" s="4" t="str">
        <f t="shared" si="26"/>
        <v>SUPLENTE</v>
      </c>
      <c r="O199" s="17" t="str">
        <f t="shared" si="27"/>
        <v>CRUZ DAVID</v>
      </c>
      <c r="P199" s="4" t="str">
        <f>IF(O199="vacante","vacante",IFERROR(IF(VLOOKUP(IF((M199)=" ",IF(COUNTBLANK(K199),I199,K199),M199),[3]Hoja1!$B:$I,4,0)="licencia","vacante"," ")," "))</f>
        <v xml:space="preserve"> </v>
      </c>
      <c r="Q199" s="4"/>
      <c r="R199">
        <f t="shared" si="29"/>
        <v>16</v>
      </c>
      <c r="S199" t="str">
        <f t="shared" si="28"/>
        <v>3°3°16</v>
      </c>
    </row>
    <row r="200" spans="1:19" ht="18.75" hidden="1" customHeight="1">
      <c r="A200" s="3" t="str">
        <f t="shared" si="25"/>
        <v>3°4°3BIO</v>
      </c>
      <c r="B200" s="3" t="s">
        <v>322</v>
      </c>
      <c r="C200" s="3"/>
      <c r="D200" s="3" t="s">
        <v>256</v>
      </c>
      <c r="E200" s="3">
        <v>1492277</v>
      </c>
      <c r="F200" s="3" t="str">
        <f>VLOOKUP(D200,[1]Hoja1!$A:$K,11,0)</f>
        <v>BIOLOGIA</v>
      </c>
      <c r="G200" s="7">
        <v>27374304084</v>
      </c>
      <c r="H200" s="7" t="s">
        <v>681</v>
      </c>
      <c r="I200" s="5" t="s">
        <v>686</v>
      </c>
      <c r="J200" s="5"/>
      <c r="K200" s="6"/>
      <c r="L200" s="5" t="str">
        <f>IFERROR(VLOOKUP(CONCATENATE(A200,"S"),[2]Hoja1!$B:$N,5,0)," ")</f>
        <v xml:space="preserve"> </v>
      </c>
      <c r="M200" s="6" t="str">
        <f>IFERROR(VLOOKUP(CONCATENATE(A200,"S"),[2]Hoja1!$B:$N,6,0)," ")</f>
        <v xml:space="preserve"> </v>
      </c>
      <c r="N200" s="4" t="str">
        <f t="shared" si="26"/>
        <v>TITULAR</v>
      </c>
      <c r="O200" s="17" t="str">
        <f t="shared" si="27"/>
        <v>OLIVIERI, ROMINA DE LOS MILAGR</v>
      </c>
      <c r="P200" s="4" t="str">
        <f>IF(O200="vacante","vacante",IFERROR(IF(VLOOKUP(IF((M200)=" ",IF(COUNTBLANK(K200),I200,K200),M200),[3]Hoja1!$B:$I,4,0)="licencia","vacante"," ")," "))</f>
        <v xml:space="preserve"> </v>
      </c>
      <c r="Q200" s="4"/>
      <c r="R200">
        <f t="shared" si="29"/>
        <v>1</v>
      </c>
      <c r="S200" t="str">
        <f t="shared" si="28"/>
        <v>3°4°1</v>
      </c>
    </row>
    <row r="201" spans="1:19" ht="18.75" hidden="1" customHeight="1">
      <c r="A201" s="3" t="str">
        <f t="shared" si="25"/>
        <v>3°4°3CCD</v>
      </c>
      <c r="B201" s="3" t="s">
        <v>322</v>
      </c>
      <c r="C201" s="3"/>
      <c r="D201" s="3" t="s">
        <v>257</v>
      </c>
      <c r="E201" s="3">
        <v>1492270</v>
      </c>
      <c r="F201" s="3" t="str">
        <f>VLOOKUP(D201,[1]Hoja1!$A:$K,11,0)</f>
        <v>CONSTRUCCION DE LA CIUDADANIA</v>
      </c>
      <c r="G201" s="7" t="s">
        <v>323</v>
      </c>
      <c r="H201" s="7" t="s">
        <v>324</v>
      </c>
      <c r="I201" s="5" t="s">
        <v>325</v>
      </c>
      <c r="J201" s="5" t="s">
        <v>326</v>
      </c>
      <c r="K201" s="6" t="s">
        <v>327</v>
      </c>
      <c r="L201" s="5" t="str">
        <f>IFERROR(VLOOKUP(CONCATENATE(A201,"S"),[2]Hoja1!$B:$N,5,0)," ")</f>
        <v xml:space="preserve"> </v>
      </c>
      <c r="M201" s="6" t="str">
        <f>IFERROR(VLOOKUP(CONCATENATE(A201,"S"),[2]Hoja1!$B:$N,6,0)," ")</f>
        <v xml:space="preserve"> </v>
      </c>
      <c r="N201" s="4" t="str">
        <f t="shared" si="26"/>
        <v>PROVISIONAL</v>
      </c>
      <c r="O201" s="17" t="str">
        <f t="shared" si="27"/>
        <v xml:space="preserve">GORDILLO NORA </v>
      </c>
      <c r="P201" s="4" t="str">
        <f>IF(O201="vacante","vacante",IFERROR(IF(VLOOKUP(IF((M201)=" ",IF(COUNTBLANK(K201),I201,K201),M201),[3]Hoja1!$B:$I,4,0)="licencia","vacante"," ")," "))</f>
        <v xml:space="preserve"> </v>
      </c>
      <c r="Q201" s="4"/>
      <c r="R201">
        <f t="shared" si="29"/>
        <v>2</v>
      </c>
      <c r="S201" t="str">
        <f t="shared" si="28"/>
        <v>3°4°2</v>
      </c>
    </row>
    <row r="202" spans="1:19" ht="18.75" hidden="1" customHeight="1">
      <c r="A202" s="3" t="str">
        <f t="shared" si="25"/>
        <v>3°4°3ART</v>
      </c>
      <c r="B202" s="3" t="s">
        <v>322</v>
      </c>
      <c r="C202" s="3"/>
      <c r="D202" s="3" t="s">
        <v>260</v>
      </c>
      <c r="E202" s="3">
        <v>1492045</v>
      </c>
      <c r="F202" s="3" t="str">
        <f>VLOOKUP(D202,[1]Hoja1!$A:$K,11,0)</f>
        <v>EDUCACION ARTISTICA (PLASTICA)</v>
      </c>
      <c r="G202" s="7">
        <v>25863832</v>
      </c>
      <c r="H202" s="7" t="s">
        <v>803</v>
      </c>
      <c r="I202" s="42" t="s">
        <v>802</v>
      </c>
      <c r="J202" s="5"/>
      <c r="K202" s="6"/>
      <c r="L202" s="5" t="str">
        <f>IFERROR(VLOOKUP(CONCATENATE(A202,"S"),[2]Hoja1!$B:$N,5,0)," ")</f>
        <v xml:space="preserve"> </v>
      </c>
      <c r="M202" s="6" t="str">
        <f>IFERROR(VLOOKUP(CONCATENATE(A202,"S"),[2]Hoja1!$B:$N,6,0)," ")</f>
        <v xml:space="preserve"> </v>
      </c>
      <c r="N202" s="4" t="str">
        <f t="shared" si="26"/>
        <v>TITULAR</v>
      </c>
      <c r="O202" s="17" t="str">
        <f t="shared" si="27"/>
        <v>BRENDT YANINA</v>
      </c>
      <c r="P202" s="4" t="str">
        <f>IF(O202="vacante","vacante",IFERROR(IF(VLOOKUP(IF((M202)=" ",IF(COUNTBLANK(K202),I202,K202),M202),[3]Hoja1!$B:$I,4,0)="licencia","vacante"," ")," "))</f>
        <v xml:space="preserve"> </v>
      </c>
      <c r="Q202" s="4"/>
      <c r="R202">
        <f t="shared" si="29"/>
        <v>3</v>
      </c>
      <c r="S202" t="str">
        <f t="shared" si="28"/>
        <v>3°4°3</v>
      </c>
    </row>
    <row r="203" spans="1:19" ht="18.75" hidden="1" customHeight="1">
      <c r="A203" s="3" t="str">
        <f t="shared" si="25"/>
        <v>3°4°3EFI</v>
      </c>
      <c r="B203" s="3" t="s">
        <v>322</v>
      </c>
      <c r="C203" s="3"/>
      <c r="D203" s="3" t="s">
        <v>262</v>
      </c>
      <c r="E203" s="3">
        <v>1492060</v>
      </c>
      <c r="F203" s="3" t="str">
        <f>VLOOKUP(D203,[1]Hoja1!$A:$K,11,0)</f>
        <v>EDUCACIÓN FISICA</v>
      </c>
      <c r="G203" s="7" t="s">
        <v>329</v>
      </c>
      <c r="H203" s="7"/>
      <c r="I203" s="5" t="s">
        <v>765</v>
      </c>
      <c r="J203" s="5"/>
      <c r="K203" s="6"/>
      <c r="L203" s="5" t="str">
        <f>IFERROR(VLOOKUP(CONCATENATE(A203,"S"),[2]Hoja1!$B:$N,5,0)," ")</f>
        <v xml:space="preserve"> </v>
      </c>
      <c r="M203" s="6" t="str">
        <f>IFERROR(VLOOKUP(CONCATENATE(A203,"S"),[2]Hoja1!$B:$N,6,0)," ")</f>
        <v xml:space="preserve"> </v>
      </c>
      <c r="N203" s="4" t="str">
        <f t="shared" si="26"/>
        <v>TITULAR</v>
      </c>
      <c r="O203" s="17" t="str">
        <f t="shared" si="27"/>
        <v>PERALTA ARIANA INT 2026</v>
      </c>
      <c r="P203" s="4" t="str">
        <f>IF(O203="vacante","vacante",IFERROR(IF(VLOOKUP(IF((M203)=" ",IF(COUNTBLANK(K203),I203,K203),M203),[3]Hoja1!$B:$I,4,0)="licencia","vacante"," ")," "))</f>
        <v xml:space="preserve"> </v>
      </c>
      <c r="Q203" s="4" t="s">
        <v>619</v>
      </c>
      <c r="R203">
        <f t="shared" si="29"/>
        <v>4</v>
      </c>
      <c r="S203" t="str">
        <f t="shared" si="28"/>
        <v>3°4°4</v>
      </c>
    </row>
    <row r="204" spans="1:19" ht="18.75" hidden="1" customHeight="1">
      <c r="A204" s="3" t="str">
        <f t="shared" si="25"/>
        <v>3°4°3FI/QUI</v>
      </c>
      <c r="B204" s="3" t="s">
        <v>322</v>
      </c>
      <c r="C204" s="3"/>
      <c r="D204" s="3" t="s">
        <v>265</v>
      </c>
      <c r="E204" s="3">
        <v>1492069</v>
      </c>
      <c r="F204" s="3" t="str">
        <f>VLOOKUP(D204,[1]Hoja1!$A:$K,11,0)</f>
        <v>FISICO-QUIMICA</v>
      </c>
      <c r="G204" s="7" t="s">
        <v>711</v>
      </c>
      <c r="H204" s="7"/>
      <c r="I204" s="5" t="s">
        <v>743</v>
      </c>
      <c r="J204" s="5"/>
      <c r="K204" s="6"/>
      <c r="L204" s="5" t="str">
        <f>IFERROR(VLOOKUP(CONCATENATE(A204,"S"),[2]Hoja1!$B:$N,5,0)," ")</f>
        <v xml:space="preserve"> </v>
      </c>
      <c r="M204" s="6" t="str">
        <f>IFERROR(VLOOKUP(CONCATENATE(A204,"S"),[2]Hoja1!$B:$N,6,0)," ")</f>
        <v xml:space="preserve"> </v>
      </c>
      <c r="N204" s="4" t="str">
        <f t="shared" si="26"/>
        <v>TITULAR</v>
      </c>
      <c r="O204" s="17" t="str">
        <f t="shared" si="27"/>
        <v xml:space="preserve">PORQUERES, MATIAS </v>
      </c>
      <c r="P204" s="4" t="str">
        <f>IF(O204="vacante","vacante",IFERROR(IF(VLOOKUP(IF((M204)=" ",IF(COUNTBLANK(K204),I204,K204),M204),[3]Hoja1!$B:$I,4,0)="licencia","vacante"," ")," "))</f>
        <v xml:space="preserve"> </v>
      </c>
      <c r="Q204" s="4"/>
      <c r="R204">
        <f t="shared" si="29"/>
        <v>5</v>
      </c>
      <c r="S204" t="str">
        <f t="shared" si="28"/>
        <v>3°4°5</v>
      </c>
    </row>
    <row r="205" spans="1:19" ht="18.75" hidden="1" customHeight="1">
      <c r="A205" s="3" t="str">
        <f t="shared" si="25"/>
        <v>3°4°3GEO</v>
      </c>
      <c r="B205" s="3" t="s">
        <v>322</v>
      </c>
      <c r="C205" s="3"/>
      <c r="D205" s="3" t="s">
        <v>267</v>
      </c>
      <c r="E205" s="3">
        <v>1492267</v>
      </c>
      <c r="F205" s="3" t="str">
        <f>VLOOKUP(D205,[1]Hoja1!$A:$K,11,0)</f>
        <v>GEOGRAFIA</v>
      </c>
      <c r="G205" s="7" t="s">
        <v>799</v>
      </c>
      <c r="H205" s="7"/>
      <c r="I205" s="35" t="s">
        <v>798</v>
      </c>
      <c r="J205" s="5"/>
      <c r="K205" s="6"/>
      <c r="L205" s="5" t="str">
        <f>IFERROR(VLOOKUP(CONCATENATE(A205,"S"),[2]Hoja1!$B:$N,5,0)," ")</f>
        <v xml:space="preserve"> </v>
      </c>
      <c r="M205" s="6" t="str">
        <f>IFERROR(VLOOKUP(CONCATENATE(A205,"S"),[2]Hoja1!$B:$N,6,0)," ")</f>
        <v xml:space="preserve"> </v>
      </c>
      <c r="N205" s="4" t="str">
        <f t="shared" si="26"/>
        <v>TITULAR</v>
      </c>
      <c r="O205" s="17" t="str">
        <f t="shared" si="27"/>
        <v>ROJAS SOLEDAD</v>
      </c>
      <c r="P205" s="4" t="str">
        <f>IF(O205="vacante","vacante",IFERROR(IF(VLOOKUP(IF((M205)=" ",IF(COUNTBLANK(K205),I205,K205),M205),[3]Hoja1!$B:$I,4,0)="licencia","vacante"," ")," "))</f>
        <v xml:space="preserve"> </v>
      </c>
      <c r="Q205" s="4"/>
      <c r="R205">
        <f t="shared" si="29"/>
        <v>6</v>
      </c>
      <c r="S205" t="str">
        <f t="shared" si="28"/>
        <v>3°4°6</v>
      </c>
    </row>
    <row r="206" spans="1:19" ht="18.75" hidden="1" customHeight="1">
      <c r="A206" s="3" t="str">
        <f t="shared" si="25"/>
        <v>3°4°3HIS</v>
      </c>
      <c r="B206" s="3" t="s">
        <v>322</v>
      </c>
      <c r="C206" s="3"/>
      <c r="D206" s="3" t="s">
        <v>269</v>
      </c>
      <c r="E206" s="3">
        <v>1492087</v>
      </c>
      <c r="F206" s="3" t="str">
        <f>VLOOKUP(D206,[1]Hoja1!$A:$K,11,0)</f>
        <v>HISTORIA</v>
      </c>
      <c r="G206" s="7" t="s">
        <v>330</v>
      </c>
      <c r="H206" s="7"/>
      <c r="I206" s="5" t="s">
        <v>70</v>
      </c>
      <c r="J206" s="5"/>
      <c r="K206" s="6"/>
      <c r="L206" s="5" t="str">
        <f>IFERROR(VLOOKUP(CONCATENATE(A206,"S"),[2]Hoja1!$B:$N,5,0)," ")</f>
        <v xml:space="preserve"> </v>
      </c>
      <c r="M206" s="6" t="str">
        <f>IFERROR(VLOOKUP(CONCATENATE(A206,"S"),[2]Hoja1!$B:$N,6,0)," ")</f>
        <v xml:space="preserve"> </v>
      </c>
      <c r="N206" s="4" t="str">
        <f t="shared" si="26"/>
        <v>TITULAR</v>
      </c>
      <c r="O206" s="17" t="str">
        <f t="shared" si="27"/>
        <v xml:space="preserve">TORRES LUIS                    </v>
      </c>
      <c r="P206" s="4" t="str">
        <f>IF(O206="vacante","vacante",IFERROR(IF(VLOOKUP(IF((M206)=" ",IF(COUNTBLANK(K206),I206,K206),M206),[3]Hoja1!$B:$I,4,0)="licencia","vacante"," ")," "))</f>
        <v xml:space="preserve"> </v>
      </c>
      <c r="Q206" s="4"/>
      <c r="R206">
        <f t="shared" si="29"/>
        <v>7</v>
      </c>
      <c r="S206" t="str">
        <f t="shared" si="28"/>
        <v>3°4°7</v>
      </c>
    </row>
    <row r="207" spans="1:19" ht="18.75" hidden="1" customHeight="1">
      <c r="A207" s="3" t="str">
        <f t="shared" si="25"/>
        <v>3°4°3ING</v>
      </c>
      <c r="B207" s="3" t="s">
        <v>322</v>
      </c>
      <c r="C207" s="3"/>
      <c r="D207" s="3" t="s">
        <v>271</v>
      </c>
      <c r="E207" s="3">
        <v>1492005</v>
      </c>
      <c r="F207" s="3" t="str">
        <f>VLOOKUP(D207,[1]Hoja1!$A:$K,11,0)</f>
        <v>INGLÉS</v>
      </c>
      <c r="G207" s="7" t="s">
        <v>55</v>
      </c>
      <c r="H207" s="7"/>
      <c r="I207" s="5" t="s">
        <v>57</v>
      </c>
      <c r="J207" s="5"/>
      <c r="K207" s="6"/>
      <c r="L207" s="5" t="str">
        <f>IFERROR(VLOOKUP(CONCATENATE(A207,"S"),[2]Hoja1!$B:$N,5,0)," ")</f>
        <v xml:space="preserve"> </v>
      </c>
      <c r="M207" s="6" t="str">
        <f>IFERROR(VLOOKUP(CONCATENATE(A207,"S"),[2]Hoja1!$B:$N,6,0)," ")</f>
        <v xml:space="preserve"> </v>
      </c>
      <c r="N207" s="4" t="str">
        <f t="shared" si="26"/>
        <v>TITULAR</v>
      </c>
      <c r="O207" s="17" t="str">
        <f t="shared" si="27"/>
        <v xml:space="preserve">ARCE KARINA </v>
      </c>
      <c r="P207" s="4" t="str">
        <f>IF(O207="vacante","vacante",IFERROR(IF(VLOOKUP(IF((M207)=" ",IF(COUNTBLANK(K207),I207,K207),M207),[3]Hoja1!$B:$I,4,0)="licencia","vacante"," ")," "))</f>
        <v xml:space="preserve"> </v>
      </c>
      <c r="Q207" s="4"/>
      <c r="R207">
        <f t="shared" si="29"/>
        <v>8</v>
      </c>
      <c r="S207" t="str">
        <f t="shared" si="28"/>
        <v>3°4°8</v>
      </c>
    </row>
    <row r="208" spans="1:19" ht="18.75" hidden="1" customHeight="1">
      <c r="A208" s="3" t="str">
        <f t="shared" si="25"/>
        <v>3°4°3MAT</v>
      </c>
      <c r="B208" s="3" t="s">
        <v>322</v>
      </c>
      <c r="C208" s="3"/>
      <c r="D208" s="3" t="s">
        <v>273</v>
      </c>
      <c r="E208" s="3">
        <v>1492042</v>
      </c>
      <c r="F208" s="3" t="str">
        <f>VLOOKUP(D208,[1]Hoja1!$A:$K,11,0)</f>
        <v>MATEMATICA</v>
      </c>
      <c r="G208" s="7" t="s">
        <v>122</v>
      </c>
      <c r="H208" s="7" t="s">
        <v>331</v>
      </c>
      <c r="I208" s="5" t="s">
        <v>332</v>
      </c>
      <c r="J208" s="5"/>
      <c r="K208" s="6"/>
      <c r="L208" s="5" t="str">
        <f>IFERROR(VLOOKUP(CONCATENATE(A208,"S"),[2]Hoja1!$B:$N,5,0)," ")</f>
        <v xml:space="preserve"> </v>
      </c>
      <c r="M208" s="6" t="str">
        <f>IFERROR(VLOOKUP(CONCATENATE(A208,"S"),[2]Hoja1!$B:$N,6,0)," ")</f>
        <v xml:space="preserve"> </v>
      </c>
      <c r="N208" s="4" t="str">
        <f t="shared" si="26"/>
        <v>TITULAR</v>
      </c>
      <c r="O208" s="17" t="str">
        <f t="shared" si="27"/>
        <v xml:space="preserve">GARCIA CLAUDIA </v>
      </c>
      <c r="P208" s="4" t="str">
        <f>IF(O208="vacante","vacante",IFERROR(IF(VLOOKUP(IF((M208)=" ",IF(COUNTBLANK(K208),I208,K208),M208),[3]Hoja1!$B:$I,4,0)="licencia","vacante"," ")," "))</f>
        <v xml:space="preserve"> </v>
      </c>
      <c r="Q208" s="4"/>
      <c r="R208">
        <f t="shared" si="29"/>
        <v>9</v>
      </c>
      <c r="S208" t="str">
        <f t="shared" si="28"/>
        <v>3°4°9</v>
      </c>
    </row>
    <row r="209" spans="1:19" ht="18.75" hidden="1" customHeight="1">
      <c r="A209" s="3" t="str">
        <f t="shared" si="25"/>
        <v>3°4°3PLG</v>
      </c>
      <c r="B209" s="3" t="s">
        <v>322</v>
      </c>
      <c r="C209" s="3"/>
      <c r="D209" s="3" t="s">
        <v>277</v>
      </c>
      <c r="E209" s="3">
        <v>1492035</v>
      </c>
      <c r="F209" s="3" t="str">
        <f>VLOOKUP(D209,[1]Hoja1!$A:$K,11,0)</f>
        <v>PRACTICA DEL LENGUAJE</v>
      </c>
      <c r="G209" s="7" t="s">
        <v>333</v>
      </c>
      <c r="H209" s="7"/>
      <c r="I209" s="5" t="s">
        <v>334</v>
      </c>
      <c r="J209" s="5"/>
      <c r="K209" s="6"/>
      <c r="L209" s="5" t="str">
        <f>IFERROR(VLOOKUP(CONCATENATE(A209,"S"),[2]Hoja1!$B:$N,5,0)," ")</f>
        <v xml:space="preserve"> </v>
      </c>
      <c r="M209" s="6" t="str">
        <f>IFERROR(VLOOKUP(CONCATENATE(A209,"S"),[2]Hoja1!$B:$N,6,0)," ")</f>
        <v xml:space="preserve"> </v>
      </c>
      <c r="N209" s="4" t="str">
        <f t="shared" si="26"/>
        <v>TITULAR</v>
      </c>
      <c r="O209" s="17" t="str">
        <f t="shared" si="27"/>
        <v xml:space="preserve">SANTILLAN ESTELA </v>
      </c>
      <c r="P209" s="4" t="str">
        <f>IF(O209="vacante","vacante",IFERROR(IF(VLOOKUP(IF((M209)=" ",IF(COUNTBLANK(K209),I209,K209),M209),[3]Hoja1!$B:$I,4,0)="licencia","vacante"," ")," "))</f>
        <v xml:space="preserve"> </v>
      </c>
      <c r="Q209" s="4"/>
      <c r="R209">
        <f t="shared" si="29"/>
        <v>10</v>
      </c>
      <c r="S209" t="str">
        <f t="shared" si="28"/>
        <v>3°4°10</v>
      </c>
    </row>
    <row r="210" spans="1:19" ht="18.75" hidden="1" customHeight="1">
      <c r="A210" s="3" t="str">
        <f t="shared" si="25"/>
        <v>3°4°3413TLT3</v>
      </c>
      <c r="B210" s="3" t="s">
        <v>322</v>
      </c>
      <c r="C210" s="3">
        <v>341</v>
      </c>
      <c r="D210" s="3" t="s">
        <v>279</v>
      </c>
      <c r="E210" s="3">
        <v>2683083</v>
      </c>
      <c r="F210" s="3" t="str">
        <f>VLOOKUP(D210,[1]Hoja1!$A:$K,11,0)</f>
        <v>LENGUAJES TECNOLOGICOS</v>
      </c>
      <c r="G210" s="7" t="s">
        <v>61</v>
      </c>
      <c r="H210" s="7" t="s">
        <v>80</v>
      </c>
      <c r="I210" s="5"/>
      <c r="J210" s="36">
        <v>20296712281</v>
      </c>
      <c r="K210" s="6" t="s">
        <v>792</v>
      </c>
      <c r="L210" s="5" t="str">
        <f>IFERROR(VLOOKUP(CONCATENATE(A210,"S"),[2]Hoja1!$B:$N,5,0)," ")</f>
        <v xml:space="preserve"> </v>
      </c>
      <c r="M210" s="6" t="str">
        <f>IFERROR(VLOOKUP(CONCATENATE(A210,"S"),[2]Hoja1!$B:$N,6,0)," ")</f>
        <v xml:space="preserve"> </v>
      </c>
      <c r="N210" s="4" t="str">
        <f t="shared" si="26"/>
        <v>PROVISIONAL</v>
      </c>
      <c r="O210" s="17" t="str">
        <f t="shared" si="27"/>
        <v>PROCHOR JUAN PABLO</v>
      </c>
      <c r="P210" s="4" t="str">
        <f>IF(O210="vacante","vacante",IFERROR(IF(VLOOKUP(IF((M210)=" ",IF(COUNTBLANK(K210),I210,K210),M210),[3]Hoja1!$B:$I,4,0)="licencia","vacante"," ")," "))</f>
        <v xml:space="preserve"> </v>
      </c>
      <c r="Q210" s="4"/>
      <c r="R210">
        <f t="shared" si="29"/>
        <v>11</v>
      </c>
      <c r="S210" t="str">
        <f t="shared" si="28"/>
        <v>3°4°11</v>
      </c>
    </row>
    <row r="211" spans="1:19" ht="18.75" hidden="1" customHeight="1">
      <c r="A211" s="3" t="str">
        <f t="shared" si="25"/>
        <v>3°4°3413TST3</v>
      </c>
      <c r="B211" s="3" t="s">
        <v>322</v>
      </c>
      <c r="C211" s="3">
        <v>341</v>
      </c>
      <c r="D211" s="3" t="s">
        <v>282</v>
      </c>
      <c r="E211" s="3">
        <v>2683084</v>
      </c>
      <c r="F211" s="3" t="str">
        <f>VLOOKUP(D211,[1]Hoja1!$A:$K,11,0)</f>
        <v>SISTEMAS TECNOLOGICOS</v>
      </c>
      <c r="G211" s="7" t="s">
        <v>335</v>
      </c>
      <c r="H211" s="7" t="s">
        <v>80</v>
      </c>
      <c r="I211" s="5" t="s">
        <v>223</v>
      </c>
      <c r="J211" s="5"/>
      <c r="K211" s="6"/>
      <c r="L211" s="5" t="str">
        <f>IFERROR(VLOOKUP(CONCATENATE(A211,"S"),[2]Hoja1!$B:$N,5,0)," ")</f>
        <v xml:space="preserve"> </v>
      </c>
      <c r="M211" s="6" t="str">
        <f>IFERROR(VLOOKUP(CONCATENATE(A211,"S"),[2]Hoja1!$B:$N,6,0)," ")</f>
        <v xml:space="preserve"> </v>
      </c>
      <c r="N211" s="4" t="str">
        <f t="shared" si="26"/>
        <v>TITULAR</v>
      </c>
      <c r="O211" s="17" t="str">
        <f t="shared" si="27"/>
        <v>GOMEZ ANALIA</v>
      </c>
      <c r="P211" s="4" t="str">
        <f>IF(O211="vacante","vacante",IFERROR(IF(VLOOKUP(IF((M211)=" ",IF(COUNTBLANK(K211),I211,K211),M211),[3]Hoja1!$B:$I,4,0)="licencia","vacante"," ")," "))</f>
        <v xml:space="preserve"> </v>
      </c>
      <c r="Q211" s="4"/>
      <c r="R211">
        <f t="shared" si="29"/>
        <v>12</v>
      </c>
      <c r="S211" t="str">
        <f t="shared" si="28"/>
        <v>3°4°12</v>
      </c>
    </row>
    <row r="212" spans="1:19" ht="18.75" hidden="1" customHeight="1">
      <c r="A212" s="3" t="str">
        <f t="shared" si="25"/>
        <v>3°4°3413TPT3</v>
      </c>
      <c r="B212" s="3" t="s">
        <v>322</v>
      </c>
      <c r="C212" s="3">
        <v>341</v>
      </c>
      <c r="D212" s="3" t="s">
        <v>284</v>
      </c>
      <c r="E212" s="3">
        <v>2683085</v>
      </c>
      <c r="F212" s="3" t="str">
        <f>VLOOKUP(D212,[1]Hoja1!$A:$K,11,0)</f>
        <v>PROCEDIMIENTOS TECNICOS</v>
      </c>
      <c r="G212" s="7"/>
      <c r="H212" s="7"/>
      <c r="I212" s="5"/>
      <c r="J212" s="5"/>
      <c r="K212" s="6" t="s">
        <v>766</v>
      </c>
      <c r="L212" s="5">
        <f>IFERROR(VLOOKUP(CONCATENATE(A212,"S"),[2]Hoja1!$B:$N,5,0)," ")</f>
        <v>0</v>
      </c>
      <c r="M212" s="6" t="str">
        <f>IFERROR(VLOOKUP(CONCATENATE(A212,"S"),[2]Hoja1!$B:$N,6,0)," ")</f>
        <v>CRUZ DAVID</v>
      </c>
      <c r="N212" s="4" t="str">
        <f t="shared" si="26"/>
        <v>SUPLENTE</v>
      </c>
      <c r="O212" s="17" t="str">
        <f t="shared" si="27"/>
        <v>CRUZ DAVID</v>
      </c>
      <c r="P212" s="4" t="str">
        <f>IF(O212="vacante","vacante",IFERROR(IF(VLOOKUP(IF((M212)=" ",IF(COUNTBLANK(K212),I212,K212),M212),[3]Hoja1!$B:$I,4,0)="licencia","vacante"," ")," "))</f>
        <v xml:space="preserve"> </v>
      </c>
      <c r="Q212" s="4"/>
      <c r="R212">
        <f t="shared" si="29"/>
        <v>13</v>
      </c>
      <c r="S212" t="str">
        <f t="shared" si="28"/>
        <v>3°4°13</v>
      </c>
    </row>
    <row r="213" spans="1:19" ht="18.75" hidden="1" customHeight="1">
      <c r="A213" s="3" t="str">
        <f t="shared" si="25"/>
        <v>3°4°3423TLT3</v>
      </c>
      <c r="B213" s="3" t="s">
        <v>322</v>
      </c>
      <c r="C213" s="3">
        <v>342</v>
      </c>
      <c r="D213" s="3" t="s">
        <v>279</v>
      </c>
      <c r="E213" s="3">
        <v>2683086</v>
      </c>
      <c r="F213" s="3" t="str">
        <f>VLOOKUP(D213,[1]Hoja1!$A:$K,11,0)</f>
        <v>LENGUAJES TECNOLOGICOS</v>
      </c>
      <c r="G213" s="7" t="s">
        <v>182</v>
      </c>
      <c r="H213" s="7" t="s">
        <v>78</v>
      </c>
      <c r="I213" s="5"/>
      <c r="J213" s="5"/>
      <c r="K213" s="6" t="s">
        <v>788</v>
      </c>
      <c r="L213" s="5" t="str">
        <f>IFERROR(VLOOKUP(CONCATENATE(A213,"S"),[2]Hoja1!$B:$N,5,0)," ")</f>
        <v xml:space="preserve"> </v>
      </c>
      <c r="M213" s="6" t="str">
        <f>IFERROR(VLOOKUP(CONCATENATE(A213,"S"),[2]Hoja1!$B:$N,6,0)," ")</f>
        <v xml:space="preserve"> </v>
      </c>
      <c r="N213" s="4" t="str">
        <f t="shared" si="26"/>
        <v>PROVISIONAL</v>
      </c>
      <c r="O213" s="17" t="str">
        <f t="shared" si="27"/>
        <v xml:space="preserve">PROCHOR JUAN PABLO   </v>
      </c>
      <c r="P213" s="4" t="str">
        <f>IF(O213="vacante","vacante",IFERROR(IF(VLOOKUP(IF((M213)=" ",IF(COUNTBLANK(K213),I213,K213),M213),[3]Hoja1!$B:$I,4,0)="licencia","vacante"," ")," "))</f>
        <v xml:space="preserve"> </v>
      </c>
      <c r="Q213" s="4"/>
      <c r="R213">
        <f t="shared" si="29"/>
        <v>14</v>
      </c>
      <c r="S213" t="str">
        <f t="shared" si="28"/>
        <v>3°4°14</v>
      </c>
    </row>
    <row r="214" spans="1:19" ht="18.75" hidden="1" customHeight="1">
      <c r="A214" s="3" t="str">
        <f t="shared" si="25"/>
        <v>3°4°3423TST3</v>
      </c>
      <c r="B214" s="3" t="s">
        <v>322</v>
      </c>
      <c r="C214" s="3">
        <v>342</v>
      </c>
      <c r="D214" s="3" t="s">
        <v>282</v>
      </c>
      <c r="E214" s="3">
        <v>2683087</v>
      </c>
      <c r="F214" s="3" t="str">
        <f>VLOOKUP(D214,[1]Hoja1!$A:$K,11,0)</f>
        <v>SISTEMAS TECNOLOGICOS</v>
      </c>
      <c r="G214" s="7"/>
      <c r="H214" s="7"/>
      <c r="I214" s="5"/>
      <c r="J214" s="5"/>
      <c r="K214" s="6" t="s">
        <v>661</v>
      </c>
      <c r="L214" s="5"/>
      <c r="M214" s="6" t="str">
        <f>IFERROR(VLOOKUP(CONCATENATE(A214,"S"),[2]Hoja1!$B:$N,6,0)," ")</f>
        <v xml:space="preserve"> </v>
      </c>
      <c r="N214" s="4" t="str">
        <f t="shared" si="26"/>
        <v>PROVISIONAL</v>
      </c>
      <c r="O214" s="17" t="str">
        <f t="shared" si="27"/>
        <v xml:space="preserve">ROTOLO, LUCIANO </v>
      </c>
      <c r="P214" s="4" t="str">
        <f>IF(O214="vacante","vacante",IFERROR(IF(VLOOKUP(IF((M214)=" ",IF(COUNTBLANK(K214),I214,K214),M214),[3]Hoja1!$B:$I,4,0)="licencia","vacante"," ")," "))</f>
        <v xml:space="preserve"> </v>
      </c>
      <c r="Q214" s="4"/>
      <c r="R214">
        <f t="shared" si="29"/>
        <v>15</v>
      </c>
      <c r="S214" t="str">
        <f t="shared" si="28"/>
        <v>3°4°15</v>
      </c>
    </row>
    <row r="215" spans="1:19" ht="18.75" hidden="1" customHeight="1">
      <c r="A215" s="3" t="str">
        <f t="shared" si="25"/>
        <v>3°4°3423TPT3</v>
      </c>
      <c r="B215" s="3" t="s">
        <v>322</v>
      </c>
      <c r="C215" s="3">
        <v>342</v>
      </c>
      <c r="D215" s="3" t="s">
        <v>284</v>
      </c>
      <c r="E215" s="3">
        <v>2683088</v>
      </c>
      <c r="F215" s="3" t="str">
        <f>VLOOKUP(D215,[1]Hoja1!$A:$K,11,0)</f>
        <v>PROCEDIMIENTOS TECNICOS</v>
      </c>
      <c r="G215" s="7"/>
      <c r="H215" s="7"/>
      <c r="I215" s="5"/>
      <c r="J215" s="5" t="s">
        <v>46</v>
      </c>
      <c r="K215" s="6" t="s">
        <v>300</v>
      </c>
      <c r="L215" s="5" t="str">
        <f>IFERROR(VLOOKUP(CONCATENATE(A215,"S"),[2]Hoja1!$B:$N,5,0)," ")</f>
        <v xml:space="preserve"> </v>
      </c>
      <c r="M215" s="6" t="str">
        <f>IFERROR(VLOOKUP(CONCATENATE(A215,"S"),[2]Hoja1!$B:$N,6,0)," ")</f>
        <v xml:space="preserve"> </v>
      </c>
      <c r="N215" s="4" t="str">
        <f t="shared" si="26"/>
        <v>PROVISIONAL</v>
      </c>
      <c r="O215" s="17" t="str">
        <f t="shared" si="27"/>
        <v>LEYES RICARDO</v>
      </c>
      <c r="P215" s="4" t="str">
        <f>IF(O215="vacante","vacante",IFERROR(IF(VLOOKUP(IF((M215)=" ",IF(COUNTBLANK(K215),I215,K215),M215),[3]Hoja1!$B:$I,4,0)="licencia","vacante"," ")," "))</f>
        <v xml:space="preserve"> </v>
      </c>
      <c r="Q215" s="4"/>
      <c r="R215">
        <f t="shared" si="29"/>
        <v>16</v>
      </c>
      <c r="S215" t="str">
        <f t="shared" si="28"/>
        <v>3°4°16</v>
      </c>
    </row>
    <row r="216" spans="1:19" ht="18.75" hidden="1" customHeight="1">
      <c r="A216" s="3" t="str">
        <f t="shared" si="25"/>
        <v>3°5°3BIO</v>
      </c>
      <c r="B216" s="3" t="s">
        <v>336</v>
      </c>
      <c r="C216" s="3"/>
      <c r="D216" s="3" t="s">
        <v>256</v>
      </c>
      <c r="E216" s="3">
        <v>2232461</v>
      </c>
      <c r="F216" s="3" t="str">
        <f>VLOOKUP(D216,[1]Hoja1!$A:$K,11,0)</f>
        <v>BIOLOGIA</v>
      </c>
      <c r="G216" s="7" t="s">
        <v>688</v>
      </c>
      <c r="H216" s="7"/>
      <c r="I216" s="5" t="s">
        <v>687</v>
      </c>
      <c r="J216" s="5"/>
      <c r="K216" s="6"/>
      <c r="L216" s="5" t="str">
        <f>IFERROR(VLOOKUP(CONCATENATE(A216,"S"),[2]Hoja1!$B:$N,5,0)," ")</f>
        <v xml:space="preserve"> </v>
      </c>
      <c r="M216" s="6" t="str">
        <f>IFERROR(VLOOKUP(CONCATENATE(A216,"S"),[2]Hoja1!$B:$N,6,0)," ")</f>
        <v xml:space="preserve"> </v>
      </c>
      <c r="N216" s="4" t="str">
        <f t="shared" si="26"/>
        <v>TITULAR</v>
      </c>
      <c r="O216" s="17" t="str">
        <f t="shared" si="27"/>
        <v>FARIAS CLAUDIA</v>
      </c>
      <c r="P216" s="4" t="str">
        <f>IF(O216="vacante","vacante",IFERROR(IF(VLOOKUP(IF((M216)=" ",IF(COUNTBLANK(K216),I216,K216),M216),[3]Hoja1!$B:$I,4,0)="licencia","vacante"," ")," "))</f>
        <v xml:space="preserve"> </v>
      </c>
      <c r="Q216" s="4"/>
      <c r="R216">
        <f t="shared" si="29"/>
        <v>1</v>
      </c>
      <c r="S216" t="str">
        <f t="shared" si="28"/>
        <v>3°5°1</v>
      </c>
    </row>
    <row r="217" spans="1:19" ht="18.75" hidden="1" customHeight="1">
      <c r="A217" s="3" t="str">
        <f t="shared" si="25"/>
        <v>3°5°3CCD</v>
      </c>
      <c r="B217" s="3" t="s">
        <v>336</v>
      </c>
      <c r="C217" s="3"/>
      <c r="D217" s="3" t="s">
        <v>257</v>
      </c>
      <c r="E217" s="3">
        <v>2232462</v>
      </c>
      <c r="F217" s="3" t="str">
        <f>VLOOKUP(D217,[1]Hoja1!$A:$K,11,0)</f>
        <v>CONSTRUCCION DE LA CIUDADANIA</v>
      </c>
      <c r="G217" s="7" t="s">
        <v>246</v>
      </c>
      <c r="H217" s="7"/>
      <c r="I217" s="5" t="s">
        <v>775</v>
      </c>
      <c r="J217" s="5"/>
      <c r="K217" s="6"/>
      <c r="L217" s="5" t="str">
        <f>IFERROR(VLOOKUP(CONCATENATE(A217,"S"),[2]Hoja1!$B:$N,5,0)," ")</f>
        <v xml:space="preserve"> </v>
      </c>
      <c r="M217" s="6" t="str">
        <f>IFERROR(VLOOKUP(CONCATENATE(A217,"S"),[2]Hoja1!$B:$N,6,0)," ")</f>
        <v xml:space="preserve"> </v>
      </c>
      <c r="N217" s="4" t="str">
        <f t="shared" si="26"/>
        <v>TITULAR</v>
      </c>
      <c r="O217" s="17" t="str">
        <f t="shared" si="27"/>
        <v xml:space="preserve">AMAYA SILVIA                      </v>
      </c>
      <c r="P217" s="4" t="str">
        <f>IF(O217="vacante","vacante",IFERROR(IF(VLOOKUP(IF((M217)=" ",IF(COUNTBLANK(K217),I217,K217),M217),[3]Hoja1!$B:$I,4,0)="licencia","vacante"," ")," "))</f>
        <v xml:space="preserve"> </v>
      </c>
      <c r="Q217" s="4"/>
      <c r="R217">
        <f t="shared" si="29"/>
        <v>2</v>
      </c>
      <c r="S217" t="str">
        <f t="shared" si="28"/>
        <v>3°5°2</v>
      </c>
    </row>
    <row r="218" spans="1:19" ht="18.75" hidden="1" customHeight="1">
      <c r="A218" s="3" t="str">
        <f t="shared" si="25"/>
        <v>3°5°3ART</v>
      </c>
      <c r="B218" s="3" t="s">
        <v>336</v>
      </c>
      <c r="C218" s="3"/>
      <c r="D218" s="3" t="s">
        <v>260</v>
      </c>
      <c r="E218" s="3">
        <v>2232463</v>
      </c>
      <c r="F218" s="3" t="str">
        <f>VLOOKUP(D218,[1]Hoja1!$A:$K,11,0)</f>
        <v>EDUCACION ARTISTICA (PLASTICA)</v>
      </c>
      <c r="G218" s="7" t="s">
        <v>337</v>
      </c>
      <c r="H218" s="7" t="s">
        <v>207</v>
      </c>
      <c r="I218" s="5" t="s">
        <v>208</v>
      </c>
      <c r="J218" s="5"/>
      <c r="K218" s="6"/>
      <c r="L218" s="5" t="str">
        <f>IFERROR(VLOOKUP(CONCATENATE(A218,"S"),[2]Hoja1!$B:$N,5,0)," ")</f>
        <v xml:space="preserve"> </v>
      </c>
      <c r="M218" s="6" t="str">
        <f>IFERROR(VLOOKUP(CONCATENATE(A218,"S"),[2]Hoja1!$B:$N,6,0)," ")</f>
        <v xml:space="preserve"> </v>
      </c>
      <c r="N218" s="4" t="str">
        <f t="shared" si="26"/>
        <v>TITULAR</v>
      </c>
      <c r="O218" s="17" t="str">
        <f t="shared" si="27"/>
        <v xml:space="preserve">ISSETTA LORENA </v>
      </c>
      <c r="P218" s="4" t="str">
        <f>IF(O218="vacante","vacante",IFERROR(IF(VLOOKUP(IF((M218)=" ",IF(COUNTBLANK(K218),I218,K218),M218),[3]Hoja1!$B:$I,4,0)="licencia","vacante"," ")," "))</f>
        <v xml:space="preserve"> </v>
      </c>
      <c r="Q218" s="4"/>
      <c r="R218">
        <f t="shared" si="29"/>
        <v>3</v>
      </c>
      <c r="S218" t="str">
        <f t="shared" si="28"/>
        <v>3°5°3</v>
      </c>
    </row>
    <row r="219" spans="1:19" ht="18.75" hidden="1" customHeight="1">
      <c r="A219" s="3" t="str">
        <f t="shared" si="25"/>
        <v>3°5°3EFI</v>
      </c>
      <c r="B219" s="3" t="s">
        <v>336</v>
      </c>
      <c r="C219" s="3"/>
      <c r="D219" s="3" t="s">
        <v>262</v>
      </c>
      <c r="E219" s="3">
        <v>2232464</v>
      </c>
      <c r="F219" s="3" t="str">
        <f>VLOOKUP(D219,[1]Hoja1!$A:$K,11,0)</f>
        <v>EDUCACIÓN FISICA</v>
      </c>
      <c r="G219" s="7" t="s">
        <v>338</v>
      </c>
      <c r="H219" s="7"/>
      <c r="I219" s="5" t="s">
        <v>339</v>
      </c>
      <c r="J219" s="5"/>
      <c r="K219" s="6"/>
      <c r="L219" s="5" t="str">
        <f>IFERROR(VLOOKUP(CONCATENATE(A219,"S"),[2]Hoja1!$B:$N,5,0)," ")</f>
        <v xml:space="preserve"> </v>
      </c>
      <c r="M219" s="6" t="str">
        <f>IFERROR(VLOOKUP(CONCATENATE(A219,"S"),[2]Hoja1!$B:$N,6,0)," ")</f>
        <v xml:space="preserve"> </v>
      </c>
      <c r="N219" s="4" t="str">
        <f t="shared" si="26"/>
        <v>TITULAR</v>
      </c>
      <c r="O219" s="17" t="str">
        <f t="shared" si="27"/>
        <v xml:space="preserve">LUDUEÑA NELSON </v>
      </c>
      <c r="P219" s="4" t="str">
        <f>IF(O219="vacante","vacante",IFERROR(IF(VLOOKUP(IF((M219)=" ",IF(COUNTBLANK(K219),I219,K219),M219),[3]Hoja1!$B:$I,4,0)="licencia","vacante"," ")," "))</f>
        <v xml:space="preserve"> </v>
      </c>
      <c r="Q219" s="4"/>
      <c r="R219">
        <f t="shared" si="29"/>
        <v>4</v>
      </c>
      <c r="S219" t="str">
        <f t="shared" si="28"/>
        <v>3°5°4</v>
      </c>
    </row>
    <row r="220" spans="1:19" ht="18.75" hidden="1" customHeight="1">
      <c r="A220" s="3" t="str">
        <f t="shared" si="25"/>
        <v>3°5°3FI/QUI</v>
      </c>
      <c r="B220" s="3" t="s">
        <v>336</v>
      </c>
      <c r="C220" s="3"/>
      <c r="D220" s="3" t="s">
        <v>265</v>
      </c>
      <c r="E220" s="3">
        <v>2232465</v>
      </c>
      <c r="F220" s="3" t="str">
        <f>VLOOKUP(D220,[1]Hoja1!$A:$K,11,0)</f>
        <v>FISICO-QUIMICA</v>
      </c>
      <c r="G220" s="7"/>
      <c r="H220" s="7"/>
      <c r="I220" s="5" t="s">
        <v>576</v>
      </c>
      <c r="J220" s="5"/>
      <c r="K220" s="6"/>
      <c r="L220" s="5">
        <f>IFERROR(VLOOKUP(CONCATENATE(A220,"S"),[2]Hoja1!$B:$N,5,0)," ")</f>
        <v>20256000327</v>
      </c>
      <c r="M220" s="6" t="str">
        <f>IFERROR(VLOOKUP(CONCATENATE(A220,"S"),[2]Hoja1!$B:$N,6,0)," ")</f>
        <v>CANTONI PABLO MARTIN</v>
      </c>
      <c r="N220" s="4" t="str">
        <f t="shared" si="26"/>
        <v>SUPLENTE</v>
      </c>
      <c r="O220" s="17" t="str">
        <f t="shared" si="27"/>
        <v>CANTONI PABLO MARTIN</v>
      </c>
      <c r="P220" s="4" t="str">
        <f>IF(O220="vacante","vacante",IFERROR(IF(VLOOKUP(IF((M220)=" ",IF(COUNTBLANK(K220),I220,K220),M220),[3]Hoja1!$B:$I,4,0)="licencia","vacante"," ")," "))</f>
        <v xml:space="preserve"> </v>
      </c>
      <c r="Q220" s="4"/>
      <c r="R220">
        <f t="shared" si="29"/>
        <v>5</v>
      </c>
      <c r="S220" t="str">
        <f t="shared" si="28"/>
        <v>3°5°5</v>
      </c>
    </row>
    <row r="221" spans="1:19" ht="18.75" hidden="1" customHeight="1">
      <c r="A221" s="3" t="str">
        <f t="shared" si="25"/>
        <v>3°5°3GEO</v>
      </c>
      <c r="B221" s="3" t="s">
        <v>336</v>
      </c>
      <c r="C221" s="3"/>
      <c r="D221" s="3" t="s">
        <v>267</v>
      </c>
      <c r="E221" s="3">
        <v>2232466</v>
      </c>
      <c r="F221" s="3" t="str">
        <f>VLOOKUP(D221,[1]Hoja1!$A:$K,11,0)</f>
        <v>GEOGRAFIA</v>
      </c>
      <c r="G221" s="7" t="s">
        <v>290</v>
      </c>
      <c r="H221" s="7"/>
      <c r="I221" s="5" t="s">
        <v>292</v>
      </c>
      <c r="J221" s="5"/>
      <c r="K221" s="6"/>
      <c r="L221" s="5">
        <f>IFERROR(VLOOKUP(CONCATENATE(A221,"S"),[2]Hoja1!$B:$N,5,0)," ")</f>
        <v>0</v>
      </c>
      <c r="M221" s="6" t="str">
        <f>IFERROR(VLOOKUP(CONCATENATE(A221,"S"),[2]Hoja1!$B:$N,6,0)," ")</f>
        <v>MOURA FACUNDO</v>
      </c>
      <c r="N221" s="4" t="str">
        <f t="shared" si="26"/>
        <v>SUPLENTE</v>
      </c>
      <c r="O221" s="17" t="str">
        <f t="shared" si="27"/>
        <v>MOURA FACUNDO</v>
      </c>
      <c r="P221" s="4" t="str">
        <f>IF(O221="vacante","vacante",IFERROR(IF(VLOOKUP(IF((M221)=" ",IF(COUNTBLANK(K221),I221,K221),M221),[3]Hoja1!$B:$I,4,0)="licencia","vacante"," ")," "))</f>
        <v xml:space="preserve"> </v>
      </c>
      <c r="Q221" s="4"/>
      <c r="R221">
        <f t="shared" si="29"/>
        <v>6</v>
      </c>
      <c r="S221" t="str">
        <f t="shared" si="28"/>
        <v>3°5°6</v>
      </c>
    </row>
    <row r="222" spans="1:19" ht="18.75" hidden="1" customHeight="1">
      <c r="A222" s="3" t="str">
        <f t="shared" si="25"/>
        <v>3°5°3HIS</v>
      </c>
      <c r="B222" s="3" t="s">
        <v>336</v>
      </c>
      <c r="C222" s="3"/>
      <c r="D222" s="3" t="s">
        <v>269</v>
      </c>
      <c r="E222" s="3">
        <v>2232467</v>
      </c>
      <c r="F222" s="3" t="str">
        <f>VLOOKUP(D222,[1]Hoja1!$A:$K,11,0)</f>
        <v>HISTORIA</v>
      </c>
      <c r="G222" s="7" t="s">
        <v>340</v>
      </c>
      <c r="H222" s="7"/>
      <c r="I222" s="5" t="s">
        <v>357</v>
      </c>
      <c r="J222" s="5"/>
      <c r="K222" s="6"/>
      <c r="L222" s="5" t="str">
        <f>IFERROR(VLOOKUP(CONCATENATE(A222,"S"),[2]Hoja1!$B:$N,5,0)," ")</f>
        <v xml:space="preserve"> </v>
      </c>
      <c r="M222" s="6" t="str">
        <f>IFERROR(VLOOKUP(CONCATENATE(A222,"S"),[2]Hoja1!$B:$N,6,0)," ")</f>
        <v xml:space="preserve"> </v>
      </c>
      <c r="N222" s="4" t="str">
        <f t="shared" si="26"/>
        <v>TITULAR</v>
      </c>
      <c r="O222" s="17" t="str">
        <f t="shared" si="27"/>
        <v xml:space="preserve">LOPEZ MARINA  </v>
      </c>
      <c r="P222" s="4" t="str">
        <f>IF(O222="vacante","vacante",IFERROR(IF(VLOOKUP(IF((M222)=" ",IF(COUNTBLANK(K222),I222,K222),M222),[3]Hoja1!$B:$I,4,0)="licencia","vacante"," ")," "))</f>
        <v xml:space="preserve"> </v>
      </c>
      <c r="Q222" s="4"/>
      <c r="R222">
        <f t="shared" si="29"/>
        <v>7</v>
      </c>
      <c r="S222" t="str">
        <f t="shared" si="28"/>
        <v>3°5°7</v>
      </c>
    </row>
    <row r="223" spans="1:19" ht="18.75" hidden="1" customHeight="1">
      <c r="A223" s="3" t="str">
        <f t="shared" si="25"/>
        <v>3°5°3ING</v>
      </c>
      <c r="B223" s="3" t="s">
        <v>336</v>
      </c>
      <c r="C223" s="3"/>
      <c r="D223" s="3" t="s">
        <v>271</v>
      </c>
      <c r="E223" s="3">
        <v>2232468</v>
      </c>
      <c r="F223" s="3" t="str">
        <f>VLOOKUP(D223,[1]Hoja1!$A:$K,11,0)</f>
        <v>INGLÉS</v>
      </c>
      <c r="G223" s="7" t="s">
        <v>341</v>
      </c>
      <c r="H223" s="7" t="s">
        <v>342</v>
      </c>
      <c r="I223" s="5" t="s">
        <v>343</v>
      </c>
      <c r="J223" s="5"/>
      <c r="K223" s="6"/>
      <c r="L223" s="5">
        <f>IFERROR(VLOOKUP(CONCATENATE(A223,"S"),[2]Hoja1!$B:$N,5,0)," ")</f>
        <v>27315554360</v>
      </c>
      <c r="M223" s="6" t="str">
        <f>IFERROR(VLOOKUP(CONCATENATE(A223,"S"),[2]Hoja1!$B:$N,6,0)," ")</f>
        <v>LOPEZ LILIANA CUIT 27176913881</v>
      </c>
      <c r="N223" s="4" t="str">
        <f t="shared" si="26"/>
        <v>SUPLENTE</v>
      </c>
      <c r="O223" s="17" t="str">
        <f t="shared" si="27"/>
        <v>LOPEZ LILIANA CUIT 27176913881</v>
      </c>
      <c r="P223" s="4" t="str">
        <f>IF(O223="vacante","vacante",IFERROR(IF(VLOOKUP(IF((M223)=" ",IF(COUNTBLANK(K223),I223,K223),M223),[3]Hoja1!$B:$I,4,0)="licencia","vacante"," ")," "))</f>
        <v xml:space="preserve"> </v>
      </c>
      <c r="Q223" s="4"/>
      <c r="R223">
        <f t="shared" si="29"/>
        <v>8</v>
      </c>
      <c r="S223" t="str">
        <f t="shared" si="28"/>
        <v>3°5°8</v>
      </c>
    </row>
    <row r="224" spans="1:19" ht="18.75" hidden="1" customHeight="1">
      <c r="A224" s="3" t="str">
        <f t="shared" si="25"/>
        <v>3°5°3MAT</v>
      </c>
      <c r="B224" s="3" t="s">
        <v>336</v>
      </c>
      <c r="C224" s="3"/>
      <c r="D224" s="3" t="s">
        <v>273</v>
      </c>
      <c r="E224" s="3">
        <v>2232469</v>
      </c>
      <c r="F224" s="3" t="str">
        <f>VLOOKUP(D224,[1]Hoja1!$A:$K,11,0)</f>
        <v>MATEMATICA</v>
      </c>
      <c r="G224" s="7" t="s">
        <v>344</v>
      </c>
      <c r="H224" s="7" t="s">
        <v>207</v>
      </c>
      <c r="I224" s="5" t="s">
        <v>215</v>
      </c>
      <c r="J224" s="5"/>
      <c r="K224" s="6"/>
      <c r="L224" s="5">
        <f>IFERROR(VLOOKUP(CONCATENATE(A224,"S"),[2]Hoja1!$B:$N,5,0)," ")</f>
        <v>27443818869</v>
      </c>
      <c r="M224" s="6" t="str">
        <f>IFERROR(VLOOKUP(CONCATENATE(A224,"S"),[2]Hoja1!$B:$N,6,0)," ")</f>
        <v xml:space="preserve"> FERRARIS OJEDA JULIETA MAR</v>
      </c>
      <c r="N224" s="4" t="str">
        <f t="shared" si="26"/>
        <v>SUPLENTE</v>
      </c>
      <c r="O224" s="17" t="str">
        <f t="shared" si="27"/>
        <v xml:space="preserve"> FERRARIS OJEDA JULIETA MAR</v>
      </c>
      <c r="P224" s="4" t="str">
        <f>IF(O224="vacante","vacante",IFERROR(IF(VLOOKUP(IF((M224)=" ",IF(COUNTBLANK(K224),I224,K224),M224),[3]Hoja1!$B:$I,4,0)="licencia","vacante"," ")," "))</f>
        <v xml:space="preserve"> </v>
      </c>
      <c r="Q224" s="4"/>
      <c r="R224">
        <f t="shared" si="29"/>
        <v>9</v>
      </c>
      <c r="S224" t="str">
        <f t="shared" si="28"/>
        <v>3°5°9</v>
      </c>
    </row>
    <row r="225" spans="1:19" ht="18.75" hidden="1" customHeight="1">
      <c r="A225" s="3" t="str">
        <f t="shared" si="25"/>
        <v>3°5°3PLG</v>
      </c>
      <c r="B225" s="3" t="s">
        <v>336</v>
      </c>
      <c r="C225" s="3"/>
      <c r="D225" s="3" t="s">
        <v>277</v>
      </c>
      <c r="E225" s="3">
        <v>2232470</v>
      </c>
      <c r="F225" s="3" t="str">
        <f>VLOOKUP(D225,[1]Hoja1!$A:$K,11,0)</f>
        <v>PRACTICA DEL LENGUAJE</v>
      </c>
      <c r="G225" s="7">
        <v>13642940</v>
      </c>
      <c r="H225" s="7" t="s">
        <v>345</v>
      </c>
      <c r="I225" s="5" t="s">
        <v>74</v>
      </c>
      <c r="J225" s="5"/>
      <c r="K225" s="6"/>
      <c r="L225" s="5" t="str">
        <f>IFERROR(VLOOKUP(CONCATENATE(A225,"S"),[2]Hoja1!$B:$N,5,0)," ")</f>
        <v xml:space="preserve"> </v>
      </c>
      <c r="M225" s="6" t="str">
        <f>IFERROR(VLOOKUP(CONCATENATE(A225,"S"),[2]Hoja1!$B:$N,6,0)," ")</f>
        <v xml:space="preserve"> </v>
      </c>
      <c r="N225" s="4" t="str">
        <f t="shared" si="26"/>
        <v>TITULAR</v>
      </c>
      <c r="O225" s="17" t="str">
        <f t="shared" si="27"/>
        <v xml:space="preserve">CARESTIA, NOEMI </v>
      </c>
      <c r="P225" s="4" t="str">
        <f>IF(O225="vacante","vacante",IFERROR(IF(VLOOKUP(IF((M225)=" ",IF(COUNTBLANK(K225),I225,K225),M225),[3]Hoja1!$B:$I,4,0)="licencia","vacante"," ")," "))</f>
        <v xml:space="preserve"> </v>
      </c>
      <c r="Q225" s="4"/>
      <c r="R225">
        <f t="shared" si="29"/>
        <v>10</v>
      </c>
      <c r="S225" t="str">
        <f t="shared" si="28"/>
        <v>3°5°10</v>
      </c>
    </row>
    <row r="226" spans="1:19" ht="18.75" hidden="1" customHeight="1">
      <c r="A226" s="3" t="str">
        <f t="shared" si="25"/>
        <v>3°5°3513TLT3</v>
      </c>
      <c r="B226" s="3" t="s">
        <v>336</v>
      </c>
      <c r="C226" s="3">
        <v>351</v>
      </c>
      <c r="D226" s="3" t="s">
        <v>279</v>
      </c>
      <c r="E226" s="3">
        <v>2232471</v>
      </c>
      <c r="F226" s="3" t="str">
        <f>VLOOKUP(D226,[1]Hoja1!$A:$K,11,0)</f>
        <v>LENGUAJES TECNOLOGICOS</v>
      </c>
      <c r="G226" s="7"/>
      <c r="H226" s="7"/>
      <c r="I226" s="5"/>
      <c r="J226" s="5">
        <v>20296712281</v>
      </c>
      <c r="K226" s="6" t="s">
        <v>788</v>
      </c>
      <c r="L226" s="5" t="str">
        <f>IFERROR(VLOOKUP(CONCATENATE(A226,"S"),[2]Hoja1!$B:$N,5,0)," ")</f>
        <v xml:space="preserve"> </v>
      </c>
      <c r="M226" s="6" t="str">
        <f>IFERROR(VLOOKUP(CONCATENATE(A226,"S"),[2]Hoja1!$B:$N,6,0)," ")</f>
        <v xml:space="preserve"> </v>
      </c>
      <c r="N226" s="4" t="str">
        <f t="shared" si="26"/>
        <v>PROVISIONAL</v>
      </c>
      <c r="O226" s="17" t="str">
        <f t="shared" si="27"/>
        <v xml:space="preserve">PROCHOR JUAN PABLO   </v>
      </c>
      <c r="P226" s="4" t="str">
        <f>IF(O226="vacante","vacante",IFERROR(IF(VLOOKUP(IF((M226)=" ",IF(COUNTBLANK(K226),I226,K226),M226),[3]Hoja1!$B:$I,4,0)="licencia","vacante"," ")," "))</f>
        <v xml:space="preserve"> </v>
      </c>
      <c r="Q226" s="4"/>
      <c r="R226">
        <f t="shared" si="29"/>
        <v>11</v>
      </c>
      <c r="S226" t="str">
        <f t="shared" si="28"/>
        <v>3°5°11</v>
      </c>
    </row>
    <row r="227" spans="1:19" ht="18.75" hidden="1" customHeight="1">
      <c r="A227" s="3" t="str">
        <f t="shared" si="25"/>
        <v>3°5°3513TST3</v>
      </c>
      <c r="B227" s="3" t="s">
        <v>336</v>
      </c>
      <c r="C227" s="3">
        <v>351</v>
      </c>
      <c r="D227" s="3" t="s">
        <v>282</v>
      </c>
      <c r="E227" s="3">
        <v>2232473</v>
      </c>
      <c r="F227" s="3" t="str">
        <f>VLOOKUP(D227,[1]Hoja1!$A:$K,11,0)</f>
        <v>SISTEMAS TECNOLOGICOS</v>
      </c>
      <c r="G227" s="7"/>
      <c r="H227" s="7"/>
      <c r="I227" s="5"/>
      <c r="J227" s="5">
        <v>20256926157</v>
      </c>
      <c r="K227" s="6" t="s">
        <v>776</v>
      </c>
      <c r="L227" s="5" t="str">
        <f>IFERROR(VLOOKUP(CONCATENATE(A227,"S"),[2]Hoja1!$B:$N,5,0)," ")</f>
        <v xml:space="preserve"> </v>
      </c>
      <c r="M227" s="6" t="str">
        <f>IFERROR(VLOOKUP(CONCATENATE(A227,"S"),[2]Hoja1!$B:$N,6,0)," ")</f>
        <v xml:space="preserve"> </v>
      </c>
      <c r="N227" s="4" t="str">
        <f t="shared" si="26"/>
        <v>PROVISIONAL</v>
      </c>
      <c r="O227" s="17" t="str">
        <f t="shared" si="27"/>
        <v>CRUZ JESUS  NAZARENO</v>
      </c>
      <c r="P227" s="4" t="str">
        <f>IF(O227="vacante","vacante",IFERROR(IF(VLOOKUP(IF((M227)=" ",IF(COUNTBLANK(K227),I227,K227),M227),[3]Hoja1!$B:$I,4,0)="licencia","vacante"," ")," "))</f>
        <v xml:space="preserve"> </v>
      </c>
      <c r="Q227" s="4" t="s">
        <v>639</v>
      </c>
      <c r="R227">
        <f t="shared" si="29"/>
        <v>12</v>
      </c>
      <c r="S227" t="str">
        <f t="shared" si="28"/>
        <v>3°5°12</v>
      </c>
    </row>
    <row r="228" spans="1:19" ht="18.75" hidden="1" customHeight="1">
      <c r="A228" s="3" t="str">
        <f t="shared" si="25"/>
        <v>3°5°3513TPT3</v>
      </c>
      <c r="B228" s="3" t="s">
        <v>336</v>
      </c>
      <c r="C228" s="3">
        <v>351</v>
      </c>
      <c r="D228" s="3" t="s">
        <v>284</v>
      </c>
      <c r="E228" s="3">
        <v>2232475</v>
      </c>
      <c r="F228" s="3" t="str">
        <f>VLOOKUP(D228,[1]Hoja1!$A:$K,11,0)</f>
        <v>PROCEDIMIENTOS TECNICOS</v>
      </c>
      <c r="G228" s="7"/>
      <c r="H228" s="7"/>
      <c r="I228" s="5"/>
      <c r="J228" s="5">
        <v>20256926157</v>
      </c>
      <c r="K228" s="6" t="s">
        <v>789</v>
      </c>
      <c r="L228" s="5" t="str">
        <f>IFERROR(VLOOKUP(CONCATENATE(A228,"S"),[2]Hoja1!$B:$N,5,0)," ")</f>
        <v xml:space="preserve"> </v>
      </c>
      <c r="M228" s="6" t="str">
        <f>IFERROR(VLOOKUP(CONCATENATE(A228,"S"),[2]Hoja1!$B:$N,6,0)," ")</f>
        <v xml:space="preserve"> </v>
      </c>
      <c r="N228" s="4" t="str">
        <f t="shared" si="26"/>
        <v>PROVISIONAL</v>
      </c>
      <c r="O228" s="17" t="str">
        <f t="shared" si="27"/>
        <v xml:space="preserve">CRUZ JESUS NAZARENO </v>
      </c>
      <c r="P228" s="4" t="str">
        <f>IF(O228="vacante","vacante",IFERROR(IF(VLOOKUP(IF((M228)=" ",IF(COUNTBLANK(K228),I228,K228),M228),[3]Hoja1!$B:$I,4,0)="licencia","vacante"," ")," "))</f>
        <v xml:space="preserve"> </v>
      </c>
      <c r="Q228" s="4"/>
      <c r="R228">
        <f t="shared" si="29"/>
        <v>13</v>
      </c>
      <c r="S228" t="str">
        <f t="shared" si="28"/>
        <v>3°5°13</v>
      </c>
    </row>
    <row r="229" spans="1:19" ht="18.75" hidden="1" customHeight="1">
      <c r="A229" s="3" t="str">
        <f t="shared" si="25"/>
        <v>3°5°3523TLT3</v>
      </c>
      <c r="B229" s="3" t="s">
        <v>336</v>
      </c>
      <c r="C229" s="3">
        <v>352</v>
      </c>
      <c r="D229" s="3" t="s">
        <v>279</v>
      </c>
      <c r="E229" s="3">
        <v>2232472</v>
      </c>
      <c r="F229" s="3" t="str">
        <f>VLOOKUP(D229,[1]Hoja1!$A:$K,11,0)</f>
        <v>LENGUAJES TECNOLOGICOS</v>
      </c>
      <c r="G229" s="7"/>
      <c r="H229" s="7"/>
      <c r="I229" s="5"/>
      <c r="J229" s="5">
        <v>20326926095</v>
      </c>
      <c r="K229" s="6" t="s">
        <v>793</v>
      </c>
      <c r="L229" s="5" t="str">
        <f>IFERROR(VLOOKUP(CONCATENATE(A229,"S"),[2]Hoja1!$B:$N,5,0)," ")</f>
        <v xml:space="preserve"> </v>
      </c>
      <c r="M229" s="6" t="str">
        <f>IFERROR(VLOOKUP(CONCATENATE(A229,"S"),[2]Hoja1!$B:$N,6,0)," ")</f>
        <v xml:space="preserve"> </v>
      </c>
      <c r="N229" s="4" t="str">
        <f t="shared" si="26"/>
        <v>PROVISIONAL</v>
      </c>
      <c r="O229" s="17" t="str">
        <f t="shared" si="27"/>
        <v>PORQUERES MATIAS DANIEL</v>
      </c>
      <c r="P229" s="4" t="str">
        <f>IF(O229="vacante","vacante",IFERROR(IF(VLOOKUP(IF((M229)=" ",IF(COUNTBLANK(K229),I229,K229),M229),[3]Hoja1!$B:$I,4,0)="licencia","vacante"," ")," "))</f>
        <v xml:space="preserve"> </v>
      </c>
      <c r="Q229" s="4"/>
      <c r="R229">
        <f t="shared" si="29"/>
        <v>14</v>
      </c>
      <c r="S229" t="str">
        <f t="shared" si="28"/>
        <v>3°5°14</v>
      </c>
    </row>
    <row r="230" spans="1:19" ht="18.75" hidden="1" customHeight="1">
      <c r="A230" s="3" t="str">
        <f t="shared" si="25"/>
        <v>3°5°3523TST3</v>
      </c>
      <c r="B230" s="3" t="s">
        <v>336</v>
      </c>
      <c r="C230" s="3">
        <v>352</v>
      </c>
      <c r="D230" s="3" t="s">
        <v>282</v>
      </c>
      <c r="E230" s="3">
        <v>2232477</v>
      </c>
      <c r="F230" s="3" t="str">
        <f>VLOOKUP(D230,[1]Hoja1!$A:$K,11,0)</f>
        <v>SISTEMAS TECNOLOGICOS</v>
      </c>
      <c r="G230" s="7"/>
      <c r="H230" s="7"/>
      <c r="I230" s="5"/>
      <c r="J230" s="5"/>
      <c r="K230" s="6" t="s">
        <v>641</v>
      </c>
      <c r="L230" s="5" t="str">
        <f>IFERROR(VLOOKUP(CONCATENATE(A230,"S"),[2]Hoja1!$B:$N,5,0)," ")</f>
        <v xml:space="preserve"> </v>
      </c>
      <c r="M230" s="6" t="str">
        <f>IFERROR(VLOOKUP(CONCATENATE(A230,"S"),[2]Hoja1!$B:$N,6,0)," ")</f>
        <v xml:space="preserve"> </v>
      </c>
      <c r="N230" s="4" t="str">
        <f t="shared" si="26"/>
        <v>PROVISIONAL</v>
      </c>
      <c r="O230" s="17" t="str">
        <f t="shared" si="27"/>
        <v>ARNALDO ESCALADA</v>
      </c>
      <c r="P230" s="4" t="str">
        <f>IF(O230="vacante","vacante",IFERROR(IF(VLOOKUP(IF((M230)=" ",IF(COUNTBLANK(K230),I230,K230),M230),[3]Hoja1!$B:$I,4,0)="licencia","vacante"," ")," "))</f>
        <v xml:space="preserve"> </v>
      </c>
      <c r="Q230" s="4"/>
      <c r="R230">
        <f t="shared" si="29"/>
        <v>15</v>
      </c>
      <c r="S230" t="str">
        <f t="shared" si="28"/>
        <v>3°5°15</v>
      </c>
    </row>
    <row r="231" spans="1:19" ht="18.75" hidden="1" customHeight="1">
      <c r="A231" s="3" t="str">
        <f t="shared" si="25"/>
        <v>3°5°3523TPT3</v>
      </c>
      <c r="B231" s="3" t="s">
        <v>336</v>
      </c>
      <c r="C231" s="3">
        <v>352</v>
      </c>
      <c r="D231" s="3" t="s">
        <v>284</v>
      </c>
      <c r="E231" s="3">
        <v>2232478</v>
      </c>
      <c r="F231" s="3" t="str">
        <f>VLOOKUP(D231,[1]Hoja1!$A:$K,11,0)</f>
        <v>PROCEDIMIENTOS TECNICOS</v>
      </c>
      <c r="G231" s="7"/>
      <c r="H231" s="7"/>
      <c r="I231" s="5"/>
      <c r="J231" s="5" t="s">
        <v>347</v>
      </c>
      <c r="K231" s="6" t="s">
        <v>348</v>
      </c>
      <c r="L231" s="5" t="str">
        <f>IFERROR(VLOOKUP(CONCATENATE(A231,"S"),[2]Hoja1!$B:$N,5,0)," ")</f>
        <v xml:space="preserve"> </v>
      </c>
      <c r="M231" s="6" t="str">
        <f>IFERROR(VLOOKUP(CONCATENATE(A231,"S"),[2]Hoja1!$B:$N,6,0)," ")</f>
        <v xml:space="preserve"> </v>
      </c>
      <c r="N231" s="4" t="str">
        <f t="shared" si="26"/>
        <v>PROVISIONAL</v>
      </c>
      <c r="O231" s="17" t="str">
        <f t="shared" si="27"/>
        <v xml:space="preserve">VIANA MAURO                  </v>
      </c>
      <c r="P231" s="4" t="str">
        <f>IF(O231="vacante","vacante",IFERROR(IF(VLOOKUP(IF((M231)=" ",IF(COUNTBLANK(K231),I231,K231),M231),[3]Hoja1!$B:$I,4,0)="licencia","vacante"," ")," "))</f>
        <v xml:space="preserve"> </v>
      </c>
      <c r="Q231" s="4"/>
      <c r="R231">
        <f t="shared" si="29"/>
        <v>16</v>
      </c>
      <c r="S231" t="str">
        <f t="shared" si="28"/>
        <v>3°5°16</v>
      </c>
    </row>
    <row r="232" spans="1:19" ht="18.75" hidden="1" customHeight="1">
      <c r="A232" s="3" t="str">
        <f t="shared" si="25"/>
        <v>4°1°4IQUIS</v>
      </c>
      <c r="B232" s="3" t="s">
        <v>349</v>
      </c>
      <c r="C232" s="3"/>
      <c r="D232" s="3" t="s">
        <v>350</v>
      </c>
      <c r="E232" s="3">
        <v>733716</v>
      </c>
      <c r="F232" s="3" t="str">
        <f>VLOOKUP(D232,[1]Hoja1!$A:$K,11,0)</f>
        <v>QUIMICA</v>
      </c>
      <c r="G232" s="7">
        <v>24490856</v>
      </c>
      <c r="H232" s="7"/>
      <c r="I232" s="5"/>
      <c r="J232" s="5"/>
      <c r="K232" s="6" t="s">
        <v>741</v>
      </c>
      <c r="L232" s="5"/>
      <c r="M232" s="6" t="str">
        <f>IFERROR(VLOOKUP(CONCATENATE(A232,"S"),[2]Hoja1!$B:$N,6,0)," ")</f>
        <v>RODRIGUEZ MERCEDES NATALIA</v>
      </c>
      <c r="N232" s="4" t="str">
        <f t="shared" si="26"/>
        <v>SUPLENTE</v>
      </c>
      <c r="O232" s="17" t="str">
        <f t="shared" si="27"/>
        <v>RODRIGUEZ MERCEDES NATALIA</v>
      </c>
      <c r="P232" s="4" t="str">
        <f>IF(O232="vacante","vacante",IFERROR(IF(VLOOKUP(IF((M232)=" ",IF(COUNTBLANK(K232),I232,K232),M232),[3]Hoja1!$B:$I,4,0)="licencia","vacante"," ")," "))</f>
        <v xml:space="preserve"> </v>
      </c>
      <c r="Q232" s="4"/>
      <c r="R232">
        <f t="shared" si="29"/>
        <v>1</v>
      </c>
      <c r="S232" t="str">
        <f t="shared" si="28"/>
        <v>4°1°1</v>
      </c>
    </row>
    <row r="233" spans="1:19" ht="18.75" hidden="1" customHeight="1">
      <c r="A233" s="3" t="str">
        <f t="shared" si="25"/>
        <v>4°1°4IMATES</v>
      </c>
      <c r="B233" s="3" t="s">
        <v>349</v>
      </c>
      <c r="C233" s="3"/>
      <c r="D233" s="3" t="s">
        <v>351</v>
      </c>
      <c r="E233" s="3">
        <v>733575</v>
      </c>
      <c r="F233" s="3" t="str">
        <f>VLOOKUP(D233,[1]Hoja1!$A:$K,11,0)</f>
        <v>MATEMATICA</v>
      </c>
      <c r="G233" s="7"/>
      <c r="H233" s="7"/>
      <c r="I233" s="5"/>
      <c r="J233" s="5"/>
      <c r="K233" s="6" t="s">
        <v>689</v>
      </c>
      <c r="L233" s="5" t="str">
        <f>IFERROR(VLOOKUP(CONCATENATE(A233,"S"),[2]Hoja1!$B:$N,5,0)," ")</f>
        <v xml:space="preserve"> </v>
      </c>
      <c r="M233" s="6" t="str">
        <f>IFERROR(VLOOKUP(CONCATENATE(A233,"S"),[2]Hoja1!$B:$N,6,0)," ")</f>
        <v xml:space="preserve"> </v>
      </c>
      <c r="N233" s="4" t="str">
        <f t="shared" si="26"/>
        <v>PROVISIONAL</v>
      </c>
      <c r="O233" s="17" t="str">
        <f t="shared" si="27"/>
        <v>WEBBER JONATHAN</v>
      </c>
      <c r="P233" s="4" t="str">
        <f>IF(O233="vacante","vacante",IFERROR(IF(VLOOKUP(IF((M233)=" ",IF(COUNTBLANK(K233),I233,K233),M233),[3]Hoja1!$B:$I,4,0)="licencia","vacante"," ")," "))</f>
        <v xml:space="preserve"> </v>
      </c>
      <c r="Q233" s="4"/>
      <c r="R233">
        <f t="shared" si="29"/>
        <v>2</v>
      </c>
      <c r="S233" t="str">
        <f t="shared" si="28"/>
        <v>4°1°2</v>
      </c>
    </row>
    <row r="234" spans="1:19" ht="18.75" hidden="1" customHeight="1">
      <c r="A234" s="3" t="str">
        <f t="shared" si="25"/>
        <v>4°1°4ILITS</v>
      </c>
      <c r="B234" s="3" t="s">
        <v>349</v>
      </c>
      <c r="C234" s="3"/>
      <c r="D234" s="3" t="s">
        <v>352</v>
      </c>
      <c r="E234" s="3">
        <v>733437</v>
      </c>
      <c r="F234" s="3" t="str">
        <f>VLOOKUP(D234,[1]Hoja1!$A:$K,11,0)</f>
        <v>LITERATURA</v>
      </c>
      <c r="G234" s="7">
        <v>13642940</v>
      </c>
      <c r="H234" s="7" t="s">
        <v>73</v>
      </c>
      <c r="I234" s="5" t="s">
        <v>313</v>
      </c>
      <c r="J234" s="5"/>
      <c r="K234" s="6"/>
      <c r="L234" s="5" t="str">
        <f>IFERROR(VLOOKUP(CONCATENATE(A234,"S"),[2]Hoja1!$B:$N,5,0)," ")</f>
        <v xml:space="preserve"> </v>
      </c>
      <c r="M234" s="6" t="str">
        <f>IFERROR(VLOOKUP(CONCATENATE(A234,"S"),[2]Hoja1!$B:$N,6,0)," ")</f>
        <v xml:space="preserve"> </v>
      </c>
      <c r="N234" s="4" t="str">
        <f t="shared" si="26"/>
        <v>TITULAR</v>
      </c>
      <c r="O234" s="17" t="str">
        <f t="shared" si="27"/>
        <v>CARESTIA, NOEMI</v>
      </c>
      <c r="P234" s="4" t="str">
        <f>IF(O234="vacante","vacante",IFERROR(IF(VLOOKUP(IF((M234)=" ",IF(COUNTBLANK(K234),I234,K234),M234),[3]Hoja1!$B:$I,4,0)="licencia","vacante"," ")," "))</f>
        <v xml:space="preserve"> </v>
      </c>
      <c r="Q234" s="4"/>
      <c r="R234">
        <f t="shared" si="29"/>
        <v>3</v>
      </c>
      <c r="S234" t="str">
        <f t="shared" si="28"/>
        <v>4°1°3</v>
      </c>
    </row>
    <row r="235" spans="1:19" ht="18.75" hidden="1" customHeight="1">
      <c r="A235" s="3" t="str">
        <f t="shared" si="25"/>
        <v>4°1°4IINGS</v>
      </c>
      <c r="B235" s="3" t="s">
        <v>349</v>
      </c>
      <c r="C235" s="3"/>
      <c r="D235" s="3" t="s">
        <v>353</v>
      </c>
      <c r="E235" s="3">
        <v>733705</v>
      </c>
      <c r="F235" s="3" t="str">
        <f>VLOOKUP(D235,[1]Hoja1!$A:$K,11,0)</f>
        <v>INGLÉS</v>
      </c>
      <c r="G235" s="7" t="s">
        <v>27</v>
      </c>
      <c r="H235" s="7"/>
      <c r="I235" s="5" t="s">
        <v>28</v>
      </c>
      <c r="J235" s="5"/>
      <c r="K235" s="6"/>
      <c r="L235" s="5" t="str">
        <f>IFERROR(VLOOKUP(CONCATENATE(A235,"S"),[2]Hoja1!$B:$N,5,0)," ")</f>
        <v xml:space="preserve"> </v>
      </c>
      <c r="M235" s="6" t="str">
        <f>IFERROR(VLOOKUP(CONCATENATE(A235,"S"),[2]Hoja1!$B:$N,6,0)," ")</f>
        <v xml:space="preserve"> </v>
      </c>
      <c r="N235" s="4" t="str">
        <f t="shared" si="26"/>
        <v>TITULAR</v>
      </c>
      <c r="O235" s="17" t="str">
        <f t="shared" si="27"/>
        <v xml:space="preserve">LEGUIZAMON ANA </v>
      </c>
      <c r="P235" s="4" t="str">
        <f>IF(O235="vacante","vacante",IFERROR(IF(VLOOKUP(IF((M235)=" ",IF(COUNTBLANK(K235),I235,K235),M235),[3]Hoja1!$B:$I,4,0)="licencia","vacante"," ")," "))</f>
        <v xml:space="preserve"> </v>
      </c>
      <c r="Q235" s="4"/>
      <c r="R235">
        <f t="shared" si="29"/>
        <v>4</v>
      </c>
      <c r="S235" t="str">
        <f t="shared" si="28"/>
        <v>4°1°4</v>
      </c>
    </row>
    <row r="236" spans="1:19" ht="18.75" hidden="1" customHeight="1">
      <c r="A236" s="3" t="str">
        <f t="shared" si="25"/>
        <v>4°1°4IEFIS</v>
      </c>
      <c r="B236" s="3" t="s">
        <v>349</v>
      </c>
      <c r="C236" s="3"/>
      <c r="D236" s="3" t="s">
        <v>354</v>
      </c>
      <c r="E236" s="3">
        <v>733409</v>
      </c>
      <c r="F236" s="3" t="str">
        <f>VLOOKUP(D236,[1]Hoja1!$A:$K,11,0)</f>
        <v>EDUCACIÓN FISICA</v>
      </c>
      <c r="G236" s="7"/>
      <c r="H236" s="7"/>
      <c r="I236" s="5"/>
      <c r="J236" s="7">
        <v>24178917</v>
      </c>
      <c r="K236" s="6" t="s">
        <v>655</v>
      </c>
      <c r="L236" s="5" t="str">
        <f>IFERROR(VLOOKUP(CONCATENATE(A236,"S"),[2]Hoja1!$B:$N,5,0)," ")</f>
        <v xml:space="preserve"> </v>
      </c>
      <c r="M236" s="6" t="str">
        <f>IFERROR(VLOOKUP(CONCATENATE(A236,"S"),[2]Hoja1!$B:$N,6,0)," ")</f>
        <v xml:space="preserve"> </v>
      </c>
      <c r="N236" s="4" t="str">
        <f t="shared" si="26"/>
        <v>PROVISIONAL</v>
      </c>
      <c r="O236" s="17" t="str">
        <f t="shared" si="27"/>
        <v xml:space="preserve">RIOS LEOINARDO </v>
      </c>
      <c r="P236" s="4" t="str">
        <f>IF(O236="vacante","vacante",IFERROR(IF(VLOOKUP(IF((M236)=" ",IF(COUNTBLANK(K236),I236,K236),M236),[3]Hoja1!$B:$I,4,0)="licencia","vacante"," ")," "))</f>
        <v xml:space="preserve"> </v>
      </c>
      <c r="Q236" s="4"/>
      <c r="R236">
        <f t="shared" si="29"/>
        <v>5</v>
      </c>
      <c r="S236" t="str">
        <f t="shared" si="28"/>
        <v>4°1°5</v>
      </c>
    </row>
    <row r="237" spans="1:19" ht="18.75" hidden="1" customHeight="1">
      <c r="A237" s="3" t="str">
        <f t="shared" si="25"/>
        <v>4°1°4IHIS</v>
      </c>
      <c r="B237" s="3" t="s">
        <v>349</v>
      </c>
      <c r="C237" s="3"/>
      <c r="D237" s="3" t="s">
        <v>355</v>
      </c>
      <c r="E237" s="3">
        <v>733421</v>
      </c>
      <c r="F237" s="3" t="str">
        <f>VLOOKUP(D237,[1]Hoja1!$A:$K,11,0)</f>
        <v>HISTORIA</v>
      </c>
      <c r="G237" s="7" t="s">
        <v>356</v>
      </c>
      <c r="H237" s="7"/>
      <c r="I237" s="5" t="s">
        <v>357</v>
      </c>
      <c r="J237" s="5"/>
      <c r="K237" s="6"/>
      <c r="L237" s="5" t="str">
        <f>IFERROR(VLOOKUP(CONCATENATE(A237,"S"),[2]Hoja1!$B:$N,5,0)," ")</f>
        <v xml:space="preserve"> </v>
      </c>
      <c r="M237" s="6" t="str">
        <f>IFERROR(VLOOKUP(CONCATENATE(A237,"S"),[2]Hoja1!$B:$N,6,0)," ")</f>
        <v xml:space="preserve"> </v>
      </c>
      <c r="N237" s="4" t="str">
        <f t="shared" si="26"/>
        <v>TITULAR</v>
      </c>
      <c r="O237" s="17" t="str">
        <f t="shared" si="27"/>
        <v xml:space="preserve">LOPEZ MARINA  </v>
      </c>
      <c r="P237" s="4" t="str">
        <f>IF(O237="vacante","vacante",IFERROR(IF(VLOOKUP(IF((M237)=" ",IF(COUNTBLANK(K237),I237,K237),M237),[3]Hoja1!$B:$I,4,0)="licencia","vacante"," ")," "))</f>
        <v xml:space="preserve"> </v>
      </c>
      <c r="Q237" s="4"/>
      <c r="R237">
        <f t="shared" si="29"/>
        <v>6</v>
      </c>
      <c r="S237" t="str">
        <f t="shared" si="28"/>
        <v>4°1°6</v>
      </c>
    </row>
    <row r="238" spans="1:19" ht="18.75" hidden="1" customHeight="1">
      <c r="A238" s="3" t="str">
        <f t="shared" si="25"/>
        <v>4°1°4IGEOS</v>
      </c>
      <c r="B238" s="3" t="s">
        <v>349</v>
      </c>
      <c r="C238" s="3"/>
      <c r="D238" s="3" t="s">
        <v>358</v>
      </c>
      <c r="E238" s="3">
        <v>1517072</v>
      </c>
      <c r="F238" s="3" t="str">
        <f>VLOOKUP(D238,[1]Hoja1!$A:$K,11,0)</f>
        <v>GEOGRAFIA</v>
      </c>
      <c r="G238" s="7">
        <v>28053999</v>
      </c>
      <c r="H238" s="7" t="s">
        <v>359</v>
      </c>
      <c r="I238" s="5" t="s">
        <v>360</v>
      </c>
      <c r="J238" s="5"/>
      <c r="K238" s="6"/>
      <c r="L238" s="5" t="str">
        <f>IFERROR(VLOOKUP(CONCATENATE(A238,"S"),[2]Hoja1!$B:$N,5,0)," ")</f>
        <v xml:space="preserve"> </v>
      </c>
      <c r="M238" s="6" t="str">
        <f>IFERROR(VLOOKUP(CONCATENATE(A238,"S"),[2]Hoja1!$B:$N,6,0)," ")</f>
        <v xml:space="preserve"> </v>
      </c>
      <c r="N238" s="4" t="str">
        <f t="shared" si="26"/>
        <v>TITULAR</v>
      </c>
      <c r="O238" s="17" t="str">
        <f t="shared" si="27"/>
        <v>JUAREZ VANESA</v>
      </c>
      <c r="P238" s="4" t="str">
        <f>IF(O238="vacante","vacante",IFERROR(IF(VLOOKUP(IF((M238)=" ",IF(COUNTBLANK(K238),I238,K238),M238),[3]Hoja1!$B:$I,4,0)="licencia","vacante"," ")," "))</f>
        <v xml:space="preserve"> </v>
      </c>
      <c r="Q238" s="4"/>
      <c r="R238">
        <f t="shared" si="29"/>
        <v>7</v>
      </c>
      <c r="S238" t="str">
        <f t="shared" si="28"/>
        <v>4°1°7</v>
      </c>
    </row>
    <row r="239" spans="1:19" ht="18.75" hidden="1" customHeight="1">
      <c r="A239" s="3" t="str">
        <f t="shared" si="25"/>
        <v>4°1°4IFIS</v>
      </c>
      <c r="B239" s="3" t="s">
        <v>349</v>
      </c>
      <c r="C239" s="3"/>
      <c r="D239" s="3" t="s">
        <v>361</v>
      </c>
      <c r="E239" s="3">
        <v>733330</v>
      </c>
      <c r="F239" s="3" t="str">
        <f>VLOOKUP(D239,[1]Hoja1!$A:$K,11,0)</f>
        <v>FISICA</v>
      </c>
      <c r="G239" s="7"/>
      <c r="H239" s="7"/>
      <c r="I239" s="5" t="s">
        <v>50</v>
      </c>
      <c r="J239" s="5"/>
      <c r="K239" s="6"/>
      <c r="L239" s="5" t="str">
        <f>IFERROR(VLOOKUP(CONCATENATE(A239,"S"),[2]Hoja1!$B:$N,5,0)," ")</f>
        <v xml:space="preserve"> </v>
      </c>
      <c r="M239" s="6" t="str">
        <f>IFERROR(VLOOKUP(CONCATENATE(A239,"S"),[2]Hoja1!$B:$N,6,0)," ")</f>
        <v xml:space="preserve"> </v>
      </c>
      <c r="N239" s="4" t="str">
        <f t="shared" si="26"/>
        <v>TITULAR</v>
      </c>
      <c r="O239" s="17" t="str">
        <f t="shared" si="27"/>
        <v xml:space="preserve">ESPINDOLA SERGIO                          </v>
      </c>
      <c r="P239" s="4" t="str">
        <f>IF(O239="vacante","vacante",IFERROR(IF(VLOOKUP(IF((M239)=" ",IF(COUNTBLANK(K239),I239,K239),M239),[3]Hoja1!$B:$I,4,0)="licencia","vacante"," ")," "))</f>
        <v xml:space="preserve"> </v>
      </c>
      <c r="Q239" s="4"/>
      <c r="R239">
        <f t="shared" si="29"/>
        <v>8</v>
      </c>
      <c r="S239" t="str">
        <f t="shared" si="28"/>
        <v>4°1°8</v>
      </c>
    </row>
    <row r="240" spans="1:19" ht="18.75" hidden="1" customHeight="1">
      <c r="A240" s="3" t="str">
        <f t="shared" si="25"/>
        <v>4°1°4ISADS</v>
      </c>
      <c r="B240" s="3" t="s">
        <v>349</v>
      </c>
      <c r="C240" s="3"/>
      <c r="D240" s="3" t="s">
        <v>362</v>
      </c>
      <c r="E240" s="3">
        <v>1517051</v>
      </c>
      <c r="F240" s="3" t="str">
        <f>VLOOKUP(D240,[1]Hoja1!$A:$K,11,0)</f>
        <v>SALUD Y ADOLESCENCIA</v>
      </c>
      <c r="G240" s="7">
        <v>28884637</v>
      </c>
      <c r="H240" s="7"/>
      <c r="I240" s="5" t="s">
        <v>363</v>
      </c>
      <c r="J240" s="5"/>
      <c r="K240" s="6"/>
      <c r="L240" s="5" t="str">
        <f>IFERROR(VLOOKUP(CONCATENATE(A240,"S"),[2]Hoja1!$B:$N,5,0)," ")</f>
        <v xml:space="preserve">  27-23.480.647-0  </v>
      </c>
      <c r="M240" s="6" t="str">
        <f>IFERROR(VLOOKUP(CONCATENATE(A240,"S"),[2]Hoja1!$B:$N,6,0)," ")</f>
        <v>DIAZ HECTOR</v>
      </c>
      <c r="N240" s="4" t="str">
        <f t="shared" si="26"/>
        <v>SUPLENTE</v>
      </c>
      <c r="O240" s="17" t="str">
        <f t="shared" si="27"/>
        <v>DIAZ HECTOR</v>
      </c>
      <c r="P240" s="4" t="str">
        <f>IF(O240="vacante","vacante",IFERROR(IF(VLOOKUP(IF((M240)=" ",IF(COUNTBLANK(K240),I240,K240),M240),[3]Hoja1!$B:$I,4,0)="licencia","vacante"," ")," "))</f>
        <v xml:space="preserve"> </v>
      </c>
      <c r="Q240" s="4"/>
      <c r="R240">
        <f t="shared" si="29"/>
        <v>9</v>
      </c>
      <c r="S240" t="str">
        <f t="shared" si="28"/>
        <v>4°1°9</v>
      </c>
    </row>
    <row r="241" spans="1:19" ht="18.75" hidden="1" customHeight="1">
      <c r="A241" s="3" t="str">
        <f t="shared" si="25"/>
        <v>4°1°4ITELE</v>
      </c>
      <c r="B241" s="3" t="s">
        <v>349</v>
      </c>
      <c r="C241" s="3"/>
      <c r="D241" s="3" t="s">
        <v>364</v>
      </c>
      <c r="E241" s="3">
        <v>1643783</v>
      </c>
      <c r="F241" s="3" t="str">
        <f>VLOOKUP(D241,[1]Hoja1!$A:$K,11,0)</f>
        <v>TECNOLOGIAS ELECTRONICAS</v>
      </c>
      <c r="G241" s="7" t="s">
        <v>243</v>
      </c>
      <c r="H241" s="7"/>
      <c r="I241" s="5" t="s">
        <v>240</v>
      </c>
      <c r="J241" s="5"/>
      <c r="K241" s="6"/>
      <c r="L241" s="5">
        <f>IFERROR(VLOOKUP(CONCATENATE(A241,"S"),[2]Hoja1!$B:$N,5,0)," ")</f>
        <v>23086757</v>
      </c>
      <c r="M241" s="6" t="str">
        <f>IFERROR(VLOOKUP(CONCATENATE(A241,"S"),[2]Hoja1!$B:$N,6,0)," ")</f>
        <v>FEDERICO GAUNA</v>
      </c>
      <c r="N241" s="4" t="str">
        <f t="shared" si="26"/>
        <v>SUPLENTE</v>
      </c>
      <c r="O241" s="17" t="str">
        <f t="shared" si="27"/>
        <v>FEDERICO GAUNA</v>
      </c>
      <c r="P241" s="4" t="str">
        <f>IF(O241="vacante","vacante",IFERROR(IF(VLOOKUP(IF((M241)=" ",IF(COUNTBLANK(K241),I241,K241),M241),[3]Hoja1!$B:$I,4,0)="licencia","vacante"," ")," "))</f>
        <v xml:space="preserve"> </v>
      </c>
      <c r="Q241" s="4"/>
      <c r="R241">
        <f t="shared" si="29"/>
        <v>10</v>
      </c>
      <c r="S241" t="str">
        <f t="shared" si="28"/>
        <v>4°1°10</v>
      </c>
    </row>
    <row r="242" spans="1:19" ht="18.75" hidden="1" customHeight="1">
      <c r="A242" s="3" t="str">
        <f t="shared" si="25"/>
        <v>4°1°4114IFTLP4</v>
      </c>
      <c r="B242" s="3" t="s">
        <v>349</v>
      </c>
      <c r="C242" s="3">
        <v>411</v>
      </c>
      <c r="D242" s="3" t="s">
        <v>366</v>
      </c>
      <c r="E242" s="3">
        <v>2680042</v>
      </c>
      <c r="F242" s="3" t="str">
        <f>VLOOKUP(D242,[1]Hoja1!$A:$K,11,0)</f>
        <v>LAB DE PROGRAM</v>
      </c>
      <c r="G242" s="7" t="s">
        <v>301</v>
      </c>
      <c r="H242" s="7"/>
      <c r="I242" s="5"/>
      <c r="J242" s="5"/>
      <c r="K242" s="6" t="s">
        <v>583</v>
      </c>
      <c r="L242" s="5" t="str">
        <f>IFERROR(VLOOKUP(CONCATENATE(A242,"S"),[2]Hoja1!$B:$N,5,0)," ")</f>
        <v xml:space="preserve"> </v>
      </c>
      <c r="M242" s="6" t="str">
        <f>IFERROR(VLOOKUP(CONCATENATE(A242,"S"),[2]Hoja1!$B:$N,6,0)," ")</f>
        <v xml:space="preserve"> </v>
      </c>
      <c r="N242" s="4" t="str">
        <f t="shared" si="26"/>
        <v>PROVISIONAL</v>
      </c>
      <c r="O242" s="17" t="str">
        <f t="shared" si="27"/>
        <v>HERRERA STELLA MARIS</v>
      </c>
      <c r="P242" s="4" t="str">
        <f>IF(O242="vacante","vacante",IFERROR(IF(VLOOKUP(IF((M242)=" ",IF(COUNTBLANK(K242),I242,K242),M242),[3]Hoja1!$B:$I,4,0)="licencia","vacante"," ")," "))</f>
        <v xml:space="preserve"> </v>
      </c>
      <c r="Q242" s="4"/>
      <c r="R242">
        <f t="shared" si="29"/>
        <v>11</v>
      </c>
      <c r="S242" t="str">
        <f t="shared" si="28"/>
        <v>4°1°11</v>
      </c>
    </row>
    <row r="243" spans="1:19" ht="21" hidden="1" customHeight="1">
      <c r="A243" s="3" t="str">
        <f t="shared" si="25"/>
        <v>4°1°4114IFTLH4</v>
      </c>
      <c r="B243" s="3" t="s">
        <v>349</v>
      </c>
      <c r="C243" s="3">
        <v>411</v>
      </c>
      <c r="D243" s="3" t="s">
        <v>367</v>
      </c>
      <c r="E243" s="3">
        <v>2680043</v>
      </c>
      <c r="F243" s="3" t="str">
        <f>VLOOKUP(D243,[1]Hoja1!$A:$K,11,0)</f>
        <v>LAB DE HARDWARE</v>
      </c>
      <c r="G243" s="7">
        <v>24083882</v>
      </c>
      <c r="H243" s="7" t="s">
        <v>78</v>
      </c>
      <c r="I243" s="5"/>
      <c r="J243" s="5"/>
      <c r="K243" s="6" t="s">
        <v>665</v>
      </c>
      <c r="L243" s="5" t="str">
        <f>IFERROR(VLOOKUP(CONCATENATE(A243,"S"),[2]Hoja1!$B:$N,5,0)," ")</f>
        <v xml:space="preserve"> </v>
      </c>
      <c r="M243" s="6" t="str">
        <f>IFERROR(VLOOKUP(CONCATENATE(A243,"S"),[2]Hoja1!$B:$N,6,0)," ")</f>
        <v xml:space="preserve"> </v>
      </c>
      <c r="N243" s="4" t="str">
        <f t="shared" si="26"/>
        <v>PROVISIONAL</v>
      </c>
      <c r="O243" s="17" t="str">
        <f t="shared" si="27"/>
        <v>HERRERA STELLA 27- 29.873.235-7</v>
      </c>
      <c r="P243" s="4" t="str">
        <f>IF(O243="vacante","vacante",IFERROR(IF(VLOOKUP(IF((M243)=" ",IF(COUNTBLANK(K243),I243,K243),M243),[3]Hoja1!$B:$I,4,0)="licencia","vacante"," ")," "))</f>
        <v xml:space="preserve"> </v>
      </c>
      <c r="Q243" s="4"/>
      <c r="R243">
        <f t="shared" si="29"/>
        <v>12</v>
      </c>
      <c r="S243" t="str">
        <f t="shared" si="28"/>
        <v>4°1°12</v>
      </c>
    </row>
    <row r="244" spans="1:19" ht="24.75" hidden="1" customHeight="1">
      <c r="A244" s="3" t="str">
        <f t="shared" si="25"/>
        <v>4°1°4114IFTLS4</v>
      </c>
      <c r="B244" s="3" t="s">
        <v>349</v>
      </c>
      <c r="C244" s="3">
        <v>411</v>
      </c>
      <c r="D244" s="3" t="s">
        <v>368</v>
      </c>
      <c r="E244" s="3">
        <v>2680045</v>
      </c>
      <c r="F244" s="3" t="str">
        <f>VLOOKUP(D244,[1]Hoja1!$A:$K,11,0)</f>
        <v xml:space="preserve">LAB DE SIST OPERATIVOS   </v>
      </c>
      <c r="G244" s="7"/>
      <c r="H244" s="7"/>
      <c r="I244" s="5"/>
      <c r="J244" s="5">
        <v>27280452209</v>
      </c>
      <c r="K244" s="6" t="s">
        <v>813</v>
      </c>
      <c r="L244" s="5" t="str">
        <f>IFERROR(VLOOKUP(CONCATENATE(A244,"S"),[2]Hoja1!$B:$N,5,0)," ")</f>
        <v xml:space="preserve"> </v>
      </c>
      <c r="M244" s="6" t="str">
        <f>IFERROR(VLOOKUP(CONCATENATE(A244,"S"),[2]Hoja1!$B:$N,6,0)," ")</f>
        <v xml:space="preserve"> </v>
      </c>
      <c r="N244" s="4" t="str">
        <f t="shared" si="26"/>
        <v>PROVISIONAL</v>
      </c>
      <c r="O244" s="17" t="str">
        <f t="shared" si="27"/>
        <v xml:space="preserve">AGUIRRE ISABEL  </v>
      </c>
      <c r="P244" s="4" t="str">
        <f>IF(O244="vacante","vacante",IFERROR(IF(VLOOKUP(IF((M244)=" ",IF(COUNTBLANK(K244),I244,K244),M244),[3]Hoja1!$B:$I,4,0)="licencia","vacante"," ")," "))</f>
        <v xml:space="preserve"> </v>
      </c>
      <c r="Q244" s="4"/>
      <c r="R244">
        <f t="shared" si="29"/>
        <v>13</v>
      </c>
      <c r="S244" t="str">
        <f t="shared" si="28"/>
        <v>4°1°13</v>
      </c>
    </row>
    <row r="245" spans="1:19" ht="24.75" hidden="1" customHeight="1">
      <c r="A245" s="3" t="str">
        <f t="shared" si="25"/>
        <v>4°1°4114IFTLA4</v>
      </c>
      <c r="B245" s="3" t="s">
        <v>349</v>
      </c>
      <c r="C245" s="3">
        <v>411</v>
      </c>
      <c r="D245" s="3" t="s">
        <v>369</v>
      </c>
      <c r="E245" s="3">
        <v>2680049</v>
      </c>
      <c r="F245" s="3" t="str">
        <f>VLOOKUP(D245,[1]Hoja1!$A:$K,11,0)</f>
        <v>LAB DE APLICACIONES</v>
      </c>
      <c r="G245" s="7"/>
      <c r="H245" s="26"/>
      <c r="I245" s="27"/>
      <c r="J245" s="27"/>
      <c r="K245" s="28" t="s">
        <v>756</v>
      </c>
      <c r="L245" s="5">
        <f>IFERROR(VLOOKUP(CONCATENATE(A245,"S"),[2]Hoja1!$B:$N,5,0)," ")</f>
        <v>27280452209</v>
      </c>
      <c r="M245" s="6" t="str">
        <f>IFERROR(VLOOKUP(CONCATENATE(A245,"S"),[2]Hoja1!$B:$N,6,0)," ")</f>
        <v xml:space="preserve"> AGUIRRE ISABEL ITATI</v>
      </c>
      <c r="N245" s="4" t="str">
        <f t="shared" si="26"/>
        <v>SUPLENTE</v>
      </c>
      <c r="O245" s="17" t="str">
        <f t="shared" si="27"/>
        <v xml:space="preserve"> AGUIRRE ISABEL ITATI</v>
      </c>
      <c r="P245" s="4" t="str">
        <f>IF(O245="vacante","vacante",IFERROR(IF(VLOOKUP(IF((M245)=" ",IF(COUNTBLANK(K245),I245,K245),M245),[3]Hoja1!$B:$I,4,0)="licencia","vacante"," ")," "))</f>
        <v xml:space="preserve"> </v>
      </c>
      <c r="Q245" s="4"/>
      <c r="R245">
        <f t="shared" si="29"/>
        <v>14</v>
      </c>
      <c r="S245" t="str">
        <f t="shared" si="28"/>
        <v>4°1°14</v>
      </c>
    </row>
    <row r="246" spans="1:19" ht="18.75" hidden="1" customHeight="1">
      <c r="A246" s="3" t="str">
        <f t="shared" si="25"/>
        <v>4°1°4124IFTLP4</v>
      </c>
      <c r="B246" s="3" t="s">
        <v>349</v>
      </c>
      <c r="C246" s="3">
        <v>412</v>
      </c>
      <c r="D246" s="3" t="s">
        <v>366</v>
      </c>
      <c r="E246" s="3">
        <v>2680052</v>
      </c>
      <c r="F246" s="3" t="str">
        <f>VLOOKUP(D246,[1]Hoja1!$A:$K,11,0)</f>
        <v>LAB DE PROGRAM</v>
      </c>
      <c r="G246" s="7">
        <v>12434199</v>
      </c>
      <c r="H246" s="7"/>
      <c r="I246" s="5"/>
      <c r="J246" s="5"/>
      <c r="K246" s="6" t="s">
        <v>583</v>
      </c>
      <c r="L246" s="5" t="str">
        <f>IFERROR(VLOOKUP(CONCATENATE(A246,"S"),[2]Hoja1!$B:$N,5,0)," ")</f>
        <v xml:space="preserve"> </v>
      </c>
      <c r="M246" s="6" t="str">
        <f>IFERROR(VLOOKUP(CONCATENATE(A246,"S"),[2]Hoja1!$B:$N,6,0)," ")</f>
        <v xml:space="preserve"> </v>
      </c>
      <c r="N246" s="4" t="str">
        <f t="shared" si="26"/>
        <v>PROVISIONAL</v>
      </c>
      <c r="O246" s="17" t="str">
        <f t="shared" si="27"/>
        <v>HERRERA STELLA MARIS</v>
      </c>
      <c r="P246" s="4" t="str">
        <f>IF(O246="vacante","vacante",IFERROR(IF(VLOOKUP(IF((M246)=" ",IF(COUNTBLANK(K246),I246,K246),M246),[3]Hoja1!$B:$I,4,0)="licencia","vacante"," ")," "))</f>
        <v xml:space="preserve"> </v>
      </c>
      <c r="Q246" s="4"/>
      <c r="R246">
        <f t="shared" si="29"/>
        <v>15</v>
      </c>
      <c r="S246" t="str">
        <f t="shared" si="28"/>
        <v>4°1°15</v>
      </c>
    </row>
    <row r="247" spans="1:19" ht="18.75" hidden="1" customHeight="1">
      <c r="A247" s="3" t="str">
        <f t="shared" si="25"/>
        <v>4°1°4124IFTLH4</v>
      </c>
      <c r="B247" s="3" t="s">
        <v>349</v>
      </c>
      <c r="C247" s="3">
        <v>412</v>
      </c>
      <c r="D247" s="3" t="s">
        <v>367</v>
      </c>
      <c r="E247" s="3">
        <v>2680053</v>
      </c>
      <c r="F247" s="3" t="str">
        <f>VLOOKUP(D247,[1]Hoja1!$A:$K,11,0)</f>
        <v>LAB DE HARDWARE</v>
      </c>
      <c r="G247" s="7" t="s">
        <v>370</v>
      </c>
      <c r="H247" s="7"/>
      <c r="I247" s="5"/>
      <c r="J247" s="5"/>
      <c r="K247" s="6" t="s">
        <v>751</v>
      </c>
      <c r="L247" s="5" t="str">
        <f>IFERROR(VLOOKUP(CONCATENATE(A247,"S"),[2]Hoja1!$B:$N,5,0)," ")</f>
        <v xml:space="preserve"> </v>
      </c>
      <c r="M247" s="6" t="str">
        <f>IFERROR(VLOOKUP(CONCATENATE(A247,"S"),[2]Hoja1!$B:$N,6,0)," ")</f>
        <v xml:space="preserve"> </v>
      </c>
      <c r="N247" s="4" t="str">
        <f t="shared" si="26"/>
        <v>PROVISIONAL</v>
      </c>
      <c r="O247" s="17" t="str">
        <f t="shared" si="27"/>
        <v>GAUNA FEDERICO</v>
      </c>
      <c r="P247" s="4" t="str">
        <f>IF(O247="vacante","vacante",IFERROR(IF(VLOOKUP(IF((M247)=" ",IF(COUNTBLANK(K247),I247,K247),M247),[3]Hoja1!$B:$I,4,0)="licencia","vacante"," ")," "))</f>
        <v xml:space="preserve"> </v>
      </c>
      <c r="Q247" s="4"/>
      <c r="R247">
        <f t="shared" si="29"/>
        <v>16</v>
      </c>
      <c r="S247" t="str">
        <f t="shared" si="28"/>
        <v>4°1°16</v>
      </c>
    </row>
    <row r="248" spans="1:19" ht="18.75" hidden="1" customHeight="1">
      <c r="A248" s="3" t="str">
        <f t="shared" si="25"/>
        <v>4°1°4124IFTLS4</v>
      </c>
      <c r="B248" s="3" t="s">
        <v>349</v>
      </c>
      <c r="C248" s="3">
        <v>412</v>
      </c>
      <c r="D248" s="3" t="s">
        <v>368</v>
      </c>
      <c r="E248" s="3">
        <v>2680054</v>
      </c>
      <c r="F248" s="3" t="str">
        <f>VLOOKUP(D248,[1]Hoja1!$A:$K,11,0)</f>
        <v xml:space="preserve">LAB DE SIST OPERATIVOS   </v>
      </c>
      <c r="G248" s="7"/>
      <c r="H248" s="7"/>
      <c r="I248" s="5"/>
      <c r="J248" s="5"/>
      <c r="K248" s="6" t="s">
        <v>423</v>
      </c>
      <c r="L248" s="5" t="str">
        <f>IFERROR(VLOOKUP(CONCATENATE(A248,"S"),[2]Hoja1!$B:$N,5,0)," ")</f>
        <v xml:space="preserve"> </v>
      </c>
      <c r="M248" s="6" t="str">
        <f>IFERROR(VLOOKUP(CONCATENATE(A248,"S"),[2]Hoja1!$B:$N,6,0)," ")</f>
        <v xml:space="preserve"> </v>
      </c>
      <c r="N248" s="4" t="str">
        <f t="shared" si="26"/>
        <v>PROVISIONAL</v>
      </c>
      <c r="O248" s="17" t="str">
        <f t="shared" si="27"/>
        <v xml:space="preserve">BARCENILLA, JAVIER </v>
      </c>
      <c r="P248" s="4" t="str">
        <f>IF(O248="vacante","vacante",IFERROR(IF(VLOOKUP(IF((M248)=" ",IF(COUNTBLANK(K248),I248,K248),M248),[3]Hoja1!$B:$I,4,0)="licencia","vacante"," ")," "))</f>
        <v xml:space="preserve"> </v>
      </c>
      <c r="Q248" s="4"/>
      <c r="R248">
        <f t="shared" si="29"/>
        <v>17</v>
      </c>
      <c r="S248" t="str">
        <f t="shared" si="28"/>
        <v>4°1°17</v>
      </c>
    </row>
    <row r="249" spans="1:19" ht="18.75" hidden="1" customHeight="1">
      <c r="A249" s="3" t="str">
        <f t="shared" si="25"/>
        <v>4°1°4124IFTLA4</v>
      </c>
      <c r="B249" s="3" t="s">
        <v>349</v>
      </c>
      <c r="C249" s="3">
        <v>412</v>
      </c>
      <c r="D249" s="3" t="s">
        <v>369</v>
      </c>
      <c r="E249" s="3">
        <v>2680055</v>
      </c>
      <c r="F249" s="3" t="str">
        <f>VLOOKUP(D249,[1]Hoja1!$A:$K,11,0)</f>
        <v>LAB DE APLICACIONES</v>
      </c>
      <c r="G249" s="7" t="s">
        <v>371</v>
      </c>
      <c r="H249" s="7"/>
      <c r="I249" s="5" t="s">
        <v>372</v>
      </c>
      <c r="J249" s="5"/>
      <c r="K249" s="6"/>
      <c r="L249" s="5" t="str">
        <f>IFERROR(VLOOKUP(CONCATENATE(A249,"S"),[2]Hoja1!$B:$N,5,0)," ")</f>
        <v xml:space="preserve"> </v>
      </c>
      <c r="M249" s="6" t="str">
        <f>IFERROR(VLOOKUP(CONCATENATE(A249,"S"),[2]Hoja1!$B:$N,6,0)," ")</f>
        <v xml:space="preserve"> </v>
      </c>
      <c r="N249" s="4" t="str">
        <f t="shared" si="26"/>
        <v>TITULAR</v>
      </c>
      <c r="O249" s="17" t="str">
        <f t="shared" si="27"/>
        <v xml:space="preserve">PROCHOR GLORIA </v>
      </c>
      <c r="P249" s="4" t="str">
        <f>IF(O249="vacante","vacante",IFERROR(IF(VLOOKUP(IF((M249)=" ",IF(COUNTBLANK(K249),I249,K249),M249),[3]Hoja1!$B:$I,4,0)="licencia","vacante"," ")," "))</f>
        <v xml:space="preserve"> </v>
      </c>
      <c r="Q249" s="4"/>
      <c r="R249">
        <f t="shared" si="29"/>
        <v>18</v>
      </c>
      <c r="S249" t="str">
        <f t="shared" si="28"/>
        <v>4°1°18</v>
      </c>
    </row>
    <row r="250" spans="1:19" ht="18.75" hidden="1" customHeight="1">
      <c r="A250" s="3" t="str">
        <f t="shared" si="25"/>
        <v>4°2°4IQUIS</v>
      </c>
      <c r="B250" s="3" t="s">
        <v>373</v>
      </c>
      <c r="C250" s="3"/>
      <c r="D250" s="3" t="s">
        <v>350</v>
      </c>
      <c r="E250" s="3">
        <v>733408</v>
      </c>
      <c r="F250" s="3" t="str">
        <f>VLOOKUP(D250,[1]Hoja1!$A:$K,11,0)</f>
        <v>QUIMICA</v>
      </c>
      <c r="G250" s="7"/>
      <c r="H250" s="7"/>
      <c r="I250" s="5"/>
      <c r="J250" s="5">
        <v>29130249</v>
      </c>
      <c r="K250" s="6" t="s">
        <v>571</v>
      </c>
      <c r="L250" s="5">
        <f>IFERROR(VLOOKUP(CONCATENATE(A250,"S"),[2]Hoja1!$B:$N,5,0)," ")</f>
        <v>20311451163</v>
      </c>
      <c r="M250" s="6" t="str">
        <f>IFERROR(VLOOKUP(CONCATENATE(A250,"S"),[2]Hoja1!$B:$N,6,0)," ")</f>
        <v>CASCIANO CLAUDIO RUBEN</v>
      </c>
      <c r="N250" s="4" t="str">
        <f t="shared" si="26"/>
        <v>SUPLENTE</v>
      </c>
      <c r="O250" s="17" t="str">
        <f t="shared" si="27"/>
        <v>CASCIANO CLAUDIO RUBEN</v>
      </c>
      <c r="P250" s="4" t="str">
        <f>IF(O250="vacante","vacante",IFERROR(IF(VLOOKUP(IF((M250)=" ",IF(COUNTBLANK(K250),I250,K250),M250),[3]Hoja1!$B:$I,4,0)="licencia","vacante"," ")," "))</f>
        <v xml:space="preserve"> </v>
      </c>
      <c r="Q250" s="4"/>
      <c r="R250" t="e">
        <f>IF(B250=#REF!,#REF!+1,1)</f>
        <v>#REF!</v>
      </c>
      <c r="S250" t="e">
        <f t="shared" si="28"/>
        <v>#REF!</v>
      </c>
    </row>
    <row r="251" spans="1:19" ht="18.75" hidden="1" customHeight="1">
      <c r="A251" s="3" t="str">
        <f t="shared" si="25"/>
        <v>4°2°4IMATES</v>
      </c>
      <c r="B251" s="3" t="s">
        <v>373</v>
      </c>
      <c r="C251" s="3"/>
      <c r="D251" s="3" t="s">
        <v>351</v>
      </c>
      <c r="E251" s="3">
        <v>733458</v>
      </c>
      <c r="F251" s="3" t="str">
        <f>VLOOKUP(D251,[1]Hoja1!$A:$K,11,0)</f>
        <v>MATEMATICA</v>
      </c>
      <c r="G251" s="29">
        <v>22545368</v>
      </c>
      <c r="H251" s="7"/>
      <c r="I251" s="40" t="s">
        <v>332</v>
      </c>
      <c r="J251" s="5"/>
      <c r="K251" s="6"/>
      <c r="L251" s="5" t="str">
        <f>IFERROR(VLOOKUP(CONCATENATE(A251,"S"),[2]Hoja1!$B:$N,5,0)," ")</f>
        <v xml:space="preserve"> </v>
      </c>
      <c r="M251" s="6" t="str">
        <f>IFERROR(VLOOKUP(CONCATENATE(A251,"S"),[2]Hoja1!$B:$N,6,0)," ")</f>
        <v xml:space="preserve"> </v>
      </c>
      <c r="N251" s="4" t="str">
        <f t="shared" si="26"/>
        <v>TITULAR</v>
      </c>
      <c r="O251" s="17" t="str">
        <f t="shared" si="27"/>
        <v xml:space="preserve">GARCIA CLAUDIA </v>
      </c>
      <c r="P251" s="4" t="str">
        <f>IF(O251="vacante","vacante",IFERROR(IF(VLOOKUP(IF((M251)=" ",IF(COUNTBLANK(K251),I251,K251),M251),[3]Hoja1!$B:$I,4,0)="licencia","vacante"," ")," "))</f>
        <v xml:space="preserve"> </v>
      </c>
      <c r="Q251" s="4"/>
      <c r="R251" t="e">
        <f t="shared" si="29"/>
        <v>#REF!</v>
      </c>
      <c r="S251" t="e">
        <f t="shared" si="28"/>
        <v>#REF!</v>
      </c>
    </row>
    <row r="252" spans="1:19" ht="18.75" hidden="1" customHeight="1">
      <c r="A252" s="3" t="str">
        <f t="shared" si="25"/>
        <v>4°2°4ILITS</v>
      </c>
      <c r="B252" s="3" t="s">
        <v>373</v>
      </c>
      <c r="C252" s="3"/>
      <c r="D252" s="3" t="s">
        <v>352</v>
      </c>
      <c r="E252" s="3">
        <v>733407</v>
      </c>
      <c r="F252" s="3" t="str">
        <f>VLOOKUP(D252,[1]Hoja1!$A:$K,11,0)</f>
        <v>LITERATURA</v>
      </c>
      <c r="G252" s="7" t="s">
        <v>623</v>
      </c>
      <c r="H252" s="7"/>
      <c r="I252" s="5" t="s">
        <v>622</v>
      </c>
      <c r="J252" s="5"/>
      <c r="K252" s="6"/>
      <c r="L252" s="5" t="str">
        <f>IFERROR(VLOOKUP(CONCATENATE(A252,"S"),[2]Hoja1!$B:$N,5,0)," ")</f>
        <v xml:space="preserve"> </v>
      </c>
      <c r="M252" s="6" t="str">
        <f>IFERROR(VLOOKUP(CONCATENATE(A252,"S"),[2]Hoja1!$B:$N,6,0)," ")</f>
        <v xml:space="preserve"> </v>
      </c>
      <c r="N252" s="4" t="str">
        <f t="shared" si="26"/>
        <v>TITULAR</v>
      </c>
      <c r="O252" s="17" t="str">
        <f t="shared" si="27"/>
        <v>ALONSO, MARIA</v>
      </c>
      <c r="P252" s="4" t="str">
        <f>IF(O252="vacante","vacante",IFERROR(IF(VLOOKUP(IF((M252)=" ",IF(COUNTBLANK(K252),I252,K252),M252),[3]Hoja1!$B:$I,4,0)="licencia","vacante"," ")," "))</f>
        <v xml:space="preserve"> </v>
      </c>
      <c r="Q252" s="4"/>
      <c r="R252" t="e">
        <f t="shared" si="29"/>
        <v>#REF!</v>
      </c>
      <c r="S252" t="e">
        <f t="shared" si="28"/>
        <v>#REF!</v>
      </c>
    </row>
    <row r="253" spans="1:19" ht="18.75" hidden="1" customHeight="1">
      <c r="A253" s="3" t="str">
        <f t="shared" si="25"/>
        <v>4°2°4IINGS</v>
      </c>
      <c r="B253" s="3" t="s">
        <v>373</v>
      </c>
      <c r="C253" s="3"/>
      <c r="D253" s="3" t="s">
        <v>353</v>
      </c>
      <c r="E253" s="3">
        <v>733377</v>
      </c>
      <c r="F253" s="3" t="str">
        <f>VLOOKUP(D253,[1]Hoja1!$A:$K,11,0)</f>
        <v>INGLÉS</v>
      </c>
      <c r="G253" s="7" t="s">
        <v>55</v>
      </c>
      <c r="H253" s="7" t="s">
        <v>374</v>
      </c>
      <c r="I253" s="5" t="s">
        <v>57</v>
      </c>
      <c r="J253" s="5"/>
      <c r="K253" s="6"/>
      <c r="L253" s="5" t="str">
        <f>IFERROR(VLOOKUP(CONCATENATE(A253,"S"),[2]Hoja1!$B:$N,5,0)," ")</f>
        <v xml:space="preserve"> </v>
      </c>
      <c r="M253" s="6" t="str">
        <f>IFERROR(VLOOKUP(CONCATENATE(A253,"S"),[2]Hoja1!$B:$N,6,0)," ")</f>
        <v xml:space="preserve"> </v>
      </c>
      <c r="N253" s="4" t="str">
        <f t="shared" si="26"/>
        <v>TITULAR</v>
      </c>
      <c r="O253" s="17" t="str">
        <f t="shared" si="27"/>
        <v xml:space="preserve">ARCE KARINA </v>
      </c>
      <c r="P253" s="4" t="str">
        <f>IF(O253="vacante","vacante",IFERROR(IF(VLOOKUP(IF((M253)=" ",IF(COUNTBLANK(K253),I253,K253),M253),[3]Hoja1!$B:$I,4,0)="licencia","vacante"," ")," "))</f>
        <v xml:space="preserve"> </v>
      </c>
      <c r="Q253" s="4"/>
      <c r="R253" t="e">
        <f t="shared" si="29"/>
        <v>#REF!</v>
      </c>
      <c r="S253" t="e">
        <f t="shared" si="28"/>
        <v>#REF!</v>
      </c>
    </row>
    <row r="254" spans="1:19" ht="18.75" hidden="1" customHeight="1">
      <c r="A254" s="3" t="str">
        <f t="shared" ref="A254:A299" si="30">CONCATENATE(B254,C254,D254)</f>
        <v>4°2°4IEFIS</v>
      </c>
      <c r="B254" s="3" t="s">
        <v>373</v>
      </c>
      <c r="C254" s="3"/>
      <c r="D254" s="3" t="s">
        <v>354</v>
      </c>
      <c r="E254" s="3">
        <v>938354</v>
      </c>
      <c r="F254" s="3" t="str">
        <f>VLOOKUP(D254,[1]Hoja1!$A:$K,11,0)</f>
        <v>EDUCACIÓN FISICA</v>
      </c>
      <c r="G254" s="7" t="s">
        <v>713</v>
      </c>
      <c r="H254" s="7"/>
      <c r="I254" s="5" t="s">
        <v>712</v>
      </c>
      <c r="J254" s="5"/>
      <c r="K254" s="6"/>
      <c r="L254" s="5"/>
      <c r="M254" s="6" t="str">
        <f>IFERROR(VLOOKUP(CONCATENATE(A254,"S"),[2]Hoja1!$B:$N,6,0)," ")</f>
        <v xml:space="preserve"> </v>
      </c>
      <c r="N254" s="4" t="str">
        <f t="shared" ref="N254:N299" si="31">IF((M254)=" ",IF(COUNTBLANK(K254),"TITULAR","PROVISIONAL"),"SUPLENTE")</f>
        <v>TITULAR</v>
      </c>
      <c r="O254" s="17" t="str">
        <f t="shared" ref="O254:O299" si="32">IF((M254)=" ",IF(COUNTBLANK(K254),I254,K254),M254)</f>
        <v>RIOS, LEONARDO</v>
      </c>
      <c r="P254" s="4" t="str">
        <f>IF(O254="vacante","vacante",IFERROR(IF(VLOOKUP(IF((M254)=" ",IF(COUNTBLANK(K254),I254,K254),M254),[3]Hoja1!$B:$I,4,0)="licencia","vacante"," ")," "))</f>
        <v xml:space="preserve"> </v>
      </c>
      <c r="Q254" s="4"/>
      <c r="R254" t="e">
        <f t="shared" si="29"/>
        <v>#REF!</v>
      </c>
      <c r="S254" t="e">
        <f t="shared" ref="S254:S299" si="33">CONCATENATE(B254,R254)</f>
        <v>#REF!</v>
      </c>
    </row>
    <row r="255" spans="1:19" ht="18.75" hidden="1" customHeight="1">
      <c r="A255" s="3" t="str">
        <f t="shared" si="30"/>
        <v>4°2°4IHIS</v>
      </c>
      <c r="B255" s="3" t="s">
        <v>373</v>
      </c>
      <c r="C255" s="3"/>
      <c r="D255" s="3" t="s">
        <v>355</v>
      </c>
      <c r="E255" s="3">
        <v>733419</v>
      </c>
      <c r="F255" s="3" t="str">
        <f>VLOOKUP(D255,[1]Hoja1!$A:$K,11,0)</f>
        <v>HISTORIA</v>
      </c>
      <c r="G255" s="7">
        <v>20485618</v>
      </c>
      <c r="H255" s="7"/>
      <c r="I255" s="5" t="s">
        <v>375</v>
      </c>
      <c r="J255" s="5"/>
      <c r="K255" s="6"/>
      <c r="L255" s="5">
        <f>IFERROR(VLOOKUP(CONCATENATE(A255,"S"),[2]Hoja1!$B:$N,5,0)," ")</f>
        <v>27301808394</v>
      </c>
      <c r="M255" s="6" t="str">
        <f>IFERROR(VLOOKUP(CONCATENATE(A255,"S"),[2]Hoja1!$B:$N,6,0)," ")</f>
        <v>GILES NATALIA</v>
      </c>
      <c r="N255" s="4" t="str">
        <f t="shared" si="31"/>
        <v>SUPLENTE</v>
      </c>
      <c r="O255" s="17" t="str">
        <f t="shared" si="32"/>
        <v>GILES NATALIA</v>
      </c>
      <c r="P255" s="4" t="str">
        <f>IF(O255="vacante","vacante",IFERROR(IF(VLOOKUP(IF((M255)=" ",IF(COUNTBLANK(K255),I255,K255),M255),[3]Hoja1!$B:$I,4,0)="licencia","vacante"," ")," "))</f>
        <v xml:space="preserve"> </v>
      </c>
      <c r="Q255" s="4"/>
      <c r="R255" t="e">
        <f t="shared" ref="R255:R299" si="34">IF(B255=B254,R254+1,1)</f>
        <v>#REF!</v>
      </c>
      <c r="S255" t="e">
        <f t="shared" si="33"/>
        <v>#REF!</v>
      </c>
    </row>
    <row r="256" spans="1:19" ht="18.75" hidden="1" customHeight="1">
      <c r="A256" s="3" t="str">
        <f t="shared" si="30"/>
        <v>4°2°4IGEOS</v>
      </c>
      <c r="B256" s="3" t="s">
        <v>373</v>
      </c>
      <c r="C256" s="3"/>
      <c r="D256" s="3" t="s">
        <v>358</v>
      </c>
      <c r="E256" s="3">
        <v>1517157</v>
      </c>
      <c r="F256" s="3" t="str">
        <f>VLOOKUP(D256,[1]Hoja1!$A:$K,11,0)</f>
        <v>GEOGRAFIA</v>
      </c>
      <c r="G256" s="7" t="s">
        <v>166</v>
      </c>
      <c r="H256" s="7" t="s">
        <v>376</v>
      </c>
      <c r="I256" s="5"/>
      <c r="J256" s="5">
        <v>27254607474</v>
      </c>
      <c r="K256" s="6" t="s">
        <v>814</v>
      </c>
      <c r="L256" s="5" t="str">
        <f>IFERROR(VLOOKUP(CONCATENATE(A256,"S"),[2]Hoja1!$B:$N,5,0)," ")</f>
        <v xml:space="preserve"> </v>
      </c>
      <c r="M256" s="6" t="str">
        <f>IFERROR(VLOOKUP(CONCATENATE(A256,"S"),[2]Hoja1!$B:$N,6,0)," ")</f>
        <v xml:space="preserve"> </v>
      </c>
      <c r="N256" s="4" t="str">
        <f t="shared" si="31"/>
        <v>PROVISIONAL</v>
      </c>
      <c r="O256" s="17" t="str">
        <f t="shared" si="32"/>
        <v xml:space="preserve">BRAVO MARIA </v>
      </c>
      <c r="P256" s="4" t="str">
        <f>IF(O256="vacante","vacante",IFERROR(IF(VLOOKUP(IF((M256)=" ",IF(COUNTBLANK(K256),I256,K256),M256),[3]Hoja1!$B:$I,4,0)="licencia","vacante"," ")," "))</f>
        <v xml:space="preserve"> </v>
      </c>
      <c r="Q256" s="4"/>
      <c r="R256" t="e">
        <f t="shared" si="34"/>
        <v>#REF!</v>
      </c>
      <c r="S256" t="e">
        <f t="shared" si="33"/>
        <v>#REF!</v>
      </c>
    </row>
    <row r="257" spans="1:19" ht="18.75" hidden="1" customHeight="1">
      <c r="A257" s="3" t="str">
        <f t="shared" si="30"/>
        <v>4°2°4IFIS</v>
      </c>
      <c r="B257" s="3" t="s">
        <v>373</v>
      </c>
      <c r="C257" s="3"/>
      <c r="D257" s="3" t="s">
        <v>361</v>
      </c>
      <c r="E257" s="3">
        <v>733622</v>
      </c>
      <c r="F257" s="3" t="str">
        <f>VLOOKUP(D257,[1]Hoja1!$A:$K,11,0)</f>
        <v>FISICA</v>
      </c>
      <c r="G257" s="7"/>
      <c r="H257" s="7"/>
      <c r="I257" s="5"/>
      <c r="J257" s="5"/>
      <c r="K257" s="6" t="s">
        <v>690</v>
      </c>
      <c r="L257" s="5" t="str">
        <f>IFERROR(VLOOKUP(CONCATENATE(A257,"S"),[2]Hoja1!$B:$N,5,0)," ")</f>
        <v xml:space="preserve"> </v>
      </c>
      <c r="M257" s="6" t="str">
        <f>IFERROR(VLOOKUP(CONCATENATE(A257,"S"),[2]Hoja1!$B:$N,6,0)," ")</f>
        <v xml:space="preserve"> </v>
      </c>
      <c r="N257" s="4" t="str">
        <f t="shared" si="31"/>
        <v>PROVISIONAL</v>
      </c>
      <c r="O257" s="17" t="str">
        <f t="shared" si="32"/>
        <v>ESPINDOLA, S</v>
      </c>
      <c r="P257" s="4" t="str">
        <f>IF(O257="vacante","vacante",IFERROR(IF(VLOOKUP(IF((M257)=" ",IF(COUNTBLANK(K257),I257,K257),M257),[3]Hoja1!$B:$I,4,0)="licencia","vacante"," ")," "))</f>
        <v xml:space="preserve"> </v>
      </c>
      <c r="Q257" s="4"/>
      <c r="R257" t="e">
        <f t="shared" si="34"/>
        <v>#REF!</v>
      </c>
      <c r="S257" t="e">
        <f t="shared" si="33"/>
        <v>#REF!</v>
      </c>
    </row>
    <row r="258" spans="1:19" ht="18.75" hidden="1" customHeight="1">
      <c r="A258" s="3" t="str">
        <f t="shared" si="30"/>
        <v>4°2°4ISADS</v>
      </c>
      <c r="B258" s="3" t="s">
        <v>373</v>
      </c>
      <c r="C258" s="3"/>
      <c r="D258" s="3" t="s">
        <v>362</v>
      </c>
      <c r="E258" s="3">
        <v>1517133</v>
      </c>
      <c r="F258" s="3" t="str">
        <f>VLOOKUP(D258,[1]Hoja1!$A:$K,11,0)</f>
        <v>SALUD Y ADOLESCENCIA</v>
      </c>
      <c r="G258" s="7"/>
      <c r="H258" s="7"/>
      <c r="I258" s="5" t="s">
        <v>666</v>
      </c>
      <c r="J258" s="5"/>
      <c r="K258" s="6"/>
      <c r="L258" s="5" t="str">
        <f>IFERROR(VLOOKUP(CONCATENATE(A258,"S"),[2]Hoja1!$B:$N,5,0)," ")</f>
        <v xml:space="preserve"> </v>
      </c>
      <c r="M258" s="6" t="str">
        <f>IFERROR(VLOOKUP(CONCATENATE(A258,"S"),[2]Hoja1!$B:$N,6,0)," ")</f>
        <v xml:space="preserve"> </v>
      </c>
      <c r="N258" s="4" t="str">
        <f t="shared" si="31"/>
        <v>TITULAR</v>
      </c>
      <c r="O258" s="17" t="str">
        <f t="shared" si="32"/>
        <v>RODRIGUEZ GUTIERRES, PAOLA</v>
      </c>
      <c r="P258" s="4" t="str">
        <f>IF(O258="vacante","vacante",IFERROR(IF(VLOOKUP(IF((M258)=" ",IF(COUNTBLANK(K258),I258,K258),M258),[3]Hoja1!$B:$I,4,0)="licencia","vacante"," ")," "))</f>
        <v xml:space="preserve"> </v>
      </c>
      <c r="Q258" s="4"/>
      <c r="R258" t="e">
        <f t="shared" si="34"/>
        <v>#REF!</v>
      </c>
      <c r="S258" t="e">
        <f t="shared" si="33"/>
        <v>#REF!</v>
      </c>
    </row>
    <row r="259" spans="1:19" ht="18.75" hidden="1" customHeight="1">
      <c r="A259" s="3" t="str">
        <f t="shared" si="30"/>
        <v>4°2°4ITELE</v>
      </c>
      <c r="B259" s="3" t="s">
        <v>373</v>
      </c>
      <c r="C259" s="3"/>
      <c r="D259" s="3" t="s">
        <v>364</v>
      </c>
      <c r="E259" s="3">
        <v>2680173</v>
      </c>
      <c r="F259" s="3" t="str">
        <f>VLOOKUP(D259,[1]Hoja1!$A:$K,11,0)</f>
        <v>TECNOLOGIAS ELECTRONICAS</v>
      </c>
      <c r="G259" s="7"/>
      <c r="H259" s="7"/>
      <c r="I259" s="5"/>
      <c r="J259" s="5">
        <v>27464627</v>
      </c>
      <c r="K259" s="6" t="s">
        <v>377</v>
      </c>
      <c r="L259" s="5" t="str">
        <f>IFERROR(VLOOKUP(CONCATENATE(A259,"S"),[2]Hoja1!$B:$N,5,0)," ")</f>
        <v xml:space="preserve"> </v>
      </c>
      <c r="M259" s="6" t="str">
        <f>IFERROR(VLOOKUP(CONCATENATE(A259,"S"),[2]Hoja1!$B:$N,6,0)," ")</f>
        <v xml:space="preserve"> </v>
      </c>
      <c r="N259" s="4" t="str">
        <f t="shared" si="31"/>
        <v>PROVISIONAL</v>
      </c>
      <c r="O259" s="17" t="str">
        <f t="shared" si="32"/>
        <v>BARONI, ROBERTO</v>
      </c>
      <c r="P259" s="4" t="str">
        <f>IF(O259="vacante","vacante",IFERROR(IF(VLOOKUP(IF((M259)=" ",IF(COUNTBLANK(K259),I259,K259),M259),[3]Hoja1!$B:$I,4,0)="licencia","vacante"," ")," "))</f>
        <v xml:space="preserve"> </v>
      </c>
      <c r="Q259" s="4"/>
      <c r="R259" t="e">
        <f t="shared" si="34"/>
        <v>#REF!</v>
      </c>
      <c r="S259" t="e">
        <f t="shared" si="33"/>
        <v>#REF!</v>
      </c>
    </row>
    <row r="260" spans="1:19" ht="18.75" hidden="1" customHeight="1">
      <c r="A260" s="3" t="str">
        <f t="shared" si="30"/>
        <v>4°2°4214IFTLP4</v>
      </c>
      <c r="B260" s="3" t="s">
        <v>373</v>
      </c>
      <c r="C260" s="3">
        <v>421</v>
      </c>
      <c r="D260" s="3" t="s">
        <v>366</v>
      </c>
      <c r="E260" s="3">
        <v>2680159</v>
      </c>
      <c r="F260" s="3" t="str">
        <f>VLOOKUP(D260,[1]Hoja1!$A:$K,11,0)</f>
        <v>LAB DE PROGRAM</v>
      </c>
      <c r="G260" s="7" t="s">
        <v>301</v>
      </c>
      <c r="H260" s="7"/>
      <c r="I260" s="5"/>
      <c r="J260" s="5"/>
      <c r="K260" s="6" t="s">
        <v>657</v>
      </c>
      <c r="L260" s="5" t="str">
        <f>IFERROR(VLOOKUP(CONCATENATE(A260,"S"),[2]Hoja1!$B:$N,5,0)," ")</f>
        <v xml:space="preserve"> </v>
      </c>
      <c r="M260" s="6" t="str">
        <f>IFERROR(VLOOKUP(CONCATENATE(A260,"S"),[2]Hoja1!$B:$N,6,0)," ")</f>
        <v xml:space="preserve"> </v>
      </c>
      <c r="N260" s="4" t="str">
        <f t="shared" si="31"/>
        <v>PROVISIONAL</v>
      </c>
      <c r="O260" s="17" t="str">
        <f t="shared" si="32"/>
        <v>PROCHOR GLORIA</v>
      </c>
      <c r="P260" s="4" t="str">
        <f>IF(O260="vacante","vacante",IFERROR(IF(VLOOKUP(IF((M260)=" ",IF(COUNTBLANK(K260),I260,K260),M260),[3]Hoja1!$B:$I,4,0)="licencia","vacante"," ")," "))</f>
        <v xml:space="preserve"> </v>
      </c>
      <c r="Q260" s="4"/>
      <c r="R260" t="e">
        <f t="shared" si="34"/>
        <v>#REF!</v>
      </c>
      <c r="S260" t="e">
        <f t="shared" si="33"/>
        <v>#REF!</v>
      </c>
    </row>
    <row r="261" spans="1:19" ht="18.75" hidden="1" customHeight="1">
      <c r="A261" s="3" t="str">
        <f t="shared" si="30"/>
        <v>4°2°4214IFTLH4</v>
      </c>
      <c r="B261" s="3" t="s">
        <v>373</v>
      </c>
      <c r="C261" s="3">
        <v>421</v>
      </c>
      <c r="D261" s="3" t="s">
        <v>367</v>
      </c>
      <c r="E261" s="3">
        <v>2680161</v>
      </c>
      <c r="F261" s="3" t="str">
        <f>VLOOKUP(D261,[1]Hoja1!$A:$K,11,0)</f>
        <v>LAB DE HARDWARE</v>
      </c>
      <c r="G261" s="7"/>
      <c r="H261" s="7"/>
      <c r="I261" s="5"/>
      <c r="J261" s="5"/>
      <c r="K261" s="6" t="s">
        <v>800</v>
      </c>
      <c r="L261" s="5"/>
      <c r="M261" s="6" t="str">
        <f>IFERROR(VLOOKUP(CONCATENATE(A261,"S"),[2]Hoja1!$B:$N,6,0)," ")</f>
        <v xml:space="preserve"> </v>
      </c>
      <c r="N261" s="4" t="str">
        <f>IF((M261)=" ",IF(COUNTBLANK(K494),"TITULAR","PROVISIONAL"),"SUPLENTE")</f>
        <v>TITULAR</v>
      </c>
      <c r="O261" s="17" t="str">
        <f t="shared" si="32"/>
        <v>AGUIRRE ISABEL</v>
      </c>
      <c r="P261" s="4" t="str">
        <f>IF(O261="vacante","vacante",IFERROR(IF(VLOOKUP(IF((M261)=" ",IF(COUNTBLANK(K494),I261,K494),M261),[3]Hoja1!$B:$I,4,0)="licencia","vacante"," ")," "))</f>
        <v xml:space="preserve"> </v>
      </c>
      <c r="Q261" s="4"/>
      <c r="R261" t="e">
        <f t="shared" si="34"/>
        <v>#REF!</v>
      </c>
      <c r="S261" t="e">
        <f t="shared" si="33"/>
        <v>#REF!</v>
      </c>
    </row>
    <row r="262" spans="1:19" ht="18.75" hidden="1" customHeight="1">
      <c r="A262" s="3" t="str">
        <f t="shared" si="30"/>
        <v>4°2°4214IFTLS4</v>
      </c>
      <c r="B262" s="3" t="s">
        <v>373</v>
      </c>
      <c r="C262" s="3">
        <v>421</v>
      </c>
      <c r="D262" s="3" t="s">
        <v>368</v>
      </c>
      <c r="E262" s="3">
        <v>2680162</v>
      </c>
      <c r="F262" s="3" t="str">
        <f>VLOOKUP(D262,[1]Hoja1!$A:$K,11,0)</f>
        <v xml:space="preserve">LAB DE SIST OPERATIVOS   </v>
      </c>
      <c r="G262" s="7">
        <v>26174351</v>
      </c>
      <c r="H262" s="7" t="s">
        <v>78</v>
      </c>
      <c r="I262" s="5" t="s">
        <v>220</v>
      </c>
      <c r="J262" s="5"/>
      <c r="K262" s="6"/>
      <c r="L262" s="5" t="str">
        <f>IFERROR(VLOOKUP(CONCATENATE(A262,"S"),[2]Hoja1!$B:$N,5,0)," ")</f>
        <v xml:space="preserve"> </v>
      </c>
      <c r="M262" s="6" t="str">
        <f>IFERROR(VLOOKUP(CONCATENATE(A262,"S"),[2]Hoja1!$B:$N,6,0)," ")</f>
        <v xml:space="preserve"> </v>
      </c>
      <c r="N262" s="4" t="str">
        <f t="shared" si="31"/>
        <v>TITULAR</v>
      </c>
      <c r="O262" s="17" t="str">
        <f t="shared" si="32"/>
        <v xml:space="preserve">GOMEZ ANALIA </v>
      </c>
      <c r="P262" s="4" t="str">
        <f>IF(O262="vacante","vacante",IFERROR(IF(VLOOKUP(IF((M262)=" ",IF(COUNTBLANK(K262),I262,K262),M262),[3]Hoja1!$B:$I,4,0)="licencia","vacante"," ")," "))</f>
        <v xml:space="preserve"> </v>
      </c>
      <c r="Q262" s="4"/>
      <c r="R262" t="e">
        <f t="shared" si="34"/>
        <v>#REF!</v>
      </c>
      <c r="S262" t="e">
        <f t="shared" si="33"/>
        <v>#REF!</v>
      </c>
    </row>
    <row r="263" spans="1:19" ht="18.75" hidden="1" customHeight="1">
      <c r="A263" s="3" t="str">
        <f t="shared" si="30"/>
        <v>4°2°4214IFTLA4</v>
      </c>
      <c r="B263" s="3" t="s">
        <v>373</v>
      </c>
      <c r="C263" s="3">
        <v>421</v>
      </c>
      <c r="D263" s="3" t="s">
        <v>369</v>
      </c>
      <c r="E263" s="3">
        <v>2680163</v>
      </c>
      <c r="F263" s="3" t="str">
        <f>VLOOKUP(D263,[1]Hoja1!$A:$K,11,0)</f>
        <v>LAB DE APLICACIONES</v>
      </c>
      <c r="G263" s="7" t="s">
        <v>301</v>
      </c>
      <c r="H263" s="7"/>
      <c r="I263" s="5"/>
      <c r="J263" s="5"/>
      <c r="K263" s="6" t="s">
        <v>657</v>
      </c>
      <c r="L263" s="5" t="str">
        <f>IFERROR(VLOOKUP(CONCATENATE(A263,"S"),[2]Hoja1!$B:$N,5,0)," ")</f>
        <v xml:space="preserve"> </v>
      </c>
      <c r="M263" s="6" t="str">
        <f>IFERROR(VLOOKUP(CONCATENATE(A263,"S"),[2]Hoja1!$B:$N,6,0)," ")</f>
        <v xml:space="preserve"> </v>
      </c>
      <c r="N263" s="4" t="str">
        <f t="shared" si="31"/>
        <v>PROVISIONAL</v>
      </c>
      <c r="O263" s="17" t="str">
        <f t="shared" si="32"/>
        <v>PROCHOR GLORIA</v>
      </c>
      <c r="P263" s="4" t="str">
        <f>IF(O263="vacante","vacante",IFERROR(IF(VLOOKUP(IF((M263)=" ",IF(COUNTBLANK(K263),I263,K263),M263),[3]Hoja1!$B:$I,4,0)="licencia","vacante"," ")," "))</f>
        <v xml:space="preserve"> </v>
      </c>
      <c r="Q263" s="4"/>
      <c r="R263" t="e">
        <f t="shared" si="34"/>
        <v>#REF!</v>
      </c>
      <c r="S263" t="e">
        <f t="shared" si="33"/>
        <v>#REF!</v>
      </c>
    </row>
    <row r="264" spans="1:19" ht="18.75" hidden="1" customHeight="1">
      <c r="A264" s="3" t="str">
        <f t="shared" si="30"/>
        <v>4°2°4224IFTLP4</v>
      </c>
      <c r="B264" s="3" t="s">
        <v>373</v>
      </c>
      <c r="C264" s="3">
        <v>422</v>
      </c>
      <c r="D264" s="3" t="s">
        <v>366</v>
      </c>
      <c r="E264" s="3">
        <v>2680165</v>
      </c>
      <c r="F264" s="3" t="str">
        <f>VLOOKUP(D264,[1]Hoja1!$A:$K,11,0)</f>
        <v>LAB DE PROGRAM</v>
      </c>
      <c r="G264" s="7"/>
      <c r="H264" s="7"/>
      <c r="I264" s="5"/>
      <c r="J264" s="5">
        <v>27298732357</v>
      </c>
      <c r="K264" s="6" t="s">
        <v>745</v>
      </c>
      <c r="L264" s="5" t="str">
        <f>IFERROR(VLOOKUP(CONCATENATE(A264,"S"),[2]Hoja1!$B:$N,5,0)," ")</f>
        <v xml:space="preserve"> </v>
      </c>
      <c r="M264" s="6" t="str">
        <f>IFERROR(VLOOKUP(CONCATENATE(A264,"S"),[2]Hoja1!$B:$N,6,0)," ")</f>
        <v xml:space="preserve"> </v>
      </c>
      <c r="N264" s="4" t="str">
        <f t="shared" si="31"/>
        <v>PROVISIONAL</v>
      </c>
      <c r="O264" s="17" t="str">
        <f t="shared" si="32"/>
        <v xml:space="preserve">HERRERA STELLA MARIS   </v>
      </c>
      <c r="P264" s="4" t="str">
        <f>IF(O264="vacante","vacante",IFERROR(IF(VLOOKUP(IF((M264)=" ",IF(COUNTBLANK(K264),I264,K264),M264),[3]Hoja1!$B:$I,4,0)="licencia","vacante"," ")," "))</f>
        <v xml:space="preserve"> </v>
      </c>
      <c r="Q264" s="4"/>
      <c r="R264" t="e">
        <f t="shared" si="34"/>
        <v>#REF!</v>
      </c>
      <c r="S264" t="e">
        <f t="shared" si="33"/>
        <v>#REF!</v>
      </c>
    </row>
    <row r="265" spans="1:19" ht="18.75" hidden="1" customHeight="1">
      <c r="A265" s="3" t="str">
        <f t="shared" si="30"/>
        <v>4°2°4224IFTLH4</v>
      </c>
      <c r="B265" s="3" t="s">
        <v>373</v>
      </c>
      <c r="C265" s="3">
        <v>422</v>
      </c>
      <c r="D265" s="3" t="s">
        <v>367</v>
      </c>
      <c r="E265" s="3">
        <v>2680167</v>
      </c>
      <c r="F265" s="3" t="str">
        <f>VLOOKUP(D265,[1]Hoja1!$A:$K,11,0)</f>
        <v>LAB DE HARDWARE</v>
      </c>
      <c r="G265" s="7">
        <v>24083882</v>
      </c>
      <c r="H265" s="7"/>
      <c r="I265" s="5"/>
      <c r="J265" s="5"/>
      <c r="K265" s="6" t="s">
        <v>583</v>
      </c>
      <c r="L265" s="5" t="str">
        <f>IFERROR(VLOOKUP(CONCATENATE(A265,"S"),[2]Hoja1!$B:$N,5,0)," ")</f>
        <v xml:space="preserve"> </v>
      </c>
      <c r="M265" s="6" t="str">
        <f>IFERROR(VLOOKUP(CONCATENATE(A265,"S"),[2]Hoja1!$B:$N,6,0)," ")</f>
        <v xml:space="preserve"> </v>
      </c>
      <c r="N265" s="4" t="str">
        <f t="shared" si="31"/>
        <v>PROVISIONAL</v>
      </c>
      <c r="O265" s="17" t="str">
        <f t="shared" si="32"/>
        <v>HERRERA STELLA MARIS</v>
      </c>
      <c r="P265" s="4" t="s">
        <v>620</v>
      </c>
      <c r="Q265" s="4"/>
      <c r="R265" t="e">
        <f t="shared" si="34"/>
        <v>#REF!</v>
      </c>
      <c r="S265" t="e">
        <f t="shared" si="33"/>
        <v>#REF!</v>
      </c>
    </row>
    <row r="266" spans="1:19" ht="18.75" hidden="1" customHeight="1">
      <c r="A266" s="3" t="str">
        <f t="shared" si="30"/>
        <v>4°2°4224IFTLS4</v>
      </c>
      <c r="B266" s="3" t="s">
        <v>373</v>
      </c>
      <c r="C266" s="3">
        <v>422</v>
      </c>
      <c r="D266" s="3" t="s">
        <v>368</v>
      </c>
      <c r="E266" s="3">
        <v>2680168</v>
      </c>
      <c r="F266" s="3" t="str">
        <f>VLOOKUP(D266,[1]Hoja1!$A:$K,11,0)</f>
        <v xml:space="preserve">LAB DE SIST OPERATIVOS   </v>
      </c>
      <c r="G266" s="7" t="s">
        <v>178</v>
      </c>
      <c r="H266" s="7"/>
      <c r="I266" s="5"/>
      <c r="J266" s="5"/>
      <c r="K266" s="6" t="s">
        <v>572</v>
      </c>
      <c r="L266" s="5">
        <f>IFERROR(VLOOKUP(CONCATENATE(A266,"S"),[2]Hoja1!$B:$N,5,0)," ")</f>
        <v>27280452209</v>
      </c>
      <c r="M266" s="6" t="str">
        <f>IFERROR(VLOOKUP(CONCATENATE(A266,"S"),[2]Hoja1!$B:$N,6,0)," ")</f>
        <v>AGUIRRE ISABEL ITATI</v>
      </c>
      <c r="N266" s="4" t="str">
        <f t="shared" si="31"/>
        <v>SUPLENTE</v>
      </c>
      <c r="O266" s="17" t="str">
        <f t="shared" si="32"/>
        <v>AGUIRRE ISABEL ITATI</v>
      </c>
      <c r="P266" s="4" t="str">
        <f>IF(O266="vacante","vacante",IFERROR(IF(VLOOKUP(IF((M266)=" ",IF(COUNTBLANK(K266),I266,K266),M266),[3]Hoja1!$B:$I,4,0)="licencia","vacante"," ")," "))</f>
        <v xml:space="preserve"> </v>
      </c>
      <c r="Q266" s="4"/>
      <c r="R266" t="e">
        <f t="shared" si="34"/>
        <v>#REF!</v>
      </c>
      <c r="S266" t="e">
        <f t="shared" si="33"/>
        <v>#REF!</v>
      </c>
    </row>
    <row r="267" spans="1:19" ht="18.75" hidden="1" customHeight="1">
      <c r="A267" s="3" t="str">
        <f t="shared" si="30"/>
        <v>4°2°4224IFTLA4</v>
      </c>
      <c r="B267" s="3" t="s">
        <v>373</v>
      </c>
      <c r="C267" s="3">
        <v>422</v>
      </c>
      <c r="D267" s="3" t="s">
        <v>369</v>
      </c>
      <c r="E267" s="3">
        <v>2680169</v>
      </c>
      <c r="F267" s="3" t="str">
        <f>VLOOKUP(D267,[1]Hoja1!$A:$K,11,0)</f>
        <v>LAB DE APLICACIONES</v>
      </c>
      <c r="G267" s="7"/>
      <c r="H267" s="7"/>
      <c r="I267" s="5"/>
      <c r="J267" s="5">
        <v>24862276</v>
      </c>
      <c r="K267" s="6" t="s">
        <v>378</v>
      </c>
      <c r="L267" s="5" t="str">
        <f>IFERROR(VLOOKUP(CONCATENATE(A267,"S"),[2]Hoja1!$B:$N,5,0)," ")</f>
        <v xml:space="preserve"> 27- 29.873.235-7</v>
      </c>
      <c r="M267" s="6" t="str">
        <f>IFERROR(VLOOKUP(CONCATENATE(A267,"S"),[2]Hoja1!$B:$N,6,0)," ")</f>
        <v xml:space="preserve">HERRERA STELLA      </v>
      </c>
      <c r="N267" s="4" t="str">
        <f t="shared" si="31"/>
        <v>SUPLENTE</v>
      </c>
      <c r="O267" s="17" t="str">
        <f t="shared" si="32"/>
        <v xml:space="preserve">HERRERA STELLA      </v>
      </c>
      <c r="P267" s="4" t="str">
        <f>IF(O267="vacante","vacante",IFERROR(IF(VLOOKUP(IF((M267)=" ",IF(COUNTBLANK(K267),I267,K267),M267),[3]Hoja1!$B:$I,4,0)="licencia","vacante"," ")," "))</f>
        <v xml:space="preserve"> </v>
      </c>
      <c r="Q267" s="4"/>
      <c r="R267" t="e">
        <f t="shared" si="34"/>
        <v>#REF!</v>
      </c>
      <c r="S267" t="e">
        <f t="shared" si="33"/>
        <v>#REF!</v>
      </c>
    </row>
    <row r="268" spans="1:19" ht="18.75" hidden="1" customHeight="1">
      <c r="A268" s="3" t="str">
        <f t="shared" si="30"/>
        <v>4°3°4EQUIS</v>
      </c>
      <c r="B268" s="3" t="s">
        <v>379</v>
      </c>
      <c r="C268" s="3"/>
      <c r="D268" s="3" t="s">
        <v>380</v>
      </c>
      <c r="E268" s="3">
        <v>733563</v>
      </c>
      <c r="F268" s="3" t="str">
        <f>VLOOKUP(D268,[1]Hoja1!$A:$K,11,0)</f>
        <v>QUIMICA</v>
      </c>
      <c r="G268" s="7"/>
      <c r="H268" s="7"/>
      <c r="I268" s="5"/>
      <c r="J268" s="5" t="s">
        <v>797</v>
      </c>
      <c r="K268" s="39" t="s">
        <v>796</v>
      </c>
      <c r="L268" s="22" t="str">
        <f>IFERROR(VLOOKUP(CONCATENATE(A268,"S"),[2]Hoja1!$B:$N,5,0)," ")</f>
        <v xml:space="preserve"> </v>
      </c>
      <c r="M268" s="6" t="str">
        <f>IFERROR(VLOOKUP(CONCATENATE(A268,"S"),[2]Hoja1!$B:$N,6,0)," ")</f>
        <v xml:space="preserve"> </v>
      </c>
      <c r="N268" s="16" t="str">
        <f t="shared" si="31"/>
        <v>PROVISIONAL</v>
      </c>
      <c r="O268" s="17" t="str">
        <f t="shared" si="32"/>
        <v xml:space="preserve">PEREYRA MARISA </v>
      </c>
      <c r="P268" s="4" t="str">
        <f>IF(O268="vacante","vacante",IFERROR(IF(VLOOKUP(IF((M268)=" ",IF(COUNTBLANK(K268),I268,K268),M268),[3]Hoja1!$B:$I,4,0)="licencia","vacante"," ")," "))</f>
        <v xml:space="preserve"> </v>
      </c>
      <c r="Q268" s="4"/>
      <c r="R268" t="e">
        <f>IF(B268=#REF!,#REF!+1,1)</f>
        <v>#REF!</v>
      </c>
      <c r="S268" t="e">
        <f t="shared" si="33"/>
        <v>#REF!</v>
      </c>
    </row>
    <row r="269" spans="1:19" ht="18.75" hidden="1" customHeight="1">
      <c r="A269" s="3" t="str">
        <f t="shared" si="30"/>
        <v>4°3°4EMATES</v>
      </c>
      <c r="B269" s="3" t="s">
        <v>379</v>
      </c>
      <c r="C269" s="3"/>
      <c r="D269" s="3" t="s">
        <v>381</v>
      </c>
      <c r="E269" s="3">
        <v>733522</v>
      </c>
      <c r="F269" s="3" t="str">
        <f>VLOOKUP(D269,[1]Hoja1!$A:$K,11,0)</f>
        <v>MATEMATICA</v>
      </c>
      <c r="G269" s="7"/>
      <c r="H269" s="7"/>
      <c r="I269" s="5"/>
      <c r="J269" s="5"/>
      <c r="K269" s="6" t="s">
        <v>691</v>
      </c>
      <c r="L269" s="22" t="str">
        <f>IFERROR(VLOOKUP(CONCATENATE(A269,"S"),[2]Hoja1!$B:$N,5,0)," ")</f>
        <v xml:space="preserve"> </v>
      </c>
      <c r="M269" s="6" t="str">
        <f>IFERROR(VLOOKUP(CONCATENATE(A269,"S"),[2]Hoja1!$B:$N,6,0)," ")</f>
        <v xml:space="preserve"> </v>
      </c>
      <c r="N269" s="16" t="str">
        <f t="shared" si="31"/>
        <v>PROVISIONAL</v>
      </c>
      <c r="O269" s="17" t="str">
        <f t="shared" si="32"/>
        <v>LENCINAS NOELIA</v>
      </c>
      <c r="P269" s="4" t="str">
        <f>IF(O269="vacante","vacante",IFERROR(IF(VLOOKUP(IF((M269)=" ",IF(COUNTBLANK(K269),I269,K269),M269),[3]Hoja1!$B:$I,4,0)="licencia","vacante"," ")," "))</f>
        <v xml:space="preserve"> </v>
      </c>
      <c r="Q269" s="4"/>
      <c r="R269" t="e">
        <f t="shared" si="34"/>
        <v>#REF!</v>
      </c>
      <c r="S269" t="e">
        <f t="shared" si="33"/>
        <v>#REF!</v>
      </c>
    </row>
    <row r="270" spans="1:19" ht="18.75" hidden="1" customHeight="1">
      <c r="A270" s="3" t="str">
        <f t="shared" si="30"/>
        <v>4°3°4ELITS</v>
      </c>
      <c r="B270" s="3" t="s">
        <v>379</v>
      </c>
      <c r="C270" s="3"/>
      <c r="D270" s="3" t="s">
        <v>382</v>
      </c>
      <c r="E270" s="3">
        <v>733521</v>
      </c>
      <c r="F270" s="3" t="str">
        <f>VLOOKUP(D270,[1]Hoja1!$A:$K,11,0)</f>
        <v>LITERATURA</v>
      </c>
      <c r="G270" s="7" t="s">
        <v>556</v>
      </c>
      <c r="H270" s="7"/>
      <c r="I270" s="5" t="s">
        <v>555</v>
      </c>
      <c r="J270" s="5"/>
      <c r="K270" s="6"/>
      <c r="L270" s="22" t="str">
        <f>IFERROR(VLOOKUP(CONCATENATE(A270,"S"),[2]Hoja1!$B:$N,5,0)," ")</f>
        <v xml:space="preserve"> </v>
      </c>
      <c r="M270" s="6" t="str">
        <f>IFERROR(VLOOKUP(CONCATENATE(A270,"S"),[2]Hoja1!$B:$N,6,0)," ")</f>
        <v xml:space="preserve"> </v>
      </c>
      <c r="N270" s="16" t="str">
        <f t="shared" si="31"/>
        <v>TITULAR</v>
      </c>
      <c r="O270" s="17" t="str">
        <f t="shared" si="32"/>
        <v xml:space="preserve">SANTILLAN ESTELA   </v>
      </c>
      <c r="P270" s="4" t="str">
        <f>IF(O270="vacante","vacante",IFERROR(IF(VLOOKUP(IF((M270)=" ",IF(COUNTBLANK(K270),I270,K270),M270),[3]Hoja1!$B:$I,4,0)="licencia","vacante"," ")," "))</f>
        <v xml:space="preserve"> </v>
      </c>
      <c r="Q270" s="4"/>
      <c r="R270" t="e">
        <f t="shared" si="34"/>
        <v>#REF!</v>
      </c>
      <c r="S270" t="e">
        <f t="shared" si="33"/>
        <v>#REF!</v>
      </c>
    </row>
    <row r="271" spans="1:19" ht="18.75" hidden="1" customHeight="1">
      <c r="A271" s="3" t="str">
        <f t="shared" si="30"/>
        <v>4°3°4EINGS</v>
      </c>
      <c r="B271" s="3" t="s">
        <v>379</v>
      </c>
      <c r="C271" s="3"/>
      <c r="D271" s="3" t="s">
        <v>383</v>
      </c>
      <c r="E271" s="3">
        <v>733722</v>
      </c>
      <c r="F271" s="3" t="str">
        <f>VLOOKUP(D271,[1]Hoja1!$A:$K,11,0)</f>
        <v>INGLÉS</v>
      </c>
      <c r="G271" s="7" t="s">
        <v>27</v>
      </c>
      <c r="H271" s="7"/>
      <c r="I271" s="5" t="s">
        <v>667</v>
      </c>
      <c r="J271" s="5"/>
      <c r="K271" s="6"/>
      <c r="L271" s="22" t="str">
        <f>IFERROR(VLOOKUP(CONCATENATE(A271,"S"),[2]Hoja1!$B:$N,5,0)," ")</f>
        <v xml:space="preserve"> </v>
      </c>
      <c r="M271" s="6" t="str">
        <f>IFERROR(VLOOKUP(CONCATENATE(A271,"S"),[2]Hoja1!$B:$N,6,0)," ")</f>
        <v xml:space="preserve"> </v>
      </c>
      <c r="N271" s="16" t="str">
        <f t="shared" si="31"/>
        <v>TITULAR</v>
      </c>
      <c r="O271" s="17" t="str">
        <f t="shared" si="32"/>
        <v xml:space="preserve">LEGUIZAMO ANA </v>
      </c>
      <c r="P271" s="4" t="str">
        <f>IF(O271="vacante","vacante",IFERROR(IF(VLOOKUP(IF((M271)=" ",IF(COUNTBLANK(K271),I271,K271),M271),[3]Hoja1!$B:$I,4,0)="licencia","vacante"," ")," "))</f>
        <v xml:space="preserve"> </v>
      </c>
      <c r="Q271" s="4"/>
      <c r="R271" t="e">
        <f t="shared" si="34"/>
        <v>#REF!</v>
      </c>
      <c r="S271" t="e">
        <f t="shared" si="33"/>
        <v>#REF!</v>
      </c>
    </row>
    <row r="272" spans="1:19" ht="18.75" hidden="1" customHeight="1">
      <c r="A272" s="3" t="str">
        <f t="shared" si="30"/>
        <v>4°3°4EEFIS</v>
      </c>
      <c r="B272" s="3" t="s">
        <v>379</v>
      </c>
      <c r="C272" s="3"/>
      <c r="D272" s="3" t="s">
        <v>384</v>
      </c>
      <c r="E272" s="3">
        <v>789629</v>
      </c>
      <c r="F272" s="3" t="str">
        <f>VLOOKUP(D272,[1]Hoja1!$A:$K,11,0)</f>
        <v>EDUCACIÓN FISICA</v>
      </c>
      <c r="G272" s="7">
        <v>20422900</v>
      </c>
      <c r="H272" s="7"/>
      <c r="I272" s="5" t="s">
        <v>264</v>
      </c>
      <c r="J272" s="5"/>
      <c r="K272" s="6"/>
      <c r="L272" s="22" t="str">
        <f>IFERROR(VLOOKUP(CONCATENATE(A272,"S"),[2]Hoja1!$B:$N,5,0)," ")</f>
        <v xml:space="preserve"> </v>
      </c>
      <c r="M272" s="6" t="str">
        <f>IFERROR(VLOOKUP(CONCATENATE(A272,"S"),[2]Hoja1!$B:$N,6,0)," ")</f>
        <v xml:space="preserve"> </v>
      </c>
      <c r="N272" s="16" t="str">
        <f t="shared" si="31"/>
        <v>TITULAR</v>
      </c>
      <c r="O272" s="17" t="str">
        <f t="shared" si="32"/>
        <v xml:space="preserve">SANCHEZ CARLOS </v>
      </c>
      <c r="P272" s="4" t="str">
        <f>IF(O272="vacante","vacante",IFERROR(IF(VLOOKUP(IF((M272)=" ",IF(COUNTBLANK(K272),I272,K272),M272),[3]Hoja1!$B:$I,4,0)="licencia","vacante"," ")," "))</f>
        <v xml:space="preserve"> </v>
      </c>
      <c r="Q272" s="4"/>
      <c r="R272" t="e">
        <f t="shared" si="34"/>
        <v>#REF!</v>
      </c>
      <c r="S272" t="e">
        <f t="shared" si="33"/>
        <v>#REF!</v>
      </c>
    </row>
    <row r="273" spans="1:19" ht="18.75" hidden="1" customHeight="1">
      <c r="A273" s="3" t="str">
        <f t="shared" si="30"/>
        <v>4°3°4EHIS</v>
      </c>
      <c r="B273" s="3" t="s">
        <v>379</v>
      </c>
      <c r="C273" s="3"/>
      <c r="D273" s="3" t="s">
        <v>385</v>
      </c>
      <c r="E273" s="3">
        <v>733689</v>
      </c>
      <c r="F273" s="3" t="str">
        <f>VLOOKUP(D273,[1]Hoja1!$A:$K,11,0)</f>
        <v>HISTORIA</v>
      </c>
      <c r="G273" s="7" t="s">
        <v>386</v>
      </c>
      <c r="H273" s="7"/>
      <c r="I273" s="5" t="s">
        <v>387</v>
      </c>
      <c r="J273" s="5"/>
      <c r="K273" s="6"/>
      <c r="L273" s="22" t="str">
        <f>IFERROR(VLOOKUP(CONCATENATE(A273,"S"),[2]Hoja1!$B:$N,5,0)," ")</f>
        <v xml:space="preserve"> </v>
      </c>
      <c r="M273" s="6" t="str">
        <f>IFERROR(VLOOKUP(CONCATENATE(A273,"S"),[2]Hoja1!$B:$N,6,0)," ")</f>
        <v xml:space="preserve"> </v>
      </c>
      <c r="N273" s="16" t="str">
        <f t="shared" si="31"/>
        <v>TITULAR</v>
      </c>
      <c r="O273" s="17" t="str">
        <f t="shared" si="32"/>
        <v>PALACIOS GUSTAVO</v>
      </c>
      <c r="P273" s="4" t="str">
        <f>IF(O273="vacante","vacante",IFERROR(IF(VLOOKUP(IF((M273)=" ",IF(COUNTBLANK(K273),I273,K273),M273),[3]Hoja1!$B:$I,4,0)="licencia","vacante"," ")," "))</f>
        <v xml:space="preserve"> </v>
      </c>
      <c r="Q273" s="4"/>
      <c r="R273" t="e">
        <f t="shared" si="34"/>
        <v>#REF!</v>
      </c>
      <c r="S273" t="e">
        <f t="shared" si="33"/>
        <v>#REF!</v>
      </c>
    </row>
    <row r="274" spans="1:19" ht="18.75" hidden="1" customHeight="1">
      <c r="A274" s="3" t="str">
        <f t="shared" si="30"/>
        <v>4°3°4EGEOS</v>
      </c>
      <c r="B274" s="3" t="s">
        <v>379</v>
      </c>
      <c r="C274" s="3"/>
      <c r="D274" s="3" t="s">
        <v>388</v>
      </c>
      <c r="E274" s="3">
        <v>1517229</v>
      </c>
      <c r="F274" s="3" t="str">
        <f>VLOOKUP(D274,[1]Hoja1!$A:$K,11,0)</f>
        <v>GEOGRAFIA</v>
      </c>
      <c r="G274" s="7">
        <v>27690608</v>
      </c>
      <c r="H274" s="7"/>
      <c r="I274" s="5" t="s">
        <v>389</v>
      </c>
      <c r="J274" s="5"/>
      <c r="K274" s="6"/>
      <c r="L274" s="22" t="str">
        <f>IFERROR(VLOOKUP(CONCATENATE(A274,"S"),[2]Hoja1!$B:$N,5,0)," ")</f>
        <v xml:space="preserve"> </v>
      </c>
      <c r="M274" s="6" t="str">
        <f>IFERROR(VLOOKUP(CONCATENATE(A274,"S"),[2]Hoja1!$B:$N,6,0)," ")</f>
        <v xml:space="preserve"> </v>
      </c>
      <c r="N274" s="16" t="str">
        <f t="shared" si="31"/>
        <v>TITULAR</v>
      </c>
      <c r="O274" s="17" t="str">
        <f t="shared" si="32"/>
        <v xml:space="preserve">ROJAS SOLEDAD </v>
      </c>
      <c r="P274" s="4" t="str">
        <f>IF(O274="vacante","vacante",IFERROR(IF(VLOOKUP(IF((M274)=" ",IF(COUNTBLANK(K274),I274,K274),M274),[3]Hoja1!$B:$I,4,0)="licencia","vacante"," ")," "))</f>
        <v xml:space="preserve"> </v>
      </c>
      <c r="Q274" s="4"/>
      <c r="R274" t="e">
        <f t="shared" si="34"/>
        <v>#REF!</v>
      </c>
      <c r="S274" t="e">
        <f t="shared" si="33"/>
        <v>#REF!</v>
      </c>
    </row>
    <row r="275" spans="1:19" ht="18.75" hidden="1" customHeight="1">
      <c r="A275" s="3" t="str">
        <f t="shared" si="30"/>
        <v>4°3°4EFIS</v>
      </c>
      <c r="B275" s="3" t="s">
        <v>379</v>
      </c>
      <c r="C275" s="3"/>
      <c r="D275" s="3" t="s">
        <v>390</v>
      </c>
      <c r="E275" s="3">
        <v>733670</v>
      </c>
      <c r="F275" s="3" t="str">
        <f>VLOOKUP(D275,[1]Hoja1!$A:$K,11,0)</f>
        <v>FISICA</v>
      </c>
      <c r="G275" s="7">
        <v>23884637</v>
      </c>
      <c r="H275" s="7"/>
      <c r="I275" s="5" t="s">
        <v>50</v>
      </c>
      <c r="J275" s="5"/>
      <c r="K275" s="6"/>
      <c r="L275" s="22" t="str">
        <f>IFERROR(VLOOKUP(CONCATENATE(A275,"S"),[2]Hoja1!$B:$N,5,0)," ")</f>
        <v xml:space="preserve"> </v>
      </c>
      <c r="M275" s="6" t="str">
        <f>IFERROR(VLOOKUP(CONCATENATE(A275,"S"),[2]Hoja1!$B:$N,6,0)," ")</f>
        <v xml:space="preserve"> </v>
      </c>
      <c r="N275" s="16" t="str">
        <f t="shared" si="31"/>
        <v>TITULAR</v>
      </c>
      <c r="O275" s="17" t="str">
        <f t="shared" si="32"/>
        <v xml:space="preserve">ESPINDOLA SERGIO                          </v>
      </c>
      <c r="P275" s="4" t="str">
        <f>IF(O275="vacante","vacante",IFERROR(IF(VLOOKUP(IF((M275)=" ",IF(COUNTBLANK(K275),I275,K275),M275),[3]Hoja1!$B:$I,4,0)="licencia","vacante"," ")," "))</f>
        <v xml:space="preserve"> </v>
      </c>
      <c r="Q275" s="4"/>
      <c r="R275" t="e">
        <f t="shared" si="34"/>
        <v>#REF!</v>
      </c>
      <c r="S275" t="e">
        <f t="shared" si="33"/>
        <v>#REF!</v>
      </c>
    </row>
    <row r="276" spans="1:19" ht="18.75" hidden="1" customHeight="1">
      <c r="A276" s="3" t="str">
        <f t="shared" si="30"/>
        <v>4°3°4ESADS</v>
      </c>
      <c r="B276" s="3" t="s">
        <v>379</v>
      </c>
      <c r="C276" s="3"/>
      <c r="D276" s="3" t="s">
        <v>391</v>
      </c>
      <c r="E276" s="3">
        <v>1517221</v>
      </c>
      <c r="F276" s="3" t="str">
        <f>VLOOKUP(D276,[1]Hoja1!$A:$K,11,0)</f>
        <v>SALUD Y ADOLESCENCIA</v>
      </c>
      <c r="G276" s="7">
        <v>32597246</v>
      </c>
      <c r="H276" s="7"/>
      <c r="I276" s="5" t="s">
        <v>304</v>
      </c>
      <c r="J276" s="5"/>
      <c r="K276" s="6"/>
      <c r="L276" s="22" t="str">
        <f>IFERROR(VLOOKUP(CONCATENATE(A276,"S"),[2]Hoja1!$B:$N,5,0)," ")</f>
        <v xml:space="preserve"> </v>
      </c>
      <c r="M276" s="6" t="str">
        <f>IFERROR(VLOOKUP(CONCATENATE(A276,"S"),[2]Hoja1!$B:$N,6,0)," ")</f>
        <v xml:space="preserve"> </v>
      </c>
      <c r="N276" s="16" t="str">
        <f t="shared" si="31"/>
        <v>TITULAR</v>
      </c>
      <c r="O276" s="17" t="str">
        <f t="shared" si="32"/>
        <v xml:space="preserve">CANCELA GONZALEZ M </v>
      </c>
      <c r="P276" s="4" t="str">
        <f>IF(O276="vacante","vacante",IFERROR(IF(VLOOKUP(IF((M276)=" ",IF(COUNTBLANK(K276),I276,K276),M276),[3]Hoja1!$B:$I,4,0)="licencia","vacante"," ")," "))</f>
        <v xml:space="preserve"> </v>
      </c>
      <c r="Q276" s="4"/>
      <c r="R276" t="e">
        <f t="shared" si="34"/>
        <v>#REF!</v>
      </c>
      <c r="S276" t="e">
        <f t="shared" si="33"/>
        <v>#REF!</v>
      </c>
    </row>
    <row r="277" spans="1:19" ht="18.75" hidden="1" customHeight="1">
      <c r="A277" s="3" t="str">
        <f t="shared" si="30"/>
        <v>4°3°4EFMC</v>
      </c>
      <c r="B277" s="3" t="s">
        <v>379</v>
      </c>
      <c r="C277" s="3"/>
      <c r="D277" s="3" t="s">
        <v>392</v>
      </c>
      <c r="E277" s="3">
        <v>733495</v>
      </c>
      <c r="F277" s="3" t="str">
        <f>VLOOKUP(D277,[1]Hoja1!$A:$K,11,0)</f>
        <v>FUNDAMENTOS DE LOS MODELOS CIRCUITALES</v>
      </c>
      <c r="G277" s="7"/>
      <c r="H277" s="7"/>
      <c r="I277" s="5"/>
      <c r="J277" s="5" t="s">
        <v>347</v>
      </c>
      <c r="K277" s="6" t="s">
        <v>348</v>
      </c>
      <c r="L277" s="22" t="str">
        <f>IFERROR(VLOOKUP(CONCATENATE(A277,"S"),[2]Hoja1!$B:$N,5,0)," ")</f>
        <v xml:space="preserve"> </v>
      </c>
      <c r="M277" s="6" t="str">
        <f>IFERROR(VLOOKUP(CONCATENATE(A277,"S"),[2]Hoja1!$B:$N,6,0)," ")</f>
        <v xml:space="preserve"> </v>
      </c>
      <c r="N277" s="16" t="str">
        <f t="shared" si="31"/>
        <v>PROVISIONAL</v>
      </c>
      <c r="O277" s="17" t="str">
        <f t="shared" si="32"/>
        <v xml:space="preserve">VIANA MAURO                  </v>
      </c>
      <c r="P277" s="4" t="str">
        <f>IF(O277="vacante","vacante",IFERROR(IF(VLOOKUP(IF((M277)=" ",IF(COUNTBLANK(K277),I277,K277),M277),[3]Hoja1!$B:$I,4,0)="licencia","vacante"," ")," "))</f>
        <v xml:space="preserve"> </v>
      </c>
      <c r="Q277" s="4"/>
      <c r="R277" t="e">
        <f t="shared" si="34"/>
        <v>#REF!</v>
      </c>
      <c r="S277" t="e">
        <f t="shared" si="33"/>
        <v>#REF!</v>
      </c>
    </row>
    <row r="278" spans="1:19" ht="18.75" hidden="1" customHeight="1">
      <c r="A278" s="3" t="str">
        <f t="shared" si="30"/>
        <v>4°3°4ETELE</v>
      </c>
      <c r="B278" s="3" t="s">
        <v>379</v>
      </c>
      <c r="C278" s="3"/>
      <c r="D278" s="3" t="s">
        <v>393</v>
      </c>
      <c r="E278" s="3">
        <v>733519</v>
      </c>
      <c r="F278" s="3" t="str">
        <f>VLOOKUP(D278,[1]Hoja1!$A:$K,11,0)</f>
        <v>TECNOLOGIAS ELECTRONICAS</v>
      </c>
      <c r="G278" s="7">
        <v>24490541</v>
      </c>
      <c r="H278" s="7"/>
      <c r="I278" s="5" t="s">
        <v>240</v>
      </c>
      <c r="J278" s="5"/>
      <c r="K278" s="6"/>
      <c r="L278" s="22">
        <f>IFERROR(VLOOKUP(CONCATENATE(A278,"S"),[2]Hoja1!$B:$N,5,0)," ")</f>
        <v>34250266</v>
      </c>
      <c r="M278" s="6" t="str">
        <f>IFERROR(VLOOKUP(CONCATENATE(A278,"S"),[2]Hoja1!$B:$N,6,0)," ")</f>
        <v>ATAMAÑUK, FLORENCIA</v>
      </c>
      <c r="N278" s="16" t="str">
        <f t="shared" si="31"/>
        <v>SUPLENTE</v>
      </c>
      <c r="O278" s="17" t="str">
        <f t="shared" si="32"/>
        <v>ATAMAÑUK, FLORENCIA</v>
      </c>
      <c r="P278" s="4" t="str">
        <f>IF(O278="vacante","vacante",IFERROR(IF(VLOOKUP(IF((M278)=" ",IF(COUNTBLANK(K278),I278,K278),M278),[3]Hoja1!$B:$I,4,0)="licencia","vacante"," ")," "))</f>
        <v xml:space="preserve"> </v>
      </c>
      <c r="Q278" s="4"/>
      <c r="R278" t="e">
        <f t="shared" si="34"/>
        <v>#REF!</v>
      </c>
      <c r="S278" t="e">
        <f t="shared" si="33"/>
        <v>#REF!</v>
      </c>
    </row>
    <row r="279" spans="1:19" ht="18.75" hidden="1" customHeight="1">
      <c r="A279" s="3" t="str">
        <f t="shared" si="30"/>
        <v>4°3°4314EFTAE4</v>
      </c>
      <c r="B279" s="3" t="s">
        <v>379</v>
      </c>
      <c r="C279" s="3">
        <v>431</v>
      </c>
      <c r="D279" s="3" t="s">
        <v>394</v>
      </c>
      <c r="E279" s="3">
        <v>2680250</v>
      </c>
      <c r="F279" s="3" t="str">
        <f>VLOOKUP(D279,[1]Hoja1!$A:$K,11,0)</f>
        <v xml:space="preserve">APLIC ELECT ANALOG </v>
      </c>
      <c r="G279" s="7">
        <v>18192893</v>
      </c>
      <c r="H279" s="7" t="s">
        <v>80</v>
      </c>
      <c r="I279" s="5"/>
      <c r="J279" s="5"/>
      <c r="K279" s="6" t="s">
        <v>738</v>
      </c>
      <c r="L279" s="22" t="str">
        <f>IFERROR(VLOOKUP(CONCATENATE(A279,"S"),[2]Hoja1!$B:$N,5,0)," ")</f>
        <v xml:space="preserve"> </v>
      </c>
      <c r="M279" s="6" t="str">
        <f>IFERROR(VLOOKUP(CONCATENATE(A279,"S"),[2]Hoja1!$B:$N,6,0)," ")</f>
        <v xml:space="preserve"> </v>
      </c>
      <c r="N279" s="16" t="str">
        <f t="shared" si="31"/>
        <v>PROVISIONAL</v>
      </c>
      <c r="O279" s="17" t="str">
        <f t="shared" si="32"/>
        <v>escalada arnaldo</v>
      </c>
      <c r="P279" s="4" t="str">
        <f>IF(O279="vacante","vacante",IFERROR(IF(VLOOKUP(IF((M279)=" ",IF(COUNTBLANK(K279),I279,K279),M279),[3]Hoja1!$B:$I,4,0)="licencia","vacante"," ")," "))</f>
        <v xml:space="preserve"> </v>
      </c>
      <c r="Q279" s="4"/>
      <c r="R279" t="e">
        <f t="shared" si="34"/>
        <v>#REF!</v>
      </c>
      <c r="S279" t="e">
        <f t="shared" si="33"/>
        <v>#REF!</v>
      </c>
    </row>
    <row r="280" spans="1:19" ht="18.75" hidden="1" customHeight="1">
      <c r="A280" s="3" t="str">
        <f t="shared" si="30"/>
        <v>4°3°4314EFTED4</v>
      </c>
      <c r="B280" s="3" t="s">
        <v>379</v>
      </c>
      <c r="C280" s="3">
        <v>431</v>
      </c>
      <c r="D280" s="3" t="s">
        <v>395</v>
      </c>
      <c r="E280" s="3">
        <v>2680251</v>
      </c>
      <c r="F280" s="3" t="str">
        <f>VLOOKUP(D280,[1]Hoja1!$A:$K,11,0)</f>
        <v>APLIC ELECTR DIGITAL</v>
      </c>
      <c r="G280" s="7"/>
      <c r="H280" s="7"/>
      <c r="I280" s="5"/>
      <c r="J280" s="5">
        <v>22688499</v>
      </c>
      <c r="K280" s="6" t="s">
        <v>750</v>
      </c>
      <c r="L280" s="22" t="str">
        <f>IFERROR(VLOOKUP(CONCATENATE(A280,"S"),[2]Hoja1!$B:$N,5,0)," ")</f>
        <v xml:space="preserve"> </v>
      </c>
      <c r="M280" s="6" t="str">
        <f>IFERROR(VLOOKUP(CONCATENATE(A280,"S"),[2]Hoja1!$B:$N,6,0)," ")</f>
        <v xml:space="preserve"> </v>
      </c>
      <c r="N280" s="16" t="str">
        <f t="shared" si="31"/>
        <v>PROVISIONAL</v>
      </c>
      <c r="O280" s="17" t="str">
        <f t="shared" si="32"/>
        <v>CORDOBA ERNESTO</v>
      </c>
      <c r="P280" s="4" t="str">
        <f>IF(O280="vacante","vacante",IFERROR(IF(VLOOKUP(IF((M280)=" ",IF(COUNTBLANK(K280),I280,K280),M280),[3]Hoja1!$B:$I,4,0)="licencia","vacante"," ")," "))</f>
        <v xml:space="preserve"> </v>
      </c>
      <c r="Q280" s="4"/>
      <c r="R280" t="e">
        <f t="shared" si="34"/>
        <v>#REF!</v>
      </c>
      <c r="S280" t="e">
        <f t="shared" si="33"/>
        <v>#REF!</v>
      </c>
    </row>
    <row r="281" spans="1:19" ht="18.75" hidden="1" customHeight="1">
      <c r="A281" s="3" t="str">
        <f t="shared" si="30"/>
        <v>4°3°4314EFTMP4</v>
      </c>
      <c r="B281" s="3" t="s">
        <v>379</v>
      </c>
      <c r="C281" s="3">
        <v>431</v>
      </c>
      <c r="D281" s="3" t="s">
        <v>396</v>
      </c>
      <c r="E281" s="3">
        <v>2680252</v>
      </c>
      <c r="F281" s="3" t="str">
        <f>VLOOKUP(D281,[1]Hoja1!$A:$K,11,0)</f>
        <v xml:space="preserve">MONTAJE DE PROYECTO ELECTRONICOS </v>
      </c>
      <c r="G281" s="7">
        <v>26024164</v>
      </c>
      <c r="H281" s="7" t="s">
        <v>80</v>
      </c>
      <c r="I281" s="5" t="s">
        <v>397</v>
      </c>
      <c r="J281" s="5"/>
      <c r="K281" s="6"/>
      <c r="L281" s="22" t="str">
        <f>IFERROR(VLOOKUP(CONCATENATE(A281,"S"),[2]Hoja1!$B:$N,5,0)," ")</f>
        <v xml:space="preserve"> </v>
      </c>
      <c r="M281" s="6" t="str">
        <f>IFERROR(VLOOKUP(CONCATENATE(A281,"S"),[2]Hoja1!$B:$N,6,0)," ")</f>
        <v xml:space="preserve"> </v>
      </c>
      <c r="N281" s="16" t="str">
        <f t="shared" si="31"/>
        <v>TITULAR</v>
      </c>
      <c r="O281" s="17" t="str">
        <f t="shared" si="32"/>
        <v xml:space="preserve">SAUCEDO GUSTAVO </v>
      </c>
      <c r="P281" s="4" t="str">
        <f>IF(O281="vacante","vacante",IFERROR(IF(VLOOKUP(IF((M281)=" ",IF(COUNTBLANK(K281),I281,K281),M281),[3]Hoja1!$B:$I,4,0)="licencia","vacante"," ")," "))</f>
        <v xml:space="preserve"> </v>
      </c>
      <c r="Q281" s="4"/>
      <c r="R281" t="e">
        <f t="shared" si="34"/>
        <v>#REF!</v>
      </c>
      <c r="S281" t="e">
        <f t="shared" si="33"/>
        <v>#REF!</v>
      </c>
    </row>
    <row r="282" spans="1:19" ht="18.75" hidden="1" customHeight="1">
      <c r="A282" s="3" t="str">
        <f t="shared" si="30"/>
        <v>4°3°4324EFTAE4</v>
      </c>
      <c r="B282" s="3" t="s">
        <v>379</v>
      </c>
      <c r="C282" s="3">
        <v>432</v>
      </c>
      <c r="D282" s="3" t="s">
        <v>394</v>
      </c>
      <c r="E282" s="3">
        <v>2680253</v>
      </c>
      <c r="F282" s="3" t="str">
        <f>VLOOKUP(D282,[1]Hoja1!$A:$K,11,0)</f>
        <v xml:space="preserve">APLIC ELECT ANALOG </v>
      </c>
      <c r="G282" s="7"/>
      <c r="H282" s="7"/>
      <c r="I282" s="5"/>
      <c r="J282" s="5">
        <v>20402521458</v>
      </c>
      <c r="K282" s="6" t="s">
        <v>751</v>
      </c>
      <c r="L282" s="22" t="str">
        <f>IFERROR(VLOOKUP(CONCATENATE(A282,"S"),[2]Hoja1!$B:$N,5,0)," ")</f>
        <v xml:space="preserve"> </v>
      </c>
      <c r="M282" s="6" t="str">
        <f>IFERROR(VLOOKUP(CONCATENATE(A282,"S"),[2]Hoja1!$B:$N,6,0)," ")</f>
        <v xml:space="preserve"> </v>
      </c>
      <c r="N282" s="16" t="str">
        <f t="shared" si="31"/>
        <v>PROVISIONAL</v>
      </c>
      <c r="O282" s="17" t="str">
        <f t="shared" si="32"/>
        <v>GAUNA FEDERICO</v>
      </c>
      <c r="P282" s="4" t="str">
        <f>IF(O282="vacante","vacante",IFERROR(IF(VLOOKUP(IF((M282)=" ",IF(COUNTBLANK(K282),I282,K282),M282),[3]Hoja1!$B:$I,4,0)="licencia","vacante"," ")," "))</f>
        <v xml:space="preserve"> </v>
      </c>
      <c r="Q282" s="4"/>
      <c r="R282" t="e">
        <f t="shared" si="34"/>
        <v>#REF!</v>
      </c>
      <c r="S282" t="e">
        <f t="shared" si="33"/>
        <v>#REF!</v>
      </c>
    </row>
    <row r="283" spans="1:19" ht="18.75" hidden="1" customHeight="1">
      <c r="A283" s="3" t="str">
        <f t="shared" si="30"/>
        <v>4°3°4324EFTED4</v>
      </c>
      <c r="B283" s="3" t="s">
        <v>379</v>
      </c>
      <c r="C283" s="3">
        <v>432</v>
      </c>
      <c r="D283" s="3" t="s">
        <v>395</v>
      </c>
      <c r="E283" s="3">
        <v>2680254</v>
      </c>
      <c r="F283" s="3" t="str">
        <f>VLOOKUP(D283,[1]Hoja1!$A:$K,11,0)</f>
        <v>APLIC ELECTR DIGITAL</v>
      </c>
      <c r="G283" s="7"/>
      <c r="H283" s="7"/>
      <c r="I283" s="5"/>
      <c r="J283" s="5" t="s">
        <v>39</v>
      </c>
      <c r="K283" s="6" t="s">
        <v>757</v>
      </c>
      <c r="L283" s="6"/>
      <c r="M283" s="6" t="str">
        <f>IFERROR(VLOOKUP(CONCATENATE(A283,"S"),[2]Hoja1!$B:$N,6,0)," ")</f>
        <v xml:space="preserve"> </v>
      </c>
      <c r="N283" s="16" t="str">
        <f t="shared" si="31"/>
        <v>PROVISIONAL</v>
      </c>
      <c r="O283" s="17" t="str">
        <f t="shared" si="32"/>
        <v>BULACIO ARIEL</v>
      </c>
      <c r="P283" s="4" t="str">
        <f>IF(O283="vacante","vacante",IFERROR(IF(VLOOKUP(IF((M283)=" ",IF(COUNTBLANK(K283),I283,K283),M283),[3]Hoja1!$B:$I,4,0)="licencia","vacante"," ")," "))</f>
        <v xml:space="preserve"> </v>
      </c>
      <c r="Q283" s="4"/>
      <c r="R283" t="e">
        <f t="shared" si="34"/>
        <v>#REF!</v>
      </c>
      <c r="S283" t="e">
        <f t="shared" si="33"/>
        <v>#REF!</v>
      </c>
    </row>
    <row r="284" spans="1:19" ht="18.75" hidden="1" customHeight="1">
      <c r="A284" s="3" t="str">
        <f t="shared" si="30"/>
        <v>4°3°4324EFTMP4</v>
      </c>
      <c r="B284" s="3" t="s">
        <v>379</v>
      </c>
      <c r="C284" s="3">
        <v>432</v>
      </c>
      <c r="D284" s="3" t="s">
        <v>396</v>
      </c>
      <c r="E284" s="3">
        <v>2680256</v>
      </c>
      <c r="F284" s="3" t="str">
        <f>VLOOKUP(D284,[1]Hoja1!$A:$K,11,0)</f>
        <v xml:space="preserve">MONTAJE DE PROYECTO ELECTRONICOS </v>
      </c>
      <c r="G284" s="7">
        <v>18192893</v>
      </c>
      <c r="H284" s="7" t="s">
        <v>80</v>
      </c>
      <c r="I284" s="5"/>
      <c r="J284" s="5">
        <v>27353523126</v>
      </c>
      <c r="K284" s="6" t="s">
        <v>658</v>
      </c>
      <c r="L284" s="22" t="str">
        <f>IFERROR(VLOOKUP(CONCATENATE(A284,"S"),[2]Hoja1!$B:$N,5,0)," ")</f>
        <v xml:space="preserve"> </v>
      </c>
      <c r="M284" s="6" t="str">
        <f>IFERROR(VLOOKUP(CONCATENATE(A284,"S"),[2]Hoja1!$B:$N,6,0)," ")</f>
        <v xml:space="preserve"> </v>
      </c>
      <c r="N284" s="16" t="str">
        <f t="shared" si="31"/>
        <v>PROVISIONAL</v>
      </c>
      <c r="O284" s="17" t="str">
        <f t="shared" si="32"/>
        <v>FERREYRA JESICA</v>
      </c>
      <c r="P284" s="4" t="str">
        <f>IF(O284="vacante","vacante",IFERROR(IF(VLOOKUP(IF((M284)=" ",IF(COUNTBLANK(K284),I284,K284),M284),[3]Hoja1!$B:$I,4,0)="licencia","vacante"," ")," "))</f>
        <v xml:space="preserve"> </v>
      </c>
      <c r="Q284" s="4"/>
      <c r="R284" t="e">
        <f t="shared" si="34"/>
        <v>#REF!</v>
      </c>
      <c r="S284" t="e">
        <f t="shared" si="33"/>
        <v>#REF!</v>
      </c>
    </row>
    <row r="285" spans="1:19" ht="18.75" hidden="1" customHeight="1">
      <c r="A285" s="3" t="str">
        <f t="shared" si="30"/>
        <v>4°4°4EQUIS</v>
      </c>
      <c r="B285" s="3" t="s">
        <v>398</v>
      </c>
      <c r="C285" s="3"/>
      <c r="D285" s="3" t="s">
        <v>380</v>
      </c>
      <c r="E285" s="3">
        <v>733703</v>
      </c>
      <c r="F285" s="3" t="str">
        <f>VLOOKUP(D285,[1]Hoja1!$A:$K,11,0)</f>
        <v>QUIMICA</v>
      </c>
      <c r="G285" s="7"/>
      <c r="H285" s="7"/>
      <c r="I285" s="5"/>
      <c r="J285" s="5"/>
      <c r="K285" s="6" t="s">
        <v>571</v>
      </c>
      <c r="L285" s="5">
        <f>IFERROR(VLOOKUP(CONCATENATE(A285,"S"),[2]Hoja1!$B:$N,5,0)," ")</f>
        <v>27290413414</v>
      </c>
      <c r="M285" s="6" t="str">
        <f>IFERROR(VLOOKUP(CONCATENATE(A285,"S"),[2]Hoja1!$B:$N,6,0)," ")</f>
        <v xml:space="preserve">STEIN PAMELA </v>
      </c>
      <c r="N285" s="4" t="str">
        <f t="shared" si="31"/>
        <v>SUPLENTE</v>
      </c>
      <c r="O285" s="17" t="str">
        <f t="shared" si="32"/>
        <v xml:space="preserve">STEIN PAMELA </v>
      </c>
      <c r="P285" s="4" t="str">
        <f>IF(O285="vacante","vacante",IFERROR(IF(VLOOKUP(IF((M285)=" ",IF(COUNTBLANK(K285),I285,K285),M285),[3]Hoja1!$B:$I,4,0)="licencia","vacante"," ")," "))</f>
        <v xml:space="preserve"> </v>
      </c>
      <c r="Q285" s="4"/>
      <c r="R285">
        <f t="shared" si="34"/>
        <v>1</v>
      </c>
      <c r="S285" t="str">
        <f t="shared" si="33"/>
        <v>4°4°1</v>
      </c>
    </row>
    <row r="286" spans="1:19" ht="18.75" hidden="1" customHeight="1">
      <c r="A286" s="3" t="str">
        <f t="shared" si="30"/>
        <v>4°4°4EMATES</v>
      </c>
      <c r="B286" s="3" t="s">
        <v>398</v>
      </c>
      <c r="C286" s="3"/>
      <c r="D286" s="3" t="s">
        <v>381</v>
      </c>
      <c r="E286" s="3">
        <v>733568</v>
      </c>
      <c r="F286" s="3" t="str">
        <f>VLOOKUP(D286,[1]Hoja1!$A:$K,11,0)</f>
        <v>MATEMATICA</v>
      </c>
      <c r="G286" s="7">
        <v>16220206</v>
      </c>
      <c r="H286" s="7"/>
      <c r="I286" s="5" t="s">
        <v>399</v>
      </c>
      <c r="J286" s="5"/>
      <c r="K286" s="6"/>
      <c r="L286" s="5" t="str">
        <f>IFERROR(VLOOKUP(CONCATENATE(A286,"S"),[2]Hoja1!$B:$N,5,0)," ")</f>
        <v xml:space="preserve"> </v>
      </c>
      <c r="M286" s="6" t="str">
        <f>IFERROR(VLOOKUP(CONCATENATE(A286,"S"),[2]Hoja1!$B:$N,6,0)," ")</f>
        <v xml:space="preserve"> </v>
      </c>
      <c r="N286" s="4" t="str">
        <f t="shared" si="31"/>
        <v>TITULAR</v>
      </c>
      <c r="O286" s="17" t="str">
        <f t="shared" si="32"/>
        <v>FISTER VICTOR</v>
      </c>
      <c r="P286" s="4" t="str">
        <f>IF(O286="vacante","vacante",IFERROR(IF(VLOOKUP(IF((M286)=" ",IF(COUNTBLANK(K286),I286,K286),M286),[3]Hoja1!$B:$I,4,0)="licencia","vacante"," ")," "))</f>
        <v xml:space="preserve"> </v>
      </c>
      <c r="Q286" s="4"/>
      <c r="R286">
        <f t="shared" si="34"/>
        <v>2</v>
      </c>
      <c r="S286" t="str">
        <f t="shared" si="33"/>
        <v>4°4°2</v>
      </c>
    </row>
    <row r="287" spans="1:19" ht="18.75" hidden="1" customHeight="1">
      <c r="A287" s="3" t="str">
        <f t="shared" si="30"/>
        <v>4°4°4ELITS</v>
      </c>
      <c r="B287" s="3" t="s">
        <v>398</v>
      </c>
      <c r="C287" s="3"/>
      <c r="D287" s="3" t="s">
        <v>382</v>
      </c>
      <c r="E287" s="3">
        <v>733426</v>
      </c>
      <c r="F287" s="3" t="str">
        <f>VLOOKUP(D287,[1]Hoja1!$A:$K,11,0)</f>
        <v>LITERATURA</v>
      </c>
      <c r="G287" s="7">
        <v>13642940</v>
      </c>
      <c r="H287" s="7" t="s">
        <v>73</v>
      </c>
      <c r="I287" s="5" t="s">
        <v>313</v>
      </c>
      <c r="J287" s="5"/>
      <c r="K287" s="6"/>
      <c r="L287" s="5" t="str">
        <f>IFERROR(VLOOKUP(CONCATENATE(A287,"S"),[2]Hoja1!$B:$N,5,0)," ")</f>
        <v xml:space="preserve"> </v>
      </c>
      <c r="M287" s="6" t="str">
        <f>IFERROR(VLOOKUP(CONCATENATE(A287,"S"),[2]Hoja1!$B:$N,6,0)," ")</f>
        <v xml:space="preserve"> </v>
      </c>
      <c r="N287" s="4" t="str">
        <f t="shared" si="31"/>
        <v>TITULAR</v>
      </c>
      <c r="O287" s="17" t="str">
        <f t="shared" si="32"/>
        <v>CARESTIA, NOEMI</v>
      </c>
      <c r="P287" s="4" t="str">
        <f>IF(O287="vacante","vacante",IFERROR(IF(VLOOKUP(IF((M287)=" ",IF(COUNTBLANK(K287),I287,K287),M287),[3]Hoja1!$B:$I,4,0)="licencia","vacante"," ")," "))</f>
        <v xml:space="preserve"> </v>
      </c>
      <c r="Q287" s="4"/>
      <c r="R287">
        <f t="shared" si="34"/>
        <v>3</v>
      </c>
      <c r="S287" t="str">
        <f t="shared" si="33"/>
        <v>4°4°3</v>
      </c>
    </row>
    <row r="288" spans="1:19" ht="18.75" hidden="1" customHeight="1">
      <c r="A288" s="3" t="str">
        <f t="shared" si="30"/>
        <v>4°4°4EINGS</v>
      </c>
      <c r="B288" s="3" t="s">
        <v>398</v>
      </c>
      <c r="C288" s="3"/>
      <c r="D288" s="3" t="s">
        <v>383</v>
      </c>
      <c r="E288" s="3">
        <v>733417</v>
      </c>
      <c r="F288" s="3" t="str">
        <f>VLOOKUP(D288,[1]Hoja1!$A:$K,11,0)</f>
        <v>INGLÉS</v>
      </c>
      <c r="G288" s="7">
        <v>38178432</v>
      </c>
      <c r="H288" s="7"/>
      <c r="I288" s="5" t="s">
        <v>57</v>
      </c>
      <c r="J288" s="5"/>
      <c r="K288" s="6"/>
      <c r="L288" s="5" t="str">
        <f>IFERROR(VLOOKUP(CONCATENATE(A288,"S"),[2]Hoja1!$B:$N,5,0)," ")</f>
        <v xml:space="preserve"> </v>
      </c>
      <c r="M288" s="6" t="str">
        <f>IFERROR(VLOOKUP(CONCATENATE(A288,"S"),[2]Hoja1!$B:$N,6,0)," ")</f>
        <v xml:space="preserve"> </v>
      </c>
      <c r="N288" s="4" t="str">
        <f t="shared" si="31"/>
        <v>TITULAR</v>
      </c>
      <c r="O288" s="17" t="str">
        <f t="shared" si="32"/>
        <v xml:space="preserve">ARCE KARINA </v>
      </c>
      <c r="P288" s="4" t="str">
        <f>IF(O288="vacante","vacante",IFERROR(IF(VLOOKUP(IF((M288)=" ",IF(COUNTBLANK(K288),I288,K288),M288),[3]Hoja1!$B:$I,4,0)="licencia","vacante"," ")," "))</f>
        <v xml:space="preserve"> </v>
      </c>
      <c r="Q288" s="4" t="s">
        <v>573</v>
      </c>
      <c r="R288">
        <f t="shared" si="34"/>
        <v>4</v>
      </c>
      <c r="S288" t="str">
        <f t="shared" si="33"/>
        <v>4°4°4</v>
      </c>
    </row>
    <row r="289" spans="1:19" ht="18.75" hidden="1" customHeight="1">
      <c r="A289" s="3" t="str">
        <f t="shared" si="30"/>
        <v>4°4°4EEFIS</v>
      </c>
      <c r="B289" s="3" t="s">
        <v>398</v>
      </c>
      <c r="C289" s="3"/>
      <c r="D289" s="3" t="s">
        <v>384</v>
      </c>
      <c r="E289" s="3">
        <v>733645</v>
      </c>
      <c r="F289" s="3" t="str">
        <f>VLOOKUP(D289,[1]Hoja1!$A:$K,11,0)</f>
        <v>EDUCACIÓN FISICA</v>
      </c>
      <c r="G289" s="7">
        <v>20422900</v>
      </c>
      <c r="H289" s="7"/>
      <c r="I289" s="5" t="s">
        <v>229</v>
      </c>
      <c r="J289" s="5"/>
      <c r="K289" s="6"/>
      <c r="L289" s="5" t="str">
        <f>IFERROR(VLOOKUP(CONCATENATE(A289,"S"),[2]Hoja1!$B:$N,5,0)," ")</f>
        <v xml:space="preserve"> </v>
      </c>
      <c r="M289" s="6" t="str">
        <f>IFERROR(VLOOKUP(CONCATENATE(A289,"S"),[2]Hoja1!$B:$N,6,0)," ")</f>
        <v xml:space="preserve"> </v>
      </c>
      <c r="N289" s="4" t="str">
        <f t="shared" si="31"/>
        <v>TITULAR</v>
      </c>
      <c r="O289" s="17" t="str">
        <f t="shared" si="32"/>
        <v>SANCHEZ CARLOS</v>
      </c>
      <c r="P289" s="4" t="str">
        <f>IF(O289="vacante","vacante",IFERROR(IF(VLOOKUP(IF((M289)=" ",IF(COUNTBLANK(K289),I289,K289),M289),[3]Hoja1!$B:$I,4,0)="licencia","vacante"," ")," "))</f>
        <v xml:space="preserve"> </v>
      </c>
      <c r="Q289" s="4"/>
      <c r="R289">
        <f t="shared" si="34"/>
        <v>5</v>
      </c>
      <c r="S289" t="str">
        <f t="shared" si="33"/>
        <v>4°4°5</v>
      </c>
    </row>
    <row r="290" spans="1:19" ht="18.75" hidden="1" customHeight="1">
      <c r="A290" s="3" t="str">
        <f t="shared" si="30"/>
        <v>4°4°4EHIS</v>
      </c>
      <c r="B290" s="3" t="s">
        <v>398</v>
      </c>
      <c r="C290" s="3"/>
      <c r="D290" s="3" t="s">
        <v>385</v>
      </c>
      <c r="E290" s="3">
        <v>733423</v>
      </c>
      <c r="F290" s="3" t="str">
        <f>VLOOKUP(D290,[1]Hoja1!$A:$K,11,0)</f>
        <v>HISTORIA</v>
      </c>
      <c r="G290" s="7">
        <v>25142864</v>
      </c>
      <c r="H290" s="7"/>
      <c r="I290" s="5" t="s">
        <v>400</v>
      </c>
      <c r="J290" s="5"/>
      <c r="K290" s="6"/>
      <c r="L290" s="5" t="str">
        <f>IFERROR(VLOOKUP(CONCATENATE(A290,"S"),[2]Hoja1!$B:$N,5,0)," ")</f>
        <v xml:space="preserve"> </v>
      </c>
      <c r="M290" s="6" t="str">
        <f>IFERROR(VLOOKUP(CONCATENATE(A290,"S"),[2]Hoja1!$B:$N,6,0)," ")</f>
        <v xml:space="preserve"> </v>
      </c>
      <c r="N290" s="4" t="str">
        <f t="shared" si="31"/>
        <v>TITULAR</v>
      </c>
      <c r="O290" s="17" t="str">
        <f t="shared" si="32"/>
        <v xml:space="preserve">PALACIOS GUSTAVO </v>
      </c>
      <c r="P290" s="4" t="str">
        <f>IF(O290="vacante","vacante",IFERROR(IF(VLOOKUP(IF((M290)=" ",IF(COUNTBLANK(K290),I290,K290),M290),[3]Hoja1!$B:$I,4,0)="licencia","vacante"," ")," "))</f>
        <v xml:space="preserve"> </v>
      </c>
      <c r="Q290" s="4"/>
      <c r="R290">
        <f t="shared" si="34"/>
        <v>6</v>
      </c>
      <c r="S290" t="str">
        <f t="shared" si="33"/>
        <v>4°4°6</v>
      </c>
    </row>
    <row r="291" spans="1:19" ht="18.75" hidden="1" customHeight="1">
      <c r="A291" s="3" t="str">
        <f t="shared" si="30"/>
        <v>4°4°4EGEOS</v>
      </c>
      <c r="B291" s="3" t="s">
        <v>398</v>
      </c>
      <c r="C291" s="3"/>
      <c r="D291" s="3" t="s">
        <v>388</v>
      </c>
      <c r="E291" s="3">
        <v>1517208</v>
      </c>
      <c r="F291" s="3" t="str">
        <f>VLOOKUP(D291,[1]Hoja1!$A:$K,11,0)</f>
        <v>GEOGRAFIA</v>
      </c>
      <c r="G291" s="7" t="s">
        <v>166</v>
      </c>
      <c r="H291" s="7"/>
      <c r="I291" s="5"/>
      <c r="J291" s="5">
        <v>27283293144</v>
      </c>
      <c r="K291" s="6" t="s">
        <v>815</v>
      </c>
      <c r="L291" s="5" t="str">
        <f>IFERROR(VLOOKUP(CONCATENATE(A291,"S"),[2]Hoja1!$B:$N,5,0)," ")</f>
        <v xml:space="preserve"> </v>
      </c>
      <c r="M291" s="6" t="str">
        <f>IFERROR(VLOOKUP(CONCATENATE(A291,"S"),[2]Hoja1!$B:$N,6,0)," ")</f>
        <v xml:space="preserve"> </v>
      </c>
      <c r="N291" s="4" t="str">
        <f t="shared" si="31"/>
        <v>PROVISIONAL</v>
      </c>
      <c r="O291" s="17" t="str">
        <f t="shared" si="32"/>
        <v>SEGUEIRA SUSANA SOLEDAD</v>
      </c>
      <c r="P291" s="4" t="str">
        <f>IF(O291="vacante","vacante",IFERROR(IF(VLOOKUP(IF((M291)=" ",IF(COUNTBLANK(K291),I291,K291),M291),[3]Hoja1!$B:$I,4,0)="licencia","vacante"," ")," "))</f>
        <v xml:space="preserve"> </v>
      </c>
      <c r="Q291" s="4"/>
      <c r="R291">
        <f t="shared" si="34"/>
        <v>7</v>
      </c>
      <c r="S291" t="str">
        <f t="shared" si="33"/>
        <v>4°4°7</v>
      </c>
    </row>
    <row r="292" spans="1:19" ht="18.75" hidden="1" customHeight="1">
      <c r="A292" s="3" t="str">
        <f t="shared" si="30"/>
        <v>4°4°4EFIS</v>
      </c>
      <c r="B292" s="3" t="s">
        <v>398</v>
      </c>
      <c r="C292" s="3"/>
      <c r="D292" s="3" t="s">
        <v>390</v>
      </c>
      <c r="E292" s="3">
        <v>733706</v>
      </c>
      <c r="F292" s="3" t="str">
        <f>VLOOKUP(D292,[1]Hoja1!$A:$K,11,0)</f>
        <v>FISICA</v>
      </c>
      <c r="G292" s="7" t="s">
        <v>213</v>
      </c>
      <c r="H292" s="7"/>
      <c r="I292" s="5" t="s">
        <v>401</v>
      </c>
      <c r="J292" s="5"/>
      <c r="K292" s="6"/>
      <c r="L292" s="5">
        <f>IFERROR(VLOOKUP(CONCATENATE(A292,"S"),[2]Hoja1!$B:$N,5,0)," ")</f>
        <v>0</v>
      </c>
      <c r="M292" s="6" t="str">
        <f>IFERROR(VLOOKUP(CONCATENATE(A292,"S"),[2]Hoja1!$B:$N,6,0)," ")</f>
        <v>PROCHOR JUAN</v>
      </c>
      <c r="N292" s="4" t="str">
        <f t="shared" si="31"/>
        <v>SUPLENTE</v>
      </c>
      <c r="O292" s="17" t="str">
        <f t="shared" si="32"/>
        <v>PROCHOR JUAN</v>
      </c>
      <c r="P292" s="4" t="str">
        <f>IF(O292="vacante","vacante",IFERROR(IF(VLOOKUP(IF((M292)=" ",IF(COUNTBLANK(K292),I292,K292),M292),[3]Hoja1!$B:$I,4,0)="licencia","vacante"," ")," "))</f>
        <v xml:space="preserve"> </v>
      </c>
      <c r="Q292" s="4"/>
      <c r="R292">
        <f t="shared" si="34"/>
        <v>8</v>
      </c>
      <c r="S292" t="str">
        <f t="shared" si="33"/>
        <v>4°4°8</v>
      </c>
    </row>
    <row r="293" spans="1:19" ht="18.75" hidden="1" customHeight="1">
      <c r="A293" s="3" t="str">
        <f t="shared" si="30"/>
        <v>4°4°4ESADS</v>
      </c>
      <c r="B293" s="3" t="s">
        <v>398</v>
      </c>
      <c r="C293" s="3"/>
      <c r="D293" s="3" t="s">
        <v>391</v>
      </c>
      <c r="E293" s="3">
        <v>1517205</v>
      </c>
      <c r="F293" s="3" t="str">
        <f>VLOOKUP(D293,[1]Hoja1!$A:$K,11,0)</f>
        <v>SALUD Y ADOLESCENCIA</v>
      </c>
      <c r="G293" s="7">
        <v>28906681</v>
      </c>
      <c r="H293" s="7"/>
      <c r="I293" s="5" t="s">
        <v>363</v>
      </c>
      <c r="J293" s="5"/>
      <c r="K293" s="6"/>
      <c r="L293" s="5">
        <f>IFERROR(VLOOKUP(CONCATENATE(A293,"S"),[2]Hoja1!$B:$N,5,0)," ")</f>
        <v>0</v>
      </c>
      <c r="M293" s="6" t="str">
        <f>IFERROR(VLOOKUP(CONCATENATE(A293,"S"),[2]Hoja1!$B:$N,6,0)," ")</f>
        <v>TORRES VANINA</v>
      </c>
      <c r="N293" s="4" t="str">
        <f t="shared" si="31"/>
        <v>SUPLENTE</v>
      </c>
      <c r="O293" s="17" t="str">
        <f t="shared" si="32"/>
        <v>TORRES VANINA</v>
      </c>
      <c r="P293" s="4" t="str">
        <f>IF(O293="vacante","vacante",IFERROR(IF(VLOOKUP(IF((M293)=" ",IF(COUNTBLANK(K293),I293,K293),M293),[3]Hoja1!$B:$I,4,0)="licencia","vacante"," ")," "))</f>
        <v xml:space="preserve"> </v>
      </c>
      <c r="Q293" s="4"/>
      <c r="R293">
        <f t="shared" si="34"/>
        <v>9</v>
      </c>
      <c r="S293" t="str">
        <f t="shared" si="33"/>
        <v>4°4°9</v>
      </c>
    </row>
    <row r="294" spans="1:19" ht="18.75" hidden="1" customHeight="1">
      <c r="A294" s="3" t="str">
        <f t="shared" si="30"/>
        <v>4°4°4EFMC</v>
      </c>
      <c r="B294" s="3" t="s">
        <v>398</v>
      </c>
      <c r="C294" s="3"/>
      <c r="D294" s="3" t="s">
        <v>392</v>
      </c>
      <c r="E294" s="3">
        <v>789654</v>
      </c>
      <c r="F294" s="3" t="str">
        <f>VLOOKUP(D294,[1]Hoja1!$A:$K,11,0)</f>
        <v>FUNDAMENTOS DE LOS MODELOS CIRCUITALES</v>
      </c>
      <c r="G294" s="7"/>
      <c r="H294" s="7"/>
      <c r="I294" s="5"/>
      <c r="J294" s="37">
        <v>16220206</v>
      </c>
      <c r="K294" s="6" t="s">
        <v>794</v>
      </c>
      <c r="L294" s="5" t="str">
        <f>IFERROR(VLOOKUP(CONCATENATE(A294,"S"),[2]Hoja1!$B:$N,5,0)," ")</f>
        <v xml:space="preserve"> </v>
      </c>
      <c r="M294" s="6" t="str">
        <f>IFERROR(VLOOKUP(CONCATENATE(A294,"S"),[2]Hoja1!$B:$N,6,0)," ")</f>
        <v xml:space="preserve"> </v>
      </c>
      <c r="N294" s="4" t="str">
        <f t="shared" si="31"/>
        <v>PROVISIONAL</v>
      </c>
      <c r="O294" s="17" t="str">
        <f t="shared" si="32"/>
        <v xml:space="preserve">FISTER VICTOR             </v>
      </c>
      <c r="P294" s="4" t="str">
        <f>IF(O294="vacante","vacante",IFERROR(IF(VLOOKUP(IF((M294)=" ",IF(COUNTBLANK(K294),I294,K294),M294),[3]Hoja1!$B:$I,4,0)="licencia","vacante"," ")," "))</f>
        <v xml:space="preserve"> </v>
      </c>
      <c r="Q294" s="4"/>
      <c r="R294">
        <f t="shared" si="34"/>
        <v>10</v>
      </c>
      <c r="S294" t="str">
        <f t="shared" si="33"/>
        <v>4°4°10</v>
      </c>
    </row>
    <row r="295" spans="1:19" ht="18.75" hidden="1" customHeight="1">
      <c r="A295" s="3" t="str">
        <f t="shared" si="30"/>
        <v>4°4°4ETELE</v>
      </c>
      <c r="B295" s="3" t="s">
        <v>398</v>
      </c>
      <c r="C295" s="3"/>
      <c r="D295" s="3" t="s">
        <v>393</v>
      </c>
      <c r="E295" s="3">
        <v>790146</v>
      </c>
      <c r="F295" s="3" t="str">
        <f>VLOOKUP(D295,[1]Hoja1!$A:$K,11,0)</f>
        <v>TECNOLOGIAS ELECTRONICAS</v>
      </c>
      <c r="G295" s="7"/>
      <c r="H295" s="7"/>
      <c r="I295" s="5"/>
      <c r="J295" s="5">
        <v>23086757</v>
      </c>
      <c r="K295" s="6" t="s">
        <v>365</v>
      </c>
      <c r="L295" s="5" t="str">
        <f>IFERROR(VLOOKUP(CONCATENATE(A295,"S"),[2]Hoja1!$B:$N,5,0)," ")</f>
        <v xml:space="preserve"> </v>
      </c>
      <c r="M295" s="6" t="str">
        <f>IFERROR(VLOOKUP(CONCATENATE(A295,"S"),[2]Hoja1!$B:$N,6,0)," ")</f>
        <v xml:space="preserve"> </v>
      </c>
      <c r="N295" s="4" t="str">
        <f t="shared" si="31"/>
        <v>PROVISIONAL</v>
      </c>
      <c r="O295" s="17" t="str">
        <f t="shared" si="32"/>
        <v>SERENO, LEONEL</v>
      </c>
      <c r="P295" s="4" t="str">
        <f>IF(O295="vacante","vacante",IFERROR(IF(VLOOKUP(IF((M295)=" ",IF(COUNTBLANK(K295),I295,K295),M295),[3]Hoja1!$B:$I,4,0)="licencia","vacante"," ")," "))</f>
        <v xml:space="preserve"> </v>
      </c>
      <c r="Q295" s="4"/>
      <c r="R295">
        <f t="shared" si="34"/>
        <v>11</v>
      </c>
      <c r="S295" t="str">
        <f t="shared" si="33"/>
        <v>4°4°11</v>
      </c>
    </row>
    <row r="296" spans="1:19" ht="18.75" hidden="1" customHeight="1">
      <c r="A296" s="3" t="str">
        <f t="shared" si="30"/>
        <v>4°4°4414EFTAE4</v>
      </c>
      <c r="B296" s="3" t="s">
        <v>398</v>
      </c>
      <c r="C296" s="3">
        <v>441</v>
      </c>
      <c r="D296" s="3" t="s">
        <v>394</v>
      </c>
      <c r="E296" s="3">
        <v>2680556</v>
      </c>
      <c r="F296" s="3" t="str">
        <f>VLOOKUP(D296,[1]Hoja1!$A:$K,11,0)</f>
        <v xml:space="preserve">APLIC ELECT ANALOG </v>
      </c>
      <c r="G296" s="7"/>
      <c r="H296" s="7"/>
      <c r="I296" s="5"/>
      <c r="J296" s="5">
        <v>30930380</v>
      </c>
      <c r="K296" s="6" t="s">
        <v>402</v>
      </c>
      <c r="L296" s="5" t="str">
        <f>IFERROR(VLOOKUP(CONCATENATE(A296,"S"),[2]Hoja1!$B:$N,5,0)," ")</f>
        <v xml:space="preserve"> </v>
      </c>
      <c r="M296" s="6" t="str">
        <f>IFERROR(VLOOKUP(CONCATENATE(A296,"S"),[2]Hoja1!$B:$N,6,0)," ")</f>
        <v xml:space="preserve"> </v>
      </c>
      <c r="N296" s="4" t="str">
        <f t="shared" si="31"/>
        <v>PROVISIONAL</v>
      </c>
      <c r="O296" s="17" t="str">
        <f t="shared" si="32"/>
        <v xml:space="preserve">VELAZQUEZ GERARDO </v>
      </c>
      <c r="P296" s="4" t="str">
        <f>IF(O296="vacante","vacante",IFERROR(IF(VLOOKUP(IF((M296)=" ",IF(COUNTBLANK(K296),I296,K296),M296),[3]Hoja1!$B:$I,4,0)="licencia","vacante"," ")," "))</f>
        <v xml:space="preserve"> </v>
      </c>
      <c r="Q296" s="4"/>
      <c r="R296">
        <f t="shared" si="34"/>
        <v>12</v>
      </c>
      <c r="S296" t="str">
        <f t="shared" si="33"/>
        <v>4°4°12</v>
      </c>
    </row>
    <row r="297" spans="1:19" ht="18.75" hidden="1" customHeight="1">
      <c r="A297" s="3" t="str">
        <f t="shared" si="30"/>
        <v>4°4°4414EFTED4</v>
      </c>
      <c r="B297" s="3" t="s">
        <v>398</v>
      </c>
      <c r="C297" s="3">
        <v>441</v>
      </c>
      <c r="D297" s="3" t="s">
        <v>395</v>
      </c>
      <c r="E297" s="3">
        <v>2680557</v>
      </c>
      <c r="F297" s="3" t="str">
        <f>VLOOKUP(D297,[1]Hoja1!$A:$K,11,0)</f>
        <v>APLIC ELECTR DIGITAL</v>
      </c>
      <c r="G297" s="7"/>
      <c r="H297" s="7"/>
      <c r="I297" s="5"/>
      <c r="J297" s="5">
        <v>18383726</v>
      </c>
      <c r="K297" s="6" t="s">
        <v>403</v>
      </c>
      <c r="L297" s="5" t="str">
        <f>IFERROR(VLOOKUP(CONCATENATE(A297,"S"),[2]Hoja1!$B:$N,5,0)," ")</f>
        <v xml:space="preserve"> </v>
      </c>
      <c r="M297" s="6" t="str">
        <f>IFERROR(VLOOKUP(CONCATENATE(A297,"S"),[2]Hoja1!$B:$N,6,0)," ")</f>
        <v xml:space="preserve"> </v>
      </c>
      <c r="N297" s="4" t="str">
        <f t="shared" si="31"/>
        <v>PROVISIONAL</v>
      </c>
      <c r="O297" s="17" t="str">
        <f t="shared" si="32"/>
        <v>MARTINEZ, SILVIO</v>
      </c>
      <c r="P297" s="4" t="str">
        <f>IF(O297="vacante","vacante",IFERROR(IF(VLOOKUP(IF((M297)=" ",IF(COUNTBLANK(K297),I297,K297),M297),[3]Hoja1!$B:$I,4,0)="licencia","vacante"," ")," "))</f>
        <v xml:space="preserve"> </v>
      </c>
      <c r="Q297" s="4"/>
      <c r="R297">
        <f t="shared" si="34"/>
        <v>13</v>
      </c>
      <c r="S297" t="str">
        <f t="shared" si="33"/>
        <v>4°4°13</v>
      </c>
    </row>
    <row r="298" spans="1:19" ht="18.75" hidden="1" customHeight="1">
      <c r="A298" s="3" t="str">
        <f t="shared" si="30"/>
        <v>4°4°4414EFTMP4</v>
      </c>
      <c r="B298" s="3" t="s">
        <v>398</v>
      </c>
      <c r="C298" s="3">
        <v>441</v>
      </c>
      <c r="D298" s="3" t="s">
        <v>396</v>
      </c>
      <c r="E298" s="3">
        <v>2680558</v>
      </c>
      <c r="F298" s="3" t="str">
        <f>VLOOKUP(D298,[1]Hoja1!$A:$K,11,0)</f>
        <v xml:space="preserve">MONTAJE DE PROYECTO ELECTRONICOS </v>
      </c>
      <c r="G298" s="7"/>
      <c r="H298" s="7"/>
      <c r="I298" s="5"/>
      <c r="J298" s="5">
        <v>34777466</v>
      </c>
      <c r="K298" s="6" t="s">
        <v>404</v>
      </c>
      <c r="L298" s="5" t="str">
        <f>IFERROR(VLOOKUP(CONCATENATE(A298,"S"),[2]Hoja1!$B:$N,5,0)," ")</f>
        <v xml:space="preserve"> </v>
      </c>
      <c r="M298" s="6" t="str">
        <f>IFERROR(VLOOKUP(CONCATENATE(A298,"S"),[2]Hoja1!$B:$N,6,0)," ")</f>
        <v xml:space="preserve"> </v>
      </c>
      <c r="N298" s="4" t="str">
        <f t="shared" si="31"/>
        <v>PROVISIONAL</v>
      </c>
      <c r="O298" s="17" t="str">
        <f t="shared" si="32"/>
        <v xml:space="preserve">QUINTANA RAMON </v>
      </c>
      <c r="P298" s="4" t="str">
        <f>IF(O298="vacante","vacante",IFERROR(IF(VLOOKUP(IF((M298)=" ",IF(COUNTBLANK(K298),I298,K298),M298),[3]Hoja1!$B:$I,4,0)="licencia","vacante"," ")," "))</f>
        <v xml:space="preserve"> </v>
      </c>
      <c r="Q298" s="4"/>
      <c r="R298">
        <f t="shared" si="34"/>
        <v>14</v>
      </c>
      <c r="S298" t="str">
        <f t="shared" si="33"/>
        <v>4°4°14</v>
      </c>
    </row>
    <row r="299" spans="1:19" ht="18.75" hidden="1" customHeight="1">
      <c r="A299" s="3" t="str">
        <f t="shared" si="30"/>
        <v>4°4°4424EFTAE4</v>
      </c>
      <c r="B299" s="3" t="s">
        <v>398</v>
      </c>
      <c r="C299" s="3">
        <v>442</v>
      </c>
      <c r="D299" s="3" t="s">
        <v>394</v>
      </c>
      <c r="E299" s="3">
        <v>2680559</v>
      </c>
      <c r="F299" s="3" t="str">
        <f>VLOOKUP(D299,[1]Hoja1!$A:$K,11,0)</f>
        <v xml:space="preserve">APLIC ELECT ANALOG </v>
      </c>
      <c r="G299" s="7"/>
      <c r="H299" s="7"/>
      <c r="I299" s="5"/>
      <c r="J299" s="5">
        <v>20281869109</v>
      </c>
      <c r="K299" s="6" t="s">
        <v>641</v>
      </c>
      <c r="L299" s="5" t="str">
        <f>IFERROR(VLOOKUP(CONCATENATE(A299,"S"),[2]Hoja1!$B:$N,5,0)," ")</f>
        <v xml:space="preserve"> </v>
      </c>
      <c r="M299" s="6" t="str">
        <f>IFERROR(VLOOKUP(CONCATENATE(A299,"S"),[2]Hoja1!$B:$N,6,0)," ")</f>
        <v xml:space="preserve"> </v>
      </c>
      <c r="N299" s="4" t="str">
        <f t="shared" si="31"/>
        <v>PROVISIONAL</v>
      </c>
      <c r="O299" s="17" t="str">
        <f t="shared" si="32"/>
        <v>ARNALDO ESCALADA</v>
      </c>
      <c r="P299" s="4" t="str">
        <f>IF(O299="vacante","vacante",IFERROR(IF(VLOOKUP(IF((M299)=" ",IF(COUNTBLANK(K299),I299,K299),M299),[3]Hoja1!$B:$I,4,0)="licencia","vacante"," ")," "))</f>
        <v xml:space="preserve"> </v>
      </c>
      <c r="Q299" s="4"/>
      <c r="R299">
        <f t="shared" si="34"/>
        <v>15</v>
      </c>
      <c r="S299" t="str">
        <f t="shared" si="33"/>
        <v>4°4°15</v>
      </c>
    </row>
    <row r="300" spans="1:19" ht="18.75" hidden="1" customHeight="1">
      <c r="A300" s="3" t="str">
        <f t="shared" ref="A300:A331" si="35">CONCATENATE(B300,C300,D300)</f>
        <v>4°4°4424EFTED4</v>
      </c>
      <c r="B300" s="3" t="s">
        <v>398</v>
      </c>
      <c r="C300" s="3">
        <v>442</v>
      </c>
      <c r="D300" s="3" t="s">
        <v>395</v>
      </c>
      <c r="E300" s="3">
        <v>2680560</v>
      </c>
      <c r="F300" s="3" t="str">
        <f>VLOOKUP(D300,[1]Hoja1!$A:$K,11,0)</f>
        <v>APLIC ELECTR DIGITAL</v>
      </c>
      <c r="G300" s="7"/>
      <c r="H300" s="7"/>
      <c r="I300" s="5"/>
      <c r="J300" s="5">
        <v>26114670</v>
      </c>
      <c r="K300" s="6" t="s">
        <v>40</v>
      </c>
      <c r="L300" s="5" t="str">
        <f>IFERROR(VLOOKUP(CONCATENATE(A300,"S"),[2]Hoja1!$B:$N,5,0)," ")</f>
        <v xml:space="preserve"> </v>
      </c>
      <c r="M300" s="6" t="str">
        <f>IFERROR(VLOOKUP(CONCATENATE(A300,"S"),[2]Hoja1!$B:$N,6,0)," ")</f>
        <v xml:space="preserve"> </v>
      </c>
      <c r="N300" s="4" t="str">
        <f t="shared" ref="N300:N331" si="36">IF((M300)=" ",IF(COUNTBLANK(K300),"TITULAR","PROVISIONAL"),"SUPLENTE")</f>
        <v>PROVISIONAL</v>
      </c>
      <c r="O300" s="17" t="str">
        <f t="shared" ref="O300:O331" si="37">IF((M300)=" ",IF(COUNTBLANK(K300),I300,K300),M300)</f>
        <v xml:space="preserve">FISTER (Serv.Prov)         </v>
      </c>
      <c r="P300" s="4" t="str">
        <f>IF(O300="vacante","vacante",IFERROR(IF(VLOOKUP(IF((M300)=" ",IF(COUNTBLANK(K300),I300,K300),M300),[3]Hoja1!$B:$I,4,0)="licencia","vacante"," ")," "))</f>
        <v xml:space="preserve"> </v>
      </c>
      <c r="Q300" s="4"/>
      <c r="R300">
        <f t="shared" ref="R300:R331" si="38">IF(B300=B299,R299+1,1)</f>
        <v>16</v>
      </c>
      <c r="S300" t="str">
        <f t="shared" ref="S300:S331" si="39">CONCATENATE(B300,R300)</f>
        <v>4°4°16</v>
      </c>
    </row>
    <row r="301" spans="1:19" ht="18.75" hidden="1" customHeight="1">
      <c r="A301" s="3" t="str">
        <f t="shared" si="35"/>
        <v>4°4°4424EFTMP4</v>
      </c>
      <c r="B301" s="3" t="s">
        <v>398</v>
      </c>
      <c r="C301" s="3">
        <v>442</v>
      </c>
      <c r="D301" s="3" t="s">
        <v>396</v>
      </c>
      <c r="E301" s="3">
        <v>2680561</v>
      </c>
      <c r="F301" s="3" t="str">
        <f>VLOOKUP(D301,[1]Hoja1!$A:$K,11,0)</f>
        <v xml:space="preserve">MONTAJE DE PROYECTO ELECTRONICOS </v>
      </c>
      <c r="G301" s="7"/>
      <c r="H301" s="7"/>
      <c r="I301" s="5"/>
      <c r="J301" s="5">
        <v>30930380</v>
      </c>
      <c r="K301" s="6" t="s">
        <v>402</v>
      </c>
      <c r="L301" s="5" t="str">
        <f>IFERROR(VLOOKUP(CONCATENATE(A301,"S"),[2]Hoja1!$B:$N,5,0)," ")</f>
        <v xml:space="preserve"> </v>
      </c>
      <c r="M301" s="6" t="str">
        <f>IFERROR(VLOOKUP(CONCATENATE(A301,"S"),[2]Hoja1!$B:$N,6,0)," ")</f>
        <v xml:space="preserve"> </v>
      </c>
      <c r="N301" s="4" t="str">
        <f t="shared" si="36"/>
        <v>PROVISIONAL</v>
      </c>
      <c r="O301" s="17" t="str">
        <f t="shared" si="37"/>
        <v xml:space="preserve">VELAZQUEZ GERARDO </v>
      </c>
      <c r="P301" s="4" t="str">
        <f>IF(O301="vacante","vacante",IFERROR(IF(VLOOKUP(IF((M301)=" ",IF(COUNTBLANK(K301),I301,K301),M301),[3]Hoja1!$B:$I,4,0)="licencia","vacante"," ")," "))</f>
        <v xml:space="preserve"> </v>
      </c>
      <c r="Q301" s="4"/>
      <c r="R301">
        <f t="shared" si="38"/>
        <v>17</v>
      </c>
      <c r="S301" t="str">
        <f t="shared" si="39"/>
        <v>4°4°17</v>
      </c>
    </row>
    <row r="302" spans="1:19" ht="18.75" hidden="1" customHeight="1">
      <c r="A302" s="3" t="str">
        <f t="shared" si="35"/>
        <v>5°5°5ILITS</v>
      </c>
      <c r="B302" s="3" t="s">
        <v>553</v>
      </c>
      <c r="C302" s="3"/>
      <c r="D302" s="3" t="s">
        <v>406</v>
      </c>
      <c r="E302" s="3">
        <v>733603</v>
      </c>
      <c r="F302" s="3" t="str">
        <f>VLOOKUP(D302,[1]Hoja1!$A:$K,11,0)</f>
        <v>LITERATURA</v>
      </c>
      <c r="G302" s="7">
        <v>36088391</v>
      </c>
      <c r="H302" s="7" t="s">
        <v>683</v>
      </c>
      <c r="I302" s="5" t="s">
        <v>692</v>
      </c>
      <c r="J302" s="5"/>
      <c r="K302" s="6"/>
      <c r="L302" s="5" t="str">
        <f>IFERROR(VLOOKUP(CONCATENATE(A302,"S"),[2]Hoja1!$B:$N,5,0)," ")</f>
        <v xml:space="preserve"> </v>
      </c>
      <c r="M302" s="6" t="str">
        <f>IFERROR(VLOOKUP(CONCATENATE(A302,"S"),[2]Hoja1!$B:$N,6,0)," ")</f>
        <v xml:space="preserve"> </v>
      </c>
      <c r="N302" s="4" t="str">
        <f t="shared" si="36"/>
        <v>TITULAR</v>
      </c>
      <c r="O302" s="17" t="str">
        <f t="shared" si="37"/>
        <v>NEGRETE, DANIELA</v>
      </c>
      <c r="P302" s="4" t="str">
        <f>IF(O302="vacante","vacante",IFERROR(IF(VLOOKUP(IF((M302)=" ",IF(COUNTBLANK(K302),I302,K302),M302),[3]Hoja1!$B:$I,4,0)="licencia","vacante"," ")," "))</f>
        <v xml:space="preserve"> </v>
      </c>
      <c r="Q302" s="4"/>
      <c r="R302">
        <f t="shared" si="38"/>
        <v>1</v>
      </c>
      <c r="S302" t="str">
        <f t="shared" si="39"/>
        <v>5°5°1</v>
      </c>
    </row>
    <row r="303" spans="1:19" ht="18.75" hidden="1" customHeight="1">
      <c r="A303" s="3" t="str">
        <f t="shared" si="35"/>
        <v>5°5°5IINGS</v>
      </c>
      <c r="B303" s="3" t="s">
        <v>553</v>
      </c>
      <c r="C303" s="3"/>
      <c r="D303" s="3" t="s">
        <v>407</v>
      </c>
      <c r="E303" s="3">
        <v>733672</v>
      </c>
      <c r="F303" s="3" t="str">
        <f>VLOOKUP(D303,[1]Hoja1!$A:$K,11,0)</f>
        <v>INGLÉS</v>
      </c>
      <c r="G303" s="7">
        <v>26117162</v>
      </c>
      <c r="H303" s="7"/>
      <c r="I303" s="5" t="s">
        <v>95</v>
      </c>
      <c r="J303" s="5"/>
      <c r="K303" s="6"/>
      <c r="L303" s="5">
        <f>IFERROR(VLOOKUP(CONCATENATE(A303,"S"),[2]Hoja1!$B:$N,5,0)," ")</f>
        <v>0</v>
      </c>
      <c r="M303" s="6" t="str">
        <f>IFERROR(VLOOKUP(CONCATENATE(A303,"S"),[2]Hoja1!$B:$N,6,0)," ")</f>
        <v>BARBIERI MARIA 27361711800</v>
      </c>
      <c r="N303" s="4" t="str">
        <f t="shared" si="36"/>
        <v>SUPLENTE</v>
      </c>
      <c r="O303" s="17" t="str">
        <f t="shared" si="37"/>
        <v>BARBIERI MARIA 27361711800</v>
      </c>
      <c r="P303" s="4" t="str">
        <f>IF(O303="vacante","vacante",IFERROR(IF(VLOOKUP(IF((M303)=" ",IF(COUNTBLANK(K303),I303,K303),M303),[3]Hoja1!$B:$I,4,0)="licencia","vacante"," ")," "))</f>
        <v xml:space="preserve"> </v>
      </c>
      <c r="Q303" s="4"/>
      <c r="R303">
        <f t="shared" si="38"/>
        <v>2</v>
      </c>
      <c r="S303" t="str">
        <f t="shared" si="39"/>
        <v>5°5°2</v>
      </c>
    </row>
    <row r="304" spans="1:19" ht="18.75" hidden="1" customHeight="1">
      <c r="A304" s="3" t="str">
        <f t="shared" si="35"/>
        <v>5°5°5IEFIS</v>
      </c>
      <c r="B304" s="3" t="s">
        <v>553</v>
      </c>
      <c r="C304" s="3"/>
      <c r="D304" s="3" t="s">
        <v>408</v>
      </c>
      <c r="E304" s="3">
        <v>733402</v>
      </c>
      <c r="F304" s="3" t="str">
        <f>VLOOKUP(D304,[1]Hoja1!$A:$K,11,0)</f>
        <v>EDUCACIÓN FISICA</v>
      </c>
      <c r="G304" s="7">
        <v>29569203</v>
      </c>
      <c r="H304" s="7"/>
      <c r="I304" s="5" t="s">
        <v>409</v>
      </c>
      <c r="J304" s="5"/>
      <c r="K304" s="6"/>
      <c r="L304" s="5" t="str">
        <f>IFERROR(VLOOKUP(CONCATENATE(A304,"S"),[2]Hoja1!$B:$N,5,0)," ")</f>
        <v xml:space="preserve"> </v>
      </c>
      <c r="M304" s="6" t="str">
        <f>IFERROR(VLOOKUP(CONCATENATE(A304,"S"),[2]Hoja1!$B:$N,6,0)," ")</f>
        <v xml:space="preserve"> </v>
      </c>
      <c r="N304" s="4" t="str">
        <f t="shared" si="36"/>
        <v>TITULAR</v>
      </c>
      <c r="O304" s="17" t="str">
        <f t="shared" si="37"/>
        <v>LUDUEÑA NELSON</v>
      </c>
      <c r="P304" s="4" t="str">
        <f>IF(O304="vacante","vacante",IFERROR(IF(VLOOKUP(IF((M304)=" ",IF(COUNTBLANK(K304),I304,K304),M304),[3]Hoja1!$B:$I,4,0)="licencia","vacante"," ")," "))</f>
        <v xml:space="preserve"> </v>
      </c>
      <c r="Q304" s="4"/>
      <c r="R304">
        <f t="shared" si="38"/>
        <v>3</v>
      </c>
      <c r="S304" t="str">
        <f t="shared" si="39"/>
        <v>5°5°3</v>
      </c>
    </row>
    <row r="305" spans="1:19" ht="18.75" hidden="1" customHeight="1">
      <c r="A305" s="3" t="str">
        <f t="shared" si="35"/>
        <v>5°5°5IPYCS</v>
      </c>
      <c r="B305" s="3" t="s">
        <v>553</v>
      </c>
      <c r="C305" s="3"/>
      <c r="D305" s="3" t="s">
        <v>410</v>
      </c>
      <c r="E305" s="3">
        <v>1643741</v>
      </c>
      <c r="F305" s="3" t="str">
        <f>VLOOKUP(D305,[1]Hoja1!$A:$K,11,0)</f>
        <v>POLITICA Y CIUDADANIA</v>
      </c>
      <c r="G305" s="7">
        <v>15007603</v>
      </c>
      <c r="H305" s="7" t="s">
        <v>411</v>
      </c>
      <c r="I305" s="5" t="s">
        <v>412</v>
      </c>
      <c r="J305" s="5"/>
      <c r="K305" s="6"/>
      <c r="L305" s="5" t="str">
        <f>IFERROR(VLOOKUP(CONCATENATE(A305,"S"),[2]Hoja1!$B:$N,5,0)," ")</f>
        <v xml:space="preserve"> </v>
      </c>
      <c r="M305" s="6" t="str">
        <f>IFERROR(VLOOKUP(CONCATENATE(A305,"S"),[2]Hoja1!$B:$N,6,0)," ")</f>
        <v xml:space="preserve"> </v>
      </c>
      <c r="N305" s="4" t="str">
        <f t="shared" si="36"/>
        <v>TITULAR</v>
      </c>
      <c r="O305" s="17" t="str">
        <f t="shared" si="37"/>
        <v xml:space="preserve">ANTONIO VALLE, INEES </v>
      </c>
      <c r="P305" s="4" t="str">
        <f>IF(O305="vacante","vacante",IFERROR(IF(VLOOKUP(IF((M305)=" ",IF(COUNTBLANK(K305),I305,K305),M305),[3]Hoja1!$B:$I,4,0)="licencia","vacante"," ")," "))</f>
        <v xml:space="preserve"> </v>
      </c>
      <c r="Q305" s="4"/>
      <c r="R305">
        <f t="shared" si="38"/>
        <v>4</v>
      </c>
      <c r="S305" t="str">
        <f t="shared" si="39"/>
        <v>5°5°4</v>
      </c>
    </row>
    <row r="306" spans="1:19" ht="18.75" hidden="1" customHeight="1">
      <c r="A306" s="3" t="str">
        <f t="shared" si="35"/>
        <v>5°5°5IHIS5</v>
      </c>
      <c r="B306" s="3" t="s">
        <v>553</v>
      </c>
      <c r="C306" s="3"/>
      <c r="D306" s="3" t="s">
        <v>413</v>
      </c>
      <c r="E306" s="3">
        <v>1643750</v>
      </c>
      <c r="F306" s="3" t="str">
        <f>VLOOKUP(D306,[1]Hoja1!$A:$K,11,0)</f>
        <v>HISTORIA</v>
      </c>
      <c r="G306" s="7" t="s">
        <v>768</v>
      </c>
      <c r="H306" s="7"/>
      <c r="I306" s="5" t="s">
        <v>767</v>
      </c>
      <c r="J306" s="5"/>
      <c r="K306" s="6"/>
      <c r="L306" s="5" t="str">
        <f>IFERROR(VLOOKUP(CONCATENATE(A306,"S"),[2]Hoja1!$B:$N,5,0)," ")</f>
        <v xml:space="preserve"> </v>
      </c>
      <c r="M306" s="6" t="str">
        <f>IFERROR(VLOOKUP(CONCATENATE(A306,"S"),[2]Hoja1!$B:$N,6,0)," ")</f>
        <v xml:space="preserve"> </v>
      </c>
      <c r="N306" s="4" t="str">
        <f t="shared" si="36"/>
        <v>TITULAR</v>
      </c>
      <c r="O306" s="17" t="str">
        <f t="shared" si="37"/>
        <v xml:space="preserve">GERSTER MYRIAN   INT206           </v>
      </c>
      <c r="P306" s="4" t="str">
        <f>IF(O306="vacante","vacante",IFERROR(IF(VLOOKUP(IF((M306)=" ",IF(COUNTBLANK(K306),I306,K306),M306),[3]Hoja1!$B:$I,4,0)="licencia","vacante"," ")," "))</f>
        <v xml:space="preserve"> </v>
      </c>
      <c r="Q306" s="4"/>
      <c r="R306">
        <f t="shared" si="38"/>
        <v>5</v>
      </c>
      <c r="S306" t="str">
        <f t="shared" si="39"/>
        <v>5°5°5</v>
      </c>
    </row>
    <row r="307" spans="1:19" ht="18.75" hidden="1" customHeight="1">
      <c r="A307" s="3" t="str">
        <f t="shared" si="35"/>
        <v>5°5°5IGEOS5</v>
      </c>
      <c r="B307" s="3" t="s">
        <v>553</v>
      </c>
      <c r="C307" s="3"/>
      <c r="D307" s="3" t="s">
        <v>414</v>
      </c>
      <c r="E307" s="3">
        <v>733650</v>
      </c>
      <c r="F307" s="3" t="str">
        <f>VLOOKUP(D307,[1]Hoja1!$A:$K,11,0)</f>
        <v>GEOGRAFIA</v>
      </c>
      <c r="G307" s="7" t="s">
        <v>290</v>
      </c>
      <c r="H307" s="7"/>
      <c r="I307" s="5" t="s">
        <v>292</v>
      </c>
      <c r="J307" s="5"/>
      <c r="K307" s="6"/>
      <c r="L307" s="5">
        <f>IFERROR(VLOOKUP(CONCATENATE(A307,"S"),[2]Hoja1!$B:$N,5,0)," ")</f>
        <v>27276906084</v>
      </c>
      <c r="M307" s="6" t="str">
        <f>IFERROR(VLOOKUP(CONCATENATE(A307,"S"),[2]Hoja1!$B:$N,6,0)," ")</f>
        <v xml:space="preserve"> ROJAS SOLEDAD</v>
      </c>
      <c r="N307" s="4" t="str">
        <f t="shared" si="36"/>
        <v>SUPLENTE</v>
      </c>
      <c r="O307" s="17" t="str">
        <f t="shared" si="37"/>
        <v xml:space="preserve"> ROJAS SOLEDAD</v>
      </c>
      <c r="P307" s="4" t="str">
        <f>IF(O307="vacante","vacante",IFERROR(IF(VLOOKUP(IF((M307)=" ",IF(COUNTBLANK(K307),I307,K307),M307),[3]Hoja1!$B:$I,4,0)="licencia","vacante"," ")," "))</f>
        <v xml:space="preserve"> </v>
      </c>
      <c r="Q307" s="4"/>
      <c r="R307">
        <f t="shared" si="38"/>
        <v>6</v>
      </c>
      <c r="S307" t="str">
        <f t="shared" si="39"/>
        <v>5°5°6</v>
      </c>
    </row>
    <row r="308" spans="1:19" ht="18.75" hidden="1" customHeight="1">
      <c r="A308" s="3" t="str">
        <f t="shared" si="35"/>
        <v>5°5°5IANMAT</v>
      </c>
      <c r="B308" s="3" t="s">
        <v>553</v>
      </c>
      <c r="C308" s="3"/>
      <c r="D308" s="3" t="s">
        <v>415</v>
      </c>
      <c r="E308" s="3">
        <v>733651</v>
      </c>
      <c r="F308" s="3" t="str">
        <f>VLOOKUP(D308,[1]Hoja1!$A:$K,11,0)</f>
        <v>ANALISIS MATEMATICO</v>
      </c>
      <c r="G308" s="7">
        <v>23552449</v>
      </c>
      <c r="H308" s="7"/>
      <c r="I308" s="5"/>
      <c r="J308" s="5"/>
      <c r="K308" s="6" t="s">
        <v>717</v>
      </c>
      <c r="L308" s="5" t="str">
        <f>IFERROR(VLOOKUP(CONCATENATE(A308,"S"),[2]Hoja1!$B:$N,5,0)," ")</f>
        <v xml:space="preserve"> </v>
      </c>
      <c r="M308" s="6" t="str">
        <f>IFERROR(VLOOKUP(CONCATENATE(A308,"S"),[2]Hoja1!$B:$N,6,0)," ")</f>
        <v xml:space="preserve"> </v>
      </c>
      <c r="N308" s="4" t="str">
        <f t="shared" si="36"/>
        <v>PROVISIONAL</v>
      </c>
      <c r="O308" s="17" t="str">
        <f t="shared" si="37"/>
        <v>GARCIA CLAUDIA</v>
      </c>
      <c r="P308" s="4" t="str">
        <f>IF(O308="vacante","vacante",IFERROR(IF(VLOOKUP(IF((M308)=" ",IF(COUNTBLANK(K308),I308,K308),M308),[3]Hoja1!$B:$I,4,0)="licencia","vacante"," ")," "))</f>
        <v xml:space="preserve"> </v>
      </c>
      <c r="Q308" s="4"/>
      <c r="R308">
        <f t="shared" si="38"/>
        <v>7</v>
      </c>
      <c r="S308" t="str">
        <f t="shared" si="39"/>
        <v>5°5°7</v>
      </c>
    </row>
    <row r="309" spans="1:19" ht="18.75" hidden="1" customHeight="1">
      <c r="A309" s="3" t="str">
        <f t="shared" si="35"/>
        <v>5°5°5ISIDI4</v>
      </c>
      <c r="B309" s="3" t="s">
        <v>553</v>
      </c>
      <c r="C309" s="3"/>
      <c r="D309" s="3" t="s">
        <v>416</v>
      </c>
      <c r="E309" s="3">
        <v>733570</v>
      </c>
      <c r="F309" s="3" t="str">
        <f>VLOOKUP(D309,[1]Hoja1!$A:$K,11,0)</f>
        <v>SISTEMA DIGITAL</v>
      </c>
      <c r="G309" s="7">
        <v>28440300</v>
      </c>
      <c r="H309" s="7"/>
      <c r="I309" s="5" t="s">
        <v>417</v>
      </c>
      <c r="J309" s="5"/>
      <c r="K309" s="6"/>
      <c r="L309" s="5">
        <f>IFERROR(VLOOKUP(CONCATENATE(A309,"S"),[2]Hoja1!$B:$N,5,0)," ")</f>
        <v>33421332</v>
      </c>
      <c r="M309" s="6" t="str">
        <f>IFERROR(VLOOKUP(CONCATENATE(A309,"S"),[2]Hoja1!$B:$N,6,0)," ")</f>
        <v xml:space="preserve">HERNER, CRISTIAN </v>
      </c>
      <c r="N309" s="4" t="str">
        <f t="shared" si="36"/>
        <v>SUPLENTE</v>
      </c>
      <c r="O309" s="17" t="str">
        <f t="shared" si="37"/>
        <v xml:space="preserve">HERNER, CRISTIAN </v>
      </c>
      <c r="P309" s="4" t="str">
        <f>IF(O309="vacante","vacante",IFERROR(IF(VLOOKUP(IF((M309)=" ",IF(COUNTBLANK(K309),I309,K309),M309),[3]Hoja1!$B:$I,4,0)="licencia","vacante"," ")," "))</f>
        <v xml:space="preserve"> </v>
      </c>
      <c r="Q309" s="4"/>
      <c r="R309">
        <f t="shared" si="38"/>
        <v>8</v>
      </c>
      <c r="S309" t="str">
        <f t="shared" si="39"/>
        <v>5°5°8</v>
      </c>
    </row>
    <row r="310" spans="1:19" ht="18.75" hidden="1" customHeight="1">
      <c r="A310" s="3" t="str">
        <f t="shared" si="35"/>
        <v>5°5°5ITELEI</v>
      </c>
      <c r="B310" s="3" t="s">
        <v>553</v>
      </c>
      <c r="C310" s="3"/>
      <c r="D310" s="3" t="s">
        <v>418</v>
      </c>
      <c r="E310" s="3">
        <v>1643761</v>
      </c>
      <c r="F310" s="3" t="str">
        <f>VLOOKUP(D310,[1]Hoja1!$A:$K,11,0)</f>
        <v>TELEINFORMATICA</v>
      </c>
      <c r="G310" s="7"/>
      <c r="H310" s="7"/>
      <c r="I310" s="5"/>
      <c r="J310" s="5">
        <v>35365690</v>
      </c>
      <c r="K310" s="6" t="s">
        <v>707</v>
      </c>
      <c r="L310" s="5" t="str">
        <f>IFERROR(VLOOKUP(CONCATENATE(A310,"S"),[2]Hoja1!$B:$N,5,0)," ")</f>
        <v xml:space="preserve"> </v>
      </c>
      <c r="M310" s="6" t="str">
        <f>IFERROR(VLOOKUP(CONCATENATE(A310,"S"),[2]Hoja1!$B:$N,6,0)," ")</f>
        <v xml:space="preserve"> </v>
      </c>
      <c r="N310" s="4" t="str">
        <f t="shared" si="36"/>
        <v>PROVISIONAL</v>
      </c>
      <c r="O310" s="17" t="str">
        <f t="shared" si="37"/>
        <v xml:space="preserve">GONANO, GERMAN </v>
      </c>
      <c r="P310" s="4" t="str">
        <f>IF(O310="vacante","vacante",IFERROR(IF(VLOOKUP(IF((M310)=" ",IF(COUNTBLANK(K310),I310,K310),M310),[3]Hoja1!$B:$I,4,0)="licencia","vacante"," ")," "))</f>
        <v xml:space="preserve"> </v>
      </c>
      <c r="Q310" s="4"/>
      <c r="R310">
        <f t="shared" si="38"/>
        <v>9</v>
      </c>
      <c r="S310" t="str">
        <f t="shared" si="39"/>
        <v>5°5°9</v>
      </c>
    </row>
    <row r="311" spans="1:19" ht="18.75" hidden="1" customHeight="1">
      <c r="A311" s="3" t="str">
        <f t="shared" si="35"/>
        <v>5°5°5515IFTLP5</v>
      </c>
      <c r="B311" s="3" t="s">
        <v>553</v>
      </c>
      <c r="C311" s="3">
        <v>551</v>
      </c>
      <c r="D311" s="3" t="s">
        <v>419</v>
      </c>
      <c r="E311" s="3">
        <v>2680572</v>
      </c>
      <c r="F311" s="3" t="str">
        <f>VLOOKUP(D311,[1]Hoja1!$A:$K,11,0)</f>
        <v xml:space="preserve">LAB DE PROGRAM </v>
      </c>
      <c r="G311" s="7"/>
      <c r="H311" s="7"/>
      <c r="I311" s="5"/>
      <c r="J311" s="5"/>
      <c r="K311" s="6" t="s">
        <v>582</v>
      </c>
      <c r="L311" s="5" t="str">
        <f>IFERROR(VLOOKUP(CONCATENATE(A311,"S"),[2]Hoja1!$B:$N,5,0)," ")</f>
        <v xml:space="preserve"> </v>
      </c>
      <c r="M311" s="6" t="str">
        <f>IFERROR(VLOOKUP(CONCATENATE(A311,"S"),[2]Hoja1!$B:$N,6,0)," ")</f>
        <v xml:space="preserve"> </v>
      </c>
      <c r="N311" s="4" t="str">
        <f t="shared" si="36"/>
        <v>PROVISIONAL</v>
      </c>
      <c r="O311" s="17" t="str">
        <f t="shared" si="37"/>
        <v>WITT  GERARDO</v>
      </c>
      <c r="P311" s="4" t="str">
        <f>IF(O311="vacante","vacante",IFERROR(IF(VLOOKUP(IF((M311)=" ",IF(COUNTBLANK(K311),I311,K311),M311),[3]Hoja1!$B:$I,4,0)="licencia","vacante"," ")," "))</f>
        <v xml:space="preserve"> </v>
      </c>
      <c r="Q311" s="4"/>
      <c r="R311">
        <f t="shared" si="38"/>
        <v>10</v>
      </c>
      <c r="S311" t="str">
        <f t="shared" si="39"/>
        <v>5°5°10</v>
      </c>
    </row>
    <row r="312" spans="1:19" ht="18.75" hidden="1" customHeight="1">
      <c r="A312" s="3" t="str">
        <f t="shared" si="35"/>
        <v>5°5°5515IFTLH5</v>
      </c>
      <c r="B312" s="3" t="s">
        <v>553</v>
      </c>
      <c r="C312" s="3">
        <v>551</v>
      </c>
      <c r="D312" s="3" t="s">
        <v>420</v>
      </c>
      <c r="E312" s="3">
        <v>2680573</v>
      </c>
      <c r="F312" s="3" t="str">
        <f>VLOOKUP(D312,[1]Hoja1!$A:$K,11,0)</f>
        <v xml:space="preserve">LAB DE HARDWARE </v>
      </c>
      <c r="G312" s="7">
        <v>24862276</v>
      </c>
      <c r="H312" s="7" t="s">
        <v>78</v>
      </c>
      <c r="I312" s="5" t="s">
        <v>378</v>
      </c>
      <c r="J312" s="5"/>
      <c r="K312" s="6"/>
      <c r="L312" s="5">
        <f>IFERROR(VLOOKUP(CONCATENATE(A312,"S"),[2]Hoja1!$B:$N,5,0)," ")</f>
        <v>27464627</v>
      </c>
      <c r="M312" s="6" t="str">
        <f>IFERROR(VLOOKUP(CONCATENATE(A312,"S"),[2]Hoja1!$B:$N,6,0)," ")</f>
        <v>HERRERA, STELLA</v>
      </c>
      <c r="N312" s="4" t="str">
        <f t="shared" si="36"/>
        <v>SUPLENTE</v>
      </c>
      <c r="O312" s="17" t="str">
        <f t="shared" si="37"/>
        <v>HERRERA, STELLA</v>
      </c>
      <c r="P312" s="4" t="str">
        <f>IF(O312="vacante","vacante",IFERROR(IF(VLOOKUP(IF((M312)=" ",IF(COUNTBLANK(K312),I312,K312),M312),[3]Hoja1!$B:$I,4,0)="licencia","vacante"," ")," "))</f>
        <v xml:space="preserve"> </v>
      </c>
      <c r="Q312" s="4"/>
      <c r="R312">
        <f t="shared" si="38"/>
        <v>11</v>
      </c>
      <c r="S312" t="str">
        <f t="shared" si="39"/>
        <v>5°5°11</v>
      </c>
    </row>
    <row r="313" spans="1:19" ht="18.75" hidden="1" customHeight="1">
      <c r="A313" s="3" t="str">
        <f t="shared" si="35"/>
        <v>5°5°5515IFTLS5</v>
      </c>
      <c r="B313" s="3" t="s">
        <v>553</v>
      </c>
      <c r="C313" s="3">
        <v>551</v>
      </c>
      <c r="D313" s="3" t="s">
        <v>421</v>
      </c>
      <c r="E313" s="3">
        <v>2680574</v>
      </c>
      <c r="F313" s="3" t="str">
        <f>VLOOKUP(D313,[1]Hoja1!$A:$K,11,0)</f>
        <v>LAB DE SIST OPERATIVOS</v>
      </c>
      <c r="G313" s="7"/>
      <c r="H313" s="7"/>
      <c r="I313" s="5"/>
      <c r="J313" s="5"/>
      <c r="K313" s="6" t="s">
        <v>582</v>
      </c>
      <c r="L313" s="5" t="str">
        <f>IFERROR(VLOOKUP(CONCATENATE(A313,"S"),[2]Hoja1!$B:$N,5,0)," ")</f>
        <v xml:space="preserve"> </v>
      </c>
      <c r="M313" s="6" t="str">
        <f>IFERROR(VLOOKUP(CONCATENATE(A313,"S"),[2]Hoja1!$B:$N,6,0)," ")</f>
        <v xml:space="preserve"> </v>
      </c>
      <c r="N313" s="4" t="str">
        <f t="shared" si="36"/>
        <v>PROVISIONAL</v>
      </c>
      <c r="O313" s="17" t="str">
        <f t="shared" si="37"/>
        <v>WITT  GERARDO</v>
      </c>
      <c r="P313" s="4" t="str">
        <f>IF(O313="vacante","vacante",IFERROR(IF(VLOOKUP(IF((M313)=" ",IF(COUNTBLANK(K313),I313,K313),M313),[3]Hoja1!$B:$I,4,0)="licencia","vacante"," ")," "))</f>
        <v xml:space="preserve"> </v>
      </c>
      <c r="Q313" s="4"/>
      <c r="R313">
        <f t="shared" si="38"/>
        <v>12</v>
      </c>
      <c r="S313" t="str">
        <f t="shared" si="39"/>
        <v>5°5°12</v>
      </c>
    </row>
    <row r="314" spans="1:19" ht="18.75" hidden="1" customHeight="1">
      <c r="A314" s="3" t="str">
        <f t="shared" si="35"/>
        <v>5°5°5515IFTLA5</v>
      </c>
      <c r="B314" s="3" t="s">
        <v>553</v>
      </c>
      <c r="C314" s="3">
        <v>551</v>
      </c>
      <c r="D314" s="3" t="s">
        <v>422</v>
      </c>
      <c r="E314" s="3">
        <v>2680575</v>
      </c>
      <c r="F314" s="3" t="str">
        <f>VLOOKUP(D314,[1]Hoja1!$A:$K,11,0)</f>
        <v xml:space="preserve">LAB DE APLICACIONES </v>
      </c>
      <c r="G314" s="7"/>
      <c r="H314" s="7"/>
      <c r="I314" s="5"/>
      <c r="J314" s="5">
        <v>20181926644</v>
      </c>
      <c r="K314" s="6" t="s">
        <v>714</v>
      </c>
      <c r="L314" s="5">
        <f>IFERROR(VLOOKUP(CONCATENATE(A314,"S"),[2]Hoja1!$B:$N,5,0)," ")</f>
        <v>27298732357</v>
      </c>
      <c r="M314" s="6" t="str">
        <f>IFERROR(VLOOKUP(CONCATENATE(A314,"S"),[2]Hoja1!$B:$N,6,0)," ")</f>
        <v xml:space="preserve"> HERRERA STELLA MARIS</v>
      </c>
      <c r="N314" s="4" t="str">
        <f t="shared" si="36"/>
        <v>SUPLENTE</v>
      </c>
      <c r="O314" s="17" t="str">
        <f t="shared" si="37"/>
        <v xml:space="preserve"> HERRERA STELLA MARIS</v>
      </c>
      <c r="P314" s="4" t="str">
        <f>IF(O314="vacante","vacante",IFERROR(IF(VLOOKUP(IF((M314)=" ",IF(COUNTBLANK(K314),I314,K314),M314),[3]Hoja1!$B:$I,4,0)="licencia","vacante"," ")," "))</f>
        <v xml:space="preserve"> </v>
      </c>
      <c r="Q314" s="4"/>
      <c r="R314">
        <f t="shared" si="38"/>
        <v>13</v>
      </c>
      <c r="S314" t="str">
        <f t="shared" si="39"/>
        <v>5°5°13</v>
      </c>
    </row>
    <row r="315" spans="1:19" ht="18.75" hidden="1" customHeight="1">
      <c r="A315" s="3" t="str">
        <f t="shared" si="35"/>
        <v>5°5°5525IFTLP5</v>
      </c>
      <c r="B315" s="3" t="s">
        <v>553</v>
      </c>
      <c r="C315" s="3">
        <v>552</v>
      </c>
      <c r="D315" s="3" t="s">
        <v>419</v>
      </c>
      <c r="E315" s="3">
        <v>2680576</v>
      </c>
      <c r="F315" s="3" t="str">
        <f>VLOOKUP(D315,[1]Hoja1!$A:$K,11,0)</f>
        <v xml:space="preserve">LAB DE PROGRAM </v>
      </c>
      <c r="G315" s="7"/>
      <c r="H315" s="7"/>
      <c r="I315" s="5"/>
      <c r="J315" s="5">
        <v>23086757</v>
      </c>
      <c r="K315" s="6" t="s">
        <v>668</v>
      </c>
      <c r="L315" s="5" t="str">
        <f>IFERROR(VLOOKUP(CONCATENATE(A315,"S"),[2]Hoja1!$B:$N,5,0)," ")</f>
        <v xml:space="preserve"> </v>
      </c>
      <c r="M315" s="6" t="str">
        <f>IFERROR(VLOOKUP(CONCATENATE(A315,"S"),[2]Hoja1!$B:$N,6,0)," ")</f>
        <v xml:space="preserve"> </v>
      </c>
      <c r="N315" s="4" t="str">
        <f t="shared" si="36"/>
        <v>PROVISIONAL</v>
      </c>
      <c r="O315" s="17" t="str">
        <f t="shared" si="37"/>
        <v>WITT GERARDO</v>
      </c>
      <c r="P315" s="4" t="str">
        <f>IF(O315="vacante","vacante",IFERROR(IF(VLOOKUP(IF((M315)=" ",IF(COUNTBLANK(K315),I315,K315),M315),[3]Hoja1!$B:$I,4,0)="licencia","vacante"," ")," "))</f>
        <v xml:space="preserve"> </v>
      </c>
      <c r="Q315" s="4"/>
      <c r="R315">
        <f t="shared" si="38"/>
        <v>14</v>
      </c>
      <c r="S315" t="str">
        <f t="shared" si="39"/>
        <v>5°5°14</v>
      </c>
    </row>
    <row r="316" spans="1:19" ht="18.75" hidden="1" customHeight="1">
      <c r="A316" s="3" t="str">
        <f t="shared" si="35"/>
        <v>5°5°5525IFTLH5</v>
      </c>
      <c r="B316" s="3" t="s">
        <v>553</v>
      </c>
      <c r="C316" s="3">
        <v>552</v>
      </c>
      <c r="D316" s="3" t="s">
        <v>420</v>
      </c>
      <c r="E316" s="3">
        <v>2680577</v>
      </c>
      <c r="F316" s="3" t="str">
        <f>VLOOKUP(D316,[1]Hoja1!$A:$K,11,0)</f>
        <v xml:space="preserve">LAB DE HARDWARE </v>
      </c>
      <c r="G316" s="7"/>
      <c r="H316" s="7"/>
      <c r="I316" s="5"/>
      <c r="J316" s="5"/>
      <c r="K316" s="6" t="s">
        <v>40</v>
      </c>
      <c r="L316" s="5" t="str">
        <f>IFERROR(VLOOKUP(CONCATENATE(A316,"S"),[2]Hoja1!$B:$N,5,0)," ")</f>
        <v xml:space="preserve"> </v>
      </c>
      <c r="M316" s="6" t="str">
        <f>IFERROR(VLOOKUP(CONCATENATE(A316,"S"),[2]Hoja1!$B:$N,6,0)," ")</f>
        <v xml:space="preserve"> </v>
      </c>
      <c r="N316" s="4" t="str">
        <f t="shared" si="36"/>
        <v>PROVISIONAL</v>
      </c>
      <c r="O316" s="17" t="str">
        <f t="shared" si="37"/>
        <v xml:space="preserve">FISTER (Serv.Prov)         </v>
      </c>
      <c r="P316" s="4" t="str">
        <f>IF(O316="vacante","vacante",IFERROR(IF(VLOOKUP(IF((M316)=" ",IF(COUNTBLANK(K316),I316,K316),M316),[3]Hoja1!$B:$I,4,0)="licencia","vacante"," ")," "))</f>
        <v xml:space="preserve"> </v>
      </c>
      <c r="Q316" s="4"/>
      <c r="R316">
        <f t="shared" si="38"/>
        <v>15</v>
      </c>
      <c r="S316" t="str">
        <f t="shared" si="39"/>
        <v>5°5°15</v>
      </c>
    </row>
    <row r="317" spans="1:19" ht="18.75" hidden="1" customHeight="1">
      <c r="A317" s="3" t="str">
        <f t="shared" si="35"/>
        <v>5°5°5525IFTLS5</v>
      </c>
      <c r="B317" s="3" t="s">
        <v>553</v>
      </c>
      <c r="C317" s="3">
        <v>552</v>
      </c>
      <c r="D317" s="3" t="s">
        <v>421</v>
      </c>
      <c r="E317" s="3">
        <v>2680578</v>
      </c>
      <c r="F317" s="3" t="str">
        <f>VLOOKUP(D317,[1]Hoja1!$A:$K,11,0)</f>
        <v>LAB DE SIST OPERATIVOS</v>
      </c>
      <c r="G317" s="7"/>
      <c r="H317" s="7"/>
      <c r="I317" s="5"/>
      <c r="J317" s="5">
        <v>20280288641</v>
      </c>
      <c r="K317" s="6" t="s">
        <v>809</v>
      </c>
      <c r="L317" s="5" t="str">
        <f>IFERROR(VLOOKUP(CONCATENATE(A317,"S"),[2]Hoja1!$B:$N,5,0)," ")</f>
        <v xml:space="preserve"> </v>
      </c>
      <c r="M317" s="6" t="str">
        <f>IFERROR(VLOOKUP(CONCATENATE(A317,"S"),[2]Hoja1!$B:$N,6,0)," ")</f>
        <v xml:space="preserve"> </v>
      </c>
      <c r="N317" s="4" t="str">
        <f t="shared" si="36"/>
        <v>PROVISIONAL</v>
      </c>
      <c r="O317" s="17" t="str">
        <f t="shared" si="37"/>
        <v>BERTOSSI MAXIMILIANO H</v>
      </c>
      <c r="P317" s="4" t="str">
        <f>IF(O317="vacante","vacante",IFERROR(IF(VLOOKUP(IF((M317)=" ",IF(COUNTBLANK(K317),I317,K317),M317),[3]Hoja1!$B:$I,4,0)="licencia","vacante"," ")," "))</f>
        <v xml:space="preserve"> </v>
      </c>
      <c r="Q317" s="4"/>
      <c r="R317">
        <f t="shared" si="38"/>
        <v>16</v>
      </c>
      <c r="S317" t="str">
        <f t="shared" si="39"/>
        <v>5°5°16</v>
      </c>
    </row>
    <row r="318" spans="1:19" ht="18.75" hidden="1" customHeight="1">
      <c r="A318" s="3" t="str">
        <f t="shared" si="35"/>
        <v>5°5°5525IFTLA5</v>
      </c>
      <c r="B318" s="3" t="s">
        <v>553</v>
      </c>
      <c r="C318" s="3">
        <v>552</v>
      </c>
      <c r="D318" s="3" t="s">
        <v>422</v>
      </c>
      <c r="E318" s="3">
        <v>2680581</v>
      </c>
      <c r="F318" s="3" t="str">
        <f>VLOOKUP(D318,[1]Hoja1!$A:$K,11,0)</f>
        <v xml:space="preserve">LAB DE APLICACIONES </v>
      </c>
      <c r="G318" s="7"/>
      <c r="H318" s="7"/>
      <c r="I318" s="5"/>
      <c r="J318" s="5">
        <v>29615231</v>
      </c>
      <c r="K318" s="6" t="s">
        <v>423</v>
      </c>
      <c r="L318" s="5" t="str">
        <f>IFERROR(VLOOKUP(CONCATENATE(A318,"S"),[2]Hoja1!$B:$N,5,0)," ")</f>
        <v xml:space="preserve"> </v>
      </c>
      <c r="M318" s="6" t="str">
        <f>IFERROR(VLOOKUP(CONCATENATE(A318,"S"),[2]Hoja1!$B:$N,6,0)," ")</f>
        <v xml:space="preserve"> </v>
      </c>
      <c r="N318" s="4" t="str">
        <f t="shared" si="36"/>
        <v>PROVISIONAL</v>
      </c>
      <c r="O318" s="17" t="str">
        <f t="shared" si="37"/>
        <v xml:space="preserve">BARCENILLA, JAVIER </v>
      </c>
      <c r="P318" s="4" t="str">
        <f>IF(O318="vacante","vacante",IFERROR(IF(VLOOKUP(IF((M318)=" ",IF(COUNTBLANK(K318),I318,K318),M318),[3]Hoja1!$B:$I,4,0)="licencia","vacante"," ")," "))</f>
        <v xml:space="preserve"> </v>
      </c>
      <c r="Q318" s="4"/>
      <c r="R318">
        <f t="shared" si="38"/>
        <v>17</v>
      </c>
      <c r="S318" t="str">
        <f t="shared" si="39"/>
        <v>5°5°17</v>
      </c>
    </row>
    <row r="319" spans="1:19" ht="18.75" hidden="1" customHeight="1">
      <c r="A319" s="3" t="str">
        <f t="shared" si="35"/>
        <v>5°2°5ILITS</v>
      </c>
      <c r="B319" s="3" t="s">
        <v>424</v>
      </c>
      <c r="C319" s="3"/>
      <c r="D319" s="3" t="s">
        <v>406</v>
      </c>
      <c r="E319" s="3"/>
      <c r="F319" s="3" t="str">
        <f>VLOOKUP(D319,[1]Hoja1!$A:$K,11,0)</f>
        <v>LITERATURA</v>
      </c>
      <c r="G319" s="7" t="s">
        <v>425</v>
      </c>
      <c r="H319" s="7"/>
      <c r="I319" s="5"/>
      <c r="J319" s="5"/>
      <c r="K319" s="6"/>
      <c r="L319" s="5"/>
      <c r="M319" s="6"/>
      <c r="N319" s="4" t="str">
        <f t="shared" si="36"/>
        <v>SUPLENTE</v>
      </c>
      <c r="O319" s="17">
        <f t="shared" si="37"/>
        <v>0</v>
      </c>
      <c r="P319" s="4" t="str">
        <f>IF(O319="vacante","vacante",IFERROR(IF(VLOOKUP(IF((M319)=" ",IF(COUNTBLANK(K319),I319,K319),M319),[3]Hoja1!$B:$I,4,0)="licencia","vacante"," ")," "))</f>
        <v xml:space="preserve"> </v>
      </c>
      <c r="Q319" s="4"/>
      <c r="R319">
        <f t="shared" si="38"/>
        <v>1</v>
      </c>
      <c r="S319" t="str">
        <f t="shared" si="39"/>
        <v>5°2°1</v>
      </c>
    </row>
    <row r="320" spans="1:19" ht="18.75" hidden="1" customHeight="1">
      <c r="A320" s="3" t="str">
        <f t="shared" si="35"/>
        <v>5°2°5IINGS</v>
      </c>
      <c r="B320" s="3" t="s">
        <v>424</v>
      </c>
      <c r="C320" s="3"/>
      <c r="D320" s="3" t="s">
        <v>407</v>
      </c>
      <c r="E320" s="3"/>
      <c r="F320" s="3" t="str">
        <f>VLOOKUP(D320,[1]Hoja1!$A:$K,11,0)</f>
        <v>INGLÉS</v>
      </c>
      <c r="G320" s="7" t="s">
        <v>55</v>
      </c>
      <c r="H320" s="7"/>
      <c r="I320" s="5"/>
      <c r="J320" s="5"/>
      <c r="K320" s="6"/>
      <c r="L320" s="5"/>
      <c r="M320" s="6"/>
      <c r="N320" s="4" t="str">
        <f t="shared" si="36"/>
        <v>SUPLENTE</v>
      </c>
      <c r="O320" s="17">
        <f t="shared" si="37"/>
        <v>0</v>
      </c>
      <c r="P320" s="4" t="str">
        <f>IF(O320="vacante","vacante",IFERROR(IF(VLOOKUP(IF((M320)=" ",IF(COUNTBLANK(K320),I320,K320),M320),[3]Hoja1!$B:$I,4,0)="licencia","vacante"," ")," "))</f>
        <v xml:space="preserve"> </v>
      </c>
      <c r="Q320" s="4"/>
      <c r="R320">
        <f t="shared" si="38"/>
        <v>2</v>
      </c>
      <c r="S320" t="str">
        <f t="shared" si="39"/>
        <v>5°2°2</v>
      </c>
    </row>
    <row r="321" spans="1:19" ht="18.75" hidden="1" customHeight="1">
      <c r="A321" s="3" t="str">
        <f t="shared" si="35"/>
        <v>5°2°5IEFIS</v>
      </c>
      <c r="B321" s="3" t="s">
        <v>424</v>
      </c>
      <c r="C321" s="3"/>
      <c r="D321" s="3" t="s">
        <v>408</v>
      </c>
      <c r="E321" s="3"/>
      <c r="F321" s="3" t="str">
        <f>VLOOKUP(D321,[1]Hoja1!$A:$K,11,0)</f>
        <v>EDUCACIÓN FISICA</v>
      </c>
      <c r="G321" s="7">
        <v>26024974</v>
      </c>
      <c r="H321" s="7"/>
      <c r="I321" s="5"/>
      <c r="J321" s="5"/>
      <c r="K321" s="6"/>
      <c r="L321" s="5"/>
      <c r="M321" s="6"/>
      <c r="N321" s="4" t="str">
        <f t="shared" si="36"/>
        <v>SUPLENTE</v>
      </c>
      <c r="O321" s="17">
        <f t="shared" si="37"/>
        <v>0</v>
      </c>
      <c r="P321" s="4" t="str">
        <f>IF(O321="vacante","vacante",IFERROR(IF(VLOOKUP(IF((M321)=" ",IF(COUNTBLANK(K321),I321,K321),M321),[3]Hoja1!$B:$I,4,0)="licencia","vacante"," ")," "))</f>
        <v xml:space="preserve"> </v>
      </c>
      <c r="Q321" s="4" t="s">
        <v>621</v>
      </c>
      <c r="R321">
        <f t="shared" si="38"/>
        <v>3</v>
      </c>
      <c r="S321" t="str">
        <f t="shared" si="39"/>
        <v>5°2°3</v>
      </c>
    </row>
    <row r="322" spans="1:19" ht="18.75" hidden="1" customHeight="1">
      <c r="A322" s="3" t="str">
        <f t="shared" si="35"/>
        <v>5°2°5IPYCS</v>
      </c>
      <c r="B322" s="3" t="s">
        <v>424</v>
      </c>
      <c r="C322" s="3"/>
      <c r="D322" s="3" t="s">
        <v>410</v>
      </c>
      <c r="E322" s="3"/>
      <c r="F322" s="3" t="str">
        <f>VLOOKUP(D322,[1]Hoja1!$A:$K,11,0)</f>
        <v>POLITICA Y CIUDADANIA</v>
      </c>
      <c r="G322" s="7"/>
      <c r="H322" s="7"/>
      <c r="I322" s="5"/>
      <c r="J322" s="5"/>
      <c r="K322" s="6"/>
      <c r="L322" s="5"/>
      <c r="M322" s="6"/>
      <c r="N322" s="4" t="str">
        <f t="shared" si="36"/>
        <v>SUPLENTE</v>
      </c>
      <c r="O322" s="17">
        <f t="shared" si="37"/>
        <v>0</v>
      </c>
      <c r="P322" s="4" t="str">
        <f>IF(O322="vacante","vacante",IFERROR(IF(VLOOKUP(IF((M322)=" ",IF(COUNTBLANK(K322),I322,K322),M322),[3]Hoja1!$B:$I,4,0)="licencia","vacante"," ")," "))</f>
        <v xml:space="preserve"> </v>
      </c>
      <c r="Q322" s="4"/>
      <c r="R322">
        <f t="shared" si="38"/>
        <v>4</v>
      </c>
      <c r="S322" t="str">
        <f t="shared" si="39"/>
        <v>5°2°4</v>
      </c>
    </row>
    <row r="323" spans="1:19" ht="18.75" hidden="1" customHeight="1">
      <c r="A323" s="3" t="str">
        <f t="shared" si="35"/>
        <v>5°2°5IHIS5</v>
      </c>
      <c r="B323" s="3" t="s">
        <v>424</v>
      </c>
      <c r="C323" s="3"/>
      <c r="D323" s="3" t="s">
        <v>413</v>
      </c>
      <c r="E323" s="3"/>
      <c r="F323" s="3" t="str">
        <f>VLOOKUP(D323,[1]Hoja1!$A:$K,11,0)</f>
        <v>HISTORIA</v>
      </c>
      <c r="G323" s="7">
        <v>25142864</v>
      </c>
      <c r="H323" s="7"/>
      <c r="I323" s="5"/>
      <c r="J323" s="5"/>
      <c r="K323" s="6"/>
      <c r="L323" s="5"/>
      <c r="M323" s="6"/>
      <c r="N323" s="4" t="str">
        <f t="shared" si="36"/>
        <v>SUPLENTE</v>
      </c>
      <c r="O323" s="17">
        <f t="shared" si="37"/>
        <v>0</v>
      </c>
      <c r="P323" s="4" t="str">
        <f>IF(O323="vacante","vacante",IFERROR(IF(VLOOKUP(IF((M323)=" ",IF(COUNTBLANK(K323),I323,K323),M323),[3]Hoja1!$B:$I,4,0)="licencia","vacante"," ")," "))</f>
        <v xml:space="preserve"> </v>
      </c>
      <c r="Q323" s="4"/>
      <c r="R323">
        <f t="shared" si="38"/>
        <v>5</v>
      </c>
      <c r="S323" t="str">
        <f t="shared" si="39"/>
        <v>5°2°5</v>
      </c>
    </row>
    <row r="324" spans="1:19" ht="18.75" hidden="1" customHeight="1">
      <c r="A324" s="3" t="str">
        <f t="shared" si="35"/>
        <v>5°2°5IGEOS5</v>
      </c>
      <c r="B324" s="3" t="s">
        <v>424</v>
      </c>
      <c r="C324" s="3"/>
      <c r="D324" s="3" t="s">
        <v>414</v>
      </c>
      <c r="E324" s="3"/>
      <c r="F324" s="3" t="str">
        <f>VLOOKUP(D324,[1]Hoja1!$A:$K,11,0)</f>
        <v>GEOGRAFIA</v>
      </c>
      <c r="G324" s="7">
        <v>28029112</v>
      </c>
      <c r="H324" s="7"/>
      <c r="I324" s="5"/>
      <c r="J324" s="5"/>
      <c r="K324" s="6"/>
      <c r="L324" s="5"/>
      <c r="M324" s="6"/>
      <c r="N324" s="4" t="str">
        <f t="shared" si="36"/>
        <v>SUPLENTE</v>
      </c>
      <c r="O324" s="17">
        <f t="shared" si="37"/>
        <v>0</v>
      </c>
      <c r="P324" s="4" t="str">
        <f>IF(O324="vacante","vacante",IFERROR(IF(VLOOKUP(IF((M324)=" ",IF(COUNTBLANK(K324),I324,K324),M324),[3]Hoja1!$B:$I,4,0)="licencia","vacante"," ")," "))</f>
        <v xml:space="preserve"> </v>
      </c>
      <c r="Q324" s="4"/>
      <c r="R324">
        <f t="shared" si="38"/>
        <v>6</v>
      </c>
      <c r="S324" t="str">
        <f t="shared" si="39"/>
        <v>5°2°6</v>
      </c>
    </row>
    <row r="325" spans="1:19" ht="18.75" hidden="1" customHeight="1">
      <c r="A325" s="3" t="str">
        <f t="shared" si="35"/>
        <v>5°2°5IANMAT</v>
      </c>
      <c r="B325" s="3" t="s">
        <v>424</v>
      </c>
      <c r="C325" s="3"/>
      <c r="D325" s="3" t="s">
        <v>415</v>
      </c>
      <c r="E325" s="3"/>
      <c r="F325" s="3" t="str">
        <f>VLOOKUP(D325,[1]Hoja1!$A:$K,11,0)</f>
        <v>ANALISIS MATEMATICO</v>
      </c>
      <c r="G325" s="7">
        <v>23944999</v>
      </c>
      <c r="H325" s="7"/>
      <c r="I325" s="5"/>
      <c r="J325" s="5"/>
      <c r="K325" s="6"/>
      <c r="L325" s="5"/>
      <c r="M325" s="6"/>
      <c r="N325" s="4" t="str">
        <f t="shared" si="36"/>
        <v>SUPLENTE</v>
      </c>
      <c r="O325" s="17">
        <f t="shared" si="37"/>
        <v>0</v>
      </c>
      <c r="P325" s="4" t="str">
        <f>IF(O325="vacante","vacante",IFERROR(IF(VLOOKUP(IF((M325)=" ",IF(COUNTBLANK(K325),I325,K325),M325),[3]Hoja1!$B:$I,4,0)="licencia","vacante"," ")," "))</f>
        <v xml:space="preserve"> </v>
      </c>
      <c r="Q325" s="4"/>
      <c r="R325">
        <f t="shared" si="38"/>
        <v>7</v>
      </c>
      <c r="S325" t="str">
        <f t="shared" si="39"/>
        <v>5°2°7</v>
      </c>
    </row>
    <row r="326" spans="1:19" ht="18.75" hidden="1" customHeight="1">
      <c r="A326" s="3" t="str">
        <f t="shared" si="35"/>
        <v>5°2°5ISIDI4</v>
      </c>
      <c r="B326" s="3" t="s">
        <v>424</v>
      </c>
      <c r="C326" s="3"/>
      <c r="D326" s="3" t="s">
        <v>416</v>
      </c>
      <c r="E326" s="3"/>
      <c r="F326" s="3" t="str">
        <f>VLOOKUP(D326,[1]Hoja1!$A:$K,11,0)</f>
        <v>SISTEMA DIGITAL</v>
      </c>
      <c r="G326" s="7">
        <v>28440300</v>
      </c>
      <c r="H326" s="7"/>
      <c r="I326" s="5"/>
      <c r="J326" s="5"/>
      <c r="K326" s="6"/>
      <c r="L326" s="5"/>
      <c r="M326" s="6"/>
      <c r="N326" s="4" t="str">
        <f t="shared" si="36"/>
        <v>SUPLENTE</v>
      </c>
      <c r="O326" s="17">
        <f t="shared" si="37"/>
        <v>0</v>
      </c>
      <c r="P326" s="4" t="str">
        <f>IF(O326="vacante","vacante",IFERROR(IF(VLOOKUP(IF((M326)=" ",IF(COUNTBLANK(K326),I326,K326),M326),[3]Hoja1!$B:$I,4,0)="licencia","vacante"," ")," "))</f>
        <v xml:space="preserve"> </v>
      </c>
      <c r="Q326" s="4"/>
      <c r="R326">
        <f t="shared" si="38"/>
        <v>8</v>
      </c>
      <c r="S326" t="str">
        <f t="shared" si="39"/>
        <v>5°2°8</v>
      </c>
    </row>
    <row r="327" spans="1:19" ht="18.75" hidden="1" customHeight="1">
      <c r="A327" s="3" t="str">
        <f t="shared" si="35"/>
        <v>5°2°5ITELEI</v>
      </c>
      <c r="B327" s="3" t="s">
        <v>424</v>
      </c>
      <c r="C327" s="3"/>
      <c r="D327" s="3" t="s">
        <v>418</v>
      </c>
      <c r="E327" s="3"/>
      <c r="F327" s="3" t="str">
        <f>VLOOKUP(D327,[1]Hoja1!$A:$K,11,0)</f>
        <v>TELEINFORMATICA</v>
      </c>
      <c r="G327" s="7"/>
      <c r="H327" s="7"/>
      <c r="I327" s="5"/>
      <c r="J327" s="5"/>
      <c r="K327" s="6"/>
      <c r="L327" s="5"/>
      <c r="M327" s="6"/>
      <c r="N327" s="4" t="str">
        <f t="shared" si="36"/>
        <v>SUPLENTE</v>
      </c>
      <c r="O327" s="17">
        <f t="shared" si="37"/>
        <v>0</v>
      </c>
      <c r="P327" s="4" t="str">
        <f>IF(O327="vacante","vacante",IFERROR(IF(VLOOKUP(IF((M327)=" ",IF(COUNTBLANK(K327),I327,K327),M327),[3]Hoja1!$B:$I,4,0)="licencia","vacante"," ")," "))</f>
        <v xml:space="preserve"> </v>
      </c>
      <c r="Q327" s="4"/>
      <c r="R327">
        <f t="shared" si="38"/>
        <v>9</v>
      </c>
      <c r="S327" t="str">
        <f t="shared" si="39"/>
        <v>5°2°9</v>
      </c>
    </row>
    <row r="328" spans="1:19" ht="18.75" hidden="1" customHeight="1">
      <c r="A328" s="3" t="str">
        <f t="shared" si="35"/>
        <v>5°2°5215IFTLP5</v>
      </c>
      <c r="B328" s="3" t="s">
        <v>424</v>
      </c>
      <c r="C328" s="3">
        <v>521</v>
      </c>
      <c r="D328" s="3" t="s">
        <v>419</v>
      </c>
      <c r="E328" s="3"/>
      <c r="F328" s="3" t="str">
        <f>VLOOKUP(D328,[1]Hoja1!$A:$K,11,0)</f>
        <v xml:space="preserve">LAB DE PROGRAM </v>
      </c>
      <c r="G328" s="7" t="s">
        <v>301</v>
      </c>
      <c r="H328" s="7"/>
      <c r="I328" s="5"/>
      <c r="J328" s="5"/>
      <c r="K328" s="6"/>
      <c r="L328" s="5"/>
      <c r="M328" s="6"/>
      <c r="N328" s="4" t="str">
        <f t="shared" si="36"/>
        <v>SUPLENTE</v>
      </c>
      <c r="O328" s="17">
        <f t="shared" si="37"/>
        <v>0</v>
      </c>
      <c r="P328" s="4" t="str">
        <f>IF(O328="vacante","vacante",IFERROR(IF(VLOOKUP(IF((M328)=" ",IF(COUNTBLANK(K328),I328,K328),M328),[3]Hoja1!$B:$I,4,0)="licencia","vacante"," ")," "))</f>
        <v xml:space="preserve"> </v>
      </c>
      <c r="Q328" s="4"/>
      <c r="R328">
        <f t="shared" si="38"/>
        <v>10</v>
      </c>
      <c r="S328" t="str">
        <f t="shared" si="39"/>
        <v>5°2°10</v>
      </c>
    </row>
    <row r="329" spans="1:19" ht="18.75" hidden="1" customHeight="1">
      <c r="A329" s="3" t="str">
        <f t="shared" si="35"/>
        <v>5°2°5215IFTLH5</v>
      </c>
      <c r="B329" s="3" t="s">
        <v>424</v>
      </c>
      <c r="C329" s="3">
        <v>521</v>
      </c>
      <c r="D329" s="3" t="s">
        <v>420</v>
      </c>
      <c r="E329" s="3"/>
      <c r="F329" s="3" t="str">
        <f>VLOOKUP(D329,[1]Hoja1!$A:$K,11,0)</f>
        <v xml:space="preserve">LAB DE HARDWARE </v>
      </c>
      <c r="G329" s="7">
        <v>16238400</v>
      </c>
      <c r="H329" s="7"/>
      <c r="I329" s="5"/>
      <c r="J329" s="5"/>
      <c r="K329" s="6"/>
      <c r="L329" s="5"/>
      <c r="M329" s="6"/>
      <c r="N329" s="4" t="str">
        <f t="shared" si="36"/>
        <v>SUPLENTE</v>
      </c>
      <c r="O329" s="17">
        <f t="shared" si="37"/>
        <v>0</v>
      </c>
      <c r="P329" s="4" t="str">
        <f>IF(O329="vacante","vacante",IFERROR(IF(VLOOKUP(IF((M329)=" ",IF(COUNTBLANK(K329),I329,K329),M329),[3]Hoja1!$B:$I,4,0)="licencia","vacante"," ")," "))</f>
        <v xml:space="preserve"> </v>
      </c>
      <c r="Q329" s="4"/>
      <c r="R329">
        <f t="shared" si="38"/>
        <v>11</v>
      </c>
      <c r="S329" t="str">
        <f t="shared" si="39"/>
        <v>5°2°11</v>
      </c>
    </row>
    <row r="330" spans="1:19" ht="18.75" hidden="1" customHeight="1">
      <c r="A330" s="3" t="str">
        <f t="shared" si="35"/>
        <v>5°2°5215IFTLS5</v>
      </c>
      <c r="B330" s="3" t="s">
        <v>424</v>
      </c>
      <c r="C330" s="3">
        <v>521</v>
      </c>
      <c r="D330" s="3" t="s">
        <v>421</v>
      </c>
      <c r="E330" s="3"/>
      <c r="F330" s="3" t="str">
        <f>VLOOKUP(D330,[1]Hoja1!$A:$K,11,0)</f>
        <v>LAB DE SIST OPERATIVOS</v>
      </c>
      <c r="G330" s="7">
        <v>16238400</v>
      </c>
      <c r="H330" s="7"/>
      <c r="I330" s="5"/>
      <c r="J330" s="5"/>
      <c r="K330" s="6"/>
      <c r="L330" s="5"/>
      <c r="M330" s="6"/>
      <c r="N330" s="4" t="str">
        <f t="shared" si="36"/>
        <v>SUPLENTE</v>
      </c>
      <c r="O330" s="17">
        <f t="shared" si="37"/>
        <v>0</v>
      </c>
      <c r="P330" s="4" t="str">
        <f>IF(O330="vacante","vacante",IFERROR(IF(VLOOKUP(IF((M330)=" ",IF(COUNTBLANK(K330),I330,K330),M330),[3]Hoja1!$B:$I,4,0)="licencia","vacante"," ")," "))</f>
        <v xml:space="preserve"> </v>
      </c>
      <c r="Q330" s="4"/>
      <c r="R330">
        <f t="shared" si="38"/>
        <v>12</v>
      </c>
      <c r="S330" t="str">
        <f t="shared" si="39"/>
        <v>5°2°12</v>
      </c>
    </row>
    <row r="331" spans="1:19" ht="18.75" hidden="1" customHeight="1">
      <c r="A331" s="3" t="str">
        <f t="shared" si="35"/>
        <v>5°2°5215IFTLA5</v>
      </c>
      <c r="B331" s="3" t="s">
        <v>424</v>
      </c>
      <c r="C331" s="3">
        <v>521</v>
      </c>
      <c r="D331" s="3" t="s">
        <v>422</v>
      </c>
      <c r="E331" s="3"/>
      <c r="F331" s="3" t="str">
        <f>VLOOKUP(D331,[1]Hoja1!$A:$K,11,0)</f>
        <v xml:space="preserve">LAB DE APLICACIONES </v>
      </c>
      <c r="G331" s="7">
        <v>16019055</v>
      </c>
      <c r="H331" s="7"/>
      <c r="I331" s="5"/>
      <c r="J331" s="5"/>
      <c r="K331" s="6"/>
      <c r="L331" s="5"/>
      <c r="M331" s="6"/>
      <c r="N331" s="4" t="str">
        <f t="shared" si="36"/>
        <v>SUPLENTE</v>
      </c>
      <c r="O331" s="17">
        <f t="shared" si="37"/>
        <v>0</v>
      </c>
      <c r="P331" s="4" t="str">
        <f>IF(O331="vacante","vacante",IFERROR(IF(VLOOKUP(IF((M331)=" ",IF(COUNTBLANK(K331),I331,K331),M331),[3]Hoja1!$B:$I,4,0)="licencia","vacante"," ")," "))</f>
        <v xml:space="preserve"> </v>
      </c>
      <c r="Q331" s="4"/>
      <c r="R331">
        <f t="shared" si="38"/>
        <v>13</v>
      </c>
      <c r="S331" t="str">
        <f t="shared" si="39"/>
        <v>5°2°13</v>
      </c>
    </row>
    <row r="332" spans="1:19" ht="18.75" hidden="1" customHeight="1">
      <c r="A332" s="3" t="str">
        <f t="shared" ref="A332:A363" si="40">CONCATENATE(B332,C332,D332)</f>
        <v>5°2°5225IFTLP5</v>
      </c>
      <c r="B332" s="3" t="s">
        <v>424</v>
      </c>
      <c r="C332" s="3">
        <v>522</v>
      </c>
      <c r="D332" s="3" t="s">
        <v>419</v>
      </c>
      <c r="E332" s="3"/>
      <c r="F332" s="3" t="str">
        <f>VLOOKUP(D332,[1]Hoja1!$A:$K,11,0)</f>
        <v xml:space="preserve">LAB DE PROGRAM </v>
      </c>
      <c r="G332" s="7">
        <v>24294162</v>
      </c>
      <c r="H332" s="7"/>
      <c r="I332" s="5"/>
      <c r="J332" s="5"/>
      <c r="K332" s="6"/>
      <c r="L332" s="5"/>
      <c r="M332" s="6"/>
      <c r="N332" s="4" t="str">
        <f t="shared" ref="N332:N363" si="41">IF((M332)=" ",IF(COUNTBLANK(K332),"TITULAR","PROVISIONAL"),"SUPLENTE")</f>
        <v>SUPLENTE</v>
      </c>
      <c r="O332" s="17">
        <f t="shared" ref="O332:O363" si="42">IF((M332)=" ",IF(COUNTBLANK(K332),I332,K332),M332)</f>
        <v>0</v>
      </c>
      <c r="P332" s="4" t="str">
        <f>IF(O332="vacante","vacante",IFERROR(IF(VLOOKUP(IF((M332)=" ",IF(COUNTBLANK(K332),I332,K332),M332),[3]Hoja1!$B:$I,4,0)="licencia","vacante"," ")," "))</f>
        <v xml:space="preserve"> </v>
      </c>
      <c r="Q332" s="4"/>
      <c r="R332">
        <f t="shared" ref="R332:R363" si="43">IF(B332=B331,R331+1,1)</f>
        <v>14</v>
      </c>
      <c r="S332" t="str">
        <f t="shared" ref="S332:S363" si="44">CONCATENATE(B332,R332)</f>
        <v>5°2°14</v>
      </c>
    </row>
    <row r="333" spans="1:19" ht="18.75" hidden="1" customHeight="1">
      <c r="A333" s="3" t="str">
        <f t="shared" si="40"/>
        <v>5°2°5225IFTLH5</v>
      </c>
      <c r="B333" s="3" t="s">
        <v>424</v>
      </c>
      <c r="C333" s="3">
        <v>522</v>
      </c>
      <c r="D333" s="3" t="s">
        <v>420</v>
      </c>
      <c r="E333" s="3"/>
      <c r="F333" s="3" t="str">
        <f>VLOOKUP(D333,[1]Hoja1!$A:$K,11,0)</f>
        <v xml:space="preserve">LAB DE HARDWARE </v>
      </c>
      <c r="G333" s="7"/>
      <c r="H333" s="7"/>
      <c r="I333" s="5"/>
      <c r="J333" s="5"/>
      <c r="K333" s="6"/>
      <c r="L333" s="5"/>
      <c r="M333" s="6"/>
      <c r="N333" s="4" t="str">
        <f t="shared" si="41"/>
        <v>SUPLENTE</v>
      </c>
      <c r="O333" s="17">
        <f t="shared" si="42"/>
        <v>0</v>
      </c>
      <c r="P333" s="4" t="str">
        <f>IF(O333="vacante","vacante",IFERROR(IF(VLOOKUP(IF((M333)=" ",IF(COUNTBLANK(K333),I333,K333),M333),[3]Hoja1!$B:$I,4,0)="licencia","vacante"," ")," "))</f>
        <v xml:space="preserve"> </v>
      </c>
      <c r="Q333" s="4"/>
      <c r="R333">
        <f t="shared" si="43"/>
        <v>15</v>
      </c>
      <c r="S333" t="str">
        <f t="shared" si="44"/>
        <v>5°2°15</v>
      </c>
    </row>
    <row r="334" spans="1:19" ht="18.75" hidden="1" customHeight="1">
      <c r="A334" s="3" t="str">
        <f t="shared" si="40"/>
        <v>5°2°5225IFTLS5</v>
      </c>
      <c r="B334" s="3" t="s">
        <v>424</v>
      </c>
      <c r="C334" s="3">
        <v>522</v>
      </c>
      <c r="D334" s="3" t="s">
        <v>421</v>
      </c>
      <c r="E334" s="3"/>
      <c r="F334" s="3" t="str">
        <f>VLOOKUP(D334,[1]Hoja1!$A:$K,11,0)</f>
        <v>LAB DE SIST OPERATIVOS</v>
      </c>
      <c r="G334" s="7"/>
      <c r="H334" s="7"/>
      <c r="I334" s="5"/>
      <c r="J334" s="5"/>
      <c r="K334" s="6"/>
      <c r="L334" s="5"/>
      <c r="M334" s="6"/>
      <c r="N334" s="4" t="str">
        <f t="shared" si="41"/>
        <v>SUPLENTE</v>
      </c>
      <c r="O334" s="17">
        <f t="shared" si="42"/>
        <v>0</v>
      </c>
      <c r="P334" s="4" t="str">
        <f>IF(O334="vacante","vacante",IFERROR(IF(VLOOKUP(IF((M334)=" ",IF(COUNTBLANK(K334),I334,K334),M334),[3]Hoja1!$B:$I,4,0)="licencia","vacante"," ")," "))</f>
        <v xml:space="preserve"> </v>
      </c>
      <c r="Q334" s="4"/>
      <c r="R334">
        <f t="shared" si="43"/>
        <v>16</v>
      </c>
      <c r="S334" t="str">
        <f t="shared" si="44"/>
        <v>5°2°16</v>
      </c>
    </row>
    <row r="335" spans="1:19" ht="18.75" hidden="1" customHeight="1">
      <c r="A335" s="3" t="str">
        <f t="shared" si="40"/>
        <v>5°2°5225IFTLA5</v>
      </c>
      <c r="B335" s="3" t="s">
        <v>424</v>
      </c>
      <c r="C335" s="3">
        <v>522</v>
      </c>
      <c r="D335" s="3" t="s">
        <v>422</v>
      </c>
      <c r="E335" s="3"/>
      <c r="F335" s="3" t="str">
        <f>VLOOKUP(D335,[1]Hoja1!$A:$K,11,0)</f>
        <v xml:space="preserve">LAB DE APLICACIONES </v>
      </c>
      <c r="G335" s="7" t="s">
        <v>178</v>
      </c>
      <c r="H335" s="7"/>
      <c r="I335" s="5"/>
      <c r="J335" s="5"/>
      <c r="K335" s="6"/>
      <c r="L335" s="5"/>
      <c r="M335" s="6"/>
      <c r="N335" s="4" t="str">
        <f t="shared" si="41"/>
        <v>SUPLENTE</v>
      </c>
      <c r="O335" s="17">
        <f t="shared" si="42"/>
        <v>0</v>
      </c>
      <c r="P335" s="4" t="str">
        <f>IF(O335="vacante","vacante",IFERROR(IF(VLOOKUP(IF((M335)=" ",IF(COUNTBLANK(K335),I335,K335),M335),[3]Hoja1!$B:$I,4,0)="licencia","vacante"," ")," "))</f>
        <v xml:space="preserve"> </v>
      </c>
      <c r="Q335" s="4"/>
      <c r="R335">
        <f t="shared" si="43"/>
        <v>17</v>
      </c>
      <c r="S335" t="str">
        <f t="shared" si="44"/>
        <v>5°2°17</v>
      </c>
    </row>
    <row r="336" spans="1:19" ht="18.75" hidden="1" customHeight="1">
      <c r="A336" s="3" t="str">
        <f t="shared" si="40"/>
        <v>5°3°5ELITS</v>
      </c>
      <c r="B336" s="3" t="s">
        <v>428</v>
      </c>
      <c r="C336" s="3"/>
      <c r="D336" s="3" t="s">
        <v>429</v>
      </c>
      <c r="E336" s="3">
        <v>2355520</v>
      </c>
      <c r="F336" s="3" t="str">
        <f>VLOOKUP(D336,[1]Hoja1!$A:$K,11,0)</f>
        <v>LITERATURA</v>
      </c>
      <c r="G336" s="7" t="s">
        <v>694</v>
      </c>
      <c r="H336" s="7" t="s">
        <v>683</v>
      </c>
      <c r="I336" s="5" t="s">
        <v>693</v>
      </c>
      <c r="J336" s="5"/>
      <c r="K336" s="6"/>
      <c r="L336" s="5" t="str">
        <f>IFERROR(VLOOKUP(CONCATENATE(A336,"S"),[2]Hoja1!$B:$N,5,0)," ")</f>
        <v xml:space="preserve"> </v>
      </c>
      <c r="M336" s="6" t="str">
        <f>IFERROR(VLOOKUP(CONCATENATE(A336,"S"),[2]Hoja1!$B:$N,6,0)," ")</f>
        <v xml:space="preserve"> </v>
      </c>
      <c r="N336" s="4" t="str">
        <f t="shared" si="41"/>
        <v>TITULAR</v>
      </c>
      <c r="O336" s="17" t="str">
        <f t="shared" si="42"/>
        <v>SORIA, HERNAN MAXIMILIANO</v>
      </c>
      <c r="P336" s="4" t="str">
        <f>IF(O336="vacante","vacante",IFERROR(IF(VLOOKUP(IF((M336)=" ",IF(COUNTBLANK(K336),I336,K336),M336),[3]Hoja1!$B:$I,4,0)="licencia","vacante"," ")," "))</f>
        <v xml:space="preserve"> </v>
      </c>
      <c r="Q336" s="4"/>
      <c r="R336">
        <f t="shared" si="43"/>
        <v>1</v>
      </c>
      <c r="S336" t="str">
        <f t="shared" si="44"/>
        <v>5°3°1</v>
      </c>
    </row>
    <row r="337" spans="1:19" ht="18.75" hidden="1" customHeight="1">
      <c r="A337" s="3" t="str">
        <f t="shared" si="40"/>
        <v>5°3°5EINGS</v>
      </c>
      <c r="B337" s="3" t="s">
        <v>428</v>
      </c>
      <c r="C337" s="3"/>
      <c r="D337" s="3" t="s">
        <v>430</v>
      </c>
      <c r="E337" s="3">
        <v>2355524</v>
      </c>
      <c r="F337" s="3" t="str">
        <f>VLOOKUP(D337,[1]Hoja1!$A:$K,11,0)</f>
        <v>INGLÉS</v>
      </c>
      <c r="G337" s="7">
        <v>26157162</v>
      </c>
      <c r="H337" s="7"/>
      <c r="I337" s="5" t="s">
        <v>95</v>
      </c>
      <c r="J337" s="5"/>
      <c r="K337" s="6"/>
      <c r="L337" s="5">
        <f>IFERROR(VLOOKUP(CONCATENATE(A337,"S"),[2]Hoja1!$B:$N,5,0)," ")</f>
        <v>27293688988</v>
      </c>
      <c r="M337" s="6" t="str">
        <f>IFERROR(VLOOKUP(CONCATENATE(A337,"S"),[2]Hoja1!$B:$N,6,0)," ")</f>
        <v xml:space="preserve">BAIMA KUNTZ MARCELA PAOLA  </v>
      </c>
      <c r="N337" s="4" t="str">
        <f t="shared" si="41"/>
        <v>SUPLENTE</v>
      </c>
      <c r="O337" s="17" t="str">
        <f t="shared" si="42"/>
        <v xml:space="preserve">BAIMA KUNTZ MARCELA PAOLA  </v>
      </c>
      <c r="P337" s="4" t="str">
        <f>IF(O337="vacante","vacante",IFERROR(IF(VLOOKUP(IF((M337)=" ",IF(COUNTBLANK(K337),I337,K337),M337),[3]Hoja1!$B:$I,4,0)="licencia","vacante"," ")," "))</f>
        <v xml:space="preserve"> </v>
      </c>
      <c r="Q337" s="4"/>
      <c r="R337">
        <f t="shared" si="43"/>
        <v>2</v>
      </c>
      <c r="S337" t="str">
        <f t="shared" si="44"/>
        <v>5°3°2</v>
      </c>
    </row>
    <row r="338" spans="1:19" ht="18.75" hidden="1" customHeight="1">
      <c r="A338" s="3" t="str">
        <f t="shared" si="40"/>
        <v>5°3°5EEFIS</v>
      </c>
      <c r="B338" s="3" t="s">
        <v>428</v>
      </c>
      <c r="C338" s="3"/>
      <c r="D338" s="3" t="s">
        <v>431</v>
      </c>
      <c r="E338" s="3">
        <v>2355527</v>
      </c>
      <c r="F338" s="3" t="str">
        <f>VLOOKUP(D338,[1]Hoja1!$A:$K,11,0)</f>
        <v>EDUCACIÓN FISICA</v>
      </c>
      <c r="G338" s="7">
        <v>20422900</v>
      </c>
      <c r="H338" s="7" t="s">
        <v>432</v>
      </c>
      <c r="I338" s="5" t="s">
        <v>229</v>
      </c>
      <c r="J338" s="5"/>
      <c r="K338" s="6"/>
      <c r="L338" s="5" t="str">
        <f>IFERROR(VLOOKUP(CONCATENATE(A338,"S"),[2]Hoja1!$B:$N,5,0)," ")</f>
        <v xml:space="preserve"> </v>
      </c>
      <c r="M338" s="6" t="str">
        <f>IFERROR(VLOOKUP(CONCATENATE(A338,"S"),[2]Hoja1!$B:$N,6,0)," ")</f>
        <v xml:space="preserve"> </v>
      </c>
      <c r="N338" s="4" t="str">
        <f t="shared" si="41"/>
        <v>TITULAR</v>
      </c>
      <c r="O338" s="17" t="str">
        <f t="shared" si="42"/>
        <v>SANCHEZ CARLOS</v>
      </c>
      <c r="P338" s="4" t="str">
        <f>IF(O338="vacante","vacante",IFERROR(IF(VLOOKUP(IF((M338)=" ",IF(COUNTBLANK(K338),I338,K338),M338),[3]Hoja1!$B:$I,4,0)="licencia","vacante"," ")," "))</f>
        <v xml:space="preserve"> </v>
      </c>
      <c r="Q338" s="4"/>
      <c r="R338">
        <f t="shared" si="43"/>
        <v>3</v>
      </c>
      <c r="S338" t="str">
        <f t="shared" si="44"/>
        <v>5°3°3</v>
      </c>
    </row>
    <row r="339" spans="1:19" ht="18.75" hidden="1" customHeight="1">
      <c r="A339" s="3" t="str">
        <f t="shared" si="40"/>
        <v>5°3°5EPYCS</v>
      </c>
      <c r="B339" s="3" t="s">
        <v>428</v>
      </c>
      <c r="C339" s="3"/>
      <c r="D339" s="3" t="s">
        <v>433</v>
      </c>
      <c r="E339" s="3">
        <v>2355532</v>
      </c>
      <c r="F339" s="3" t="str">
        <f>VLOOKUP(D339,[1]Hoja1!$A:$K,11,0)</f>
        <v>POLITICA Y CIUDADANIA</v>
      </c>
      <c r="G339" s="7"/>
      <c r="H339" s="7"/>
      <c r="I339" s="5"/>
      <c r="J339" s="5">
        <v>20251428647</v>
      </c>
      <c r="K339" s="6" t="s">
        <v>400</v>
      </c>
      <c r="L339" s="5" t="str">
        <f>IFERROR(VLOOKUP(CONCATENATE(A339,"S"),[2]Hoja1!$B:$N,5,0)," ")</f>
        <v xml:space="preserve"> </v>
      </c>
      <c r="M339" s="6" t="str">
        <f>IFERROR(VLOOKUP(CONCATENATE(A339,"S"),[2]Hoja1!$B:$N,6,0)," ")</f>
        <v xml:space="preserve"> </v>
      </c>
      <c r="N339" s="4" t="str">
        <f t="shared" si="41"/>
        <v>PROVISIONAL</v>
      </c>
      <c r="O339" s="17" t="str">
        <f t="shared" si="42"/>
        <v xml:space="preserve">PALACIOS GUSTAVO </v>
      </c>
      <c r="P339" s="4" t="str">
        <f>IF(O339="vacante","vacante",IFERROR(IF(VLOOKUP(IF((M339)=" ",IF(COUNTBLANK(K339),I339,K339),M339),[3]Hoja1!$B:$I,4,0)="licencia","vacante"," ")," "))</f>
        <v xml:space="preserve"> </v>
      </c>
      <c r="Q339" s="4"/>
      <c r="R339">
        <f t="shared" si="43"/>
        <v>4</v>
      </c>
      <c r="S339" t="str">
        <f t="shared" si="44"/>
        <v>5°3°4</v>
      </c>
    </row>
    <row r="340" spans="1:19" ht="18.75" hidden="1" customHeight="1">
      <c r="A340" s="3" t="str">
        <f t="shared" si="40"/>
        <v>5°3°5EHIS5</v>
      </c>
      <c r="B340" s="3" t="s">
        <v>428</v>
      </c>
      <c r="C340" s="3"/>
      <c r="D340" s="3" t="s">
        <v>434</v>
      </c>
      <c r="E340" s="3">
        <v>2355535</v>
      </c>
      <c r="F340" s="3" t="str">
        <f>VLOOKUP(D340,[1]Hoja1!$A:$K,11,0)</f>
        <v>HISTORIA</v>
      </c>
      <c r="G340" s="7"/>
      <c r="H340" s="7" t="s">
        <v>436</v>
      </c>
      <c r="I340" s="5" t="s">
        <v>577</v>
      </c>
      <c r="J340" s="5"/>
      <c r="K340" s="6"/>
      <c r="L340" s="5" t="str">
        <f>IFERROR(VLOOKUP(CONCATENATE(A340,"S"),[2]Hoja1!$B:$N,5,0)," ")</f>
        <v xml:space="preserve"> </v>
      </c>
      <c r="M340" s="6" t="str">
        <f>IFERROR(VLOOKUP(CONCATENATE(A340,"S"),[2]Hoja1!$B:$N,6,0)," ")</f>
        <v xml:space="preserve"> </v>
      </c>
      <c r="N340" s="4" t="str">
        <f t="shared" si="41"/>
        <v>TITULAR</v>
      </c>
      <c r="O340" s="17" t="str">
        <f t="shared" si="42"/>
        <v>JUAREZ NORMA</v>
      </c>
      <c r="P340" s="4" t="str">
        <f>IF(O340="vacante","vacante",IFERROR(IF(VLOOKUP(IF((M340)=" ",IF(COUNTBLANK(K340),I340,K340),M340),[3]Hoja1!$B:$I,4,0)="licencia","vacante"," ")," "))</f>
        <v xml:space="preserve"> </v>
      </c>
      <c r="Q340" s="4"/>
      <c r="R340">
        <f t="shared" si="43"/>
        <v>5</v>
      </c>
      <c r="S340" t="str">
        <f t="shared" si="44"/>
        <v>5°3°5</v>
      </c>
    </row>
    <row r="341" spans="1:19" ht="18.75" hidden="1" customHeight="1">
      <c r="A341" s="3" t="str">
        <f t="shared" si="40"/>
        <v>5°3°5EGEOS5</v>
      </c>
      <c r="B341" s="3" t="s">
        <v>428</v>
      </c>
      <c r="C341" s="3"/>
      <c r="D341" s="3" t="s">
        <v>435</v>
      </c>
      <c r="E341" s="3">
        <v>2355540</v>
      </c>
      <c r="F341" s="3" t="str">
        <f>VLOOKUP(D341,[1]Hoja1!$A:$K,11,0)</f>
        <v>GEOGRAFIA</v>
      </c>
      <c r="G341" s="7" t="s">
        <v>290</v>
      </c>
      <c r="H341" s="7" t="s">
        <v>436</v>
      </c>
      <c r="I341" s="5" t="s">
        <v>292</v>
      </c>
      <c r="J341" s="5"/>
      <c r="K341" s="6"/>
      <c r="L341" s="5">
        <f>IFERROR(VLOOKUP(CONCATENATE(A341,"S"),[2]Hoja1!$B:$N,5,0)," ")</f>
        <v>20274525917</v>
      </c>
      <c r="M341" s="6" t="str">
        <f>IFERROR(VLOOKUP(CONCATENATE(A341,"S"),[2]Hoja1!$B:$N,6,0)," ")</f>
        <v xml:space="preserve"> DIAZ MARCOS</v>
      </c>
      <c r="N341" s="4" t="str">
        <f t="shared" si="41"/>
        <v>SUPLENTE</v>
      </c>
      <c r="O341" s="17" t="str">
        <f t="shared" si="42"/>
        <v xml:space="preserve"> DIAZ MARCOS</v>
      </c>
      <c r="P341" s="4" t="str">
        <f>IF(O341="vacante","vacante",IFERROR(IF(VLOOKUP(IF((M341)=" ",IF(COUNTBLANK(K341),I341,K341),M341),[3]Hoja1!$B:$I,4,0)="licencia","vacante"," ")," "))</f>
        <v xml:space="preserve"> </v>
      </c>
      <c r="Q341" s="4"/>
      <c r="R341">
        <f t="shared" si="43"/>
        <v>6</v>
      </c>
      <c r="S341" t="str">
        <f t="shared" si="44"/>
        <v>5°3°6</v>
      </c>
    </row>
    <row r="342" spans="1:19" ht="18.75" hidden="1" customHeight="1">
      <c r="A342" s="3" t="str">
        <f t="shared" si="40"/>
        <v>5°3°5EANMAT</v>
      </c>
      <c r="B342" s="3" t="s">
        <v>428</v>
      </c>
      <c r="C342" s="3"/>
      <c r="D342" s="3" t="s">
        <v>437</v>
      </c>
      <c r="E342" s="3">
        <v>2355542</v>
      </c>
      <c r="F342" s="3" t="str">
        <f>VLOOKUP(D342,[1]Hoja1!$A:$K,11,0)</f>
        <v>ANALISIS MATEMATICO</v>
      </c>
      <c r="G342" s="7"/>
      <c r="H342" s="7"/>
      <c r="I342" s="5"/>
      <c r="J342" s="5">
        <v>31133967</v>
      </c>
      <c r="K342" s="6" t="s">
        <v>609</v>
      </c>
      <c r="L342" s="5" t="str">
        <f>IFERROR(VLOOKUP(CONCATENATE(A342,"S"),[2]Hoja1!$B:$N,5,0)," ")</f>
        <v xml:space="preserve"> </v>
      </c>
      <c r="M342" s="6" t="str">
        <f>IFERROR(VLOOKUP(CONCATENATE(A342,"S"),[2]Hoja1!$B:$N,6,0)," ")</f>
        <v xml:space="preserve"> </v>
      </c>
      <c r="N342" s="4" t="str">
        <f t="shared" si="41"/>
        <v>PROVISIONAL</v>
      </c>
      <c r="O342" s="17" t="str">
        <f t="shared" si="42"/>
        <v>MAZU LEILA</v>
      </c>
      <c r="P342" s="4" t="str">
        <f>IF(O342="vacante","vacante",IFERROR(IF(VLOOKUP(IF((M342)=" ",IF(COUNTBLANK(K342),I342,K342),M342),[3]Hoja1!$B:$I,4,0)="licencia","vacante"," ")," "))</f>
        <v xml:space="preserve"> </v>
      </c>
      <c r="Q342" s="4"/>
      <c r="R342">
        <f t="shared" si="43"/>
        <v>7</v>
      </c>
      <c r="S342" t="str">
        <f t="shared" si="44"/>
        <v>5°3°7</v>
      </c>
    </row>
    <row r="343" spans="1:19" ht="18.75" hidden="1" customHeight="1">
      <c r="A343" s="3" t="str">
        <f t="shared" si="40"/>
        <v>5°3°5EAMC</v>
      </c>
      <c r="B343" s="3" t="s">
        <v>428</v>
      </c>
      <c r="C343" s="3"/>
      <c r="D343" s="3" t="s">
        <v>438</v>
      </c>
      <c r="E343" s="3">
        <v>2355546</v>
      </c>
      <c r="F343" s="3" t="str">
        <f>VLOOKUP(D343,[1]Hoja1!$A:$K,11,0)</f>
        <v>ANALISIS DE LOS MODELOS CIRCUITALES</v>
      </c>
      <c r="G343" s="7"/>
      <c r="H343" s="7"/>
      <c r="I343" s="5"/>
      <c r="J343" s="5">
        <v>34250266</v>
      </c>
      <c r="K343" s="6" t="s">
        <v>439</v>
      </c>
      <c r="L343" s="5" t="str">
        <f>IFERROR(VLOOKUP(CONCATENATE(A343,"S"),[2]Hoja1!$B:$N,5,0)," ")</f>
        <v xml:space="preserve"> </v>
      </c>
      <c r="M343" s="6" t="str">
        <f>IFERROR(VLOOKUP(CONCATENATE(A343,"S"),[2]Hoja1!$B:$N,6,0)," ")</f>
        <v xml:space="preserve"> </v>
      </c>
      <c r="N343" s="4" t="str">
        <f t="shared" si="41"/>
        <v>PROVISIONAL</v>
      </c>
      <c r="O343" s="17" t="str">
        <f t="shared" si="42"/>
        <v xml:space="preserve">ATAMAÑUK, FLORENCIA </v>
      </c>
      <c r="P343" s="4" t="str">
        <f>IF(O343="vacante","vacante",IFERROR(IF(VLOOKUP(IF((M343)=" ",IF(COUNTBLANK(K343),I343,K343),M343),[3]Hoja1!$B:$I,4,0)="licencia","vacante"," ")," "))</f>
        <v xml:space="preserve"> </v>
      </c>
      <c r="Q343" s="4"/>
      <c r="R343">
        <f t="shared" si="43"/>
        <v>8</v>
      </c>
      <c r="S343" t="str">
        <f t="shared" si="44"/>
        <v>5°3°8</v>
      </c>
    </row>
    <row r="344" spans="1:19" ht="18.75" hidden="1" customHeight="1">
      <c r="A344" s="3" t="str">
        <f t="shared" si="40"/>
        <v>5°3°5ELENE</v>
      </c>
      <c r="B344" s="3" t="s">
        <v>428</v>
      </c>
      <c r="C344" s="3"/>
      <c r="D344" s="3" t="s">
        <v>440</v>
      </c>
      <c r="E344" s="3">
        <v>2355548</v>
      </c>
      <c r="F344" s="3" t="str">
        <f>VLOOKUP(D344,[1]Hoja1!$A:$K,11,0)</f>
        <v>LENGUAJES ELECTRONICOS</v>
      </c>
      <c r="G344" s="7"/>
      <c r="H344" s="7"/>
      <c r="I344" s="5"/>
      <c r="J344" s="5">
        <v>32470352</v>
      </c>
      <c r="K344" s="6" t="s">
        <v>441</v>
      </c>
      <c r="L344" s="5" t="str">
        <f>IFERROR(VLOOKUP(CONCATENATE(A344,"S"),[2]Hoja1!$B:$N,5,0)," ")</f>
        <v xml:space="preserve"> </v>
      </c>
      <c r="M344" s="6" t="str">
        <f>IFERROR(VLOOKUP(CONCATENATE(A344,"S"),[2]Hoja1!$B:$N,6,0)," ")</f>
        <v xml:space="preserve"> </v>
      </c>
      <c r="N344" s="4" t="str">
        <f t="shared" si="41"/>
        <v>PROVISIONAL</v>
      </c>
      <c r="O344" s="17" t="str">
        <f t="shared" si="42"/>
        <v>BARBOZA, SILVIO</v>
      </c>
      <c r="P344" s="4" t="str">
        <f>IF(O344="vacante","vacante",IFERROR(IF(VLOOKUP(IF((M344)=" ",IF(COUNTBLANK(K344),I344,K344),M344),[3]Hoja1!$B:$I,4,0)="licencia","vacante"," ")," "))</f>
        <v xml:space="preserve"> </v>
      </c>
      <c r="Q344" s="4"/>
      <c r="R344">
        <f t="shared" si="43"/>
        <v>9</v>
      </c>
      <c r="S344" t="str">
        <f t="shared" si="44"/>
        <v>5°3°9</v>
      </c>
    </row>
    <row r="345" spans="1:19" ht="18.75" hidden="1" customHeight="1">
      <c r="A345" s="3" t="str">
        <f t="shared" si="40"/>
        <v>5°3°5315EDASE</v>
      </c>
      <c r="B345" s="3" t="s">
        <v>428</v>
      </c>
      <c r="C345" s="3">
        <v>531</v>
      </c>
      <c r="D345" s="3" t="s">
        <v>442</v>
      </c>
      <c r="E345" s="3">
        <v>2355556</v>
      </c>
      <c r="F345" s="3" t="str">
        <f>VLOOKUP(D345,[1]Hoja1!$A:$K,11,0)</f>
        <v xml:space="preserve">DISEÑO ASIST Y SIMUL ELECT </v>
      </c>
      <c r="G345" s="7"/>
      <c r="H345" s="7"/>
      <c r="I345" s="5"/>
      <c r="J345" s="5" t="s">
        <v>317</v>
      </c>
      <c r="K345" s="6" t="s">
        <v>318</v>
      </c>
      <c r="L345" s="5">
        <f>IFERROR(VLOOKUP(CONCATENATE(A345,"S"),[2]Hoja1!$B:$N,5,0)," ")</f>
        <v>0</v>
      </c>
      <c r="M345" s="6" t="str">
        <f>IFERROR(VLOOKUP(CONCATENATE(A345,"S"),[2]Hoja1!$B:$N,6,0)," ")</f>
        <v>GUTIERREZ NICOLAS</v>
      </c>
      <c r="N345" s="4" t="str">
        <f t="shared" si="41"/>
        <v>SUPLENTE</v>
      </c>
      <c r="O345" s="17" t="str">
        <f t="shared" si="42"/>
        <v>GUTIERREZ NICOLAS</v>
      </c>
      <c r="P345" s="4" t="str">
        <f>IF(O345="vacante","vacante",IFERROR(IF(VLOOKUP(IF((M345)=" ",IF(COUNTBLANK(K345),I345,K345),M345),[3]Hoja1!$B:$I,4,0)="licencia","vacante"," ")," "))</f>
        <v xml:space="preserve"> </v>
      </c>
      <c r="Q345" s="4"/>
      <c r="R345">
        <f t="shared" si="43"/>
        <v>10</v>
      </c>
      <c r="S345" t="str">
        <f t="shared" si="44"/>
        <v>5°3°10</v>
      </c>
    </row>
    <row r="346" spans="1:19" ht="18.75" hidden="1" customHeight="1">
      <c r="A346" s="3" t="str">
        <f t="shared" si="40"/>
        <v>5°3°5315EFTAE5</v>
      </c>
      <c r="B346" s="3" t="s">
        <v>428</v>
      </c>
      <c r="C346" s="3">
        <v>531</v>
      </c>
      <c r="D346" s="3" t="s">
        <v>443</v>
      </c>
      <c r="E346" s="3">
        <v>2355560</v>
      </c>
      <c r="F346" s="3" t="str">
        <f>VLOOKUP(D346,[1]Hoja1!$A:$K,11,0)</f>
        <v xml:space="preserve">APLIC ELECT ANALOG </v>
      </c>
      <c r="G346" s="7"/>
      <c r="H346" s="7"/>
      <c r="I346" s="5"/>
      <c r="J346" s="5">
        <v>18383726</v>
      </c>
      <c r="K346" s="6" t="s">
        <v>403</v>
      </c>
      <c r="L346" s="5" t="str">
        <f>IFERROR(VLOOKUP(CONCATENATE(A346,"S"),[2]Hoja1!$B:$N,5,0)," ")</f>
        <v xml:space="preserve"> </v>
      </c>
      <c r="M346" s="6" t="str">
        <f>IFERROR(VLOOKUP(CONCATENATE(A346,"S"),[2]Hoja1!$B:$N,6,0)," ")</f>
        <v xml:space="preserve"> </v>
      </c>
      <c r="N346" s="4" t="str">
        <f t="shared" si="41"/>
        <v>PROVISIONAL</v>
      </c>
      <c r="O346" s="17" t="str">
        <f t="shared" si="42"/>
        <v>MARTINEZ, SILVIO</v>
      </c>
      <c r="P346" s="4" t="str">
        <f>IF(O346="vacante","vacante",IFERROR(IF(VLOOKUP(IF((M346)=" ",IF(COUNTBLANK(K346),I346,K346),M346),[3]Hoja1!$B:$I,4,0)="licencia","vacante"," ")," "))</f>
        <v xml:space="preserve"> </v>
      </c>
      <c r="Q346" s="4"/>
      <c r="R346">
        <f t="shared" si="43"/>
        <v>11</v>
      </c>
      <c r="S346" t="str">
        <f t="shared" si="44"/>
        <v>5°3°11</v>
      </c>
    </row>
    <row r="347" spans="1:19" ht="18.75" hidden="1" customHeight="1">
      <c r="A347" s="3" t="str">
        <f t="shared" si="40"/>
        <v>5°3°5315EFTED5</v>
      </c>
      <c r="B347" s="3" t="s">
        <v>428</v>
      </c>
      <c r="C347" s="3">
        <v>531</v>
      </c>
      <c r="D347" s="3" t="s">
        <v>444</v>
      </c>
      <c r="E347" s="3">
        <v>2355564</v>
      </c>
      <c r="F347" s="3" t="str">
        <f>VLOOKUP(D347,[1]Hoja1!$A:$K,11,0)</f>
        <v>APLIC ELECTR DIGITAL</v>
      </c>
      <c r="G347" s="7"/>
      <c r="H347" s="7"/>
      <c r="I347" s="5"/>
      <c r="J347" s="5">
        <v>23086757</v>
      </c>
      <c r="K347" s="6" t="s">
        <v>365</v>
      </c>
      <c r="L347" s="5" t="str">
        <f>IFERROR(VLOOKUP(CONCATENATE(A347,"S"),[2]Hoja1!$B:$N,5,0)," ")</f>
        <v xml:space="preserve"> </v>
      </c>
      <c r="M347" s="6" t="str">
        <f>IFERROR(VLOOKUP(CONCATENATE(A347,"S"),[2]Hoja1!$B:$N,6,0)," ")</f>
        <v xml:space="preserve"> </v>
      </c>
      <c r="N347" s="4" t="str">
        <f t="shared" si="41"/>
        <v>PROVISIONAL</v>
      </c>
      <c r="O347" s="17" t="str">
        <f t="shared" si="42"/>
        <v>SERENO, LEONEL</v>
      </c>
      <c r="P347" s="4" t="str">
        <f>IF(O347="vacante","vacante",IFERROR(IF(VLOOKUP(IF((M347)=" ",IF(COUNTBLANK(K347),I347,K347),M347),[3]Hoja1!$B:$I,4,0)="licencia","vacante"," ")," "))</f>
        <v xml:space="preserve"> </v>
      </c>
      <c r="Q347" s="4"/>
      <c r="R347">
        <f t="shared" si="43"/>
        <v>12</v>
      </c>
      <c r="S347" t="str">
        <f t="shared" si="44"/>
        <v>5°3°12</v>
      </c>
    </row>
    <row r="348" spans="1:19" ht="18.75" hidden="1" customHeight="1">
      <c r="A348" s="3" t="str">
        <f t="shared" si="40"/>
        <v>5°3°5315EFTMP5</v>
      </c>
      <c r="B348" s="3" t="s">
        <v>428</v>
      </c>
      <c r="C348" s="3">
        <v>531</v>
      </c>
      <c r="D348" s="3" t="s">
        <v>445</v>
      </c>
      <c r="E348" s="3">
        <v>2355566</v>
      </c>
      <c r="F348" s="3" t="str">
        <f>VLOOKUP(D348,[1]Hoja1!$A:$K,11,0)</f>
        <v xml:space="preserve">MONTAJE DE PROYECTO ELECTRONICOS </v>
      </c>
      <c r="G348" s="7"/>
      <c r="H348" s="7"/>
      <c r="I348" s="5"/>
      <c r="J348" s="5" t="s">
        <v>317</v>
      </c>
      <c r="K348" s="6" t="s">
        <v>318</v>
      </c>
      <c r="L348" s="5">
        <f>IFERROR(VLOOKUP(CONCATENATE(A348,"S"),[2]Hoja1!$B:$N,5,0)," ")</f>
        <v>0</v>
      </c>
      <c r="M348" s="6" t="str">
        <f>IFERROR(VLOOKUP(CONCATENATE(A348,"S"),[2]Hoja1!$B:$N,6,0)," ")</f>
        <v>SCHROEDER MATÍAS</v>
      </c>
      <c r="N348" s="4" t="str">
        <f t="shared" si="41"/>
        <v>SUPLENTE</v>
      </c>
      <c r="O348" s="17" t="str">
        <f t="shared" si="42"/>
        <v>SCHROEDER MATÍAS</v>
      </c>
      <c r="P348" s="4" t="str">
        <f>IF(O348="vacante","vacante",IFERROR(IF(VLOOKUP(IF((M348)=" ",IF(COUNTBLANK(K348),I348,K348),M348),[3]Hoja1!$B:$I,4,0)="licencia","vacante"," ")," "))</f>
        <v xml:space="preserve"> </v>
      </c>
      <c r="Q348" s="4"/>
      <c r="R348">
        <f t="shared" si="43"/>
        <v>13</v>
      </c>
      <c r="S348" t="str">
        <f t="shared" si="44"/>
        <v>5°3°13</v>
      </c>
    </row>
    <row r="349" spans="1:19" ht="18.75" hidden="1" customHeight="1">
      <c r="A349" s="3" t="str">
        <f t="shared" si="40"/>
        <v>5°3°5325EDASE</v>
      </c>
      <c r="B349" s="3" t="s">
        <v>428</v>
      </c>
      <c r="C349" s="3">
        <v>532</v>
      </c>
      <c r="D349" s="3" t="s">
        <v>442</v>
      </c>
      <c r="E349" s="3">
        <v>2355568</v>
      </c>
      <c r="F349" s="3" t="str">
        <f>VLOOKUP(D349,[1]Hoja1!$A:$K,11,0)</f>
        <v xml:space="preserve">DISEÑO ASIST Y SIMUL ELECT </v>
      </c>
      <c r="G349" s="7"/>
      <c r="H349" s="7"/>
      <c r="I349" s="5"/>
      <c r="J349" s="5"/>
      <c r="K349" s="6" t="s">
        <v>550</v>
      </c>
      <c r="L349" s="5" t="str">
        <f>IFERROR(VLOOKUP(CONCATENATE(A349,"S"),[2]Hoja1!$B:$N,5,0)," ")</f>
        <v xml:space="preserve"> </v>
      </c>
      <c r="M349" s="6" t="str">
        <f>IFERROR(VLOOKUP(CONCATENATE(A349,"S"),[2]Hoja1!$B:$N,6,0)," ")</f>
        <v xml:space="preserve"> </v>
      </c>
      <c r="N349" s="4" t="str">
        <f t="shared" si="41"/>
        <v>PROVISIONAL</v>
      </c>
      <c r="O349" s="17" t="str">
        <f t="shared" si="42"/>
        <v>ESCALADA ARNALDO</v>
      </c>
      <c r="P349" s="4" t="str">
        <f>IF(O349="vacante","vacante",IFERROR(IF(VLOOKUP(IF((M349)=" ",IF(COUNTBLANK(K349),I349,K349),M349),[3]Hoja1!$B:$I,4,0)="licencia","vacante"," ")," "))</f>
        <v xml:space="preserve"> </v>
      </c>
      <c r="Q349" s="4"/>
      <c r="R349">
        <f t="shared" si="43"/>
        <v>14</v>
      </c>
      <c r="S349" t="str">
        <f t="shared" si="44"/>
        <v>5°3°14</v>
      </c>
    </row>
    <row r="350" spans="1:19" ht="18.75" hidden="1" customHeight="1">
      <c r="A350" s="3" t="str">
        <f t="shared" si="40"/>
        <v>5°3°5325EFTAE5</v>
      </c>
      <c r="B350" s="3" t="s">
        <v>428</v>
      </c>
      <c r="C350" s="3">
        <v>532</v>
      </c>
      <c r="D350" s="3" t="s">
        <v>443</v>
      </c>
      <c r="E350" s="3">
        <v>2355569</v>
      </c>
      <c r="F350" s="3" t="str">
        <f>VLOOKUP(D350,[1]Hoja1!$A:$K,11,0)</f>
        <v xml:space="preserve">APLIC ELECT ANALOG </v>
      </c>
      <c r="G350" s="7"/>
      <c r="H350" s="7"/>
      <c r="I350" s="5"/>
      <c r="J350" s="5" t="s">
        <v>147</v>
      </c>
      <c r="K350" s="6" t="s">
        <v>148</v>
      </c>
      <c r="L350" s="5" t="str">
        <f>IFERROR(VLOOKUP(CONCATENATE(A350,"S"),[2]Hoja1!$B:$N,5,0)," ")</f>
        <v xml:space="preserve"> </v>
      </c>
      <c r="M350" s="6" t="str">
        <f>IFERROR(VLOOKUP(CONCATENATE(A350,"S"),[2]Hoja1!$B:$N,6,0)," ")</f>
        <v xml:space="preserve"> </v>
      </c>
      <c r="N350" s="4" t="str">
        <f t="shared" si="41"/>
        <v>PROVISIONAL</v>
      </c>
      <c r="O350" s="17" t="str">
        <f t="shared" si="42"/>
        <v xml:space="preserve">ESCALADA ARNALDO     </v>
      </c>
      <c r="P350" s="4" t="str">
        <f>IF(O350="vacante","vacante",IFERROR(IF(VLOOKUP(IF((M350)=" ",IF(COUNTBLANK(K350),I350,K350),M350),[3]Hoja1!$B:$I,4,0)="licencia","vacante"," ")," "))</f>
        <v xml:space="preserve"> </v>
      </c>
      <c r="Q350" s="4"/>
      <c r="R350">
        <f t="shared" si="43"/>
        <v>15</v>
      </c>
      <c r="S350" t="str">
        <f t="shared" si="44"/>
        <v>5°3°15</v>
      </c>
    </row>
    <row r="351" spans="1:19" ht="18.75" hidden="1" customHeight="1">
      <c r="A351" s="3" t="str">
        <f t="shared" si="40"/>
        <v>5°3°5325EFTED5</v>
      </c>
      <c r="B351" s="3" t="s">
        <v>428</v>
      </c>
      <c r="C351" s="3">
        <v>532</v>
      </c>
      <c r="D351" s="3" t="s">
        <v>444</v>
      </c>
      <c r="E351" s="3">
        <v>2355572</v>
      </c>
      <c r="F351" s="3" t="str">
        <f>VLOOKUP(D351,[1]Hoja1!$A:$K,11,0)</f>
        <v>APLIC ELECTR DIGITAL</v>
      </c>
      <c r="G351" s="7"/>
      <c r="H351" s="7"/>
      <c r="I351" s="5"/>
      <c r="J351" s="5">
        <v>16220206</v>
      </c>
      <c r="K351" s="6" t="s">
        <v>446</v>
      </c>
      <c r="L351" s="5" t="str">
        <f>IFERROR(VLOOKUP(CONCATENATE(A351,"S"),[2]Hoja1!$B:$N,5,0)," ")</f>
        <v xml:space="preserve"> </v>
      </c>
      <c r="M351" s="6" t="str">
        <f>IFERROR(VLOOKUP(CONCATENATE(A351,"S"),[2]Hoja1!$B:$N,6,0)," ")</f>
        <v xml:space="preserve"> </v>
      </c>
      <c r="N351" s="4" t="str">
        <f t="shared" si="41"/>
        <v>PROVISIONAL</v>
      </c>
      <c r="O351" s="17" t="str">
        <f t="shared" si="42"/>
        <v xml:space="preserve">FISTER VICTOR </v>
      </c>
      <c r="P351" s="4" t="str">
        <f>IF(O351="vacante","vacante",IFERROR(IF(VLOOKUP(IF((M351)=" ",IF(COUNTBLANK(K351),I351,K351),M351),[3]Hoja1!$B:$I,4,0)="licencia","vacante"," ")," "))</f>
        <v xml:space="preserve"> </v>
      </c>
      <c r="Q351" s="4"/>
      <c r="R351">
        <f t="shared" si="43"/>
        <v>16</v>
      </c>
      <c r="S351" t="str">
        <f t="shared" si="44"/>
        <v>5°3°16</v>
      </c>
    </row>
    <row r="352" spans="1:19" ht="18.75" hidden="1" customHeight="1">
      <c r="A352" s="3" t="str">
        <f t="shared" si="40"/>
        <v>5°3°5325EFTMP5</v>
      </c>
      <c r="B352" s="3" t="s">
        <v>428</v>
      </c>
      <c r="C352" s="3">
        <v>532</v>
      </c>
      <c r="D352" s="3" t="s">
        <v>445</v>
      </c>
      <c r="E352" s="3">
        <v>2355579</v>
      </c>
      <c r="F352" s="3" t="str">
        <f>VLOOKUP(D352,[1]Hoja1!$A:$K,11,0)</f>
        <v xml:space="preserve">MONTAJE DE PROYECTO ELECTRONICOS </v>
      </c>
      <c r="G352" s="7"/>
      <c r="H352" s="7"/>
      <c r="I352" s="5"/>
      <c r="J352" s="5">
        <v>23086757</v>
      </c>
      <c r="K352" s="6" t="s">
        <v>365</v>
      </c>
      <c r="L352" s="5" t="str">
        <f>IFERROR(VLOOKUP(CONCATENATE(A352,"S"),[2]Hoja1!$B:$N,5,0)," ")</f>
        <v xml:space="preserve"> </v>
      </c>
      <c r="M352" s="6" t="str">
        <f>IFERROR(VLOOKUP(CONCATENATE(A352,"S"),[2]Hoja1!$B:$N,6,0)," ")</f>
        <v xml:space="preserve"> </v>
      </c>
      <c r="N352" s="4" t="str">
        <f t="shared" si="41"/>
        <v>PROVISIONAL</v>
      </c>
      <c r="O352" s="17" t="str">
        <f t="shared" si="42"/>
        <v>SERENO, LEONEL</v>
      </c>
      <c r="P352" s="4" t="str">
        <f>IF(O352="vacante","vacante",IFERROR(IF(VLOOKUP(IF((M352)=" ",IF(COUNTBLANK(K352),I352,K352),M352),[3]Hoja1!$B:$I,4,0)="licencia","vacante"," ")," "))</f>
        <v xml:space="preserve"> </v>
      </c>
      <c r="Q352" s="4"/>
      <c r="R352">
        <f t="shared" si="43"/>
        <v>17</v>
      </c>
      <c r="S352" t="str">
        <f t="shared" si="44"/>
        <v>5°3°17</v>
      </c>
    </row>
    <row r="353" spans="1:19" ht="18.75" hidden="1" customHeight="1">
      <c r="A353" s="3" t="str">
        <f t="shared" si="40"/>
        <v>5°4°5ELITS</v>
      </c>
      <c r="B353" s="3" t="s">
        <v>447</v>
      </c>
      <c r="C353" s="3"/>
      <c r="D353" s="3" t="s">
        <v>429</v>
      </c>
      <c r="E353" s="3">
        <v>2680751</v>
      </c>
      <c r="F353" s="3" t="str">
        <f>VLOOKUP(D353,[1]Hoja1!$A:$K,11,0)</f>
        <v>LITERATURA</v>
      </c>
      <c r="G353" s="7" t="s">
        <v>623</v>
      </c>
      <c r="H353" s="7"/>
      <c r="I353" s="5" t="s">
        <v>622</v>
      </c>
      <c r="J353" s="5"/>
      <c r="K353" s="6"/>
      <c r="L353" s="5" t="str">
        <f>IFERROR(VLOOKUP(CONCATENATE(A353,"S"),[2]Hoja1!$B:$N,5,0)," ")</f>
        <v xml:space="preserve"> </v>
      </c>
      <c r="M353" s="6" t="str">
        <f>IFERROR(VLOOKUP(CONCATENATE(A353,"S"),[2]Hoja1!$B:$N,6,0)," ")</f>
        <v xml:space="preserve"> </v>
      </c>
      <c r="N353" s="4" t="str">
        <f t="shared" si="41"/>
        <v>TITULAR</v>
      </c>
      <c r="O353" s="17" t="str">
        <f t="shared" si="42"/>
        <v>ALONSO, MARIA</v>
      </c>
      <c r="P353" s="4" t="str">
        <f>IF(O353="vacante","vacante",IFERROR(IF(VLOOKUP(IF((M353)=" ",IF(COUNTBLANK(K353),I353,K353),M353),[3]Hoja1!$B:$I,4,0)="licencia","vacante"," ")," "))</f>
        <v xml:space="preserve"> </v>
      </c>
      <c r="Q353" s="4" t="s">
        <v>624</v>
      </c>
      <c r="R353">
        <f t="shared" si="43"/>
        <v>1</v>
      </c>
      <c r="S353" t="str">
        <f t="shared" si="44"/>
        <v>5°4°1</v>
      </c>
    </row>
    <row r="354" spans="1:19" ht="18.75" hidden="1" customHeight="1">
      <c r="A354" s="3" t="str">
        <f t="shared" si="40"/>
        <v>5°4°5EINGS</v>
      </c>
      <c r="B354" s="3" t="s">
        <v>447</v>
      </c>
      <c r="C354" s="3"/>
      <c r="D354" s="3" t="s">
        <v>430</v>
      </c>
      <c r="E354" s="3">
        <v>2680752</v>
      </c>
      <c r="F354" s="3" t="str">
        <f>VLOOKUP(D354,[1]Hoja1!$A:$K,11,0)</f>
        <v>INGLÉS</v>
      </c>
      <c r="G354" s="7" t="s">
        <v>55</v>
      </c>
      <c r="H354" s="7"/>
      <c r="I354" s="5" t="s">
        <v>57</v>
      </c>
      <c r="J354" s="5"/>
      <c r="K354" s="6"/>
      <c r="L354" s="5" t="str">
        <f>IFERROR(VLOOKUP(CONCATENATE(A354,"S"),[2]Hoja1!$B:$N,5,0)," ")</f>
        <v xml:space="preserve"> </v>
      </c>
      <c r="M354" s="6" t="str">
        <f>IFERROR(VLOOKUP(CONCATENATE(A354,"S"),[2]Hoja1!$B:$N,6,0)," ")</f>
        <v xml:space="preserve"> </v>
      </c>
      <c r="N354" s="4" t="str">
        <f t="shared" si="41"/>
        <v>TITULAR</v>
      </c>
      <c r="O354" s="17" t="str">
        <f t="shared" si="42"/>
        <v xml:space="preserve">ARCE KARINA </v>
      </c>
      <c r="P354" s="4" t="str">
        <f>IF(O354="vacante","vacante",IFERROR(IF(VLOOKUP(IF((M354)=" ",IF(COUNTBLANK(K354),I354,K354),M354),[3]Hoja1!$B:$I,4,0)="licencia","vacante"," ")," "))</f>
        <v xml:space="preserve"> </v>
      </c>
      <c r="Q354" s="4"/>
      <c r="R354">
        <f t="shared" si="43"/>
        <v>2</v>
      </c>
      <c r="S354" t="str">
        <f t="shared" si="44"/>
        <v>5°4°2</v>
      </c>
    </row>
    <row r="355" spans="1:19" ht="18.75" hidden="1" customHeight="1">
      <c r="A355" s="3" t="str">
        <f t="shared" si="40"/>
        <v>5°4°5EEFIS</v>
      </c>
      <c r="B355" s="3" t="s">
        <v>447</v>
      </c>
      <c r="C355" s="3"/>
      <c r="D355" s="3" t="s">
        <v>431</v>
      </c>
      <c r="E355" s="3">
        <v>2680754</v>
      </c>
      <c r="F355" s="3" t="str">
        <f>VLOOKUP(D355,[1]Hoja1!$A:$K,11,0)</f>
        <v>EDUCACIÓN FISICA</v>
      </c>
      <c r="G355" s="7">
        <v>20859388</v>
      </c>
      <c r="H355" s="7"/>
      <c r="I355" s="5" t="s">
        <v>448</v>
      </c>
      <c r="J355" s="5"/>
      <c r="K355" s="6"/>
      <c r="L355" s="5" t="str">
        <f>IFERROR(VLOOKUP(CONCATENATE(A355,"S"),[2]Hoja1!$B:$N,5,0)," ")</f>
        <v xml:space="preserve"> </v>
      </c>
      <c r="M355" s="6" t="str">
        <f>IFERROR(VLOOKUP(CONCATENATE(A355,"S"),[2]Hoja1!$B:$N,6,0)," ")</f>
        <v xml:space="preserve"> </v>
      </c>
      <c r="N355" s="4" t="str">
        <f t="shared" si="41"/>
        <v>TITULAR</v>
      </c>
      <c r="O355" s="17" t="str">
        <f t="shared" si="42"/>
        <v>FERNANDEZ MARCELO</v>
      </c>
      <c r="P355" s="4" t="str">
        <f>IF(O355="vacante","vacante",IFERROR(IF(VLOOKUP(IF((M355)=" ",IF(COUNTBLANK(K355),I355,K355),M355),[3]Hoja1!$B:$I,4,0)="licencia","vacante"," ")," "))</f>
        <v xml:space="preserve"> </v>
      </c>
      <c r="Q355" s="4"/>
      <c r="R355">
        <f t="shared" si="43"/>
        <v>3</v>
      </c>
      <c r="S355" t="str">
        <f t="shared" si="44"/>
        <v>5°4°3</v>
      </c>
    </row>
    <row r="356" spans="1:19" ht="18.75" hidden="1" customHeight="1">
      <c r="A356" s="3" t="str">
        <f t="shared" si="40"/>
        <v>5°4°5EPYCS</v>
      </c>
      <c r="B356" s="3" t="s">
        <v>447</v>
      </c>
      <c r="C356" s="3"/>
      <c r="D356" s="3" t="s">
        <v>433</v>
      </c>
      <c r="E356" s="3">
        <v>2680756</v>
      </c>
      <c r="F356" s="3" t="str">
        <f>VLOOKUP(D356,[1]Hoja1!$A:$K,11,0)</f>
        <v>POLITICA Y CIUDADANIA</v>
      </c>
      <c r="G356" s="7" t="s">
        <v>449</v>
      </c>
      <c r="H356" s="7" t="s">
        <v>450</v>
      </c>
      <c r="I356" s="5" t="s">
        <v>451</v>
      </c>
      <c r="J356" s="5"/>
      <c r="K356" s="6"/>
      <c r="L356" s="5" t="str">
        <f>IFERROR(VLOOKUP(CONCATENATE(A356,"S"),[2]Hoja1!$B:$N,5,0)," ")</f>
        <v xml:space="preserve"> </v>
      </c>
      <c r="M356" s="6" t="str">
        <f>IFERROR(VLOOKUP(CONCATENATE(A356,"S"),[2]Hoja1!$B:$N,6,0)," ")</f>
        <v xml:space="preserve"> </v>
      </c>
      <c r="N356" s="4" t="str">
        <f t="shared" si="41"/>
        <v>TITULAR</v>
      </c>
      <c r="O356" s="17" t="str">
        <f t="shared" si="42"/>
        <v xml:space="preserve">GAUTO, ALICIA </v>
      </c>
      <c r="P356" s="4" t="str">
        <f>IF(O356="vacante","vacante",IFERROR(IF(VLOOKUP(IF((M356)=" ",IF(COUNTBLANK(K356),I356,K356),M356),[3]Hoja1!$B:$I,4,0)="licencia","vacante"," ")," "))</f>
        <v xml:space="preserve"> </v>
      </c>
      <c r="Q356" s="4"/>
      <c r="R356">
        <f t="shared" si="43"/>
        <v>4</v>
      </c>
      <c r="S356" t="str">
        <f t="shared" si="44"/>
        <v>5°4°4</v>
      </c>
    </row>
    <row r="357" spans="1:19" ht="18.75" hidden="1" customHeight="1">
      <c r="A357" s="3" t="str">
        <f t="shared" si="40"/>
        <v>5°4°5EHIS5</v>
      </c>
      <c r="B357" s="3" t="s">
        <v>447</v>
      </c>
      <c r="C357" s="3"/>
      <c r="D357" s="3" t="s">
        <v>434</v>
      </c>
      <c r="E357" s="3">
        <v>2680758</v>
      </c>
      <c r="F357" s="3" t="str">
        <f>VLOOKUP(D357,[1]Hoja1!$A:$K,11,0)</f>
        <v>HISTORIA</v>
      </c>
      <c r="G357" s="7" t="s">
        <v>330</v>
      </c>
      <c r="H357" s="7"/>
      <c r="I357" s="5" t="s">
        <v>70</v>
      </c>
      <c r="J357" s="5"/>
      <c r="K357" s="6"/>
      <c r="L357" s="5" t="str">
        <f>IFERROR(VLOOKUP(CONCATENATE(A357,"S"),[2]Hoja1!$B:$N,5,0)," ")</f>
        <v xml:space="preserve"> </v>
      </c>
      <c r="M357" s="6" t="str">
        <f>IFERROR(VLOOKUP(CONCATENATE(A357,"S"),[2]Hoja1!$B:$N,6,0)," ")</f>
        <v xml:space="preserve"> </v>
      </c>
      <c r="N357" s="4" t="str">
        <f t="shared" si="41"/>
        <v>TITULAR</v>
      </c>
      <c r="O357" s="17" t="str">
        <f t="shared" si="42"/>
        <v xml:space="preserve">TORRES LUIS                    </v>
      </c>
      <c r="P357" s="4" t="str">
        <f>IF(O357="vacante","vacante",IFERROR(IF(VLOOKUP(IF((M357)=" ",IF(COUNTBLANK(K357),I357,K357),M357),[3]Hoja1!$B:$I,4,0)="licencia","vacante"," ")," "))</f>
        <v xml:space="preserve"> </v>
      </c>
      <c r="Q357" s="4"/>
      <c r="R357">
        <f t="shared" si="43"/>
        <v>5</v>
      </c>
      <c r="S357" t="str">
        <f t="shared" si="44"/>
        <v>5°4°5</v>
      </c>
    </row>
    <row r="358" spans="1:19" ht="18.75" hidden="1" customHeight="1">
      <c r="A358" s="3" t="str">
        <f t="shared" si="40"/>
        <v>5°4°5EGEOS5</v>
      </c>
      <c r="B358" s="3" t="s">
        <v>447</v>
      </c>
      <c r="C358" s="3"/>
      <c r="D358" s="3" t="s">
        <v>435</v>
      </c>
      <c r="E358" s="3">
        <v>2680760</v>
      </c>
      <c r="F358" s="3" t="str">
        <f>VLOOKUP(D358,[1]Hoja1!$A:$K,11,0)</f>
        <v>GEOGRAFIA</v>
      </c>
      <c r="G358" s="7">
        <v>28029112</v>
      </c>
      <c r="H358" s="7"/>
      <c r="I358" s="5" t="s">
        <v>426</v>
      </c>
      <c r="J358" s="5"/>
      <c r="K358" s="6"/>
      <c r="L358" s="5" t="str">
        <f>IFERROR(VLOOKUP(CONCATENATE(A358,"S"),[2]Hoja1!$B:$N,5,0)," ")</f>
        <v xml:space="preserve"> </v>
      </c>
      <c r="M358" s="6" t="str">
        <f>IFERROR(VLOOKUP(CONCATENATE(A358,"S"),[2]Hoja1!$B:$N,6,0)," ")</f>
        <v xml:space="preserve"> </v>
      </c>
      <c r="N358" s="4" t="str">
        <f t="shared" si="41"/>
        <v>TITULAR</v>
      </c>
      <c r="O358" s="17" t="str">
        <f t="shared" si="42"/>
        <v xml:space="preserve">SPERONI, ADRIAN </v>
      </c>
      <c r="P358" s="4" t="str">
        <f>IF(O358="vacante","vacante",IFERROR(IF(VLOOKUP(IF((M358)=" ",IF(COUNTBLANK(K358),I358,K358),M358),[3]Hoja1!$B:$I,4,0)="licencia","vacante"," ")," "))</f>
        <v xml:space="preserve"> </v>
      </c>
      <c r="Q358" s="4"/>
      <c r="R358">
        <f t="shared" si="43"/>
        <v>6</v>
      </c>
      <c r="S358" t="str">
        <f t="shared" si="44"/>
        <v>5°4°6</v>
      </c>
    </row>
    <row r="359" spans="1:19" ht="26.25" hidden="1" customHeight="1">
      <c r="A359" s="3" t="str">
        <f t="shared" si="40"/>
        <v>5°4°5EANMAT</v>
      </c>
      <c r="B359" s="3" t="s">
        <v>447</v>
      </c>
      <c r="C359" s="3"/>
      <c r="D359" s="3" t="s">
        <v>437</v>
      </c>
      <c r="E359" s="3">
        <v>2680761</v>
      </c>
      <c r="F359" s="3" t="str">
        <f>VLOOKUP(D359,[1]Hoja1!$A:$K,11,0)</f>
        <v>ANALISIS MATEMATICO</v>
      </c>
      <c r="G359" s="7"/>
      <c r="H359" s="7"/>
      <c r="I359" s="5"/>
      <c r="J359" s="5"/>
      <c r="K359" s="6" t="s">
        <v>695</v>
      </c>
      <c r="L359" s="5" t="str">
        <f>IFERROR(VLOOKUP(CONCATENATE(A359,"S"),[2]Hoja1!$B:$N,5,0)," ")</f>
        <v xml:space="preserve"> </v>
      </c>
      <c r="M359" s="6" t="str">
        <f>IFERROR(VLOOKUP(CONCATENATE(A359,"S"),[2]Hoja1!$B:$N,6,0)," ")</f>
        <v xml:space="preserve"> </v>
      </c>
      <c r="N359" s="4" t="str">
        <f t="shared" si="41"/>
        <v>PROVISIONAL</v>
      </c>
      <c r="O359" s="17" t="str">
        <f t="shared" si="42"/>
        <v xml:space="preserve"> KEMPER, NATALIA</v>
      </c>
      <c r="P359" s="4" t="str">
        <f>IF(O359="vacante","vacante",IFERROR(IF(VLOOKUP(IF((M359)=" ",IF(COUNTBLANK(K359),I359,K359),M359),[3]Hoja1!$B:$I,4,0)="licencia","vacante"," ")," "))</f>
        <v xml:space="preserve"> </v>
      </c>
      <c r="Q359" s="4"/>
      <c r="R359">
        <f t="shared" si="43"/>
        <v>7</v>
      </c>
      <c r="S359" t="str">
        <f t="shared" si="44"/>
        <v>5°4°7</v>
      </c>
    </row>
    <row r="360" spans="1:19" ht="24.75" hidden="1" customHeight="1">
      <c r="A360" s="3" t="str">
        <f t="shared" si="40"/>
        <v>5°4°5EAMC</v>
      </c>
      <c r="B360" s="3" t="s">
        <v>447</v>
      </c>
      <c r="C360" s="3"/>
      <c r="D360" s="3" t="s">
        <v>438</v>
      </c>
      <c r="E360" s="3">
        <v>2680762</v>
      </c>
      <c r="F360" s="3" t="str">
        <f>VLOOKUP(D360,[1]Hoja1!$A:$K,11,0)</f>
        <v>ANALISIS DE LOS MODELOS CIRCUITALES</v>
      </c>
      <c r="G360" s="7">
        <v>25454930</v>
      </c>
      <c r="H360" s="7"/>
      <c r="I360" s="5" t="s">
        <v>452</v>
      </c>
      <c r="J360" s="5"/>
      <c r="K360" s="6"/>
      <c r="L360" s="5" t="str">
        <f>IFERROR(VLOOKUP(CONCATENATE(A360,"S"),[2]Hoja1!$B:$N,5,0)," ")</f>
        <v>..</v>
      </c>
      <c r="M360" s="6" t="str">
        <f>IFERROR(VLOOKUP(CONCATENATE(A360,"S"),[2]Hoja1!$B:$N,6,0)," ")</f>
        <v>GUTIERREZ NICOLAS</v>
      </c>
      <c r="N360" s="4" t="str">
        <f t="shared" si="41"/>
        <v>SUPLENTE</v>
      </c>
      <c r="O360" s="17" t="str">
        <f t="shared" si="42"/>
        <v>GUTIERREZ NICOLAS</v>
      </c>
      <c r="P360" s="4" t="str">
        <f>IF(O360="vacante","vacante",IFERROR(IF(VLOOKUP(IF((M360)=" ",IF(COUNTBLANK(K360),I360,K360),M360),[3]Hoja1!$B:$I,4,0)="licencia","vacante"," ")," "))</f>
        <v xml:space="preserve"> </v>
      </c>
      <c r="Q360" s="4"/>
      <c r="R360">
        <f t="shared" si="43"/>
        <v>8</v>
      </c>
      <c r="S360" t="str">
        <f t="shared" si="44"/>
        <v>5°4°8</v>
      </c>
    </row>
    <row r="361" spans="1:19" ht="18.75" hidden="1" customHeight="1">
      <c r="A361" s="3" t="str">
        <f t="shared" si="40"/>
        <v>5°4°5ELENE</v>
      </c>
      <c r="B361" s="3" t="s">
        <v>447</v>
      </c>
      <c r="C361" s="3"/>
      <c r="D361" s="3" t="s">
        <v>440</v>
      </c>
      <c r="E361" s="3">
        <v>2680764</v>
      </c>
      <c r="F361" s="3" t="str">
        <f>VLOOKUP(D361,[1]Hoja1!$A:$K,11,0)</f>
        <v>LENGUAJES ELECTRONICOS</v>
      </c>
      <c r="G361" s="7">
        <v>28440300</v>
      </c>
      <c r="H361" s="7"/>
      <c r="I361" s="5" t="s">
        <v>417</v>
      </c>
      <c r="J361" s="5"/>
      <c r="K361" s="6"/>
      <c r="L361" s="5">
        <f>IFERROR(VLOOKUP(CONCATENATE(A361,"S"),[2]Hoja1!$B:$N,5,0)," ")</f>
        <v>29671223</v>
      </c>
      <c r="M361" s="6" t="str">
        <f>IFERROR(VLOOKUP(CONCATENATE(A361,"S"),[2]Hoja1!$B:$N,6,0)," ")</f>
        <v>PROCHOR JUAN</v>
      </c>
      <c r="N361" s="4" t="str">
        <f t="shared" si="41"/>
        <v>SUPLENTE</v>
      </c>
      <c r="O361" s="17" t="str">
        <f t="shared" si="42"/>
        <v>PROCHOR JUAN</v>
      </c>
      <c r="P361" s="4" t="str">
        <f>IF(O361="vacante","vacante",IFERROR(IF(VLOOKUP(IF((M361)=" ",IF(COUNTBLANK(K361),I361,K361),M361),[3]Hoja1!$B:$I,4,0)="licencia","vacante"," ")," "))</f>
        <v xml:space="preserve"> </v>
      </c>
      <c r="Q361" s="4"/>
      <c r="R361">
        <f t="shared" si="43"/>
        <v>9</v>
      </c>
      <c r="S361" t="str">
        <f t="shared" si="44"/>
        <v>5°4°9</v>
      </c>
    </row>
    <row r="362" spans="1:19" ht="18.75" hidden="1" customHeight="1">
      <c r="A362" s="3" t="str">
        <f t="shared" si="40"/>
        <v>5°4°5415EDASE</v>
      </c>
      <c r="B362" s="3" t="s">
        <v>447</v>
      </c>
      <c r="C362" s="3">
        <v>541</v>
      </c>
      <c r="D362" s="3" t="s">
        <v>442</v>
      </c>
      <c r="E362" s="3">
        <v>2680765</v>
      </c>
      <c r="F362" s="3" t="str">
        <f>VLOOKUP(D362,[1]Hoja1!$A:$K,11,0)</f>
        <v xml:space="preserve">DISEÑO ASIST Y SIMUL ELECT </v>
      </c>
      <c r="G362" s="7">
        <v>28440300</v>
      </c>
      <c r="H362" s="7"/>
      <c r="I362" s="5" t="s">
        <v>297</v>
      </c>
      <c r="J362" s="5"/>
      <c r="K362" s="6"/>
      <c r="L362" s="5">
        <f>IFERROR(VLOOKUP(CONCATENATE(A362,"S"),[2]Hoja1!$B:$N,5,0)," ")</f>
        <v>23086757</v>
      </c>
      <c r="M362" s="6" t="str">
        <f>IFERROR(VLOOKUP(CONCATENATE(A362,"S"),[2]Hoja1!$B:$N,6,0)," ")</f>
        <v>GAUNA FEDERICO</v>
      </c>
      <c r="N362" s="4" t="str">
        <f t="shared" si="41"/>
        <v>SUPLENTE</v>
      </c>
      <c r="O362" s="17" t="str">
        <f t="shared" si="42"/>
        <v>GAUNA FEDERICO</v>
      </c>
      <c r="P362" s="4" t="str">
        <f>IF(O362="vacante","vacante",IFERROR(IF(VLOOKUP(IF((M362)=" ",IF(COUNTBLANK(K362),I362,K362),M362),[3]Hoja1!$B:$I,4,0)="licencia","vacante"," ")," "))</f>
        <v xml:space="preserve"> </v>
      </c>
      <c r="Q362" s="4"/>
      <c r="R362">
        <f t="shared" si="43"/>
        <v>10</v>
      </c>
      <c r="S362" t="str">
        <f t="shared" si="44"/>
        <v>5°4°10</v>
      </c>
    </row>
    <row r="363" spans="1:19" ht="18.75" hidden="1" customHeight="1">
      <c r="A363" s="3" t="str">
        <f t="shared" si="40"/>
        <v>5°4°5415EFTAE5</v>
      </c>
      <c r="B363" s="3" t="s">
        <v>447</v>
      </c>
      <c r="C363" s="3">
        <v>541</v>
      </c>
      <c r="D363" s="3" t="s">
        <v>443</v>
      </c>
      <c r="E363" s="3">
        <v>2680766</v>
      </c>
      <c r="F363" s="3" t="str">
        <f>VLOOKUP(D363,[1]Hoja1!$A:$K,11,0)</f>
        <v xml:space="preserve">APLIC ELECT ANALOG </v>
      </c>
      <c r="G363" s="7">
        <v>26500191</v>
      </c>
      <c r="H363" s="7" t="s">
        <v>80</v>
      </c>
      <c r="I363" s="5" t="s">
        <v>453</v>
      </c>
      <c r="J363" s="5"/>
      <c r="K363" s="6"/>
      <c r="L363" s="5">
        <f>IFERROR(VLOOKUP(CONCATENATE(A363,"S"),[2]Hoja1!$B:$N,5,0)," ")</f>
        <v>0</v>
      </c>
      <c r="M363" s="6" t="str">
        <f>IFERROR(VLOOKUP(CONCATENATE(A363,"S"),[2]Hoja1!$B:$N,6,0)," ")</f>
        <v>BARONI ROBERTO</v>
      </c>
      <c r="N363" s="4" t="str">
        <f t="shared" si="41"/>
        <v>SUPLENTE</v>
      </c>
      <c r="O363" s="17" t="str">
        <f t="shared" si="42"/>
        <v>BARONI ROBERTO</v>
      </c>
      <c r="P363" s="4" t="str">
        <f>IF(O363="vacante","vacante",IFERROR(IF(VLOOKUP(IF((M363)=" ",IF(COUNTBLANK(K363),I363,K363),M363),[3]Hoja1!$B:$I,4,0)="licencia","vacante"," ")," "))</f>
        <v xml:space="preserve"> </v>
      </c>
      <c r="Q363" s="4"/>
      <c r="R363">
        <f t="shared" si="43"/>
        <v>11</v>
      </c>
      <c r="S363" t="str">
        <f t="shared" si="44"/>
        <v>5°4°11</v>
      </c>
    </row>
    <row r="364" spans="1:19" ht="18.75" hidden="1" customHeight="1">
      <c r="A364" s="3" t="str">
        <f t="shared" ref="A364:A395" si="45">CONCATENATE(B364,C364,D364)</f>
        <v>5°4°5415EFTED5</v>
      </c>
      <c r="B364" s="3" t="s">
        <v>447</v>
      </c>
      <c r="C364" s="3">
        <v>541</v>
      </c>
      <c r="D364" s="3" t="s">
        <v>444</v>
      </c>
      <c r="E364" s="3">
        <v>2680767</v>
      </c>
      <c r="F364" s="3" t="str">
        <f>VLOOKUP(D364,[1]Hoja1!$A:$K,11,0)</f>
        <v>APLIC ELECTR DIGITAL</v>
      </c>
      <c r="G364" s="7">
        <v>26500191</v>
      </c>
      <c r="H364" s="7" t="s">
        <v>80</v>
      </c>
      <c r="I364" s="5" t="s">
        <v>454</v>
      </c>
      <c r="J364" s="5"/>
      <c r="K364" s="6"/>
      <c r="L364" s="5">
        <f>IFERROR(VLOOKUP(CONCATENATE(A364,"S"),[2]Hoja1!$B:$N,5,0)," ")</f>
        <v>18383726</v>
      </c>
      <c r="M364" s="6" t="str">
        <f>IFERROR(VLOOKUP(CONCATENATE(A364,"S"),[2]Hoja1!$B:$N,6,0)," ")</f>
        <v xml:space="preserve">MARTINEZ, SILVIO </v>
      </c>
      <c r="N364" s="4" t="str">
        <f t="shared" ref="N364:N395" si="46">IF((M364)=" ",IF(COUNTBLANK(K364),"TITULAR","PROVISIONAL"),"SUPLENTE")</f>
        <v>SUPLENTE</v>
      </c>
      <c r="O364" s="17" t="str">
        <f t="shared" ref="O364:O395" si="47">IF((M364)=" ",IF(COUNTBLANK(K364),I364,K364),M364)</f>
        <v xml:space="preserve">MARTINEZ, SILVIO </v>
      </c>
      <c r="P364" s="4" t="str">
        <f>IF(O364="vacante","vacante",IFERROR(IF(VLOOKUP(IF((M364)=" ",IF(COUNTBLANK(K364),I364,K364),M364),[3]Hoja1!$B:$I,4,0)="licencia","vacante"," ")," "))</f>
        <v xml:space="preserve"> </v>
      </c>
      <c r="Q364" s="4"/>
      <c r="R364">
        <f t="shared" ref="R364:R395" si="48">IF(B364=B363,R363+1,1)</f>
        <v>12</v>
      </c>
      <c r="S364" t="str">
        <f t="shared" ref="S364:S395" si="49">CONCATENATE(B364,R364)</f>
        <v>5°4°12</v>
      </c>
    </row>
    <row r="365" spans="1:19" ht="18.75" hidden="1" customHeight="1">
      <c r="A365" s="3" t="str">
        <f t="shared" si="45"/>
        <v>5°4°5415EFTMP5</v>
      </c>
      <c r="B365" s="3" t="s">
        <v>447</v>
      </c>
      <c r="C365" s="3">
        <v>541</v>
      </c>
      <c r="D365" s="3" t="s">
        <v>445</v>
      </c>
      <c r="E365" s="3">
        <v>2680769</v>
      </c>
      <c r="F365" s="3" t="str">
        <f>VLOOKUP(D365,[1]Hoja1!$A:$K,11,0)</f>
        <v xml:space="preserve">MONTAJE DE PROYECTO ELECTRONICOS </v>
      </c>
      <c r="G365" s="7">
        <v>26024164</v>
      </c>
      <c r="H365" s="7" t="s">
        <v>456</v>
      </c>
      <c r="I365" s="5" t="s">
        <v>397</v>
      </c>
      <c r="J365" s="5"/>
      <c r="K365" s="6"/>
      <c r="L365" s="5" t="str">
        <f>IFERROR(VLOOKUP(CONCATENATE(A365,"S"),[2]Hoja1!$B:$N,5,0)," ")</f>
        <v xml:space="preserve"> </v>
      </c>
      <c r="M365" s="6" t="str">
        <f>IFERROR(VLOOKUP(CONCATENATE(A365,"S"),[2]Hoja1!$B:$N,6,0)," ")</f>
        <v xml:space="preserve"> </v>
      </c>
      <c r="N365" s="4" t="str">
        <f t="shared" si="46"/>
        <v>TITULAR</v>
      </c>
      <c r="O365" s="17" t="str">
        <f t="shared" si="47"/>
        <v xml:space="preserve">SAUCEDO GUSTAVO </v>
      </c>
      <c r="P365" s="4" t="str">
        <f>IF(O365="vacante","vacante",IFERROR(IF(VLOOKUP(IF((M365)=" ",IF(COUNTBLANK(K365),I365,K365),M365),[3]Hoja1!$B:$I,4,0)="licencia","vacante"," ")," "))</f>
        <v xml:space="preserve"> </v>
      </c>
      <c r="Q365" s="4"/>
      <c r="R365">
        <f t="shared" si="48"/>
        <v>13</v>
      </c>
      <c r="S365" t="str">
        <f t="shared" si="49"/>
        <v>5°4°13</v>
      </c>
    </row>
    <row r="366" spans="1:19" ht="18.75" hidden="1" customHeight="1">
      <c r="A366" s="3" t="str">
        <f t="shared" si="45"/>
        <v>5°4°5425EDASE</v>
      </c>
      <c r="B366" s="3" t="s">
        <v>447</v>
      </c>
      <c r="C366" s="3">
        <v>542</v>
      </c>
      <c r="D366" s="3" t="s">
        <v>442</v>
      </c>
      <c r="E366" s="3">
        <v>2680770</v>
      </c>
      <c r="F366" s="3" t="str">
        <f>VLOOKUP(D366,[1]Hoja1!$A:$K,11,0)</f>
        <v xml:space="preserve">DISEÑO ASIST Y SIMUL ELECT </v>
      </c>
      <c r="G366" s="7"/>
      <c r="H366" s="7"/>
      <c r="I366" s="5"/>
      <c r="J366" s="5">
        <v>18383726</v>
      </c>
      <c r="K366" s="6" t="s">
        <v>455</v>
      </c>
      <c r="L366" s="5" t="str">
        <f>IFERROR(VLOOKUP(CONCATENATE(A366,"S"),[2]Hoja1!$B:$N,5,0)," ")</f>
        <v xml:space="preserve"> </v>
      </c>
      <c r="M366" s="6" t="str">
        <f>IFERROR(VLOOKUP(CONCATENATE(A366,"S"),[2]Hoja1!$B:$N,6,0)," ")</f>
        <v xml:space="preserve"> </v>
      </c>
      <c r="N366" s="4" t="str">
        <f t="shared" si="46"/>
        <v>PROVISIONAL</v>
      </c>
      <c r="O366" s="17" t="str">
        <f t="shared" si="47"/>
        <v xml:space="preserve">MARTINEZ, SILVIO </v>
      </c>
      <c r="P366" s="4" t="str">
        <f>IF(O366="vacante","vacante",IFERROR(IF(VLOOKUP(IF((M366)=" ",IF(COUNTBLANK(K366),I366,K366),M366),[3]Hoja1!$B:$I,4,0)="licencia","vacante"," ")," "))</f>
        <v xml:space="preserve"> </v>
      </c>
      <c r="Q366" s="4"/>
      <c r="R366">
        <f t="shared" si="48"/>
        <v>14</v>
      </c>
      <c r="S366" t="str">
        <f t="shared" si="49"/>
        <v>5°4°14</v>
      </c>
    </row>
    <row r="367" spans="1:19" ht="18.75" hidden="1" customHeight="1">
      <c r="A367" s="3" t="str">
        <f t="shared" si="45"/>
        <v>5°4°5425EFTAE5</v>
      </c>
      <c r="B367" s="3" t="s">
        <v>447</v>
      </c>
      <c r="C367" s="3">
        <v>542</v>
      </c>
      <c r="D367" s="3" t="s">
        <v>443</v>
      </c>
      <c r="E367" s="3">
        <v>2680771</v>
      </c>
      <c r="F367" s="3" t="str">
        <f>VLOOKUP(D367,[1]Hoja1!$A:$K,11,0)</f>
        <v xml:space="preserve">APLIC ELECT ANALOG </v>
      </c>
      <c r="G367" s="7"/>
      <c r="H367" s="7"/>
      <c r="I367" s="5"/>
      <c r="J367" s="5">
        <v>14658779</v>
      </c>
      <c r="K367" s="6" t="s">
        <v>399</v>
      </c>
      <c r="L367" s="5" t="str">
        <f>IFERROR(VLOOKUP(CONCATENATE(A367,"S"),[2]Hoja1!$B:$N,5,0)," ")</f>
        <v xml:space="preserve"> </v>
      </c>
      <c r="M367" s="6" t="str">
        <f>IFERROR(VLOOKUP(CONCATENATE(A367,"S"),[2]Hoja1!$B:$N,6,0)," ")</f>
        <v xml:space="preserve"> </v>
      </c>
      <c r="N367" s="4" t="str">
        <f t="shared" si="46"/>
        <v>PROVISIONAL</v>
      </c>
      <c r="O367" s="17" t="str">
        <f t="shared" si="47"/>
        <v>FISTER VICTOR</v>
      </c>
      <c r="P367" s="4" t="str">
        <f>IF(O367="vacante","vacante",IFERROR(IF(VLOOKUP(IF((M367)=" ",IF(COUNTBLANK(K367),I367,K367),M367),[3]Hoja1!$B:$I,4,0)="licencia","vacante"," ")," "))</f>
        <v xml:space="preserve"> </v>
      </c>
      <c r="Q367" s="4"/>
      <c r="R367">
        <f t="shared" si="48"/>
        <v>15</v>
      </c>
      <c r="S367" t="str">
        <f t="shared" si="49"/>
        <v>5°4°15</v>
      </c>
    </row>
    <row r="368" spans="1:19" ht="18.75" hidden="1" customHeight="1">
      <c r="A368" s="3" t="str">
        <f t="shared" si="45"/>
        <v>5°4°5425EFTED5</v>
      </c>
      <c r="B368" s="3" t="s">
        <v>447</v>
      </c>
      <c r="C368" s="3">
        <v>542</v>
      </c>
      <c r="D368" s="3" t="s">
        <v>444</v>
      </c>
      <c r="E368" s="3">
        <v>2680772</v>
      </c>
      <c r="F368" s="3" t="str">
        <f>VLOOKUP(D368,[1]Hoja1!$A:$K,11,0)</f>
        <v>APLIC ELECTR DIGITAL</v>
      </c>
      <c r="G368" s="7">
        <v>26500191</v>
      </c>
      <c r="H368" s="7" t="s">
        <v>78</v>
      </c>
      <c r="I368" s="5" t="s">
        <v>453</v>
      </c>
      <c r="J368" s="5"/>
      <c r="K368" s="6"/>
      <c r="L368" s="5">
        <f>IFERROR(VLOOKUP(CONCATENATE(A368,"S"),[2]Hoja1!$B:$N,5,0)," ")</f>
        <v>23086757</v>
      </c>
      <c r="M368" s="6" t="str">
        <f>IFERROR(VLOOKUP(CONCATENATE(A368,"S"),[2]Hoja1!$B:$N,6,0)," ")</f>
        <v>SERENO, LEONEL</v>
      </c>
      <c r="N368" s="4" t="str">
        <f t="shared" si="46"/>
        <v>SUPLENTE</v>
      </c>
      <c r="O368" s="17" t="str">
        <f t="shared" si="47"/>
        <v>SERENO, LEONEL</v>
      </c>
      <c r="P368" s="4" t="str">
        <f>IF(O368="vacante","vacante",IFERROR(IF(VLOOKUP(IF((M368)=" ",IF(COUNTBLANK(K368),I368,K368),M368),[3]Hoja1!$B:$I,4,0)="licencia","vacante"," ")," "))</f>
        <v xml:space="preserve"> </v>
      </c>
      <c r="Q368" s="4"/>
      <c r="R368">
        <f t="shared" si="48"/>
        <v>16</v>
      </c>
      <c r="S368" t="str">
        <f t="shared" si="49"/>
        <v>5°4°16</v>
      </c>
    </row>
    <row r="369" spans="1:19" ht="18.75" hidden="1" customHeight="1">
      <c r="A369" s="3" t="str">
        <f t="shared" si="45"/>
        <v>5°4°5425EFTMP5</v>
      </c>
      <c r="B369" s="3" t="s">
        <v>447</v>
      </c>
      <c r="C369" s="3">
        <v>542</v>
      </c>
      <c r="D369" s="3" t="s">
        <v>445</v>
      </c>
      <c r="E369" s="3">
        <v>2680773</v>
      </c>
      <c r="F369" s="3" t="str">
        <f>VLOOKUP(D369,[1]Hoja1!$A:$K,11,0)</f>
        <v xml:space="preserve">MONTAJE DE PROYECTO ELECTRONICOS </v>
      </c>
      <c r="G369" s="7">
        <v>26024164</v>
      </c>
      <c r="H369" s="7" t="s">
        <v>80</v>
      </c>
      <c r="I369" s="5" t="s">
        <v>493</v>
      </c>
      <c r="J369" s="5"/>
      <c r="K369" s="6"/>
      <c r="L369" s="5" t="str">
        <f>IFERROR(VLOOKUP(CONCATENATE(A369,"S"),[2]Hoja1!$B:$N,5,0)," ")</f>
        <v xml:space="preserve"> </v>
      </c>
      <c r="M369" s="6" t="str">
        <f>IFERROR(VLOOKUP(CONCATENATE(A369,"S"),[2]Hoja1!$B:$N,6,0)," ")</f>
        <v xml:space="preserve"> </v>
      </c>
      <c r="N369" s="4" t="str">
        <f t="shared" si="46"/>
        <v>TITULAR</v>
      </c>
      <c r="O369" s="17" t="str">
        <f t="shared" si="47"/>
        <v>SAUCEDO GUSTAVO</v>
      </c>
      <c r="P369" s="4" t="str">
        <f>IF(O369="vacante","vacante",IFERROR(IF(VLOOKUP(IF((M369)=" ",IF(COUNTBLANK(K369),I369,K369),M369),[3]Hoja1!$B:$I,4,0)="licencia","vacante"," ")," "))</f>
        <v xml:space="preserve"> </v>
      </c>
      <c r="Q369" s="4"/>
      <c r="R369">
        <f t="shared" si="48"/>
        <v>17</v>
      </c>
      <c r="S369" t="str">
        <f t="shared" si="49"/>
        <v>5°4°17</v>
      </c>
    </row>
    <row r="370" spans="1:19" ht="18.75" hidden="1" customHeight="1">
      <c r="A370" s="3" t="str">
        <f t="shared" si="45"/>
        <v>5°1°5ILITS</v>
      </c>
      <c r="B370" s="3" t="s">
        <v>405</v>
      </c>
      <c r="C370" s="3"/>
      <c r="D370" s="3" t="s">
        <v>406</v>
      </c>
      <c r="E370" s="3">
        <v>2543607</v>
      </c>
      <c r="F370" s="3" t="str">
        <f>VLOOKUP(D370,[1]Hoja1!$A:$K,11,0)</f>
        <v>LITERATURA</v>
      </c>
      <c r="G370" s="7" t="s">
        <v>623</v>
      </c>
      <c r="H370" s="7"/>
      <c r="I370" s="5" t="s">
        <v>720</v>
      </c>
      <c r="J370" s="5"/>
      <c r="K370" s="6"/>
      <c r="L370" s="5" t="str">
        <f>IFERROR(VLOOKUP(CONCATENATE(A370,"S"),[2]Hoja1!$B:$N,5,0)," ")</f>
        <v xml:space="preserve"> </v>
      </c>
      <c r="M370" s="6" t="str">
        <f>IFERROR(VLOOKUP(CONCATENATE(A370,"S"),[2]Hoja1!$B:$N,6,0)," ")</f>
        <v xml:space="preserve"> </v>
      </c>
      <c r="N370" s="4" t="str">
        <f t="shared" si="46"/>
        <v>TITULAR</v>
      </c>
      <c r="O370" s="17" t="str">
        <f t="shared" si="47"/>
        <v>MIRAFIORI, N   0</v>
      </c>
      <c r="P370" s="4" t="str">
        <f>IF(O370="vacante","vacante",IFERROR(IF(VLOOKUP(IF((M370)=" ",IF(COUNTBLANK(K370),I370,K370),M370),[3]Hoja1!$B:$I,4,0)="licencia","vacante"," ")," "))</f>
        <v xml:space="preserve"> </v>
      </c>
      <c r="Q370" s="4" t="s">
        <v>625</v>
      </c>
      <c r="R370">
        <f t="shared" si="48"/>
        <v>1</v>
      </c>
      <c r="S370" t="str">
        <f t="shared" si="49"/>
        <v>5°1°1</v>
      </c>
    </row>
    <row r="371" spans="1:19" ht="18.75" hidden="1" customHeight="1">
      <c r="A371" s="3" t="str">
        <f t="shared" si="45"/>
        <v>5°1°5IINGS</v>
      </c>
      <c r="B371" s="3" t="s">
        <v>405</v>
      </c>
      <c r="C371" s="3"/>
      <c r="D371" s="3" t="s">
        <v>407</v>
      </c>
      <c r="E371" s="3">
        <v>2543620</v>
      </c>
      <c r="F371" s="3" t="str">
        <f>VLOOKUP(D371,[1]Hoja1!$A:$K,11,0)</f>
        <v>INGLÉS</v>
      </c>
      <c r="G371" s="7" t="s">
        <v>581</v>
      </c>
      <c r="H371" s="7"/>
      <c r="I371" s="5" t="s">
        <v>57</v>
      </c>
      <c r="J371" s="5"/>
      <c r="K371" s="6"/>
      <c r="L371" s="5" t="str">
        <f>IFERROR(VLOOKUP(CONCATENATE(A371,"S"),[2]Hoja1!$B:$N,5,0)," ")</f>
        <v xml:space="preserve"> </v>
      </c>
      <c r="M371" s="6" t="str">
        <f>IFERROR(VLOOKUP(CONCATENATE(A371,"S"),[2]Hoja1!$B:$N,6,0)," ")</f>
        <v xml:space="preserve"> </v>
      </c>
      <c r="N371" s="4" t="str">
        <f t="shared" si="46"/>
        <v>TITULAR</v>
      </c>
      <c r="O371" s="17" t="str">
        <f t="shared" si="47"/>
        <v xml:space="preserve">ARCE KARINA </v>
      </c>
      <c r="P371" s="4" t="str">
        <f>IF(O371="vacante","vacante",IFERROR(IF(VLOOKUP(IF((M371)=" ",IF(COUNTBLANK(K371),I371,K371),M371),[3]Hoja1!$B:$I,4,0)="licencia","vacante"," ")," "))</f>
        <v xml:space="preserve"> </v>
      </c>
      <c r="Q371" s="4" t="s">
        <v>626</v>
      </c>
      <c r="R371">
        <f t="shared" si="48"/>
        <v>2</v>
      </c>
      <c r="S371" t="str">
        <f t="shared" si="49"/>
        <v>5°1°2</v>
      </c>
    </row>
    <row r="372" spans="1:19" ht="18.75" hidden="1" customHeight="1">
      <c r="A372" s="3" t="str">
        <f t="shared" si="45"/>
        <v>5°1°5IEFIS</v>
      </c>
      <c r="B372" s="3" t="s">
        <v>405</v>
      </c>
      <c r="C372" s="3"/>
      <c r="D372" s="3" t="s">
        <v>408</v>
      </c>
      <c r="E372" s="3">
        <v>2543646</v>
      </c>
      <c r="F372" s="3" t="str">
        <f>VLOOKUP(D372,[1]Hoja1!$A:$K,11,0)</f>
        <v>EDUCACIÓN FISICA</v>
      </c>
      <c r="G372" s="7">
        <v>29569203</v>
      </c>
      <c r="H372" s="7"/>
      <c r="I372" s="5" t="s">
        <v>409</v>
      </c>
      <c r="J372" s="5"/>
      <c r="K372" s="6"/>
      <c r="L372" s="5" t="str">
        <f>IFERROR(VLOOKUP(CONCATENATE(A372,"S"),[2]Hoja1!$B:$N,5,0)," ")</f>
        <v xml:space="preserve"> </v>
      </c>
      <c r="M372" s="6" t="str">
        <f>IFERROR(VLOOKUP(CONCATENATE(A372,"S"),[2]Hoja1!$B:$N,6,0)," ")</f>
        <v xml:space="preserve"> </v>
      </c>
      <c r="N372" s="4" t="str">
        <f t="shared" si="46"/>
        <v>TITULAR</v>
      </c>
      <c r="O372" s="17" t="str">
        <f t="shared" si="47"/>
        <v>LUDUEÑA NELSON</v>
      </c>
      <c r="P372" s="4" t="str">
        <f>IF(O372="vacante","vacante",IFERROR(IF(VLOOKUP(IF((M372)=" ",IF(COUNTBLANK(K372),I372,K372),M372),[3]Hoja1!$B:$I,4,0)="licencia","vacante"," ")," "))</f>
        <v xml:space="preserve"> </v>
      </c>
      <c r="Q372" s="4"/>
      <c r="R372">
        <f t="shared" si="48"/>
        <v>3</v>
      </c>
      <c r="S372" t="str">
        <f t="shared" si="49"/>
        <v>5°1°3</v>
      </c>
    </row>
    <row r="373" spans="1:19" ht="18.75" hidden="1" customHeight="1">
      <c r="A373" s="3" t="str">
        <f t="shared" si="45"/>
        <v>5°1°5IPYCS</v>
      </c>
      <c r="B373" s="3" t="s">
        <v>405</v>
      </c>
      <c r="C373" s="3"/>
      <c r="D373" s="3" t="s">
        <v>410</v>
      </c>
      <c r="E373" s="3">
        <v>2543648</v>
      </c>
      <c r="F373" s="3" t="str">
        <f>VLOOKUP(D373,[1]Hoja1!$A:$K,11,0)</f>
        <v>POLITICA Y CIUDADANIA</v>
      </c>
      <c r="G373" s="7"/>
      <c r="H373" s="7"/>
      <c r="I373" s="5" t="s">
        <v>646</v>
      </c>
      <c r="J373" s="5"/>
      <c r="K373" s="6"/>
      <c r="L373" s="5" t="str">
        <f>IFERROR(VLOOKUP(CONCATENATE(A373,"S"),[2]Hoja1!$B:$N,5,0)," ")</f>
        <v xml:space="preserve"> </v>
      </c>
      <c r="M373" s="6" t="str">
        <f>IFERROR(VLOOKUP(CONCATENATE(A373,"S"),[2]Hoja1!$B:$N,6,0)," ")</f>
        <v xml:space="preserve"> </v>
      </c>
      <c r="N373" s="4" t="str">
        <f t="shared" si="46"/>
        <v>TITULAR</v>
      </c>
      <c r="O373" s="17" t="str">
        <f t="shared" si="47"/>
        <v xml:space="preserve">GONZALEZ GONZALEZ ROMINA </v>
      </c>
      <c r="P373" s="4" t="str">
        <f>IF(O373="vacante","vacante",IFERROR(IF(VLOOKUP(IF((M373)=" ",IF(COUNTBLANK(K373),I373,K373),M373),[3]Hoja1!$B:$I,4,0)="licencia","vacante"," ")," "))</f>
        <v xml:space="preserve"> </v>
      </c>
      <c r="Q373" s="4" t="s">
        <v>626</v>
      </c>
      <c r="R373">
        <f t="shared" si="48"/>
        <v>4</v>
      </c>
      <c r="S373" t="str">
        <f t="shared" si="49"/>
        <v>5°1°4</v>
      </c>
    </row>
    <row r="374" spans="1:19" ht="18.75" hidden="1" customHeight="1">
      <c r="A374" s="3" t="str">
        <f t="shared" si="45"/>
        <v>5°1°5IHIS5</v>
      </c>
      <c r="B374" s="3" t="s">
        <v>405</v>
      </c>
      <c r="C374" s="3"/>
      <c r="D374" s="3" t="s">
        <v>413</v>
      </c>
      <c r="E374" s="3">
        <v>2543649</v>
      </c>
      <c r="F374" s="3" t="str">
        <f>VLOOKUP(D374,[1]Hoja1!$A:$K,11,0)</f>
        <v>HISTORIA</v>
      </c>
      <c r="G374" s="7"/>
      <c r="H374" s="7"/>
      <c r="I374" s="5" t="s">
        <v>387</v>
      </c>
      <c r="J374" s="5"/>
      <c r="K374" s="6"/>
      <c r="L374" s="5" t="str">
        <f>IFERROR(VLOOKUP(CONCATENATE(A374,"S"),[2]Hoja1!$B:$N,5,0)," ")</f>
        <v xml:space="preserve"> </v>
      </c>
      <c r="M374" s="6" t="str">
        <f>IFERROR(VLOOKUP(CONCATENATE(A374,"S"),[2]Hoja1!$B:$N,6,0)," ")</f>
        <v xml:space="preserve"> </v>
      </c>
      <c r="N374" s="4" t="str">
        <f t="shared" si="46"/>
        <v>TITULAR</v>
      </c>
      <c r="O374" s="17" t="str">
        <f t="shared" si="47"/>
        <v>PALACIOS GUSTAVO</v>
      </c>
      <c r="P374" s="4" t="str">
        <f>IF(O374="vacante","vacante",IFERROR(IF(VLOOKUP(IF((M374)=" ",IF(COUNTBLANK(K374),I374,K374),M374),[3]Hoja1!$B:$I,4,0)="licencia","vacante"," ")," "))</f>
        <v xml:space="preserve"> </v>
      </c>
      <c r="Q374" s="4" t="s">
        <v>626</v>
      </c>
      <c r="R374">
        <f t="shared" si="48"/>
        <v>5</v>
      </c>
      <c r="S374" t="str">
        <f t="shared" si="49"/>
        <v>5°1°5</v>
      </c>
    </row>
    <row r="375" spans="1:19" ht="18.75" hidden="1" customHeight="1">
      <c r="A375" s="3" t="str">
        <f t="shared" si="45"/>
        <v>5°1°5IGEOS5</v>
      </c>
      <c r="B375" s="3" t="s">
        <v>405</v>
      </c>
      <c r="C375" s="3"/>
      <c r="D375" s="3" t="s">
        <v>414</v>
      </c>
      <c r="E375" s="3">
        <v>2543650</v>
      </c>
      <c r="F375" s="3" t="str">
        <f>VLOOKUP(D375,[1]Hoja1!$A:$K,11,0)</f>
        <v>GEOGRAFIA</v>
      </c>
      <c r="G375" s="7"/>
      <c r="H375" s="7"/>
      <c r="I375" s="5" t="s">
        <v>426</v>
      </c>
      <c r="J375" s="5"/>
      <c r="K375" s="6"/>
      <c r="L375" s="5" t="str">
        <f>IFERROR(VLOOKUP(CONCATENATE(A375,"S"),[2]Hoja1!$B:$N,5,0)," ")</f>
        <v xml:space="preserve"> </v>
      </c>
      <c r="M375" s="6" t="str">
        <f>IFERROR(VLOOKUP(CONCATENATE(A375,"S"),[2]Hoja1!$B:$N,6,0)," ")</f>
        <v xml:space="preserve"> </v>
      </c>
      <c r="N375" s="4" t="str">
        <f t="shared" si="46"/>
        <v>TITULAR</v>
      </c>
      <c r="O375" s="17" t="str">
        <f t="shared" si="47"/>
        <v xml:space="preserve">SPERONI, ADRIAN </v>
      </c>
      <c r="P375" s="4" t="str">
        <f>IF(O375="vacante","vacante",IFERROR(IF(VLOOKUP(IF((M375)=" ",IF(COUNTBLANK(K375),I375,K375),M375),[3]Hoja1!$B:$I,4,0)="licencia","vacante"," ")," "))</f>
        <v xml:space="preserve"> </v>
      </c>
      <c r="Q375" s="4" t="s">
        <v>626</v>
      </c>
      <c r="R375">
        <f t="shared" si="48"/>
        <v>6</v>
      </c>
      <c r="S375" t="str">
        <f t="shared" si="49"/>
        <v>5°1°6</v>
      </c>
    </row>
    <row r="376" spans="1:19" ht="18.75" hidden="1" customHeight="1">
      <c r="A376" s="3" t="str">
        <f t="shared" si="45"/>
        <v>5°1°5IANMAT</v>
      </c>
      <c r="B376" s="3" t="s">
        <v>405</v>
      </c>
      <c r="C376" s="3"/>
      <c r="D376" s="3" t="s">
        <v>415</v>
      </c>
      <c r="E376" s="3">
        <v>2543652</v>
      </c>
      <c r="F376" s="3" t="str">
        <f>VLOOKUP(D376,[1]Hoja1!$A:$K,11,0)</f>
        <v>ANALISIS MATEMATICO</v>
      </c>
      <c r="G376" s="7"/>
      <c r="H376" s="7"/>
      <c r="I376" s="5"/>
      <c r="J376" s="5">
        <v>23086757</v>
      </c>
      <c r="K376" s="6" t="s">
        <v>696</v>
      </c>
      <c r="L376" s="5" t="str">
        <f>IFERROR(VLOOKUP(CONCATENATE(A376,"S"),[2]Hoja1!$B:$N,5,0)," ")</f>
        <v xml:space="preserve"> </v>
      </c>
      <c r="M376" s="6" t="str">
        <f>IFERROR(VLOOKUP(CONCATENATE(A376,"S"),[2]Hoja1!$B:$N,6,0)," ")</f>
        <v xml:space="preserve"> </v>
      </c>
      <c r="N376" s="4" t="str">
        <f t="shared" si="46"/>
        <v>PROVISIONAL</v>
      </c>
      <c r="O376" s="17" t="str">
        <f t="shared" si="47"/>
        <v>CENTURION SILVIA</v>
      </c>
      <c r="P376" s="4" t="str">
        <f>IF(O376="vacante","vacante",IFERROR(IF(VLOOKUP(IF((M376)=" ",IF(COUNTBLANK(K376),I376,K376),M376),[3]Hoja1!$B:$I,4,0)="licencia","vacante"," ")," "))</f>
        <v xml:space="preserve"> </v>
      </c>
      <c r="Q376" s="4"/>
      <c r="R376">
        <f t="shared" si="48"/>
        <v>7</v>
      </c>
      <c r="S376" t="str">
        <f t="shared" si="49"/>
        <v>5°1°7</v>
      </c>
    </row>
    <row r="377" spans="1:19" ht="18.75" hidden="1" customHeight="1">
      <c r="A377" s="3" t="str">
        <f t="shared" si="45"/>
        <v>5°1°5ISIDI4</v>
      </c>
      <c r="B377" s="3" t="s">
        <v>405</v>
      </c>
      <c r="C377" s="3"/>
      <c r="D377" s="3" t="s">
        <v>416</v>
      </c>
      <c r="E377" s="3">
        <v>2571507</v>
      </c>
      <c r="F377" s="3" t="str">
        <f>VLOOKUP(D377,[1]Hoja1!$A:$K,11,0)</f>
        <v>SISTEMA DIGITAL</v>
      </c>
      <c r="G377" s="7"/>
      <c r="H377" s="7"/>
      <c r="I377" s="5"/>
      <c r="J377" s="5" t="s">
        <v>722</v>
      </c>
      <c r="K377" s="6" t="s">
        <v>721</v>
      </c>
      <c r="L377" s="5" t="str">
        <f>IFERROR(VLOOKUP(CONCATENATE(A377,"S"),[2]Hoja1!$B:$N,5,0)," ")</f>
        <v xml:space="preserve"> </v>
      </c>
      <c r="M377" s="6" t="str">
        <f>IFERROR(VLOOKUP(CONCATENATE(A377,"S"),[2]Hoja1!$B:$N,6,0)," ")</f>
        <v xml:space="preserve"> </v>
      </c>
      <c r="N377" s="4" t="str">
        <f t="shared" si="46"/>
        <v>PROVISIONAL</v>
      </c>
      <c r="O377" s="17" t="str">
        <f t="shared" si="47"/>
        <v>MONTENEGRO CLAUDIA</v>
      </c>
      <c r="P377" s="4" t="str">
        <f>IF(O377="vacante","vacante",IFERROR(IF(VLOOKUP(IF((M377)=" ",IF(COUNTBLANK(K377),I377,K377),M377),[3]Hoja1!$B:$I,4,0)="licencia","vacante"," ")," "))</f>
        <v xml:space="preserve"> </v>
      </c>
      <c r="Q377" s="4"/>
      <c r="R377">
        <f t="shared" si="48"/>
        <v>8</v>
      </c>
      <c r="S377" t="str">
        <f t="shared" si="49"/>
        <v>5°1°8</v>
      </c>
    </row>
    <row r="378" spans="1:19" ht="18.75" hidden="1" customHeight="1">
      <c r="A378" s="3" t="str">
        <f t="shared" si="45"/>
        <v>5°1°5ITELEI</v>
      </c>
      <c r="B378" s="3" t="s">
        <v>405</v>
      </c>
      <c r="C378" s="3"/>
      <c r="D378" s="3" t="s">
        <v>418</v>
      </c>
      <c r="E378" s="3">
        <v>2571508</v>
      </c>
      <c r="F378" s="3" t="str">
        <f>VLOOKUP(D378,[1]Hoja1!$A:$K,11,0)</f>
        <v>TELEINFORMATICA</v>
      </c>
      <c r="G378" s="7"/>
      <c r="H378" s="7"/>
      <c r="I378" s="5"/>
      <c r="J378" s="5" t="s">
        <v>722</v>
      </c>
      <c r="K378" s="6" t="s">
        <v>721</v>
      </c>
      <c r="L378" s="5" t="str">
        <f>IFERROR(VLOOKUP(CONCATENATE(A378,"S"),[2]Hoja1!$B:$N,5,0)," ")</f>
        <v xml:space="preserve"> </v>
      </c>
      <c r="M378" s="6" t="str">
        <f>IFERROR(VLOOKUP(CONCATENATE(A378,"S"),[2]Hoja1!$B:$N,6,0)," ")</f>
        <v xml:space="preserve"> </v>
      </c>
      <c r="N378" s="4" t="str">
        <f t="shared" si="46"/>
        <v>PROVISIONAL</v>
      </c>
      <c r="O378" s="17" t="str">
        <f t="shared" si="47"/>
        <v>MONTENEGRO CLAUDIA</v>
      </c>
      <c r="P378" s="4" t="str">
        <f>IF(O378="vacante","vacante",IFERROR(IF(VLOOKUP(IF((M378)=" ",IF(COUNTBLANK(K378),I378,K378),M378),[3]Hoja1!$B:$I,4,0)="licencia","vacante"," ")," "))</f>
        <v xml:space="preserve"> </v>
      </c>
      <c r="Q378" s="4"/>
      <c r="R378">
        <f t="shared" si="48"/>
        <v>9</v>
      </c>
      <c r="S378" t="str">
        <f t="shared" si="49"/>
        <v>5°1°9</v>
      </c>
    </row>
    <row r="379" spans="1:19" ht="18.75" hidden="1" customHeight="1">
      <c r="A379" s="3" t="str">
        <f t="shared" si="45"/>
        <v>5°1°5115IFTLP5</v>
      </c>
      <c r="B379" s="3" t="s">
        <v>405</v>
      </c>
      <c r="C379" s="3">
        <v>511</v>
      </c>
      <c r="D379" s="3" t="s">
        <v>419</v>
      </c>
      <c r="E379" s="3">
        <v>2543654</v>
      </c>
      <c r="F379" s="3" t="str">
        <f>VLOOKUP(D379,[1]Hoja1!$A:$K,11,0)</f>
        <v xml:space="preserve">LAB DE PROGRAM </v>
      </c>
      <c r="G379" s="7"/>
      <c r="H379" s="7"/>
      <c r="I379" s="5"/>
      <c r="J379" s="5"/>
      <c r="K379" s="6" t="s">
        <v>582</v>
      </c>
      <c r="L379" s="5" t="str">
        <f>IFERROR(VLOOKUP(CONCATENATE(A379,"S"),[2]Hoja1!$B:$N,5,0)," ")</f>
        <v xml:space="preserve"> </v>
      </c>
      <c r="M379" s="6" t="str">
        <f>IFERROR(VLOOKUP(CONCATENATE(A379,"S"),[2]Hoja1!$B:$N,6,0)," ")</f>
        <v xml:space="preserve"> </v>
      </c>
      <c r="N379" s="4" t="str">
        <f t="shared" si="46"/>
        <v>PROVISIONAL</v>
      </c>
      <c r="O379" s="17" t="str">
        <f t="shared" si="47"/>
        <v>WITT  GERARDO</v>
      </c>
      <c r="P379" s="4" t="str">
        <f>IF(O379="vacante","vacante",IFERROR(IF(VLOOKUP(IF((M379)=" ",IF(COUNTBLANK(K379),I379,K379),M379),[3]Hoja1!$B:$I,4,0)="licencia","vacante"," ")," "))</f>
        <v xml:space="preserve"> </v>
      </c>
      <c r="Q379" s="4" t="s">
        <v>627</v>
      </c>
      <c r="R379">
        <f t="shared" si="48"/>
        <v>10</v>
      </c>
      <c r="S379" t="str">
        <f t="shared" si="49"/>
        <v>5°1°10</v>
      </c>
    </row>
    <row r="380" spans="1:19" ht="18.75" hidden="1" customHeight="1">
      <c r="A380" s="3" t="str">
        <f t="shared" si="45"/>
        <v>5°1°5115IFTLH5</v>
      </c>
      <c r="B380" s="3" t="s">
        <v>405</v>
      </c>
      <c r="C380" s="3">
        <v>511</v>
      </c>
      <c r="D380" s="3" t="s">
        <v>420</v>
      </c>
      <c r="E380" s="3">
        <v>2543655</v>
      </c>
      <c r="F380" s="3" t="str">
        <f>VLOOKUP(D380,[1]Hoja1!$A:$K,11,0)</f>
        <v xml:space="preserve">LAB DE HARDWARE </v>
      </c>
      <c r="G380" s="7" t="s">
        <v>628</v>
      </c>
      <c r="H380" s="7"/>
      <c r="I380" s="5"/>
      <c r="J380" s="5"/>
      <c r="K380" s="6" t="s">
        <v>566</v>
      </c>
      <c r="L380" s="5" t="str">
        <f>IFERROR(VLOOKUP(CONCATENATE(A380,"S"),[2]Hoja1!$B:$N,5,0)," ")</f>
        <v xml:space="preserve"> </v>
      </c>
      <c r="M380" s="6" t="str">
        <f>IFERROR(VLOOKUP(CONCATENATE(A380,"S"),[2]Hoja1!$B:$N,6,0)," ")</f>
        <v xml:space="preserve"> </v>
      </c>
      <c r="N380" s="4" t="str">
        <f t="shared" si="46"/>
        <v>PROVISIONAL</v>
      </c>
      <c r="O380" s="17" t="str">
        <f t="shared" si="47"/>
        <v>DELGADO ARIEL</v>
      </c>
      <c r="P380" s="4" t="str">
        <f>IF(O380="vacante","vacante",IFERROR(IF(VLOOKUP(IF((M380)=" ",IF(COUNTBLANK(K380),I380,K380),M380),[3]Hoja1!$B:$I,4,0)="licencia","vacante"," ")," "))</f>
        <v xml:space="preserve"> </v>
      </c>
      <c r="Q380" s="4" t="s">
        <v>629</v>
      </c>
      <c r="R380">
        <f t="shared" si="48"/>
        <v>11</v>
      </c>
      <c r="S380" t="str">
        <f t="shared" si="49"/>
        <v>5°1°11</v>
      </c>
    </row>
    <row r="381" spans="1:19" ht="18.75" hidden="1" customHeight="1">
      <c r="A381" s="3" t="str">
        <f t="shared" si="45"/>
        <v>5°1°5115IFTLS5</v>
      </c>
      <c r="B381" s="3" t="s">
        <v>405</v>
      </c>
      <c r="C381" s="3">
        <v>511</v>
      </c>
      <c r="D381" s="3" t="s">
        <v>421</v>
      </c>
      <c r="E381" s="3">
        <v>2543656</v>
      </c>
      <c r="F381" s="3" t="str">
        <f>VLOOKUP(D381,[1]Hoja1!$A:$K,11,0)</f>
        <v>LAB DE SIST OPERATIVOS</v>
      </c>
      <c r="G381" s="7"/>
      <c r="H381" s="7"/>
      <c r="I381" s="5"/>
      <c r="J381" s="5">
        <v>26114670</v>
      </c>
      <c r="K381" s="6" t="s">
        <v>757</v>
      </c>
      <c r="L381" s="5"/>
      <c r="M381" s="6" t="str">
        <f>IFERROR(VLOOKUP(CONCATENATE(A381,"S"),[2]Hoja1!$B:$N,6,0)," ")</f>
        <v>FERREYRA JESICA</v>
      </c>
      <c r="N381" s="4" t="str">
        <f t="shared" si="46"/>
        <v>SUPLENTE</v>
      </c>
      <c r="O381" s="17" t="str">
        <f t="shared" si="47"/>
        <v>FERREYRA JESICA</v>
      </c>
      <c r="P381" s="4" t="str">
        <f>IF(O381="vacante","vacante",IFERROR(IF(VLOOKUP(IF((M381)=" ",IF(COUNTBLANK(K381),I381,K381),M381),[3]Hoja1!$B:$I,4,0)="licencia","vacante"," ")," "))</f>
        <v xml:space="preserve"> </v>
      </c>
      <c r="Q381" s="4" t="s">
        <v>630</v>
      </c>
      <c r="R381">
        <f t="shared" si="48"/>
        <v>12</v>
      </c>
      <c r="S381" t="str">
        <f t="shared" si="49"/>
        <v>5°1°12</v>
      </c>
    </row>
    <row r="382" spans="1:19" ht="18.75" hidden="1" customHeight="1">
      <c r="A382" s="3" t="str">
        <f t="shared" si="45"/>
        <v>5°1°5115IFTLA5</v>
      </c>
      <c r="B382" s="3" t="s">
        <v>405</v>
      </c>
      <c r="C382" s="3">
        <v>511</v>
      </c>
      <c r="D382" s="3" t="s">
        <v>422</v>
      </c>
      <c r="E382" s="3">
        <v>2543658</v>
      </c>
      <c r="F382" s="3" t="str">
        <f>VLOOKUP(D382,[1]Hoja1!$A:$K,11,0)</f>
        <v xml:space="preserve">LAB DE APLICACIONES </v>
      </c>
      <c r="G382" s="7"/>
      <c r="H382" s="7"/>
      <c r="I382" s="5"/>
      <c r="J382" s="5"/>
      <c r="K382" s="6" t="s">
        <v>423</v>
      </c>
      <c r="L382" s="5" t="str">
        <f>IFERROR(VLOOKUP(CONCATENATE(A382,"S"),[2]Hoja1!$B:$N,5,0)," ")</f>
        <v xml:space="preserve"> </v>
      </c>
      <c r="M382" s="6" t="str">
        <f>IFERROR(VLOOKUP(CONCATENATE(A382,"S"),[2]Hoja1!$B:$N,6,0)," ")</f>
        <v xml:space="preserve"> </v>
      </c>
      <c r="N382" s="4" t="str">
        <f t="shared" si="46"/>
        <v>PROVISIONAL</v>
      </c>
      <c r="O382" s="17" t="str">
        <f t="shared" si="47"/>
        <v xml:space="preserve">BARCENILLA, JAVIER </v>
      </c>
      <c r="P382" s="4" t="str">
        <f>IF(O382="vacante","vacante",IFERROR(IF(VLOOKUP(IF((M382)=" ",IF(COUNTBLANK(K382),I382,K382),M382),[3]Hoja1!$B:$I,4,0)="licencia","vacante"," ")," "))</f>
        <v xml:space="preserve"> </v>
      </c>
      <c r="Q382" s="4" t="s">
        <v>631</v>
      </c>
      <c r="R382">
        <f t="shared" si="48"/>
        <v>13</v>
      </c>
      <c r="S382" t="str">
        <f t="shared" si="49"/>
        <v>5°1°13</v>
      </c>
    </row>
    <row r="383" spans="1:19" ht="18.75" hidden="1" customHeight="1">
      <c r="A383" s="3" t="str">
        <f t="shared" si="45"/>
        <v>5°1°5125IFTLP5</v>
      </c>
      <c r="B383" s="3" t="s">
        <v>405</v>
      </c>
      <c r="C383" s="3">
        <v>512</v>
      </c>
      <c r="D383" s="3" t="s">
        <v>419</v>
      </c>
      <c r="E383" s="3">
        <v>2543659</v>
      </c>
      <c r="F383" s="3" t="str">
        <f>VLOOKUP(D383,[1]Hoja1!$A:$K,11,0)</f>
        <v xml:space="preserve">LAB DE PROGRAM </v>
      </c>
      <c r="G383" s="7"/>
      <c r="H383" s="7"/>
      <c r="I383" s="5"/>
      <c r="J383" s="5"/>
      <c r="K383" s="6" t="s">
        <v>668</v>
      </c>
      <c r="L383" s="5" t="str">
        <f>IFERROR(VLOOKUP(CONCATENATE(A383,"S"),[2]Hoja1!$B:$N,5,0)," ")</f>
        <v xml:space="preserve"> </v>
      </c>
      <c r="M383" s="6" t="str">
        <f>IFERROR(VLOOKUP(CONCATENATE(A383,"S"),[2]Hoja1!$B:$N,6,0)," ")</f>
        <v xml:space="preserve"> </v>
      </c>
      <c r="N383" s="4" t="str">
        <f t="shared" si="46"/>
        <v>PROVISIONAL</v>
      </c>
      <c r="O383" s="17" t="str">
        <f t="shared" si="47"/>
        <v>WITT GERARDO</v>
      </c>
      <c r="P383" s="4" t="str">
        <f>IF(O383="vacante","vacante",IFERROR(IF(VLOOKUP(IF((M383)=" ",IF(COUNTBLANK(K383),I383,K383),M383),[3]Hoja1!$B:$I,4,0)="licencia","vacante"," ")," "))</f>
        <v xml:space="preserve"> </v>
      </c>
      <c r="Q383" s="4" t="s">
        <v>632</v>
      </c>
      <c r="R383">
        <f t="shared" si="48"/>
        <v>14</v>
      </c>
      <c r="S383" t="str">
        <f t="shared" si="49"/>
        <v>5°1°14</v>
      </c>
    </row>
    <row r="384" spans="1:19" ht="18.75" hidden="1" customHeight="1">
      <c r="A384" s="3" t="str">
        <f t="shared" si="45"/>
        <v>5°1°5125IFTLH5</v>
      </c>
      <c r="B384" s="3" t="s">
        <v>405</v>
      </c>
      <c r="C384" s="3">
        <v>512</v>
      </c>
      <c r="D384" s="3" t="s">
        <v>420</v>
      </c>
      <c r="E384" s="3">
        <v>2543661</v>
      </c>
      <c r="F384" s="3" t="str">
        <f>VLOOKUP(D384,[1]Hoja1!$A:$K,11,0)</f>
        <v xml:space="preserve">LAB DE HARDWARE </v>
      </c>
      <c r="G384" s="7"/>
      <c r="H384" s="7"/>
      <c r="I384" s="5"/>
      <c r="J384" s="5"/>
      <c r="K384" s="6" t="s">
        <v>40</v>
      </c>
      <c r="L384" s="5" t="str">
        <f>IFERROR(VLOOKUP(CONCATENATE(A384,"S"),[2]Hoja1!$B:$N,5,0)," ")</f>
        <v xml:space="preserve"> </v>
      </c>
      <c r="M384" s="6" t="str">
        <f>IFERROR(VLOOKUP(CONCATENATE(A384,"S"),[2]Hoja1!$B:$N,6,0)," ")</f>
        <v xml:space="preserve"> </v>
      </c>
      <c r="N384" s="4" t="str">
        <f t="shared" si="46"/>
        <v>PROVISIONAL</v>
      </c>
      <c r="O384" s="17" t="str">
        <f t="shared" si="47"/>
        <v xml:space="preserve">FISTER (Serv.Prov)         </v>
      </c>
      <c r="P384" s="4" t="str">
        <f>IF(O384="vacante","vacante",IFERROR(IF(VLOOKUP(IF((M384)=" ",IF(COUNTBLANK(K384),I384,K384),M384),[3]Hoja1!$B:$I,4,0)="licencia","vacante"," ")," "))</f>
        <v xml:space="preserve"> </v>
      </c>
      <c r="Q384" s="4"/>
      <c r="R384">
        <f t="shared" si="48"/>
        <v>15</v>
      </c>
      <c r="S384" t="str">
        <f t="shared" si="49"/>
        <v>5°1°15</v>
      </c>
    </row>
    <row r="385" spans="1:19" ht="18.75" hidden="1" customHeight="1">
      <c r="A385" s="3" t="str">
        <f t="shared" si="45"/>
        <v>5°1°5125IFTLS5</v>
      </c>
      <c r="B385" s="3" t="s">
        <v>405</v>
      </c>
      <c r="C385" s="3">
        <v>512</v>
      </c>
      <c r="D385" s="3" t="s">
        <v>421</v>
      </c>
      <c r="E385" s="3">
        <v>2543664</v>
      </c>
      <c r="F385" s="3" t="str">
        <f>VLOOKUP(D385,[1]Hoja1!$A:$K,11,0)</f>
        <v>LAB DE SIST OPERATIVOS</v>
      </c>
      <c r="G385" s="7"/>
      <c r="H385" s="7"/>
      <c r="I385" s="5"/>
      <c r="J385" s="5"/>
      <c r="K385" s="6" t="s">
        <v>648</v>
      </c>
      <c r="L385" s="5" t="str">
        <f>IFERROR(VLOOKUP(CONCATENATE(A385,"S"),[2]Hoja1!$B:$N,5,0)," ")</f>
        <v xml:space="preserve"> </v>
      </c>
      <c r="M385" s="6" t="str">
        <f>IFERROR(VLOOKUP(CONCATENATE(A385,"S"),[2]Hoja1!$B:$N,6,0)," ")</f>
        <v xml:space="preserve"> </v>
      </c>
      <c r="N385" s="4" t="str">
        <f t="shared" si="46"/>
        <v>PROVISIONAL</v>
      </c>
      <c r="O385" s="17" t="str">
        <f t="shared" si="47"/>
        <v>RIVERA MARCELO</v>
      </c>
      <c r="P385" s="4" t="str">
        <f>IF(O385="vacante","vacante",IFERROR(IF(VLOOKUP(IF((M385)=" ",IF(COUNTBLANK(K385),I385,K385),M385),[3]Hoja1!$B:$I,4,0)="licencia","vacante"," ")," "))</f>
        <v xml:space="preserve"> </v>
      </c>
      <c r="Q385" s="4"/>
      <c r="R385">
        <f t="shared" si="48"/>
        <v>16</v>
      </c>
      <c r="S385" t="str">
        <f t="shared" si="49"/>
        <v>5°1°16</v>
      </c>
    </row>
    <row r="386" spans="1:19" ht="18.75" hidden="1" customHeight="1">
      <c r="A386" s="3" t="str">
        <f t="shared" si="45"/>
        <v>5°1°5125IFTLA5</v>
      </c>
      <c r="B386" s="3" t="s">
        <v>405</v>
      </c>
      <c r="C386" s="3">
        <v>512</v>
      </c>
      <c r="D386" s="3" t="s">
        <v>422</v>
      </c>
      <c r="E386" s="3">
        <v>2543665</v>
      </c>
      <c r="F386" s="3" t="str">
        <f>VLOOKUP(D386,[1]Hoja1!$A:$K,11,0)</f>
        <v xml:space="preserve">LAB DE APLICACIONES </v>
      </c>
      <c r="G386" s="7"/>
      <c r="H386" s="7"/>
      <c r="I386" s="5"/>
      <c r="J386" s="5"/>
      <c r="K386" s="6" t="s">
        <v>668</v>
      </c>
      <c r="L386" s="5" t="str">
        <f>IFERROR(VLOOKUP(CONCATENATE(A386,"S"),[2]Hoja1!$B:$N,5,0)," ")</f>
        <v xml:space="preserve"> </v>
      </c>
      <c r="M386" s="6" t="str">
        <f>IFERROR(VLOOKUP(CONCATENATE(A386,"S"),[2]Hoja1!$B:$N,6,0)," ")</f>
        <v xml:space="preserve"> </v>
      </c>
      <c r="N386" s="4" t="str">
        <f t="shared" si="46"/>
        <v>PROVISIONAL</v>
      </c>
      <c r="O386" s="17" t="str">
        <f t="shared" si="47"/>
        <v>WITT GERARDO</v>
      </c>
      <c r="P386" s="4" t="str">
        <f>IF(O386="vacante","vacante",IFERROR(IF(VLOOKUP(IF((M386)=" ",IF(COUNTBLANK(K386),I386,K386),M386),[3]Hoja1!$B:$I,4,0)="licencia","vacante"," ")," "))</f>
        <v xml:space="preserve"> </v>
      </c>
      <c r="Q386" s="4" t="s">
        <v>631</v>
      </c>
      <c r="R386">
        <f t="shared" si="48"/>
        <v>17</v>
      </c>
      <c r="S386" t="str">
        <f t="shared" si="49"/>
        <v>5°1°17</v>
      </c>
    </row>
    <row r="387" spans="1:19" ht="18.75" hidden="1" customHeight="1">
      <c r="A387" s="3" t="str">
        <f t="shared" si="45"/>
        <v>6°1°6ILITS</v>
      </c>
      <c r="B387" s="3" t="s">
        <v>457</v>
      </c>
      <c r="C387" s="3"/>
      <c r="D387" s="3" t="s">
        <v>458</v>
      </c>
      <c r="E387" s="3">
        <v>733438</v>
      </c>
      <c r="F387" s="3" t="str">
        <f>VLOOKUP(D387,[1]Hoja1!$A:$K,11,0)</f>
        <v>LITERATURA</v>
      </c>
      <c r="G387" s="7"/>
      <c r="H387" s="7"/>
      <c r="I387" s="30" t="s">
        <v>769</v>
      </c>
      <c r="J387" s="5"/>
      <c r="K387" s="6"/>
      <c r="L387" s="5" t="str">
        <f>IFERROR(VLOOKUP(CONCATENATE(A387,"S"),[2]Hoja1!$B:$N,5,0)," ")</f>
        <v xml:space="preserve"> </v>
      </c>
      <c r="M387" s="6" t="str">
        <f>IFERROR(VLOOKUP(CONCATENATE(A387,"S"),[2]Hoja1!$B:$N,6,0)," ")</f>
        <v xml:space="preserve"> </v>
      </c>
      <c r="N387" s="4" t="str">
        <f t="shared" si="46"/>
        <v>TITULAR</v>
      </c>
      <c r="O387" s="17" t="str">
        <f t="shared" si="47"/>
        <v>ALFONSO D INT 2026</v>
      </c>
      <c r="P387" s="4" t="str">
        <f>IF(O387="vacante","vacante",IFERROR(IF(VLOOKUP(IF((M387)=" ",IF(COUNTBLANK(K387),I387,K387),M387),[3]Hoja1!$B:$I,4,0)="licencia","vacante"," ")," "))</f>
        <v xml:space="preserve"> </v>
      </c>
      <c r="Q387" s="4"/>
      <c r="R387">
        <f t="shared" si="48"/>
        <v>1</v>
      </c>
      <c r="S387" t="str">
        <f t="shared" si="49"/>
        <v>6°1°1</v>
      </c>
    </row>
    <row r="388" spans="1:19" ht="18.75" hidden="1" customHeight="1">
      <c r="A388" s="3" t="str">
        <f t="shared" si="45"/>
        <v>6°1°6IINGS</v>
      </c>
      <c r="B388" s="3" t="s">
        <v>457</v>
      </c>
      <c r="C388" s="3"/>
      <c r="D388" s="3" t="s">
        <v>459</v>
      </c>
      <c r="E388" s="3">
        <v>733375</v>
      </c>
      <c r="F388" s="3" t="str">
        <f>VLOOKUP(D388,[1]Hoja1!$A:$K,11,0)</f>
        <v>INGLÉS</v>
      </c>
      <c r="G388" s="7"/>
      <c r="H388" s="7"/>
      <c r="I388" s="5" t="s">
        <v>567</v>
      </c>
      <c r="J388" s="5"/>
      <c r="K388" s="6"/>
      <c r="L388" s="5" t="str">
        <f>IFERROR(VLOOKUP(CONCATENATE(A388,"S"),[2]Hoja1!$B:$N,5,0)," ")</f>
        <v xml:space="preserve"> </v>
      </c>
      <c r="M388" s="6" t="str">
        <f>IFERROR(VLOOKUP(CONCATENATE(A388,"S"),[2]Hoja1!$B:$N,6,0)," ")</f>
        <v xml:space="preserve"> </v>
      </c>
      <c r="N388" s="4" t="str">
        <f t="shared" si="46"/>
        <v>TITULAR</v>
      </c>
      <c r="O388" s="17" t="str">
        <f t="shared" si="47"/>
        <v>RAMIREZ GISELE</v>
      </c>
      <c r="P388" s="4" t="str">
        <f>IF(O388="vacante","vacante",IFERROR(IF(VLOOKUP(IF((M388)=" ",IF(COUNTBLANK(K388),I388,K388),M388),[3]Hoja1!$B:$I,4,0)="licencia","vacante"," ")," "))</f>
        <v xml:space="preserve"> </v>
      </c>
      <c r="Q388" s="4"/>
      <c r="R388">
        <f t="shared" si="48"/>
        <v>2</v>
      </c>
      <c r="S388" t="str">
        <f t="shared" si="49"/>
        <v>6°1°2</v>
      </c>
    </row>
    <row r="389" spans="1:19" ht="18.75" hidden="1" customHeight="1">
      <c r="A389" s="3" t="str">
        <f t="shared" si="45"/>
        <v>6°1°6IEFIS</v>
      </c>
      <c r="B389" s="3" t="s">
        <v>457</v>
      </c>
      <c r="C389" s="3"/>
      <c r="D389" s="3" t="s">
        <v>460</v>
      </c>
      <c r="E389" s="3">
        <v>1180198</v>
      </c>
      <c r="F389" s="3" t="str">
        <f>VLOOKUP(D389,[1]Hoja1!$A:$K,11,0)</f>
        <v>EDUCACIÓN FISICA</v>
      </c>
      <c r="G389" s="7" t="s">
        <v>774</v>
      </c>
      <c r="H389" s="7"/>
      <c r="I389" s="5" t="s">
        <v>773</v>
      </c>
      <c r="J389" s="5"/>
      <c r="K389" s="6"/>
      <c r="L389" s="5" t="str">
        <f>IFERROR(VLOOKUP(CONCATENATE(A389,"S"),[2]Hoja1!$B:$N,5,0)," ")</f>
        <v xml:space="preserve"> </v>
      </c>
      <c r="M389" s="6" t="str">
        <f>IFERROR(VLOOKUP(CONCATENATE(A389,"S"),[2]Hoja1!$B:$N,6,0)," ")</f>
        <v xml:space="preserve"> </v>
      </c>
      <c r="N389" s="4" t="str">
        <f t="shared" si="46"/>
        <v>TITULAR</v>
      </c>
      <c r="O389" s="17" t="str">
        <f t="shared" si="47"/>
        <v xml:space="preserve">MONTENEGRO LUIS   </v>
      </c>
      <c r="P389" s="4" t="str">
        <f>IF(O389="vacante","vacante",IFERROR(IF(VLOOKUP(IF((M389)=" ",IF(COUNTBLANK(K389),I389,K389),M389),[3]Hoja1!$B:$I,4,0)="licencia","vacante"," ")," "))</f>
        <v xml:space="preserve"> </v>
      </c>
      <c r="Q389" s="4" t="s">
        <v>633</v>
      </c>
      <c r="R389">
        <f t="shared" si="48"/>
        <v>3</v>
      </c>
      <c r="S389" t="str">
        <f t="shared" si="49"/>
        <v>6°1°3</v>
      </c>
    </row>
    <row r="390" spans="1:19" ht="18.75" hidden="1" customHeight="1">
      <c r="A390" s="3" t="str">
        <f t="shared" si="45"/>
        <v>6°1°6IFILO</v>
      </c>
      <c r="B390" s="3" t="s">
        <v>457</v>
      </c>
      <c r="C390" s="3"/>
      <c r="D390" s="3" t="s">
        <v>461</v>
      </c>
      <c r="E390" s="3">
        <v>733732</v>
      </c>
      <c r="F390" s="3" t="str">
        <f>VLOOKUP(D390,[1]Hoja1!$A:$K,11,0)</f>
        <v>FILOSOFIA</v>
      </c>
      <c r="G390" s="7"/>
      <c r="H390" s="7">
        <v>26705268</v>
      </c>
      <c r="I390" s="5" t="s">
        <v>462</v>
      </c>
      <c r="J390" s="5"/>
      <c r="K390" s="6"/>
      <c r="L390" s="5" t="str">
        <f>IFERROR(VLOOKUP(CONCATENATE(A390,"S"),[2]Hoja1!$B:$N,5,0)," ")</f>
        <v xml:space="preserve"> </v>
      </c>
      <c r="M390" s="6" t="str">
        <f>IFERROR(VLOOKUP(CONCATENATE(A390,"S"),[2]Hoja1!$B:$N,6,0)," ")</f>
        <v xml:space="preserve"> </v>
      </c>
      <c r="N390" s="4" t="str">
        <f t="shared" si="46"/>
        <v>TITULAR</v>
      </c>
      <c r="O390" s="17" t="str">
        <f t="shared" si="47"/>
        <v>LETIERI, MANUEL</v>
      </c>
      <c r="P390" s="4" t="str">
        <f>IF(O390="vacante","vacante",IFERROR(IF(VLOOKUP(IF((M390)=" ",IF(COUNTBLANK(K390),I390,K390),M390),[3]Hoja1!$B:$I,4,0)="licencia","vacante"," ")," "))</f>
        <v xml:space="preserve"> </v>
      </c>
      <c r="Q390" s="4"/>
      <c r="R390">
        <f t="shared" si="48"/>
        <v>4</v>
      </c>
      <c r="S390" t="str">
        <f t="shared" si="49"/>
        <v>6°1°4</v>
      </c>
    </row>
    <row r="391" spans="1:19" ht="18.75" hidden="1" customHeight="1">
      <c r="A391" s="3" t="str">
        <f t="shared" si="45"/>
        <v>6°1°6IARTE</v>
      </c>
      <c r="B391" s="3" t="s">
        <v>457</v>
      </c>
      <c r="C391" s="3"/>
      <c r="D391" s="3" t="s">
        <v>463</v>
      </c>
      <c r="E391" s="3">
        <v>733731</v>
      </c>
      <c r="F391" s="3" t="str">
        <f>VLOOKUP(D391,[1]Hoja1!$A:$K,11,0)</f>
        <v>ARTE</v>
      </c>
      <c r="G391" s="7" t="s">
        <v>189</v>
      </c>
      <c r="H391" s="7"/>
      <c r="I391" s="5"/>
      <c r="J391" s="5" t="s">
        <v>716</v>
      </c>
      <c r="K391" s="6" t="s">
        <v>328</v>
      </c>
      <c r="L391" s="5" t="str">
        <f>IFERROR(VLOOKUP(CONCATENATE(A391,"S"),[2]Hoja1!$B:$N,5,0)," ")</f>
        <v xml:space="preserve"> </v>
      </c>
      <c r="M391" s="6" t="str">
        <f>IFERROR(VLOOKUP(CONCATENATE(A391,"S"),[2]Hoja1!$B:$N,6,0)," ")</f>
        <v xml:space="preserve"> </v>
      </c>
      <c r="N391" s="4" t="str">
        <f t="shared" si="46"/>
        <v>PROVISIONAL</v>
      </c>
      <c r="O391" s="17" t="str">
        <f t="shared" si="47"/>
        <v>GOMEZ MARCELA</v>
      </c>
      <c r="P391" s="4" t="str">
        <f>IF(O391="vacante","vacante",IFERROR(IF(VLOOKUP(IF((M391)=" ",IF(COUNTBLANK(K391),I391,K391),M391),[3]Hoja1!$B:$I,4,0)="licencia","vacante"," ")," "))</f>
        <v xml:space="preserve"> </v>
      </c>
      <c r="Q391" s="4"/>
      <c r="R391">
        <f t="shared" si="48"/>
        <v>5</v>
      </c>
      <c r="S391" t="str">
        <f t="shared" si="49"/>
        <v>6°1°5</v>
      </c>
    </row>
    <row r="392" spans="1:19" ht="18.75" hidden="1" customHeight="1">
      <c r="A392" s="3" t="str">
        <f t="shared" si="45"/>
        <v>6°1°6IMATAP</v>
      </c>
      <c r="B392" s="3" t="s">
        <v>457</v>
      </c>
      <c r="C392" s="3"/>
      <c r="D392" s="3" t="s">
        <v>464</v>
      </c>
      <c r="E392" s="3">
        <v>733394</v>
      </c>
      <c r="F392" s="3" t="str">
        <f>VLOOKUP(D392,[1]Hoja1!$A:$K,11,0)</f>
        <v>MATEMATICA APLICADA</v>
      </c>
      <c r="G392" s="7"/>
      <c r="H392" s="7"/>
      <c r="I392" s="5"/>
      <c r="J392" s="5"/>
      <c r="K392" s="6" t="s">
        <v>717</v>
      </c>
      <c r="L392" s="5" t="str">
        <f>IFERROR(VLOOKUP(CONCATENATE(A392,"S"),[2]Hoja1!$B:$N,5,0)," ")</f>
        <v xml:space="preserve"> </v>
      </c>
      <c r="M392" s="6" t="str">
        <f>IFERROR(VLOOKUP(CONCATENATE(A392,"S"),[2]Hoja1!$B:$N,6,0)," ")</f>
        <v xml:space="preserve"> </v>
      </c>
      <c r="N392" s="4" t="str">
        <f t="shared" si="46"/>
        <v>PROVISIONAL</v>
      </c>
      <c r="O392" s="17" t="str">
        <f t="shared" si="47"/>
        <v>GARCIA CLAUDIA</v>
      </c>
      <c r="P392" s="4" t="str">
        <f>IF(O392="vacante","vacante",IFERROR(IF(VLOOKUP(IF((M392)=" ",IF(COUNTBLANK(K392),I392,K392),M392),[3]Hoja1!$B:$I,4,0)="licencia","vacante"," ")," "))</f>
        <v xml:space="preserve"> </v>
      </c>
      <c r="Q392" s="4"/>
      <c r="R392">
        <f t="shared" si="48"/>
        <v>6</v>
      </c>
      <c r="S392" t="str">
        <f t="shared" si="49"/>
        <v>6°1°6</v>
      </c>
    </row>
    <row r="393" spans="1:19" ht="18.75" hidden="1" customHeight="1">
      <c r="A393" s="3" t="str">
        <f t="shared" si="45"/>
        <v>6°1°6ISIDI6</v>
      </c>
      <c r="B393" s="3" t="s">
        <v>457</v>
      </c>
      <c r="C393" s="3"/>
      <c r="D393" s="3" t="s">
        <v>465</v>
      </c>
      <c r="E393" s="3">
        <v>733383</v>
      </c>
      <c r="F393" s="3" t="str">
        <f>VLOOKUP(D393,[1]Hoja1!$A:$K,11,0)</f>
        <v>SISTEMA DIGITAL</v>
      </c>
      <c r="G393" s="7"/>
      <c r="H393" s="7"/>
      <c r="I393" s="5" t="s">
        <v>770</v>
      </c>
      <c r="J393" s="5"/>
      <c r="K393" s="6"/>
      <c r="L393" s="5">
        <f>IFERROR(VLOOKUP(CONCATENATE(A393,"S"),[2]Hoja1!$B:$N,5,0)," ")</f>
        <v>0</v>
      </c>
      <c r="M393" s="6" t="str">
        <f>IFERROR(VLOOKUP(CONCATENATE(A393,"S"),[2]Hoja1!$B:$N,6,0)," ")</f>
        <v>MONTES IVAN</v>
      </c>
      <c r="N393" s="4" t="str">
        <f t="shared" si="46"/>
        <v>SUPLENTE</v>
      </c>
      <c r="O393" s="17" t="str">
        <f t="shared" si="47"/>
        <v>MONTES IVAN</v>
      </c>
      <c r="P393" s="4" t="str">
        <f>IF(O393="vacante","vacante",IFERROR(IF(VLOOKUP(IF((M393)=" ",IF(COUNTBLANK(K393),I393,K393),M393),[3]Hoja1!$B:$I,4,0)="licencia","vacante"," ")," "))</f>
        <v xml:space="preserve"> </v>
      </c>
      <c r="Q393" s="4" t="s">
        <v>579</v>
      </c>
      <c r="R393">
        <f t="shared" si="48"/>
        <v>7</v>
      </c>
      <c r="S393" t="str">
        <f t="shared" si="49"/>
        <v>6°1°7</v>
      </c>
    </row>
    <row r="394" spans="1:19" ht="18.75" hidden="1" customHeight="1">
      <c r="A394" s="3" t="str">
        <f t="shared" si="45"/>
        <v>6°1°6IINVOP</v>
      </c>
      <c r="B394" s="3" t="s">
        <v>457</v>
      </c>
      <c r="C394" s="3"/>
      <c r="D394" s="3" t="s">
        <v>466</v>
      </c>
      <c r="E394" s="3">
        <v>2680830</v>
      </c>
      <c r="F394" s="3" t="str">
        <f>VLOOKUP(D394,[1]Hoja1!$A:$K,11,0)</f>
        <v>INVESTIGACION OPERATIVA</v>
      </c>
      <c r="G394" s="7"/>
      <c r="H394" s="7"/>
      <c r="I394" s="5"/>
      <c r="J394" s="5">
        <v>24862276</v>
      </c>
      <c r="K394" s="6" t="s">
        <v>427</v>
      </c>
      <c r="L394" s="5">
        <f>IFERROR(VLOOKUP(CONCATENATE(A394,"S"),[2]Hoja1!$B:$N,5,0)," ")</f>
        <v>0</v>
      </c>
      <c r="M394" s="6" t="str">
        <f>IFERROR(VLOOKUP(CONCATENATE(A394,"S"),[2]Hoja1!$B:$N,6,0)," ")</f>
        <v>VALDES MARIA</v>
      </c>
      <c r="N394" s="4" t="str">
        <f t="shared" si="46"/>
        <v>SUPLENTE</v>
      </c>
      <c r="O394" s="17" t="str">
        <f t="shared" si="47"/>
        <v>VALDES MARIA</v>
      </c>
      <c r="P394" s="4" t="str">
        <f>IF(O394="vacante","vacante",IFERROR(IF(VLOOKUP(IF((M394)=" ",IF(COUNTBLANK(K394),I394,K394),M394),[3]Hoja1!$B:$I,4,0)="licencia","vacante"," ")," "))</f>
        <v xml:space="preserve"> </v>
      </c>
      <c r="Q394" s="4"/>
      <c r="R394">
        <f t="shared" si="48"/>
        <v>8</v>
      </c>
      <c r="S394" t="str">
        <f t="shared" si="49"/>
        <v>6°1°8</v>
      </c>
    </row>
    <row r="395" spans="1:19" ht="18.75" hidden="1" customHeight="1">
      <c r="A395" s="3" t="str">
        <f t="shared" si="45"/>
        <v>6°1°6ISEIN</v>
      </c>
      <c r="B395" s="3" t="s">
        <v>457</v>
      </c>
      <c r="C395" s="3"/>
      <c r="D395" s="3" t="s">
        <v>467</v>
      </c>
      <c r="E395" s="3">
        <v>2680832</v>
      </c>
      <c r="F395" s="3" t="str">
        <f>VLOOKUP(D395,[1]Hoja1!$A:$K,11,0)</f>
        <v>SEGURIDAD INFORMATICA</v>
      </c>
      <c r="G395" s="7"/>
      <c r="H395" s="7"/>
      <c r="I395" s="5"/>
      <c r="J395" s="5"/>
      <c r="K395" s="6" t="s">
        <v>580</v>
      </c>
      <c r="L395" s="5" t="str">
        <f>IFERROR(VLOOKUP(CONCATENATE(A395,"S"),[2]Hoja1!$B:$N,5,0)," ")</f>
        <v xml:space="preserve"> </v>
      </c>
      <c r="M395" s="6" t="str">
        <f>IFERROR(VLOOKUP(CONCATENATE(A395,"S"),[2]Hoja1!$B:$N,6,0)," ")</f>
        <v xml:space="preserve"> </v>
      </c>
      <c r="N395" s="4" t="str">
        <f t="shared" si="46"/>
        <v>PROVISIONAL</v>
      </c>
      <c r="O395" s="17" t="str">
        <f t="shared" si="47"/>
        <v>MONTENEGRO CLAUIDA</v>
      </c>
      <c r="P395" s="4" t="str">
        <f>IF(O395="vacante","vacante",IFERROR(IF(VLOOKUP(IF((M395)=" ",IF(COUNTBLANK(K395),I395,K395),M395),[3]Hoja1!$B:$I,4,0)="licencia","vacante"," ")," "))</f>
        <v xml:space="preserve"> </v>
      </c>
      <c r="Q395" s="4"/>
      <c r="R395">
        <f t="shared" si="48"/>
        <v>9</v>
      </c>
      <c r="S395" t="str">
        <f t="shared" si="49"/>
        <v>6°1°9</v>
      </c>
    </row>
    <row r="396" spans="1:19" ht="18.75" hidden="1" customHeight="1">
      <c r="A396" s="3" t="str">
        <f t="shared" ref="A396:A427" si="50">CONCATENATE(B396,C396,D396)</f>
        <v>6°1°6IDETRA</v>
      </c>
      <c r="B396" s="3" t="s">
        <v>457</v>
      </c>
      <c r="C396" s="3"/>
      <c r="D396" s="3" t="s">
        <v>468</v>
      </c>
      <c r="E396" s="3">
        <v>2680833</v>
      </c>
      <c r="F396" s="3" t="str">
        <f>VLOOKUP(D396,[1]Hoja1!$A:$K,11,0)</f>
        <v>DERECHO DE TRABAJO</v>
      </c>
      <c r="G396" s="7">
        <v>12434199</v>
      </c>
      <c r="H396" s="7"/>
      <c r="I396" s="5"/>
      <c r="J396" s="5">
        <v>27190224045</v>
      </c>
      <c r="K396" s="45" t="s">
        <v>808</v>
      </c>
      <c r="L396" s="5" t="str">
        <f>IFERROR(VLOOKUP(CONCATENATE(A396,"S"),[2]Hoja1!$B:$N,5,0)," ")</f>
        <v xml:space="preserve"> </v>
      </c>
      <c r="M396" s="6" t="str">
        <f>IFERROR(VLOOKUP(CONCATENATE(A396,"S"),[2]Hoja1!$B:$N,6,0)," ")</f>
        <v xml:space="preserve"> </v>
      </c>
      <c r="N396" s="4" t="str">
        <f t="shared" ref="N396:N415" si="51">IF((M396)=" ",IF(COUNTBLANK(K396),"TITULAR","PROVISIONAL"),"SUPLENTE")</f>
        <v>PROVISIONAL</v>
      </c>
      <c r="O396" s="17" t="str">
        <f t="shared" ref="O396:O416" si="52">IF((M396)=" ",IF(COUNTBLANK(K396),I396,K396),M396)</f>
        <v xml:space="preserve">KUSNIER CUPAIOLO NATALIA N </v>
      </c>
      <c r="P396" s="4" t="str">
        <f>IF(O396="vacante","vacante",IFERROR(IF(VLOOKUP(IF((M396)=" ",IF(COUNTBLANK(K396),I396,K396),M396),[3]Hoja1!$B:$I,4,0)="licencia","vacante"," ")," "))</f>
        <v xml:space="preserve"> </v>
      </c>
      <c r="Q396" s="4"/>
      <c r="R396">
        <f t="shared" ref="R396:R427" si="53">IF(B396=B395,R395+1,1)</f>
        <v>10</v>
      </c>
      <c r="S396" t="str">
        <f t="shared" ref="S396:S427" si="54">CONCATENATE(B396,R396)</f>
        <v>6°1°10</v>
      </c>
    </row>
    <row r="397" spans="1:19" ht="18.75" hidden="1" customHeight="1">
      <c r="A397" s="3" t="str">
        <f t="shared" si="50"/>
        <v>6°1°6116IFTLP6</v>
      </c>
      <c r="B397" s="3" t="s">
        <v>457</v>
      </c>
      <c r="C397" s="3">
        <v>611</v>
      </c>
      <c r="D397" s="3" t="s">
        <v>469</v>
      </c>
      <c r="E397" s="3">
        <v>2680835</v>
      </c>
      <c r="F397" s="3" t="str">
        <f>VLOOKUP(D397,[1]Hoja1!$A:$K,11,0)</f>
        <v xml:space="preserve">LAB DE PROGRAM </v>
      </c>
      <c r="G397" s="7" t="s">
        <v>178</v>
      </c>
      <c r="H397" s="7"/>
      <c r="I397" s="5"/>
      <c r="J397" s="5"/>
      <c r="K397" s="6" t="s">
        <v>700</v>
      </c>
      <c r="L397" s="5">
        <f>IFERROR(VLOOKUP(CONCATENATE(A397,"S"),[2]Hoja1!$B:$N,5,0)," ")</f>
        <v>27353523126</v>
      </c>
      <c r="M397" s="6" t="str">
        <f>IFERROR(VLOOKUP(CONCATENATE(A397,"S"),[2]Hoja1!$B:$N,6,0)," ")</f>
        <v>FERREYRA JESICA</v>
      </c>
      <c r="N397" s="4" t="str">
        <f t="shared" si="51"/>
        <v>SUPLENTE</v>
      </c>
      <c r="O397" s="17" t="str">
        <f t="shared" si="52"/>
        <v>FERREYRA JESICA</v>
      </c>
      <c r="P397" s="4" t="str">
        <f>IF(O397="vacante","vacante",IFERROR(IF(VLOOKUP(IF((M397)=" ",IF(COUNTBLANK(K397),I397,K397),M397),[3]Hoja1!$B:$I,4,0)="licencia","vacante"," ")," "))</f>
        <v xml:space="preserve"> </v>
      </c>
      <c r="Q397" s="4"/>
      <c r="R397">
        <f t="shared" si="53"/>
        <v>11</v>
      </c>
      <c r="S397" t="str">
        <f t="shared" si="54"/>
        <v>6°1°11</v>
      </c>
    </row>
    <row r="398" spans="1:19" ht="18.75" hidden="1" customHeight="1">
      <c r="A398" s="3" t="str">
        <f t="shared" si="50"/>
        <v>6°1°6116IFTLH6</v>
      </c>
      <c r="B398" s="3" t="s">
        <v>457</v>
      </c>
      <c r="C398" s="3">
        <v>611</v>
      </c>
      <c r="D398" s="3" t="s">
        <v>470</v>
      </c>
      <c r="E398" s="3">
        <v>2680836</v>
      </c>
      <c r="F398" s="3" t="str">
        <f>VLOOKUP(D398,[1]Hoja1!$A:$K,11,0)</f>
        <v xml:space="preserve">LAB DE HARDWARE </v>
      </c>
      <c r="G398" s="7" t="s">
        <v>471</v>
      </c>
      <c r="H398" s="7"/>
      <c r="I398" s="5"/>
      <c r="J398" s="5"/>
      <c r="K398" s="6" t="s">
        <v>650</v>
      </c>
      <c r="L398" s="5" t="str">
        <f>IFERROR(VLOOKUP(CONCATENATE(A398,"S"),[2]Hoja1!$B:$N,5,0)," ")</f>
        <v xml:space="preserve"> </v>
      </c>
      <c r="M398" s="6" t="str">
        <f>IFERROR(VLOOKUP(CONCATENATE(A398,"S"),[2]Hoja1!$B:$N,6,0)," ")</f>
        <v xml:space="preserve"> </v>
      </c>
      <c r="N398" s="4" t="str">
        <f t="shared" si="51"/>
        <v>PROVISIONAL</v>
      </c>
      <c r="O398" s="17" t="str">
        <f t="shared" si="52"/>
        <v>ROCHA JULIETA</v>
      </c>
      <c r="P398" s="4" t="str">
        <f>IF(O398="vacante","vacante",IFERROR(IF(VLOOKUP(IF((M398)=" ",IF(COUNTBLANK(K398),I398,K398),M398),[3]Hoja1!$B:$I,4,0)="licencia","vacante"," ")," "))</f>
        <v xml:space="preserve"> </v>
      </c>
      <c r="Q398" s="4"/>
      <c r="R398">
        <f t="shared" si="53"/>
        <v>12</v>
      </c>
      <c r="S398" t="str">
        <f t="shared" si="54"/>
        <v>6°1°12</v>
      </c>
    </row>
    <row r="399" spans="1:19" ht="18.75" hidden="1" customHeight="1">
      <c r="A399" s="3" t="str">
        <f t="shared" si="50"/>
        <v>6°1°6116IFHLS6</v>
      </c>
      <c r="B399" s="3" t="s">
        <v>457</v>
      </c>
      <c r="C399" s="3">
        <v>611</v>
      </c>
      <c r="D399" s="3" t="s">
        <v>472</v>
      </c>
      <c r="E399" s="3">
        <v>2680838</v>
      </c>
      <c r="F399" s="3" t="str">
        <f>VLOOKUP(D399,[1]Hoja1!$A:$K,11,0)</f>
        <v xml:space="preserve">LAB DE SIST OPERATIVOS </v>
      </c>
      <c r="G399" s="7">
        <v>16238400</v>
      </c>
      <c r="H399" s="7"/>
      <c r="I399" s="5"/>
      <c r="J399" s="5">
        <v>26114670</v>
      </c>
      <c r="K399" s="6" t="s">
        <v>757</v>
      </c>
      <c r="L399" s="5" t="s">
        <v>522</v>
      </c>
      <c r="M399" s="6" t="str">
        <f>IFERROR(VLOOKUP(CONCATENATE(A399,"S"),[2]Hoja1!$B:$N,6,0)," ")</f>
        <v>VILLALVA ESTEBAN</v>
      </c>
      <c r="N399" s="4" t="str">
        <f t="shared" si="51"/>
        <v>SUPLENTE</v>
      </c>
      <c r="O399" s="17" t="str">
        <f t="shared" si="52"/>
        <v>VILLALVA ESTEBAN</v>
      </c>
      <c r="P399" s="4" t="str">
        <f>IF(O399="vacante","vacante",IFERROR(IF(VLOOKUP(IF((M399)=" ",IF(COUNTBLANK(K399),I399,K399),M399),[3]Hoja1!$B:$I,4,0)="licencia","vacante"," ")," "))</f>
        <v xml:space="preserve"> </v>
      </c>
      <c r="Q399" s="4"/>
      <c r="R399">
        <f t="shared" si="53"/>
        <v>13</v>
      </c>
      <c r="S399" t="str">
        <f t="shared" si="54"/>
        <v>6°1°13</v>
      </c>
    </row>
    <row r="400" spans="1:19" ht="18.75" hidden="1" customHeight="1">
      <c r="A400" s="3" t="str">
        <f t="shared" si="50"/>
        <v>6°1°6116IFTLA6</v>
      </c>
      <c r="B400" s="3" t="s">
        <v>457</v>
      </c>
      <c r="C400" s="3">
        <v>611</v>
      </c>
      <c r="D400" s="3" t="s">
        <v>473</v>
      </c>
      <c r="E400" s="3">
        <v>2680842</v>
      </c>
      <c r="F400" s="3" t="str">
        <f>VLOOKUP(D400,[1]Hoja1!$A:$K,11,0)</f>
        <v xml:space="preserve">LAB DE APLICACIONES </v>
      </c>
      <c r="G400" s="7"/>
      <c r="H400" s="7"/>
      <c r="I400" s="5"/>
      <c r="J400" s="5" t="s">
        <v>719</v>
      </c>
      <c r="K400" s="6" t="s">
        <v>718</v>
      </c>
      <c r="L400" s="5" t="s">
        <v>522</v>
      </c>
      <c r="M400" s="6" t="str">
        <f>IFERROR(VLOOKUP(CONCATENATE(A400,"S"),[2]Hoja1!$B:$N,6,0)," ")</f>
        <v xml:space="preserve"> </v>
      </c>
      <c r="N400" s="4" t="str">
        <f t="shared" si="51"/>
        <v>PROVISIONAL</v>
      </c>
      <c r="O400" s="17" t="str">
        <f t="shared" si="52"/>
        <v>VILLALVA ESTEBAN</v>
      </c>
      <c r="P400" s="4" t="str">
        <f>IF(O400="vacante","vacante",IFERROR(IF(VLOOKUP(IF((M400)=" ",IF(COUNTBLANK(K400),I400,K400),M400),[3]Hoja1!$B:$I,4,0)="licencia","vacante"," ")," "))</f>
        <v xml:space="preserve"> </v>
      </c>
      <c r="Q400" s="4"/>
      <c r="R400">
        <f t="shared" si="53"/>
        <v>14</v>
      </c>
      <c r="S400" t="str">
        <f t="shared" si="54"/>
        <v>6°1°14</v>
      </c>
    </row>
    <row r="401" spans="1:19" ht="18.75" hidden="1" customHeight="1">
      <c r="A401" s="3" t="str">
        <f t="shared" si="50"/>
        <v>6°1°6126IFTLP6</v>
      </c>
      <c r="B401" s="3" t="s">
        <v>457</v>
      </c>
      <c r="C401" s="3">
        <v>612</v>
      </c>
      <c r="D401" s="3" t="s">
        <v>469</v>
      </c>
      <c r="E401" s="3">
        <v>2680843</v>
      </c>
      <c r="F401" s="3" t="str">
        <f>VLOOKUP(D401,[1]Hoja1!$A:$K,11,0)</f>
        <v xml:space="preserve">LAB DE PROGRAM </v>
      </c>
      <c r="G401" s="7"/>
      <c r="H401" s="7"/>
      <c r="I401" s="5"/>
      <c r="J401" s="5"/>
      <c r="K401" s="6" t="s">
        <v>580</v>
      </c>
      <c r="L401" s="5"/>
      <c r="M401" s="6" t="str">
        <f>IFERROR(VLOOKUP(CONCATENATE(A401,"S"),[2]Hoja1!$B:$N,6,0)," ")</f>
        <v xml:space="preserve"> </v>
      </c>
      <c r="N401" s="4" t="str">
        <f t="shared" si="51"/>
        <v>PROVISIONAL</v>
      </c>
      <c r="O401" s="17" t="str">
        <f t="shared" si="52"/>
        <v>MONTENEGRO CLAUIDA</v>
      </c>
      <c r="P401" s="4" t="str">
        <f>IF(O401="vacante","vacante",IFERROR(IF(VLOOKUP(IF((M401)=" ",IF(COUNTBLANK(K401),I401,K401),M401),[3]Hoja1!$B:$I,4,0)="licencia","vacante"," ")," "))</f>
        <v xml:space="preserve"> </v>
      </c>
      <c r="Q401" s="4"/>
      <c r="R401">
        <f t="shared" si="53"/>
        <v>15</v>
      </c>
      <c r="S401" t="str">
        <f t="shared" si="54"/>
        <v>6°1°15</v>
      </c>
    </row>
    <row r="402" spans="1:19" ht="18.75" hidden="1" customHeight="1">
      <c r="A402" s="3" t="str">
        <f t="shared" si="50"/>
        <v>6°1°6126IFTLH6</v>
      </c>
      <c r="B402" s="3" t="s">
        <v>457</v>
      </c>
      <c r="C402" s="3">
        <v>612</v>
      </c>
      <c r="D402" s="3" t="s">
        <v>470</v>
      </c>
      <c r="E402" s="3">
        <v>2680845</v>
      </c>
      <c r="F402" s="3" t="str">
        <f>VLOOKUP(D402,[1]Hoja1!$A:$K,11,0)</f>
        <v xml:space="preserve">LAB DE HARDWARE </v>
      </c>
      <c r="G402" s="7"/>
      <c r="H402" s="7"/>
      <c r="I402" s="5"/>
      <c r="J402" s="5"/>
      <c r="K402" s="6" t="s">
        <v>580</v>
      </c>
      <c r="L402" s="5" t="str">
        <f>IFERROR(VLOOKUP(CONCATENATE(A402,"S"),[2]Hoja1!$B:$N,5,0)," ")</f>
        <v xml:space="preserve"> </v>
      </c>
      <c r="M402" s="6" t="str">
        <f>IFERROR(VLOOKUP(CONCATENATE(A402,"S"),[2]Hoja1!$B:$N,6,0)," ")</f>
        <v xml:space="preserve"> </v>
      </c>
      <c r="N402" s="4" t="str">
        <f t="shared" si="51"/>
        <v>PROVISIONAL</v>
      </c>
      <c r="O402" s="17" t="str">
        <f t="shared" si="52"/>
        <v>MONTENEGRO CLAUIDA</v>
      </c>
      <c r="P402" s="4" t="str">
        <f>IF(O402="vacante","vacante",IFERROR(IF(VLOOKUP(IF((M402)=" ",IF(COUNTBLANK(K402),I402,K402),M402),[3]Hoja1!$B:$I,4,0)="licencia","vacante"," ")," "))</f>
        <v xml:space="preserve"> </v>
      </c>
      <c r="Q402" s="4"/>
      <c r="R402">
        <f t="shared" si="53"/>
        <v>16</v>
      </c>
      <c r="S402" t="str">
        <f t="shared" si="54"/>
        <v>6°1°16</v>
      </c>
    </row>
    <row r="403" spans="1:19" ht="18.75" hidden="1" customHeight="1">
      <c r="A403" s="3" t="str">
        <f t="shared" si="50"/>
        <v>6°1°6126IFHLS6</v>
      </c>
      <c r="B403" s="3" t="s">
        <v>457</v>
      </c>
      <c r="C403" s="3">
        <v>612</v>
      </c>
      <c r="D403" s="3" t="s">
        <v>472</v>
      </c>
      <c r="E403" s="3">
        <v>2680848</v>
      </c>
      <c r="F403" s="3" t="str">
        <f>VLOOKUP(D403,[1]Hoja1!$A:$K,11,0)</f>
        <v xml:space="preserve">LAB DE SIST OPERATIVOS </v>
      </c>
      <c r="G403" s="7"/>
      <c r="H403" s="7"/>
      <c r="I403" s="5"/>
      <c r="J403" s="5">
        <v>24862276</v>
      </c>
      <c r="K403" s="6" t="s">
        <v>378</v>
      </c>
      <c r="L403" s="5">
        <f>IFERROR(VLOOKUP(CONCATENATE(A403,"S"),[2]Hoja1!$B:$N,5,0)," ")</f>
        <v>0</v>
      </c>
      <c r="M403" s="6" t="str">
        <f>IFERROR(VLOOKUP(CONCATENATE(A403,"S"),[2]Hoja1!$B:$N,6,0)," ")</f>
        <v>FERREYRA YESICA</v>
      </c>
      <c r="N403" s="4" t="str">
        <f t="shared" si="51"/>
        <v>SUPLENTE</v>
      </c>
      <c r="O403" s="17" t="str">
        <f t="shared" si="52"/>
        <v>FERREYRA YESICA</v>
      </c>
      <c r="P403" s="4" t="str">
        <f>IF(O403="vacante","vacante",IFERROR(IF(VLOOKUP(IF((M403)=" ",IF(COUNTBLANK(K403),I403,K403),M403),[3]Hoja1!$B:$I,4,0)="licencia","vacante"," ")," "))</f>
        <v xml:space="preserve"> </v>
      </c>
      <c r="Q403" s="4"/>
      <c r="R403">
        <f t="shared" si="53"/>
        <v>17</v>
      </c>
      <c r="S403" t="str">
        <f t="shared" si="54"/>
        <v>6°1°17</v>
      </c>
    </row>
    <row r="404" spans="1:19" ht="18.75" hidden="1" customHeight="1">
      <c r="A404" s="3" t="str">
        <f t="shared" si="50"/>
        <v>6°1°6126IFTLA6</v>
      </c>
      <c r="B404" s="3" t="s">
        <v>457</v>
      </c>
      <c r="C404" s="3">
        <v>612</v>
      </c>
      <c r="D404" s="3" t="s">
        <v>473</v>
      </c>
      <c r="E404" s="3">
        <v>2680853</v>
      </c>
      <c r="F404" s="3" t="str">
        <f>VLOOKUP(D404,[1]Hoja1!$A:$K,11,0)</f>
        <v xml:space="preserve">LAB DE APLICACIONES </v>
      </c>
      <c r="G404" s="7"/>
      <c r="H404" s="7"/>
      <c r="I404" s="5"/>
      <c r="J404" s="5"/>
      <c r="K404" s="6" t="s">
        <v>715</v>
      </c>
      <c r="L404" s="5" t="str">
        <f>IFERROR(VLOOKUP(CONCATENATE(A404,"S"),[2]Hoja1!$B:$N,5,0)," ")</f>
        <v xml:space="preserve"> </v>
      </c>
      <c r="M404" s="6" t="str">
        <f>IFERROR(VLOOKUP(CONCATENATE(A404,"S"),[2]Hoja1!$B:$N,6,0)," ")</f>
        <v xml:space="preserve"> </v>
      </c>
      <c r="N404" s="4" t="str">
        <f t="shared" si="51"/>
        <v>PROVISIONAL</v>
      </c>
      <c r="O404" s="17" t="str">
        <f t="shared" si="52"/>
        <v>HERRERA STELLA</v>
      </c>
      <c r="P404" s="4" t="str">
        <f>IF(O404="vacante","vacante",IFERROR(IF(VLOOKUP(IF((M404)=" ",IF(COUNTBLANK(K404),I404,K404),M404),[3]Hoja1!$B:$I,4,0)="licencia","vacante"," ")," "))</f>
        <v xml:space="preserve"> </v>
      </c>
      <c r="Q404" s="4"/>
      <c r="R404">
        <f t="shared" si="53"/>
        <v>18</v>
      </c>
      <c r="S404" t="str">
        <f t="shared" si="54"/>
        <v>6°1°18</v>
      </c>
    </row>
    <row r="405" spans="1:19" ht="18.75" hidden="1" customHeight="1">
      <c r="A405" s="3" t="str">
        <f t="shared" si="50"/>
        <v>6°2°6ILITS</v>
      </c>
      <c r="B405" s="3" t="s">
        <v>474</v>
      </c>
      <c r="C405" s="3"/>
      <c r="D405" s="3" t="s">
        <v>458</v>
      </c>
      <c r="E405" s="3">
        <v>2681816</v>
      </c>
      <c r="F405" s="3" t="str">
        <f>VLOOKUP(D405,[1]Hoja1!$A:$K,11,0)</f>
        <v>LITERATURA</v>
      </c>
      <c r="G405" s="7" t="s">
        <v>698</v>
      </c>
      <c r="H405" s="7" t="s">
        <v>683</v>
      </c>
      <c r="I405" s="5" t="s">
        <v>697</v>
      </c>
      <c r="J405" s="5"/>
      <c r="K405" s="6"/>
      <c r="L405" s="5" t="str">
        <f>IFERROR(VLOOKUP(CONCATENATE(A405,"S"),[2]Hoja1!$B:$N,5,0)," ")</f>
        <v xml:space="preserve"> </v>
      </c>
      <c r="M405" s="6" t="str">
        <f>IFERROR(VLOOKUP(CONCATENATE(A405,"S"),[2]Hoja1!$B:$N,6,0)," ")</f>
        <v xml:space="preserve"> </v>
      </c>
      <c r="N405" s="24" t="str">
        <f t="shared" si="51"/>
        <v>TITULAR</v>
      </c>
      <c r="O405" s="25" t="str">
        <f t="shared" si="52"/>
        <v>LOGUZZO, LORENA BEATRIZ</v>
      </c>
      <c r="P405" s="4" t="str">
        <f>IF(O405="vacante","vacante",IFERROR(IF(VLOOKUP(IF((M405)=" ",IF(COUNTBLANK(K405),I405,K405),M405),[3]Hoja1!$B:$I,4,0)="licencia","vacante"," ")," "))</f>
        <v xml:space="preserve"> </v>
      </c>
      <c r="Q405" s="4"/>
      <c r="R405">
        <f t="shared" si="53"/>
        <v>1</v>
      </c>
      <c r="S405" t="str">
        <f t="shared" si="54"/>
        <v>6°2°1</v>
      </c>
    </row>
    <row r="406" spans="1:19" ht="18.75" hidden="1" customHeight="1">
      <c r="A406" s="3" t="str">
        <f t="shared" si="50"/>
        <v>6°2°6IINGS</v>
      </c>
      <c r="B406" s="3" t="s">
        <v>474</v>
      </c>
      <c r="C406" s="3"/>
      <c r="D406" s="3" t="s">
        <v>459</v>
      </c>
      <c r="E406" s="3">
        <v>2681822</v>
      </c>
      <c r="F406" s="3" t="str">
        <f>VLOOKUP(D406,[1]Hoja1!$A:$K,11,0)</f>
        <v>INGLÉS</v>
      </c>
      <c r="G406" s="7">
        <v>26117162</v>
      </c>
      <c r="H406" s="7"/>
      <c r="I406" s="5" t="s">
        <v>95</v>
      </c>
      <c r="J406" s="5"/>
      <c r="K406" s="6"/>
      <c r="L406" s="5">
        <f>IFERROR(VLOOKUP(CONCATENATE(A406,"S"),[2]Hoja1!$B:$N,5,0)," ")</f>
        <v>27315554360</v>
      </c>
      <c r="M406" s="6" t="str">
        <f>IFERROR(VLOOKUP(CONCATENATE(A406,"S"),[2]Hoja1!$B:$N,6,0)," ")</f>
        <v>MARTINS RUTH MARIA DEL ROS</v>
      </c>
      <c r="N406" s="24" t="str">
        <f t="shared" si="51"/>
        <v>SUPLENTE</v>
      </c>
      <c r="O406" s="25" t="str">
        <f t="shared" si="52"/>
        <v>MARTINS RUTH MARIA DEL ROS</v>
      </c>
      <c r="P406" s="4" t="str">
        <f>IF(O406="vacante","vacante",IFERROR(IF(VLOOKUP(IF((M406)=" ",IF(COUNTBLANK(K406),I406,K406),M406),[3]Hoja1!$B:$I,4,0)="licencia","vacante"," ")," "))</f>
        <v xml:space="preserve"> </v>
      </c>
      <c r="Q406" s="4"/>
      <c r="R406">
        <f t="shared" si="53"/>
        <v>2</v>
      </c>
      <c r="S406" t="str">
        <f t="shared" si="54"/>
        <v>6°2°2</v>
      </c>
    </row>
    <row r="407" spans="1:19" ht="18.75" hidden="1" customHeight="1">
      <c r="A407" s="3" t="str">
        <f t="shared" si="50"/>
        <v>6°2°6IEFIS</v>
      </c>
      <c r="B407" s="3" t="s">
        <v>474</v>
      </c>
      <c r="C407" s="3"/>
      <c r="D407" s="3" t="s">
        <v>460</v>
      </c>
      <c r="E407" s="3">
        <v>2681823</v>
      </c>
      <c r="F407" s="3" t="str">
        <f>VLOOKUP(D407,[1]Hoja1!$A:$K,11,0)</f>
        <v>EDUCACIÓN FISICA</v>
      </c>
      <c r="G407" s="7">
        <v>28080737</v>
      </c>
      <c r="H407" s="7"/>
      <c r="I407" s="5" t="s">
        <v>475</v>
      </c>
      <c r="J407" s="5"/>
      <c r="K407" s="6"/>
      <c r="L407" s="5" t="str">
        <f>IFERROR(VLOOKUP(CONCATENATE(A407,"S"),[2]Hoja1!$B:$N,5,0)," ")</f>
        <v xml:space="preserve"> </v>
      </c>
      <c r="M407" s="6" t="str">
        <f>IFERROR(VLOOKUP(CONCATENATE(A407,"S"),[2]Hoja1!$B:$N,6,0)," ")</f>
        <v xml:space="preserve"> </v>
      </c>
      <c r="N407" s="24" t="str">
        <f t="shared" si="51"/>
        <v>TITULAR</v>
      </c>
      <c r="O407" s="25" t="str">
        <f t="shared" si="52"/>
        <v xml:space="preserve">BURELA, MERCEDES </v>
      </c>
      <c r="P407" s="4" t="str">
        <f>IF(O407="vacante","vacante",IFERROR(IF(VLOOKUP(IF((M407)=" ",IF(COUNTBLANK(K407),I407,K407),M407),[3]Hoja1!$B:$I,4,0)="licencia","vacante"," ")," "))</f>
        <v xml:space="preserve"> </v>
      </c>
      <c r="Q407" s="4"/>
      <c r="R407">
        <f t="shared" si="53"/>
        <v>3</v>
      </c>
      <c r="S407" t="str">
        <f t="shared" si="54"/>
        <v>6°2°3</v>
      </c>
    </row>
    <row r="408" spans="1:19" ht="18.75" hidden="1" customHeight="1">
      <c r="A408" s="3" t="str">
        <f t="shared" si="50"/>
        <v>6°2°6IFILO</v>
      </c>
      <c r="B408" s="3" t="s">
        <v>474</v>
      </c>
      <c r="C408" s="3"/>
      <c r="D408" s="3" t="s">
        <v>461</v>
      </c>
      <c r="E408" s="3">
        <v>2681824</v>
      </c>
      <c r="F408" s="3" t="str">
        <f>VLOOKUP(D408,[1]Hoja1!$A:$K,11,0)</f>
        <v>FILOSOFIA</v>
      </c>
      <c r="G408" s="7">
        <v>23441836</v>
      </c>
      <c r="H408" s="7"/>
      <c r="I408" s="5" t="s">
        <v>610</v>
      </c>
      <c r="J408" s="5"/>
      <c r="K408" s="6"/>
      <c r="L408" s="5">
        <f>IFERROR(VLOOKUP(CONCATENATE(A408,"S"),[2]Hoja1!$B:$N,5,0)," ")</f>
        <v>0</v>
      </c>
      <c r="M408" s="6" t="str">
        <f>IFERROR(VLOOKUP(CONCATENATE(A408,"S"),[2]Hoja1!$B:$N,6,0)," ")</f>
        <v>ESCALANTE RUTH</v>
      </c>
      <c r="N408" s="24" t="str">
        <f t="shared" si="51"/>
        <v>SUPLENTE</v>
      </c>
      <c r="O408" s="25" t="str">
        <f t="shared" si="52"/>
        <v>ESCALANTE RUTH</v>
      </c>
      <c r="P408" s="4" t="str">
        <f>IF(O408="vacante","vacante",IFERROR(IF(VLOOKUP(IF((M408)=" ",IF(COUNTBLANK(K408),I408,K408),M408),[3]Hoja1!$B:$I,4,0)="licencia","vacante"," ")," "))</f>
        <v xml:space="preserve"> </v>
      </c>
      <c r="Q408" s="4"/>
      <c r="R408">
        <f t="shared" si="53"/>
        <v>4</v>
      </c>
      <c r="S408" t="str">
        <f t="shared" si="54"/>
        <v>6°2°4</v>
      </c>
    </row>
    <row r="409" spans="1:19" ht="18.75" hidden="1" customHeight="1">
      <c r="A409" s="3" t="str">
        <f t="shared" si="50"/>
        <v>6°2°6IARTE</v>
      </c>
      <c r="B409" s="3" t="s">
        <v>474</v>
      </c>
      <c r="C409" s="3"/>
      <c r="D409" s="3" t="s">
        <v>463</v>
      </c>
      <c r="E409" s="3">
        <v>2681828</v>
      </c>
      <c r="F409" s="3" t="str">
        <f>VLOOKUP(D409,[1]Hoja1!$A:$K,11,0)</f>
        <v>ARTE</v>
      </c>
      <c r="G409" s="7" t="s">
        <v>189</v>
      </c>
      <c r="H409" s="7"/>
      <c r="I409" s="31" t="s">
        <v>771</v>
      </c>
      <c r="J409" s="5"/>
      <c r="K409" s="6"/>
      <c r="L409" s="5" t="str">
        <f>IFERROR(VLOOKUP(CONCATENATE(A409,"S"),[2]Hoja1!$B:$N,5,0)," ")</f>
        <v xml:space="preserve"> </v>
      </c>
      <c r="M409" s="6" t="str">
        <f>IFERROR(VLOOKUP(CONCATENATE(A409,"S"),[2]Hoja1!$B:$N,6,0)," ")</f>
        <v xml:space="preserve"> </v>
      </c>
      <c r="N409" s="24" t="str">
        <f t="shared" si="51"/>
        <v>TITULAR</v>
      </c>
      <c r="O409" s="25" t="str">
        <f t="shared" si="52"/>
        <v>GOMEZ, PATRICIA INT 2026</v>
      </c>
      <c r="P409" s="4" t="str">
        <f>IF(O409="vacante","vacante",IFERROR(IF(VLOOKUP(IF((M409)=" ",IF(COUNTBLANK(K409),I409,K409),M409),[3]Hoja1!$B:$I,4,0)="licencia","vacante"," ")," "))</f>
        <v xml:space="preserve"> </v>
      </c>
      <c r="Q409" s="4"/>
      <c r="R409">
        <f t="shared" si="53"/>
        <v>5</v>
      </c>
      <c r="S409" t="str">
        <f t="shared" si="54"/>
        <v>6°2°5</v>
      </c>
    </row>
    <row r="410" spans="1:19" ht="18.75" hidden="1" customHeight="1">
      <c r="A410" s="3" t="str">
        <f t="shared" si="50"/>
        <v>6°2°6IMATAP</v>
      </c>
      <c r="B410" s="3" t="s">
        <v>474</v>
      </c>
      <c r="C410" s="3"/>
      <c r="D410" s="3" t="s">
        <v>464</v>
      </c>
      <c r="E410" s="3">
        <v>2681831</v>
      </c>
      <c r="F410" s="3" t="str">
        <f>VLOOKUP(D410,[1]Hoja1!$A:$K,11,0)</f>
        <v>MATEMATICA APLICADA</v>
      </c>
      <c r="G410" s="7">
        <v>25671625</v>
      </c>
      <c r="H410" s="7"/>
      <c r="I410" s="5" t="s">
        <v>476</v>
      </c>
      <c r="J410" s="5"/>
      <c r="K410" s="6"/>
      <c r="L410" s="5" t="str">
        <f>IFERROR(VLOOKUP(CONCATENATE(A410,"S"),[2]Hoja1!$B:$N,5,0)," ")</f>
        <v xml:space="preserve"> </v>
      </c>
      <c r="M410" s="6" t="str">
        <f>IFERROR(VLOOKUP(CONCATENATE(A410,"S"),[2]Hoja1!$B:$N,6,0)," ")</f>
        <v xml:space="preserve"> </v>
      </c>
      <c r="N410" s="24" t="str">
        <f t="shared" si="51"/>
        <v>TITULAR</v>
      </c>
      <c r="O410" s="25" t="str">
        <f t="shared" si="52"/>
        <v>GUADAGNO CLAUDIA</v>
      </c>
      <c r="P410" s="4" t="str">
        <f>IF(O410="vacante","vacante",IFERROR(IF(VLOOKUP(IF((M410)=" ",IF(COUNTBLANK(K410),I410,K410),M410),[3]Hoja1!$B:$I,4,0)="licencia","vacante"," ")," "))</f>
        <v xml:space="preserve"> </v>
      </c>
      <c r="Q410" s="4"/>
      <c r="R410">
        <f t="shared" si="53"/>
        <v>6</v>
      </c>
      <c r="S410" t="str">
        <f t="shared" si="54"/>
        <v>6°2°6</v>
      </c>
    </row>
    <row r="411" spans="1:19" ht="18.75" hidden="1" customHeight="1">
      <c r="A411" s="3" t="str">
        <f t="shared" si="50"/>
        <v>6°2°6ISIDI6</v>
      </c>
      <c r="B411" s="3" t="s">
        <v>474</v>
      </c>
      <c r="C411" s="3"/>
      <c r="D411" s="3" t="s">
        <v>465</v>
      </c>
      <c r="E411" s="3">
        <v>2681834</v>
      </c>
      <c r="F411" s="3" t="str">
        <f>VLOOKUP(D411,[1]Hoja1!$A:$K,11,0)</f>
        <v>SISTEMA DIGITAL</v>
      </c>
      <c r="G411" s="7"/>
      <c r="H411" s="7"/>
      <c r="I411" s="5"/>
      <c r="J411" s="5"/>
      <c r="K411" s="6" t="s">
        <v>647</v>
      </c>
      <c r="L411" s="5" t="str">
        <f>IFERROR(VLOOKUP(CONCATENATE(A411,"S"),[2]Hoja1!$B:$N,5,0)," ")</f>
        <v xml:space="preserve"> </v>
      </c>
      <c r="M411" s="6" t="str">
        <f>IFERROR(VLOOKUP(CONCATENATE(A411,"S"),[2]Hoja1!$B:$N,6,0)," ")</f>
        <v xml:space="preserve"> </v>
      </c>
      <c r="N411" s="24" t="str">
        <f t="shared" si="51"/>
        <v>PROVISIONAL</v>
      </c>
      <c r="O411" s="25" t="str">
        <f t="shared" si="52"/>
        <v>MONTES IVAN</v>
      </c>
      <c r="P411" s="4" t="str">
        <f>IF(O411="vacante","vacante",IFERROR(IF(VLOOKUP(IF((M411)=" ",IF(COUNTBLANK(K411),I411,K411),M411),[3]Hoja1!$B:$I,4,0)="licencia","vacante"," ")," "))</f>
        <v xml:space="preserve"> </v>
      </c>
      <c r="Q411" s="4" t="s">
        <v>634</v>
      </c>
      <c r="R411">
        <f t="shared" si="53"/>
        <v>7</v>
      </c>
      <c r="S411" t="str">
        <f t="shared" si="54"/>
        <v>6°2°7</v>
      </c>
    </row>
    <row r="412" spans="1:19" ht="18.75" hidden="1" customHeight="1">
      <c r="A412" s="3" t="str">
        <f t="shared" si="50"/>
        <v>6°2°6IINVOP</v>
      </c>
      <c r="B412" s="3" t="s">
        <v>474</v>
      </c>
      <c r="C412" s="3"/>
      <c r="D412" s="3" t="s">
        <v>466</v>
      </c>
      <c r="E412" s="3">
        <v>2681836</v>
      </c>
      <c r="F412" s="3" t="str">
        <f>VLOOKUP(D412,[1]Hoja1!$A:$K,11,0)</f>
        <v>INVESTIGACION OPERATIVA</v>
      </c>
      <c r="G412" s="7"/>
      <c r="H412" s="7"/>
      <c r="I412" s="5"/>
      <c r="J412" s="5"/>
      <c r="K412" s="6" t="s">
        <v>653</v>
      </c>
      <c r="L412" s="5" t="str">
        <f>IFERROR(VLOOKUP(CONCATENATE(A412,"S"),[2]Hoja1!$B:$N,5,0)," ")</f>
        <v xml:space="preserve"> </v>
      </c>
      <c r="M412" s="6" t="str">
        <f>IFERROR(VLOOKUP(CONCATENATE(A412,"S"),[2]Hoja1!$B:$N,6,0)," ")</f>
        <v xml:space="preserve"> </v>
      </c>
      <c r="N412" s="24" t="str">
        <f t="shared" si="51"/>
        <v>PROVISIONAL</v>
      </c>
      <c r="O412" s="25" t="str">
        <f t="shared" si="52"/>
        <v>MONTENEGRO</v>
      </c>
      <c r="P412" s="4" t="str">
        <f>IF(O412="vacante","vacante",IFERROR(IF(VLOOKUP(IF((M412)=" ",IF(COUNTBLANK(K412),I412,K412),M412),[3]Hoja1!$B:$I,4,0)="licencia","vacante"," ")," "))</f>
        <v xml:space="preserve"> </v>
      </c>
      <c r="Q412" s="4"/>
      <c r="R412">
        <f t="shared" si="53"/>
        <v>8</v>
      </c>
      <c r="S412" t="str">
        <f t="shared" si="54"/>
        <v>6°2°8</v>
      </c>
    </row>
    <row r="413" spans="1:19" ht="18.75" hidden="1" customHeight="1">
      <c r="A413" s="3" t="str">
        <f t="shared" si="50"/>
        <v>6°2°6ISEIN</v>
      </c>
      <c r="B413" s="3" t="s">
        <v>474</v>
      </c>
      <c r="C413" s="3"/>
      <c r="D413" s="3" t="s">
        <v>467</v>
      </c>
      <c r="E413" s="3">
        <v>2681838</v>
      </c>
      <c r="F413" s="3" t="str">
        <f>VLOOKUP(D413,[1]Hoja1!$A:$K,11,0)</f>
        <v>SEGURIDAD INFORMATICA</v>
      </c>
      <c r="G413" s="7"/>
      <c r="H413" s="7"/>
      <c r="I413" s="5"/>
      <c r="J413" s="5"/>
      <c r="K413" s="6" t="s">
        <v>652</v>
      </c>
      <c r="L413" s="5" t="str">
        <f>IFERROR(VLOOKUP(CONCATENATE(A413,"S"),[2]Hoja1!$B:$N,5,0)," ")</f>
        <v xml:space="preserve"> </v>
      </c>
      <c r="M413" s="6" t="str">
        <f>IFERROR(VLOOKUP(CONCATENATE(A413,"S"),[2]Hoja1!$B:$N,6,0)," ")</f>
        <v xml:space="preserve"> </v>
      </c>
      <c r="N413" s="24" t="str">
        <f t="shared" si="51"/>
        <v>PROVISIONAL</v>
      </c>
      <c r="O413" s="25" t="str">
        <f t="shared" si="52"/>
        <v>PALAVECINO</v>
      </c>
      <c r="P413" s="4" t="str">
        <f>IF(O413="vacante","vacante",IFERROR(IF(VLOOKUP(IF((M413)=" ",IF(COUNTBLANK(K413),I413,K413),M413),[3]Hoja1!$B:$I,4,0)="licencia","vacante"," ")," "))</f>
        <v xml:space="preserve"> </v>
      </c>
      <c r="Q413" s="4"/>
      <c r="R413">
        <f t="shared" si="53"/>
        <v>9</v>
      </c>
      <c r="S413" t="str">
        <f t="shared" si="54"/>
        <v>6°2°9</v>
      </c>
    </row>
    <row r="414" spans="1:19" ht="18.75" hidden="1" customHeight="1">
      <c r="A414" s="3" t="str">
        <f t="shared" si="50"/>
        <v>6°2°6IDETRA</v>
      </c>
      <c r="B414" s="3" t="s">
        <v>474</v>
      </c>
      <c r="C414" s="3"/>
      <c r="D414" s="3" t="s">
        <v>468</v>
      </c>
      <c r="E414" s="3">
        <v>2681840</v>
      </c>
      <c r="F414" s="3" t="str">
        <f>VLOOKUP(D414,[1]Hoja1!$A:$K,11,0)</f>
        <v>DERECHO DE TRABAJO</v>
      </c>
      <c r="G414" s="7" t="s">
        <v>755</v>
      </c>
      <c r="H414" s="7"/>
      <c r="I414" s="5"/>
      <c r="J414" s="5">
        <v>27279424862</v>
      </c>
      <c r="K414" s="43" t="s">
        <v>804</v>
      </c>
      <c r="L414" s="5" t="str">
        <f>IFERROR(VLOOKUP(CONCATENATE(A414,"S"),[2]Hoja1!$B:$N,5,0)," ")</f>
        <v xml:space="preserve"> </v>
      </c>
      <c r="M414" s="6" t="str">
        <f>IFERROR(VLOOKUP(CONCATENATE(A414,"S"),[2]Hoja1!$B:$N,6,0)," ")</f>
        <v xml:space="preserve"> </v>
      </c>
      <c r="N414" s="24" t="str">
        <f t="shared" si="51"/>
        <v>PROVISIONAL</v>
      </c>
      <c r="O414" s="25" t="str">
        <f t="shared" si="52"/>
        <v xml:space="preserve">PEREYRA LORENA   </v>
      </c>
      <c r="P414" s="4" t="str">
        <f>IF(O414="vacante","vacante",IFERROR(IF(VLOOKUP(IF((M414)=" ",IF(COUNTBLANK(K414),I414,K414),M414),[3]Hoja1!$B:$I,4,0)="licencia","vacante"," ")," "))</f>
        <v xml:space="preserve"> </v>
      </c>
      <c r="Q414" s="4"/>
      <c r="R414">
        <f t="shared" si="53"/>
        <v>10</v>
      </c>
      <c r="S414" t="str">
        <f t="shared" si="54"/>
        <v>6°2°10</v>
      </c>
    </row>
    <row r="415" spans="1:19" ht="18.75" hidden="1" customHeight="1">
      <c r="A415" s="3" t="str">
        <f t="shared" si="50"/>
        <v>6°2°6216IFTLP6</v>
      </c>
      <c r="B415" s="3" t="s">
        <v>474</v>
      </c>
      <c r="C415" s="3">
        <v>621</v>
      </c>
      <c r="D415" s="3" t="s">
        <v>469</v>
      </c>
      <c r="E415" s="3">
        <v>2681841</v>
      </c>
      <c r="F415" s="3" t="str">
        <f>VLOOKUP(D415,[1]Hoja1!$A:$K,11,0)</f>
        <v xml:space="preserve">LAB DE PROGRAM </v>
      </c>
      <c r="G415" s="7">
        <v>24862276</v>
      </c>
      <c r="H415" s="7"/>
      <c r="I415" s="5" t="s">
        <v>427</v>
      </c>
      <c r="J415" s="5"/>
      <c r="K415" s="6"/>
      <c r="L415" s="5">
        <f>IFERROR(VLOOKUP(CONCATENATE(A415,"S"),[2]Hoja1!$B:$N,5,0)," ")</f>
        <v>0</v>
      </c>
      <c r="M415" s="6" t="str">
        <f>IFERROR(VLOOKUP(CONCATENATE(A415,"S"),[2]Hoja1!$B:$N,6,0)," ")</f>
        <v>WITT GERARDO</v>
      </c>
      <c r="N415" s="24" t="str">
        <f t="shared" si="51"/>
        <v>SUPLENTE</v>
      </c>
      <c r="O415" s="25" t="str">
        <f t="shared" si="52"/>
        <v>WITT GERARDO</v>
      </c>
      <c r="P415" s="4" t="str">
        <f>IF(O415="vacante","vacante",IFERROR(IF(VLOOKUP(IF((M415)=" ",IF(COUNTBLANK(K415),I415,K415),M415),[3]Hoja1!$B:$I,4,0)="licencia","vacante"," ")," "))</f>
        <v xml:space="preserve"> </v>
      </c>
      <c r="Q415" s="4"/>
      <c r="R415">
        <f t="shared" si="53"/>
        <v>11</v>
      </c>
      <c r="S415" t="str">
        <f t="shared" si="54"/>
        <v>6°2°11</v>
      </c>
    </row>
    <row r="416" spans="1:19" ht="18.75" hidden="1" customHeight="1">
      <c r="A416" s="3" t="str">
        <f t="shared" si="50"/>
        <v>6°2°6216IFTLH6</v>
      </c>
      <c r="B416" s="3" t="s">
        <v>474</v>
      </c>
      <c r="C416" s="3">
        <v>621</v>
      </c>
      <c r="D416" s="3" t="s">
        <v>470</v>
      </c>
      <c r="E416" s="3">
        <v>2681844</v>
      </c>
      <c r="F416" s="3" t="str">
        <f>VLOOKUP(D416,[1]Hoja1!$A:$K,11,0)</f>
        <v xml:space="preserve">LAB DE HARDWARE </v>
      </c>
      <c r="G416" s="7">
        <v>16019055</v>
      </c>
      <c r="H416" s="7"/>
      <c r="I416" s="5"/>
      <c r="J416" s="5"/>
      <c r="K416" s="6" t="s">
        <v>747</v>
      </c>
      <c r="L416" s="5">
        <f>IFERROR(VLOOKUP(CONCATENATE(A416,"S"),[2]Hoja1!$B:$N,5,0)," ")</f>
        <v>0</v>
      </c>
      <c r="M416" s="6" t="str">
        <f>IFERROR(VLOOKUP(CONCATENATE(A416,"S"),[2]Hoja1!$B:$N,6,0)," ")</f>
        <v>MONTENEGRO, CLAUDIA</v>
      </c>
      <c r="N416" s="24" t="str">
        <f>IF((M416)=" ",IF(COUNTBLANK(K420),"TITULAR","PROVISIONAL"),"SUPLENTE")</f>
        <v>SUPLENTE</v>
      </c>
      <c r="O416" s="25" t="str">
        <f t="shared" si="52"/>
        <v>MONTENEGRO, CLAUDIA</v>
      </c>
      <c r="P416" s="4" t="str">
        <f>IF(O416="vacante","vacante",IFERROR(IF(VLOOKUP(IF((M416)=" ",IF(COUNTBLANK(K420),I416,K420),M416),[3]Hoja1!$B:$I,4,0)="licencia","vacante"," ")," "))</f>
        <v xml:space="preserve"> </v>
      </c>
      <c r="Q416" s="4"/>
      <c r="R416">
        <f t="shared" si="53"/>
        <v>12</v>
      </c>
      <c r="S416" t="str">
        <f t="shared" si="54"/>
        <v>6°2°12</v>
      </c>
    </row>
    <row r="417" spans="1:19" ht="18.75" hidden="1" customHeight="1">
      <c r="A417" s="3" t="str">
        <f t="shared" si="50"/>
        <v>6°2°6216IFHLS6</v>
      </c>
      <c r="B417" s="3" t="s">
        <v>474</v>
      </c>
      <c r="C417" s="3">
        <v>621</v>
      </c>
      <c r="D417" s="3" t="s">
        <v>472</v>
      </c>
      <c r="E417" s="3">
        <v>2681845</v>
      </c>
      <c r="F417" s="3" t="str">
        <f>VLOOKUP(D417,[1]Hoja1!$A:$K,11,0)</f>
        <v xml:space="preserve">LAB DE SIST OPERATIVOS </v>
      </c>
      <c r="G417" s="7" t="s">
        <v>301</v>
      </c>
      <c r="H417" s="7" t="s">
        <v>80</v>
      </c>
      <c r="I417" s="5"/>
      <c r="J417" s="5"/>
      <c r="K417" s="6" t="s">
        <v>658</v>
      </c>
      <c r="L417" s="5" t="str">
        <f>IFERROR(VLOOKUP(CONCATENATE(A417,"S"),[2]Hoja1!$B:$N,5,0)," ")</f>
        <v xml:space="preserve"> </v>
      </c>
      <c r="M417" s="6" t="str">
        <f>IFERROR(VLOOKUP(CONCATENATE(A417,"S"),[2]Hoja1!$B:$N,6,0)," ")</f>
        <v xml:space="preserve"> </v>
      </c>
      <c r="N417" s="24" t="str">
        <f>IF((M417)=" ",IF(COUNTBLANK(K417),"TITULAR","PROVISIONAL"),"SUPLENTE")</f>
        <v>PROVISIONAL</v>
      </c>
      <c r="O417" s="25" t="str">
        <f>IF((M417)=" ",IF(COUNTBLANK(K417),#REF!,K417),M417)</f>
        <v>FERREYRA JESICA</v>
      </c>
      <c r="P417" s="4" t="str">
        <f>IF(O417="vacante","vacante",IFERROR(IF(VLOOKUP(IF((M417)=" ",IF(COUNTBLANK(K417),#REF!,K417),M417),[3]Hoja1!$B:$I,4,0)="licencia","vacante"," ")," "))</f>
        <v xml:space="preserve"> </v>
      </c>
      <c r="Q417" s="4"/>
      <c r="R417">
        <f t="shared" si="53"/>
        <v>13</v>
      </c>
      <c r="S417" t="str">
        <f t="shared" si="54"/>
        <v>6°2°13</v>
      </c>
    </row>
    <row r="418" spans="1:19" ht="18.75" hidden="1" customHeight="1">
      <c r="A418" s="3" t="str">
        <f t="shared" si="50"/>
        <v>6°2°6216IFTLA6</v>
      </c>
      <c r="B418" s="3" t="s">
        <v>474</v>
      </c>
      <c r="C418" s="3">
        <v>621</v>
      </c>
      <c r="D418" s="3" t="s">
        <v>473</v>
      </c>
      <c r="E418" s="3">
        <v>2681854</v>
      </c>
      <c r="F418" s="3" t="str">
        <f>VLOOKUP(D418,[1]Hoja1!$A:$K,11,0)</f>
        <v xml:space="preserve">LAB DE APLICACIONES </v>
      </c>
      <c r="G418" s="7"/>
      <c r="H418" s="7"/>
      <c r="I418" s="5"/>
      <c r="J418" s="5"/>
      <c r="K418" s="6" t="s">
        <v>715</v>
      </c>
      <c r="L418" s="5" t="str">
        <f>IFERROR(VLOOKUP(CONCATENATE(A418,"S"),[2]Hoja1!$B:$N,5,0)," ")</f>
        <v xml:space="preserve"> </v>
      </c>
      <c r="M418" s="6" t="str">
        <f>IFERROR(VLOOKUP(CONCATENATE(A418,"S"),[2]Hoja1!$B:$N,6,0)," ")</f>
        <v xml:space="preserve"> </v>
      </c>
      <c r="N418" s="24" t="str">
        <f>IF((M418)=" ",IF(COUNTBLANK(K418),"TITULAR","PROVISIONAL"),"SUPLENTE")</f>
        <v>PROVISIONAL</v>
      </c>
      <c r="O418" s="25" t="str">
        <f t="shared" ref="O418:O438" si="55">IF((M418)=" ",IF(COUNTBLANK(K418),I418,K418),M418)</f>
        <v>HERRERA STELLA</v>
      </c>
      <c r="P418" s="4" t="str">
        <f>IF(O418="vacante","vacante",IFERROR(IF(VLOOKUP(IF((M418)=" ",IF(COUNTBLANK(K418),I418,K418),M418),[3]Hoja1!$B:$I,4,0)="licencia","vacante"," ")," "))</f>
        <v xml:space="preserve"> </v>
      </c>
      <c r="Q418" s="4"/>
      <c r="R418">
        <f t="shared" si="53"/>
        <v>14</v>
      </c>
      <c r="S418" t="str">
        <f t="shared" si="54"/>
        <v>6°2°14</v>
      </c>
    </row>
    <row r="419" spans="1:19" ht="18.75" hidden="1" customHeight="1">
      <c r="A419" s="3" t="str">
        <f t="shared" si="50"/>
        <v>6°2°6226IFTLP6</v>
      </c>
      <c r="B419" s="3" t="s">
        <v>474</v>
      </c>
      <c r="C419" s="3">
        <v>622</v>
      </c>
      <c r="D419" s="3" t="s">
        <v>469</v>
      </c>
      <c r="E419" s="3">
        <v>2681857</v>
      </c>
      <c r="F419" s="3" t="str">
        <f>VLOOKUP(D419,[1]Hoja1!$A:$K,11,0)</f>
        <v xml:space="preserve">LAB DE PROGRAM </v>
      </c>
      <c r="G419" s="7" t="s">
        <v>178</v>
      </c>
      <c r="H419" s="7"/>
      <c r="I419" s="5"/>
      <c r="J419" s="5"/>
      <c r="K419" s="6" t="s">
        <v>582</v>
      </c>
      <c r="L419" s="5" t="str">
        <f>IFERROR(VLOOKUP(CONCATENATE(A419,"S"),[2]Hoja1!$B:$N,5,0)," ")</f>
        <v xml:space="preserve"> </v>
      </c>
      <c r="M419" s="6" t="str">
        <f>IFERROR(VLOOKUP(CONCATENATE(A419,"S"),[2]Hoja1!$B:$N,6,0)," ")</f>
        <v xml:space="preserve"> </v>
      </c>
      <c r="N419" s="24" t="str">
        <f>IF((M419)=" ",IF(COUNTBLANK(K419),"TITULAR","PROVISIONAL"),"SUPLENTE")</f>
        <v>PROVISIONAL</v>
      </c>
      <c r="O419" s="25" t="str">
        <f t="shared" si="55"/>
        <v>WITT  GERARDO</v>
      </c>
      <c r="P419" s="4" t="str">
        <f>IF(O419="vacante","vacante",IFERROR(IF(VLOOKUP(IF((M419)=" ",IF(COUNTBLANK(K419),I419,K419),M419),[3]Hoja1!$B:$I,4,0)="licencia","vacante"," ")," "))</f>
        <v xml:space="preserve"> </v>
      </c>
      <c r="Q419" s="4"/>
      <c r="R419">
        <f t="shared" si="53"/>
        <v>15</v>
      </c>
      <c r="S419" t="str">
        <f t="shared" si="54"/>
        <v>6°2°15</v>
      </c>
    </row>
    <row r="420" spans="1:19" ht="18.75" hidden="1" customHeight="1">
      <c r="A420" s="3" t="str">
        <f t="shared" si="50"/>
        <v>6°2°6226IFTLH6</v>
      </c>
      <c r="B420" s="3" t="s">
        <v>474</v>
      </c>
      <c r="C420" s="3">
        <v>622</v>
      </c>
      <c r="D420" s="3" t="s">
        <v>470</v>
      </c>
      <c r="E420" s="3">
        <v>2681860</v>
      </c>
      <c r="F420" s="3" t="str">
        <f>VLOOKUP(D420,[1]Hoja1!$A:$K,11,0)</f>
        <v xml:space="preserve">LAB DE HARDWARE </v>
      </c>
      <c r="G420" s="7"/>
      <c r="H420" s="7"/>
      <c r="I420" s="5"/>
      <c r="J420" s="5"/>
      <c r="K420" s="6" t="s">
        <v>653</v>
      </c>
      <c r="L420" s="5" t="str">
        <f>IFERROR(VLOOKUP(CONCATENATE(A420,"S"),[2]Hoja1!$B:$N,5,0)," ")</f>
        <v xml:space="preserve"> </v>
      </c>
      <c r="M420" s="6" t="str">
        <f>IFERROR(VLOOKUP(CONCATENATE(A420,"S"),[2]Hoja1!$B:$N,6,0)," ")</f>
        <v xml:space="preserve"> </v>
      </c>
      <c r="N420" s="24" t="str">
        <f>IF((M420)=" ",IF(COUNTBLANK(K416),"TITULAR","PROVISIONAL"),"SUPLENTE")</f>
        <v>PROVISIONAL</v>
      </c>
      <c r="O420" s="25" t="str">
        <f t="shared" si="55"/>
        <v>MONTENEGRO</v>
      </c>
      <c r="P420" s="4" t="str">
        <f>IF(O420="vacante","vacante",IFERROR(IF(VLOOKUP(IF((M420)=" ",IF(COUNTBLANK(K416),I420,K416),M420),[3]Hoja1!$B:$I,4,0)="licencia","vacante"," ")," "))</f>
        <v xml:space="preserve"> </v>
      </c>
      <c r="Q420" s="4"/>
      <c r="R420">
        <f t="shared" si="53"/>
        <v>16</v>
      </c>
      <c r="S420" t="str">
        <f t="shared" si="54"/>
        <v>6°2°16</v>
      </c>
    </row>
    <row r="421" spans="1:19" ht="18.75" hidden="1" customHeight="1">
      <c r="A421" s="3" t="str">
        <f t="shared" si="50"/>
        <v>6°2°6226IFHLS6</v>
      </c>
      <c r="B421" s="3" t="s">
        <v>474</v>
      </c>
      <c r="C421" s="3">
        <v>622</v>
      </c>
      <c r="D421" s="3" t="s">
        <v>472</v>
      </c>
      <c r="E421" s="3">
        <v>2681867</v>
      </c>
      <c r="F421" s="3" t="str">
        <f>VLOOKUP(D421,[1]Hoja1!$A:$K,11,0)</f>
        <v xml:space="preserve">LAB DE SIST OPERATIVOS </v>
      </c>
      <c r="G421" s="7"/>
      <c r="H421" s="7"/>
      <c r="I421" s="5"/>
      <c r="J421" s="5">
        <v>29615231</v>
      </c>
      <c r="K421" s="6" t="s">
        <v>423</v>
      </c>
      <c r="L421" s="5" t="str">
        <f>IFERROR(VLOOKUP(CONCATENATE(A421,"S"),[2]Hoja1!$B:$N,5,0)," ")</f>
        <v xml:space="preserve"> </v>
      </c>
      <c r="M421" s="6" t="str">
        <f>IFERROR(VLOOKUP(CONCATENATE(A421,"S"),[2]Hoja1!$B:$N,6,0)," ")</f>
        <v xml:space="preserve"> </v>
      </c>
      <c r="N421" s="24" t="str">
        <f t="shared" ref="N421:N438" si="56">IF((M421)=" ",IF(COUNTBLANK(K421),"TITULAR","PROVISIONAL"),"SUPLENTE")</f>
        <v>PROVISIONAL</v>
      </c>
      <c r="O421" s="25" t="str">
        <f t="shared" si="55"/>
        <v xml:space="preserve">BARCENILLA, JAVIER </v>
      </c>
      <c r="P421" s="4" t="str">
        <f>IF(O421="vacante","vacante",IFERROR(IF(VLOOKUP(IF((M421)=" ",IF(COUNTBLANK(K421),I421,K421),M421),[3]Hoja1!$B:$I,4,0)="licencia","vacante"," ")," "))</f>
        <v xml:space="preserve"> </v>
      </c>
      <c r="Q421" s="4"/>
      <c r="R421">
        <f t="shared" si="53"/>
        <v>17</v>
      </c>
      <c r="S421" t="str">
        <f t="shared" si="54"/>
        <v>6°2°17</v>
      </c>
    </row>
    <row r="422" spans="1:19" ht="18.75" hidden="1" customHeight="1">
      <c r="A422" s="3" t="str">
        <f t="shared" si="50"/>
        <v>6°2°6226IFTLA6</v>
      </c>
      <c r="B422" s="3" t="s">
        <v>474</v>
      </c>
      <c r="C422" s="3">
        <v>622</v>
      </c>
      <c r="D422" s="3" t="s">
        <v>473</v>
      </c>
      <c r="E422" s="3">
        <v>2681873</v>
      </c>
      <c r="F422" s="3" t="str">
        <f>VLOOKUP(D422,[1]Hoja1!$A:$K,11,0)</f>
        <v xml:space="preserve">LAB DE APLICACIONES </v>
      </c>
      <c r="G422" s="7">
        <v>26174351</v>
      </c>
      <c r="H422" s="7"/>
      <c r="I422" s="5" t="s">
        <v>220</v>
      </c>
      <c r="J422" s="5"/>
      <c r="K422" s="6"/>
      <c r="L422" s="5" t="str">
        <f>IFERROR(VLOOKUP(CONCATENATE(A422,"S"),[2]Hoja1!$B:$N,5,0)," ")</f>
        <v xml:space="preserve"> </v>
      </c>
      <c r="M422" s="6" t="str">
        <f>IFERROR(VLOOKUP(CONCATENATE(A422,"S"),[2]Hoja1!$B:$N,6,0)," ")</f>
        <v xml:space="preserve"> </v>
      </c>
      <c r="N422" s="24" t="str">
        <f t="shared" si="56"/>
        <v>TITULAR</v>
      </c>
      <c r="O422" s="25" t="str">
        <f t="shared" si="55"/>
        <v xml:space="preserve">GOMEZ ANALIA </v>
      </c>
      <c r="P422" s="4" t="str">
        <f>IF(O422="vacante","vacante",IFERROR(IF(VLOOKUP(IF((M422)=" ",IF(COUNTBLANK(K422),I422,K422),M422),[3]Hoja1!$B:$I,4,0)="licencia","vacante"," ")," "))</f>
        <v xml:space="preserve"> </v>
      </c>
      <c r="Q422" s="4"/>
      <c r="R422">
        <f t="shared" si="53"/>
        <v>18</v>
      </c>
      <c r="S422" t="str">
        <f t="shared" si="54"/>
        <v>6°2°18</v>
      </c>
    </row>
    <row r="423" spans="1:19" ht="18.75" hidden="1" customHeight="1">
      <c r="A423" s="3" t="str">
        <f t="shared" si="50"/>
        <v>6°4°6ELITS</v>
      </c>
      <c r="B423" s="3" t="s">
        <v>477</v>
      </c>
      <c r="C423" s="3"/>
      <c r="D423" s="3" t="s">
        <v>478</v>
      </c>
      <c r="E423" s="3">
        <v>2683102</v>
      </c>
      <c r="F423" s="3" t="str">
        <f>VLOOKUP(D423,[1]Hoja1!$A:$K,11,0)</f>
        <v>LITERATURA</v>
      </c>
      <c r="G423" s="7" t="s">
        <v>479</v>
      </c>
      <c r="H423" s="7"/>
      <c r="I423" s="5" t="s">
        <v>656</v>
      </c>
      <c r="J423" s="5"/>
      <c r="K423" s="6"/>
      <c r="L423" s="5" t="str">
        <f>IFERROR(VLOOKUP(CONCATENATE(A423,"S"),[2]Hoja1!$B:$N,5,0)," ")</f>
        <v xml:space="preserve"> </v>
      </c>
      <c r="M423" s="6" t="str">
        <f>IFERROR(VLOOKUP(CONCATENATE(A423,"S"),[2]Hoja1!$B:$N,6,0)," ")</f>
        <v xml:space="preserve"> </v>
      </c>
      <c r="N423" s="4" t="str">
        <f t="shared" si="56"/>
        <v>TITULAR</v>
      </c>
      <c r="O423" s="17" t="str">
        <f t="shared" si="55"/>
        <v>ALFONSO</v>
      </c>
      <c r="P423" s="4" t="str">
        <f>IF(O423="vacante","vacante",IFERROR(IF(VLOOKUP(IF((M423)=" ",IF(COUNTBLANK(K423),I423,K423),M423),[3]Hoja1!$B:$I,4,0)="licencia","vacante"," ")," "))</f>
        <v xml:space="preserve"> </v>
      </c>
      <c r="Q423" s="4"/>
      <c r="R423">
        <f t="shared" si="53"/>
        <v>1</v>
      </c>
      <c r="S423" t="str">
        <f t="shared" si="54"/>
        <v>6°4°1</v>
      </c>
    </row>
    <row r="424" spans="1:19" ht="18.75" hidden="1" customHeight="1">
      <c r="A424" s="3" t="str">
        <f t="shared" si="50"/>
        <v>6°4°6EINGS</v>
      </c>
      <c r="B424" s="3" t="s">
        <v>477</v>
      </c>
      <c r="C424" s="3"/>
      <c r="D424" s="3" t="s">
        <v>480</v>
      </c>
      <c r="E424" s="3">
        <v>2683103</v>
      </c>
      <c r="F424" s="3" t="str">
        <f>VLOOKUP(D424,[1]Hoja1!$A:$K,11,0)</f>
        <v>INGLÉS</v>
      </c>
      <c r="G424" s="7" t="s">
        <v>55</v>
      </c>
      <c r="H424" s="7"/>
      <c r="I424" s="5" t="s">
        <v>57</v>
      </c>
      <c r="J424" s="5"/>
      <c r="K424" s="6"/>
      <c r="L424" s="5" t="str">
        <f>IFERROR(VLOOKUP(CONCATENATE(A424,"S"),[2]Hoja1!$B:$N,5,0)," ")</f>
        <v xml:space="preserve"> </v>
      </c>
      <c r="M424" s="6" t="str">
        <f>IFERROR(VLOOKUP(CONCATENATE(A424,"S"),[2]Hoja1!$B:$N,6,0)," ")</f>
        <v xml:space="preserve"> </v>
      </c>
      <c r="N424" s="4" t="str">
        <f t="shared" si="56"/>
        <v>TITULAR</v>
      </c>
      <c r="O424" s="17" t="str">
        <f t="shared" si="55"/>
        <v xml:space="preserve">ARCE KARINA </v>
      </c>
      <c r="P424" s="4" t="str">
        <f>IF(O424="vacante","vacante",IFERROR(IF(VLOOKUP(IF((M424)=" ",IF(COUNTBLANK(K424),I424,K424),M424),[3]Hoja1!$B:$I,4,0)="licencia","vacante"," ")," "))</f>
        <v xml:space="preserve"> </v>
      </c>
      <c r="Q424" s="4"/>
      <c r="R424">
        <f t="shared" si="53"/>
        <v>2</v>
      </c>
      <c r="S424" t="str">
        <f t="shared" si="54"/>
        <v>6°4°2</v>
      </c>
    </row>
    <row r="425" spans="1:19" ht="18.75" hidden="1" customHeight="1">
      <c r="A425" s="3" t="str">
        <f t="shared" si="50"/>
        <v>6°4°6EEFIS</v>
      </c>
      <c r="B425" s="3" t="s">
        <v>477</v>
      </c>
      <c r="C425" s="3"/>
      <c r="D425" s="3" t="s">
        <v>481</v>
      </c>
      <c r="E425" s="3">
        <v>2683104</v>
      </c>
      <c r="F425" s="3" t="str">
        <f>VLOOKUP(D425,[1]Hoja1!$A:$K,11,0)</f>
        <v>EDUCACIÓN FISICA</v>
      </c>
      <c r="G425" s="7"/>
      <c r="H425" s="7"/>
      <c r="I425" s="5" t="s">
        <v>772</v>
      </c>
      <c r="J425" s="5"/>
      <c r="K425" s="6"/>
      <c r="L425" s="5" t="str">
        <f>IFERROR(VLOOKUP(CONCATENATE(A425,"S"),[2]Hoja1!$B:$N,5,0)," ")</f>
        <v xml:space="preserve"> </v>
      </c>
      <c r="M425" s="6" t="str">
        <f>IFERROR(VLOOKUP(CONCATENATE(A425,"S"),[2]Hoja1!$B:$N,6,0)," ")</f>
        <v xml:space="preserve"> </v>
      </c>
      <c r="N425" s="4" t="str">
        <f t="shared" si="56"/>
        <v>TITULAR</v>
      </c>
      <c r="O425" s="17" t="str">
        <f t="shared" si="55"/>
        <v>RIOS, LEONARDO  20-34020185-0</v>
      </c>
      <c r="P425" s="4" t="str">
        <f>IF(O425="vacante","vacante",IFERROR(IF(VLOOKUP(IF((M425)=" ",IF(COUNTBLANK(K425),I425,K425),M425),[3]Hoja1!$B:$I,4,0)="licencia","vacante"," ")," "))</f>
        <v xml:space="preserve"> </v>
      </c>
      <c r="Q425" s="4"/>
      <c r="R425">
        <f t="shared" si="53"/>
        <v>3</v>
      </c>
      <c r="S425" t="str">
        <f t="shared" si="54"/>
        <v>6°4°3</v>
      </c>
    </row>
    <row r="426" spans="1:19" ht="18.75" hidden="1" customHeight="1">
      <c r="A426" s="3" t="str">
        <f t="shared" si="50"/>
        <v>6°4°6EFILO</v>
      </c>
      <c r="B426" s="3" t="s">
        <v>477</v>
      </c>
      <c r="C426" s="3"/>
      <c r="D426" s="3" t="s">
        <v>482</v>
      </c>
      <c r="E426" s="3">
        <v>2683105</v>
      </c>
      <c r="F426" s="3" t="str">
        <f>VLOOKUP(D426,[1]Hoja1!$A:$K,11,0)</f>
        <v>FILOSOFIA</v>
      </c>
      <c r="G426" s="7"/>
      <c r="H426" s="7">
        <v>26705268</v>
      </c>
      <c r="I426" s="5" t="s">
        <v>462</v>
      </c>
      <c r="J426" s="5"/>
      <c r="K426" s="6"/>
      <c r="L426" s="5" t="str">
        <f>IFERROR(VLOOKUP(CONCATENATE(A426,"S"),[2]Hoja1!$B:$N,5,0)," ")</f>
        <v xml:space="preserve"> </v>
      </c>
      <c r="M426" s="6" t="str">
        <f>IFERROR(VLOOKUP(CONCATENATE(A426,"S"),[2]Hoja1!$B:$N,6,0)," ")</f>
        <v xml:space="preserve"> </v>
      </c>
      <c r="N426" s="4" t="str">
        <f t="shared" si="56"/>
        <v>TITULAR</v>
      </c>
      <c r="O426" s="17" t="str">
        <f t="shared" si="55"/>
        <v>LETIERI, MANUEL</v>
      </c>
      <c r="P426" s="4" t="str">
        <f>IF(O426="vacante","vacante",IFERROR(IF(VLOOKUP(IF((M426)=" ",IF(COUNTBLANK(K426),I426,K426),M426),[3]Hoja1!$B:$I,4,0)="licencia","vacante"," ")," "))</f>
        <v xml:space="preserve"> </v>
      </c>
      <c r="Q426" s="4"/>
      <c r="R426">
        <f t="shared" si="53"/>
        <v>4</v>
      </c>
      <c r="S426" t="str">
        <f t="shared" si="54"/>
        <v>6°4°4</v>
      </c>
    </row>
    <row r="427" spans="1:19" ht="18.75" hidden="1" customHeight="1">
      <c r="A427" s="3" t="str">
        <f t="shared" si="50"/>
        <v>6°4°6EARTE</v>
      </c>
      <c r="B427" s="3" t="s">
        <v>477</v>
      </c>
      <c r="C427" s="3"/>
      <c r="D427" s="3" t="s">
        <v>483</v>
      </c>
      <c r="E427" s="3">
        <v>2683106</v>
      </c>
      <c r="F427" s="3" t="str">
        <f>VLOOKUP(D427,[1]Hoja1!$A:$K,11,0)</f>
        <v>ARTE</v>
      </c>
      <c r="G427" s="7">
        <v>34789999</v>
      </c>
      <c r="H427" s="7"/>
      <c r="I427" s="5"/>
      <c r="J427" s="5"/>
      <c r="K427" s="6" t="s">
        <v>611</v>
      </c>
      <c r="L427" s="5" t="str">
        <f>IFERROR(VLOOKUP(CONCATENATE(A427,"S"),[2]Hoja1!$B:$N,5,0)," ")</f>
        <v xml:space="preserve"> </v>
      </c>
      <c r="M427" s="6" t="str">
        <f>IFERROR(VLOOKUP(CONCATENATE(A427,"S"),[2]Hoja1!$B:$N,6,0)," ")</f>
        <v xml:space="preserve"> </v>
      </c>
      <c r="N427" s="4" t="str">
        <f t="shared" si="56"/>
        <v>PROVISIONAL</v>
      </c>
      <c r="O427" s="17" t="str">
        <f t="shared" si="55"/>
        <v>FERNANDEZ MAXIMILIANO</v>
      </c>
      <c r="P427" s="4" t="str">
        <f>IF(O427="vacante","vacante",IFERROR(IF(VLOOKUP(IF((M427)=" ",IF(COUNTBLANK(K427),I427,K427),M427),[3]Hoja1!$B:$I,4,0)="licencia","vacante"," ")," "))</f>
        <v xml:space="preserve"> </v>
      </c>
      <c r="Q427" s="4"/>
      <c r="R427">
        <f t="shared" si="53"/>
        <v>5</v>
      </c>
      <c r="S427" t="str">
        <f t="shared" si="54"/>
        <v>6°4°5</v>
      </c>
    </row>
    <row r="428" spans="1:19" ht="18.75" hidden="1" customHeight="1">
      <c r="A428" s="3" t="str">
        <f t="shared" ref="A428:A438" si="57">CONCATENATE(B428,C428,D428)</f>
        <v>6°4°6EMATAP</v>
      </c>
      <c r="B428" s="3" t="s">
        <v>477</v>
      </c>
      <c r="C428" s="3"/>
      <c r="D428" s="3" t="s">
        <v>484</v>
      </c>
      <c r="E428" s="3">
        <v>2683107</v>
      </c>
      <c r="F428" s="3" t="str">
        <f>VLOOKUP(D428,[1]Hoja1!$A:$K,11,0)</f>
        <v>MATEMATICA APLICADA</v>
      </c>
      <c r="G428" s="7">
        <v>23944999</v>
      </c>
      <c r="H428" s="7"/>
      <c r="I428" s="5"/>
      <c r="J428" s="5">
        <v>27464627</v>
      </c>
      <c r="K428" s="6" t="s">
        <v>699</v>
      </c>
      <c r="L428" s="5" t="str">
        <f>IFERROR(VLOOKUP(CONCATENATE(A428,"S"),[2]Hoja1!$B:$N,5,0)," ")</f>
        <v xml:space="preserve"> </v>
      </c>
      <c r="M428" s="6" t="str">
        <f>IFERROR(VLOOKUP(CONCATENATE(A428,"S"),[2]Hoja1!$B:$N,6,0)," ")</f>
        <v xml:space="preserve"> </v>
      </c>
      <c r="N428" s="4" t="str">
        <f t="shared" si="56"/>
        <v>PROVISIONAL</v>
      </c>
      <c r="O428" s="17" t="str">
        <f t="shared" si="55"/>
        <v>WEBBER BRIAN</v>
      </c>
      <c r="P428" s="4" t="str">
        <f>IF(O428="vacante","vacante",IFERROR(IF(VLOOKUP(IF((M428)=" ",IF(COUNTBLANK(K428),I428,K428),M428),[3]Hoja1!$B:$I,4,0)="licencia","vacante"," ")," "))</f>
        <v xml:space="preserve"> </v>
      </c>
      <c r="Q428" s="4"/>
      <c r="R428">
        <f t="shared" ref="R428:R438" si="58">IF(B428=B427,R427+1,1)</f>
        <v>6</v>
      </c>
      <c r="S428" t="str">
        <f t="shared" ref="S428:S438" si="59">CONCATENATE(B428,R428)</f>
        <v>6°4°6</v>
      </c>
    </row>
    <row r="429" spans="1:19" ht="18.75" hidden="1" customHeight="1">
      <c r="A429" s="3" t="str">
        <f t="shared" si="57"/>
        <v>6°4°6ESISCO</v>
      </c>
      <c r="B429" s="3" t="s">
        <v>477</v>
      </c>
      <c r="C429" s="3"/>
      <c r="D429" s="3" t="s">
        <v>485</v>
      </c>
      <c r="E429" s="3">
        <v>2683108</v>
      </c>
      <c r="F429" s="3" t="str">
        <f>VLOOKUP(D429,[1]Hoja1!$A:$K,11,0)</f>
        <v>SISTEMA DE COMUNICACIONES</v>
      </c>
      <c r="G429" s="7"/>
      <c r="H429" s="7"/>
      <c r="I429" s="5"/>
      <c r="J429" s="5">
        <v>44655</v>
      </c>
      <c r="K429" s="6" t="s">
        <v>566</v>
      </c>
      <c r="L429" s="5" t="str">
        <f>IFERROR(VLOOKUP(CONCATENATE(A429,"S"),[2]Hoja1!$B:$N,5,0)," ")</f>
        <v xml:space="preserve"> </v>
      </c>
      <c r="M429" s="6" t="str">
        <f>IFERROR(VLOOKUP(CONCATENATE(A429,"S"),[2]Hoja1!$B:$N,6,0)," ")</f>
        <v xml:space="preserve"> </v>
      </c>
      <c r="N429" s="4" t="str">
        <f t="shared" si="56"/>
        <v>PROVISIONAL</v>
      </c>
      <c r="O429" s="17" t="str">
        <f t="shared" si="55"/>
        <v>DELGADO ARIEL</v>
      </c>
      <c r="P429" s="4" t="str">
        <f>IF(O429="vacante","vacante",IFERROR(IF(VLOOKUP(IF((M429)=" ",IF(COUNTBLANK(K429),I429,K429),M429),[3]Hoja1!$B:$I,4,0)="licencia","vacante"," ")," "))</f>
        <v xml:space="preserve"> </v>
      </c>
      <c r="Q429" s="4" t="s">
        <v>563</v>
      </c>
      <c r="R429">
        <f t="shared" si="58"/>
        <v>7</v>
      </c>
      <c r="S429" t="str">
        <f t="shared" si="59"/>
        <v>6°4°7</v>
      </c>
    </row>
    <row r="430" spans="1:19" ht="18.75" hidden="1" customHeight="1">
      <c r="A430" s="3" t="str">
        <f t="shared" si="57"/>
        <v>6°4°6EINSMA</v>
      </c>
      <c r="B430" s="3" t="s">
        <v>477</v>
      </c>
      <c r="C430" s="3"/>
      <c r="D430" s="3" t="s">
        <v>486</v>
      </c>
      <c r="E430" s="3">
        <v>2683109</v>
      </c>
      <c r="F430" s="3" t="str">
        <f>VLOOKUP(D430,[1]Hoja1!$A:$K,11,0)</f>
        <v>INSTALACIONES Y MAQUINAS ELECTRICAS</v>
      </c>
      <c r="G430" s="7"/>
      <c r="H430" s="7"/>
      <c r="I430" s="5"/>
      <c r="J430" s="5">
        <v>26024164</v>
      </c>
      <c r="K430" s="6" t="s">
        <v>397</v>
      </c>
      <c r="L430" s="5" t="str">
        <f>IFERROR(VLOOKUP(CONCATENATE(A430,"S"),[2]Hoja1!$B:$N,5,0)," ")</f>
        <v xml:space="preserve"> </v>
      </c>
      <c r="M430" s="6" t="str">
        <f>IFERROR(VLOOKUP(CONCATENATE(A430,"S"),[2]Hoja1!$B:$N,6,0)," ")</f>
        <v xml:space="preserve"> </v>
      </c>
      <c r="N430" s="4" t="str">
        <f t="shared" si="56"/>
        <v>PROVISIONAL</v>
      </c>
      <c r="O430" s="17" t="str">
        <f t="shared" si="55"/>
        <v xml:space="preserve">SAUCEDO GUSTAVO </v>
      </c>
      <c r="P430" s="4" t="str">
        <f>IF(O430="vacante","vacante",IFERROR(IF(VLOOKUP(IF((M430)=" ",IF(COUNTBLANK(K430),I430,K430),M430),[3]Hoja1!$B:$I,4,0)="licencia","vacante"," ")," "))</f>
        <v xml:space="preserve"> </v>
      </c>
      <c r="Q430" s="4"/>
      <c r="R430">
        <f t="shared" si="58"/>
        <v>8</v>
      </c>
      <c r="S430" t="str">
        <f t="shared" si="59"/>
        <v>6°4°8</v>
      </c>
    </row>
    <row r="431" spans="1:19" ht="18.75" hidden="1" customHeight="1">
      <c r="A431" s="3" t="str">
        <f t="shared" si="57"/>
        <v>6°4°6ESIPRO</v>
      </c>
      <c r="B431" s="3" t="s">
        <v>477</v>
      </c>
      <c r="C431" s="3"/>
      <c r="D431" s="3" t="s">
        <v>487</v>
      </c>
      <c r="E431" s="3">
        <v>2683110</v>
      </c>
      <c r="F431" s="3" t="str">
        <f>VLOOKUP(D431,[1]Hoja1!$A:$K,11,0)</f>
        <v>SISTEMA PRODUCTIVO</v>
      </c>
      <c r="G431" s="7"/>
      <c r="H431" s="7"/>
      <c r="I431" s="5"/>
      <c r="J431" s="5" t="s">
        <v>317</v>
      </c>
      <c r="K431" s="6" t="s">
        <v>318</v>
      </c>
      <c r="L431" s="5">
        <f>IFERROR(VLOOKUP(CONCATENATE(A431,"S"),[2]Hoja1!$B:$N,5,0)," ")</f>
        <v>23086757</v>
      </c>
      <c r="M431" s="6" t="str">
        <f>IFERROR(VLOOKUP(CONCATENATE(A431,"S"),[2]Hoja1!$B:$N,6,0)," ")</f>
        <v>VERON, DAIANA A 27-34985561-0</v>
      </c>
      <c r="N431" s="4" t="str">
        <f t="shared" si="56"/>
        <v>SUPLENTE</v>
      </c>
      <c r="O431" s="17" t="str">
        <f t="shared" si="55"/>
        <v>VERON, DAIANA A 27-34985561-0</v>
      </c>
      <c r="P431" s="4" t="str">
        <f>IF(O431="vacante","vacante",IFERROR(IF(VLOOKUP(IF((M431)=" ",IF(COUNTBLANK(K431),I431,K431),M431),[3]Hoja1!$B:$I,4,0)="licencia","vacante"," ")," "))</f>
        <v xml:space="preserve"> </v>
      </c>
      <c r="Q431" s="4"/>
      <c r="R431">
        <f t="shared" si="58"/>
        <v>9</v>
      </c>
      <c r="S431" t="str">
        <f t="shared" si="59"/>
        <v>6°4°9</v>
      </c>
    </row>
    <row r="432" spans="1:19" ht="18.75" hidden="1" customHeight="1">
      <c r="A432" s="3" t="str">
        <f t="shared" si="57"/>
        <v>6°4°6EDETRA</v>
      </c>
      <c r="B432" s="3" t="s">
        <v>477</v>
      </c>
      <c r="C432" s="3"/>
      <c r="D432" s="3" t="s">
        <v>488</v>
      </c>
      <c r="E432" s="3">
        <v>2683111</v>
      </c>
      <c r="F432" s="3" t="str">
        <f>VLOOKUP(D432,[1]Hoja1!$A:$K,11,0)</f>
        <v>DERECHO DE TRABAJO</v>
      </c>
      <c r="G432" s="7">
        <v>27946097</v>
      </c>
      <c r="H432" s="7"/>
      <c r="I432" s="5" t="s">
        <v>327</v>
      </c>
      <c r="J432" s="5"/>
      <c r="K432" s="6"/>
      <c r="L432" s="5" t="str">
        <f>IFERROR(VLOOKUP(CONCATENATE(A432,"S"),[2]Hoja1!$B:$N,5,0)," ")</f>
        <v xml:space="preserve"> </v>
      </c>
      <c r="M432" s="6" t="str">
        <f>IFERROR(VLOOKUP(CONCATENATE(A432,"S"),[2]Hoja1!$B:$N,6,0)," ")</f>
        <v xml:space="preserve"> </v>
      </c>
      <c r="N432" s="4" t="str">
        <f t="shared" si="56"/>
        <v>TITULAR</v>
      </c>
      <c r="O432" s="17" t="str">
        <f t="shared" si="55"/>
        <v xml:space="preserve">GORDILLO NORA </v>
      </c>
      <c r="P432" s="4" t="str">
        <f>IF(O432="vacante","vacante",IFERROR(IF(VLOOKUP(IF((M432)=" ",IF(COUNTBLANK(K432),I432,K432),M432),[3]Hoja1!$B:$I,4,0)="licencia","vacante"," ")," "))</f>
        <v xml:space="preserve"> </v>
      </c>
      <c r="Q432" s="4"/>
      <c r="R432">
        <f t="shared" si="58"/>
        <v>10</v>
      </c>
      <c r="S432" t="str">
        <f t="shared" si="59"/>
        <v>6°4°10</v>
      </c>
    </row>
    <row r="433" spans="1:19" ht="18.75" hidden="1" customHeight="1">
      <c r="A433" s="3" t="str">
        <f t="shared" si="57"/>
        <v>6°4°6416ELENE6</v>
      </c>
      <c r="B433" s="3" t="s">
        <v>477</v>
      </c>
      <c r="C433" s="3">
        <v>641</v>
      </c>
      <c r="D433" s="3" t="s">
        <v>489</v>
      </c>
      <c r="E433" s="3">
        <v>2683112</v>
      </c>
      <c r="F433" s="3" t="str">
        <f>VLOOKUP(D433,[1]Hoja1!$A:$K,11,0)</f>
        <v>LENGUAJES ELECTRONICOS</v>
      </c>
      <c r="G433" s="7"/>
      <c r="H433" s="7"/>
      <c r="I433" s="5"/>
      <c r="J433" s="5"/>
      <c r="K433" s="6" t="s">
        <v>645</v>
      </c>
      <c r="L433" s="5" t="str">
        <f>IFERROR(VLOOKUP(CONCATENATE(A433,"S"),[2]Hoja1!$B:$N,5,0)," ")</f>
        <v xml:space="preserve"> </v>
      </c>
      <c r="M433" s="6" t="str">
        <f>IFERROR(VLOOKUP(CONCATENATE(A433,"S"),[2]Hoja1!$B:$N,6,0)," ")</f>
        <v xml:space="preserve"> </v>
      </c>
      <c r="N433" s="4" t="str">
        <f t="shared" si="56"/>
        <v>PROVISIONAL</v>
      </c>
      <c r="O433" s="17" t="str">
        <f t="shared" si="55"/>
        <v>GONANO, GERMAN S</v>
      </c>
      <c r="P433" s="4" t="str">
        <f>IF(O433="vacante","vacante",IFERROR(IF(VLOOKUP(IF((M433)=" ",IF(COUNTBLANK(K433),I433,K433),M433),[3]Hoja1!$B:$I,4,0)="licencia","vacante"," ")," "))</f>
        <v xml:space="preserve"> </v>
      </c>
      <c r="Q433" s="4"/>
      <c r="R433">
        <f t="shared" si="58"/>
        <v>11</v>
      </c>
      <c r="S433" t="str">
        <f t="shared" si="59"/>
        <v>6°4°11</v>
      </c>
    </row>
    <row r="434" spans="1:19" ht="18.75" hidden="1" customHeight="1">
      <c r="A434" s="3" t="str">
        <f t="shared" si="57"/>
        <v>6°4°6416EFTAE6</v>
      </c>
      <c r="B434" s="3" t="s">
        <v>477</v>
      </c>
      <c r="C434" s="3">
        <v>641</v>
      </c>
      <c r="D434" s="3" t="s">
        <v>490</v>
      </c>
      <c r="E434" s="3">
        <v>2683113</v>
      </c>
      <c r="F434" s="3" t="str">
        <f>VLOOKUP(D434,[1]Hoja1!$A:$K,11,0)</f>
        <v>APLIC ELECT ANALOG</v>
      </c>
      <c r="G434" s="7"/>
      <c r="H434" s="7"/>
      <c r="I434" s="5"/>
      <c r="J434" s="5">
        <v>18383726</v>
      </c>
      <c r="K434" s="6" t="s">
        <v>455</v>
      </c>
      <c r="L434" s="5" t="str">
        <f>IFERROR(VLOOKUP(CONCATENATE(A434,"S"),[2]Hoja1!$B:$N,5,0)," ")</f>
        <v xml:space="preserve"> </v>
      </c>
      <c r="M434" s="6" t="str">
        <f>IFERROR(VLOOKUP(CONCATENATE(A434,"S"),[2]Hoja1!$B:$N,6,0)," ")</f>
        <v xml:space="preserve"> </v>
      </c>
      <c r="N434" s="4" t="str">
        <f t="shared" si="56"/>
        <v>PROVISIONAL</v>
      </c>
      <c r="O434" s="17" t="str">
        <f t="shared" si="55"/>
        <v xml:space="preserve">MARTINEZ, SILVIO </v>
      </c>
      <c r="P434" s="4" t="str">
        <f>IF(O434="vacante","vacante",IFERROR(IF(VLOOKUP(IF((M434)=" ",IF(COUNTBLANK(K434),I434,K434),M434),[3]Hoja1!$B:$I,4,0)="licencia","vacante"," ")," "))</f>
        <v xml:space="preserve"> </v>
      </c>
      <c r="Q434" s="4"/>
      <c r="R434">
        <f t="shared" si="58"/>
        <v>12</v>
      </c>
      <c r="S434" t="str">
        <f t="shared" si="59"/>
        <v>6°4°12</v>
      </c>
    </row>
    <row r="435" spans="1:19" ht="18.75" hidden="1" customHeight="1">
      <c r="A435" s="3" t="str">
        <f t="shared" si="57"/>
        <v>6°4°6416EFTED6</v>
      </c>
      <c r="B435" s="3" t="s">
        <v>477</v>
      </c>
      <c r="C435" s="3">
        <v>641</v>
      </c>
      <c r="D435" s="3" t="s">
        <v>491</v>
      </c>
      <c r="E435" s="3">
        <v>2683114</v>
      </c>
      <c r="F435" s="3" t="str">
        <f>VLOOKUP(D435,[1]Hoja1!$A:$K,11,0)</f>
        <v xml:space="preserve">APLIC ELECTR DIGITAL </v>
      </c>
      <c r="G435" s="7"/>
      <c r="H435" s="7"/>
      <c r="I435" s="5"/>
      <c r="J435" s="5">
        <v>26114670</v>
      </c>
      <c r="K435" s="6" t="s">
        <v>757</v>
      </c>
      <c r="L435" s="5">
        <f>IFERROR(VLOOKUP(CONCATENATE(A435,"S"),[2]Hoja1!$B:$N,5,0)," ")</f>
        <v>20402521458</v>
      </c>
      <c r="M435" s="6" t="str">
        <f>IFERROR(VLOOKUP(CONCATENATE(A435,"S"),[2]Hoja1!$B:$N,6,0)," ")</f>
        <v>GAUNA FEDERICO</v>
      </c>
      <c r="N435" s="4" t="str">
        <f t="shared" si="56"/>
        <v>SUPLENTE</v>
      </c>
      <c r="O435" s="17" t="str">
        <f t="shared" si="55"/>
        <v>GAUNA FEDERICO</v>
      </c>
      <c r="P435" s="4" t="str">
        <f>IF(O435="vacante","vacante",IFERROR(IF(VLOOKUP(IF((M435)=" ",IF(COUNTBLANK(K435),I435,K435),M435),[3]Hoja1!$B:$I,4,0)="licencia","vacante"," ")," "))</f>
        <v xml:space="preserve"> </v>
      </c>
      <c r="Q435" s="4"/>
      <c r="R435">
        <f t="shared" si="58"/>
        <v>13</v>
      </c>
      <c r="S435" t="str">
        <f t="shared" si="59"/>
        <v>6°4°13</v>
      </c>
    </row>
    <row r="436" spans="1:19" ht="18.75" hidden="1" customHeight="1">
      <c r="A436" s="3" t="str">
        <f t="shared" si="57"/>
        <v>6°4°6416EFTMP6</v>
      </c>
      <c r="B436" s="3" t="s">
        <v>477</v>
      </c>
      <c r="C436" s="3">
        <v>641</v>
      </c>
      <c r="D436" s="3" t="s">
        <v>492</v>
      </c>
      <c r="E436" s="3">
        <v>2683116</v>
      </c>
      <c r="F436" s="3" t="str">
        <f>VLOOKUP(D436,[1]Hoja1!$A:$K,11,0)</f>
        <v xml:space="preserve">MONTAJE DE PROYECTO ELECTRONICOS </v>
      </c>
      <c r="G436" s="7">
        <v>26024164</v>
      </c>
      <c r="H436" s="7" t="s">
        <v>78</v>
      </c>
      <c r="I436" s="5" t="s">
        <v>493</v>
      </c>
      <c r="J436" s="5"/>
      <c r="K436" s="6"/>
      <c r="L436" s="5" t="str">
        <f>IFERROR(VLOOKUP(CONCATENATE(A436,"S"),[2]Hoja1!$B:$N,5,0)," ")</f>
        <v xml:space="preserve"> </v>
      </c>
      <c r="M436" s="6" t="str">
        <f>IFERROR(VLOOKUP(CONCATENATE(A436,"S"),[2]Hoja1!$B:$N,6,0)," ")</f>
        <v xml:space="preserve"> </v>
      </c>
      <c r="N436" s="4" t="str">
        <f t="shared" si="56"/>
        <v>TITULAR</v>
      </c>
      <c r="O436" s="17" t="str">
        <f t="shared" si="55"/>
        <v>SAUCEDO GUSTAVO</v>
      </c>
      <c r="P436" s="4" t="str">
        <f>IF(O436="vacante","vacante",IFERROR(IF(VLOOKUP(IF((M436)=" ",IF(COUNTBLANK(K436),I436,K436),M436),[3]Hoja1!$B:$I,4,0)="licencia","vacante"," ")," "))</f>
        <v xml:space="preserve"> </v>
      </c>
      <c r="Q436" s="4"/>
      <c r="R436">
        <f t="shared" si="58"/>
        <v>14</v>
      </c>
      <c r="S436" t="str">
        <f t="shared" si="59"/>
        <v>6°4°14</v>
      </c>
    </row>
    <row r="437" spans="1:19" ht="18.75" hidden="1" customHeight="1">
      <c r="A437" s="3" t="str">
        <f t="shared" si="57"/>
        <v>6°4°6426ELENE6</v>
      </c>
      <c r="B437" s="3" t="s">
        <v>477</v>
      </c>
      <c r="C437" s="3">
        <v>642</v>
      </c>
      <c r="D437" s="3" t="s">
        <v>489</v>
      </c>
      <c r="E437" s="3">
        <v>2683118</v>
      </c>
      <c r="F437" s="3" t="str">
        <f>VLOOKUP(D437,[1]Hoja1!$A:$K,11,0)</f>
        <v>LENGUAJES ELECTRONICOS</v>
      </c>
      <c r="G437" s="7">
        <v>18192893</v>
      </c>
      <c r="H437" s="7" t="s">
        <v>80</v>
      </c>
      <c r="I437" s="5"/>
      <c r="J437" s="5"/>
      <c r="K437" s="6" t="s">
        <v>739</v>
      </c>
      <c r="L437" s="5" t="str">
        <f>IFERROR(VLOOKUP(CONCATENATE(A437,"S"),[2]Hoja1!$B:$N,5,0)," ")</f>
        <v xml:space="preserve"> </v>
      </c>
      <c r="M437" s="6" t="str">
        <f>IFERROR(VLOOKUP(CONCATENATE(A437,"S"),[2]Hoja1!$B:$N,6,0)," ")</f>
        <v xml:space="preserve"> </v>
      </c>
      <c r="N437" s="4" t="str">
        <f t="shared" si="56"/>
        <v>PROVISIONAL</v>
      </c>
      <c r="O437" s="17" t="str">
        <f t="shared" si="55"/>
        <v>GONANO GERMAN</v>
      </c>
      <c r="P437" s="4" t="str">
        <f>IF(O437="vacante","vacante",IFERROR(IF(VLOOKUP(IF((M437)=" ",IF(COUNTBLANK(K437),I437,K437),M437),[3]Hoja1!$B:$I,4,0)="licencia","vacante"," ")," "))</f>
        <v xml:space="preserve"> </v>
      </c>
      <c r="Q437" s="4"/>
      <c r="R437">
        <f t="shared" si="58"/>
        <v>15</v>
      </c>
      <c r="S437" t="str">
        <f t="shared" si="59"/>
        <v>6°4°15</v>
      </c>
    </row>
    <row r="438" spans="1:19" ht="18.75" hidden="1" customHeight="1">
      <c r="A438" s="3" t="str">
        <f t="shared" si="57"/>
        <v>6°4°6426EFTAE6</v>
      </c>
      <c r="B438" s="3" t="s">
        <v>477</v>
      </c>
      <c r="C438" s="3">
        <v>642</v>
      </c>
      <c r="D438" s="3" t="s">
        <v>490</v>
      </c>
      <c r="E438" s="3">
        <v>2683119</v>
      </c>
      <c r="F438" s="3" t="str">
        <f>VLOOKUP(D438,[1]Hoja1!$A:$K,11,0)</f>
        <v>APLIC ELECT ANALOG</v>
      </c>
      <c r="G438" s="7"/>
      <c r="H438" s="7"/>
      <c r="I438" s="5"/>
      <c r="J438" s="5">
        <v>26114670</v>
      </c>
      <c r="K438" s="6" t="s">
        <v>757</v>
      </c>
      <c r="L438" s="5"/>
      <c r="M438" s="6" t="str">
        <f>IFERROR(VLOOKUP(CONCATENATE(A438,"S"),[2]Hoja1!$B:$N,6,0)," ")</f>
        <v xml:space="preserve"> </v>
      </c>
      <c r="N438" s="4" t="str">
        <f t="shared" si="56"/>
        <v>PROVISIONAL</v>
      </c>
      <c r="O438" s="17" t="str">
        <f t="shared" si="55"/>
        <v>BULACIO ARIEL</v>
      </c>
      <c r="P438" s="4" t="str">
        <f>IF(O438="vacante","vacante",IFERROR(IF(VLOOKUP(IF((M438)=" ",IF(COUNTBLANK(K438),I438,K438),M438),[3]Hoja1!$B:$I,4,0)="licencia","vacante"," ")," "))</f>
        <v xml:space="preserve"> </v>
      </c>
      <c r="Q438" s="4"/>
      <c r="R438">
        <f t="shared" si="58"/>
        <v>16</v>
      </c>
      <c r="S438" t="str">
        <f t="shared" si="59"/>
        <v>6°4°16</v>
      </c>
    </row>
    <row r="439" spans="1:19" ht="18.75" hidden="1" customHeight="1">
      <c r="A439" s="3" t="str">
        <f t="shared" ref="A439:A441" si="60">CONCATENATE(B439,C439,D439)</f>
        <v>6°4°6426EFTED6</v>
      </c>
      <c r="B439" s="3" t="s">
        <v>477</v>
      </c>
      <c r="C439" s="3">
        <v>642</v>
      </c>
      <c r="D439" s="3" t="s">
        <v>491</v>
      </c>
      <c r="E439" s="3">
        <v>2683120</v>
      </c>
      <c r="F439" s="3" t="str">
        <f>VLOOKUP(D439,[1]Hoja1!$A:$K,11,0)</f>
        <v xml:space="preserve">APLIC ELECTR DIGITAL </v>
      </c>
      <c r="G439" s="7">
        <v>16354054</v>
      </c>
      <c r="H439" s="7" t="s">
        <v>78</v>
      </c>
      <c r="I439" s="5"/>
      <c r="J439" s="5">
        <v>20274646277</v>
      </c>
      <c r="K439" s="6" t="s">
        <v>723</v>
      </c>
      <c r="L439" s="5" t="str">
        <f>IFERROR(VLOOKUP(CONCATENATE(A439,"S"),[2]Hoja1!$B:$N,5,0)," ")</f>
        <v xml:space="preserve"> </v>
      </c>
      <c r="M439" s="6" t="str">
        <f>IFERROR(VLOOKUP(CONCATENATE(A439,"S"),[2]Hoja1!$B:$N,6,0)," ")</f>
        <v xml:space="preserve"> </v>
      </c>
      <c r="N439" s="4" t="str">
        <f t="shared" ref="N439:N441" si="61">IF((M439)=" ",IF(COUNTBLANK(K439),"TITULAR","PROVISIONAL"),"SUPLENTE")</f>
        <v>PROVISIONAL</v>
      </c>
      <c r="O439" s="17" t="str">
        <f t="shared" ref="O439:O441" si="62">IF((M439)=" ",IF(COUNTBLANK(K439),I439,K439),M439)</f>
        <v>BARONI ROBERTO ALEJANDRO</v>
      </c>
      <c r="P439" s="4" t="str">
        <f>IF(O439="vacante","vacante",IFERROR(IF(VLOOKUP(IF((M439)=" ",IF(COUNTBLANK(K439),I439,K439),M439),[3]Hoja1!$B:$I,4,0)="licencia","vacante"," ")," "))</f>
        <v xml:space="preserve"> </v>
      </c>
      <c r="Q439" s="4"/>
      <c r="R439">
        <f t="shared" ref="R439:R441" si="63">IF(B439=B438,R438+1,1)</f>
        <v>17</v>
      </c>
      <c r="S439" t="str">
        <f t="shared" ref="S439:S441" si="64">CONCATENATE(B439,R439)</f>
        <v>6°4°17</v>
      </c>
    </row>
    <row r="440" spans="1:19" ht="18.75" hidden="1" customHeight="1">
      <c r="A440" s="3" t="str">
        <f t="shared" si="60"/>
        <v>6°4°6426EFTMP6</v>
      </c>
      <c r="B440" s="3" t="s">
        <v>477</v>
      </c>
      <c r="C440" s="3">
        <v>642</v>
      </c>
      <c r="D440" s="3" t="s">
        <v>492</v>
      </c>
      <c r="E440" s="3">
        <v>2683121</v>
      </c>
      <c r="F440" s="3" t="str">
        <f>VLOOKUP(D440,[1]Hoja1!$A:$K,11,0)</f>
        <v xml:space="preserve">MONTAJE DE PROYECTO ELECTRONICOS </v>
      </c>
      <c r="G440" s="7">
        <v>26024164</v>
      </c>
      <c r="H440" s="7" t="s">
        <v>78</v>
      </c>
      <c r="I440" s="5" t="s">
        <v>493</v>
      </c>
      <c r="J440" s="5"/>
      <c r="K440" s="6"/>
      <c r="L440" s="5" t="str">
        <f>IFERROR(VLOOKUP(CONCATENATE(A440,"S"),[2]Hoja1!$B:$N,5,0)," ")</f>
        <v xml:space="preserve"> </v>
      </c>
      <c r="M440" s="6" t="str">
        <f>IFERROR(VLOOKUP(CONCATENATE(A440,"S"),[2]Hoja1!$B:$N,6,0)," ")</f>
        <v xml:space="preserve"> </v>
      </c>
      <c r="N440" s="4" t="str">
        <f t="shared" si="61"/>
        <v>TITULAR</v>
      </c>
      <c r="O440" s="17" t="str">
        <f t="shared" si="62"/>
        <v>SAUCEDO GUSTAVO</v>
      </c>
      <c r="P440" s="4" t="str">
        <f>IF(O440="vacante","vacante",IFERROR(IF(VLOOKUP(IF((M440)=" ",IF(COUNTBLANK(K440),I440,K440),M440),[3]Hoja1!$B:$I,4,0)="licencia","vacante"," ")," "))</f>
        <v xml:space="preserve"> </v>
      </c>
      <c r="Q440" s="4"/>
      <c r="R440">
        <f t="shared" si="63"/>
        <v>18</v>
      </c>
      <c r="S440" t="str">
        <f t="shared" si="64"/>
        <v>6°4°18</v>
      </c>
    </row>
    <row r="441" spans="1:19" ht="18.75" hidden="1" customHeight="1">
      <c r="A441" s="3" t="str">
        <f t="shared" si="60"/>
        <v>7°1°7117IPPSIN</v>
      </c>
      <c r="B441" s="3" t="s">
        <v>494</v>
      </c>
      <c r="C441" s="3">
        <v>711</v>
      </c>
      <c r="D441" s="3" t="s">
        <v>495</v>
      </c>
      <c r="E441" s="3">
        <v>1913682</v>
      </c>
      <c r="F441" s="3" t="str">
        <f>VLOOKUP(D441,[1]Hoja1!$A:$K,11,0)</f>
        <v>PRACTICAS PROFESIONALIZANTES</v>
      </c>
      <c r="G441" s="7"/>
      <c r="H441" s="7"/>
      <c r="I441" s="5"/>
      <c r="J441" s="5"/>
      <c r="K441" s="6" t="s">
        <v>659</v>
      </c>
      <c r="L441" s="5" t="str">
        <f>IFERROR(VLOOKUP(CONCATENATE(A441,"S"),[2]Hoja1!$B:$N,5,0)," ")</f>
        <v xml:space="preserve"> </v>
      </c>
      <c r="M441" s="6" t="str">
        <f>IFERROR(VLOOKUP(CONCATENATE(A441,"S"),[2]Hoja1!$B:$N,6,0)," ")</f>
        <v xml:space="preserve"> </v>
      </c>
      <c r="N441" s="4" t="str">
        <f t="shared" si="61"/>
        <v>PROVISIONAL</v>
      </c>
      <c r="O441" s="17" t="str">
        <f t="shared" si="62"/>
        <v>DANIEL PAZ</v>
      </c>
      <c r="P441" s="4" t="str">
        <f>IF(O441="vacante","vacante",IFERROR(IF(VLOOKUP(IF((M441)=" ",IF(COUNTBLANK(K441),I441,K441),M441),[3]Hoja1!$B:$I,4,0)="licencia","vacante"," ")," "))</f>
        <v xml:space="preserve"> </v>
      </c>
      <c r="Q441" s="4"/>
      <c r="R441">
        <f t="shared" si="63"/>
        <v>1</v>
      </c>
      <c r="S441" t="str">
        <f t="shared" si="64"/>
        <v>7°1°1</v>
      </c>
    </row>
    <row r="442" spans="1:19" ht="18.75" hidden="1" customHeight="1">
      <c r="A442" s="3" t="str">
        <f t="shared" ref="A442:A480" si="65">CONCATENATE(B442,C442,D442)</f>
        <v>7°1°7IPPDLO</v>
      </c>
      <c r="B442" s="3" t="s">
        <v>494</v>
      </c>
      <c r="C442" s="3"/>
      <c r="D442" s="3" t="s">
        <v>496</v>
      </c>
      <c r="E442" s="3">
        <v>1913687</v>
      </c>
      <c r="F442" s="3" t="str">
        <f>VLOOKUP(D442,[1]Hoja1!$A:$K,11,0)</f>
        <v>EMPRENDIMIENTO PRODUCTIVO Y DESARROLLO LOCAL</v>
      </c>
      <c r="G442" s="7"/>
      <c r="H442" s="7"/>
      <c r="I442" s="5"/>
      <c r="J442" s="5"/>
      <c r="K442" s="6" t="s">
        <v>501</v>
      </c>
      <c r="L442" s="5" t="str">
        <f>IFERROR(VLOOKUP(CONCATENATE(A442,"S"),[2]Hoja1!$B:$N,5,0)," ")</f>
        <v xml:space="preserve"> </v>
      </c>
      <c r="M442" s="6" t="str">
        <f>IFERROR(VLOOKUP(CONCATENATE(A442,"S"),[2]Hoja1!$B:$N,6,0)," ")</f>
        <v xml:space="preserve"> </v>
      </c>
      <c r="N442" s="4" t="str">
        <f t="shared" ref="N442:N493" si="66">IF((M442)=" ",IF(COUNTBLANK(K442),"TITULAR","PROVISIONAL"),"SUPLENTE")</f>
        <v>PROVISIONAL</v>
      </c>
      <c r="O442" s="17" t="str">
        <f t="shared" ref="O442:O480" si="67">IF((M442)=" ",IF(COUNTBLANK(K442),I442,K442),M442)</f>
        <v>CARPITELLA FABIAN</v>
      </c>
      <c r="P442" s="4" t="str">
        <f>IF(O442="vacante","vacante",IFERROR(IF(VLOOKUP(IF((M442)=" ",IF(COUNTBLANK(K442),I442,K442),M442),[3]Hoja1!$B:$I,4,0)="licencia","vacante"," ")," "))</f>
        <v xml:space="preserve"> </v>
      </c>
      <c r="Q442" s="4"/>
      <c r="R442">
        <f>IF(B442=B441,R441+1,1)</f>
        <v>2</v>
      </c>
      <c r="S442" t="str">
        <f t="shared" ref="S442:S462" si="68">CONCATENATE(B442,R442)</f>
        <v>7°1°2</v>
      </c>
    </row>
    <row r="443" spans="1:19" ht="18.75" hidden="1" customHeight="1">
      <c r="A443" s="3" t="str">
        <f t="shared" si="65"/>
        <v>7°1°7IEVPRO</v>
      </c>
      <c r="B443" s="3" t="s">
        <v>494</v>
      </c>
      <c r="C443" s="3"/>
      <c r="D443" s="3" t="s">
        <v>497</v>
      </c>
      <c r="E443" s="3">
        <v>1913689</v>
      </c>
      <c r="F443" s="3" t="str">
        <f>VLOOKUP(D443,[1]Hoja1!$A:$K,11,0)</f>
        <v>EVALUACION DE PROYECTO</v>
      </c>
      <c r="G443" s="7"/>
      <c r="H443" s="7"/>
      <c r="I443" s="5"/>
      <c r="J443" s="5"/>
      <c r="K443" s="6" t="s">
        <v>650</v>
      </c>
      <c r="L443" s="5" t="str">
        <f>IFERROR(VLOOKUP(CONCATENATE(A443,"S"),[2]Hoja1!$B:$N,5,0)," ")</f>
        <v xml:space="preserve"> </v>
      </c>
      <c r="M443" s="6" t="str">
        <f>IFERROR(VLOOKUP(CONCATENATE(A443,"S"),[2]Hoja1!$B:$N,6,0)," ")</f>
        <v xml:space="preserve"> </v>
      </c>
      <c r="N443" s="4" t="str">
        <f t="shared" si="66"/>
        <v>PROVISIONAL</v>
      </c>
      <c r="O443" s="17" t="str">
        <f t="shared" si="67"/>
        <v>ROCHA JULIETA</v>
      </c>
      <c r="P443" s="4" t="str">
        <f>IF(O443="vacante","vacante",IFERROR(IF(VLOOKUP(IF((M443)=" ",IF(COUNTBLANK(K443),I443,K443),M443),[3]Hoja1!$B:$I,4,0)="licencia","vacante"," ")," "))</f>
        <v xml:space="preserve"> </v>
      </c>
      <c r="Q443" s="4"/>
      <c r="R443">
        <f t="shared" ref="R443:R462" si="69">IF(B443=B442,R442+1,1)</f>
        <v>3</v>
      </c>
      <c r="S443" t="str">
        <f t="shared" si="68"/>
        <v>7°1°3</v>
      </c>
    </row>
    <row r="444" spans="1:19" ht="18.75" hidden="1" customHeight="1">
      <c r="A444" s="3" t="str">
        <f t="shared" si="65"/>
        <v>7°1°7IMOSIS</v>
      </c>
      <c r="B444" s="3" t="s">
        <v>494</v>
      </c>
      <c r="C444" s="3"/>
      <c r="D444" s="3" t="s">
        <v>498</v>
      </c>
      <c r="E444" s="3">
        <v>1913692</v>
      </c>
      <c r="F444" s="3" t="str">
        <f>VLOOKUP(D444,[1]Hoja1!$A:$K,11,0)</f>
        <v>MODELOS Y SISTEMAS</v>
      </c>
      <c r="G444" s="7" t="s">
        <v>178</v>
      </c>
      <c r="H444" s="7"/>
      <c r="I444" s="5"/>
      <c r="J444" s="5"/>
      <c r="K444" s="6" t="s">
        <v>650</v>
      </c>
      <c r="L444" s="5" t="str">
        <f>IFERROR(VLOOKUP(CONCATENATE(A444,"S"),[2]Hoja1!$B:$N,5,0)," ")</f>
        <v xml:space="preserve"> </v>
      </c>
      <c r="M444" s="6" t="str">
        <f>IFERROR(VLOOKUP(CONCATENATE(A444,"S"),[2]Hoja1!$B:$N,6,0)," ")</f>
        <v xml:space="preserve"> </v>
      </c>
      <c r="N444" s="4" t="str">
        <f t="shared" si="66"/>
        <v>PROVISIONAL</v>
      </c>
      <c r="O444" s="17" t="str">
        <f t="shared" si="67"/>
        <v>ROCHA JULIETA</v>
      </c>
      <c r="P444" s="4" t="str">
        <f>IF(O444="vacante","vacante",IFERROR(IF(VLOOKUP(IF((M444)=" ",IF(COUNTBLANK(K444),I444,K444),M444),[3]Hoja1!$B:$I,4,0)="licencia","vacante"," ")," "))</f>
        <v xml:space="preserve"> </v>
      </c>
      <c r="Q444" s="4"/>
      <c r="R444">
        <f t="shared" si="69"/>
        <v>4</v>
      </c>
      <c r="S444" t="str">
        <f t="shared" si="68"/>
        <v>7°1°4</v>
      </c>
    </row>
    <row r="445" spans="1:19" ht="18.75" hidden="1" customHeight="1">
      <c r="A445" s="3" t="str">
        <f t="shared" si="65"/>
        <v>7°1°7IBADAT</v>
      </c>
      <c r="B445" s="3" t="s">
        <v>494</v>
      </c>
      <c r="C445" s="3"/>
      <c r="D445" s="3" t="s">
        <v>499</v>
      </c>
      <c r="E445" s="3">
        <v>1913695</v>
      </c>
      <c r="F445" s="3" t="str">
        <f>VLOOKUP(D445,[1]Hoja1!$A:$K,11,0)</f>
        <v>BASE DE DATOS</v>
      </c>
      <c r="G445" s="7"/>
      <c r="H445" s="7"/>
      <c r="I445" s="5"/>
      <c r="J445" s="5"/>
      <c r="K445" s="6" t="s">
        <v>582</v>
      </c>
      <c r="L445" s="5" t="str">
        <f>IFERROR(VLOOKUP(CONCATENATE(A445,"S"),[2]Hoja1!$B:$N,5,0)," ")</f>
        <v xml:space="preserve"> </v>
      </c>
      <c r="M445" s="6" t="str">
        <f>IFERROR(VLOOKUP(CONCATENATE(A445,"S"),[2]Hoja1!$B:$N,6,0)," ")</f>
        <v xml:space="preserve"> </v>
      </c>
      <c r="N445" s="4" t="str">
        <f t="shared" si="66"/>
        <v>PROVISIONAL</v>
      </c>
      <c r="O445" s="17" t="str">
        <f t="shared" si="67"/>
        <v>WITT  GERARDO</v>
      </c>
      <c r="P445" s="4" t="str">
        <f>IF(O445="vacante","vacante",IFERROR(IF(VLOOKUP(IF((M445)=" ",IF(COUNTBLANK(K445),I445,K445),M445),[3]Hoja1!$B:$I,4,0)="licencia","vacante"," ")," "))</f>
        <v xml:space="preserve"> </v>
      </c>
      <c r="Q445" s="4"/>
      <c r="R445">
        <f t="shared" si="69"/>
        <v>5</v>
      </c>
      <c r="S445" t="str">
        <f t="shared" si="68"/>
        <v>7°1°5</v>
      </c>
    </row>
    <row r="446" spans="1:19" ht="18.75" hidden="1" customHeight="1">
      <c r="A446" s="3" t="str">
        <f t="shared" si="65"/>
        <v>7°1°7117IPDISC</v>
      </c>
      <c r="B446" s="3" t="s">
        <v>494</v>
      </c>
      <c r="C446" s="3">
        <v>711</v>
      </c>
      <c r="D446" s="3" t="s">
        <v>500</v>
      </c>
      <c r="E446" s="3">
        <v>1913696</v>
      </c>
      <c r="F446" s="3" t="str">
        <f>VLOOKUP(D446,[1]Hoja1!$A:$K,11,0)</f>
        <v>PROYECTO, DISEÑO E IMPLEMENTACION DE SISTEMAS COMPUTACIONALES</v>
      </c>
      <c r="G446" s="7"/>
      <c r="H446" s="7"/>
      <c r="I446" s="5"/>
      <c r="J446" s="5">
        <v>20051192</v>
      </c>
      <c r="K446" s="6" t="s">
        <v>501</v>
      </c>
      <c r="L446" s="5" t="str">
        <f>IFERROR(VLOOKUP(CONCATENATE(A446,"S"),[2]Hoja1!$B:$N,5,0)," ")</f>
        <v xml:space="preserve"> </v>
      </c>
      <c r="M446" s="6" t="str">
        <f>IFERROR(VLOOKUP(CONCATENATE(A446,"S"),[2]Hoja1!$B:$N,6,0)," ")</f>
        <v xml:space="preserve"> </v>
      </c>
      <c r="N446" s="4" t="str">
        <f t="shared" si="66"/>
        <v>PROVISIONAL</v>
      </c>
      <c r="O446" s="17" t="str">
        <f t="shared" si="67"/>
        <v>CARPITELLA FABIAN</v>
      </c>
      <c r="P446" s="4" t="str">
        <f>IF(O446="vacante","vacante",IFERROR(IF(VLOOKUP(IF((M446)=" ",IF(COUNTBLANK(K446),I446,K446),M446),[3]Hoja1!$B:$I,4,0)="licencia","vacante"," ")," "))</f>
        <v xml:space="preserve"> </v>
      </c>
      <c r="Q446" s="4"/>
      <c r="R446">
        <f t="shared" si="69"/>
        <v>6</v>
      </c>
      <c r="S446" t="str">
        <f t="shared" si="68"/>
        <v>7°1°6</v>
      </c>
    </row>
    <row r="447" spans="1:19" ht="18.75" hidden="1" customHeight="1">
      <c r="A447" s="3" t="str">
        <f t="shared" si="65"/>
        <v>7°1°7117IIMRSC</v>
      </c>
      <c r="B447" s="3" t="s">
        <v>494</v>
      </c>
      <c r="C447" s="3">
        <v>711</v>
      </c>
      <c r="D447" s="3" t="s">
        <v>502</v>
      </c>
      <c r="E447" s="3">
        <v>1913702</v>
      </c>
      <c r="F447" s="3" t="str">
        <f>VLOOKUP(D447,[1]Hoja1!$A:$K,11,0)</f>
        <v>INSTALACION, MANTENIMIENTO Y REPARACION DE SISTEMAS COMPUTACIONALES-</v>
      </c>
      <c r="G447" s="7">
        <v>16019055</v>
      </c>
      <c r="H447" s="7"/>
      <c r="I447" s="5"/>
      <c r="J447" s="5"/>
      <c r="K447" s="6" t="s">
        <v>708</v>
      </c>
      <c r="L447" s="5" t="str">
        <f>IFERROR(VLOOKUP(CONCATENATE(A447,"S"),[2]Hoja1!$B:$N,5,0)," ")</f>
        <v xml:space="preserve"> </v>
      </c>
      <c r="M447" s="6" t="str">
        <f>IFERROR(VLOOKUP(CONCATENATE(A447,"S"),[2]Hoja1!$B:$N,6,0)," ")</f>
        <v xml:space="preserve"> </v>
      </c>
      <c r="N447" s="4" t="str">
        <f t="shared" si="66"/>
        <v>PROVISIONAL</v>
      </c>
      <c r="O447" s="17" t="str">
        <f t="shared" si="67"/>
        <v>AÑASCO, GABRIEL  20-36089659-6</v>
      </c>
      <c r="P447" s="4" t="str">
        <f>IF(O447="vacante","vacante",IFERROR(IF(VLOOKUP(IF((M447)=" ",IF(COUNTBLANK(K447),I447,K447),M447),[3]Hoja1!$B:$I,4,0)="licencia","vacante"," ")," "))</f>
        <v xml:space="preserve"> </v>
      </c>
      <c r="Q447" s="4"/>
      <c r="R447">
        <f t="shared" si="69"/>
        <v>7</v>
      </c>
      <c r="S447" t="str">
        <f t="shared" si="68"/>
        <v>7°1°7</v>
      </c>
    </row>
    <row r="448" spans="1:19" ht="18.75" hidden="1" customHeight="1">
      <c r="A448" s="3" t="str">
        <f t="shared" si="65"/>
        <v>7°1°7117IIMRRI</v>
      </c>
      <c r="B448" s="3" t="s">
        <v>494</v>
      </c>
      <c r="C448" s="3">
        <v>711</v>
      </c>
      <c r="D448" s="3" t="s">
        <v>503</v>
      </c>
      <c r="E448" s="3">
        <v>1913707</v>
      </c>
      <c r="F448" s="3" t="str">
        <f>VLOOKUP(D448,[1]Hoja1!$A:$K,11,0)</f>
        <v xml:space="preserve">INSTALACION, MANTENIMIENTO Y REPARACION DE REDES INFORMATICAS- </v>
      </c>
      <c r="G448" s="7">
        <v>24862276</v>
      </c>
      <c r="H448" s="7"/>
      <c r="I448" s="5" t="s">
        <v>427</v>
      </c>
      <c r="J448" s="5"/>
      <c r="K448" s="6"/>
      <c r="L448" s="5">
        <f>IFERROR(VLOOKUP(CONCATENATE(A448,"S"),[2]Hoja1!$B:$N,5,0)," ")</f>
        <v>23086757</v>
      </c>
      <c r="M448" s="6" t="str">
        <f>IFERROR(VLOOKUP(CONCATENATE(A448,"S"),[2]Hoja1!$B:$N,6,0)," ")</f>
        <v>DELLA VECCHIA</v>
      </c>
      <c r="N448" s="4" t="str">
        <f t="shared" si="66"/>
        <v>SUPLENTE</v>
      </c>
      <c r="O448" s="17" t="str">
        <f t="shared" si="67"/>
        <v>DELLA VECCHIA</v>
      </c>
      <c r="P448" s="4" t="str">
        <f>IF(O448="vacante","vacante",IFERROR(IF(VLOOKUP(IF((M448)=" ",IF(COUNTBLANK(K448),I448,K448),M448),[3]Hoja1!$B:$I,4,0)="licencia","vacante"," ")," "))</f>
        <v xml:space="preserve"> </v>
      </c>
      <c r="Q448" s="4"/>
      <c r="R448">
        <f t="shared" si="69"/>
        <v>8</v>
      </c>
      <c r="S448" t="str">
        <f t="shared" si="68"/>
        <v>7°1°8</v>
      </c>
    </row>
    <row r="449" spans="1:19" ht="18.75" hidden="1" customHeight="1">
      <c r="A449" s="3" t="str">
        <f t="shared" si="65"/>
        <v>7°1°7127IPDISC</v>
      </c>
      <c r="B449" s="3" t="s">
        <v>494</v>
      </c>
      <c r="C449" s="3">
        <v>712</v>
      </c>
      <c r="D449" s="3" t="s">
        <v>500</v>
      </c>
      <c r="E449" s="3">
        <v>1913712</v>
      </c>
      <c r="F449" s="3" t="str">
        <f>VLOOKUP(D449,[1]Hoja1!$A:$K,11,0)</f>
        <v>PROYECTO, DISEÑO E IMPLEMENTACION DE SISTEMAS COMPUTACIONALES</v>
      </c>
      <c r="G449" s="7"/>
      <c r="H449" s="7"/>
      <c r="I449" s="5"/>
      <c r="J449" s="5">
        <v>20051192</v>
      </c>
      <c r="K449" s="6" t="s">
        <v>501</v>
      </c>
      <c r="L449" s="5" t="str">
        <f>IFERROR(VLOOKUP(CONCATENATE(A449,"S"),[2]Hoja1!$B:$N,5,0)," ")</f>
        <v xml:space="preserve"> </v>
      </c>
      <c r="M449" s="6" t="str">
        <f>IFERROR(VLOOKUP(CONCATENATE(A449,"S"),[2]Hoja1!$B:$N,6,0)," ")</f>
        <v xml:space="preserve"> </v>
      </c>
      <c r="N449" s="4" t="str">
        <f t="shared" si="66"/>
        <v>PROVISIONAL</v>
      </c>
      <c r="O449" s="17" t="str">
        <f t="shared" si="67"/>
        <v>CARPITELLA FABIAN</v>
      </c>
      <c r="P449" s="4" t="str">
        <f>IF(O449="vacante","vacante",IFERROR(IF(VLOOKUP(IF((M449)=" ",IF(COUNTBLANK(K449),I449,K449),M449),[3]Hoja1!$B:$I,4,0)="licencia","vacante"," ")," "))</f>
        <v xml:space="preserve"> </v>
      </c>
      <c r="Q449" s="4"/>
      <c r="R449">
        <f t="shared" si="69"/>
        <v>9</v>
      </c>
      <c r="S449" t="str">
        <f t="shared" si="68"/>
        <v>7°1°9</v>
      </c>
    </row>
    <row r="450" spans="1:19" ht="18.75" hidden="1" customHeight="1">
      <c r="A450" s="3" t="str">
        <f t="shared" si="65"/>
        <v>7°1°7127IIMRSC</v>
      </c>
      <c r="B450" s="3" t="s">
        <v>494</v>
      </c>
      <c r="C450" s="3">
        <v>712</v>
      </c>
      <c r="D450" s="3" t="s">
        <v>502</v>
      </c>
      <c r="E450" s="3">
        <v>1913725</v>
      </c>
      <c r="F450" s="3" t="str">
        <f>VLOOKUP(D450,[1]Hoja1!$A:$K,11,0)</f>
        <v>INSTALACION, MANTENIMIENTO Y REPARACION DE SISTEMAS COMPUTACIONALES-</v>
      </c>
      <c r="G450" s="7">
        <v>24862276</v>
      </c>
      <c r="H450" s="7" t="s">
        <v>78</v>
      </c>
      <c r="I450" s="5" t="s">
        <v>378</v>
      </c>
      <c r="J450" s="5"/>
      <c r="K450" s="6"/>
      <c r="L450" s="5">
        <f>IFERROR(VLOOKUP(CONCATENATE(A450,"S"),[2]Hoja1!$B:$N,5,0)," ")</f>
        <v>23086757</v>
      </c>
      <c r="M450" s="6" t="str">
        <f>IFERROR(VLOOKUP(CONCATENATE(A450,"S"),[2]Hoja1!$B:$N,6,0)," ")</f>
        <v>MELGARJO. VERONICA</v>
      </c>
      <c r="N450" s="4" t="str">
        <f t="shared" si="66"/>
        <v>SUPLENTE</v>
      </c>
      <c r="O450" s="17" t="str">
        <f t="shared" si="67"/>
        <v>MELGARJO. VERONICA</v>
      </c>
      <c r="P450" s="4" t="str">
        <f>IF(O450="vacante","vacante",IFERROR(IF(VLOOKUP(IF((M450)=" ",IF(COUNTBLANK(K450),I450,K450),M450),[3]Hoja1!$B:$I,4,0)="licencia","vacante"," ")," "))</f>
        <v xml:space="preserve"> </v>
      </c>
      <c r="Q450" s="4"/>
      <c r="R450">
        <f t="shared" si="69"/>
        <v>10</v>
      </c>
      <c r="S450" t="str">
        <f t="shared" si="68"/>
        <v>7°1°10</v>
      </c>
    </row>
    <row r="451" spans="1:19" ht="18.75" hidden="1" customHeight="1">
      <c r="A451" s="3" t="str">
        <f t="shared" si="65"/>
        <v>7°1°7127IIMRRI</v>
      </c>
      <c r="B451" s="3" t="s">
        <v>494</v>
      </c>
      <c r="C451" s="3">
        <v>712</v>
      </c>
      <c r="D451" s="3" t="s">
        <v>503</v>
      </c>
      <c r="E451" s="3">
        <v>1913731</v>
      </c>
      <c r="F451" s="3" t="str">
        <f>VLOOKUP(D451,[1]Hoja1!$A:$K,11,0)</f>
        <v xml:space="preserve">INSTALACION, MANTENIMIENTO Y REPARACION DE REDES INFORMATICAS- </v>
      </c>
      <c r="G451" s="7" t="s">
        <v>178</v>
      </c>
      <c r="H451" s="7"/>
      <c r="I451" s="5"/>
      <c r="J451" s="5"/>
      <c r="K451" s="6" t="s">
        <v>660</v>
      </c>
      <c r="L451" s="5">
        <f>IFERROR(VLOOKUP(CONCATENATE(A451,"S"),[2]Hoja1!$B:$N,5,0)," ")</f>
        <v>0</v>
      </c>
      <c r="M451" s="6" t="str">
        <f>IFERROR(VLOOKUP(CONCATENATE(A451,"S"),[2]Hoja1!$B:$N,6,0)," ")</f>
        <v>DELLA VECCHIA I</v>
      </c>
      <c r="N451" s="4" t="str">
        <f t="shared" si="66"/>
        <v>SUPLENTE</v>
      </c>
      <c r="O451" s="17" t="str">
        <f t="shared" si="67"/>
        <v>DELLA VECCHIA I</v>
      </c>
      <c r="P451" s="4" t="str">
        <f>IF(O451="vacante","vacante",IFERROR(IF(VLOOKUP(IF((M451)=" ",IF(COUNTBLANK(K451),I451,K451),M451),[3]Hoja1!$B:$I,4,0)="licencia","vacante"," ")," "))</f>
        <v xml:space="preserve"> </v>
      </c>
      <c r="Q451" s="4"/>
      <c r="R451">
        <f t="shared" si="69"/>
        <v>11</v>
      </c>
      <c r="S451" t="str">
        <f t="shared" si="68"/>
        <v>7°1°11</v>
      </c>
    </row>
    <row r="452" spans="1:19" ht="18.75" hidden="1" customHeight="1">
      <c r="A452" s="3" t="str">
        <f t="shared" si="65"/>
        <v>7°2°7EPPSEL</v>
      </c>
      <c r="B452" s="3" t="s">
        <v>504</v>
      </c>
      <c r="C452" s="3"/>
      <c r="D452" s="3" t="s">
        <v>505</v>
      </c>
      <c r="E452" s="3">
        <v>1913823</v>
      </c>
      <c r="F452" s="3" t="str">
        <f>VLOOKUP(D452,[1]Hoja1!$A:$K,11,0)</f>
        <v>PRACTICAS PROFESIONALIZANTES</v>
      </c>
      <c r="G452" s="7"/>
      <c r="H452" s="7"/>
      <c r="I452" s="5"/>
      <c r="J452" s="5">
        <v>26024164</v>
      </c>
      <c r="K452" s="6" t="s">
        <v>493</v>
      </c>
      <c r="L452" s="5" t="str">
        <f>IFERROR(VLOOKUP(CONCATENATE(A452,"S"),[2]Hoja1!$B:$N,5,0)," ")</f>
        <v xml:space="preserve"> </v>
      </c>
      <c r="M452" s="6" t="str">
        <f>IFERROR(VLOOKUP(CONCATENATE(A452,"S"),[2]Hoja1!$B:$N,6,0)," ")</f>
        <v xml:space="preserve"> </v>
      </c>
      <c r="N452" s="4" t="str">
        <f t="shared" si="66"/>
        <v>PROVISIONAL</v>
      </c>
      <c r="O452" s="17" t="str">
        <f t="shared" si="67"/>
        <v>SAUCEDO GUSTAVO</v>
      </c>
      <c r="P452" s="4" t="str">
        <f>IF(O452="vacante","vacante",IFERROR(IF(VLOOKUP(IF((M452)=" ",IF(COUNTBLANK(K452),I452,K452),M452),[3]Hoja1!$B:$I,4,0)="licencia","vacante"," ")," "))</f>
        <v xml:space="preserve"> </v>
      </c>
      <c r="Q452" s="4"/>
      <c r="R452">
        <f t="shared" si="69"/>
        <v>1</v>
      </c>
      <c r="S452" t="str">
        <f t="shared" si="68"/>
        <v>7°2°1</v>
      </c>
    </row>
    <row r="453" spans="1:19" ht="18.75" hidden="1" customHeight="1">
      <c r="A453" s="3" t="str">
        <f t="shared" si="65"/>
        <v>7°2°7EPPDLO</v>
      </c>
      <c r="B453" s="3" t="s">
        <v>504</v>
      </c>
      <c r="C453" s="3"/>
      <c r="D453" s="3" t="s">
        <v>506</v>
      </c>
      <c r="E453" s="3">
        <v>1913829</v>
      </c>
      <c r="F453" s="3" t="str">
        <f>VLOOKUP(D453,[1]Hoja1!$A:$K,11,0)</f>
        <v>EMPRENDIMIENTO PRODUCTIVO Y DESARROLLO LOCAL</v>
      </c>
      <c r="G453" s="7"/>
      <c r="H453" s="7"/>
      <c r="I453" s="5"/>
      <c r="J453" s="5">
        <v>34777466</v>
      </c>
      <c r="K453" s="6" t="s">
        <v>507</v>
      </c>
      <c r="L453" s="5">
        <f>IFERROR(VLOOKUP(CONCATENATE(A453,"S"),[2]Hoja1!$B:$N,5,0)," ")</f>
        <v>23086757</v>
      </c>
      <c r="M453" s="6" t="str">
        <f>IFERROR(VLOOKUP(CONCATENATE(A453,"S"),[2]Hoja1!$B:$N,6,0)," ")</f>
        <v>GUTIERREZ NICOLAS</v>
      </c>
      <c r="N453" s="4" t="str">
        <f t="shared" si="66"/>
        <v>SUPLENTE</v>
      </c>
      <c r="O453" s="17" t="str">
        <f t="shared" si="67"/>
        <v>GUTIERREZ NICOLAS</v>
      </c>
      <c r="P453" s="4" t="str">
        <f>IF(O453="vacante","vacante",IFERROR(IF(VLOOKUP(IF((M453)=" ",IF(COUNTBLANK(K453),I453,K453),M453),[3]Hoja1!$B:$I,4,0)="licencia","vacante"," ")," "))</f>
        <v xml:space="preserve"> </v>
      </c>
      <c r="Q453" s="4"/>
      <c r="R453">
        <f t="shared" si="69"/>
        <v>2</v>
      </c>
      <c r="S453" t="str">
        <f t="shared" si="68"/>
        <v>7°2°2</v>
      </c>
    </row>
    <row r="454" spans="1:19" ht="18.75" hidden="1" customHeight="1">
      <c r="A454" s="3" t="str">
        <f t="shared" si="65"/>
        <v>7°2°7ESIDCO</v>
      </c>
      <c r="B454" s="3" t="s">
        <v>504</v>
      </c>
      <c r="C454" s="3"/>
      <c r="D454" s="3" t="s">
        <v>508</v>
      </c>
      <c r="E454" s="3">
        <v>1913831</v>
      </c>
      <c r="F454" s="3" t="str">
        <f>VLOOKUP(D454,[1]Hoja1!$A:$K,11,0)</f>
        <v>SISTEMA DE CONTROL</v>
      </c>
      <c r="G454" s="7"/>
      <c r="H454" s="7"/>
      <c r="I454" s="5"/>
      <c r="J454" s="5">
        <v>26024164</v>
      </c>
      <c r="K454" s="6" t="s">
        <v>493</v>
      </c>
      <c r="L454" s="5" t="str">
        <f>IFERROR(VLOOKUP(CONCATENATE(A454,"S"),[2]Hoja1!$B:$N,5,0)," ")</f>
        <v xml:space="preserve"> </v>
      </c>
      <c r="M454" s="6" t="str">
        <f>IFERROR(VLOOKUP(CONCATENATE(A454,"S"),[2]Hoja1!$B:$N,6,0)," ")</f>
        <v xml:space="preserve"> </v>
      </c>
      <c r="N454" s="4" t="str">
        <f t="shared" si="66"/>
        <v>PROVISIONAL</v>
      </c>
      <c r="O454" s="17" t="str">
        <f t="shared" si="67"/>
        <v>SAUCEDO GUSTAVO</v>
      </c>
      <c r="P454" s="4" t="str">
        <f>IF(O454="vacante","vacante",IFERROR(IF(VLOOKUP(IF((M454)=" ",IF(COUNTBLANK(K454),I454,K454),M454),[3]Hoja1!$B:$I,4,0)="licencia","vacante"," ")," "))</f>
        <v xml:space="preserve"> </v>
      </c>
      <c r="Q454" s="4"/>
      <c r="R454">
        <f t="shared" si="69"/>
        <v>3</v>
      </c>
      <c r="S454" t="str">
        <f t="shared" si="68"/>
        <v>7°2°3</v>
      </c>
    </row>
    <row r="455" spans="1:19" ht="18.75" hidden="1" customHeight="1">
      <c r="A455" s="3" t="str">
        <f t="shared" si="65"/>
        <v>7°2°7ESISDC</v>
      </c>
      <c r="B455" s="3" t="s">
        <v>504</v>
      </c>
      <c r="C455" s="3"/>
      <c r="D455" s="3" t="s">
        <v>509</v>
      </c>
      <c r="E455" s="3">
        <v>1913836</v>
      </c>
      <c r="F455" s="3" t="str">
        <f>VLOOKUP(D455,[1]Hoja1!$A:$K,11,0)</f>
        <v>SISTEMAS DE COMUNICACIONES</v>
      </c>
      <c r="G455" s="7"/>
      <c r="H455" s="7"/>
      <c r="I455" s="5"/>
      <c r="J455" s="5">
        <v>34777466</v>
      </c>
      <c r="K455" s="6" t="s">
        <v>507</v>
      </c>
      <c r="L455" s="5">
        <f>IFERROR(VLOOKUP(CONCATENATE(A455,"S"),[2]Hoja1!$B:$N,5,0)," ")</f>
        <v>23086757</v>
      </c>
      <c r="M455" s="6" t="str">
        <f>IFERROR(VLOOKUP(CONCATENATE(A455,"S"),[2]Hoja1!$B:$N,6,0)," ")</f>
        <v>SERENO, LEONEL</v>
      </c>
      <c r="N455" s="4" t="str">
        <f t="shared" si="66"/>
        <v>SUPLENTE</v>
      </c>
      <c r="O455" s="17" t="str">
        <f t="shared" si="67"/>
        <v>SERENO, LEONEL</v>
      </c>
      <c r="P455" s="4" t="str">
        <f>IF(O455="vacante","vacante",IFERROR(IF(VLOOKUP(IF((M455)=" ",IF(COUNTBLANK(K455),I455,K455),M455),[3]Hoja1!$B:$I,4,0)="licencia","vacante"," ")," "))</f>
        <v xml:space="preserve"> </v>
      </c>
      <c r="Q455" s="4"/>
      <c r="R455">
        <f t="shared" si="69"/>
        <v>4</v>
      </c>
      <c r="S455" t="str">
        <f t="shared" si="68"/>
        <v>7°2°4</v>
      </c>
    </row>
    <row r="456" spans="1:19" ht="18.75" hidden="1" customHeight="1">
      <c r="A456" s="3" t="str">
        <f t="shared" si="65"/>
        <v>7°2°7ESEHPA</v>
      </c>
      <c r="B456" s="3" t="s">
        <v>504</v>
      </c>
      <c r="C456" s="3"/>
      <c r="D456" s="3" t="s">
        <v>510</v>
      </c>
      <c r="E456" s="3">
        <v>1913839</v>
      </c>
      <c r="F456" s="3" t="str">
        <f>VLOOKUP(D456,[1]Hoja1!$A:$K,11,0)</f>
        <v>SEGURIDAD, HIGIENE Y PROTECCION AMBIENTAL</v>
      </c>
      <c r="G456" s="7"/>
      <c r="H456" s="7"/>
      <c r="I456" s="5"/>
      <c r="J456" s="5">
        <v>25515302</v>
      </c>
      <c r="K456" s="6" t="s">
        <v>511</v>
      </c>
      <c r="L456" s="5" t="str">
        <f>IFERROR(VLOOKUP(CONCATENATE(A456,"S"),[2]Hoja1!$B:$N,5,0)," ")</f>
        <v xml:space="preserve"> </v>
      </c>
      <c r="M456" s="6" t="str">
        <f>IFERROR(VLOOKUP(CONCATENATE(A456,"S"),[2]Hoja1!$B:$N,6,0)," ")</f>
        <v xml:space="preserve"> </v>
      </c>
      <c r="N456" s="4" t="str">
        <f t="shared" si="66"/>
        <v>PROVISIONAL</v>
      </c>
      <c r="O456" s="17" t="str">
        <f t="shared" si="67"/>
        <v>ARGAÑARAZ ANGEL</v>
      </c>
      <c r="P456" s="4" t="str">
        <f>IF(O456="vacante","vacante",IFERROR(IF(VLOOKUP(IF((M456)=" ",IF(COUNTBLANK(K456),I456,K456),M456),[3]Hoja1!$B:$I,4,0)="licencia","vacante"," ")," "))</f>
        <v xml:space="preserve"> </v>
      </c>
      <c r="Q456" s="4"/>
      <c r="R456">
        <f t="shared" si="69"/>
        <v>5</v>
      </c>
      <c r="S456" t="str">
        <f t="shared" si="68"/>
        <v>7°2°5</v>
      </c>
    </row>
    <row r="457" spans="1:19" ht="18.75" hidden="1" customHeight="1">
      <c r="A457" s="3" t="str">
        <f t="shared" si="65"/>
        <v>7°2°7217EPRODE</v>
      </c>
      <c r="B457" s="3" t="s">
        <v>504</v>
      </c>
      <c r="C457" s="3">
        <v>721</v>
      </c>
      <c r="D457" s="3" t="s">
        <v>512</v>
      </c>
      <c r="E457" s="3">
        <v>1913842</v>
      </c>
      <c r="F457" s="3" t="str">
        <f>VLOOKUP(D457,[1]Hoja1!$A:$K,11,0)</f>
        <v xml:space="preserve">PROYECTO Y DISEÑO ELECTRONICO </v>
      </c>
      <c r="G457" s="7"/>
      <c r="H457" s="7"/>
      <c r="I457" s="5"/>
      <c r="J457" s="5" t="s">
        <v>317</v>
      </c>
      <c r="K457" s="6" t="s">
        <v>318</v>
      </c>
      <c r="L457" s="5">
        <f>IFERROR(VLOOKUP(CONCATENATE(A457,"S"),[2]Hoja1!$B:$N,5,0)," ")</f>
        <v>0</v>
      </c>
      <c r="M457" s="6" t="str">
        <f>IFERROR(VLOOKUP(CONCATENATE(A457,"S"),[2]Hoja1!$B:$N,6,0)," ")</f>
        <v>GUTIERREZ NICOLAS</v>
      </c>
      <c r="N457" s="4" t="str">
        <f t="shared" si="66"/>
        <v>SUPLENTE</v>
      </c>
      <c r="O457" s="17" t="str">
        <f t="shared" si="67"/>
        <v>GUTIERREZ NICOLAS</v>
      </c>
      <c r="P457" s="4" t="str">
        <f>IF(O457="vacante","vacante",IFERROR(IF(VLOOKUP(IF((M457)=" ",IF(COUNTBLANK(K457),I457,K457),M457),[3]Hoja1!$B:$I,4,0)="licencia","vacante"," ")," "))</f>
        <v xml:space="preserve"> </v>
      </c>
      <c r="Q457" s="4"/>
      <c r="R457">
        <f t="shared" si="69"/>
        <v>6</v>
      </c>
      <c r="S457" t="str">
        <f t="shared" si="68"/>
        <v>7°2°6</v>
      </c>
    </row>
    <row r="458" spans="1:19" ht="18.75" hidden="1" customHeight="1">
      <c r="A458" s="3" t="str">
        <f t="shared" si="65"/>
        <v>7°2°7217EINSIN</v>
      </c>
      <c r="B458" s="3" t="s">
        <v>504</v>
      </c>
      <c r="C458" s="3">
        <v>721</v>
      </c>
      <c r="D458" s="3" t="s">
        <v>513</v>
      </c>
      <c r="E458" s="3">
        <v>1913852</v>
      </c>
      <c r="F458" s="3" t="str">
        <f>VLOOKUP(D458,[1]Hoja1!$A:$K,11,0)</f>
        <v>INSTALACIONES INDUSTRIALES</v>
      </c>
      <c r="G458" s="7"/>
      <c r="H458" s="7"/>
      <c r="I458" s="5"/>
      <c r="J458" s="5">
        <v>26024164</v>
      </c>
      <c r="K458" s="6" t="s">
        <v>493</v>
      </c>
      <c r="L458" s="5" t="str">
        <f>IFERROR(VLOOKUP(CONCATENATE(A458,"S"),[2]Hoja1!$B:$N,5,0)," ")</f>
        <v xml:space="preserve"> </v>
      </c>
      <c r="M458" s="6" t="str">
        <f>IFERROR(VLOOKUP(CONCATENATE(A458,"S"),[2]Hoja1!$B:$N,6,0)," ")</f>
        <v xml:space="preserve"> </v>
      </c>
      <c r="N458" s="4" t="str">
        <f t="shared" si="66"/>
        <v>PROVISIONAL</v>
      </c>
      <c r="O458" s="17" t="str">
        <f t="shared" si="67"/>
        <v>SAUCEDO GUSTAVO</v>
      </c>
      <c r="P458" s="4" t="str">
        <f>IF(O458="vacante","vacante",IFERROR(IF(VLOOKUP(IF((M458)=" ",IF(COUNTBLANK(K458),I458,K458),M458),[3]Hoja1!$B:$I,4,0)="licencia","vacante"," ")," "))</f>
        <v xml:space="preserve"> </v>
      </c>
      <c r="Q458" s="4"/>
      <c r="R458">
        <f t="shared" si="69"/>
        <v>7</v>
      </c>
      <c r="S458" t="str">
        <f t="shared" si="68"/>
        <v>7°2°7</v>
      </c>
    </row>
    <row r="459" spans="1:19" ht="18.75" hidden="1" customHeight="1">
      <c r="A459" s="3" t="str">
        <f t="shared" si="65"/>
        <v>7°2°7217EELEAP</v>
      </c>
      <c r="B459" s="3" t="s">
        <v>504</v>
      </c>
      <c r="C459" s="3">
        <v>721</v>
      </c>
      <c r="D459" s="3" t="s">
        <v>514</v>
      </c>
      <c r="E459" s="3">
        <v>1913862</v>
      </c>
      <c r="F459" s="3" t="str">
        <f>VLOOKUP(D459,[1]Hoja1!$A:$K,11,0)</f>
        <v>ELECTRONICA APLICADA</v>
      </c>
      <c r="G459" s="7"/>
      <c r="H459" s="7"/>
      <c r="I459" s="5"/>
      <c r="J459" s="5"/>
      <c r="K459" s="6" t="s">
        <v>724</v>
      </c>
      <c r="L459" s="5" t="str">
        <f>IFERROR(VLOOKUP(CONCATENATE(A459,"S"),[2]Hoja1!$B:$N,5,0)," ")</f>
        <v xml:space="preserve"> </v>
      </c>
      <c r="M459" s="6" t="str">
        <f>IFERROR(VLOOKUP(CONCATENATE(A459,"S"),[2]Hoja1!$B:$N,6,0)," ")</f>
        <v xml:space="preserve"> </v>
      </c>
      <c r="N459" s="4" t="str">
        <f t="shared" si="66"/>
        <v>PROVISIONAL</v>
      </c>
      <c r="O459" s="17" t="str">
        <f t="shared" si="67"/>
        <v>GUTIERREZ NICOLAS</v>
      </c>
      <c r="P459" s="4" t="str">
        <f>IF(O459="vacante","vacante",IFERROR(IF(VLOOKUP(IF((M459)=" ",IF(COUNTBLANK(K459),I459,K459),M459),[3]Hoja1!$B:$I,4,0)="licencia","vacante"," ")," "))</f>
        <v xml:space="preserve"> </v>
      </c>
      <c r="Q459" s="4"/>
      <c r="R459">
        <f t="shared" si="69"/>
        <v>8</v>
      </c>
      <c r="S459" t="str">
        <f t="shared" si="68"/>
        <v>7°2°8</v>
      </c>
    </row>
    <row r="460" spans="1:19" ht="18.75" hidden="1" customHeight="1">
      <c r="A460" s="3" t="str">
        <f t="shared" si="65"/>
        <v>7°2°7227EPRODE</v>
      </c>
      <c r="B460" s="3" t="s">
        <v>504</v>
      </c>
      <c r="C460" s="3">
        <v>722</v>
      </c>
      <c r="D460" s="3" t="s">
        <v>512</v>
      </c>
      <c r="E460" s="3">
        <v>1913848</v>
      </c>
      <c r="F460" s="3" t="str">
        <f>VLOOKUP(D460,[1]Hoja1!$A:$K,11,0)</f>
        <v xml:space="preserve">PROYECTO Y DISEÑO ELECTRONICO </v>
      </c>
      <c r="G460" s="7"/>
      <c r="H460" s="7"/>
      <c r="I460" s="5"/>
      <c r="J460" s="5" t="s">
        <v>317</v>
      </c>
      <c r="K460" s="6" t="s">
        <v>318</v>
      </c>
      <c r="L460" s="5" t="str">
        <f>IFERROR(VLOOKUP(CONCATENATE(A460,"S"),[2]Hoja1!$B:$N,5,0)," ")</f>
        <v xml:space="preserve"> </v>
      </c>
      <c r="M460" s="6" t="str">
        <f>IFERROR(VLOOKUP(CONCATENATE(A460,"S"),[2]Hoja1!$B:$N,6,0)," ")</f>
        <v xml:space="preserve"> </v>
      </c>
      <c r="N460" s="4" t="str">
        <f t="shared" si="66"/>
        <v>PROVISIONAL</v>
      </c>
      <c r="O460" s="17" t="str">
        <f t="shared" si="67"/>
        <v>CORDOBA ALEJANDRO</v>
      </c>
      <c r="P460" s="4" t="str">
        <f>IF(O460="vacante","vacante",IFERROR(IF(VLOOKUP(IF((M460)=" ",IF(COUNTBLANK(K460),I460,K460),M460),[3]Hoja1!$B:$I,4,0)="licencia","vacante"," ")," "))</f>
        <v xml:space="preserve"> </v>
      </c>
      <c r="Q460" s="4"/>
      <c r="R460">
        <f t="shared" si="69"/>
        <v>9</v>
      </c>
      <c r="S460" t="str">
        <f t="shared" si="68"/>
        <v>7°2°9</v>
      </c>
    </row>
    <row r="461" spans="1:19" ht="18.75" hidden="1" customHeight="1">
      <c r="A461" s="3" t="str">
        <f t="shared" si="65"/>
        <v>7°2°7227EINSIN</v>
      </c>
      <c r="B461" s="3" t="s">
        <v>504</v>
      </c>
      <c r="C461" s="3">
        <v>722</v>
      </c>
      <c r="D461" s="3" t="s">
        <v>513</v>
      </c>
      <c r="E461" s="3">
        <v>1913857</v>
      </c>
      <c r="F461" s="3" t="str">
        <f>VLOOKUP(D461,[1]Hoja1!$A:$K,11,0)</f>
        <v>INSTALACIONES INDUSTRIALES</v>
      </c>
      <c r="G461" s="7"/>
      <c r="H461" s="7"/>
      <c r="I461" s="5"/>
      <c r="J461" s="5">
        <v>23086757</v>
      </c>
      <c r="K461" s="6" t="s">
        <v>365</v>
      </c>
      <c r="L461" s="5" t="str">
        <f>IFERROR(VLOOKUP(CONCATENATE(A461,"S"),[2]Hoja1!$B:$N,5,0)," ")</f>
        <v xml:space="preserve"> </v>
      </c>
      <c r="M461" s="6" t="str">
        <f>IFERROR(VLOOKUP(CONCATENATE(A461,"S"),[2]Hoja1!$B:$N,6,0)," ")</f>
        <v xml:space="preserve"> </v>
      </c>
      <c r="N461" s="4" t="str">
        <f t="shared" si="66"/>
        <v>PROVISIONAL</v>
      </c>
      <c r="O461" s="17" t="str">
        <f t="shared" si="67"/>
        <v>SERENO, LEONEL</v>
      </c>
      <c r="P461" s="4" t="str">
        <f>IF(O461="vacante","vacante",IFERROR(IF(VLOOKUP(IF((M461)=" ",IF(COUNTBLANK(K461),I461,K461),M461),[3]Hoja1!$B:$I,4,0)="licencia","vacante"," ")," "))</f>
        <v xml:space="preserve"> </v>
      </c>
      <c r="Q461" s="4"/>
      <c r="R461">
        <f t="shared" si="69"/>
        <v>10</v>
      </c>
      <c r="S461" t="str">
        <f t="shared" si="68"/>
        <v>7°2°10</v>
      </c>
    </row>
    <row r="462" spans="1:19" ht="18.75" hidden="1" customHeight="1">
      <c r="A462" s="3" t="str">
        <f t="shared" si="65"/>
        <v>7°2°7227EELEAP</v>
      </c>
      <c r="B462" s="3" t="s">
        <v>504</v>
      </c>
      <c r="C462" s="3">
        <v>722</v>
      </c>
      <c r="D462" s="3" t="s">
        <v>514</v>
      </c>
      <c r="E462" s="3">
        <v>1913864</v>
      </c>
      <c r="F462" s="3" t="str">
        <f>VLOOKUP(D462,[1]Hoja1!$A:$K,11,0)</f>
        <v>ELECTRONICA APLICADA</v>
      </c>
      <c r="G462" s="7"/>
      <c r="H462" s="7"/>
      <c r="I462" s="5"/>
      <c r="J462" s="5"/>
      <c r="K462" s="6" t="s">
        <v>515</v>
      </c>
      <c r="L462" s="5">
        <f>IFERROR(VLOOKUP(CONCATENATE(A462,"S"),[2]Hoja1!$B:$N,5,0)," ")</f>
        <v>0</v>
      </c>
      <c r="M462" s="6" t="str">
        <f>IFERROR(VLOOKUP(CONCATENATE(A462,"S"),[2]Hoja1!$B:$N,6,0)," ")</f>
        <v>GUTIERREZ NICOLAS</v>
      </c>
      <c r="N462" s="4" t="str">
        <f t="shared" si="66"/>
        <v>SUPLENTE</v>
      </c>
      <c r="O462" s="17" t="str">
        <f t="shared" si="67"/>
        <v>GUTIERREZ NICOLAS</v>
      </c>
      <c r="P462" s="4" t="str">
        <f>IF(O462="vacante","vacante",IFERROR(IF(VLOOKUP(IF((M462)=" ",IF(COUNTBLANK(K462),I462,K462),M462),[3]Hoja1!$B:$I,4,0)="licencia","vacante"," ")," "))</f>
        <v xml:space="preserve"> </v>
      </c>
      <c r="Q462" s="4"/>
      <c r="R462">
        <f t="shared" si="69"/>
        <v>11</v>
      </c>
      <c r="S462" t="str">
        <f t="shared" si="68"/>
        <v>7°2°11</v>
      </c>
    </row>
    <row r="463" spans="1:19" ht="18.75" hidden="1" customHeight="1">
      <c r="A463" s="3" t="str">
        <f t="shared" si="65"/>
        <v>6°3°6ELITS</v>
      </c>
      <c r="B463" s="3" t="s">
        <v>635</v>
      </c>
      <c r="C463" s="3"/>
      <c r="D463" s="3" t="s">
        <v>478</v>
      </c>
      <c r="E463" s="3">
        <v>2625739</v>
      </c>
      <c r="F463" s="3" t="str">
        <f>VLOOKUP(D463,[1]Hoja1!$A:$K,11,0)</f>
        <v>LITERATURA</v>
      </c>
      <c r="G463" s="7" t="s">
        <v>637</v>
      </c>
      <c r="H463" s="7"/>
      <c r="I463" s="5" t="s">
        <v>636</v>
      </c>
      <c r="J463" s="5"/>
      <c r="K463" s="6"/>
      <c r="L463" s="5" t="str">
        <f>IFERROR(VLOOKUP(CONCATENATE(A463,"S"),[2]Hoja1!$B:$N,5,0)," ")</f>
        <v xml:space="preserve"> </v>
      </c>
      <c r="M463" s="6" t="str">
        <f>IFERROR(VLOOKUP(CONCATENATE(A463,"S"),[2]Hoja1!$B:$N,6,0)," ")</f>
        <v xml:space="preserve"> </v>
      </c>
      <c r="N463" s="4" t="str">
        <f t="shared" si="66"/>
        <v>TITULAR</v>
      </c>
      <c r="O463" s="17" t="str">
        <f t="shared" si="67"/>
        <v>ARANDA NELIDA 27-</v>
      </c>
      <c r="P463" s="4"/>
      <c r="Q463" s="4"/>
      <c r="R463">
        <v>1</v>
      </c>
      <c r="S463" t="str">
        <f t="shared" ref="S463:S480" si="70">CONCATENATE(B463,R463)</f>
        <v>6°3°1</v>
      </c>
    </row>
    <row r="464" spans="1:19" ht="18.75" hidden="1" customHeight="1">
      <c r="A464" s="3" t="str">
        <f t="shared" si="65"/>
        <v>6°3°6EINGS</v>
      </c>
      <c r="B464" s="3" t="s">
        <v>635</v>
      </c>
      <c r="C464" s="3"/>
      <c r="D464" s="3" t="s">
        <v>480</v>
      </c>
      <c r="E464" s="3">
        <v>2625763</v>
      </c>
      <c r="F464" s="3" t="str">
        <f>VLOOKUP(D464,[1]Hoja1!$A:$K,11,0)</f>
        <v>INGLÉS</v>
      </c>
      <c r="G464" s="7" t="s">
        <v>795</v>
      </c>
      <c r="H464" s="7"/>
      <c r="I464" s="35" t="s">
        <v>567</v>
      </c>
      <c r="J464" s="5"/>
      <c r="K464" s="6"/>
      <c r="L464" s="5" t="str">
        <f>IFERROR(VLOOKUP(CONCATENATE(A464,"S"),[2]Hoja1!$B:$N,5,0)," ")</f>
        <v xml:space="preserve"> </v>
      </c>
      <c r="M464" s="6" t="str">
        <f>IFERROR(VLOOKUP(CONCATENATE(A464,"S"),[2]Hoja1!$B:$N,6,0)," ")</f>
        <v xml:space="preserve"> </v>
      </c>
      <c r="N464" s="4" t="str">
        <f t="shared" si="66"/>
        <v>TITULAR</v>
      </c>
      <c r="O464" s="17" t="str">
        <f t="shared" si="67"/>
        <v>RAMIREZ GISELE</v>
      </c>
      <c r="P464" s="4"/>
      <c r="Q464" s="4"/>
      <c r="R464">
        <v>2</v>
      </c>
      <c r="S464" t="str">
        <f t="shared" si="70"/>
        <v>6°3°2</v>
      </c>
    </row>
    <row r="465" spans="1:19" ht="18.75" hidden="1" customHeight="1">
      <c r="A465" s="3" t="str">
        <f t="shared" si="65"/>
        <v>6°3°6EEFIS</v>
      </c>
      <c r="B465" s="3" t="s">
        <v>635</v>
      </c>
      <c r="C465" s="3"/>
      <c r="D465" s="3" t="s">
        <v>481</v>
      </c>
      <c r="E465" s="3">
        <v>2625769</v>
      </c>
      <c r="F465" s="3" t="str">
        <f>VLOOKUP(D465,[1]Hoja1!$A:$K,11,0)</f>
        <v>EDUCACIÓN FISICA</v>
      </c>
      <c r="G465" s="7"/>
      <c r="H465" s="7"/>
      <c r="I465" s="5"/>
      <c r="J465" s="37">
        <v>29569203</v>
      </c>
      <c r="K465" s="6" t="s">
        <v>339</v>
      </c>
      <c r="L465" s="5" t="str">
        <f>IFERROR(VLOOKUP(CONCATENATE(A465,"S"),[2]Hoja1!$B:$N,5,0)," ")</f>
        <v xml:space="preserve"> </v>
      </c>
      <c r="M465" s="6" t="str">
        <f>IFERROR(VLOOKUP(CONCATENATE(A465,"S"),[2]Hoja1!$B:$N,6,0)," ")</f>
        <v xml:space="preserve"> </v>
      </c>
      <c r="N465" s="4" t="str">
        <f t="shared" si="66"/>
        <v>PROVISIONAL</v>
      </c>
      <c r="O465" s="17" t="str">
        <f t="shared" si="67"/>
        <v xml:space="preserve">LUDUEÑA NELSON </v>
      </c>
      <c r="P465" s="4"/>
      <c r="Q465" s="4"/>
      <c r="R465">
        <v>3</v>
      </c>
      <c r="S465" t="str">
        <f t="shared" si="70"/>
        <v>6°3°3</v>
      </c>
    </row>
    <row r="466" spans="1:19" ht="18.75" hidden="1" customHeight="1">
      <c r="A466" s="3" t="str">
        <f t="shared" si="65"/>
        <v>6°3°6EFILO</v>
      </c>
      <c r="B466" s="3" t="s">
        <v>635</v>
      </c>
      <c r="C466" s="3"/>
      <c r="D466" s="3" t="s">
        <v>482</v>
      </c>
      <c r="E466" s="3">
        <v>2625787</v>
      </c>
      <c r="F466" s="3" t="str">
        <f>VLOOKUP(D466,[1]Hoja1!$A:$K,11,0)</f>
        <v>FILOSOFIA</v>
      </c>
      <c r="G466" s="7"/>
      <c r="H466" s="7"/>
      <c r="I466" s="5" t="s">
        <v>462</v>
      </c>
      <c r="J466" s="5"/>
      <c r="K466" s="6"/>
      <c r="L466" s="5" t="str">
        <f>IFERROR(VLOOKUP(CONCATENATE(A466,"S"),[2]Hoja1!$B:$N,5,0)," ")</f>
        <v xml:space="preserve"> </v>
      </c>
      <c r="M466" s="6" t="str">
        <f>IFERROR(VLOOKUP(CONCATENATE(A466,"S"),[2]Hoja1!$B:$N,6,0)," ")</f>
        <v xml:space="preserve"> </v>
      </c>
      <c r="N466" s="4" t="str">
        <f t="shared" si="66"/>
        <v>TITULAR</v>
      </c>
      <c r="O466" s="17" t="str">
        <f t="shared" si="67"/>
        <v>LETIERI, MANUEL</v>
      </c>
      <c r="P466" s="4"/>
      <c r="Q466" s="4"/>
      <c r="R466">
        <v>4</v>
      </c>
      <c r="S466" t="str">
        <f t="shared" si="70"/>
        <v>6°3°4</v>
      </c>
    </row>
    <row r="467" spans="1:19" ht="18.75" hidden="1" customHeight="1">
      <c r="A467" s="3" t="str">
        <f t="shared" si="65"/>
        <v>6°3°6EARTE</v>
      </c>
      <c r="B467" s="3" t="s">
        <v>635</v>
      </c>
      <c r="C467" s="3"/>
      <c r="D467" s="3" t="s">
        <v>483</v>
      </c>
      <c r="E467" s="3">
        <v>2625794</v>
      </c>
      <c r="F467" s="3" t="str">
        <f>VLOOKUP(D467,[1]Hoja1!$A:$K,11,0)</f>
        <v>ARTE</v>
      </c>
      <c r="G467" s="7"/>
      <c r="H467" s="7"/>
      <c r="I467" s="5"/>
      <c r="J467" s="5">
        <v>20261199638</v>
      </c>
      <c r="K467" s="41" t="s">
        <v>801</v>
      </c>
      <c r="L467" s="5" t="str">
        <f>IFERROR(VLOOKUP(CONCATENATE(A467,"S"),[2]Hoja1!$B:$N,5,0)," ")</f>
        <v xml:space="preserve"> </v>
      </c>
      <c r="M467" s="6" t="str">
        <f>IFERROR(VLOOKUP(CONCATENATE(A467,"S"),[2]Hoja1!$B:$N,6,0)," ")</f>
        <v xml:space="preserve"> </v>
      </c>
      <c r="N467" s="4" t="str">
        <f t="shared" si="66"/>
        <v>PROVISIONAL</v>
      </c>
      <c r="O467" s="17" t="str">
        <f t="shared" si="67"/>
        <v xml:space="preserve">MANSILLA SANTIAGO </v>
      </c>
      <c r="P467" s="4"/>
      <c r="Q467" s="4"/>
      <c r="R467">
        <v>5</v>
      </c>
      <c r="S467" t="str">
        <f t="shared" si="70"/>
        <v>6°3°5</v>
      </c>
    </row>
    <row r="468" spans="1:19" ht="18.75" hidden="1" customHeight="1">
      <c r="A468" s="3" t="str">
        <f t="shared" si="65"/>
        <v>6°3°6EMATAP</v>
      </c>
      <c r="B468" s="3" t="s">
        <v>635</v>
      </c>
      <c r="C468" s="3"/>
      <c r="D468" s="3" t="s">
        <v>484</v>
      </c>
      <c r="E468" s="3">
        <v>2625798</v>
      </c>
      <c r="F468" s="3" t="str">
        <f>VLOOKUP(D468,[1]Hoja1!$A:$K,11,0)</f>
        <v>MATEMATICA APLICADA</v>
      </c>
      <c r="G468" s="7">
        <v>23944999</v>
      </c>
      <c r="H468" s="7"/>
      <c r="I468" s="5"/>
      <c r="J468" s="5"/>
      <c r="K468" s="6" t="s">
        <v>717</v>
      </c>
      <c r="L468" s="5" t="str">
        <f>IFERROR(VLOOKUP(CONCATENATE(A468,"S"),[2]Hoja1!$B:$N,5,0)," ")</f>
        <v xml:space="preserve"> </v>
      </c>
      <c r="M468" s="6" t="str">
        <f>IFERROR(VLOOKUP(CONCATENATE(A468,"S"),[2]Hoja1!$B:$N,6,0)," ")</f>
        <v xml:space="preserve"> </v>
      </c>
      <c r="N468" s="4" t="str">
        <f t="shared" si="66"/>
        <v>PROVISIONAL</v>
      </c>
      <c r="O468" s="17" t="str">
        <f t="shared" si="67"/>
        <v>GARCIA CLAUDIA</v>
      </c>
      <c r="P468" s="4"/>
      <c r="Q468" s="4"/>
      <c r="R468">
        <v>6</v>
      </c>
      <c r="S468" t="str">
        <f t="shared" si="70"/>
        <v>6°3°6</v>
      </c>
    </row>
    <row r="469" spans="1:19" ht="18.75" hidden="1" customHeight="1">
      <c r="A469" s="3" t="str">
        <f t="shared" si="65"/>
        <v>6°3°6ESISCO</v>
      </c>
      <c r="B469" s="3" t="s">
        <v>635</v>
      </c>
      <c r="C469" s="3"/>
      <c r="D469" s="3" t="s">
        <v>485</v>
      </c>
      <c r="E469" s="3">
        <v>2625804</v>
      </c>
      <c r="F469" s="3" t="str">
        <f>VLOOKUP(D469,[1]Hoja1!$A:$K,11,0)</f>
        <v>SISTEMA DE COMUNICACIONES</v>
      </c>
      <c r="G469" s="7"/>
      <c r="H469" s="7"/>
      <c r="I469" s="5"/>
      <c r="J469" s="5"/>
      <c r="K469" s="6" t="s">
        <v>649</v>
      </c>
      <c r="L469" s="5" t="str">
        <f>IFERROR(VLOOKUP(CONCATENATE(A469,"S"),[2]Hoja1!$B:$N,5,0)," ")</f>
        <v xml:space="preserve"> </v>
      </c>
      <c r="M469" s="6" t="str">
        <f>IFERROR(VLOOKUP(CONCATENATE(A469,"S"),[2]Hoja1!$B:$N,6,0)," ")</f>
        <v xml:space="preserve"> </v>
      </c>
      <c r="N469" s="4" t="str">
        <f t="shared" si="66"/>
        <v>PROVISIONAL</v>
      </c>
      <c r="O469" s="17" t="str">
        <f t="shared" si="67"/>
        <v>PARTOR SOLORZANO</v>
      </c>
      <c r="P469" s="4"/>
      <c r="Q469" s="4"/>
      <c r="R469">
        <v>7</v>
      </c>
      <c r="S469" t="str">
        <f t="shared" si="70"/>
        <v>6°3°7</v>
      </c>
    </row>
    <row r="470" spans="1:19" ht="18.75" hidden="1" customHeight="1">
      <c r="A470" s="3" t="str">
        <f t="shared" si="65"/>
        <v>6°3°6EINSMA</v>
      </c>
      <c r="B470" s="3" t="s">
        <v>635</v>
      </c>
      <c r="C470" s="3"/>
      <c r="D470" s="3" t="s">
        <v>486</v>
      </c>
      <c r="E470" s="3">
        <v>2625811</v>
      </c>
      <c r="F470" s="3" t="str">
        <f>VLOOKUP(D470,[1]Hoja1!$A:$K,11,0)</f>
        <v>INSTALACIONES Y MAQUINAS ELECTRICAS</v>
      </c>
      <c r="G470" s="7"/>
      <c r="H470" s="7"/>
      <c r="I470" s="5"/>
      <c r="J470" s="5"/>
      <c r="K470" s="6" t="s">
        <v>724</v>
      </c>
      <c r="L470" s="5" t="str">
        <f>IFERROR(VLOOKUP(CONCATENATE(A470,"S"),[2]Hoja1!$B:$N,5,0)," ")</f>
        <v xml:space="preserve"> </v>
      </c>
      <c r="M470" s="6" t="str">
        <f>IFERROR(VLOOKUP(CONCATENATE(A470,"S"),[2]Hoja1!$B:$N,6,0)," ")</f>
        <v xml:space="preserve"> </v>
      </c>
      <c r="N470" s="4" t="str">
        <f t="shared" si="66"/>
        <v>PROVISIONAL</v>
      </c>
      <c r="O470" s="17" t="str">
        <f t="shared" si="67"/>
        <v>GUTIERREZ NICOLAS</v>
      </c>
      <c r="P470" s="4"/>
      <c r="Q470" s="4"/>
      <c r="R470">
        <v>8</v>
      </c>
      <c r="S470" t="str">
        <f t="shared" si="70"/>
        <v>6°3°8</v>
      </c>
    </row>
    <row r="471" spans="1:19" ht="18.75" hidden="1" customHeight="1">
      <c r="A471" s="3" t="str">
        <f t="shared" si="65"/>
        <v>6°3°6ESIPRO</v>
      </c>
      <c r="B471" s="3" t="s">
        <v>635</v>
      </c>
      <c r="C471" s="3"/>
      <c r="D471" s="3" t="s">
        <v>487</v>
      </c>
      <c r="E471" s="3">
        <v>2625816</v>
      </c>
      <c r="F471" s="3" t="str">
        <f>VLOOKUP(D471,[1]Hoja1!$A:$K,11,0)</f>
        <v>SISTEMA PRODUCTIVO</v>
      </c>
      <c r="G471" s="7"/>
      <c r="H471" s="7"/>
      <c r="I471" s="5"/>
      <c r="J471" s="5">
        <v>20257340253</v>
      </c>
      <c r="K471" s="6" t="s">
        <v>790</v>
      </c>
      <c r="L471" s="5" t="str">
        <f>IFERROR(VLOOKUP(CONCATENATE(A471,"S"),[2]Hoja1!$B:$N,5,0)," ")</f>
        <v xml:space="preserve"> </v>
      </c>
      <c r="M471" s="6" t="str">
        <f>IFERROR(VLOOKUP(CONCATENATE(A471,"S"),[2]Hoja1!$B:$N,6,0)," ")</f>
        <v xml:space="preserve"> </v>
      </c>
      <c r="N471" s="4" t="str">
        <f t="shared" si="66"/>
        <v>PROVISIONAL</v>
      </c>
      <c r="O471" s="17" t="str">
        <f t="shared" si="67"/>
        <v xml:space="preserve">IBARRA ALEJANDRO   </v>
      </c>
      <c r="P471" s="4"/>
      <c r="Q471" s="4"/>
      <c r="R471">
        <v>9</v>
      </c>
      <c r="S471" t="str">
        <f t="shared" si="70"/>
        <v>6°3°9</v>
      </c>
    </row>
    <row r="472" spans="1:19" ht="18.75" hidden="1" customHeight="1">
      <c r="A472" s="3" t="str">
        <f t="shared" si="65"/>
        <v>6°3°6EDETRA</v>
      </c>
      <c r="B472" s="3" t="s">
        <v>635</v>
      </c>
      <c r="C472" s="3"/>
      <c r="D472" s="3" t="s">
        <v>488</v>
      </c>
      <c r="E472" s="3">
        <v>2625823</v>
      </c>
      <c r="F472" s="3" t="str">
        <f>VLOOKUP(D472,[1]Hoja1!$A:$K,11,0)</f>
        <v>DERECHO DE TRABAJO</v>
      </c>
      <c r="G472" s="7"/>
      <c r="H472" s="7"/>
      <c r="I472" s="5"/>
      <c r="J472" s="5">
        <v>27370189299</v>
      </c>
      <c r="K472" s="6" t="s">
        <v>742</v>
      </c>
      <c r="L472" s="5" t="str">
        <f>IFERROR(VLOOKUP(CONCATENATE(A472,"S"),[2]Hoja1!$B:$N,5,0)," ")</f>
        <v xml:space="preserve"> </v>
      </c>
      <c r="M472" s="6" t="str">
        <f>IFERROR(VLOOKUP(CONCATENATE(A472,"S"),[2]Hoja1!$B:$N,6,0)," ")</f>
        <v xml:space="preserve"> </v>
      </c>
      <c r="N472" s="4" t="str">
        <f t="shared" si="66"/>
        <v>PROVISIONAL</v>
      </c>
      <c r="O472" s="17" t="str">
        <f t="shared" si="67"/>
        <v>IRIGOYTIA PECCORELLI JULIE</v>
      </c>
      <c r="P472" s="4"/>
      <c r="Q472" s="4"/>
      <c r="R472">
        <v>10</v>
      </c>
      <c r="S472" t="str">
        <f t="shared" si="70"/>
        <v>6°3°10</v>
      </c>
    </row>
    <row r="473" spans="1:19" ht="18.75" hidden="1" customHeight="1">
      <c r="A473" s="3" t="str">
        <f t="shared" si="65"/>
        <v>6°3°6316ELENE6</v>
      </c>
      <c r="B473" s="3" t="s">
        <v>635</v>
      </c>
      <c r="C473" s="3">
        <v>631</v>
      </c>
      <c r="D473" s="3" t="s">
        <v>489</v>
      </c>
      <c r="E473" s="3">
        <v>2625831</v>
      </c>
      <c r="F473" s="3" t="str">
        <f>VLOOKUP(D473,[1]Hoja1!$A:$K,11,0)</f>
        <v>LENGUAJES ELECTRONICOS</v>
      </c>
      <c r="G473" s="7"/>
      <c r="H473" s="7"/>
      <c r="I473" s="5"/>
      <c r="J473" s="5"/>
      <c r="K473" s="6" t="s">
        <v>642</v>
      </c>
      <c r="L473" s="5" t="str">
        <f>IFERROR(VLOOKUP(CONCATENATE(A473,"S"),[2]Hoja1!$B:$N,5,0)," ")</f>
        <v xml:space="preserve"> </v>
      </c>
      <c r="M473" s="6" t="str">
        <f>IFERROR(VLOOKUP(CONCATENATE(A473,"S"),[2]Hoja1!$B:$N,6,0)," ")</f>
        <v xml:space="preserve"> </v>
      </c>
      <c r="N473" s="4" t="str">
        <f t="shared" si="66"/>
        <v>PROVISIONAL</v>
      </c>
      <c r="O473" s="17" t="str">
        <f t="shared" si="67"/>
        <v xml:space="preserve">BARONI, ROBERTO </v>
      </c>
      <c r="P473" s="4"/>
      <c r="Q473" s="4"/>
      <c r="R473">
        <v>11</v>
      </c>
      <c r="S473" t="str">
        <f t="shared" si="70"/>
        <v>6°3°11</v>
      </c>
    </row>
    <row r="474" spans="1:19" ht="18.75" hidden="1" customHeight="1">
      <c r="A474" s="3" t="str">
        <f t="shared" si="65"/>
        <v>6°3°6316EFTAE6</v>
      </c>
      <c r="B474" s="3" t="s">
        <v>635</v>
      </c>
      <c r="C474" s="3">
        <v>631</v>
      </c>
      <c r="D474" s="3" t="s">
        <v>490</v>
      </c>
      <c r="E474" s="3">
        <v>2625837</v>
      </c>
      <c r="F474" s="3" t="str">
        <f>VLOOKUP(D474,[1]Hoja1!$A:$K,11,0)</f>
        <v>APLIC ELECT ANALOG</v>
      </c>
      <c r="G474" s="7"/>
      <c r="H474" s="7"/>
      <c r="I474" s="5"/>
      <c r="J474" s="5"/>
      <c r="K474" s="6" t="s">
        <v>724</v>
      </c>
      <c r="L474" s="5" t="str">
        <f>IFERROR(VLOOKUP(CONCATENATE(A474,"S"),[2]Hoja1!$B:$N,5,0)," ")</f>
        <v xml:space="preserve"> </v>
      </c>
      <c r="M474" s="6" t="str">
        <f>IFERROR(VLOOKUP(CONCATENATE(A474,"S"),[2]Hoja1!$B:$N,6,0)," ")</f>
        <v xml:space="preserve"> </v>
      </c>
      <c r="N474" s="4" t="str">
        <f t="shared" si="66"/>
        <v>PROVISIONAL</v>
      </c>
      <c r="O474" s="17" t="str">
        <f t="shared" si="67"/>
        <v>GUTIERREZ NICOLAS</v>
      </c>
      <c r="P474" s="4"/>
      <c r="Q474" s="4"/>
      <c r="R474">
        <v>12</v>
      </c>
      <c r="S474" t="str">
        <f t="shared" si="70"/>
        <v>6°3°12</v>
      </c>
    </row>
    <row r="475" spans="1:19" ht="18.75" hidden="1" customHeight="1">
      <c r="A475" s="3" t="str">
        <f t="shared" si="65"/>
        <v>6°3°6316EFTED6</v>
      </c>
      <c r="B475" s="3" t="s">
        <v>635</v>
      </c>
      <c r="C475" s="3">
        <v>631</v>
      </c>
      <c r="D475" s="3" t="s">
        <v>491</v>
      </c>
      <c r="E475" s="3">
        <v>2625846</v>
      </c>
      <c r="F475" s="3" t="str">
        <f>VLOOKUP(D475,[1]Hoja1!$A:$K,11,0)</f>
        <v xml:space="preserve">APLIC ELECTR DIGITAL </v>
      </c>
      <c r="G475" s="7"/>
      <c r="H475" s="7"/>
      <c r="I475" s="5"/>
      <c r="J475" s="5"/>
      <c r="K475" s="6" t="s">
        <v>285</v>
      </c>
      <c r="L475" s="5" t="str">
        <f>IFERROR(VLOOKUP(CONCATENATE(A475,"S"),[2]Hoja1!$B:$N,5,0)," ")</f>
        <v xml:space="preserve"> </v>
      </c>
      <c r="M475" s="6" t="str">
        <f>IFERROR(VLOOKUP(CONCATENATE(A475,"S"),[2]Hoja1!$B:$N,6,0)," ")</f>
        <v xml:space="preserve"> </v>
      </c>
      <c r="N475" s="4" t="str">
        <f t="shared" si="66"/>
        <v>PROVISIONAL</v>
      </c>
      <c r="O475" s="17" t="str">
        <f t="shared" si="67"/>
        <v xml:space="preserve">FISTER (Serv.Prov) </v>
      </c>
      <c r="P475" s="4"/>
      <c r="Q475" s="4"/>
      <c r="R475">
        <v>13</v>
      </c>
      <c r="S475" t="str">
        <f t="shared" si="70"/>
        <v>6°3°13</v>
      </c>
    </row>
    <row r="476" spans="1:19" ht="18.75" hidden="1" customHeight="1">
      <c r="A476" s="3" t="str">
        <f t="shared" si="65"/>
        <v>6°3°6316EFTMP6</v>
      </c>
      <c r="B476" s="3" t="s">
        <v>635</v>
      </c>
      <c r="C476" s="3">
        <v>631</v>
      </c>
      <c r="D476" s="3" t="s">
        <v>492</v>
      </c>
      <c r="E476" s="3">
        <v>2625254</v>
      </c>
      <c r="F476" s="3" t="str">
        <f>VLOOKUP(D476,[1]Hoja1!$A:$K,11,0)</f>
        <v xml:space="preserve">MONTAJE DE PROYECTO ELECTRONICOS </v>
      </c>
      <c r="G476" s="7"/>
      <c r="H476" s="7"/>
      <c r="I476" s="5"/>
      <c r="J476" s="5"/>
      <c r="K476" s="6" t="s">
        <v>724</v>
      </c>
      <c r="L476" s="5" t="str">
        <f>IFERROR(VLOOKUP(CONCATENATE(A476,"S"),[2]Hoja1!$B:$N,5,0)," ")</f>
        <v xml:space="preserve"> </v>
      </c>
      <c r="M476" s="6" t="str">
        <f>IFERROR(VLOOKUP(CONCATENATE(A476,"S"),[2]Hoja1!$B:$N,6,0)," ")</f>
        <v xml:space="preserve"> </v>
      </c>
      <c r="N476" s="4" t="str">
        <f t="shared" si="66"/>
        <v>PROVISIONAL</v>
      </c>
      <c r="O476" s="17" t="str">
        <f t="shared" si="67"/>
        <v>GUTIERREZ NICOLAS</v>
      </c>
      <c r="P476" s="4"/>
      <c r="Q476" s="4"/>
      <c r="R476">
        <v>14</v>
      </c>
      <c r="S476" t="str">
        <f t="shared" si="70"/>
        <v>6°3°14</v>
      </c>
    </row>
    <row r="477" spans="1:19" ht="18.75" hidden="1" customHeight="1">
      <c r="A477" s="3" t="str">
        <f t="shared" si="65"/>
        <v>6°3°6326ELENE6</v>
      </c>
      <c r="B477" s="3" t="s">
        <v>635</v>
      </c>
      <c r="C477" s="3">
        <v>632</v>
      </c>
      <c r="D477" s="3" t="s">
        <v>489</v>
      </c>
      <c r="E477" s="3">
        <v>2625861</v>
      </c>
      <c r="F477" s="3" t="str">
        <f>VLOOKUP(D477,[1]Hoja1!$A:$K,11,0)</f>
        <v>LENGUAJES ELECTRONICOS</v>
      </c>
      <c r="G477" s="7"/>
      <c r="H477" s="7"/>
      <c r="I477" s="5"/>
      <c r="J477" s="5"/>
      <c r="K477" s="6" t="s">
        <v>643</v>
      </c>
      <c r="L477" s="5" t="str">
        <f>IFERROR(VLOOKUP(CONCATENATE(A477,"S"),[2]Hoja1!$B:$N,5,0)," ")</f>
        <v xml:space="preserve"> </v>
      </c>
      <c r="M477" s="6" t="str">
        <f>IFERROR(VLOOKUP(CONCATENATE(A477,"S"),[2]Hoja1!$B:$N,6,0)," ")</f>
        <v xml:space="preserve"> </v>
      </c>
      <c r="N477" s="4" t="str">
        <f t="shared" si="66"/>
        <v>PROVISIONAL</v>
      </c>
      <c r="O477" s="17" t="str">
        <f t="shared" si="67"/>
        <v>HERRERA, STELLA</v>
      </c>
      <c r="P477" s="4"/>
      <c r="Q477" s="4"/>
      <c r="R477">
        <v>11</v>
      </c>
      <c r="S477" t="str">
        <f t="shared" si="70"/>
        <v>6°3°11</v>
      </c>
    </row>
    <row r="478" spans="1:19" ht="18.75" hidden="1" customHeight="1">
      <c r="A478" s="3" t="str">
        <f t="shared" si="65"/>
        <v>6°3°6326EFTAE6</v>
      </c>
      <c r="B478" s="3" t="s">
        <v>635</v>
      </c>
      <c r="C478" s="3">
        <v>632</v>
      </c>
      <c r="D478" s="3" t="s">
        <v>490</v>
      </c>
      <c r="E478" s="3">
        <v>2625867</v>
      </c>
      <c r="F478" s="3" t="str">
        <f>VLOOKUP(D478,[1]Hoja1!$A:$K,11,0)</f>
        <v>APLIC ELECT ANALOG</v>
      </c>
      <c r="G478" s="7"/>
      <c r="H478" s="7"/>
      <c r="I478" s="5"/>
      <c r="J478" s="5"/>
      <c r="K478" s="6" t="s">
        <v>644</v>
      </c>
      <c r="L478" s="5" t="str">
        <f>IFERROR(VLOOKUP(CONCATENATE(A478,"S"),[2]Hoja1!$B:$N,5,0)," ")</f>
        <v xml:space="preserve"> </v>
      </c>
      <c r="M478" s="6" t="str">
        <f>IFERROR(VLOOKUP(CONCATENATE(A478,"S"),[2]Hoja1!$B:$N,6,0)," ")</f>
        <v xml:space="preserve"> </v>
      </c>
      <c r="N478" s="4" t="str">
        <f t="shared" si="66"/>
        <v>PROVISIONAL</v>
      </c>
      <c r="O478" s="17" t="str">
        <f t="shared" si="67"/>
        <v>LOPEZ, JONATHAN</v>
      </c>
      <c r="P478" s="4"/>
      <c r="Q478" s="4"/>
      <c r="R478">
        <v>12</v>
      </c>
      <c r="S478" t="str">
        <f t="shared" si="70"/>
        <v>6°3°12</v>
      </c>
    </row>
    <row r="479" spans="1:19" ht="18.75" hidden="1" customHeight="1">
      <c r="A479" s="3" t="str">
        <f t="shared" si="65"/>
        <v>6°3°6326EFTED6</v>
      </c>
      <c r="B479" s="3" t="s">
        <v>635</v>
      </c>
      <c r="C479" s="3">
        <v>632</v>
      </c>
      <c r="D479" s="3" t="s">
        <v>491</v>
      </c>
      <c r="E479" s="3">
        <v>2625874</v>
      </c>
      <c r="F479" s="3" t="str">
        <f>VLOOKUP(D479,[1]Hoja1!$A:$K,11,0)</f>
        <v xml:space="preserve">APLIC ELECTR DIGITAL </v>
      </c>
      <c r="G479" s="7"/>
      <c r="H479" s="7"/>
      <c r="I479" s="5"/>
      <c r="J479" s="5"/>
      <c r="K479" s="6" t="s">
        <v>645</v>
      </c>
      <c r="L479" s="5" t="str">
        <f>IFERROR(VLOOKUP(CONCATENATE(A479,"S"),[2]Hoja1!$B:$N,5,0)," ")</f>
        <v xml:space="preserve"> </v>
      </c>
      <c r="M479" s="6" t="str">
        <f>IFERROR(VLOOKUP(CONCATENATE(A479,"S"),[2]Hoja1!$B:$N,6,0)," ")</f>
        <v xml:space="preserve"> </v>
      </c>
      <c r="N479" s="4" t="str">
        <f t="shared" si="66"/>
        <v>PROVISIONAL</v>
      </c>
      <c r="O479" s="17" t="str">
        <f t="shared" si="67"/>
        <v>GONANO, GERMAN S</v>
      </c>
      <c r="P479" s="4"/>
      <c r="Q479" s="4" t="s">
        <v>640</v>
      </c>
      <c r="R479">
        <v>13</v>
      </c>
      <c r="S479" t="str">
        <f t="shared" si="70"/>
        <v>6°3°13</v>
      </c>
    </row>
    <row r="480" spans="1:19" ht="18.75" hidden="1" customHeight="1">
      <c r="A480" s="3" t="str">
        <f t="shared" si="65"/>
        <v>6°3°6326EFTMP6</v>
      </c>
      <c r="B480" s="3" t="s">
        <v>635</v>
      </c>
      <c r="C480" s="3">
        <v>632</v>
      </c>
      <c r="D480" s="3" t="s">
        <v>492</v>
      </c>
      <c r="E480" s="3">
        <v>2625876</v>
      </c>
      <c r="F480" s="3" t="str">
        <f>VLOOKUP(D480,[1]Hoja1!$A:$K,11,0)</f>
        <v xml:space="preserve">MONTAJE DE PROYECTO ELECTRONICOS </v>
      </c>
      <c r="G480" s="7"/>
      <c r="H480" s="7"/>
      <c r="I480" s="5"/>
      <c r="J480" s="5"/>
      <c r="K480" s="6" t="s">
        <v>724</v>
      </c>
      <c r="L480" s="5" t="str">
        <f>IFERROR(VLOOKUP(CONCATENATE(A480,"S"),[2]Hoja1!$B:$N,5,0)," ")</f>
        <v xml:space="preserve"> </v>
      </c>
      <c r="M480" s="6" t="str">
        <f>IFERROR(VLOOKUP(CONCATENATE(A480,"S"),[2]Hoja1!$B:$N,6,0)," ")</f>
        <v xml:space="preserve"> </v>
      </c>
      <c r="N480" s="4" t="str">
        <f t="shared" si="66"/>
        <v>PROVISIONAL</v>
      </c>
      <c r="O480" s="17" t="str">
        <f t="shared" si="67"/>
        <v>GUTIERREZ NICOLAS</v>
      </c>
      <c r="P480" s="4"/>
      <c r="Q480" s="4"/>
      <c r="R480">
        <v>14</v>
      </c>
      <c r="S480" t="str">
        <f t="shared" si="70"/>
        <v>6°3°14</v>
      </c>
    </row>
    <row r="481" spans="1:19" ht="18.75" hidden="1" customHeight="1">
      <c r="A481" s="3" t="str">
        <f t="shared" ref="A481:A493" si="71">CONCATENATE(B481,C481,D481)</f>
        <v>7°3°7IPPDLO</v>
      </c>
      <c r="B481" s="3" t="s">
        <v>725</v>
      </c>
      <c r="C481" s="3"/>
      <c r="D481" s="3" t="s">
        <v>496</v>
      </c>
      <c r="E481" s="3">
        <v>2775762</v>
      </c>
      <c r="F481" s="3" t="str">
        <f>VLOOKUP(D481,[1]Hoja1!$A:$K,11,0)</f>
        <v>EMPRENDIMIENTO PRODUCTIVO Y DESARROLLO LOCAL</v>
      </c>
      <c r="G481" s="7"/>
      <c r="H481" s="7"/>
      <c r="I481" s="5"/>
      <c r="J481" s="5" t="s">
        <v>727</v>
      </c>
      <c r="K481" s="6" t="s">
        <v>726</v>
      </c>
      <c r="L481" s="5"/>
      <c r="M481" s="6" t="str">
        <f>IFERROR(VLOOKUP(CONCATENATE(A481,"S"),[2]Hoja1!$B:$N,6,0)," ")</f>
        <v xml:space="preserve"> </v>
      </c>
      <c r="N481" s="4" t="str">
        <f t="shared" si="66"/>
        <v>PROVISIONAL</v>
      </c>
      <c r="O481" s="17" t="str">
        <f t="shared" ref="O481:O493" si="72">IF((M481)=" ",IF(COUNTBLANK(K481),I481,K481),M481)</f>
        <v xml:space="preserve">ROCHA JULIETA </v>
      </c>
      <c r="P481" s="4"/>
      <c r="Q481" s="4"/>
    </row>
    <row r="482" spans="1:19" ht="18.75" hidden="1" customHeight="1">
      <c r="A482" s="3" t="str">
        <f t="shared" si="71"/>
        <v>7°3°7IEVPRO</v>
      </c>
      <c r="B482" s="3" t="s">
        <v>725</v>
      </c>
      <c r="C482" s="3"/>
      <c r="D482" s="3" t="s">
        <v>497</v>
      </c>
      <c r="E482" s="3">
        <v>2775764</v>
      </c>
      <c r="F482" s="3" t="str">
        <f>VLOOKUP(D482,[1]Hoja1!$A:$K,11,0)</f>
        <v>EVALUACION DE PROYECTO</v>
      </c>
      <c r="G482" s="7"/>
      <c r="H482" s="7"/>
      <c r="I482" s="5"/>
      <c r="J482" s="5" t="s">
        <v>727</v>
      </c>
      <c r="K482" s="6" t="s">
        <v>726</v>
      </c>
      <c r="L482" s="5"/>
      <c r="M482" s="6" t="str">
        <f>IFERROR(VLOOKUP(CONCATENATE(A482,"S"),[2]Hoja1!$B:$N,6,0)," ")</f>
        <v xml:space="preserve"> </v>
      </c>
      <c r="N482" s="4" t="str">
        <f t="shared" si="66"/>
        <v>PROVISIONAL</v>
      </c>
      <c r="O482" s="17" t="str">
        <f t="shared" si="72"/>
        <v xml:space="preserve">ROCHA JULIETA </v>
      </c>
      <c r="P482" s="4"/>
      <c r="Q482" s="4"/>
    </row>
    <row r="483" spans="1:19" ht="18.75" hidden="1" customHeight="1">
      <c r="A483" s="3" t="str">
        <f t="shared" si="71"/>
        <v>7°3°7IMOSIS</v>
      </c>
      <c r="B483" s="3" t="s">
        <v>725</v>
      </c>
      <c r="C483" s="3"/>
      <c r="D483" s="3" t="s">
        <v>498</v>
      </c>
      <c r="E483" s="3">
        <v>2775766</v>
      </c>
      <c r="F483" s="3" t="str">
        <f>VLOOKUP(D483,[1]Hoja1!$A:$K,11,0)</f>
        <v>MODELOS Y SISTEMAS</v>
      </c>
      <c r="G483" s="7"/>
      <c r="H483" s="7"/>
      <c r="I483" s="5"/>
      <c r="J483" s="5" t="s">
        <v>729</v>
      </c>
      <c r="K483" s="6" t="s">
        <v>728</v>
      </c>
      <c r="L483" s="5"/>
      <c r="M483" s="6" t="str">
        <f>IFERROR(VLOOKUP(CONCATENATE(A483,"S"),[2]Hoja1!$B:$N,6,0)," ")</f>
        <v xml:space="preserve"> </v>
      </c>
      <c r="N483" s="4" t="str">
        <f t="shared" si="66"/>
        <v>PROVISIONAL</v>
      </c>
      <c r="O483" s="17" t="str">
        <f t="shared" si="72"/>
        <v xml:space="preserve">MONTENEGRO CLAUDIA </v>
      </c>
      <c r="P483" s="4"/>
      <c r="Q483" s="4"/>
    </row>
    <row r="484" spans="1:19" ht="18.75" hidden="1" customHeight="1">
      <c r="A484" s="3" t="str">
        <f t="shared" si="71"/>
        <v>7°3°7IBADAT</v>
      </c>
      <c r="B484" s="3" t="s">
        <v>725</v>
      </c>
      <c r="C484" s="3"/>
      <c r="D484" s="3" t="s">
        <v>499</v>
      </c>
      <c r="E484" s="3">
        <v>2775768</v>
      </c>
      <c r="F484" s="3" t="str">
        <f>VLOOKUP(D484,[1]Hoja1!$A:$K,11,0)</f>
        <v>BASE DE DATOS</v>
      </c>
      <c r="G484" s="7"/>
      <c r="H484" s="7"/>
      <c r="I484" s="5"/>
      <c r="J484" s="5" t="s">
        <v>731</v>
      </c>
      <c r="K484" s="6" t="s">
        <v>730</v>
      </c>
      <c r="L484" s="5"/>
      <c r="M484" s="6" t="str">
        <f>IFERROR(VLOOKUP(CONCATENATE(A484,"S"),[2]Hoja1!$B:$N,6,0)," ")</f>
        <v xml:space="preserve"> </v>
      </c>
      <c r="N484" s="4" t="str">
        <f t="shared" si="66"/>
        <v>PROVISIONAL</v>
      </c>
      <c r="O484" s="17" t="str">
        <f t="shared" si="72"/>
        <v xml:space="preserve">WITT GERARDO </v>
      </c>
      <c r="P484" s="4"/>
      <c r="Q484" s="4"/>
    </row>
    <row r="485" spans="1:19" ht="18.75" hidden="1" customHeight="1">
      <c r="A485" s="3" t="str">
        <f t="shared" si="71"/>
        <v>7°3°7317IPPSIN</v>
      </c>
      <c r="B485" s="3" t="s">
        <v>725</v>
      </c>
      <c r="C485" s="3">
        <v>731</v>
      </c>
      <c r="D485" s="3" t="s">
        <v>495</v>
      </c>
      <c r="E485" s="3">
        <v>2775770</v>
      </c>
      <c r="F485" s="3" t="str">
        <f>VLOOKUP(D485,[1]Hoja1!$A:$K,11,0)</f>
        <v>PRACTICAS PROFESIONALIZANTES</v>
      </c>
      <c r="G485" s="7"/>
      <c r="H485" s="7"/>
      <c r="I485" s="5"/>
      <c r="J485" s="5" t="s">
        <v>733</v>
      </c>
      <c r="K485" s="6" t="s">
        <v>732</v>
      </c>
      <c r="L485" s="5"/>
      <c r="M485" s="6" t="str">
        <f>IFERROR(VLOOKUP(CONCATENATE(A485,"S"),[2]Hoja1!$B:$N,6,0)," ")</f>
        <v xml:space="preserve"> </v>
      </c>
      <c r="N485" s="4" t="str">
        <f t="shared" si="66"/>
        <v>PROVISIONAL</v>
      </c>
      <c r="O485" s="17" t="str">
        <f t="shared" si="72"/>
        <v xml:space="preserve">PAZ DANIEL                </v>
      </c>
      <c r="P485" s="4"/>
      <c r="Q485" s="4"/>
    </row>
    <row r="486" spans="1:19" ht="18.75" hidden="1" customHeight="1">
      <c r="A486" s="3" t="str">
        <f t="shared" si="71"/>
        <v>7°3°7317IPDISC</v>
      </c>
      <c r="B486" s="3" t="s">
        <v>725</v>
      </c>
      <c r="C486" s="3">
        <v>731</v>
      </c>
      <c r="D486" s="3" t="s">
        <v>500</v>
      </c>
      <c r="E486" s="3">
        <v>2775772</v>
      </c>
      <c r="F486" s="3" t="str">
        <f>VLOOKUP(D486,[1]Hoja1!$A:$K,11,0)</f>
        <v>PROYECTO, DISEÑO E IMPLEMENTACION DE SISTEMAS COMPUTACIONALES</v>
      </c>
      <c r="G486" s="7"/>
      <c r="H486" s="7"/>
      <c r="I486" s="5"/>
      <c r="J486" s="5" t="s">
        <v>735</v>
      </c>
      <c r="K486" s="6" t="s">
        <v>734</v>
      </c>
      <c r="L486" s="5"/>
      <c r="M486" s="6" t="str">
        <f>IFERROR(VLOOKUP(CONCATENATE(A486,"S"),[2]Hoja1!$B:$N,6,0)," ")</f>
        <v xml:space="preserve"> </v>
      </c>
      <c r="N486" s="4" t="str">
        <f t="shared" si="66"/>
        <v>PROVISIONAL</v>
      </c>
      <c r="O486" s="17" t="str">
        <f t="shared" si="72"/>
        <v>GUTIERREZ ANGEL</v>
      </c>
      <c r="P486" s="4"/>
      <c r="Q486" s="4"/>
    </row>
    <row r="487" spans="1:19" ht="18.75" hidden="1" customHeight="1">
      <c r="A487" s="3" t="str">
        <f t="shared" si="71"/>
        <v>7°3°7317IIMRSC</v>
      </c>
      <c r="B487" s="3" t="s">
        <v>725</v>
      </c>
      <c r="C487" s="3">
        <v>731</v>
      </c>
      <c r="D487" s="3" t="s">
        <v>502</v>
      </c>
      <c r="E487" s="3">
        <v>2775774</v>
      </c>
      <c r="F487" s="3" t="str">
        <f>VLOOKUP(D487,[1]Hoja1!$A:$K,11,0)</f>
        <v>INSTALACION, MANTENIMIENTO Y REPARACION DE SISTEMAS COMPUTACIONALES-</v>
      </c>
      <c r="G487" s="7"/>
      <c r="H487" s="7"/>
      <c r="I487" s="5"/>
      <c r="J487" s="5">
        <v>20274642913</v>
      </c>
      <c r="K487" s="6" t="s">
        <v>752</v>
      </c>
      <c r="L487" s="5"/>
      <c r="M487" s="6" t="str">
        <f>IFERROR(VLOOKUP(CONCATENATE(A487,"S"),[2]Hoja1!$B:$N,6,0)," ")</f>
        <v xml:space="preserve"> </v>
      </c>
      <c r="N487" s="4" t="str">
        <f t="shared" si="66"/>
        <v>PROVISIONAL</v>
      </c>
      <c r="O487" s="17" t="str">
        <f t="shared" si="72"/>
        <v xml:space="preserve"> GUZZO HUGO DANIEL</v>
      </c>
      <c r="P487" s="4"/>
      <c r="Q487" s="4"/>
    </row>
    <row r="488" spans="1:19" ht="18.75" hidden="1" customHeight="1">
      <c r="A488" s="3" t="str">
        <f t="shared" si="71"/>
        <v>7°3°7317IIMRRI</v>
      </c>
      <c r="B488" s="3" t="s">
        <v>725</v>
      </c>
      <c r="C488" s="3">
        <v>731</v>
      </c>
      <c r="D488" s="3" t="s">
        <v>503</v>
      </c>
      <c r="E488" s="3">
        <v>2775776</v>
      </c>
      <c r="F488" s="3" t="str">
        <f>VLOOKUP(D488,[1]Hoja1!$A:$K,11,0)</f>
        <v xml:space="preserve">INSTALACION, MANTENIMIENTO Y REPARACION DE REDES INFORMATICAS- </v>
      </c>
      <c r="G488" s="7"/>
      <c r="H488" s="7"/>
      <c r="I488" s="5"/>
      <c r="J488" s="5" t="s">
        <v>737</v>
      </c>
      <c r="K488" s="6" t="s">
        <v>736</v>
      </c>
      <c r="L488" s="5"/>
      <c r="M488" s="6" t="str">
        <f>IFERROR(VLOOKUP(CONCATENATE(A488,"S"),[2]Hoja1!$B:$N,6,0)," ")</f>
        <v xml:space="preserve"> </v>
      </c>
      <c r="N488" s="4" t="str">
        <f t="shared" si="66"/>
        <v>PROVISIONAL</v>
      </c>
      <c r="O488" s="17" t="str">
        <f t="shared" si="72"/>
        <v xml:space="preserve">BECERRO MARIO </v>
      </c>
      <c r="P488" s="4"/>
      <c r="Q488" s="4"/>
    </row>
    <row r="489" spans="1:19" ht="18.75" hidden="1" customHeight="1">
      <c r="A489" s="3" t="str">
        <f>CONCATENATE(B489,C489,D489)</f>
        <v>7°3°7327IPPSIN</v>
      </c>
      <c r="B489" s="3" t="s">
        <v>725</v>
      </c>
      <c r="C489" s="3">
        <v>732</v>
      </c>
      <c r="D489" s="3" t="s">
        <v>495</v>
      </c>
      <c r="E489" s="3">
        <v>2775778</v>
      </c>
      <c r="F489" s="3" t="str">
        <f>VLOOKUP(D489,[1]Hoja1!$A:$K,11,0)</f>
        <v>PRACTICAS PROFESIONALIZANTES</v>
      </c>
      <c r="G489" s="7"/>
      <c r="H489" s="7"/>
      <c r="I489" s="5"/>
      <c r="J489" s="5" t="s">
        <v>733</v>
      </c>
      <c r="K489" s="6" t="s">
        <v>732</v>
      </c>
      <c r="L489" s="5"/>
      <c r="M489" s="6" t="str">
        <f>IFERROR(VLOOKUP(CONCATENATE(A489,"S"),[2]Hoja1!$B:$N,6,0)," ")</f>
        <v xml:space="preserve"> </v>
      </c>
      <c r="N489" s="4" t="str">
        <f t="shared" si="66"/>
        <v>PROVISIONAL</v>
      </c>
      <c r="O489" s="17" t="str">
        <f t="shared" si="72"/>
        <v xml:space="preserve">PAZ DANIEL                </v>
      </c>
      <c r="P489" s="4"/>
      <c r="Q489" s="4"/>
    </row>
    <row r="490" spans="1:19" ht="18.75" hidden="1" customHeight="1">
      <c r="A490" s="3" t="str">
        <f t="shared" si="71"/>
        <v>7°3°7327IPDISC</v>
      </c>
      <c r="B490" s="3" t="s">
        <v>725</v>
      </c>
      <c r="C490" s="3">
        <v>732</v>
      </c>
      <c r="D490" s="3" t="s">
        <v>500</v>
      </c>
      <c r="E490" s="3">
        <v>2775780</v>
      </c>
      <c r="F490" s="3" t="str">
        <f>VLOOKUP(D490,[1]Hoja1!$A:$K,11,0)</f>
        <v>PROYECTO, DISEÑO E IMPLEMENTACION DE SISTEMAS COMPUTACIONALES</v>
      </c>
      <c r="G490" s="7"/>
      <c r="H490" s="7"/>
      <c r="I490" s="5"/>
      <c r="J490" s="5" t="s">
        <v>735</v>
      </c>
      <c r="K490" s="6" t="s">
        <v>734</v>
      </c>
      <c r="L490" s="5"/>
      <c r="M490" s="6" t="str">
        <f>IFERROR(VLOOKUP(CONCATENATE(A490,"S"),[2]Hoja1!$B:$N,6,0)," ")</f>
        <v xml:space="preserve"> </v>
      </c>
      <c r="N490" s="4" t="str">
        <f t="shared" si="66"/>
        <v>PROVISIONAL</v>
      </c>
      <c r="O490" s="17" t="str">
        <f t="shared" si="72"/>
        <v>GUTIERREZ ANGEL</v>
      </c>
      <c r="P490" s="4"/>
      <c r="Q490" s="4"/>
    </row>
    <row r="491" spans="1:19" ht="45.75" hidden="1" customHeight="1">
      <c r="A491" s="3" t="str">
        <f t="shared" si="71"/>
        <v>7°3°7327IIMRSC</v>
      </c>
      <c r="B491" s="3" t="s">
        <v>725</v>
      </c>
      <c r="C491" s="3">
        <v>732</v>
      </c>
      <c r="D491" s="3" t="s">
        <v>502</v>
      </c>
      <c r="E491" s="3">
        <v>2775781</v>
      </c>
      <c r="F491" s="3" t="str">
        <f>VLOOKUP(D491,[1]Hoja1!$A:$K,11,0)</f>
        <v>INSTALACION, MANTENIMIENTO Y REPARACION DE SISTEMAS COMPUTACIONALES-</v>
      </c>
      <c r="G491" s="7"/>
      <c r="H491" s="7"/>
      <c r="I491" s="5"/>
      <c r="J491" s="5" t="s">
        <v>719</v>
      </c>
      <c r="K491" s="6" t="s">
        <v>718</v>
      </c>
      <c r="L491" s="5"/>
      <c r="M491" s="6" t="str">
        <f>IFERROR(VLOOKUP(CONCATENATE(A491,"S"),[2]Hoja1!$B:$N,6,0)," ")</f>
        <v xml:space="preserve"> </v>
      </c>
      <c r="N491" s="4" t="str">
        <f t="shared" si="66"/>
        <v>PROVISIONAL</v>
      </c>
      <c r="O491" s="17" t="str">
        <f t="shared" si="72"/>
        <v>VILLALVA ESTEBAN</v>
      </c>
      <c r="P491" s="4"/>
      <c r="Q491" s="4"/>
    </row>
    <row r="492" spans="1:19" ht="20.25" hidden="1" customHeight="1">
      <c r="A492" s="3" t="str">
        <f t="shared" si="71"/>
        <v>7°3°7327IIMRRI</v>
      </c>
      <c r="B492" s="3" t="s">
        <v>725</v>
      </c>
      <c r="C492" s="3">
        <v>732</v>
      </c>
      <c r="D492" s="3" t="s">
        <v>503</v>
      </c>
      <c r="E492" s="3">
        <v>2775788</v>
      </c>
      <c r="F492" s="3" t="str">
        <f>VLOOKUP(D492,[1]Hoja1!$A:$K,11,0)</f>
        <v xml:space="preserve">INSTALACION, MANTENIMIENTO Y REPARACION DE REDES INFORMATICAS- </v>
      </c>
      <c r="G492" s="7"/>
      <c r="H492" s="7"/>
      <c r="I492" s="5"/>
      <c r="J492" s="5" t="s">
        <v>737</v>
      </c>
      <c r="K492" s="6" t="s">
        <v>736</v>
      </c>
      <c r="L492" s="5"/>
      <c r="M492" s="6" t="str">
        <f>IFERROR(VLOOKUP(CONCATENATE(A492,"S"),[2]Hoja1!$B:$N,6,0)," ")</f>
        <v xml:space="preserve"> </v>
      </c>
      <c r="N492" s="4" t="str">
        <f t="shared" si="66"/>
        <v>PROVISIONAL</v>
      </c>
      <c r="O492" s="17" t="str">
        <f t="shared" si="72"/>
        <v xml:space="preserve">BECERRO MARIO </v>
      </c>
      <c r="P492" s="4"/>
      <c r="Q492" s="4"/>
    </row>
    <row r="493" spans="1:19" ht="18.75" hidden="1" customHeight="1">
      <c r="A493" s="3" t="str">
        <f t="shared" si="71"/>
        <v>7°1°7127IPPSIN</v>
      </c>
      <c r="B493" s="3" t="s">
        <v>494</v>
      </c>
      <c r="C493" s="3">
        <v>712</v>
      </c>
      <c r="D493" s="3" t="s">
        <v>495</v>
      </c>
      <c r="E493" s="3">
        <v>2779867</v>
      </c>
      <c r="F493" s="3" t="str">
        <f>VLOOKUP(D493,[1]Hoja1!$A:$K,11,0)</f>
        <v>PRACTICAS PROFESIONALIZANTES</v>
      </c>
      <c r="G493" s="7"/>
      <c r="H493" s="7"/>
      <c r="I493" s="5"/>
      <c r="J493" s="5"/>
      <c r="K493" s="6" t="s">
        <v>659</v>
      </c>
      <c r="L493" s="5" t="str">
        <f>IFERROR(VLOOKUP(CONCATENATE(A493,"S"),[2]Hoja1!$B:$N,5,0)," ")</f>
        <v xml:space="preserve"> </v>
      </c>
      <c r="M493" s="6" t="str">
        <f>IFERROR(VLOOKUP(CONCATENATE(A493,"S"),[2]Hoja1!$B:$N,6,0)," ")</f>
        <v xml:space="preserve"> </v>
      </c>
      <c r="N493" s="4" t="str">
        <f t="shared" si="66"/>
        <v>PROVISIONAL</v>
      </c>
      <c r="O493" s="17" t="str">
        <f t="shared" si="72"/>
        <v>DANIEL PAZ</v>
      </c>
      <c r="P493" s="4" t="str">
        <f>IF(O493="vacante","vacante",IFERROR(IF(VLOOKUP(IF((M493)=" ",IF(COUNTBLANK(K493),I493,K493),M493),[3]Hoja1!$B:$I,4,0)="licencia","vacante"," ")," "))</f>
        <v xml:space="preserve"> </v>
      </c>
      <c r="Q493" s="4"/>
      <c r="R493">
        <f t="shared" ref="R493" si="73">IF(B493=B492,R492+1,1)</f>
        <v>1</v>
      </c>
      <c r="S493" t="str">
        <f t="shared" ref="S493" si="74">CONCATENATE(B493,R493)</f>
        <v>7°1°1</v>
      </c>
    </row>
    <row r="494" spans="1:19" ht="21.75" customHeight="1">
      <c r="K494" s="6"/>
    </row>
  </sheetData>
  <autoFilter ref="A1:T493">
    <filterColumn colId="1">
      <filters>
        <filter val="3°1°"/>
      </filters>
    </filterColumn>
    <sortState ref="A300:T438">
      <sortCondition descending="1" ref="K1:K492"/>
    </sortState>
  </autoFilter>
  <sortState ref="A10:T69">
    <sortCondition ref="D2:D492"/>
  </sortState>
  <pageMargins left="0.27559055118110237" right="7.874015748031496E-2" top="0.74803149606299213" bottom="0.74803149606299213" header="0.31496062992125984" footer="0.31496062992125984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F19" sqref="F19"/>
    </sheetView>
  </sheetViews>
  <sheetFormatPr baseColWidth="10" defaultRowHeight="15"/>
  <cols>
    <col min="1" max="1" width="9.85546875" bestFit="1" customWidth="1"/>
    <col min="2" max="2" width="11.5703125" bestFit="1" customWidth="1"/>
    <col min="3" max="3" width="4.42578125" bestFit="1" customWidth="1"/>
    <col min="4" max="4" width="9" bestFit="1" customWidth="1"/>
    <col min="5" max="5" width="8.5703125" bestFit="1" customWidth="1"/>
    <col min="6" max="6" width="8" bestFit="1" customWidth="1"/>
    <col min="7" max="7" width="31.85546875" bestFit="1" customWidth="1"/>
    <col min="8" max="8" width="15.85546875" bestFit="1" customWidth="1"/>
    <col min="9" max="9" width="23.28515625" bestFit="1" customWidth="1"/>
    <col min="10" max="10" width="29" bestFit="1" customWidth="1"/>
    <col min="11" max="11" width="15.85546875" bestFit="1" customWidth="1"/>
    <col min="12" max="12" width="35.5703125" bestFit="1" customWidth="1"/>
    <col min="13" max="13" width="6.140625" bestFit="1" customWidth="1"/>
    <col min="14" max="14" width="22.5703125" bestFit="1" customWidth="1"/>
    <col min="15" max="15" width="14" bestFit="1" customWidth="1"/>
    <col min="16" max="16" width="35.5703125" bestFit="1" customWidth="1"/>
  </cols>
  <sheetData>
    <row r="1" spans="1:16">
      <c r="A1" s="4" t="s">
        <v>547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>
      <c r="A2" s="4" t="s">
        <v>548</v>
      </c>
      <c r="B2" s="4" t="s">
        <v>516</v>
      </c>
      <c r="C2" s="4" t="s">
        <v>111</v>
      </c>
      <c r="D2" s="4"/>
      <c r="E2" s="4" t="s">
        <v>16</v>
      </c>
      <c r="F2" s="4">
        <v>2081777</v>
      </c>
      <c r="G2" s="4" t="s">
        <v>517</v>
      </c>
      <c r="H2" s="4" t="s">
        <v>112</v>
      </c>
      <c r="I2" s="4"/>
      <c r="J2" s="4" t="s">
        <v>113</v>
      </c>
      <c r="K2" s="4"/>
      <c r="L2" s="4"/>
      <c r="M2" s="4">
        <v>0</v>
      </c>
      <c r="N2" s="4" t="s">
        <v>518</v>
      </c>
      <c r="O2" s="4" t="s">
        <v>519</v>
      </c>
      <c r="P2" s="4" t="s">
        <v>518</v>
      </c>
    </row>
    <row r="3" spans="1:16">
      <c r="A3" s="4" t="s">
        <v>548</v>
      </c>
      <c r="B3" s="4" t="s">
        <v>520</v>
      </c>
      <c r="C3" s="4" t="s">
        <v>111</v>
      </c>
      <c r="D3" s="4"/>
      <c r="E3" s="4" t="s">
        <v>20</v>
      </c>
      <c r="F3" s="4">
        <v>2081791</v>
      </c>
      <c r="G3" s="4" t="s">
        <v>521</v>
      </c>
      <c r="H3" s="4" t="s">
        <v>114</v>
      </c>
      <c r="I3" s="4"/>
      <c r="J3" s="4" t="s">
        <v>115</v>
      </c>
      <c r="K3" s="4"/>
      <c r="L3" s="4"/>
      <c r="M3" s="4" t="s">
        <v>522</v>
      </c>
      <c r="N3" s="4" t="s">
        <v>522</v>
      </c>
      <c r="O3" s="4" t="s">
        <v>523</v>
      </c>
      <c r="P3" s="4" t="s">
        <v>115</v>
      </c>
    </row>
    <row r="4" spans="1:16">
      <c r="A4" s="4" t="s">
        <v>548</v>
      </c>
      <c r="B4" s="4" t="s">
        <v>524</v>
      </c>
      <c r="C4" s="4" t="s">
        <v>111</v>
      </c>
      <c r="D4" s="4"/>
      <c r="E4" s="4" t="s">
        <v>21</v>
      </c>
      <c r="F4" s="4">
        <v>2081795</v>
      </c>
      <c r="G4" s="4" t="s">
        <v>525</v>
      </c>
      <c r="H4" s="4"/>
      <c r="I4" s="4"/>
      <c r="J4" s="4"/>
      <c r="K4" s="4" t="s">
        <v>116</v>
      </c>
      <c r="L4" s="4" t="s">
        <v>117</v>
      </c>
      <c r="M4" s="4" t="s">
        <v>522</v>
      </c>
      <c r="N4" s="4" t="s">
        <v>522</v>
      </c>
      <c r="O4" s="4" t="s">
        <v>526</v>
      </c>
      <c r="P4" s="4" t="s">
        <v>117</v>
      </c>
    </row>
    <row r="5" spans="1:16">
      <c r="A5" s="4" t="s">
        <v>548</v>
      </c>
      <c r="B5" s="4" t="s">
        <v>527</v>
      </c>
      <c r="C5" s="4" t="s">
        <v>111</v>
      </c>
      <c r="D5" s="4"/>
      <c r="E5" s="4" t="s">
        <v>23</v>
      </c>
      <c r="F5" s="4">
        <v>2081800</v>
      </c>
      <c r="G5" s="4" t="s">
        <v>528</v>
      </c>
      <c r="H5" s="4" t="s">
        <v>118</v>
      </c>
      <c r="I5" s="4" t="s">
        <v>119</v>
      </c>
      <c r="J5" s="4" t="s">
        <v>120</v>
      </c>
      <c r="K5" s="4"/>
      <c r="L5" s="4"/>
      <c r="M5" s="4" t="s">
        <v>522</v>
      </c>
      <c r="N5" s="4" t="s">
        <v>522</v>
      </c>
      <c r="O5" s="4" t="s">
        <v>523</v>
      </c>
      <c r="P5" s="4" t="s">
        <v>120</v>
      </c>
    </row>
    <row r="6" spans="1:16">
      <c r="A6" s="4" t="s">
        <v>548</v>
      </c>
      <c r="B6" s="4" t="s">
        <v>529</v>
      </c>
      <c r="C6" s="4" t="s">
        <v>111</v>
      </c>
      <c r="D6" s="4"/>
      <c r="E6" s="4" t="s">
        <v>26</v>
      </c>
      <c r="F6" s="4">
        <v>2081806</v>
      </c>
      <c r="G6" s="4" t="s">
        <v>530</v>
      </c>
      <c r="H6" s="4"/>
      <c r="I6" s="4"/>
      <c r="J6" s="4"/>
      <c r="K6" s="4">
        <v>31839939</v>
      </c>
      <c r="L6" s="4" t="s">
        <v>121</v>
      </c>
      <c r="M6" s="4" t="s">
        <v>522</v>
      </c>
      <c r="N6" s="4" t="s">
        <v>522</v>
      </c>
      <c r="O6" s="4" t="s">
        <v>526</v>
      </c>
      <c r="P6" s="4" t="s">
        <v>121</v>
      </c>
    </row>
    <row r="7" spans="1:16">
      <c r="A7" s="4" t="s">
        <v>548</v>
      </c>
      <c r="B7" s="4" t="s">
        <v>531</v>
      </c>
      <c r="C7" s="4" t="s">
        <v>111</v>
      </c>
      <c r="D7" s="4"/>
      <c r="E7" s="4" t="s">
        <v>29</v>
      </c>
      <c r="F7" s="4">
        <v>2081809</v>
      </c>
      <c r="G7" s="4" t="s">
        <v>532</v>
      </c>
      <c r="H7" s="4" t="s">
        <v>122</v>
      </c>
      <c r="I7" s="4"/>
      <c r="J7" s="4" t="s">
        <v>123</v>
      </c>
      <c r="K7" s="4"/>
      <c r="L7" s="4"/>
      <c r="M7" s="4" t="s">
        <v>522</v>
      </c>
      <c r="N7" s="4" t="s">
        <v>522</v>
      </c>
      <c r="O7" s="4" t="s">
        <v>523</v>
      </c>
      <c r="P7" s="4" t="s">
        <v>123</v>
      </c>
    </row>
    <row r="8" spans="1:16">
      <c r="A8" s="4" t="s">
        <v>548</v>
      </c>
      <c r="B8" s="4" t="s">
        <v>533</v>
      </c>
      <c r="C8" s="4" t="s">
        <v>111</v>
      </c>
      <c r="D8" s="4"/>
      <c r="E8" s="4" t="s">
        <v>32</v>
      </c>
      <c r="F8" s="4">
        <v>2081975</v>
      </c>
      <c r="G8" s="4" t="s">
        <v>534</v>
      </c>
      <c r="H8" s="4" t="s">
        <v>124</v>
      </c>
      <c r="I8" s="4"/>
      <c r="J8" s="4" t="s">
        <v>125</v>
      </c>
      <c r="K8" s="4"/>
      <c r="L8" s="4"/>
      <c r="M8" s="4">
        <v>0</v>
      </c>
      <c r="N8" s="4" t="s">
        <v>535</v>
      </c>
      <c r="O8" s="4" t="s">
        <v>519</v>
      </c>
      <c r="P8" s="4" t="s">
        <v>535</v>
      </c>
    </row>
    <row r="9" spans="1:16">
      <c r="A9" s="4" t="s">
        <v>548</v>
      </c>
      <c r="B9" s="4" t="s">
        <v>536</v>
      </c>
      <c r="C9" s="4" t="s">
        <v>111</v>
      </c>
      <c r="D9" s="4"/>
      <c r="E9" s="4" t="s">
        <v>33</v>
      </c>
      <c r="F9" s="4">
        <v>2081978</v>
      </c>
      <c r="G9" s="4" t="s">
        <v>537</v>
      </c>
      <c r="H9" s="4" t="s">
        <v>126</v>
      </c>
      <c r="I9" s="4"/>
      <c r="J9" s="4" t="s">
        <v>76</v>
      </c>
      <c r="K9" s="4"/>
      <c r="L9" s="4"/>
      <c r="M9" s="4" t="s">
        <v>522</v>
      </c>
      <c r="N9" s="4" t="s">
        <v>522</v>
      </c>
      <c r="O9" s="4" t="s">
        <v>523</v>
      </c>
      <c r="P9" s="4" t="s">
        <v>76</v>
      </c>
    </row>
    <row r="10" spans="1:16">
      <c r="A10" s="4" t="s">
        <v>548</v>
      </c>
      <c r="B10" s="4" t="s">
        <v>538</v>
      </c>
      <c r="C10" s="4" t="s">
        <v>111</v>
      </c>
      <c r="D10" s="4">
        <v>151</v>
      </c>
      <c r="E10" s="4" t="s">
        <v>36</v>
      </c>
      <c r="F10" s="4">
        <v>2081979</v>
      </c>
      <c r="G10" s="4" t="s">
        <v>539</v>
      </c>
      <c r="H10" s="4"/>
      <c r="I10" s="4"/>
      <c r="J10" s="4"/>
      <c r="K10" s="4" t="s">
        <v>127</v>
      </c>
      <c r="L10" s="4" t="s">
        <v>128</v>
      </c>
      <c r="M10" s="4" t="s">
        <v>522</v>
      </c>
      <c r="N10" s="4" t="s">
        <v>522</v>
      </c>
      <c r="O10" s="4" t="s">
        <v>526</v>
      </c>
      <c r="P10" s="4" t="s">
        <v>128</v>
      </c>
    </row>
    <row r="11" spans="1:16">
      <c r="A11" s="4" t="s">
        <v>548</v>
      </c>
      <c r="B11" s="4" t="s">
        <v>540</v>
      </c>
      <c r="C11" s="4" t="s">
        <v>111</v>
      </c>
      <c r="D11" s="4">
        <v>151</v>
      </c>
      <c r="E11" s="4" t="s">
        <v>38</v>
      </c>
      <c r="F11" s="4">
        <v>2081989</v>
      </c>
      <c r="G11" s="4" t="s">
        <v>541</v>
      </c>
      <c r="H11" s="4"/>
      <c r="I11" s="4"/>
      <c r="J11" s="4"/>
      <c r="K11" s="4" t="s">
        <v>64</v>
      </c>
      <c r="L11" s="4" t="s">
        <v>63</v>
      </c>
      <c r="M11" s="4" t="s">
        <v>522</v>
      </c>
      <c r="N11" s="4" t="s">
        <v>522</v>
      </c>
      <c r="O11" s="4" t="s">
        <v>526</v>
      </c>
      <c r="P11" s="4" t="s">
        <v>63</v>
      </c>
    </row>
    <row r="12" spans="1:16">
      <c r="A12" s="4" t="s">
        <v>548</v>
      </c>
      <c r="B12" s="4" t="s">
        <v>542</v>
      </c>
      <c r="C12" s="4" t="s">
        <v>111</v>
      </c>
      <c r="D12" s="4">
        <v>151</v>
      </c>
      <c r="E12" s="4" t="s">
        <v>41</v>
      </c>
      <c r="F12" s="4">
        <v>2081994</v>
      </c>
      <c r="G12" s="4" t="s">
        <v>543</v>
      </c>
      <c r="H12" s="4"/>
      <c r="I12" s="4"/>
      <c r="J12" s="4"/>
      <c r="K12" s="4" t="s">
        <v>129</v>
      </c>
      <c r="L12" s="4" t="s">
        <v>130</v>
      </c>
      <c r="M12" s="4" t="s">
        <v>522</v>
      </c>
      <c r="N12" s="4" t="s">
        <v>522</v>
      </c>
      <c r="O12" s="4" t="s">
        <v>526</v>
      </c>
      <c r="P12" s="4" t="s">
        <v>130</v>
      </c>
    </row>
    <row r="13" spans="1:16">
      <c r="A13" s="4" t="s">
        <v>548</v>
      </c>
      <c r="B13" s="4" t="s">
        <v>544</v>
      </c>
      <c r="C13" s="4" t="s">
        <v>111</v>
      </c>
      <c r="D13" s="4">
        <v>152</v>
      </c>
      <c r="E13" s="4" t="s">
        <v>36</v>
      </c>
      <c r="F13" s="4">
        <v>2081987</v>
      </c>
      <c r="G13" s="4" t="s">
        <v>539</v>
      </c>
      <c r="H13" s="4"/>
      <c r="I13" s="4"/>
      <c r="J13" s="4"/>
      <c r="K13" s="4" t="s">
        <v>131</v>
      </c>
      <c r="L13" s="4" t="s">
        <v>132</v>
      </c>
      <c r="M13" s="4" t="s">
        <v>522</v>
      </c>
      <c r="N13" s="4" t="s">
        <v>522</v>
      </c>
      <c r="O13" s="4" t="s">
        <v>526</v>
      </c>
      <c r="P13" s="4" t="s">
        <v>132</v>
      </c>
    </row>
    <row r="14" spans="1:16">
      <c r="A14" s="4" t="s">
        <v>548</v>
      </c>
      <c r="B14" s="4" t="s">
        <v>545</v>
      </c>
      <c r="C14" s="4" t="s">
        <v>111</v>
      </c>
      <c r="D14" s="4">
        <v>152</v>
      </c>
      <c r="E14" s="4" t="s">
        <v>38</v>
      </c>
      <c r="F14" s="4">
        <v>2081992</v>
      </c>
      <c r="G14" s="4" t="s">
        <v>541</v>
      </c>
      <c r="H14" s="4"/>
      <c r="I14" s="4"/>
      <c r="J14" s="4"/>
      <c r="K14" s="4" t="s">
        <v>133</v>
      </c>
      <c r="L14" s="4" t="s">
        <v>134</v>
      </c>
      <c r="M14" s="4" t="s">
        <v>522</v>
      </c>
      <c r="N14" s="4" t="s">
        <v>522</v>
      </c>
      <c r="O14" s="4" t="s">
        <v>526</v>
      </c>
      <c r="P14" s="4" t="s">
        <v>134</v>
      </c>
    </row>
    <row r="15" spans="1:16">
      <c r="A15" s="4" t="s">
        <v>548</v>
      </c>
      <c r="B15" s="4" t="s">
        <v>546</v>
      </c>
      <c r="C15" s="4" t="s">
        <v>111</v>
      </c>
      <c r="D15" s="4">
        <v>152</v>
      </c>
      <c r="E15" s="4" t="s">
        <v>41</v>
      </c>
      <c r="F15" s="4">
        <v>2082011</v>
      </c>
      <c r="G15" s="4" t="s">
        <v>543</v>
      </c>
      <c r="H15" s="4"/>
      <c r="I15" s="4"/>
      <c r="J15" s="4"/>
      <c r="K15" s="4" t="s">
        <v>135</v>
      </c>
      <c r="L15" s="4" t="s">
        <v>136</v>
      </c>
      <c r="M15" s="4" t="s">
        <v>522</v>
      </c>
      <c r="N15" s="4" t="s">
        <v>522</v>
      </c>
      <c r="O15" s="4" t="s">
        <v>526</v>
      </c>
      <c r="P15" s="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G14" sqref="G14"/>
    </sheetView>
  </sheetViews>
  <sheetFormatPr baseColWidth="10" defaultRowHeight="15"/>
  <cols>
    <col min="1" max="1" width="16.42578125" bestFit="1" customWidth="1"/>
    <col min="2" max="2" width="6.28515625" customWidth="1"/>
    <col min="7" max="7" width="22.42578125" customWidth="1"/>
    <col min="9" max="9" width="68.28515625" bestFit="1" customWidth="1"/>
  </cols>
  <sheetData>
    <row r="1" spans="1:9">
      <c r="A1" s="4" t="s">
        <v>596</v>
      </c>
      <c r="B1" s="4" t="s">
        <v>597</v>
      </c>
      <c r="C1" s="4" t="s">
        <v>598</v>
      </c>
      <c r="D1" s="4" t="s">
        <v>599</v>
      </c>
      <c r="E1" s="4" t="s">
        <v>600</v>
      </c>
      <c r="F1" s="4" t="s">
        <v>601</v>
      </c>
      <c r="G1" s="1" t="s">
        <v>602</v>
      </c>
      <c r="H1" s="1" t="s">
        <v>603</v>
      </c>
      <c r="I1" s="4" t="s">
        <v>604</v>
      </c>
    </row>
    <row r="2" spans="1:9">
      <c r="A2" s="9">
        <v>44833</v>
      </c>
      <c r="B2" s="4">
        <v>1</v>
      </c>
      <c r="C2" s="2" t="s">
        <v>585</v>
      </c>
      <c r="D2" s="7" t="s">
        <v>185</v>
      </c>
      <c r="E2" s="7">
        <v>222</v>
      </c>
      <c r="F2" s="10" t="s">
        <v>177</v>
      </c>
      <c r="G2" s="4" t="str">
        <f>VLOOKUP(F2,[1]Hoja1!$A:$K,7,0)</f>
        <v>TST2</v>
      </c>
      <c r="H2" s="4" t="str">
        <f>VLOOKUP(F2,[1]Hoja1!$A:$K,8,0)</f>
        <v>ST2</v>
      </c>
      <c r="I2" s="4" t="str">
        <f>VLOOKUP(F2,[1]Hoja1!$A:$K,11,0)</f>
        <v>SISTEMAS TECNOLOGICOS</v>
      </c>
    </row>
    <row r="3" spans="1:9">
      <c r="A3" s="9">
        <v>44833</v>
      </c>
      <c r="B3" s="4">
        <v>1</v>
      </c>
      <c r="C3" s="2" t="s">
        <v>586</v>
      </c>
      <c r="D3" s="7" t="s">
        <v>287</v>
      </c>
      <c r="E3" s="7">
        <v>321</v>
      </c>
      <c r="F3" s="10" t="s">
        <v>282</v>
      </c>
      <c r="G3" s="4" t="str">
        <f>VLOOKUP(F3,[1]Hoja1!$A:$K,7,0)</f>
        <v>TST3</v>
      </c>
      <c r="H3" s="4" t="str">
        <f>VLOOKUP(F3,[1]Hoja1!$A:$K,8,0)</f>
        <v>ST1</v>
      </c>
      <c r="I3" s="4" t="str">
        <f>VLOOKUP(F3,[1]Hoja1!$A:$K,11,0)</f>
        <v>SISTEMAS TECNOLOGICOS</v>
      </c>
    </row>
    <row r="4" spans="1:9">
      <c r="A4" s="9">
        <v>44833</v>
      </c>
      <c r="B4" s="4">
        <v>1</v>
      </c>
      <c r="C4" s="2" t="s">
        <v>587</v>
      </c>
      <c r="D4" s="7" t="s">
        <v>349</v>
      </c>
      <c r="E4" s="7">
        <v>412</v>
      </c>
      <c r="F4" s="10" t="s">
        <v>368</v>
      </c>
      <c r="G4" s="4" t="str">
        <f>VLOOKUP(F4,[1]Hoja1!$A:$K,7,0)</f>
        <v>FTLS4</v>
      </c>
      <c r="H4" s="4" t="str">
        <f>VLOOKUP(F4,[1]Hoja1!$A:$K,8,0)</f>
        <v>LSO</v>
      </c>
      <c r="I4" s="4" t="str">
        <f>VLOOKUP(F4,[1]Hoja1!$A:$K,11,0)</f>
        <v xml:space="preserve">LAB DE SIST OPERATIVOS   </v>
      </c>
    </row>
    <row r="5" spans="1:9">
      <c r="A5" s="9">
        <v>44833</v>
      </c>
      <c r="B5" s="4">
        <v>1</v>
      </c>
      <c r="C5" s="2" t="s">
        <v>588</v>
      </c>
      <c r="D5" s="7" t="s">
        <v>373</v>
      </c>
      <c r="E5" s="7">
        <v>422</v>
      </c>
      <c r="F5" s="10" t="s">
        <v>368</v>
      </c>
      <c r="G5" s="4" t="str">
        <f>VLOOKUP(F5,[1]Hoja1!$A:$K,7,0)</f>
        <v>FTLS4</v>
      </c>
      <c r="H5" s="4" t="str">
        <f>VLOOKUP(F5,[1]Hoja1!$A:$K,8,0)</f>
        <v>LSO</v>
      </c>
      <c r="I5" s="4" t="str">
        <f>VLOOKUP(F5,[1]Hoja1!$A:$K,11,0)</f>
        <v xml:space="preserve">LAB DE SIST OPERATIVOS   </v>
      </c>
    </row>
    <row r="6" spans="1:9">
      <c r="A6" s="9">
        <v>44833</v>
      </c>
      <c r="B6" s="4">
        <v>1</v>
      </c>
      <c r="C6" s="2" t="s">
        <v>589</v>
      </c>
      <c r="D6" s="7" t="s">
        <v>405</v>
      </c>
      <c r="E6" s="7">
        <v>511</v>
      </c>
      <c r="F6" s="10" t="s">
        <v>419</v>
      </c>
      <c r="G6" s="4" t="str">
        <f>VLOOKUP(F6,[1]Hoja1!$A:$K,7,0)</f>
        <v>FTLP5</v>
      </c>
      <c r="H6" s="4" t="str">
        <f>VLOOKUP(F6,[1]Hoja1!$A:$K,8,0)</f>
        <v>LPR</v>
      </c>
      <c r="I6" s="4" t="str">
        <f>VLOOKUP(F6,[1]Hoja1!$A:$K,11,0)</f>
        <v xml:space="preserve">LAB DE PROGRAM </v>
      </c>
    </row>
    <row r="7" spans="1:9">
      <c r="A7" s="9">
        <v>44833</v>
      </c>
      <c r="B7" s="4">
        <v>1</v>
      </c>
      <c r="C7" s="2" t="s">
        <v>590</v>
      </c>
      <c r="D7" s="7" t="s">
        <v>457</v>
      </c>
      <c r="E7" s="7">
        <v>611</v>
      </c>
      <c r="F7" s="10" t="s">
        <v>469</v>
      </c>
      <c r="G7" s="4" t="str">
        <f>VLOOKUP(F7,[1]Hoja1!$A:$K,7,0)</f>
        <v>FTLP6</v>
      </c>
      <c r="H7" s="4" t="str">
        <f>VLOOKUP(F7,[1]Hoja1!$A:$K,8,0)</f>
        <v>LPR</v>
      </c>
      <c r="I7" s="4" t="str">
        <f>VLOOKUP(F7,[1]Hoja1!$A:$K,11,0)</f>
        <v xml:space="preserve">LAB DE PROGRAM </v>
      </c>
    </row>
    <row r="8" spans="1:9">
      <c r="A8" s="9">
        <v>44833</v>
      </c>
      <c r="B8" s="4">
        <v>1</v>
      </c>
      <c r="C8" s="2" t="s">
        <v>591</v>
      </c>
      <c r="D8" s="7" t="s">
        <v>474</v>
      </c>
      <c r="E8" s="7">
        <v>622</v>
      </c>
      <c r="F8" s="10" t="s">
        <v>469</v>
      </c>
      <c r="G8" s="4" t="str">
        <f>VLOOKUP(F8,[1]Hoja1!$A:$K,7,0)</f>
        <v>FTLP6</v>
      </c>
      <c r="H8" s="4" t="str">
        <f>VLOOKUP(F8,[1]Hoja1!$A:$K,8,0)</f>
        <v>LPR</v>
      </c>
      <c r="I8" s="4" t="str">
        <f>VLOOKUP(F8,[1]Hoja1!$A:$K,11,0)</f>
        <v xml:space="preserve">LAB DE PROGRAM </v>
      </c>
    </row>
    <row r="9" spans="1:9">
      <c r="A9" s="9">
        <v>44833</v>
      </c>
      <c r="B9" s="4">
        <v>1</v>
      </c>
      <c r="C9" s="2" t="s">
        <v>592</v>
      </c>
      <c r="D9" s="7" t="s">
        <v>494</v>
      </c>
      <c r="E9" s="7"/>
      <c r="F9" s="10" t="s">
        <v>495</v>
      </c>
      <c r="G9" s="4" t="str">
        <f>VLOOKUP(F9,[1]Hoja1!$A:$K,7,0)</f>
        <v>PPSIN</v>
      </c>
      <c r="H9" s="4" t="str">
        <f>VLOOKUP(F9,[1]Hoja1!$A:$K,8,0)</f>
        <v>PP</v>
      </c>
      <c r="I9" s="4" t="str">
        <f>VLOOKUP(F9,[1]Hoja1!$A:$K,11,0)</f>
        <v>PRACTICAS PROFESIONALIZANTES</v>
      </c>
    </row>
    <row r="10" spans="1:9">
      <c r="A10" s="9">
        <v>44833</v>
      </c>
      <c r="B10" s="4">
        <v>1</v>
      </c>
      <c r="C10" s="2" t="s">
        <v>593</v>
      </c>
      <c r="D10" s="7" t="s">
        <v>494</v>
      </c>
      <c r="E10" s="7"/>
      <c r="F10" s="10" t="s">
        <v>496</v>
      </c>
      <c r="G10" s="4" t="str">
        <f>VLOOKUP(F10,[1]Hoja1!$A:$K,7,0)</f>
        <v>PPDLO</v>
      </c>
      <c r="H10" s="8">
        <f>VLOOKUP(F10,[1]Hoja1!$A:$K,8,0)</f>
        <v>0</v>
      </c>
      <c r="I10" s="4" t="str">
        <f>VLOOKUP(F10,[1]Hoja1!$A:$K,11,0)</f>
        <v>EMPRENDIMIENTO PRODUCTIVO Y DESARROLLO LOCAL</v>
      </c>
    </row>
    <row r="11" spans="1:9">
      <c r="A11" s="9">
        <v>44833</v>
      </c>
      <c r="B11" s="4">
        <v>1</v>
      </c>
      <c r="C11" s="2" t="s">
        <v>594</v>
      </c>
      <c r="D11" s="7" t="s">
        <v>494</v>
      </c>
      <c r="E11" s="7"/>
      <c r="F11" s="10" t="s">
        <v>497</v>
      </c>
      <c r="G11" s="4" t="str">
        <f>VLOOKUP(F11,[1]Hoja1!$A:$K,7,0)</f>
        <v>EVPRO</v>
      </c>
      <c r="H11" s="4" t="str">
        <f>VLOOKUP(F11,[1]Hoja1!$A:$K,8,0)</f>
        <v>PEP</v>
      </c>
      <c r="I11" s="4" t="str">
        <f>VLOOKUP(F11,[1]Hoja1!$A:$K,11,0)</f>
        <v>EVALUACION DE PROYECTO</v>
      </c>
    </row>
    <row r="12" spans="1:9">
      <c r="A12" s="9">
        <v>44833</v>
      </c>
      <c r="B12" s="4">
        <v>1</v>
      </c>
      <c r="C12" s="2" t="s">
        <v>595</v>
      </c>
      <c r="D12" s="7" t="s">
        <v>494</v>
      </c>
      <c r="E12" s="7">
        <v>712</v>
      </c>
      <c r="F12" s="10" t="s">
        <v>503</v>
      </c>
      <c r="G12" s="4" t="str">
        <f>VLOOKUP(F12,[1]Hoja1!$A:$K,7,0)</f>
        <v>IMRRI</v>
      </c>
      <c r="H12" s="4" t="str">
        <f>VLOOKUP(F12,[1]Hoja1!$A:$K,8,0)</f>
        <v>IRI</v>
      </c>
      <c r="I12" s="4" t="str">
        <f>VLOOKUP(F12,[1]Hoja1!$A:$K,11,0)</f>
        <v xml:space="preserve">INSTALACION, MANTENIMIENTO Y REPARACION DE REDES INFORMATICAS-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6" sqref="A3:D6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DETALLE BAJA</vt:lpstr>
      <vt:lpstr>RECLAMO DIGE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EESTN1GB</cp:lastModifiedBy>
  <cp:lastPrinted>2025-06-02T21:59:55Z</cp:lastPrinted>
  <dcterms:created xsi:type="dcterms:W3CDTF">2022-02-22T13:30:19Z</dcterms:created>
  <dcterms:modified xsi:type="dcterms:W3CDTF">2026-08-25T10:52:41Z</dcterms:modified>
</cp:coreProperties>
</file>