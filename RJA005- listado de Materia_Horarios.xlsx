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6.xml" ContentType="application/vnd.openxmlformats-officedocument.spreadsheetml.pivot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1f0e197d4809089e/Desktop/"/>
    </mc:Choice>
  </mc:AlternateContent>
  <xr:revisionPtr revIDLastSave="1" documentId="11_A03D3AB517105F071CE5E50791BA9BD4EFF9FE22" xr6:coauthVersionLast="47" xr6:coauthVersionMax="47" xr10:uidLastSave="{F43001D1-B7C7-48F1-B505-A2F0A9DF257D}"/>
  <bookViews>
    <workbookView xWindow="-108" yWindow="-108" windowWidth="23256" windowHeight="13896" tabRatio="799" firstSheet="1" activeTab="8" xr2:uid="{00000000-000D-0000-FFFF-FFFF00000000}"/>
  </bookViews>
  <sheets>
    <sheet name="VESPERTINO" sheetId="6" r:id="rId1"/>
    <sheet name="TARDE" sheetId="5" r:id="rId2"/>
    <sheet name="MAÑANA" sheetId="3" r:id="rId3"/>
    <sheet name="Hoja4" sheetId="18" r:id="rId4"/>
    <sheet name="Hoja5" sheetId="19" r:id="rId5"/>
    <sheet name="CONTROL DE AULAS" sheetId="11" r:id="rId6"/>
    <sheet name="LISTADO" sheetId="1" r:id="rId7"/>
    <sheet name="Hoja3" sheetId="17" r:id="rId8"/>
    <sheet name="Hoja2" sheetId="16" r:id="rId9"/>
    <sheet name="LISTA_PARA_CARATULAS" sheetId="10" r:id="rId10"/>
    <sheet name="Hoja1" sheetId="12" r:id="rId11"/>
    <sheet name="RECLAMO" sheetId="15" r:id="rId12"/>
  </sheets>
  <externalReferences>
    <externalReference r:id="rId13"/>
  </externalReferences>
  <definedNames>
    <definedName name="_xlnm._FilterDatabase" localSheetId="9" hidden="1">LISTA_PARA_CARATULAS!$A$2:$O$215</definedName>
    <definedName name="_xlnm._FilterDatabase" localSheetId="6" hidden="1">LISTADO!$1:$1211</definedName>
  </definedNames>
  <calcPr calcId="191029"/>
  <pivotCaches>
    <pivotCache cacheId="0" r:id="rId14"/>
    <pivotCache cacheId="1" r:id="rId1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78" i="1" l="1"/>
  <c r="B13" i="1" l="1"/>
  <c r="B14" i="1"/>
  <c r="B15" i="1"/>
  <c r="B16" i="1"/>
  <c r="B63" i="1"/>
  <c r="B73" i="1"/>
  <c r="B584" i="1"/>
  <c r="B596" i="1"/>
  <c r="B868" i="1"/>
  <c r="B871" i="1"/>
  <c r="B879" i="1"/>
  <c r="B882" i="1"/>
  <c r="B890" i="1"/>
  <c r="B893" i="1"/>
  <c r="B901" i="1"/>
  <c r="B904" i="1"/>
  <c r="B968" i="1"/>
  <c r="B980" i="1"/>
  <c r="B990" i="1"/>
  <c r="B1001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174" i="1"/>
  <c r="K16" i="1"/>
  <c r="K15" i="1"/>
  <c r="K14" i="1"/>
  <c r="N14" i="1" s="1"/>
  <c r="K13" i="1"/>
  <c r="N13" i="1" s="1"/>
  <c r="K521" i="1"/>
  <c r="N521" i="1" s="1"/>
  <c r="D197" i="1" l="1"/>
  <c r="D198" i="1"/>
  <c r="D199" i="1"/>
  <c r="D200" i="1"/>
  <c r="D309" i="1" l="1"/>
  <c r="D308" i="1"/>
  <c r="D719" i="1"/>
  <c r="AD1126" i="1" l="1"/>
  <c r="AB1126" i="1"/>
  <c r="Z1126" i="1"/>
  <c r="X1126" i="1"/>
  <c r="K1126" i="1"/>
  <c r="N1126" i="1" s="1"/>
  <c r="D1126" i="1"/>
  <c r="K1182" i="1" l="1"/>
  <c r="N1182" i="1" s="1"/>
  <c r="K1191" i="1"/>
  <c r="N1191" i="1" s="1"/>
  <c r="K1181" i="1"/>
  <c r="N1181" i="1" s="1"/>
  <c r="K1190" i="1"/>
  <c r="N1190" i="1" s="1"/>
  <c r="K1186" i="1"/>
  <c r="N1186" i="1" s="1"/>
  <c r="K1199" i="1"/>
  <c r="N1199" i="1" s="1"/>
  <c r="K1185" i="1"/>
  <c r="N1185" i="1" s="1"/>
  <c r="K1195" i="1"/>
  <c r="N1195" i="1" s="1"/>
  <c r="K1207" i="1"/>
  <c r="N1207" i="1" s="1"/>
  <c r="K1194" i="1"/>
  <c r="N1194" i="1" s="1"/>
  <c r="K1203" i="1"/>
  <c r="N1203" i="1" s="1"/>
  <c r="K1202" i="1"/>
  <c r="N1202" i="1" s="1"/>
  <c r="K1210" i="1"/>
  <c r="N1210" i="1" s="1"/>
  <c r="K1209" i="1"/>
  <c r="N1209" i="1" s="1"/>
  <c r="K1184" i="1"/>
  <c r="N1184" i="1" s="1"/>
  <c r="K1180" i="1"/>
  <c r="N1180" i="1" s="1"/>
  <c r="K1187" i="1"/>
  <c r="N1187" i="1" s="1"/>
  <c r="K1179" i="1"/>
  <c r="N1179" i="1" s="1"/>
  <c r="K1193" i="1"/>
  <c r="N1193" i="1" s="1"/>
  <c r="K1189" i="1"/>
  <c r="N1189" i="1" s="1"/>
  <c r="K1183" i="1"/>
  <c r="N1183" i="1" s="1"/>
  <c r="K1196" i="1"/>
  <c r="N1196" i="1" s="1"/>
  <c r="K1188" i="1"/>
  <c r="N1188" i="1" s="1"/>
  <c r="K1201" i="1"/>
  <c r="N1201" i="1" s="1"/>
  <c r="K1198" i="1"/>
  <c r="N1198" i="1" s="1"/>
  <c r="K1192" i="1"/>
  <c r="N1192" i="1" s="1"/>
  <c r="K1204" i="1"/>
  <c r="N1204" i="1" s="1"/>
  <c r="K1197" i="1"/>
  <c r="N1197" i="1" s="1"/>
  <c r="K1208" i="1"/>
  <c r="N1208" i="1" s="1"/>
  <c r="K1206" i="1"/>
  <c r="N1206" i="1" s="1"/>
  <c r="K1211" i="1"/>
  <c r="N1211" i="1" s="1"/>
  <c r="K1205" i="1"/>
  <c r="N1205" i="1" s="1"/>
  <c r="K1200" i="1"/>
  <c r="N1200" i="1" s="1"/>
  <c r="D1200" i="1"/>
  <c r="D1205" i="1" l="1"/>
  <c r="D1211" i="1"/>
  <c r="D1206" i="1"/>
  <c r="D1208" i="1"/>
  <c r="D1197" i="1"/>
  <c r="D1204" i="1"/>
  <c r="D1192" i="1"/>
  <c r="D1198" i="1"/>
  <c r="D1201" i="1"/>
  <c r="D1188" i="1"/>
  <c r="D1196" i="1"/>
  <c r="D1183" i="1"/>
  <c r="D1189" i="1"/>
  <c r="D1193" i="1"/>
  <c r="D1179" i="1"/>
  <c r="D1187" i="1"/>
  <c r="D1180" i="1"/>
  <c r="D1184" i="1"/>
  <c r="D1209" i="1"/>
  <c r="D1210" i="1"/>
  <c r="D1202" i="1"/>
  <c r="D1203" i="1"/>
  <c r="D1194" i="1"/>
  <c r="D1207" i="1"/>
  <c r="D1195" i="1"/>
  <c r="D1185" i="1"/>
  <c r="D1199" i="1"/>
  <c r="D1186" i="1"/>
  <c r="D1190" i="1"/>
  <c r="D1181" i="1"/>
  <c r="D1191" i="1"/>
  <c r="D1182" i="1"/>
  <c r="AD1178" i="1" l="1"/>
  <c r="AB1178" i="1"/>
  <c r="Z1178" i="1"/>
  <c r="X1178" i="1"/>
  <c r="K1178" i="1"/>
  <c r="N1178" i="1" s="1"/>
  <c r="AD1174" i="1"/>
  <c r="AB1174" i="1"/>
  <c r="Z1174" i="1"/>
  <c r="X1174" i="1"/>
  <c r="K1174" i="1"/>
  <c r="D1174" i="1"/>
  <c r="A1174" i="1"/>
  <c r="AD1176" i="1"/>
  <c r="AB1176" i="1"/>
  <c r="Z1176" i="1"/>
  <c r="X1176" i="1"/>
  <c r="K1176" i="1"/>
  <c r="N1176" i="1" s="1"/>
  <c r="D1176" i="1"/>
  <c r="AD1175" i="1"/>
  <c r="AB1175" i="1"/>
  <c r="Z1175" i="1"/>
  <c r="X1175" i="1"/>
  <c r="K1175" i="1"/>
  <c r="N1175" i="1" s="1"/>
  <c r="D1175" i="1"/>
  <c r="AD1171" i="1"/>
  <c r="AB1171" i="1"/>
  <c r="Z1171" i="1"/>
  <c r="X1171" i="1"/>
  <c r="K1171" i="1"/>
  <c r="N1171" i="1" s="1"/>
  <c r="D1171" i="1"/>
  <c r="AD1169" i="1"/>
  <c r="AB1169" i="1"/>
  <c r="Z1169" i="1"/>
  <c r="X1169" i="1"/>
  <c r="K1169" i="1"/>
  <c r="N1169" i="1" s="1"/>
  <c r="D1169" i="1"/>
  <c r="AD1164" i="1"/>
  <c r="AB1164" i="1"/>
  <c r="Z1164" i="1"/>
  <c r="X1164" i="1"/>
  <c r="K1164" i="1"/>
  <c r="N1164" i="1" s="1"/>
  <c r="D1164" i="1"/>
  <c r="AD1166" i="1"/>
  <c r="AB1166" i="1"/>
  <c r="Z1166" i="1"/>
  <c r="X1166" i="1"/>
  <c r="K1166" i="1"/>
  <c r="N1166" i="1" s="1"/>
  <c r="D1166" i="1"/>
  <c r="AD1165" i="1"/>
  <c r="AB1165" i="1"/>
  <c r="Z1165" i="1"/>
  <c r="X1165" i="1"/>
  <c r="K1165" i="1"/>
  <c r="N1165" i="1" s="1"/>
  <c r="D1165" i="1"/>
  <c r="AD1161" i="1"/>
  <c r="AB1161" i="1"/>
  <c r="Z1161" i="1"/>
  <c r="X1161" i="1"/>
  <c r="K1161" i="1"/>
  <c r="N1161" i="1" s="1"/>
  <c r="D1161" i="1"/>
  <c r="AD1159" i="1"/>
  <c r="AB1159" i="1"/>
  <c r="Z1159" i="1"/>
  <c r="X1159" i="1"/>
  <c r="K1159" i="1"/>
  <c r="N1159" i="1" s="1"/>
  <c r="D1159" i="1"/>
  <c r="AD1156" i="1"/>
  <c r="AB1156" i="1"/>
  <c r="Z1156" i="1"/>
  <c r="X1156" i="1"/>
  <c r="K1156" i="1"/>
  <c r="N1156" i="1" s="1"/>
  <c r="D1156" i="1"/>
  <c r="AD1155" i="1"/>
  <c r="AB1155" i="1"/>
  <c r="Z1155" i="1"/>
  <c r="X1155" i="1"/>
  <c r="K1155" i="1"/>
  <c r="N1155" i="1" s="1"/>
  <c r="D1155" i="1"/>
  <c r="AD1152" i="1"/>
  <c r="AB1152" i="1"/>
  <c r="Z1152" i="1"/>
  <c r="X1152" i="1"/>
  <c r="K1152" i="1"/>
  <c r="N1152" i="1" s="1"/>
  <c r="D1152" i="1"/>
  <c r="AD1150" i="1"/>
  <c r="AB1150" i="1"/>
  <c r="Z1150" i="1"/>
  <c r="X1150" i="1"/>
  <c r="K1150" i="1"/>
  <c r="N1150" i="1" s="1"/>
  <c r="D1150" i="1"/>
  <c r="AD1148" i="1"/>
  <c r="AB1148" i="1"/>
  <c r="Z1148" i="1"/>
  <c r="X1148" i="1"/>
  <c r="K1148" i="1"/>
  <c r="N1148" i="1" s="1"/>
  <c r="D1148" i="1"/>
  <c r="AD1147" i="1"/>
  <c r="AB1147" i="1"/>
  <c r="Z1147" i="1"/>
  <c r="X1147" i="1"/>
  <c r="K1147" i="1"/>
  <c r="N1147" i="1" s="1"/>
  <c r="D1147" i="1"/>
  <c r="AD1145" i="1"/>
  <c r="AB1145" i="1"/>
  <c r="Z1145" i="1"/>
  <c r="X1145" i="1"/>
  <c r="K1145" i="1"/>
  <c r="N1145" i="1" s="1"/>
  <c r="D1145" i="1"/>
  <c r="AD951" i="1"/>
  <c r="AB951" i="1"/>
  <c r="Z951" i="1"/>
  <c r="X951" i="1"/>
  <c r="K951" i="1"/>
  <c r="N951" i="1" s="1"/>
  <c r="D951" i="1"/>
  <c r="AD1143" i="1"/>
  <c r="AB1143" i="1"/>
  <c r="Z1143" i="1"/>
  <c r="X1143" i="1"/>
  <c r="K1143" i="1"/>
  <c r="N1143" i="1" s="1"/>
  <c r="D1143" i="1"/>
  <c r="AD938" i="1"/>
  <c r="AB938" i="1"/>
  <c r="Z938" i="1"/>
  <c r="X938" i="1"/>
  <c r="K938" i="1"/>
  <c r="N938" i="1" s="1"/>
  <c r="D938" i="1"/>
  <c r="AD1140" i="1"/>
  <c r="AB1140" i="1"/>
  <c r="Z1140" i="1"/>
  <c r="X1140" i="1"/>
  <c r="K1140" i="1"/>
  <c r="N1140" i="1" s="1"/>
  <c r="D1140" i="1"/>
  <c r="AD758" i="1"/>
  <c r="AB758" i="1"/>
  <c r="Z758" i="1"/>
  <c r="X758" i="1"/>
  <c r="K758" i="1"/>
  <c r="N758" i="1" s="1"/>
  <c r="D758" i="1"/>
  <c r="AD1138" i="1"/>
  <c r="AB1138" i="1"/>
  <c r="Z1138" i="1"/>
  <c r="X1138" i="1"/>
  <c r="K1138" i="1"/>
  <c r="N1138" i="1" s="1"/>
  <c r="D1138" i="1"/>
  <c r="AD1141" i="1"/>
  <c r="AB1141" i="1"/>
  <c r="Z1141" i="1"/>
  <c r="X1141" i="1"/>
  <c r="K1141" i="1"/>
  <c r="N1141" i="1" s="1"/>
  <c r="D1141" i="1"/>
  <c r="AD747" i="1"/>
  <c r="AB747" i="1"/>
  <c r="Z747" i="1"/>
  <c r="X747" i="1"/>
  <c r="K747" i="1"/>
  <c r="N747" i="1" s="1"/>
  <c r="D747" i="1"/>
  <c r="AD1134" i="1"/>
  <c r="AB1134" i="1"/>
  <c r="Z1134" i="1"/>
  <c r="X1134" i="1"/>
  <c r="K1134" i="1"/>
  <c r="N1134" i="1" s="1"/>
  <c r="D1134" i="1"/>
  <c r="AD691" i="1"/>
  <c r="AB691" i="1"/>
  <c r="Z691" i="1"/>
  <c r="X691" i="1"/>
  <c r="K691" i="1"/>
  <c r="N691" i="1" s="1"/>
  <c r="D691" i="1"/>
  <c r="AD1131" i="1"/>
  <c r="AB1131" i="1"/>
  <c r="Z1131" i="1"/>
  <c r="X1131" i="1"/>
  <c r="K1131" i="1"/>
  <c r="N1131" i="1" s="1"/>
  <c r="D1131" i="1"/>
  <c r="AD680" i="1"/>
  <c r="AB680" i="1"/>
  <c r="Z680" i="1"/>
  <c r="X680" i="1"/>
  <c r="K680" i="1"/>
  <c r="N680" i="1" s="1"/>
  <c r="D680" i="1"/>
  <c r="AD1129" i="1"/>
  <c r="AB1129" i="1"/>
  <c r="Z1129" i="1"/>
  <c r="X1129" i="1"/>
  <c r="K1129" i="1"/>
  <c r="N1129" i="1" s="1"/>
  <c r="D1129" i="1"/>
  <c r="AD1136" i="1"/>
  <c r="AB1136" i="1"/>
  <c r="Z1136" i="1"/>
  <c r="X1136" i="1"/>
  <c r="K1136" i="1"/>
  <c r="N1136" i="1" s="1"/>
  <c r="D1136" i="1"/>
  <c r="AD1132" i="1"/>
  <c r="AB1132" i="1"/>
  <c r="Z1132" i="1"/>
  <c r="X1132" i="1"/>
  <c r="K1132" i="1"/>
  <c r="N1132" i="1" s="1"/>
  <c r="D1132" i="1"/>
  <c r="AD788" i="1"/>
  <c r="AB788" i="1"/>
  <c r="Z788" i="1"/>
  <c r="X788" i="1"/>
  <c r="K788" i="1"/>
  <c r="N788" i="1" s="1"/>
  <c r="D788" i="1"/>
  <c r="AD1124" i="1"/>
  <c r="AB1124" i="1"/>
  <c r="Z1124" i="1"/>
  <c r="X1124" i="1"/>
  <c r="K1124" i="1"/>
  <c r="N1124" i="1" s="1"/>
  <c r="D1124" i="1"/>
  <c r="AD775" i="1"/>
  <c r="AB775" i="1"/>
  <c r="Z775" i="1"/>
  <c r="X775" i="1"/>
  <c r="K775" i="1"/>
  <c r="N775" i="1" s="1"/>
  <c r="D775" i="1"/>
  <c r="AD1121" i="1"/>
  <c r="AB1121" i="1"/>
  <c r="Z1121" i="1"/>
  <c r="X1121" i="1"/>
  <c r="K1121" i="1"/>
  <c r="N1121" i="1" s="1"/>
  <c r="D1121" i="1"/>
  <c r="AD929" i="1"/>
  <c r="AB929" i="1"/>
  <c r="Z929" i="1"/>
  <c r="X929" i="1"/>
  <c r="K929" i="1"/>
  <c r="N929" i="1" s="1"/>
  <c r="D929" i="1"/>
  <c r="AD1119" i="1"/>
  <c r="AB1119" i="1"/>
  <c r="Z1119" i="1"/>
  <c r="X1119" i="1"/>
  <c r="K1119" i="1"/>
  <c r="N1119" i="1" s="1"/>
  <c r="D1119" i="1"/>
  <c r="AD1127" i="1"/>
  <c r="AB1127" i="1"/>
  <c r="Z1127" i="1"/>
  <c r="X1127" i="1"/>
  <c r="K1127" i="1"/>
  <c r="N1127" i="1" s="1"/>
  <c r="D1127" i="1"/>
  <c r="AD917" i="1"/>
  <c r="AB917" i="1"/>
  <c r="Z917" i="1"/>
  <c r="X917" i="1"/>
  <c r="K917" i="1"/>
  <c r="N917" i="1" s="1"/>
  <c r="D917" i="1"/>
  <c r="AD1122" i="1"/>
  <c r="AB1122" i="1"/>
  <c r="Z1122" i="1"/>
  <c r="X1122" i="1"/>
  <c r="K1122" i="1"/>
  <c r="N1122" i="1" s="1"/>
  <c r="D1122" i="1"/>
  <c r="AD1000" i="1"/>
  <c r="AB1000" i="1"/>
  <c r="Z1000" i="1"/>
  <c r="X1000" i="1"/>
  <c r="K1000" i="1"/>
  <c r="N1000" i="1" s="1"/>
  <c r="D1000" i="1"/>
  <c r="AD1117" i="1"/>
  <c r="AB1117" i="1"/>
  <c r="Z1117" i="1"/>
  <c r="X1117" i="1"/>
  <c r="K1117" i="1"/>
  <c r="N1117" i="1" s="1"/>
  <c r="D1117" i="1"/>
  <c r="AD989" i="1"/>
  <c r="AB989" i="1"/>
  <c r="Z989" i="1"/>
  <c r="X989" i="1"/>
  <c r="K989" i="1"/>
  <c r="N989" i="1" s="1"/>
  <c r="D989" i="1"/>
  <c r="AD1114" i="1"/>
  <c r="AB1114" i="1"/>
  <c r="Z1114" i="1"/>
  <c r="X1114" i="1"/>
  <c r="K1114" i="1"/>
  <c r="N1114" i="1" s="1"/>
  <c r="D1114" i="1"/>
  <c r="AD1167" i="1"/>
  <c r="AB1167" i="1"/>
  <c r="Z1167" i="1"/>
  <c r="X1167" i="1"/>
  <c r="K1167" i="1"/>
  <c r="N1167" i="1" s="1"/>
  <c r="D1167" i="1"/>
  <c r="AD1112" i="1"/>
  <c r="AB1112" i="1"/>
  <c r="Z1112" i="1"/>
  <c r="X1112" i="1"/>
  <c r="K1112" i="1"/>
  <c r="N1112" i="1" s="1"/>
  <c r="D1112" i="1"/>
  <c r="AD1157" i="1"/>
  <c r="AB1157" i="1"/>
  <c r="Z1157" i="1"/>
  <c r="X1157" i="1"/>
  <c r="K1157" i="1"/>
  <c r="N1157" i="1" s="1"/>
  <c r="D1157" i="1"/>
  <c r="AD1115" i="1"/>
  <c r="AB1115" i="1"/>
  <c r="Z1115" i="1"/>
  <c r="X1115" i="1"/>
  <c r="K1115" i="1"/>
  <c r="N1115" i="1" s="1"/>
  <c r="D1115" i="1"/>
  <c r="AD525" i="1"/>
  <c r="AB525" i="1"/>
  <c r="Z525" i="1"/>
  <c r="X525" i="1"/>
  <c r="K525" i="1"/>
  <c r="N525" i="1" s="1"/>
  <c r="D525" i="1"/>
  <c r="AD1110" i="1"/>
  <c r="AB1110" i="1"/>
  <c r="Z1110" i="1"/>
  <c r="X1110" i="1"/>
  <c r="K1110" i="1"/>
  <c r="N1110" i="1" s="1"/>
  <c r="D1110" i="1"/>
  <c r="AD523" i="1"/>
  <c r="AB523" i="1"/>
  <c r="Z523" i="1"/>
  <c r="X523" i="1"/>
  <c r="K523" i="1"/>
  <c r="N523" i="1" s="1"/>
  <c r="D523" i="1"/>
  <c r="AD1108" i="1"/>
  <c r="AB1108" i="1"/>
  <c r="Z1108" i="1"/>
  <c r="X1108" i="1"/>
  <c r="K1108" i="1"/>
  <c r="N1108" i="1" s="1"/>
  <c r="D1108" i="1"/>
  <c r="AD1107" i="1"/>
  <c r="AB1107" i="1"/>
  <c r="Z1107" i="1"/>
  <c r="X1107" i="1"/>
  <c r="K1107" i="1"/>
  <c r="N1107" i="1" s="1"/>
  <c r="D1107" i="1"/>
  <c r="AD517" i="1"/>
  <c r="AB517" i="1"/>
  <c r="Z517" i="1"/>
  <c r="X517" i="1"/>
  <c r="K517" i="1"/>
  <c r="N517" i="1" s="1"/>
  <c r="D517" i="1"/>
  <c r="AD515" i="1"/>
  <c r="AB515" i="1"/>
  <c r="Z515" i="1"/>
  <c r="X515" i="1"/>
  <c r="K515" i="1"/>
  <c r="N515" i="1" s="1"/>
  <c r="D515" i="1"/>
  <c r="AD1106" i="1"/>
  <c r="AB1106" i="1"/>
  <c r="Z1106" i="1"/>
  <c r="X1106" i="1"/>
  <c r="K1106" i="1"/>
  <c r="N1106" i="1" s="1"/>
  <c r="D1106" i="1"/>
  <c r="AD507" i="1"/>
  <c r="AB507" i="1"/>
  <c r="Z507" i="1"/>
  <c r="X507" i="1"/>
  <c r="K507" i="1"/>
  <c r="N507" i="1" s="1"/>
  <c r="D507" i="1"/>
  <c r="AD1104" i="1"/>
  <c r="AB1104" i="1"/>
  <c r="Z1104" i="1"/>
  <c r="X1104" i="1"/>
  <c r="K1104" i="1"/>
  <c r="N1104" i="1" s="1"/>
  <c r="D1104" i="1"/>
  <c r="AD1102" i="1"/>
  <c r="AB1102" i="1"/>
  <c r="Z1102" i="1"/>
  <c r="X1102" i="1"/>
  <c r="K1102" i="1"/>
  <c r="N1102" i="1" s="1"/>
  <c r="D1102" i="1"/>
  <c r="AD1101" i="1"/>
  <c r="AB1101" i="1"/>
  <c r="Z1101" i="1"/>
  <c r="X1101" i="1"/>
  <c r="K1101" i="1"/>
  <c r="N1101" i="1" s="1"/>
  <c r="D1101" i="1"/>
  <c r="AD1098" i="1"/>
  <c r="AB1098" i="1"/>
  <c r="Z1098" i="1"/>
  <c r="X1098" i="1"/>
  <c r="K1098" i="1"/>
  <c r="N1098" i="1" s="1"/>
  <c r="D1098" i="1"/>
  <c r="AD505" i="1"/>
  <c r="AB505" i="1"/>
  <c r="Z505" i="1"/>
  <c r="X505" i="1"/>
  <c r="K505" i="1"/>
  <c r="N505" i="1" s="1"/>
  <c r="D505" i="1"/>
  <c r="AD1096" i="1"/>
  <c r="AB1096" i="1"/>
  <c r="Z1096" i="1"/>
  <c r="X1096" i="1"/>
  <c r="K1096" i="1"/>
  <c r="N1096" i="1" s="1"/>
  <c r="D1096" i="1"/>
  <c r="AD1095" i="1"/>
  <c r="AB1095" i="1"/>
  <c r="Z1095" i="1"/>
  <c r="X1095" i="1"/>
  <c r="K1095" i="1"/>
  <c r="N1095" i="1" s="1"/>
  <c r="D1095" i="1"/>
  <c r="AD498" i="1"/>
  <c r="AB498" i="1"/>
  <c r="Z498" i="1"/>
  <c r="X498" i="1"/>
  <c r="K498" i="1"/>
  <c r="N498" i="1" s="1"/>
  <c r="D498" i="1"/>
  <c r="AD496" i="1"/>
  <c r="AB496" i="1"/>
  <c r="Z496" i="1"/>
  <c r="X496" i="1"/>
  <c r="K496" i="1"/>
  <c r="N496" i="1" s="1"/>
  <c r="D496" i="1"/>
  <c r="AD1094" i="1"/>
  <c r="AB1094" i="1"/>
  <c r="Z1094" i="1"/>
  <c r="X1094" i="1"/>
  <c r="K1094" i="1"/>
  <c r="N1094" i="1" s="1"/>
  <c r="D1094" i="1"/>
  <c r="AD796" i="1"/>
  <c r="AB796" i="1"/>
  <c r="Z796" i="1"/>
  <c r="X796" i="1"/>
  <c r="K796" i="1"/>
  <c r="N796" i="1" s="1"/>
  <c r="D796" i="1"/>
  <c r="AD1092" i="1"/>
  <c r="AB1092" i="1"/>
  <c r="Z1092" i="1"/>
  <c r="X1092" i="1"/>
  <c r="K1092" i="1"/>
  <c r="N1092" i="1" s="1"/>
  <c r="D1092" i="1"/>
  <c r="AD783" i="1"/>
  <c r="AB783" i="1"/>
  <c r="Z783" i="1"/>
  <c r="X783" i="1"/>
  <c r="K783" i="1"/>
  <c r="N783" i="1" s="1"/>
  <c r="D783" i="1"/>
  <c r="AD1089" i="1"/>
  <c r="AB1089" i="1"/>
  <c r="Z1089" i="1"/>
  <c r="X1089" i="1"/>
  <c r="K1089" i="1"/>
  <c r="N1089" i="1" s="1"/>
  <c r="D1089" i="1"/>
  <c r="AD1088" i="1"/>
  <c r="AB1088" i="1"/>
  <c r="Z1088" i="1"/>
  <c r="X1088" i="1"/>
  <c r="K1088" i="1"/>
  <c r="N1088" i="1" s="1"/>
  <c r="D1088" i="1"/>
  <c r="AD1085" i="1"/>
  <c r="AB1085" i="1"/>
  <c r="Z1085" i="1"/>
  <c r="X1085" i="1"/>
  <c r="K1085" i="1"/>
  <c r="N1085" i="1" s="1"/>
  <c r="D1085" i="1"/>
  <c r="AD771" i="1"/>
  <c r="AB771" i="1"/>
  <c r="Z771" i="1"/>
  <c r="X771" i="1"/>
  <c r="K771" i="1"/>
  <c r="N771" i="1" s="1"/>
  <c r="D771" i="1"/>
  <c r="AD859" i="1"/>
  <c r="AB859" i="1"/>
  <c r="Z859" i="1"/>
  <c r="X859" i="1"/>
  <c r="K859" i="1"/>
  <c r="N859" i="1" s="1"/>
  <c r="D859" i="1"/>
  <c r="AD1082" i="1"/>
  <c r="AB1082" i="1"/>
  <c r="Z1082" i="1"/>
  <c r="X1082" i="1"/>
  <c r="K1082" i="1"/>
  <c r="N1082" i="1" s="1"/>
  <c r="D1082" i="1"/>
  <c r="AD1081" i="1"/>
  <c r="AB1081" i="1"/>
  <c r="Z1081" i="1"/>
  <c r="X1081" i="1"/>
  <c r="K1081" i="1"/>
  <c r="N1081" i="1" s="1"/>
  <c r="D1081" i="1"/>
  <c r="AD847" i="1"/>
  <c r="AB847" i="1"/>
  <c r="Z847" i="1"/>
  <c r="X847" i="1"/>
  <c r="K847" i="1"/>
  <c r="N847" i="1" s="1"/>
  <c r="D847" i="1"/>
  <c r="AD834" i="1"/>
  <c r="AB834" i="1"/>
  <c r="Z834" i="1"/>
  <c r="X834" i="1"/>
  <c r="K834" i="1"/>
  <c r="N834" i="1" s="1"/>
  <c r="D834" i="1"/>
  <c r="AD1080" i="1"/>
  <c r="AB1080" i="1"/>
  <c r="Z1080" i="1"/>
  <c r="X1080" i="1"/>
  <c r="K1080" i="1"/>
  <c r="N1080" i="1" s="1"/>
  <c r="D1080" i="1"/>
  <c r="AD822" i="1"/>
  <c r="AB822" i="1"/>
  <c r="Z822" i="1"/>
  <c r="X822" i="1"/>
  <c r="K822" i="1"/>
  <c r="N822" i="1" s="1"/>
  <c r="D822" i="1"/>
  <c r="AD1079" i="1"/>
  <c r="AB1079" i="1"/>
  <c r="Z1079" i="1"/>
  <c r="X1079" i="1"/>
  <c r="K1079" i="1"/>
  <c r="N1079" i="1" s="1"/>
  <c r="D1079" i="1"/>
  <c r="AD784" i="1"/>
  <c r="AB784" i="1"/>
  <c r="Z784" i="1"/>
  <c r="X784" i="1"/>
  <c r="K784" i="1"/>
  <c r="N784" i="1" s="1"/>
  <c r="D784" i="1"/>
  <c r="AD1076" i="1"/>
  <c r="AB1076" i="1"/>
  <c r="Z1076" i="1"/>
  <c r="X1076" i="1"/>
  <c r="K1076" i="1"/>
  <c r="N1076" i="1" s="1"/>
  <c r="D1076" i="1"/>
  <c r="AD1075" i="1"/>
  <c r="AB1075" i="1"/>
  <c r="Z1075" i="1"/>
  <c r="X1075" i="1"/>
  <c r="K1075" i="1"/>
  <c r="N1075" i="1" s="1"/>
  <c r="D1075" i="1"/>
  <c r="AD1105" i="1"/>
  <c r="AB1105" i="1"/>
  <c r="Z1105" i="1"/>
  <c r="X1105" i="1"/>
  <c r="K1105" i="1"/>
  <c r="N1105" i="1" s="1"/>
  <c r="D1105" i="1"/>
  <c r="AD1072" i="1"/>
  <c r="AB1072" i="1"/>
  <c r="Z1072" i="1"/>
  <c r="X1072" i="1"/>
  <c r="K1072" i="1"/>
  <c r="N1072" i="1" s="1"/>
  <c r="D1072" i="1"/>
  <c r="AD772" i="1"/>
  <c r="AB772" i="1"/>
  <c r="Z772" i="1"/>
  <c r="X772" i="1"/>
  <c r="K772" i="1"/>
  <c r="N772" i="1" s="1"/>
  <c r="D772" i="1"/>
  <c r="AD570" i="1"/>
  <c r="AB570" i="1"/>
  <c r="Z570" i="1"/>
  <c r="X570" i="1"/>
  <c r="K570" i="1"/>
  <c r="N570" i="1" s="1"/>
  <c r="D570" i="1"/>
  <c r="AD1069" i="1"/>
  <c r="AB1069" i="1"/>
  <c r="Z1069" i="1"/>
  <c r="X1069" i="1"/>
  <c r="K1069" i="1"/>
  <c r="N1069" i="1" s="1"/>
  <c r="D1069" i="1"/>
  <c r="AD1068" i="1"/>
  <c r="AB1068" i="1"/>
  <c r="Z1068" i="1"/>
  <c r="X1068" i="1"/>
  <c r="K1068" i="1"/>
  <c r="N1068" i="1" s="1"/>
  <c r="D1068" i="1"/>
  <c r="AD561" i="1"/>
  <c r="AB561" i="1"/>
  <c r="Z561" i="1"/>
  <c r="X561" i="1"/>
  <c r="K561" i="1"/>
  <c r="N561" i="1" s="1"/>
  <c r="D561" i="1"/>
  <c r="AD1067" i="1"/>
  <c r="AB1067" i="1"/>
  <c r="Z1067" i="1"/>
  <c r="X1067" i="1"/>
  <c r="K1067" i="1"/>
  <c r="N1067" i="1" s="1"/>
  <c r="D1067" i="1"/>
  <c r="AD548" i="1"/>
  <c r="AB548" i="1"/>
  <c r="Z548" i="1"/>
  <c r="X548" i="1"/>
  <c r="K548" i="1"/>
  <c r="N548" i="1" s="1"/>
  <c r="D548" i="1"/>
  <c r="AD1066" i="1"/>
  <c r="AB1066" i="1"/>
  <c r="Z1066" i="1"/>
  <c r="X1066" i="1"/>
  <c r="K1066" i="1"/>
  <c r="N1066" i="1" s="1"/>
  <c r="D1066" i="1"/>
  <c r="AD534" i="1"/>
  <c r="AB534" i="1"/>
  <c r="Z534" i="1"/>
  <c r="X534" i="1"/>
  <c r="K534" i="1"/>
  <c r="N534" i="1" s="1"/>
  <c r="D534" i="1"/>
  <c r="AD1063" i="1"/>
  <c r="AB1063" i="1"/>
  <c r="Z1063" i="1"/>
  <c r="X1063" i="1"/>
  <c r="K1063" i="1"/>
  <c r="N1063" i="1" s="1"/>
  <c r="D1063" i="1"/>
  <c r="AD1062" i="1"/>
  <c r="AB1062" i="1"/>
  <c r="Z1062" i="1"/>
  <c r="X1062" i="1"/>
  <c r="K1062" i="1"/>
  <c r="N1062" i="1" s="1"/>
  <c r="D1062" i="1"/>
  <c r="AD856" i="1"/>
  <c r="AB856" i="1"/>
  <c r="Z856" i="1"/>
  <c r="X856" i="1"/>
  <c r="K856" i="1"/>
  <c r="N856" i="1" s="1"/>
  <c r="D856" i="1"/>
  <c r="AD1093" i="1"/>
  <c r="AB1093" i="1"/>
  <c r="Z1093" i="1"/>
  <c r="X1093" i="1"/>
  <c r="K1093" i="1"/>
  <c r="N1093" i="1" s="1"/>
  <c r="D1093" i="1"/>
  <c r="AD1059" i="1"/>
  <c r="AB1059" i="1"/>
  <c r="Z1059" i="1"/>
  <c r="X1059" i="1"/>
  <c r="K1059" i="1"/>
  <c r="N1059" i="1" s="1"/>
  <c r="D1059" i="1"/>
  <c r="AD1058" i="1"/>
  <c r="AB1058" i="1"/>
  <c r="Z1058" i="1"/>
  <c r="X1058" i="1"/>
  <c r="K1058" i="1"/>
  <c r="N1058" i="1" s="1"/>
  <c r="D1058" i="1"/>
  <c r="AD844" i="1"/>
  <c r="AB844" i="1"/>
  <c r="Z844" i="1"/>
  <c r="X844" i="1"/>
  <c r="K844" i="1"/>
  <c r="N844" i="1" s="1"/>
  <c r="D844" i="1"/>
  <c r="AD1047" i="1"/>
  <c r="AB1047" i="1"/>
  <c r="Z1047" i="1"/>
  <c r="X1047" i="1"/>
  <c r="K1047" i="1"/>
  <c r="N1047" i="1" s="1"/>
  <c r="D1047" i="1"/>
  <c r="AD1055" i="1"/>
  <c r="AB1055" i="1"/>
  <c r="Z1055" i="1"/>
  <c r="X1055" i="1"/>
  <c r="K1055" i="1"/>
  <c r="N1055" i="1" s="1"/>
  <c r="D1055" i="1"/>
  <c r="AD1024" i="1"/>
  <c r="AB1024" i="1"/>
  <c r="Z1024" i="1"/>
  <c r="X1024" i="1"/>
  <c r="K1024" i="1"/>
  <c r="N1024" i="1" s="1"/>
  <c r="D1024" i="1"/>
  <c r="AD831" i="1"/>
  <c r="AB831" i="1"/>
  <c r="Z831" i="1"/>
  <c r="X831" i="1"/>
  <c r="K831" i="1"/>
  <c r="N831" i="1" s="1"/>
  <c r="D831" i="1"/>
  <c r="AD819" i="1"/>
  <c r="AB819" i="1"/>
  <c r="Z819" i="1"/>
  <c r="X819" i="1"/>
  <c r="K819" i="1"/>
  <c r="N819" i="1" s="1"/>
  <c r="D819" i="1"/>
  <c r="AD1050" i="1"/>
  <c r="AB1050" i="1"/>
  <c r="Z1050" i="1"/>
  <c r="X1050" i="1"/>
  <c r="K1050" i="1"/>
  <c r="N1050" i="1" s="1"/>
  <c r="D1050" i="1"/>
  <c r="AD1049" i="1"/>
  <c r="AB1049" i="1"/>
  <c r="Z1049" i="1"/>
  <c r="X1049" i="1"/>
  <c r="K1049" i="1"/>
  <c r="N1049" i="1" s="1"/>
  <c r="D1049" i="1"/>
  <c r="AD1029" i="1"/>
  <c r="AB1029" i="1"/>
  <c r="Z1029" i="1"/>
  <c r="X1029" i="1"/>
  <c r="K1029" i="1"/>
  <c r="N1029" i="1" s="1"/>
  <c r="D1029" i="1"/>
  <c r="AD1016" i="1"/>
  <c r="AB1016" i="1"/>
  <c r="Z1016" i="1"/>
  <c r="X1016" i="1"/>
  <c r="K1016" i="1"/>
  <c r="N1016" i="1" s="1"/>
  <c r="D1016" i="1"/>
  <c r="AD1021" i="1"/>
  <c r="AB1021" i="1"/>
  <c r="Z1021" i="1"/>
  <c r="X1021" i="1"/>
  <c r="K1021" i="1"/>
  <c r="N1021" i="1" s="1"/>
  <c r="D1021" i="1"/>
  <c r="AD744" i="1"/>
  <c r="AB744" i="1"/>
  <c r="Z744" i="1"/>
  <c r="X744" i="1"/>
  <c r="K744" i="1"/>
  <c r="N744" i="1" s="1"/>
  <c r="D744" i="1"/>
  <c r="AD1035" i="1"/>
  <c r="AB1035" i="1"/>
  <c r="Z1035" i="1"/>
  <c r="X1035" i="1"/>
  <c r="K1035" i="1"/>
  <c r="N1035" i="1" s="1"/>
  <c r="D1035" i="1"/>
  <c r="AD1043" i="1"/>
  <c r="AB1043" i="1"/>
  <c r="Z1043" i="1"/>
  <c r="X1043" i="1"/>
  <c r="K1043" i="1"/>
  <c r="N1043" i="1" s="1"/>
  <c r="D1043" i="1"/>
  <c r="AD1011" i="1"/>
  <c r="AB1011" i="1"/>
  <c r="Z1011" i="1"/>
  <c r="X1011" i="1"/>
  <c r="K1011" i="1"/>
  <c r="N1011" i="1" s="1"/>
  <c r="D1011" i="1"/>
  <c r="AD732" i="1"/>
  <c r="AB732" i="1"/>
  <c r="Z732" i="1"/>
  <c r="X732" i="1"/>
  <c r="K732" i="1"/>
  <c r="N732" i="1" s="1"/>
  <c r="D732" i="1"/>
  <c r="AD903" i="1"/>
  <c r="AB903" i="1"/>
  <c r="Z903" i="1"/>
  <c r="X903" i="1"/>
  <c r="K903" i="1"/>
  <c r="N903" i="1" s="1"/>
  <c r="D903" i="1"/>
  <c r="AD1038" i="1"/>
  <c r="AB1038" i="1"/>
  <c r="Z1038" i="1"/>
  <c r="X1038" i="1"/>
  <c r="K1038" i="1"/>
  <c r="N1038" i="1" s="1"/>
  <c r="D1038" i="1"/>
  <c r="AD1037" i="1"/>
  <c r="AB1037" i="1"/>
  <c r="Z1037" i="1"/>
  <c r="X1037" i="1"/>
  <c r="K1037" i="1"/>
  <c r="N1037" i="1" s="1"/>
  <c r="D1037" i="1"/>
  <c r="AD892" i="1"/>
  <c r="AB892" i="1"/>
  <c r="Z892" i="1"/>
  <c r="X892" i="1"/>
  <c r="K892" i="1"/>
  <c r="N892" i="1" s="1"/>
  <c r="D892" i="1"/>
  <c r="AD881" i="1"/>
  <c r="AB881" i="1"/>
  <c r="Z881" i="1"/>
  <c r="X881" i="1"/>
  <c r="K881" i="1"/>
  <c r="N881" i="1" s="1"/>
  <c r="D881" i="1"/>
  <c r="AD1008" i="1"/>
  <c r="AB1008" i="1"/>
  <c r="Z1008" i="1"/>
  <c r="X1008" i="1"/>
  <c r="K1008" i="1"/>
  <c r="N1008" i="1" s="1"/>
  <c r="D1008" i="1"/>
  <c r="AD1054" i="1"/>
  <c r="AB1054" i="1"/>
  <c r="Z1054" i="1"/>
  <c r="X1054" i="1"/>
  <c r="K1054" i="1"/>
  <c r="N1054" i="1" s="1"/>
  <c r="D1054" i="1"/>
  <c r="AD870" i="1"/>
  <c r="AB870" i="1"/>
  <c r="Z870" i="1"/>
  <c r="X870" i="1"/>
  <c r="K870" i="1"/>
  <c r="N870" i="1" s="1"/>
  <c r="D870" i="1"/>
  <c r="AD1022" i="1"/>
  <c r="AB1022" i="1"/>
  <c r="Z1022" i="1"/>
  <c r="X1022" i="1"/>
  <c r="K1022" i="1"/>
  <c r="N1022" i="1" s="1"/>
  <c r="D1022" i="1"/>
  <c r="AD1031" i="1"/>
  <c r="AB1031" i="1"/>
  <c r="Z1031" i="1"/>
  <c r="X1031" i="1"/>
  <c r="K1031" i="1"/>
  <c r="N1031" i="1" s="1"/>
  <c r="D1031" i="1"/>
  <c r="AD1004" i="1"/>
  <c r="AB1004" i="1"/>
  <c r="Z1004" i="1"/>
  <c r="X1004" i="1"/>
  <c r="K1004" i="1"/>
  <c r="N1004" i="1" s="1"/>
  <c r="D1004" i="1"/>
  <c r="AD993" i="1"/>
  <c r="AB993" i="1"/>
  <c r="Z993" i="1"/>
  <c r="X993" i="1"/>
  <c r="K993" i="1"/>
  <c r="N993" i="1" s="1"/>
  <c r="D993" i="1"/>
  <c r="AD1028" i="1"/>
  <c r="AB1028" i="1"/>
  <c r="Z1028" i="1"/>
  <c r="X1028" i="1"/>
  <c r="K1028" i="1"/>
  <c r="N1028" i="1" s="1"/>
  <c r="D1028" i="1"/>
  <c r="AD739" i="1"/>
  <c r="AB739" i="1"/>
  <c r="Z739" i="1"/>
  <c r="X739" i="1"/>
  <c r="K739" i="1"/>
  <c r="N739" i="1" s="1"/>
  <c r="D739" i="1"/>
  <c r="AD736" i="1"/>
  <c r="AB736" i="1"/>
  <c r="Z736" i="1"/>
  <c r="X736" i="1"/>
  <c r="K736" i="1"/>
  <c r="N736" i="1" s="1"/>
  <c r="D736" i="1"/>
  <c r="AD1025" i="1"/>
  <c r="AB1025" i="1"/>
  <c r="Z1025" i="1"/>
  <c r="X1025" i="1"/>
  <c r="K1025" i="1"/>
  <c r="N1025" i="1" s="1"/>
  <c r="D1025" i="1"/>
  <c r="AD1053" i="1"/>
  <c r="AB1053" i="1"/>
  <c r="Z1053" i="1"/>
  <c r="X1053" i="1"/>
  <c r="K1053" i="1"/>
  <c r="N1053" i="1" s="1"/>
  <c r="D1053" i="1"/>
  <c r="AD727" i="1"/>
  <c r="AB727" i="1"/>
  <c r="Z727" i="1"/>
  <c r="X727" i="1"/>
  <c r="K727" i="1"/>
  <c r="N727" i="1" s="1"/>
  <c r="D727" i="1"/>
  <c r="AD724" i="1"/>
  <c r="AB724" i="1"/>
  <c r="Z724" i="1"/>
  <c r="X724" i="1"/>
  <c r="K724" i="1"/>
  <c r="N724" i="1" s="1"/>
  <c r="D724" i="1"/>
  <c r="AD1046" i="1"/>
  <c r="AB1046" i="1"/>
  <c r="Z1046" i="1"/>
  <c r="X1046" i="1"/>
  <c r="K1046" i="1"/>
  <c r="N1046" i="1" s="1"/>
  <c r="D1046" i="1"/>
  <c r="AD1042" i="1"/>
  <c r="AB1042" i="1"/>
  <c r="Z1042" i="1"/>
  <c r="X1042" i="1"/>
  <c r="K1042" i="1"/>
  <c r="N1042" i="1" s="1"/>
  <c r="D1042" i="1"/>
  <c r="AD686" i="1"/>
  <c r="AB686" i="1"/>
  <c r="Z686" i="1"/>
  <c r="X686" i="1"/>
  <c r="K686" i="1"/>
  <c r="N686" i="1" s="1"/>
  <c r="D686" i="1"/>
  <c r="AD1009" i="1"/>
  <c r="AB1009" i="1"/>
  <c r="Z1009" i="1"/>
  <c r="X1009" i="1"/>
  <c r="K1009" i="1"/>
  <c r="N1009" i="1" s="1"/>
  <c r="D1009" i="1"/>
  <c r="AD1018" i="1"/>
  <c r="AB1018" i="1"/>
  <c r="Z1018" i="1"/>
  <c r="X1018" i="1"/>
  <c r="K1018" i="1"/>
  <c r="N1018" i="1" s="1"/>
  <c r="D1018" i="1"/>
  <c r="AD675" i="1"/>
  <c r="AB675" i="1"/>
  <c r="Z675" i="1"/>
  <c r="X675" i="1"/>
  <c r="K675" i="1"/>
  <c r="N675" i="1" s="1"/>
  <c r="D675" i="1"/>
  <c r="AD1142" i="1"/>
  <c r="AB1142" i="1"/>
  <c r="Z1142" i="1"/>
  <c r="X1142" i="1"/>
  <c r="K1142" i="1"/>
  <c r="N1142" i="1" s="1"/>
  <c r="D1142" i="1"/>
  <c r="AD1015" i="1"/>
  <c r="AB1015" i="1"/>
  <c r="Z1015" i="1"/>
  <c r="X1015" i="1"/>
  <c r="K1015" i="1"/>
  <c r="N1015" i="1" s="1"/>
  <c r="D1015" i="1"/>
  <c r="AD1135" i="1"/>
  <c r="AB1135" i="1"/>
  <c r="Z1135" i="1"/>
  <c r="X1135" i="1"/>
  <c r="K1135" i="1"/>
  <c r="N1135" i="1" s="1"/>
  <c r="D1135" i="1"/>
  <c r="AD1133" i="1"/>
  <c r="AB1133" i="1"/>
  <c r="Z1133" i="1"/>
  <c r="X1133" i="1"/>
  <c r="K1133" i="1"/>
  <c r="N1133" i="1" s="1"/>
  <c r="D1133" i="1"/>
  <c r="AD1012" i="1"/>
  <c r="AB1012" i="1"/>
  <c r="Z1012" i="1"/>
  <c r="X1012" i="1"/>
  <c r="K1012" i="1"/>
  <c r="N1012" i="1" s="1"/>
  <c r="D1012" i="1"/>
  <c r="AD1041" i="1"/>
  <c r="AB1041" i="1"/>
  <c r="Z1041" i="1"/>
  <c r="X1041" i="1"/>
  <c r="K1041" i="1"/>
  <c r="N1041" i="1" s="1"/>
  <c r="D1041" i="1"/>
  <c r="AD1125" i="1"/>
  <c r="AB1125" i="1"/>
  <c r="Z1125" i="1"/>
  <c r="X1125" i="1"/>
  <c r="K1125" i="1"/>
  <c r="N1125" i="1" s="1"/>
  <c r="D1125" i="1"/>
  <c r="AD1123" i="1"/>
  <c r="AB1123" i="1"/>
  <c r="Z1123" i="1"/>
  <c r="X1123" i="1"/>
  <c r="K1123" i="1"/>
  <c r="N1123" i="1" s="1"/>
  <c r="D1123" i="1"/>
  <c r="AD1034" i="1"/>
  <c r="AB1034" i="1"/>
  <c r="Z1034" i="1"/>
  <c r="X1034" i="1"/>
  <c r="K1034" i="1"/>
  <c r="N1034" i="1" s="1"/>
  <c r="D1034" i="1"/>
  <c r="AD1137" i="1"/>
  <c r="AB1137" i="1"/>
  <c r="Z1137" i="1"/>
  <c r="X1137" i="1"/>
  <c r="K1137" i="1"/>
  <c r="N1137" i="1" s="1"/>
  <c r="D1137" i="1"/>
  <c r="AD1118" i="1"/>
  <c r="AB1118" i="1"/>
  <c r="Z1118" i="1"/>
  <c r="X1118" i="1"/>
  <c r="K1118" i="1"/>
  <c r="N1118" i="1" s="1"/>
  <c r="D1118" i="1"/>
  <c r="AD1003" i="1"/>
  <c r="AB1003" i="1"/>
  <c r="Z1003" i="1"/>
  <c r="X1003" i="1"/>
  <c r="K1003" i="1"/>
  <c r="N1003" i="1" s="1"/>
  <c r="D1003" i="1"/>
  <c r="AD1116" i="1"/>
  <c r="AB1116" i="1"/>
  <c r="Z1116" i="1"/>
  <c r="X1116" i="1"/>
  <c r="K1116" i="1"/>
  <c r="N1116" i="1" s="1"/>
  <c r="D1116" i="1"/>
  <c r="AD1128" i="1"/>
  <c r="AB1128" i="1"/>
  <c r="Z1128" i="1"/>
  <c r="X1128" i="1"/>
  <c r="K1128" i="1"/>
  <c r="N1128" i="1" s="1"/>
  <c r="D1128" i="1"/>
  <c r="AD980" i="1"/>
  <c r="AB980" i="1"/>
  <c r="Z980" i="1"/>
  <c r="X980" i="1"/>
  <c r="K980" i="1"/>
  <c r="N980" i="1" s="1"/>
  <c r="D980" i="1"/>
  <c r="AD978" i="1"/>
  <c r="AB978" i="1"/>
  <c r="Z978" i="1"/>
  <c r="X978" i="1"/>
  <c r="K978" i="1"/>
  <c r="N978" i="1" s="1"/>
  <c r="D978" i="1"/>
  <c r="AD1111" i="1"/>
  <c r="AB1111" i="1"/>
  <c r="Z1111" i="1"/>
  <c r="X1111" i="1"/>
  <c r="K1111" i="1"/>
  <c r="N1111" i="1" s="1"/>
  <c r="D1111" i="1"/>
  <c r="AD976" i="1"/>
  <c r="AB976" i="1"/>
  <c r="Z976" i="1"/>
  <c r="X976" i="1"/>
  <c r="K976" i="1"/>
  <c r="N976" i="1" s="1"/>
  <c r="D976" i="1"/>
  <c r="AD1173" i="1"/>
  <c r="AB1173" i="1"/>
  <c r="Z1173" i="1"/>
  <c r="X1173" i="1"/>
  <c r="K1173" i="1"/>
  <c r="N1173" i="1" s="1"/>
  <c r="D1173" i="1"/>
  <c r="AD996" i="1"/>
  <c r="AB996" i="1"/>
  <c r="Z996" i="1"/>
  <c r="X996" i="1"/>
  <c r="K996" i="1"/>
  <c r="N996" i="1" s="1"/>
  <c r="D996" i="1"/>
  <c r="AD1163" i="1"/>
  <c r="AB1163" i="1"/>
  <c r="Z1163" i="1"/>
  <c r="X1163" i="1"/>
  <c r="K1163" i="1"/>
  <c r="N1163" i="1" s="1"/>
  <c r="D1163" i="1"/>
  <c r="AD992" i="1"/>
  <c r="AB992" i="1"/>
  <c r="Z992" i="1"/>
  <c r="X992" i="1"/>
  <c r="K992" i="1"/>
  <c r="N992" i="1" s="1"/>
  <c r="D992" i="1"/>
  <c r="AD1154" i="1"/>
  <c r="AB1154" i="1"/>
  <c r="Z1154" i="1"/>
  <c r="X1154" i="1"/>
  <c r="K1154" i="1"/>
  <c r="N1154" i="1" s="1"/>
  <c r="D1154" i="1"/>
  <c r="AD1146" i="1"/>
  <c r="AB1146" i="1"/>
  <c r="Z1146" i="1"/>
  <c r="X1146" i="1"/>
  <c r="K1146" i="1"/>
  <c r="N1146" i="1" s="1"/>
  <c r="D1146" i="1"/>
  <c r="AD968" i="1"/>
  <c r="AB968" i="1"/>
  <c r="Z968" i="1"/>
  <c r="X968" i="1"/>
  <c r="K968" i="1"/>
  <c r="N968" i="1" s="1"/>
  <c r="D968" i="1"/>
  <c r="AD974" i="1"/>
  <c r="AB974" i="1"/>
  <c r="Z974" i="1"/>
  <c r="X974" i="1"/>
  <c r="K974" i="1"/>
  <c r="N974" i="1" s="1"/>
  <c r="D974" i="1"/>
  <c r="AD485" i="1"/>
  <c r="AB485" i="1"/>
  <c r="Z485" i="1"/>
  <c r="X485" i="1"/>
  <c r="K485" i="1"/>
  <c r="N485" i="1" s="1"/>
  <c r="D485" i="1"/>
  <c r="AD964" i="1"/>
  <c r="AB964" i="1"/>
  <c r="Z964" i="1"/>
  <c r="X964" i="1"/>
  <c r="K964" i="1"/>
  <c r="N964" i="1" s="1"/>
  <c r="D964" i="1"/>
  <c r="AD476" i="1"/>
  <c r="AB476" i="1"/>
  <c r="Z476" i="1"/>
  <c r="X476" i="1"/>
  <c r="K476" i="1"/>
  <c r="N476" i="1" s="1"/>
  <c r="D476" i="1"/>
  <c r="AD985" i="1"/>
  <c r="AB985" i="1"/>
  <c r="Z985" i="1"/>
  <c r="X985" i="1"/>
  <c r="K985" i="1"/>
  <c r="N985" i="1" s="1"/>
  <c r="D985" i="1"/>
  <c r="AD467" i="1"/>
  <c r="AB467" i="1"/>
  <c r="Z467" i="1"/>
  <c r="X467" i="1"/>
  <c r="K467" i="1"/>
  <c r="N467" i="1" s="1"/>
  <c r="D467" i="1"/>
  <c r="AD982" i="1"/>
  <c r="AB982" i="1"/>
  <c r="Z982" i="1"/>
  <c r="X982" i="1"/>
  <c r="K982" i="1"/>
  <c r="N982" i="1" s="1"/>
  <c r="D982" i="1"/>
  <c r="AD1001" i="1"/>
  <c r="AB1001" i="1"/>
  <c r="Z1001" i="1"/>
  <c r="X1001" i="1"/>
  <c r="K1001" i="1"/>
  <c r="N1001" i="1" s="1"/>
  <c r="D1001" i="1"/>
  <c r="AD457" i="1"/>
  <c r="AB457" i="1"/>
  <c r="Z457" i="1"/>
  <c r="X457" i="1"/>
  <c r="K457" i="1"/>
  <c r="N457" i="1" s="1"/>
  <c r="D457" i="1"/>
  <c r="AD999" i="1"/>
  <c r="AB999" i="1"/>
  <c r="Z999" i="1"/>
  <c r="X999" i="1"/>
  <c r="K999" i="1"/>
  <c r="N999" i="1" s="1"/>
  <c r="D999" i="1"/>
  <c r="AD451" i="1"/>
  <c r="AB451" i="1"/>
  <c r="Z451" i="1"/>
  <c r="X451" i="1"/>
  <c r="K451" i="1"/>
  <c r="N451" i="1" s="1"/>
  <c r="D451" i="1"/>
  <c r="AD979" i="1"/>
  <c r="AB979" i="1"/>
  <c r="Z979" i="1"/>
  <c r="X979" i="1"/>
  <c r="K979" i="1"/>
  <c r="N979" i="1" s="1"/>
  <c r="D979" i="1"/>
  <c r="AD966" i="1"/>
  <c r="AB966" i="1"/>
  <c r="Z966" i="1"/>
  <c r="X966" i="1"/>
  <c r="K966" i="1"/>
  <c r="N966" i="1" s="1"/>
  <c r="D966" i="1"/>
  <c r="AD443" i="1"/>
  <c r="AB443" i="1"/>
  <c r="Z443" i="1"/>
  <c r="X443" i="1"/>
  <c r="K443" i="1"/>
  <c r="N443" i="1" s="1"/>
  <c r="D443" i="1"/>
  <c r="AD1005" i="1"/>
  <c r="AB1005" i="1"/>
  <c r="Z1005" i="1"/>
  <c r="X1005" i="1"/>
  <c r="K1005" i="1"/>
  <c r="N1005" i="1" s="1"/>
  <c r="D1005" i="1"/>
  <c r="AD435" i="1"/>
  <c r="AB435" i="1"/>
  <c r="Z435" i="1"/>
  <c r="X435" i="1"/>
  <c r="K435" i="1"/>
  <c r="N435" i="1" s="1"/>
  <c r="D435" i="1"/>
  <c r="AD988" i="1"/>
  <c r="AB988" i="1"/>
  <c r="Z988" i="1"/>
  <c r="X988" i="1"/>
  <c r="K988" i="1"/>
  <c r="N988" i="1" s="1"/>
  <c r="D988" i="1"/>
  <c r="AD973" i="1"/>
  <c r="AB973" i="1"/>
  <c r="Z973" i="1"/>
  <c r="X973" i="1"/>
  <c r="K973" i="1"/>
  <c r="N973" i="1" s="1"/>
  <c r="D973" i="1"/>
  <c r="AD972" i="1"/>
  <c r="AB972" i="1"/>
  <c r="Z972" i="1"/>
  <c r="X972" i="1"/>
  <c r="K972" i="1"/>
  <c r="N972" i="1" s="1"/>
  <c r="D972" i="1"/>
  <c r="AD970" i="1"/>
  <c r="AB970" i="1"/>
  <c r="Z970" i="1"/>
  <c r="X970" i="1"/>
  <c r="K970" i="1"/>
  <c r="N970" i="1" s="1"/>
  <c r="D970" i="1"/>
  <c r="AD990" i="1"/>
  <c r="AB990" i="1"/>
  <c r="Z990" i="1"/>
  <c r="X990" i="1"/>
  <c r="K990" i="1"/>
  <c r="N990" i="1" s="1"/>
  <c r="D990" i="1"/>
  <c r="AD424" i="1"/>
  <c r="AB424" i="1"/>
  <c r="Z424" i="1"/>
  <c r="X424" i="1"/>
  <c r="K424" i="1"/>
  <c r="N424" i="1" s="1"/>
  <c r="D424" i="1"/>
  <c r="AD997" i="1"/>
  <c r="AB997" i="1"/>
  <c r="Z997" i="1"/>
  <c r="X997" i="1"/>
  <c r="K997" i="1"/>
  <c r="N997" i="1" s="1"/>
  <c r="D997" i="1"/>
  <c r="AD1090" i="1"/>
  <c r="AB1090" i="1"/>
  <c r="Z1090" i="1"/>
  <c r="X1090" i="1"/>
  <c r="K1090" i="1"/>
  <c r="N1090" i="1" s="1"/>
  <c r="D1090" i="1"/>
  <c r="AD967" i="1"/>
  <c r="AB967" i="1"/>
  <c r="Z967" i="1"/>
  <c r="X967" i="1"/>
  <c r="K967" i="1"/>
  <c r="N967" i="1" s="1"/>
  <c r="D967" i="1"/>
  <c r="AD962" i="1"/>
  <c r="AB962" i="1"/>
  <c r="Z962" i="1"/>
  <c r="X962" i="1"/>
  <c r="K962" i="1"/>
  <c r="N962" i="1" s="1"/>
  <c r="D962" i="1"/>
  <c r="AD1077" i="1"/>
  <c r="AB1077" i="1"/>
  <c r="Z1077" i="1"/>
  <c r="X1077" i="1"/>
  <c r="K1077" i="1"/>
  <c r="N1077" i="1" s="1"/>
  <c r="D1077" i="1"/>
  <c r="AD994" i="1"/>
  <c r="AB994" i="1"/>
  <c r="Z994" i="1"/>
  <c r="X994" i="1"/>
  <c r="K994" i="1"/>
  <c r="N994" i="1" s="1"/>
  <c r="D994" i="1"/>
  <c r="AD1064" i="1"/>
  <c r="AB1064" i="1"/>
  <c r="Z1064" i="1"/>
  <c r="X1064" i="1"/>
  <c r="K1064" i="1"/>
  <c r="N1064" i="1" s="1"/>
  <c r="D1064" i="1"/>
  <c r="AD986" i="1"/>
  <c r="AB986" i="1"/>
  <c r="Z986" i="1"/>
  <c r="X986" i="1"/>
  <c r="K986" i="1"/>
  <c r="N986" i="1" s="1"/>
  <c r="D986" i="1"/>
  <c r="AD961" i="1"/>
  <c r="AB961" i="1"/>
  <c r="Z961" i="1"/>
  <c r="X961" i="1"/>
  <c r="K961" i="1"/>
  <c r="N961" i="1" s="1"/>
  <c r="D961" i="1"/>
  <c r="AD1007" i="1"/>
  <c r="AB1007" i="1"/>
  <c r="Z1007" i="1"/>
  <c r="X1007" i="1"/>
  <c r="K1007" i="1"/>
  <c r="N1007" i="1" s="1"/>
  <c r="D1007" i="1"/>
  <c r="AD960" i="1"/>
  <c r="AB960" i="1"/>
  <c r="Z960" i="1"/>
  <c r="X960" i="1"/>
  <c r="K960" i="1"/>
  <c r="N960" i="1" s="1"/>
  <c r="D960" i="1"/>
  <c r="AD956" i="1"/>
  <c r="AB956" i="1"/>
  <c r="Z956" i="1"/>
  <c r="X956" i="1"/>
  <c r="K956" i="1"/>
  <c r="N956" i="1" s="1"/>
  <c r="D956" i="1"/>
  <c r="AD958" i="1"/>
  <c r="AB958" i="1"/>
  <c r="Z958" i="1"/>
  <c r="X958" i="1"/>
  <c r="K958" i="1"/>
  <c r="N958" i="1" s="1"/>
  <c r="D958" i="1"/>
  <c r="AD1051" i="1"/>
  <c r="AB1051" i="1"/>
  <c r="Z1051" i="1"/>
  <c r="X1051" i="1"/>
  <c r="K1051" i="1"/>
  <c r="N1051" i="1" s="1"/>
  <c r="D1051" i="1"/>
  <c r="AD957" i="1"/>
  <c r="AB957" i="1"/>
  <c r="Z957" i="1"/>
  <c r="X957" i="1"/>
  <c r="K957" i="1"/>
  <c r="N957" i="1" s="1"/>
  <c r="D957" i="1"/>
  <c r="AD1039" i="1"/>
  <c r="AB1039" i="1"/>
  <c r="Z1039" i="1"/>
  <c r="X1039" i="1"/>
  <c r="K1039" i="1"/>
  <c r="N1039" i="1" s="1"/>
  <c r="D1039" i="1"/>
  <c r="AD955" i="1"/>
  <c r="AB955" i="1"/>
  <c r="Z955" i="1"/>
  <c r="X955" i="1"/>
  <c r="K955" i="1"/>
  <c r="N955" i="1" s="1"/>
  <c r="D955" i="1"/>
  <c r="AD952" i="1"/>
  <c r="AB952" i="1"/>
  <c r="Z952" i="1"/>
  <c r="X952" i="1"/>
  <c r="K952" i="1"/>
  <c r="N952" i="1" s="1"/>
  <c r="D952" i="1"/>
  <c r="AD953" i="1"/>
  <c r="AB953" i="1"/>
  <c r="Z953" i="1"/>
  <c r="X953" i="1"/>
  <c r="K953" i="1"/>
  <c r="N953" i="1" s="1"/>
  <c r="D953" i="1"/>
  <c r="AD1026" i="1"/>
  <c r="AB1026" i="1"/>
  <c r="Z1026" i="1"/>
  <c r="X1026" i="1"/>
  <c r="K1026" i="1"/>
  <c r="N1026" i="1" s="1"/>
  <c r="D1026" i="1"/>
  <c r="AD1013" i="1"/>
  <c r="AB1013" i="1"/>
  <c r="Z1013" i="1"/>
  <c r="X1013" i="1"/>
  <c r="K1013" i="1"/>
  <c r="N1013" i="1" s="1"/>
  <c r="D1013" i="1"/>
  <c r="AD948" i="1"/>
  <c r="AB948" i="1"/>
  <c r="Z948" i="1"/>
  <c r="X948" i="1"/>
  <c r="K948" i="1"/>
  <c r="N948" i="1" s="1"/>
  <c r="D948" i="1"/>
  <c r="AD944" i="1"/>
  <c r="AB944" i="1"/>
  <c r="Z944" i="1"/>
  <c r="X944" i="1"/>
  <c r="K944" i="1"/>
  <c r="N944" i="1" s="1"/>
  <c r="D944" i="1"/>
  <c r="AD946" i="1"/>
  <c r="AB946" i="1"/>
  <c r="Z946" i="1"/>
  <c r="X946" i="1"/>
  <c r="K946" i="1"/>
  <c r="N946" i="1" s="1"/>
  <c r="D946" i="1"/>
  <c r="AD904" i="1"/>
  <c r="AB904" i="1"/>
  <c r="Z904" i="1"/>
  <c r="X904" i="1"/>
  <c r="K904" i="1"/>
  <c r="N904" i="1" s="1"/>
  <c r="D904" i="1"/>
  <c r="A904" i="1"/>
  <c r="AD945" i="1"/>
  <c r="AB945" i="1"/>
  <c r="Z945" i="1"/>
  <c r="X945" i="1"/>
  <c r="K945" i="1"/>
  <c r="N945" i="1" s="1"/>
  <c r="D945" i="1"/>
  <c r="AD893" i="1"/>
  <c r="AB893" i="1"/>
  <c r="Z893" i="1"/>
  <c r="X893" i="1"/>
  <c r="K893" i="1"/>
  <c r="N893" i="1" s="1"/>
  <c r="D893" i="1"/>
  <c r="A893" i="1"/>
  <c r="AD942" i="1"/>
  <c r="AB942" i="1"/>
  <c r="Z942" i="1"/>
  <c r="X942" i="1"/>
  <c r="K942" i="1"/>
  <c r="N942" i="1" s="1"/>
  <c r="D942" i="1"/>
  <c r="AD939" i="1"/>
  <c r="AB939" i="1"/>
  <c r="Z939" i="1"/>
  <c r="X939" i="1"/>
  <c r="K939" i="1"/>
  <c r="N939" i="1" s="1"/>
  <c r="D939" i="1"/>
  <c r="AD940" i="1"/>
  <c r="AB940" i="1"/>
  <c r="Z940" i="1"/>
  <c r="X940" i="1"/>
  <c r="K940" i="1"/>
  <c r="N940" i="1" s="1"/>
  <c r="D940" i="1"/>
  <c r="AD882" i="1"/>
  <c r="AB882" i="1"/>
  <c r="Z882" i="1"/>
  <c r="X882" i="1"/>
  <c r="K882" i="1"/>
  <c r="N882" i="1" s="1"/>
  <c r="D882" i="1"/>
  <c r="A882" i="1"/>
  <c r="AD871" i="1"/>
  <c r="AB871" i="1"/>
  <c r="Z871" i="1"/>
  <c r="X871" i="1"/>
  <c r="K871" i="1"/>
  <c r="N871" i="1" s="1"/>
  <c r="D871" i="1"/>
  <c r="A871" i="1"/>
  <c r="AD694" i="1"/>
  <c r="AB694" i="1"/>
  <c r="Z694" i="1"/>
  <c r="X694" i="1"/>
  <c r="K694" i="1"/>
  <c r="N694" i="1" s="1"/>
  <c r="D694" i="1"/>
  <c r="AD935" i="1"/>
  <c r="AB935" i="1"/>
  <c r="Z935" i="1"/>
  <c r="X935" i="1"/>
  <c r="K935" i="1"/>
  <c r="N935" i="1" s="1"/>
  <c r="D935" i="1"/>
  <c r="AD933" i="1"/>
  <c r="AB933" i="1"/>
  <c r="Z933" i="1"/>
  <c r="X933" i="1"/>
  <c r="K933" i="1"/>
  <c r="N933" i="1" s="1"/>
  <c r="D933" i="1"/>
  <c r="AD684" i="1"/>
  <c r="AB684" i="1"/>
  <c r="Z684" i="1"/>
  <c r="X684" i="1"/>
  <c r="K684" i="1"/>
  <c r="N684" i="1" s="1"/>
  <c r="D684" i="1"/>
  <c r="AD932" i="1"/>
  <c r="AB932" i="1"/>
  <c r="Z932" i="1"/>
  <c r="X932" i="1"/>
  <c r="K932" i="1"/>
  <c r="N932" i="1" s="1"/>
  <c r="D932" i="1"/>
  <c r="AD719" i="1"/>
  <c r="AB719" i="1"/>
  <c r="Z719" i="1"/>
  <c r="X719" i="1"/>
  <c r="K719" i="1"/>
  <c r="N719" i="1" s="1"/>
  <c r="AD930" i="1"/>
  <c r="AB930" i="1"/>
  <c r="Z930" i="1"/>
  <c r="X930" i="1"/>
  <c r="K930" i="1"/>
  <c r="N930" i="1" s="1"/>
  <c r="D930" i="1"/>
  <c r="AD927" i="1"/>
  <c r="AB927" i="1"/>
  <c r="Z927" i="1"/>
  <c r="X927" i="1"/>
  <c r="K927" i="1"/>
  <c r="N927" i="1" s="1"/>
  <c r="D927" i="1"/>
  <c r="AD673" i="1"/>
  <c r="AB673" i="1"/>
  <c r="Z673" i="1"/>
  <c r="X673" i="1"/>
  <c r="K673" i="1"/>
  <c r="N673" i="1" s="1"/>
  <c r="D673" i="1"/>
  <c r="AD928" i="1"/>
  <c r="AB928" i="1"/>
  <c r="Z928" i="1"/>
  <c r="X928" i="1"/>
  <c r="K928" i="1"/>
  <c r="N928" i="1" s="1"/>
  <c r="D928" i="1"/>
  <c r="AD718" i="1"/>
  <c r="AB718" i="1"/>
  <c r="Z718" i="1"/>
  <c r="X718" i="1"/>
  <c r="K718" i="1"/>
  <c r="N718" i="1" s="1"/>
  <c r="D718" i="1"/>
  <c r="AD706" i="1"/>
  <c r="AB706" i="1"/>
  <c r="Z706" i="1"/>
  <c r="X706" i="1"/>
  <c r="K706" i="1"/>
  <c r="N706" i="1" s="1"/>
  <c r="D706" i="1"/>
  <c r="AD977" i="1"/>
  <c r="AB977" i="1"/>
  <c r="Z977" i="1"/>
  <c r="X977" i="1"/>
  <c r="K977" i="1"/>
  <c r="N977" i="1" s="1"/>
  <c r="D977" i="1"/>
  <c r="AD965" i="1"/>
  <c r="AB965" i="1"/>
  <c r="Z965" i="1"/>
  <c r="X965" i="1"/>
  <c r="K965" i="1"/>
  <c r="N965" i="1" s="1"/>
  <c r="D965" i="1"/>
  <c r="AD923" i="1"/>
  <c r="AB923" i="1"/>
  <c r="Z923" i="1"/>
  <c r="X923" i="1"/>
  <c r="K923" i="1"/>
  <c r="N923" i="1" s="1"/>
  <c r="D923" i="1"/>
  <c r="AD921" i="1"/>
  <c r="AB921" i="1"/>
  <c r="Z921" i="1"/>
  <c r="X921" i="1"/>
  <c r="K921" i="1"/>
  <c r="N921" i="1" s="1"/>
  <c r="D921" i="1"/>
  <c r="AD959" i="1"/>
  <c r="AB959" i="1"/>
  <c r="Z959" i="1"/>
  <c r="X959" i="1"/>
  <c r="K959" i="1"/>
  <c r="N959" i="1" s="1"/>
  <c r="D959" i="1"/>
  <c r="AD920" i="1"/>
  <c r="AB920" i="1"/>
  <c r="Z920" i="1"/>
  <c r="X920" i="1"/>
  <c r="K920" i="1"/>
  <c r="N920" i="1" s="1"/>
  <c r="D920" i="1"/>
  <c r="AD947" i="1"/>
  <c r="AB947" i="1"/>
  <c r="Z947" i="1"/>
  <c r="X947" i="1"/>
  <c r="K947" i="1"/>
  <c r="N947" i="1" s="1"/>
  <c r="D947" i="1"/>
  <c r="AD918" i="1"/>
  <c r="AB918" i="1"/>
  <c r="Z918" i="1"/>
  <c r="X918" i="1"/>
  <c r="K918" i="1"/>
  <c r="N918" i="1" s="1"/>
  <c r="D918" i="1"/>
  <c r="AD915" i="1"/>
  <c r="AB915" i="1"/>
  <c r="Z915" i="1"/>
  <c r="X915" i="1"/>
  <c r="K915" i="1"/>
  <c r="N915" i="1" s="1"/>
  <c r="D915" i="1"/>
  <c r="AD813" i="1"/>
  <c r="AB813" i="1"/>
  <c r="Z813" i="1"/>
  <c r="X813" i="1"/>
  <c r="K813" i="1"/>
  <c r="N813" i="1" s="1"/>
  <c r="D813" i="1"/>
  <c r="AD916" i="1"/>
  <c r="AB916" i="1"/>
  <c r="Z916" i="1"/>
  <c r="X916" i="1"/>
  <c r="K916" i="1"/>
  <c r="N916" i="1" s="1"/>
  <c r="D916" i="1"/>
  <c r="AD802" i="1"/>
  <c r="AB802" i="1"/>
  <c r="Z802" i="1"/>
  <c r="X802" i="1"/>
  <c r="K802" i="1"/>
  <c r="N802" i="1" s="1"/>
  <c r="D802" i="1"/>
  <c r="AD913" i="1"/>
  <c r="AB913" i="1"/>
  <c r="Z913" i="1"/>
  <c r="X913" i="1"/>
  <c r="K913" i="1"/>
  <c r="N913" i="1" s="1"/>
  <c r="D913" i="1"/>
  <c r="AD912" i="1"/>
  <c r="AB912" i="1"/>
  <c r="Z912" i="1"/>
  <c r="X912" i="1"/>
  <c r="K912" i="1"/>
  <c r="N912" i="1" s="1"/>
  <c r="D912" i="1"/>
  <c r="AD911" i="1"/>
  <c r="AB911" i="1"/>
  <c r="Z911" i="1"/>
  <c r="X911" i="1"/>
  <c r="K911" i="1"/>
  <c r="N911" i="1" s="1"/>
  <c r="D911" i="1"/>
  <c r="AD910" i="1"/>
  <c r="AB910" i="1"/>
  <c r="Z910" i="1"/>
  <c r="X910" i="1"/>
  <c r="K910" i="1"/>
  <c r="N910" i="1" s="1"/>
  <c r="D910" i="1"/>
  <c r="AD981" i="1"/>
  <c r="AB981" i="1"/>
  <c r="Z981" i="1"/>
  <c r="X981" i="1"/>
  <c r="K981" i="1"/>
  <c r="N981" i="1" s="1"/>
  <c r="D981" i="1"/>
  <c r="AD908" i="1"/>
  <c r="AB908" i="1"/>
  <c r="Z908" i="1"/>
  <c r="X908" i="1"/>
  <c r="K908" i="1"/>
  <c r="N908" i="1" s="1"/>
  <c r="D908" i="1"/>
  <c r="AD906" i="1"/>
  <c r="AB906" i="1"/>
  <c r="Z906" i="1"/>
  <c r="X906" i="1"/>
  <c r="K906" i="1"/>
  <c r="N906" i="1" s="1"/>
  <c r="D906" i="1"/>
  <c r="AD905" i="1"/>
  <c r="AB905" i="1"/>
  <c r="Z905" i="1"/>
  <c r="X905" i="1"/>
  <c r="K905" i="1"/>
  <c r="N905" i="1" s="1"/>
  <c r="D905" i="1"/>
  <c r="AD901" i="1"/>
  <c r="AB901" i="1"/>
  <c r="Z901" i="1"/>
  <c r="X901" i="1"/>
  <c r="K901" i="1"/>
  <c r="N901" i="1" s="1"/>
  <c r="D901" i="1"/>
  <c r="A901" i="1"/>
  <c r="AD969" i="1"/>
  <c r="AB969" i="1"/>
  <c r="Z969" i="1"/>
  <c r="X969" i="1"/>
  <c r="K969" i="1"/>
  <c r="N969" i="1" s="1"/>
  <c r="D969" i="1"/>
  <c r="AD902" i="1"/>
  <c r="AB902" i="1"/>
  <c r="Z902" i="1"/>
  <c r="X902" i="1"/>
  <c r="K902" i="1"/>
  <c r="N902" i="1" s="1"/>
  <c r="D902" i="1"/>
  <c r="AD954" i="1"/>
  <c r="AB954" i="1"/>
  <c r="Z954" i="1"/>
  <c r="X954" i="1"/>
  <c r="K954" i="1"/>
  <c r="N954" i="1" s="1"/>
  <c r="D954" i="1"/>
  <c r="AD941" i="1"/>
  <c r="AB941" i="1"/>
  <c r="Z941" i="1"/>
  <c r="X941" i="1"/>
  <c r="K941" i="1"/>
  <c r="N941" i="1" s="1"/>
  <c r="D941" i="1"/>
  <c r="AD900" i="1"/>
  <c r="AB900" i="1"/>
  <c r="Z900" i="1"/>
  <c r="X900" i="1"/>
  <c r="K900" i="1"/>
  <c r="N900" i="1" s="1"/>
  <c r="D900" i="1"/>
  <c r="AD899" i="1"/>
  <c r="AB899" i="1"/>
  <c r="Z899" i="1"/>
  <c r="X899" i="1"/>
  <c r="K899" i="1"/>
  <c r="N899" i="1" s="1"/>
  <c r="D899" i="1"/>
  <c r="AD839" i="1"/>
  <c r="AB839" i="1"/>
  <c r="Z839" i="1"/>
  <c r="X839" i="1"/>
  <c r="K839" i="1"/>
  <c r="N839" i="1" s="1"/>
  <c r="D839" i="1"/>
  <c r="AD897" i="1"/>
  <c r="AB897" i="1"/>
  <c r="Z897" i="1"/>
  <c r="X897" i="1"/>
  <c r="K897" i="1"/>
  <c r="N897" i="1" s="1"/>
  <c r="D897" i="1"/>
  <c r="AD895" i="1"/>
  <c r="AB895" i="1"/>
  <c r="Z895" i="1"/>
  <c r="X895" i="1"/>
  <c r="K895" i="1"/>
  <c r="N895" i="1" s="1"/>
  <c r="D895" i="1"/>
  <c r="AD894" i="1"/>
  <c r="AB894" i="1"/>
  <c r="Z894" i="1"/>
  <c r="X894" i="1"/>
  <c r="K894" i="1"/>
  <c r="N894" i="1" s="1"/>
  <c r="D894" i="1"/>
  <c r="AD890" i="1"/>
  <c r="AB890" i="1"/>
  <c r="Z890" i="1"/>
  <c r="X890" i="1"/>
  <c r="K890" i="1"/>
  <c r="N890" i="1" s="1"/>
  <c r="D890" i="1"/>
  <c r="A890" i="1"/>
  <c r="AD826" i="1"/>
  <c r="AB826" i="1"/>
  <c r="Z826" i="1"/>
  <c r="X826" i="1"/>
  <c r="K826" i="1"/>
  <c r="N826" i="1" s="1"/>
  <c r="D826" i="1"/>
  <c r="AD891" i="1"/>
  <c r="AB891" i="1"/>
  <c r="Z891" i="1"/>
  <c r="X891" i="1"/>
  <c r="K891" i="1"/>
  <c r="N891" i="1" s="1"/>
  <c r="D891" i="1"/>
  <c r="AD767" i="1"/>
  <c r="AB767" i="1"/>
  <c r="Z767" i="1"/>
  <c r="X767" i="1"/>
  <c r="K767" i="1"/>
  <c r="N767" i="1" s="1"/>
  <c r="D767" i="1"/>
  <c r="AD766" i="1"/>
  <c r="AB766" i="1"/>
  <c r="Z766" i="1"/>
  <c r="X766" i="1"/>
  <c r="K766" i="1"/>
  <c r="N766" i="1" s="1"/>
  <c r="D766" i="1"/>
  <c r="AD889" i="1"/>
  <c r="AB889" i="1"/>
  <c r="Z889" i="1"/>
  <c r="X889" i="1"/>
  <c r="K889" i="1"/>
  <c r="N889" i="1" s="1"/>
  <c r="D889" i="1"/>
  <c r="AD888" i="1"/>
  <c r="AB888" i="1"/>
  <c r="Z888" i="1"/>
  <c r="X888" i="1"/>
  <c r="K888" i="1"/>
  <c r="N888" i="1" s="1"/>
  <c r="D888" i="1"/>
  <c r="AD886" i="1"/>
  <c r="AB886" i="1"/>
  <c r="Z886" i="1"/>
  <c r="X886" i="1"/>
  <c r="K886" i="1"/>
  <c r="N886" i="1" s="1"/>
  <c r="D886" i="1"/>
  <c r="AD885" i="1"/>
  <c r="AB885" i="1"/>
  <c r="Z885" i="1"/>
  <c r="X885" i="1"/>
  <c r="K885" i="1"/>
  <c r="N885" i="1" s="1"/>
  <c r="D885" i="1"/>
  <c r="AD756" i="1"/>
  <c r="AB756" i="1"/>
  <c r="Z756" i="1"/>
  <c r="X756" i="1"/>
  <c r="K756" i="1"/>
  <c r="N756" i="1" s="1"/>
  <c r="D756" i="1"/>
  <c r="AD883" i="1"/>
  <c r="AB883" i="1"/>
  <c r="Z883" i="1"/>
  <c r="X883" i="1"/>
  <c r="K883" i="1"/>
  <c r="N883" i="1" s="1"/>
  <c r="D883" i="1"/>
  <c r="AD879" i="1"/>
  <c r="AB879" i="1"/>
  <c r="Z879" i="1"/>
  <c r="X879" i="1"/>
  <c r="K879" i="1"/>
  <c r="N879" i="1" s="1"/>
  <c r="D879" i="1"/>
  <c r="A879" i="1"/>
  <c r="AD755" i="1"/>
  <c r="AB755" i="1"/>
  <c r="Z755" i="1"/>
  <c r="X755" i="1"/>
  <c r="K755" i="1"/>
  <c r="N755" i="1" s="1"/>
  <c r="D755" i="1"/>
  <c r="AD880" i="1"/>
  <c r="AB880" i="1"/>
  <c r="Z880" i="1"/>
  <c r="X880" i="1"/>
  <c r="K880" i="1"/>
  <c r="N880" i="1" s="1"/>
  <c r="D880" i="1"/>
  <c r="AD1052" i="1"/>
  <c r="AB1052" i="1"/>
  <c r="Z1052" i="1"/>
  <c r="X1052" i="1"/>
  <c r="K1052" i="1"/>
  <c r="N1052" i="1" s="1"/>
  <c r="D1052" i="1"/>
  <c r="AD1040" i="1"/>
  <c r="AB1040" i="1"/>
  <c r="Z1040" i="1"/>
  <c r="X1040" i="1"/>
  <c r="K1040" i="1"/>
  <c r="N1040" i="1" s="1"/>
  <c r="D1040" i="1"/>
  <c r="AD878" i="1"/>
  <c r="AB878" i="1"/>
  <c r="Z878" i="1"/>
  <c r="X878" i="1"/>
  <c r="K878" i="1"/>
  <c r="N878" i="1" s="1"/>
  <c r="D878" i="1"/>
  <c r="AD877" i="1"/>
  <c r="AB877" i="1"/>
  <c r="Z877" i="1"/>
  <c r="X877" i="1"/>
  <c r="K877" i="1"/>
  <c r="N877" i="1" s="1"/>
  <c r="D877" i="1"/>
  <c r="AD875" i="1"/>
  <c r="AB875" i="1"/>
  <c r="Z875" i="1"/>
  <c r="X875" i="1"/>
  <c r="K875" i="1"/>
  <c r="N875" i="1" s="1"/>
  <c r="D875" i="1"/>
  <c r="AD874" i="1"/>
  <c r="AB874" i="1"/>
  <c r="Z874" i="1"/>
  <c r="X874" i="1"/>
  <c r="K874" i="1"/>
  <c r="N874" i="1" s="1"/>
  <c r="D874" i="1"/>
  <c r="AD1027" i="1"/>
  <c r="AB1027" i="1"/>
  <c r="Z1027" i="1"/>
  <c r="X1027" i="1"/>
  <c r="K1027" i="1"/>
  <c r="N1027" i="1" s="1"/>
  <c r="D1027" i="1"/>
  <c r="AD872" i="1"/>
  <c r="AB872" i="1"/>
  <c r="Z872" i="1"/>
  <c r="X872" i="1"/>
  <c r="K872" i="1"/>
  <c r="N872" i="1" s="1"/>
  <c r="D872" i="1"/>
  <c r="AD868" i="1"/>
  <c r="AB868" i="1"/>
  <c r="Z868" i="1"/>
  <c r="X868" i="1"/>
  <c r="K868" i="1"/>
  <c r="N868" i="1" s="1"/>
  <c r="D868" i="1"/>
  <c r="A868" i="1"/>
  <c r="AD1014" i="1"/>
  <c r="AB1014" i="1"/>
  <c r="Z1014" i="1"/>
  <c r="X1014" i="1"/>
  <c r="K1014" i="1"/>
  <c r="N1014" i="1" s="1"/>
  <c r="D1014" i="1"/>
  <c r="AD869" i="1"/>
  <c r="AB869" i="1"/>
  <c r="Z869" i="1"/>
  <c r="X869" i="1"/>
  <c r="K869" i="1"/>
  <c r="N869" i="1" s="1"/>
  <c r="D869" i="1"/>
  <c r="AD1048" i="1"/>
  <c r="AB1048" i="1"/>
  <c r="Z1048" i="1"/>
  <c r="X1048" i="1"/>
  <c r="K1048" i="1"/>
  <c r="N1048" i="1" s="1"/>
  <c r="D1048" i="1"/>
  <c r="AD1036" i="1"/>
  <c r="AB1036" i="1"/>
  <c r="Z1036" i="1"/>
  <c r="X1036" i="1"/>
  <c r="K1036" i="1"/>
  <c r="N1036" i="1" s="1"/>
  <c r="D1036" i="1"/>
  <c r="AD867" i="1"/>
  <c r="AB867" i="1"/>
  <c r="Z867" i="1"/>
  <c r="X867" i="1"/>
  <c r="K867" i="1"/>
  <c r="N867" i="1" s="1"/>
  <c r="D867" i="1"/>
  <c r="AD866" i="1"/>
  <c r="AB866" i="1"/>
  <c r="Z866" i="1"/>
  <c r="X866" i="1"/>
  <c r="K866" i="1"/>
  <c r="N866" i="1" s="1"/>
  <c r="D866" i="1"/>
  <c r="AD1023" i="1"/>
  <c r="AB1023" i="1"/>
  <c r="Z1023" i="1"/>
  <c r="X1023" i="1"/>
  <c r="K1023" i="1"/>
  <c r="N1023" i="1" s="1"/>
  <c r="D1023" i="1"/>
  <c r="AD864" i="1"/>
  <c r="AB864" i="1"/>
  <c r="Z864" i="1"/>
  <c r="X864" i="1"/>
  <c r="K864" i="1"/>
  <c r="N864" i="1" s="1"/>
  <c r="D864" i="1"/>
  <c r="AD1010" i="1"/>
  <c r="AB1010" i="1"/>
  <c r="Z1010" i="1"/>
  <c r="X1010" i="1"/>
  <c r="K1010" i="1"/>
  <c r="N1010" i="1" s="1"/>
  <c r="D1010" i="1"/>
  <c r="AD862" i="1"/>
  <c r="AB862" i="1"/>
  <c r="Z862" i="1"/>
  <c r="X862" i="1"/>
  <c r="K862" i="1"/>
  <c r="N862" i="1" s="1"/>
  <c r="D862" i="1"/>
  <c r="AD860" i="1"/>
  <c r="AB860" i="1"/>
  <c r="Z860" i="1"/>
  <c r="X860" i="1"/>
  <c r="K860" i="1"/>
  <c r="N860" i="1" s="1"/>
  <c r="D860" i="1"/>
  <c r="AD861" i="1"/>
  <c r="AB861" i="1"/>
  <c r="Z861" i="1"/>
  <c r="X861" i="1"/>
  <c r="K861" i="1"/>
  <c r="N861" i="1" s="1"/>
  <c r="D861" i="1"/>
  <c r="AD1056" i="1"/>
  <c r="AB1056" i="1"/>
  <c r="Z1056" i="1"/>
  <c r="X1056" i="1"/>
  <c r="K1056" i="1"/>
  <c r="N1056" i="1" s="1"/>
  <c r="D1056" i="1"/>
  <c r="AD858" i="1"/>
  <c r="AB858" i="1"/>
  <c r="Z858" i="1"/>
  <c r="X858" i="1"/>
  <c r="K858" i="1"/>
  <c r="N858" i="1" s="1"/>
  <c r="D858" i="1"/>
  <c r="AD1044" i="1"/>
  <c r="AB1044" i="1"/>
  <c r="Z1044" i="1"/>
  <c r="X1044" i="1"/>
  <c r="K1044" i="1"/>
  <c r="N1044" i="1" s="1"/>
  <c r="D1044" i="1"/>
  <c r="AD1032" i="1"/>
  <c r="AB1032" i="1"/>
  <c r="Z1032" i="1"/>
  <c r="X1032" i="1"/>
  <c r="K1032" i="1"/>
  <c r="N1032" i="1" s="1"/>
  <c r="D1032" i="1"/>
  <c r="AD855" i="1"/>
  <c r="AB855" i="1"/>
  <c r="Z855" i="1"/>
  <c r="X855" i="1"/>
  <c r="K855" i="1"/>
  <c r="N855" i="1" s="1"/>
  <c r="D855" i="1"/>
  <c r="AD1019" i="1"/>
  <c r="AB1019" i="1"/>
  <c r="Z1019" i="1"/>
  <c r="X1019" i="1"/>
  <c r="K1019" i="1"/>
  <c r="N1019" i="1" s="1"/>
  <c r="D1019" i="1"/>
  <c r="AD853" i="1"/>
  <c r="AB853" i="1"/>
  <c r="Z853" i="1"/>
  <c r="X853" i="1"/>
  <c r="K853" i="1"/>
  <c r="N853" i="1" s="1"/>
  <c r="D853" i="1"/>
  <c r="AD1109" i="1"/>
  <c r="AB1109" i="1"/>
  <c r="Z1109" i="1"/>
  <c r="X1109" i="1"/>
  <c r="K1109" i="1"/>
  <c r="N1109" i="1" s="1"/>
  <c r="D1109" i="1"/>
  <c r="AD851" i="1"/>
  <c r="AB851" i="1"/>
  <c r="Z851" i="1"/>
  <c r="X851" i="1"/>
  <c r="K851" i="1"/>
  <c r="N851" i="1" s="1"/>
  <c r="D851" i="1"/>
  <c r="AD848" i="1"/>
  <c r="AB848" i="1"/>
  <c r="Z848" i="1"/>
  <c r="X848" i="1"/>
  <c r="K848" i="1"/>
  <c r="N848" i="1" s="1"/>
  <c r="D848" i="1"/>
  <c r="AD849" i="1"/>
  <c r="AB849" i="1"/>
  <c r="Z849" i="1"/>
  <c r="X849" i="1"/>
  <c r="K849" i="1"/>
  <c r="N849" i="1" s="1"/>
  <c r="D849" i="1"/>
  <c r="AD1097" i="1"/>
  <c r="AB1097" i="1"/>
  <c r="Z1097" i="1"/>
  <c r="X1097" i="1"/>
  <c r="K1097" i="1"/>
  <c r="N1097" i="1" s="1"/>
  <c r="D1097" i="1"/>
  <c r="AD846" i="1"/>
  <c r="AB846" i="1"/>
  <c r="Z846" i="1"/>
  <c r="X846" i="1"/>
  <c r="K846" i="1"/>
  <c r="N846" i="1" s="1"/>
  <c r="D846" i="1"/>
  <c r="AD1083" i="1"/>
  <c r="AB1083" i="1"/>
  <c r="Z1083" i="1"/>
  <c r="X1083" i="1"/>
  <c r="K1083" i="1"/>
  <c r="N1083" i="1" s="1"/>
  <c r="D1083" i="1"/>
  <c r="AD1070" i="1"/>
  <c r="AB1070" i="1"/>
  <c r="Z1070" i="1"/>
  <c r="X1070" i="1"/>
  <c r="K1070" i="1"/>
  <c r="N1070" i="1" s="1"/>
  <c r="D1070" i="1"/>
  <c r="AD843" i="1"/>
  <c r="AB843" i="1"/>
  <c r="Z843" i="1"/>
  <c r="X843" i="1"/>
  <c r="K843" i="1"/>
  <c r="N843" i="1" s="1"/>
  <c r="D843" i="1"/>
  <c r="AD763" i="1"/>
  <c r="AB763" i="1"/>
  <c r="Z763" i="1"/>
  <c r="X763" i="1"/>
  <c r="K763" i="1"/>
  <c r="N763" i="1" s="1"/>
  <c r="D763" i="1"/>
  <c r="AD830" i="1"/>
  <c r="AB830" i="1"/>
  <c r="Z830" i="1"/>
  <c r="X830" i="1"/>
  <c r="K830" i="1"/>
  <c r="N830" i="1" s="1"/>
  <c r="D830" i="1"/>
  <c r="AD752" i="1"/>
  <c r="AB752" i="1"/>
  <c r="Z752" i="1"/>
  <c r="X752" i="1"/>
  <c r="K752" i="1"/>
  <c r="N752" i="1" s="1"/>
  <c r="D752" i="1"/>
  <c r="AD745" i="1"/>
  <c r="AB745" i="1"/>
  <c r="Z745" i="1"/>
  <c r="X745" i="1"/>
  <c r="K745" i="1"/>
  <c r="N745" i="1" s="1"/>
  <c r="D745" i="1"/>
  <c r="AD838" i="1"/>
  <c r="AB838" i="1"/>
  <c r="Z838" i="1"/>
  <c r="X838" i="1"/>
  <c r="K838" i="1"/>
  <c r="N838" i="1" s="1"/>
  <c r="D838" i="1"/>
  <c r="AD569" i="1"/>
  <c r="AB569" i="1"/>
  <c r="Z569" i="1"/>
  <c r="X569" i="1"/>
  <c r="K569" i="1"/>
  <c r="N569" i="1" s="1"/>
  <c r="D569" i="1"/>
  <c r="AD835" i="1"/>
  <c r="AB835" i="1"/>
  <c r="Z835" i="1"/>
  <c r="X835" i="1"/>
  <c r="K835" i="1"/>
  <c r="N835" i="1" s="1"/>
  <c r="D835" i="1"/>
  <c r="AD836" i="1"/>
  <c r="AB836" i="1"/>
  <c r="Z836" i="1"/>
  <c r="X836" i="1"/>
  <c r="K836" i="1"/>
  <c r="N836" i="1" s="1"/>
  <c r="D836" i="1"/>
  <c r="AD560" i="1"/>
  <c r="AB560" i="1"/>
  <c r="Z560" i="1"/>
  <c r="X560" i="1"/>
  <c r="K560" i="1"/>
  <c r="N560" i="1" s="1"/>
  <c r="D560" i="1"/>
  <c r="AD833" i="1"/>
  <c r="AB833" i="1"/>
  <c r="Z833" i="1"/>
  <c r="X833" i="1"/>
  <c r="K833" i="1"/>
  <c r="N833" i="1" s="1"/>
  <c r="D833" i="1"/>
  <c r="AD841" i="1"/>
  <c r="AB841" i="1"/>
  <c r="Z841" i="1"/>
  <c r="X841" i="1"/>
  <c r="K841" i="1"/>
  <c r="N841" i="1" s="1"/>
  <c r="D841" i="1"/>
  <c r="AD547" i="1"/>
  <c r="AB547" i="1"/>
  <c r="Z547" i="1"/>
  <c r="X547" i="1"/>
  <c r="K547" i="1"/>
  <c r="N547" i="1" s="1"/>
  <c r="D547" i="1"/>
  <c r="AD533" i="1"/>
  <c r="AB533" i="1"/>
  <c r="Z533" i="1"/>
  <c r="X533" i="1"/>
  <c r="K533" i="1"/>
  <c r="N533" i="1" s="1"/>
  <c r="D533" i="1"/>
  <c r="AD1084" i="1"/>
  <c r="AB1084" i="1"/>
  <c r="Z1084" i="1"/>
  <c r="X1084" i="1"/>
  <c r="K1084" i="1"/>
  <c r="N1084" i="1" s="1"/>
  <c r="D1084" i="1"/>
  <c r="AD818" i="1"/>
  <c r="AB818" i="1"/>
  <c r="Z818" i="1"/>
  <c r="X818" i="1"/>
  <c r="K818" i="1"/>
  <c r="N818" i="1" s="1"/>
  <c r="D818" i="1"/>
  <c r="AD1071" i="1"/>
  <c r="AB1071" i="1"/>
  <c r="Z1071" i="1"/>
  <c r="X1071" i="1"/>
  <c r="K1071" i="1"/>
  <c r="N1071" i="1" s="1"/>
  <c r="D1071" i="1"/>
  <c r="AD573" i="1"/>
  <c r="AB573" i="1"/>
  <c r="Z573" i="1"/>
  <c r="X573" i="1"/>
  <c r="K573" i="1"/>
  <c r="N573" i="1" s="1"/>
  <c r="D573" i="1"/>
  <c r="AD825" i="1"/>
  <c r="AB825" i="1"/>
  <c r="Z825" i="1"/>
  <c r="X825" i="1"/>
  <c r="K825" i="1"/>
  <c r="N825" i="1" s="1"/>
  <c r="D825" i="1"/>
  <c r="AD564" i="1"/>
  <c r="AB564" i="1"/>
  <c r="Z564" i="1"/>
  <c r="X564" i="1"/>
  <c r="K564" i="1"/>
  <c r="N564" i="1" s="1"/>
  <c r="D564" i="1"/>
  <c r="AD823" i="1"/>
  <c r="AB823" i="1"/>
  <c r="Z823" i="1"/>
  <c r="X823" i="1"/>
  <c r="K823" i="1"/>
  <c r="N823" i="1" s="1"/>
  <c r="D823" i="1"/>
  <c r="AD824" i="1"/>
  <c r="AB824" i="1"/>
  <c r="Z824" i="1"/>
  <c r="X824" i="1"/>
  <c r="K824" i="1"/>
  <c r="N824" i="1" s="1"/>
  <c r="D824" i="1"/>
  <c r="AD551" i="1"/>
  <c r="AB551" i="1"/>
  <c r="Z551" i="1"/>
  <c r="X551" i="1"/>
  <c r="N551" i="1"/>
  <c r="D551" i="1"/>
  <c r="AD821" i="1"/>
  <c r="AB821" i="1"/>
  <c r="Z821" i="1"/>
  <c r="X821" i="1"/>
  <c r="K821" i="1"/>
  <c r="N821" i="1" s="1"/>
  <c r="D821" i="1"/>
  <c r="AD828" i="1"/>
  <c r="AB828" i="1"/>
  <c r="Z828" i="1"/>
  <c r="X828" i="1"/>
  <c r="K828" i="1"/>
  <c r="N828" i="1" s="1"/>
  <c r="D828" i="1"/>
  <c r="AD537" i="1"/>
  <c r="AB537" i="1"/>
  <c r="Z537" i="1"/>
  <c r="X537" i="1"/>
  <c r="K537" i="1"/>
  <c r="N537" i="1" s="1"/>
  <c r="D537" i="1"/>
  <c r="AD792" i="1"/>
  <c r="AB792" i="1"/>
  <c r="Z792" i="1"/>
  <c r="X792" i="1"/>
  <c r="K792" i="1"/>
  <c r="N792" i="1" s="1"/>
  <c r="D792" i="1"/>
  <c r="AD816" i="1"/>
  <c r="AB816" i="1"/>
  <c r="Z816" i="1"/>
  <c r="X816" i="1"/>
  <c r="K816" i="1"/>
  <c r="N816" i="1" s="1"/>
  <c r="D816" i="1"/>
  <c r="AD814" i="1"/>
  <c r="AB814" i="1"/>
  <c r="Z814" i="1"/>
  <c r="X814" i="1"/>
  <c r="K814" i="1"/>
  <c r="N814" i="1" s="1"/>
  <c r="D814" i="1"/>
  <c r="AD812" i="1"/>
  <c r="AB812" i="1"/>
  <c r="Z812" i="1"/>
  <c r="X812" i="1"/>
  <c r="K812" i="1"/>
  <c r="N812" i="1" s="1"/>
  <c r="D812" i="1"/>
  <c r="AD811" i="1"/>
  <c r="AB811" i="1"/>
  <c r="Z811" i="1"/>
  <c r="X811" i="1"/>
  <c r="K811" i="1"/>
  <c r="N811" i="1" s="1"/>
  <c r="D811" i="1"/>
  <c r="AD1030" i="1"/>
  <c r="AB1030" i="1"/>
  <c r="Z1030" i="1"/>
  <c r="X1030" i="1"/>
  <c r="K1030" i="1"/>
  <c r="N1030" i="1" s="1"/>
  <c r="D1030" i="1"/>
  <c r="AD809" i="1"/>
  <c r="AB809" i="1"/>
  <c r="Z809" i="1"/>
  <c r="X809" i="1"/>
  <c r="K809" i="1"/>
  <c r="N809" i="1" s="1"/>
  <c r="D809" i="1"/>
  <c r="AD808" i="1"/>
  <c r="AB808" i="1"/>
  <c r="Z808" i="1"/>
  <c r="X808" i="1"/>
  <c r="K808" i="1"/>
  <c r="N808" i="1" s="1"/>
  <c r="D808" i="1"/>
  <c r="AD807" i="1"/>
  <c r="AB807" i="1"/>
  <c r="Z807" i="1"/>
  <c r="X807" i="1"/>
  <c r="K807" i="1"/>
  <c r="N807" i="1" s="1"/>
  <c r="D807" i="1"/>
  <c r="AD1017" i="1"/>
  <c r="AB1017" i="1"/>
  <c r="Z1017" i="1"/>
  <c r="X1017" i="1"/>
  <c r="K1017" i="1"/>
  <c r="N1017" i="1" s="1"/>
  <c r="D1017" i="1"/>
  <c r="AD779" i="1"/>
  <c r="AB779" i="1"/>
  <c r="Z779" i="1"/>
  <c r="X779" i="1"/>
  <c r="K779" i="1"/>
  <c r="N779" i="1" s="1"/>
  <c r="D779" i="1"/>
  <c r="AD805" i="1"/>
  <c r="AB805" i="1"/>
  <c r="Z805" i="1"/>
  <c r="X805" i="1"/>
  <c r="K805" i="1"/>
  <c r="N805" i="1" s="1"/>
  <c r="D805" i="1"/>
  <c r="AD810" i="1"/>
  <c r="AB810" i="1"/>
  <c r="Z810" i="1"/>
  <c r="X810" i="1"/>
  <c r="K810" i="1"/>
  <c r="N810" i="1" s="1"/>
  <c r="D810" i="1"/>
  <c r="AD803" i="1"/>
  <c r="AB803" i="1"/>
  <c r="Z803" i="1"/>
  <c r="X803" i="1"/>
  <c r="K803" i="1"/>
  <c r="N803" i="1" s="1"/>
  <c r="D803" i="1"/>
  <c r="AD798" i="1"/>
  <c r="AB798" i="1"/>
  <c r="Z798" i="1"/>
  <c r="X798" i="1"/>
  <c r="K798" i="1"/>
  <c r="N798" i="1" s="1"/>
  <c r="D798" i="1"/>
  <c r="AD801" i="1"/>
  <c r="AB801" i="1"/>
  <c r="Z801" i="1"/>
  <c r="X801" i="1"/>
  <c r="K801" i="1"/>
  <c r="N801" i="1" s="1"/>
  <c r="D801" i="1"/>
  <c r="AD800" i="1"/>
  <c r="AB800" i="1"/>
  <c r="Z800" i="1"/>
  <c r="X800" i="1"/>
  <c r="K800" i="1"/>
  <c r="N800" i="1" s="1"/>
  <c r="D800" i="1"/>
  <c r="AD799" i="1"/>
  <c r="AB799" i="1"/>
  <c r="Z799" i="1"/>
  <c r="X799" i="1"/>
  <c r="K799" i="1"/>
  <c r="N799" i="1" s="1"/>
  <c r="D799" i="1"/>
  <c r="AD934" i="1"/>
  <c r="AB934" i="1"/>
  <c r="Z934" i="1"/>
  <c r="X934" i="1"/>
  <c r="K934" i="1"/>
  <c r="N934" i="1" s="1"/>
  <c r="D934" i="1"/>
  <c r="AD797" i="1"/>
  <c r="AB797" i="1"/>
  <c r="Z797" i="1"/>
  <c r="X797" i="1"/>
  <c r="K797" i="1"/>
  <c r="N797" i="1" s="1"/>
  <c r="D797" i="1"/>
  <c r="AD922" i="1"/>
  <c r="AB922" i="1"/>
  <c r="Z922" i="1"/>
  <c r="X922" i="1"/>
  <c r="K922" i="1"/>
  <c r="N922" i="1" s="1"/>
  <c r="D922" i="1"/>
  <c r="AD795" i="1"/>
  <c r="AB795" i="1"/>
  <c r="Z795" i="1"/>
  <c r="X795" i="1"/>
  <c r="K795" i="1"/>
  <c r="N795" i="1" s="1"/>
  <c r="D795" i="1"/>
  <c r="AD794" i="1"/>
  <c r="AB794" i="1"/>
  <c r="Z794" i="1"/>
  <c r="X794" i="1"/>
  <c r="K794" i="1"/>
  <c r="N794" i="1" s="1"/>
  <c r="D794" i="1"/>
  <c r="AD1057" i="1"/>
  <c r="AB1057" i="1"/>
  <c r="Z1057" i="1"/>
  <c r="X1057" i="1"/>
  <c r="K1057" i="1"/>
  <c r="N1057" i="1" s="1"/>
  <c r="D1057" i="1"/>
  <c r="AD791" i="1"/>
  <c r="AB791" i="1"/>
  <c r="Z791" i="1"/>
  <c r="X791" i="1"/>
  <c r="K791" i="1"/>
  <c r="N791" i="1" s="1"/>
  <c r="D791" i="1"/>
  <c r="AD1045" i="1"/>
  <c r="AB1045" i="1"/>
  <c r="Z1045" i="1"/>
  <c r="X1045" i="1"/>
  <c r="K1045" i="1"/>
  <c r="N1045" i="1" s="1"/>
  <c r="D1045" i="1"/>
  <c r="AD789" i="1"/>
  <c r="AB789" i="1"/>
  <c r="Z789" i="1"/>
  <c r="X789" i="1"/>
  <c r="K789" i="1"/>
  <c r="N789" i="1" s="1"/>
  <c r="D789" i="1"/>
  <c r="AD1033" i="1"/>
  <c r="AB1033" i="1"/>
  <c r="Z1033" i="1"/>
  <c r="X1033" i="1"/>
  <c r="K1033" i="1"/>
  <c r="N1033" i="1" s="1"/>
  <c r="D1033" i="1"/>
  <c r="AD787" i="1"/>
  <c r="AB787" i="1"/>
  <c r="Z787" i="1"/>
  <c r="X787" i="1"/>
  <c r="K787" i="1"/>
  <c r="N787" i="1" s="1"/>
  <c r="D787" i="1"/>
  <c r="AD786" i="1"/>
  <c r="AB786" i="1"/>
  <c r="Z786" i="1"/>
  <c r="X786" i="1"/>
  <c r="K786" i="1"/>
  <c r="N786" i="1" s="1"/>
  <c r="D786" i="1"/>
  <c r="AD785" i="1"/>
  <c r="AB785" i="1"/>
  <c r="Z785" i="1"/>
  <c r="X785" i="1"/>
  <c r="K785" i="1"/>
  <c r="N785" i="1" s="1"/>
  <c r="D785" i="1"/>
  <c r="AD1020" i="1"/>
  <c r="AB1020" i="1"/>
  <c r="Z1020" i="1"/>
  <c r="X1020" i="1"/>
  <c r="K1020" i="1"/>
  <c r="N1020" i="1" s="1"/>
  <c r="D1020" i="1"/>
  <c r="AD1099" i="1"/>
  <c r="AB1099" i="1"/>
  <c r="Z1099" i="1"/>
  <c r="X1099" i="1"/>
  <c r="K1099" i="1"/>
  <c r="N1099" i="1" s="1"/>
  <c r="D1099" i="1"/>
  <c r="AD782" i="1"/>
  <c r="AB782" i="1"/>
  <c r="Z782" i="1"/>
  <c r="X782" i="1"/>
  <c r="K782" i="1"/>
  <c r="N782" i="1" s="1"/>
  <c r="D782" i="1"/>
  <c r="AD781" i="1"/>
  <c r="AB781" i="1"/>
  <c r="Z781" i="1"/>
  <c r="X781" i="1"/>
  <c r="K781" i="1"/>
  <c r="N781" i="1" s="1"/>
  <c r="D781" i="1"/>
  <c r="AD1086" i="1"/>
  <c r="AB1086" i="1"/>
  <c r="Z1086" i="1"/>
  <c r="X1086" i="1"/>
  <c r="K1086" i="1"/>
  <c r="N1086" i="1" s="1"/>
  <c r="D1086" i="1"/>
  <c r="AD778" i="1"/>
  <c r="AB778" i="1"/>
  <c r="Z778" i="1"/>
  <c r="X778" i="1"/>
  <c r="K778" i="1"/>
  <c r="N778" i="1" s="1"/>
  <c r="D778" i="1"/>
  <c r="AD1073" i="1"/>
  <c r="AB1073" i="1"/>
  <c r="Z1073" i="1"/>
  <c r="X1073" i="1"/>
  <c r="K1073" i="1"/>
  <c r="N1073" i="1" s="1"/>
  <c r="D1073" i="1"/>
  <c r="AD776" i="1"/>
  <c r="AB776" i="1"/>
  <c r="Z776" i="1"/>
  <c r="X776" i="1"/>
  <c r="K776" i="1"/>
  <c r="N776" i="1" s="1"/>
  <c r="D776" i="1"/>
  <c r="AD1060" i="1"/>
  <c r="AB1060" i="1"/>
  <c r="Z1060" i="1"/>
  <c r="X1060" i="1"/>
  <c r="K1060" i="1"/>
  <c r="N1060" i="1" s="1"/>
  <c r="D1060" i="1"/>
  <c r="AD774" i="1"/>
  <c r="AB774" i="1"/>
  <c r="Z774" i="1"/>
  <c r="X774" i="1"/>
  <c r="K774" i="1"/>
  <c r="N774" i="1" s="1"/>
  <c r="D774" i="1"/>
  <c r="AD773" i="1"/>
  <c r="AB773" i="1"/>
  <c r="Z773" i="1"/>
  <c r="X773" i="1"/>
  <c r="K773" i="1"/>
  <c r="N773" i="1" s="1"/>
  <c r="D773" i="1"/>
  <c r="AD865" i="1"/>
  <c r="AB865" i="1"/>
  <c r="Z865" i="1"/>
  <c r="X865" i="1"/>
  <c r="K865" i="1"/>
  <c r="N865" i="1" s="1"/>
  <c r="D865" i="1"/>
  <c r="AD854" i="1"/>
  <c r="AB854" i="1"/>
  <c r="Z854" i="1"/>
  <c r="X854" i="1"/>
  <c r="K854" i="1"/>
  <c r="N854" i="1" s="1"/>
  <c r="D854" i="1"/>
  <c r="AD770" i="1"/>
  <c r="AB770" i="1"/>
  <c r="Z770" i="1"/>
  <c r="X770" i="1"/>
  <c r="K770" i="1"/>
  <c r="N770" i="1" s="1"/>
  <c r="D770" i="1"/>
  <c r="AD769" i="1"/>
  <c r="AB769" i="1"/>
  <c r="Z769" i="1"/>
  <c r="X769" i="1"/>
  <c r="K769" i="1"/>
  <c r="N769" i="1" s="1"/>
  <c r="D769" i="1"/>
  <c r="AD842" i="1"/>
  <c r="AB842" i="1"/>
  <c r="Z842" i="1"/>
  <c r="X842" i="1"/>
  <c r="K842" i="1"/>
  <c r="N842" i="1" s="1"/>
  <c r="D842" i="1"/>
  <c r="AD837" i="1"/>
  <c r="AB837" i="1"/>
  <c r="Z837" i="1"/>
  <c r="X837" i="1"/>
  <c r="K837" i="1"/>
  <c r="N837" i="1" s="1"/>
  <c r="D837" i="1"/>
  <c r="AD829" i="1"/>
  <c r="AB829" i="1"/>
  <c r="Z829" i="1"/>
  <c r="X829" i="1"/>
  <c r="K829" i="1"/>
  <c r="N829" i="1" s="1"/>
  <c r="D829" i="1"/>
  <c r="AD765" i="1"/>
  <c r="AB765" i="1"/>
  <c r="Z765" i="1"/>
  <c r="X765" i="1"/>
  <c r="K765" i="1"/>
  <c r="N765" i="1" s="1"/>
  <c r="D765" i="1"/>
  <c r="AD850" i="1"/>
  <c r="AB850" i="1"/>
  <c r="Z850" i="1"/>
  <c r="X850" i="1"/>
  <c r="K850" i="1"/>
  <c r="N850" i="1" s="1"/>
  <c r="D850" i="1"/>
  <c r="AD762" i="1"/>
  <c r="AB762" i="1"/>
  <c r="Z762" i="1"/>
  <c r="X762" i="1"/>
  <c r="K762" i="1"/>
  <c r="N762" i="1" s="1"/>
  <c r="D762" i="1"/>
  <c r="AD721" i="1"/>
  <c r="AB721" i="1"/>
  <c r="Z721" i="1"/>
  <c r="X721" i="1"/>
  <c r="K721" i="1"/>
  <c r="N721" i="1" s="1"/>
  <c r="D721" i="1"/>
  <c r="AD760" i="1"/>
  <c r="AB760" i="1"/>
  <c r="Z760" i="1"/>
  <c r="X760" i="1"/>
  <c r="K760" i="1"/>
  <c r="N760" i="1" s="1"/>
  <c r="D760" i="1"/>
  <c r="AD683" i="1"/>
  <c r="AB683" i="1"/>
  <c r="Z683" i="1"/>
  <c r="X683" i="1"/>
  <c r="K683" i="1"/>
  <c r="N683" i="1" s="1"/>
  <c r="D683" i="1"/>
  <c r="AD757" i="1"/>
  <c r="AB757" i="1"/>
  <c r="Z757" i="1"/>
  <c r="X757" i="1"/>
  <c r="K757" i="1"/>
  <c r="N757" i="1" s="1"/>
  <c r="D757" i="1"/>
  <c r="AD759" i="1"/>
  <c r="AB759" i="1"/>
  <c r="Z759" i="1"/>
  <c r="X759" i="1"/>
  <c r="K759" i="1"/>
  <c r="N759" i="1" s="1"/>
  <c r="D759" i="1"/>
  <c r="AD817" i="1"/>
  <c r="AB817" i="1"/>
  <c r="Z817" i="1"/>
  <c r="X817" i="1"/>
  <c r="K817" i="1"/>
  <c r="N817" i="1" s="1"/>
  <c r="D817" i="1"/>
  <c r="AD806" i="1"/>
  <c r="AB806" i="1"/>
  <c r="Z806" i="1"/>
  <c r="X806" i="1"/>
  <c r="K806" i="1"/>
  <c r="N806" i="1" s="1"/>
  <c r="D806" i="1"/>
  <c r="AD754" i="1"/>
  <c r="AB754" i="1"/>
  <c r="Z754" i="1"/>
  <c r="X754" i="1"/>
  <c r="K754" i="1"/>
  <c r="N754" i="1" s="1"/>
  <c r="D754" i="1"/>
  <c r="AD790" i="1"/>
  <c r="AB790" i="1"/>
  <c r="Z790" i="1"/>
  <c r="X790" i="1"/>
  <c r="K790" i="1"/>
  <c r="N790" i="1" s="1"/>
  <c r="D790" i="1"/>
  <c r="AD751" i="1"/>
  <c r="AB751" i="1"/>
  <c r="Z751" i="1"/>
  <c r="X751" i="1"/>
  <c r="K751" i="1"/>
  <c r="N751" i="1" s="1"/>
  <c r="D751" i="1"/>
  <c r="AD777" i="1"/>
  <c r="AB777" i="1"/>
  <c r="Z777" i="1"/>
  <c r="X777" i="1"/>
  <c r="K777" i="1"/>
  <c r="N777" i="1" s="1"/>
  <c r="D777" i="1"/>
  <c r="AD749" i="1"/>
  <c r="AB749" i="1"/>
  <c r="Z749" i="1"/>
  <c r="X749" i="1"/>
  <c r="K749" i="1"/>
  <c r="N749" i="1" s="1"/>
  <c r="D749" i="1"/>
  <c r="AD987" i="1"/>
  <c r="AB987" i="1"/>
  <c r="Z987" i="1"/>
  <c r="X987" i="1"/>
  <c r="K987" i="1"/>
  <c r="N987" i="1" s="1"/>
  <c r="D987" i="1"/>
  <c r="AD746" i="1"/>
  <c r="AB746" i="1"/>
  <c r="Z746" i="1"/>
  <c r="X746" i="1"/>
  <c r="K746" i="1"/>
  <c r="N746" i="1" s="1"/>
  <c r="D746" i="1"/>
  <c r="AD748" i="1"/>
  <c r="AB748" i="1"/>
  <c r="Z748" i="1"/>
  <c r="X748" i="1"/>
  <c r="K748" i="1"/>
  <c r="N748" i="1" s="1"/>
  <c r="D748" i="1"/>
  <c r="AD975" i="1"/>
  <c r="AB975" i="1"/>
  <c r="Z975" i="1"/>
  <c r="X975" i="1"/>
  <c r="K975" i="1"/>
  <c r="N975" i="1" s="1"/>
  <c r="D975" i="1"/>
  <c r="AD734" i="1"/>
  <c r="AB734" i="1"/>
  <c r="Z734" i="1"/>
  <c r="X734" i="1"/>
  <c r="K734" i="1"/>
  <c r="N734" i="1" s="1"/>
  <c r="D734" i="1"/>
  <c r="AD764" i="1"/>
  <c r="AB764" i="1"/>
  <c r="Z764" i="1"/>
  <c r="X764" i="1"/>
  <c r="K764" i="1"/>
  <c r="N764" i="1" s="1"/>
  <c r="D764" i="1"/>
  <c r="AD963" i="1"/>
  <c r="AB963" i="1"/>
  <c r="Z963" i="1"/>
  <c r="X963" i="1"/>
  <c r="K963" i="1"/>
  <c r="N963" i="1" s="1"/>
  <c r="D963" i="1"/>
  <c r="AD743" i="1"/>
  <c r="AB743" i="1"/>
  <c r="Z743" i="1"/>
  <c r="X743" i="1"/>
  <c r="K743" i="1"/>
  <c r="N743" i="1" s="1"/>
  <c r="D743" i="1"/>
  <c r="AD949" i="1"/>
  <c r="AB949" i="1"/>
  <c r="Z949" i="1"/>
  <c r="X949" i="1"/>
  <c r="K949" i="1"/>
  <c r="N949" i="1" s="1"/>
  <c r="D949" i="1"/>
  <c r="AD741" i="1"/>
  <c r="AB741" i="1"/>
  <c r="Z741" i="1"/>
  <c r="X741" i="1"/>
  <c r="K741" i="1"/>
  <c r="N741" i="1" s="1"/>
  <c r="D741" i="1"/>
  <c r="AD936" i="1"/>
  <c r="AB936" i="1"/>
  <c r="Z936" i="1"/>
  <c r="X936" i="1"/>
  <c r="K936" i="1"/>
  <c r="N936" i="1" s="1"/>
  <c r="D936" i="1"/>
  <c r="AD738" i="1"/>
  <c r="AB738" i="1"/>
  <c r="Z738" i="1"/>
  <c r="X738" i="1"/>
  <c r="K738" i="1"/>
  <c r="N738" i="1" s="1"/>
  <c r="D738" i="1"/>
  <c r="AD740" i="1"/>
  <c r="AB740" i="1"/>
  <c r="Z740" i="1"/>
  <c r="X740" i="1"/>
  <c r="K740" i="1"/>
  <c r="N740" i="1" s="1"/>
  <c r="D740" i="1"/>
  <c r="AD998" i="1"/>
  <c r="AB998" i="1"/>
  <c r="Z998" i="1"/>
  <c r="X998" i="1"/>
  <c r="K998" i="1"/>
  <c r="N998" i="1" s="1"/>
  <c r="D998" i="1"/>
  <c r="AD735" i="1"/>
  <c r="AB735" i="1"/>
  <c r="Z735" i="1"/>
  <c r="X735" i="1"/>
  <c r="K735" i="1"/>
  <c r="N735" i="1" s="1"/>
  <c r="D735" i="1"/>
  <c r="AD737" i="1"/>
  <c r="AB737" i="1"/>
  <c r="Z737" i="1"/>
  <c r="X737" i="1"/>
  <c r="K737" i="1"/>
  <c r="N737" i="1" s="1"/>
  <c r="D737" i="1"/>
  <c r="AD983" i="1"/>
  <c r="AB983" i="1"/>
  <c r="Z983" i="1"/>
  <c r="X983" i="1"/>
  <c r="K983" i="1"/>
  <c r="N983" i="1" s="1"/>
  <c r="D983" i="1"/>
  <c r="AD722" i="1"/>
  <c r="AB722" i="1"/>
  <c r="Z722" i="1"/>
  <c r="X722" i="1"/>
  <c r="K722" i="1"/>
  <c r="N722" i="1" s="1"/>
  <c r="D722" i="1"/>
  <c r="AD753" i="1"/>
  <c r="AB753" i="1"/>
  <c r="Z753" i="1"/>
  <c r="X753" i="1"/>
  <c r="K753" i="1"/>
  <c r="N753" i="1" s="1"/>
  <c r="D753" i="1"/>
  <c r="AD971" i="1"/>
  <c r="AB971" i="1"/>
  <c r="Z971" i="1"/>
  <c r="X971" i="1"/>
  <c r="K971" i="1"/>
  <c r="N971" i="1" s="1"/>
  <c r="D971" i="1"/>
  <c r="AD731" i="1"/>
  <c r="AB731" i="1"/>
  <c r="Z731" i="1"/>
  <c r="X731" i="1"/>
  <c r="K731" i="1"/>
  <c r="N731" i="1" s="1"/>
  <c r="D731" i="1"/>
  <c r="AD943" i="1"/>
  <c r="AB943" i="1"/>
  <c r="Z943" i="1"/>
  <c r="X943" i="1"/>
  <c r="K943" i="1"/>
  <c r="N943" i="1" s="1"/>
  <c r="D943" i="1"/>
  <c r="AD729" i="1"/>
  <c r="AB729" i="1"/>
  <c r="Z729" i="1"/>
  <c r="X729" i="1"/>
  <c r="K729" i="1"/>
  <c r="N729" i="1" s="1"/>
  <c r="D729" i="1"/>
  <c r="AD931" i="1"/>
  <c r="AB931" i="1"/>
  <c r="Z931" i="1"/>
  <c r="X931" i="1"/>
  <c r="K931" i="1"/>
  <c r="N931" i="1" s="1"/>
  <c r="D931" i="1"/>
  <c r="AD726" i="1"/>
  <c r="AB726" i="1"/>
  <c r="Z726" i="1"/>
  <c r="X726" i="1"/>
  <c r="K726" i="1"/>
  <c r="N726" i="1" s="1"/>
  <c r="D726" i="1"/>
  <c r="AD728" i="1"/>
  <c r="AB728" i="1"/>
  <c r="Z728" i="1"/>
  <c r="X728" i="1"/>
  <c r="K728" i="1"/>
  <c r="N728" i="1" s="1"/>
  <c r="D728" i="1"/>
  <c r="AD919" i="1"/>
  <c r="AB919" i="1"/>
  <c r="Z919" i="1"/>
  <c r="X919" i="1"/>
  <c r="K919" i="1"/>
  <c r="N919" i="1" s="1"/>
  <c r="D919" i="1"/>
  <c r="AD723" i="1"/>
  <c r="AB723" i="1"/>
  <c r="Z723" i="1"/>
  <c r="X723" i="1"/>
  <c r="K723" i="1"/>
  <c r="N723" i="1" s="1"/>
  <c r="D723" i="1"/>
  <c r="AD725" i="1"/>
  <c r="AB725" i="1"/>
  <c r="Z725" i="1"/>
  <c r="X725" i="1"/>
  <c r="K725" i="1"/>
  <c r="N725" i="1" s="1"/>
  <c r="D725" i="1"/>
  <c r="AD761" i="1"/>
  <c r="AB761" i="1"/>
  <c r="Z761" i="1"/>
  <c r="X761" i="1"/>
  <c r="K761" i="1"/>
  <c r="N761" i="1" s="1"/>
  <c r="D761" i="1"/>
  <c r="AD750" i="1"/>
  <c r="AB750" i="1"/>
  <c r="Z750" i="1"/>
  <c r="X750" i="1"/>
  <c r="K750" i="1"/>
  <c r="N750" i="1" s="1"/>
  <c r="D750" i="1"/>
  <c r="AD1078" i="1"/>
  <c r="AB1078" i="1"/>
  <c r="Z1078" i="1"/>
  <c r="X1078" i="1"/>
  <c r="K1078" i="1"/>
  <c r="N1078" i="1" s="1"/>
  <c r="D1078" i="1"/>
  <c r="AD1065" i="1"/>
  <c r="AB1065" i="1"/>
  <c r="Z1065" i="1"/>
  <c r="X1065" i="1"/>
  <c r="K1065" i="1"/>
  <c r="N1065" i="1" s="1"/>
  <c r="D1065" i="1"/>
  <c r="AD717" i="1"/>
  <c r="AB717" i="1"/>
  <c r="Z717" i="1"/>
  <c r="X717" i="1"/>
  <c r="K717" i="1"/>
  <c r="N717" i="1" s="1"/>
  <c r="D717" i="1"/>
  <c r="AD716" i="1"/>
  <c r="AB716" i="1"/>
  <c r="Z716" i="1"/>
  <c r="X716" i="1"/>
  <c r="K716" i="1"/>
  <c r="N716" i="1" s="1"/>
  <c r="D716" i="1"/>
  <c r="AD1103" i="1"/>
  <c r="AB1103" i="1"/>
  <c r="Z1103" i="1"/>
  <c r="X1103" i="1"/>
  <c r="K1103" i="1"/>
  <c r="N1103" i="1" s="1"/>
  <c r="D1103" i="1"/>
  <c r="AD714" i="1"/>
  <c r="AB714" i="1"/>
  <c r="Z714" i="1"/>
  <c r="X714" i="1"/>
  <c r="K714" i="1"/>
  <c r="N714" i="1" s="1"/>
  <c r="D714" i="1"/>
  <c r="AD1091" i="1"/>
  <c r="AB1091" i="1"/>
  <c r="Z1091" i="1"/>
  <c r="X1091" i="1"/>
  <c r="K1091" i="1"/>
  <c r="N1091" i="1" s="1"/>
  <c r="D1091" i="1"/>
  <c r="AD712" i="1"/>
  <c r="AB712" i="1"/>
  <c r="Z712" i="1"/>
  <c r="X712" i="1"/>
  <c r="K712" i="1"/>
  <c r="N712" i="1" s="1"/>
  <c r="D712" i="1"/>
  <c r="AD711" i="1"/>
  <c r="AB711" i="1"/>
  <c r="Z711" i="1"/>
  <c r="X711" i="1"/>
  <c r="K711" i="1"/>
  <c r="N711" i="1" s="1"/>
  <c r="D711" i="1"/>
  <c r="AD1172" i="1"/>
  <c r="AB1172" i="1"/>
  <c r="Z1172" i="1"/>
  <c r="X1172" i="1"/>
  <c r="K1172" i="1"/>
  <c r="N1172" i="1" s="1"/>
  <c r="D1172" i="1"/>
  <c r="AD709" i="1"/>
  <c r="AB709" i="1"/>
  <c r="Z709" i="1"/>
  <c r="X709" i="1"/>
  <c r="K709" i="1"/>
  <c r="N709" i="1" s="1"/>
  <c r="D709" i="1"/>
  <c r="AD1162" i="1"/>
  <c r="AB1162" i="1"/>
  <c r="Z1162" i="1"/>
  <c r="X1162" i="1"/>
  <c r="K1162" i="1"/>
  <c r="N1162" i="1" s="1"/>
  <c r="D1162" i="1"/>
  <c r="AD707" i="1"/>
  <c r="AB707" i="1"/>
  <c r="Z707" i="1"/>
  <c r="X707" i="1"/>
  <c r="K707" i="1"/>
  <c r="N707" i="1" s="1"/>
  <c r="D707" i="1"/>
  <c r="AD1153" i="1"/>
  <c r="AB1153" i="1"/>
  <c r="Z1153" i="1"/>
  <c r="X1153" i="1"/>
  <c r="K1153" i="1"/>
  <c r="N1153" i="1" s="1"/>
  <c r="D1153" i="1"/>
  <c r="AD705" i="1"/>
  <c r="AB705" i="1"/>
  <c r="Z705" i="1"/>
  <c r="X705" i="1"/>
  <c r="K705" i="1"/>
  <c r="N705" i="1" s="1"/>
  <c r="D705" i="1"/>
  <c r="AD704" i="1"/>
  <c r="AB704" i="1"/>
  <c r="Z704" i="1"/>
  <c r="X704" i="1"/>
  <c r="K704" i="1"/>
  <c r="N704" i="1" s="1"/>
  <c r="D704" i="1"/>
  <c r="AD768" i="1"/>
  <c r="AB768" i="1"/>
  <c r="Z768" i="1"/>
  <c r="X768" i="1"/>
  <c r="K768" i="1"/>
  <c r="N768" i="1" s="1"/>
  <c r="D768" i="1"/>
  <c r="AD702" i="1"/>
  <c r="AB702" i="1"/>
  <c r="Z702" i="1"/>
  <c r="X702" i="1"/>
  <c r="K702" i="1"/>
  <c r="N702" i="1" s="1"/>
  <c r="D702" i="1"/>
  <c r="AD733" i="1"/>
  <c r="AB733" i="1"/>
  <c r="Z733" i="1"/>
  <c r="X733" i="1"/>
  <c r="K733" i="1"/>
  <c r="N733" i="1" s="1"/>
  <c r="D733" i="1"/>
  <c r="AD700" i="1"/>
  <c r="AB700" i="1"/>
  <c r="Z700" i="1"/>
  <c r="X700" i="1"/>
  <c r="K700" i="1"/>
  <c r="N700" i="1" s="1"/>
  <c r="D700" i="1"/>
  <c r="AD699" i="1"/>
  <c r="AB699" i="1"/>
  <c r="Z699" i="1"/>
  <c r="X699" i="1"/>
  <c r="K699" i="1"/>
  <c r="N699" i="1" s="1"/>
  <c r="D699" i="1"/>
  <c r="AD720" i="1"/>
  <c r="AB720" i="1"/>
  <c r="Z720" i="1"/>
  <c r="X720" i="1"/>
  <c r="K720" i="1"/>
  <c r="N720" i="1" s="1"/>
  <c r="D720" i="1"/>
  <c r="AD697" i="1"/>
  <c r="AB697" i="1"/>
  <c r="Z697" i="1"/>
  <c r="X697" i="1"/>
  <c r="K697" i="1"/>
  <c r="N697" i="1" s="1"/>
  <c r="D697" i="1"/>
  <c r="AD678" i="1"/>
  <c r="AB678" i="1"/>
  <c r="Z678" i="1"/>
  <c r="X678" i="1"/>
  <c r="K678" i="1"/>
  <c r="N678" i="1" s="1"/>
  <c r="D678" i="1"/>
  <c r="AD695" i="1"/>
  <c r="AB695" i="1"/>
  <c r="Z695" i="1"/>
  <c r="X695" i="1"/>
  <c r="K695" i="1"/>
  <c r="N695" i="1" s="1"/>
  <c r="D695" i="1"/>
  <c r="AD984" i="1"/>
  <c r="AB984" i="1"/>
  <c r="Z984" i="1"/>
  <c r="X984" i="1"/>
  <c r="K984" i="1"/>
  <c r="N984" i="1" s="1"/>
  <c r="D984" i="1"/>
  <c r="AD693" i="1"/>
  <c r="AB693" i="1"/>
  <c r="Z693" i="1"/>
  <c r="X693" i="1"/>
  <c r="K693" i="1"/>
  <c r="N693" i="1" s="1"/>
  <c r="D693" i="1"/>
  <c r="AD692" i="1"/>
  <c r="AB692" i="1"/>
  <c r="Z692" i="1"/>
  <c r="X692" i="1"/>
  <c r="K692" i="1"/>
  <c r="N692" i="1" s="1"/>
  <c r="D692" i="1"/>
  <c r="AD1006" i="1"/>
  <c r="AB1006" i="1"/>
  <c r="Z1006" i="1"/>
  <c r="X1006" i="1"/>
  <c r="K1006" i="1"/>
  <c r="N1006" i="1" s="1"/>
  <c r="D1006" i="1"/>
  <c r="AD690" i="1"/>
  <c r="AB690" i="1"/>
  <c r="Z690" i="1"/>
  <c r="X690" i="1"/>
  <c r="K690" i="1"/>
  <c r="N690" i="1" s="1"/>
  <c r="D690" i="1"/>
  <c r="AD995" i="1"/>
  <c r="AB995" i="1"/>
  <c r="Z995" i="1"/>
  <c r="X995" i="1"/>
  <c r="K995" i="1"/>
  <c r="N995" i="1" s="1"/>
  <c r="D995" i="1"/>
  <c r="AD688" i="1"/>
  <c r="AB688" i="1"/>
  <c r="Z688" i="1"/>
  <c r="X688" i="1"/>
  <c r="K688" i="1"/>
  <c r="N688" i="1" s="1"/>
  <c r="D688" i="1"/>
  <c r="AD687" i="1"/>
  <c r="AB687" i="1"/>
  <c r="Z687" i="1"/>
  <c r="X687" i="1"/>
  <c r="K687" i="1"/>
  <c r="N687" i="1" s="1"/>
  <c r="D687" i="1"/>
  <c r="AD403" i="1"/>
  <c r="AB403" i="1"/>
  <c r="Z403" i="1"/>
  <c r="X403" i="1"/>
  <c r="K403" i="1"/>
  <c r="N403" i="1" s="1"/>
  <c r="D403" i="1"/>
  <c r="AD685" i="1"/>
  <c r="AB685" i="1"/>
  <c r="Z685" i="1"/>
  <c r="X685" i="1"/>
  <c r="K685" i="1"/>
  <c r="N685" i="1" s="1"/>
  <c r="D685" i="1"/>
  <c r="AD405" i="1"/>
  <c r="AB405" i="1"/>
  <c r="Z405" i="1"/>
  <c r="X405" i="1"/>
  <c r="K405" i="1"/>
  <c r="N405" i="1" s="1"/>
  <c r="D405" i="1"/>
  <c r="AD394" i="1"/>
  <c r="AB394" i="1"/>
  <c r="Z394" i="1"/>
  <c r="X394" i="1"/>
  <c r="K394" i="1"/>
  <c r="N394" i="1" s="1"/>
  <c r="D394" i="1"/>
  <c r="AD682" i="1"/>
  <c r="AB682" i="1"/>
  <c r="Z682" i="1"/>
  <c r="X682" i="1"/>
  <c r="K682" i="1"/>
  <c r="N682" i="1" s="1"/>
  <c r="D682" i="1"/>
  <c r="AD681" i="1"/>
  <c r="AB681" i="1"/>
  <c r="Z681" i="1"/>
  <c r="X681" i="1"/>
  <c r="K681" i="1"/>
  <c r="N681" i="1" s="1"/>
  <c r="D681" i="1"/>
  <c r="AD396" i="1"/>
  <c r="AB396" i="1"/>
  <c r="Z396" i="1"/>
  <c r="X396" i="1"/>
  <c r="K396" i="1"/>
  <c r="N396" i="1" s="1"/>
  <c r="D396" i="1"/>
  <c r="AD679" i="1"/>
  <c r="AB679" i="1"/>
  <c r="Z679" i="1"/>
  <c r="X679" i="1"/>
  <c r="K679" i="1"/>
  <c r="N679" i="1" s="1"/>
  <c r="D679" i="1"/>
  <c r="AD409" i="1"/>
  <c r="AB409" i="1"/>
  <c r="Z409" i="1"/>
  <c r="X409" i="1"/>
  <c r="K409" i="1"/>
  <c r="N409" i="1" s="1"/>
  <c r="D409" i="1"/>
  <c r="AD677" i="1"/>
  <c r="AB677" i="1"/>
  <c r="Z677" i="1"/>
  <c r="X677" i="1"/>
  <c r="K677" i="1"/>
  <c r="N677" i="1" s="1"/>
  <c r="D677" i="1"/>
  <c r="AD676" i="1"/>
  <c r="AB676" i="1"/>
  <c r="Z676" i="1"/>
  <c r="X676" i="1"/>
  <c r="K676" i="1"/>
  <c r="N676" i="1" s="1"/>
  <c r="D676" i="1"/>
  <c r="AD385" i="1"/>
  <c r="AB385" i="1"/>
  <c r="Z385" i="1"/>
  <c r="X385" i="1"/>
  <c r="K385" i="1"/>
  <c r="N385" i="1" s="1"/>
  <c r="D385" i="1"/>
  <c r="AD674" i="1"/>
  <c r="AB674" i="1"/>
  <c r="Z674" i="1"/>
  <c r="X674" i="1"/>
  <c r="K674" i="1"/>
  <c r="N674" i="1" s="1"/>
  <c r="D674" i="1"/>
  <c r="AD400" i="1"/>
  <c r="AB400" i="1"/>
  <c r="Z400" i="1"/>
  <c r="X400" i="1"/>
  <c r="K400" i="1"/>
  <c r="N400" i="1" s="1"/>
  <c r="D400" i="1"/>
  <c r="AD672" i="1"/>
  <c r="AB672" i="1"/>
  <c r="Z672" i="1"/>
  <c r="X672" i="1"/>
  <c r="K672" i="1"/>
  <c r="N672" i="1" s="1"/>
  <c r="D672" i="1"/>
  <c r="AD670" i="1"/>
  <c r="AB670" i="1"/>
  <c r="Z670" i="1"/>
  <c r="X670" i="1"/>
  <c r="K670" i="1"/>
  <c r="N670" i="1" s="1"/>
  <c r="D670" i="1"/>
  <c r="AD669" i="1"/>
  <c r="AB669" i="1"/>
  <c r="Z669" i="1"/>
  <c r="X669" i="1"/>
  <c r="K669" i="1"/>
  <c r="N669" i="1" s="1"/>
  <c r="D669" i="1"/>
  <c r="AD668" i="1"/>
  <c r="AB668" i="1"/>
  <c r="Z668" i="1"/>
  <c r="X668" i="1"/>
  <c r="K668" i="1"/>
  <c r="N668" i="1" s="1"/>
  <c r="D668" i="1"/>
  <c r="AD667" i="1"/>
  <c r="AB667" i="1"/>
  <c r="Z667" i="1"/>
  <c r="X667" i="1"/>
  <c r="K667" i="1"/>
  <c r="N667" i="1" s="1"/>
  <c r="D667" i="1"/>
  <c r="AD666" i="1"/>
  <c r="AB666" i="1"/>
  <c r="Z666" i="1"/>
  <c r="X666" i="1"/>
  <c r="K666" i="1"/>
  <c r="N666" i="1" s="1"/>
  <c r="D666" i="1"/>
  <c r="AD645" i="1"/>
  <c r="AB645" i="1"/>
  <c r="Z645" i="1"/>
  <c r="X645" i="1"/>
  <c r="K645" i="1"/>
  <c r="N645" i="1" s="1"/>
  <c r="D645" i="1"/>
  <c r="AD664" i="1"/>
  <c r="AB664" i="1"/>
  <c r="Z664" i="1"/>
  <c r="X664" i="1"/>
  <c r="K664" i="1"/>
  <c r="N664" i="1" s="1"/>
  <c r="D664" i="1"/>
  <c r="AD671" i="1"/>
  <c r="AB671" i="1"/>
  <c r="Z671" i="1"/>
  <c r="X671" i="1"/>
  <c r="K671" i="1"/>
  <c r="N671" i="1" s="1"/>
  <c r="D671" i="1"/>
  <c r="AD662" i="1"/>
  <c r="AB662" i="1"/>
  <c r="Z662" i="1"/>
  <c r="X662" i="1"/>
  <c r="K662" i="1"/>
  <c r="N662" i="1" s="1"/>
  <c r="D662" i="1"/>
  <c r="AD661" i="1"/>
  <c r="AB661" i="1"/>
  <c r="Z661" i="1"/>
  <c r="X661" i="1"/>
  <c r="K661" i="1"/>
  <c r="N661" i="1" s="1"/>
  <c r="D661" i="1"/>
  <c r="AD660" i="1"/>
  <c r="AB660" i="1"/>
  <c r="Z660" i="1"/>
  <c r="X660" i="1"/>
  <c r="K660" i="1"/>
  <c r="N660" i="1" s="1"/>
  <c r="D660" i="1"/>
  <c r="AD659" i="1"/>
  <c r="AB659" i="1"/>
  <c r="Z659" i="1"/>
  <c r="X659" i="1"/>
  <c r="K659" i="1"/>
  <c r="N659" i="1" s="1"/>
  <c r="D659" i="1"/>
  <c r="AD658" i="1"/>
  <c r="AB658" i="1"/>
  <c r="Z658" i="1"/>
  <c r="X658" i="1"/>
  <c r="K658" i="1"/>
  <c r="N658" i="1" s="1"/>
  <c r="D658" i="1"/>
  <c r="AD657" i="1"/>
  <c r="AB657" i="1"/>
  <c r="Z657" i="1"/>
  <c r="X657" i="1"/>
  <c r="K657" i="1"/>
  <c r="N657" i="1" s="1"/>
  <c r="D657" i="1"/>
  <c r="AD656" i="1"/>
  <c r="AB656" i="1"/>
  <c r="Z656" i="1"/>
  <c r="X656" i="1"/>
  <c r="K656" i="1"/>
  <c r="N656" i="1" s="1"/>
  <c r="D656" i="1"/>
  <c r="AD655" i="1"/>
  <c r="AB655" i="1"/>
  <c r="Z655" i="1"/>
  <c r="X655" i="1"/>
  <c r="K655" i="1"/>
  <c r="N655" i="1" s="1"/>
  <c r="D655" i="1"/>
  <c r="AD654" i="1"/>
  <c r="AB654" i="1"/>
  <c r="Z654" i="1"/>
  <c r="X654" i="1"/>
  <c r="K654" i="1"/>
  <c r="N654" i="1" s="1"/>
  <c r="D654" i="1"/>
  <c r="AD634" i="1"/>
  <c r="AB634" i="1"/>
  <c r="Z634" i="1"/>
  <c r="X634" i="1"/>
  <c r="K634" i="1"/>
  <c r="N634" i="1" s="1"/>
  <c r="D634" i="1"/>
  <c r="AD652" i="1"/>
  <c r="AB652" i="1"/>
  <c r="Z652" i="1"/>
  <c r="X652" i="1"/>
  <c r="K652" i="1"/>
  <c r="N652" i="1" s="1"/>
  <c r="D652" i="1"/>
  <c r="AD663" i="1"/>
  <c r="AB663" i="1"/>
  <c r="Z663" i="1"/>
  <c r="X663" i="1"/>
  <c r="K663" i="1"/>
  <c r="N663" i="1" s="1"/>
  <c r="D663" i="1"/>
  <c r="AD651" i="1"/>
  <c r="AB651" i="1"/>
  <c r="Z651" i="1"/>
  <c r="X651" i="1"/>
  <c r="K651" i="1"/>
  <c r="N651" i="1" s="1"/>
  <c r="D651" i="1"/>
  <c r="AD650" i="1"/>
  <c r="AB650" i="1"/>
  <c r="Z650" i="1"/>
  <c r="X650" i="1"/>
  <c r="K650" i="1"/>
  <c r="N650" i="1" s="1"/>
  <c r="D650" i="1"/>
  <c r="AD649" i="1"/>
  <c r="AB649" i="1"/>
  <c r="Z649" i="1"/>
  <c r="X649" i="1"/>
  <c r="K649" i="1"/>
  <c r="N649" i="1" s="1"/>
  <c r="D649" i="1"/>
  <c r="AD648" i="1"/>
  <c r="AB648" i="1"/>
  <c r="Z648" i="1"/>
  <c r="X648" i="1"/>
  <c r="K648" i="1"/>
  <c r="N648" i="1" s="1"/>
  <c r="D648" i="1"/>
  <c r="AD647" i="1"/>
  <c r="AB647" i="1"/>
  <c r="Z647" i="1"/>
  <c r="X647" i="1"/>
  <c r="K647" i="1"/>
  <c r="N647" i="1" s="1"/>
  <c r="D647" i="1"/>
  <c r="AD646" i="1"/>
  <c r="AB646" i="1"/>
  <c r="Z646" i="1"/>
  <c r="X646" i="1"/>
  <c r="K646" i="1"/>
  <c r="N646" i="1" s="1"/>
  <c r="D646" i="1"/>
  <c r="AD665" i="1"/>
  <c r="AB665" i="1"/>
  <c r="Z665" i="1"/>
  <c r="X665" i="1"/>
  <c r="K665" i="1"/>
  <c r="N665" i="1" s="1"/>
  <c r="D665" i="1"/>
  <c r="AD644" i="1"/>
  <c r="AB644" i="1"/>
  <c r="Z644" i="1"/>
  <c r="X644" i="1"/>
  <c r="K644" i="1"/>
  <c r="N644" i="1" s="1"/>
  <c r="D644" i="1"/>
  <c r="AD643" i="1"/>
  <c r="AB643" i="1"/>
  <c r="Z643" i="1"/>
  <c r="X643" i="1"/>
  <c r="K643" i="1"/>
  <c r="N643" i="1" s="1"/>
  <c r="D643" i="1"/>
  <c r="AD653" i="1"/>
  <c r="AB653" i="1"/>
  <c r="Z653" i="1"/>
  <c r="X653" i="1"/>
  <c r="K653" i="1"/>
  <c r="N653" i="1" s="1"/>
  <c r="D653" i="1"/>
  <c r="AD641" i="1"/>
  <c r="AB641" i="1"/>
  <c r="Z641" i="1"/>
  <c r="X641" i="1"/>
  <c r="K641" i="1"/>
  <c r="N641" i="1" s="1"/>
  <c r="D641" i="1"/>
  <c r="AD640" i="1"/>
  <c r="AB640" i="1"/>
  <c r="Z640" i="1"/>
  <c r="X640" i="1"/>
  <c r="K640" i="1"/>
  <c r="N640" i="1" s="1"/>
  <c r="D640" i="1"/>
  <c r="AD639" i="1"/>
  <c r="AB639" i="1"/>
  <c r="Z639" i="1"/>
  <c r="X639" i="1"/>
  <c r="K639" i="1"/>
  <c r="N639" i="1" s="1"/>
  <c r="D639" i="1"/>
  <c r="AD638" i="1"/>
  <c r="AB638" i="1"/>
  <c r="Z638" i="1"/>
  <c r="X638" i="1"/>
  <c r="K638" i="1"/>
  <c r="N638" i="1" s="1"/>
  <c r="D638" i="1"/>
  <c r="AD637" i="1"/>
  <c r="AB637" i="1"/>
  <c r="Z637" i="1"/>
  <c r="X637" i="1"/>
  <c r="K637" i="1"/>
  <c r="N637" i="1" s="1"/>
  <c r="D637" i="1"/>
  <c r="AD636" i="1"/>
  <c r="AB636" i="1"/>
  <c r="Z636" i="1"/>
  <c r="X636" i="1"/>
  <c r="K636" i="1"/>
  <c r="N636" i="1" s="1"/>
  <c r="D636" i="1"/>
  <c r="AD635" i="1"/>
  <c r="AB635" i="1"/>
  <c r="Z635" i="1"/>
  <c r="X635" i="1"/>
  <c r="K635" i="1"/>
  <c r="N635" i="1" s="1"/>
  <c r="D635" i="1"/>
  <c r="AD642" i="1"/>
  <c r="AB642" i="1"/>
  <c r="Z642" i="1"/>
  <c r="X642" i="1"/>
  <c r="K642" i="1"/>
  <c r="N642" i="1" s="1"/>
  <c r="D642" i="1"/>
  <c r="AD633" i="1"/>
  <c r="AB633" i="1"/>
  <c r="Z633" i="1"/>
  <c r="X633" i="1"/>
  <c r="K633" i="1"/>
  <c r="N633" i="1" s="1"/>
  <c r="D633" i="1"/>
  <c r="AD632" i="1"/>
  <c r="AB632" i="1"/>
  <c r="Z632" i="1"/>
  <c r="X632" i="1"/>
  <c r="K632" i="1"/>
  <c r="N632" i="1" s="1"/>
  <c r="D632" i="1"/>
  <c r="AD631" i="1"/>
  <c r="AB631" i="1"/>
  <c r="Z631" i="1"/>
  <c r="X631" i="1"/>
  <c r="K631" i="1"/>
  <c r="N631" i="1" s="1"/>
  <c r="D631" i="1"/>
  <c r="AD630" i="1"/>
  <c r="AB630" i="1"/>
  <c r="Z630" i="1"/>
  <c r="X630" i="1"/>
  <c r="K630" i="1"/>
  <c r="N630" i="1" s="1"/>
  <c r="D630" i="1"/>
  <c r="AD629" i="1"/>
  <c r="AB629" i="1"/>
  <c r="Z629" i="1"/>
  <c r="X629" i="1"/>
  <c r="K629" i="1"/>
  <c r="N629" i="1" s="1"/>
  <c r="D629" i="1"/>
  <c r="AD628" i="1"/>
  <c r="AB628" i="1"/>
  <c r="Z628" i="1"/>
  <c r="X628" i="1"/>
  <c r="K628" i="1"/>
  <c r="N628" i="1" s="1"/>
  <c r="D628" i="1"/>
  <c r="AD627" i="1"/>
  <c r="AB627" i="1"/>
  <c r="Z627" i="1"/>
  <c r="X627" i="1"/>
  <c r="K627" i="1"/>
  <c r="N627" i="1" s="1"/>
  <c r="D627" i="1"/>
  <c r="AD626" i="1"/>
  <c r="AB626" i="1"/>
  <c r="Z626" i="1"/>
  <c r="X626" i="1"/>
  <c r="K626" i="1"/>
  <c r="N626" i="1" s="1"/>
  <c r="D626" i="1"/>
  <c r="AD625" i="1"/>
  <c r="AB625" i="1"/>
  <c r="Z625" i="1"/>
  <c r="X625" i="1"/>
  <c r="K625" i="1"/>
  <c r="N625" i="1" s="1"/>
  <c r="D625" i="1"/>
  <c r="AD624" i="1"/>
  <c r="AB624" i="1"/>
  <c r="Z624" i="1"/>
  <c r="X624" i="1"/>
  <c r="K624" i="1"/>
  <c r="N624" i="1" s="1"/>
  <c r="D624" i="1"/>
  <c r="AD623" i="1"/>
  <c r="AB623" i="1"/>
  <c r="Z623" i="1"/>
  <c r="X623" i="1"/>
  <c r="K623" i="1"/>
  <c r="N623" i="1" s="1"/>
  <c r="D623" i="1"/>
  <c r="AD622" i="1"/>
  <c r="AB622" i="1"/>
  <c r="Z622" i="1"/>
  <c r="X622" i="1"/>
  <c r="K622" i="1"/>
  <c r="N622" i="1" s="1"/>
  <c r="D622" i="1"/>
  <c r="AD598" i="1"/>
  <c r="AB598" i="1"/>
  <c r="Z598" i="1"/>
  <c r="X598" i="1"/>
  <c r="K598" i="1"/>
  <c r="N598" i="1" s="1"/>
  <c r="D598" i="1"/>
  <c r="AD620" i="1"/>
  <c r="AB620" i="1"/>
  <c r="Z620" i="1"/>
  <c r="X620" i="1"/>
  <c r="K620" i="1"/>
  <c r="N620" i="1" s="1"/>
  <c r="D620" i="1"/>
  <c r="AD619" i="1"/>
  <c r="AB619" i="1"/>
  <c r="Z619" i="1"/>
  <c r="X619" i="1"/>
  <c r="K619" i="1"/>
  <c r="N619" i="1" s="1"/>
  <c r="D619" i="1"/>
  <c r="AD375" i="1"/>
  <c r="AB375" i="1"/>
  <c r="Z375" i="1"/>
  <c r="X375" i="1"/>
  <c r="K375" i="1"/>
  <c r="N375" i="1" s="1"/>
  <c r="D375" i="1"/>
  <c r="AD618" i="1"/>
  <c r="AB618" i="1"/>
  <c r="Z618" i="1"/>
  <c r="X618" i="1"/>
  <c r="K618" i="1"/>
  <c r="N618" i="1" s="1"/>
  <c r="D618" i="1"/>
  <c r="AD617" i="1"/>
  <c r="AB617" i="1"/>
  <c r="Z617" i="1"/>
  <c r="X617" i="1"/>
  <c r="K617" i="1"/>
  <c r="N617" i="1" s="1"/>
  <c r="D617" i="1"/>
  <c r="AD616" i="1"/>
  <c r="AB616" i="1"/>
  <c r="Z616" i="1"/>
  <c r="X616" i="1"/>
  <c r="K616" i="1"/>
  <c r="N616" i="1" s="1"/>
  <c r="D616" i="1"/>
  <c r="AD615" i="1"/>
  <c r="AB615" i="1"/>
  <c r="Z615" i="1"/>
  <c r="X615" i="1"/>
  <c r="K615" i="1"/>
  <c r="N615" i="1" s="1"/>
  <c r="D615" i="1"/>
  <c r="AD713" i="1"/>
  <c r="AB713" i="1"/>
  <c r="Z713" i="1"/>
  <c r="X713" i="1"/>
  <c r="K713" i="1"/>
  <c r="N713" i="1" s="1"/>
  <c r="D713" i="1"/>
  <c r="AD614" i="1"/>
  <c r="AB614" i="1"/>
  <c r="Z614" i="1"/>
  <c r="X614" i="1"/>
  <c r="K614" i="1"/>
  <c r="N614" i="1" s="1"/>
  <c r="D614" i="1"/>
  <c r="AD613" i="1"/>
  <c r="AB613" i="1"/>
  <c r="Z613" i="1"/>
  <c r="X613" i="1"/>
  <c r="K613" i="1"/>
  <c r="N613" i="1" s="1"/>
  <c r="D613" i="1"/>
  <c r="AD612" i="1"/>
  <c r="AB612" i="1"/>
  <c r="Z612" i="1"/>
  <c r="X612" i="1"/>
  <c r="K612" i="1"/>
  <c r="N612" i="1" s="1"/>
  <c r="D612" i="1"/>
  <c r="AD611" i="1"/>
  <c r="AB611" i="1"/>
  <c r="Z611" i="1"/>
  <c r="X611" i="1"/>
  <c r="K611" i="1"/>
  <c r="N611" i="1" s="1"/>
  <c r="D611" i="1"/>
  <c r="AD586" i="1"/>
  <c r="AB586" i="1"/>
  <c r="Z586" i="1"/>
  <c r="X586" i="1"/>
  <c r="K586" i="1"/>
  <c r="N586" i="1" s="1"/>
  <c r="D586" i="1"/>
  <c r="AD609" i="1"/>
  <c r="AB609" i="1"/>
  <c r="Z609" i="1"/>
  <c r="X609" i="1"/>
  <c r="K609" i="1"/>
  <c r="N609" i="1" s="1"/>
  <c r="D609" i="1"/>
  <c r="AD608" i="1"/>
  <c r="AB608" i="1"/>
  <c r="Z608" i="1"/>
  <c r="X608" i="1"/>
  <c r="K608" i="1"/>
  <c r="N608" i="1" s="1"/>
  <c r="D608" i="1"/>
  <c r="AD701" i="1"/>
  <c r="AB701" i="1"/>
  <c r="Z701" i="1"/>
  <c r="X701" i="1"/>
  <c r="K701" i="1"/>
  <c r="N701" i="1" s="1"/>
  <c r="D701" i="1"/>
  <c r="AD607" i="1"/>
  <c r="AB607" i="1"/>
  <c r="Z607" i="1"/>
  <c r="X607" i="1"/>
  <c r="K607" i="1"/>
  <c r="N607" i="1" s="1"/>
  <c r="D607" i="1"/>
  <c r="AD606" i="1"/>
  <c r="AB606" i="1"/>
  <c r="Z606" i="1"/>
  <c r="X606" i="1"/>
  <c r="K606" i="1"/>
  <c r="N606" i="1" s="1"/>
  <c r="D606" i="1"/>
  <c r="AD605" i="1"/>
  <c r="AB605" i="1"/>
  <c r="Z605" i="1"/>
  <c r="X605" i="1"/>
  <c r="K605" i="1"/>
  <c r="N605" i="1" s="1"/>
  <c r="D605" i="1"/>
  <c r="AD604" i="1"/>
  <c r="AB604" i="1"/>
  <c r="Z604" i="1"/>
  <c r="X604" i="1"/>
  <c r="K604" i="1"/>
  <c r="N604" i="1" s="1"/>
  <c r="D604" i="1"/>
  <c r="AD689" i="1"/>
  <c r="AB689" i="1"/>
  <c r="Z689" i="1"/>
  <c r="X689" i="1"/>
  <c r="K689" i="1"/>
  <c r="N689" i="1" s="1"/>
  <c r="D689" i="1"/>
  <c r="AD603" i="1"/>
  <c r="AB603" i="1"/>
  <c r="Z603" i="1"/>
  <c r="X603" i="1"/>
  <c r="K603" i="1"/>
  <c r="N603" i="1" s="1"/>
  <c r="D603" i="1"/>
  <c r="AD602" i="1"/>
  <c r="AB602" i="1"/>
  <c r="Z602" i="1"/>
  <c r="X602" i="1"/>
  <c r="K602" i="1"/>
  <c r="N602" i="1" s="1"/>
  <c r="D602" i="1"/>
  <c r="AD601" i="1"/>
  <c r="AB601" i="1"/>
  <c r="Z601" i="1"/>
  <c r="X601" i="1"/>
  <c r="K601" i="1"/>
  <c r="N601" i="1" s="1"/>
  <c r="D601" i="1"/>
  <c r="AD600" i="1"/>
  <c r="AB600" i="1"/>
  <c r="Z600" i="1"/>
  <c r="X600" i="1"/>
  <c r="K600" i="1"/>
  <c r="N600" i="1" s="1"/>
  <c r="D600" i="1"/>
  <c r="AD599" i="1"/>
  <c r="AB599" i="1"/>
  <c r="Z599" i="1"/>
  <c r="X599" i="1"/>
  <c r="K599" i="1"/>
  <c r="N599" i="1" s="1"/>
  <c r="D599" i="1"/>
  <c r="AD597" i="1"/>
  <c r="AB597" i="1"/>
  <c r="Z597" i="1"/>
  <c r="X597" i="1"/>
  <c r="K597" i="1"/>
  <c r="N597" i="1" s="1"/>
  <c r="D597" i="1"/>
  <c r="AD596" i="1"/>
  <c r="AB596" i="1"/>
  <c r="Z596" i="1"/>
  <c r="X596" i="1"/>
  <c r="K596" i="1"/>
  <c r="N596" i="1" s="1"/>
  <c r="D596" i="1"/>
  <c r="A596" i="1"/>
  <c r="AD621" i="1"/>
  <c r="AB621" i="1"/>
  <c r="Z621" i="1"/>
  <c r="X621" i="1"/>
  <c r="K621" i="1"/>
  <c r="N621" i="1" s="1"/>
  <c r="D621" i="1"/>
  <c r="AD926" i="1"/>
  <c r="AB926" i="1"/>
  <c r="Z926" i="1"/>
  <c r="X926" i="1"/>
  <c r="K926" i="1"/>
  <c r="N926" i="1" s="1"/>
  <c r="D926" i="1"/>
  <c r="AD595" i="1"/>
  <c r="AB595" i="1"/>
  <c r="Z595" i="1"/>
  <c r="X595" i="1"/>
  <c r="K595" i="1"/>
  <c r="N595" i="1" s="1"/>
  <c r="D595" i="1"/>
  <c r="AD594" i="1"/>
  <c r="AB594" i="1"/>
  <c r="Z594" i="1"/>
  <c r="X594" i="1"/>
  <c r="K594" i="1"/>
  <c r="N594" i="1" s="1"/>
  <c r="D594" i="1"/>
  <c r="AD593" i="1"/>
  <c r="AB593" i="1"/>
  <c r="Z593" i="1"/>
  <c r="X593" i="1"/>
  <c r="K593" i="1"/>
  <c r="N593" i="1" s="1"/>
  <c r="D593" i="1"/>
  <c r="AD592" i="1"/>
  <c r="AB592" i="1"/>
  <c r="Z592" i="1"/>
  <c r="X592" i="1"/>
  <c r="K592" i="1"/>
  <c r="N592" i="1" s="1"/>
  <c r="D592" i="1"/>
  <c r="AD914" i="1"/>
  <c r="AB914" i="1"/>
  <c r="Z914" i="1"/>
  <c r="X914" i="1"/>
  <c r="K914" i="1"/>
  <c r="N914" i="1" s="1"/>
  <c r="D914" i="1"/>
  <c r="AD591" i="1"/>
  <c r="AB591" i="1"/>
  <c r="Z591" i="1"/>
  <c r="X591" i="1"/>
  <c r="K591" i="1"/>
  <c r="N591" i="1" s="1"/>
  <c r="D591" i="1"/>
  <c r="AD590" i="1"/>
  <c r="AB590" i="1"/>
  <c r="Z590" i="1"/>
  <c r="X590" i="1"/>
  <c r="K590" i="1"/>
  <c r="N590" i="1" s="1"/>
  <c r="D590" i="1"/>
  <c r="AD589" i="1"/>
  <c r="AB589" i="1"/>
  <c r="Z589" i="1"/>
  <c r="X589" i="1"/>
  <c r="K589" i="1"/>
  <c r="N589" i="1" s="1"/>
  <c r="D589" i="1"/>
  <c r="AD588" i="1"/>
  <c r="AB588" i="1"/>
  <c r="Z588" i="1"/>
  <c r="X588" i="1"/>
  <c r="K588" i="1"/>
  <c r="N588" i="1" s="1"/>
  <c r="D588" i="1"/>
  <c r="AD587" i="1"/>
  <c r="AB587" i="1"/>
  <c r="Z587" i="1"/>
  <c r="X587" i="1"/>
  <c r="K587" i="1"/>
  <c r="N587" i="1" s="1"/>
  <c r="D587" i="1"/>
  <c r="AD585" i="1"/>
  <c r="AB585" i="1"/>
  <c r="Z585" i="1"/>
  <c r="X585" i="1"/>
  <c r="K585" i="1"/>
  <c r="N585" i="1" s="1"/>
  <c r="D585" i="1"/>
  <c r="AD584" i="1"/>
  <c r="AB584" i="1"/>
  <c r="Z584" i="1"/>
  <c r="X584" i="1"/>
  <c r="K584" i="1"/>
  <c r="N584" i="1" s="1"/>
  <c r="D584" i="1"/>
  <c r="A584" i="1"/>
  <c r="AD610" i="1"/>
  <c r="AB610" i="1"/>
  <c r="Z610" i="1"/>
  <c r="X610" i="1"/>
  <c r="K610" i="1"/>
  <c r="N610" i="1" s="1"/>
  <c r="D610" i="1"/>
  <c r="AD554" i="1"/>
  <c r="AB554" i="1"/>
  <c r="Z554" i="1"/>
  <c r="X554" i="1"/>
  <c r="K554" i="1"/>
  <c r="N554" i="1" s="1"/>
  <c r="D554" i="1"/>
  <c r="AD583" i="1"/>
  <c r="AB583" i="1"/>
  <c r="Z583" i="1"/>
  <c r="X583" i="1"/>
  <c r="K583" i="1"/>
  <c r="N583" i="1" s="1"/>
  <c r="D583" i="1"/>
  <c r="AD582" i="1"/>
  <c r="AB582" i="1"/>
  <c r="Z582" i="1"/>
  <c r="X582" i="1"/>
  <c r="K582" i="1"/>
  <c r="N582" i="1" s="1"/>
  <c r="D582" i="1"/>
  <c r="AD581" i="1"/>
  <c r="AB581" i="1"/>
  <c r="Z581" i="1"/>
  <c r="X581" i="1"/>
  <c r="K581" i="1"/>
  <c r="N581" i="1" s="1"/>
  <c r="D581" i="1"/>
  <c r="AD580" i="1"/>
  <c r="AB580" i="1"/>
  <c r="Z580" i="1"/>
  <c r="X580" i="1"/>
  <c r="K580" i="1"/>
  <c r="N580" i="1" s="1"/>
  <c r="D580" i="1"/>
  <c r="AD540" i="1"/>
  <c r="AB540" i="1"/>
  <c r="Z540" i="1"/>
  <c r="X540" i="1"/>
  <c r="K540" i="1"/>
  <c r="N540" i="1" s="1"/>
  <c r="D540" i="1"/>
  <c r="AD579" i="1"/>
  <c r="AB579" i="1"/>
  <c r="Z579" i="1"/>
  <c r="X579" i="1"/>
  <c r="K579" i="1"/>
  <c r="N579" i="1" s="1"/>
  <c r="D579" i="1"/>
  <c r="AD578" i="1"/>
  <c r="AB578" i="1"/>
  <c r="Z578" i="1"/>
  <c r="X578" i="1"/>
  <c r="K578" i="1"/>
  <c r="N578" i="1" s="1"/>
  <c r="D578" i="1"/>
  <c r="AD577" i="1"/>
  <c r="AB577" i="1"/>
  <c r="Z577" i="1"/>
  <c r="X577" i="1"/>
  <c r="K577" i="1"/>
  <c r="N577" i="1" s="1"/>
  <c r="D577" i="1"/>
  <c r="AD576" i="1"/>
  <c r="AB576" i="1"/>
  <c r="Z576" i="1"/>
  <c r="X576" i="1"/>
  <c r="K576" i="1"/>
  <c r="N576" i="1" s="1"/>
  <c r="D576" i="1"/>
  <c r="AD907" i="1"/>
  <c r="AB907" i="1"/>
  <c r="Z907" i="1"/>
  <c r="X907" i="1"/>
  <c r="K907" i="1"/>
  <c r="N907" i="1" s="1"/>
  <c r="D907" i="1"/>
  <c r="AD896" i="1"/>
  <c r="AB896" i="1"/>
  <c r="Z896" i="1"/>
  <c r="X896" i="1"/>
  <c r="K896" i="1"/>
  <c r="N896" i="1" s="1"/>
  <c r="D896" i="1"/>
  <c r="AD884" i="1"/>
  <c r="AB884" i="1"/>
  <c r="Z884" i="1"/>
  <c r="X884" i="1"/>
  <c r="K884" i="1"/>
  <c r="N884" i="1" s="1"/>
  <c r="D884" i="1"/>
  <c r="AD575" i="1"/>
  <c r="AB575" i="1"/>
  <c r="Z575" i="1"/>
  <c r="X575" i="1"/>
  <c r="K575" i="1"/>
  <c r="N575" i="1" s="1"/>
  <c r="D575" i="1"/>
  <c r="AD873" i="1"/>
  <c r="AB873" i="1"/>
  <c r="Z873" i="1"/>
  <c r="X873" i="1"/>
  <c r="K873" i="1"/>
  <c r="N873" i="1" s="1"/>
  <c r="D873" i="1"/>
  <c r="AD557" i="1"/>
  <c r="AB557" i="1"/>
  <c r="Z557" i="1"/>
  <c r="X557" i="1"/>
  <c r="K557" i="1"/>
  <c r="N557" i="1" s="1"/>
  <c r="D557" i="1"/>
  <c r="AD574" i="1"/>
  <c r="AB574" i="1"/>
  <c r="Z574" i="1"/>
  <c r="X574" i="1"/>
  <c r="K574" i="1"/>
  <c r="N574" i="1" s="1"/>
  <c r="D574" i="1"/>
  <c r="AD1139" i="1"/>
  <c r="AB1139" i="1"/>
  <c r="Z1139" i="1"/>
  <c r="X1139" i="1"/>
  <c r="K1139" i="1"/>
  <c r="N1139" i="1" s="1"/>
  <c r="D1139" i="1"/>
  <c r="AD572" i="1"/>
  <c r="AB572" i="1"/>
  <c r="Z572" i="1"/>
  <c r="X572" i="1"/>
  <c r="K572" i="1"/>
  <c r="N572" i="1" s="1"/>
  <c r="D572" i="1"/>
  <c r="AD571" i="1"/>
  <c r="AB571" i="1"/>
  <c r="Z571" i="1"/>
  <c r="X571" i="1"/>
  <c r="K571" i="1"/>
  <c r="N571" i="1" s="1"/>
  <c r="D571" i="1"/>
  <c r="AD1130" i="1"/>
  <c r="AB1130" i="1"/>
  <c r="Z1130" i="1"/>
  <c r="X1130" i="1"/>
  <c r="K1130" i="1"/>
  <c r="N1130" i="1" s="1"/>
  <c r="D1130" i="1"/>
  <c r="AD1120" i="1"/>
  <c r="AB1120" i="1"/>
  <c r="Z1120" i="1"/>
  <c r="X1120" i="1"/>
  <c r="K1120" i="1"/>
  <c r="N1120" i="1" s="1"/>
  <c r="D1120" i="1"/>
  <c r="AD568" i="1"/>
  <c r="AB568" i="1"/>
  <c r="Z568" i="1"/>
  <c r="X568" i="1"/>
  <c r="K568" i="1"/>
  <c r="N568" i="1" s="1"/>
  <c r="D568" i="1"/>
  <c r="AD1113" i="1"/>
  <c r="AB1113" i="1"/>
  <c r="Z1113" i="1"/>
  <c r="X1113" i="1"/>
  <c r="K1113" i="1"/>
  <c r="N1113" i="1" s="1"/>
  <c r="D1113" i="1"/>
  <c r="AD567" i="1"/>
  <c r="AB567" i="1"/>
  <c r="Z567" i="1"/>
  <c r="X567" i="1"/>
  <c r="K567" i="1"/>
  <c r="N567" i="1" s="1"/>
  <c r="D567" i="1"/>
  <c r="AD1002" i="1"/>
  <c r="AB1002" i="1"/>
  <c r="Z1002" i="1"/>
  <c r="X1002" i="1"/>
  <c r="K1002" i="1"/>
  <c r="N1002" i="1" s="1"/>
  <c r="D1002" i="1"/>
  <c r="AD991" i="1"/>
  <c r="AB991" i="1"/>
  <c r="Z991" i="1"/>
  <c r="X991" i="1"/>
  <c r="K991" i="1"/>
  <c r="N991" i="1" s="1"/>
  <c r="D991" i="1"/>
  <c r="AD566" i="1"/>
  <c r="AB566" i="1"/>
  <c r="Z566" i="1"/>
  <c r="X566" i="1"/>
  <c r="K566" i="1"/>
  <c r="N566" i="1" s="1"/>
  <c r="D566" i="1"/>
  <c r="AD793" i="1"/>
  <c r="AB793" i="1"/>
  <c r="Z793" i="1"/>
  <c r="X793" i="1"/>
  <c r="K793" i="1"/>
  <c r="N793" i="1" s="1"/>
  <c r="D793" i="1"/>
  <c r="AD543" i="1"/>
  <c r="AB543" i="1"/>
  <c r="Z543" i="1"/>
  <c r="X543" i="1"/>
  <c r="K543" i="1"/>
  <c r="N543" i="1" s="1"/>
  <c r="D543" i="1"/>
  <c r="AD565" i="1"/>
  <c r="AB565" i="1"/>
  <c r="Z565" i="1"/>
  <c r="X565" i="1"/>
  <c r="K565" i="1"/>
  <c r="N565" i="1" s="1"/>
  <c r="D565" i="1"/>
  <c r="AD780" i="1"/>
  <c r="AB780" i="1"/>
  <c r="Z780" i="1"/>
  <c r="X780" i="1"/>
  <c r="K780" i="1"/>
  <c r="N780" i="1" s="1"/>
  <c r="D780" i="1"/>
  <c r="AD563" i="1"/>
  <c r="AB563" i="1"/>
  <c r="Z563" i="1"/>
  <c r="X563" i="1"/>
  <c r="K563" i="1"/>
  <c r="N563" i="1" s="1"/>
  <c r="D563" i="1"/>
  <c r="AD562" i="1"/>
  <c r="AB562" i="1"/>
  <c r="Z562" i="1"/>
  <c r="X562" i="1"/>
  <c r="K562" i="1"/>
  <c r="N562" i="1" s="1"/>
  <c r="D562" i="1"/>
  <c r="AD742" i="1"/>
  <c r="AB742" i="1"/>
  <c r="Z742" i="1"/>
  <c r="X742" i="1"/>
  <c r="K742" i="1"/>
  <c r="N742" i="1" s="1"/>
  <c r="D742" i="1"/>
  <c r="AD730" i="1"/>
  <c r="AB730" i="1"/>
  <c r="Z730" i="1"/>
  <c r="X730" i="1"/>
  <c r="K730" i="1"/>
  <c r="N730" i="1" s="1"/>
  <c r="D730" i="1"/>
  <c r="AD559" i="1"/>
  <c r="AB559" i="1"/>
  <c r="Z559" i="1"/>
  <c r="X559" i="1"/>
  <c r="K559" i="1"/>
  <c r="N559" i="1" s="1"/>
  <c r="D559" i="1"/>
  <c r="AD1177" i="1"/>
  <c r="AB1177" i="1"/>
  <c r="Z1177" i="1"/>
  <c r="X1177" i="1"/>
  <c r="K1177" i="1"/>
  <c r="N1177" i="1" s="1"/>
  <c r="D1177" i="1"/>
  <c r="AD558" i="1"/>
  <c r="AB558" i="1"/>
  <c r="Z558" i="1"/>
  <c r="X558" i="1"/>
  <c r="K558" i="1"/>
  <c r="N558" i="1" s="1"/>
  <c r="D558" i="1"/>
  <c r="AD1168" i="1"/>
  <c r="AB1168" i="1"/>
  <c r="Z1168" i="1"/>
  <c r="X1168" i="1"/>
  <c r="K1168" i="1"/>
  <c r="N1168" i="1" s="1"/>
  <c r="D1168" i="1"/>
  <c r="AD556" i="1"/>
  <c r="AB556" i="1"/>
  <c r="Z556" i="1"/>
  <c r="X556" i="1"/>
  <c r="K556" i="1"/>
  <c r="N556" i="1" s="1"/>
  <c r="D556" i="1"/>
  <c r="AD555" i="1"/>
  <c r="AB555" i="1"/>
  <c r="Z555" i="1"/>
  <c r="X555" i="1"/>
  <c r="K555" i="1"/>
  <c r="N555" i="1" s="1"/>
  <c r="D555" i="1"/>
  <c r="AD1158" i="1"/>
  <c r="AB1158" i="1"/>
  <c r="Z1158" i="1"/>
  <c r="X1158" i="1"/>
  <c r="K1158" i="1"/>
  <c r="N1158" i="1" s="1"/>
  <c r="D1158" i="1"/>
  <c r="AD553" i="1"/>
  <c r="AB553" i="1"/>
  <c r="Z553" i="1"/>
  <c r="X553" i="1"/>
  <c r="K553" i="1"/>
  <c r="N553" i="1" s="1"/>
  <c r="D553" i="1"/>
  <c r="AD545" i="1"/>
  <c r="AB545" i="1"/>
  <c r="Z545" i="1"/>
  <c r="X545" i="1"/>
  <c r="K545" i="1"/>
  <c r="N545" i="1" s="1"/>
  <c r="D545" i="1"/>
  <c r="AD552" i="1"/>
  <c r="AB552" i="1"/>
  <c r="Z552" i="1"/>
  <c r="X552" i="1"/>
  <c r="K552" i="1"/>
  <c r="N552" i="1" s="1"/>
  <c r="D552" i="1"/>
  <c r="AD1149" i="1"/>
  <c r="AB1149" i="1"/>
  <c r="Z1149" i="1"/>
  <c r="X1149" i="1"/>
  <c r="K1149" i="1"/>
  <c r="N1149" i="1" s="1"/>
  <c r="D1149" i="1"/>
  <c r="AD550" i="1"/>
  <c r="AB550" i="1"/>
  <c r="Z550" i="1"/>
  <c r="X550" i="1"/>
  <c r="K550" i="1"/>
  <c r="N550" i="1" s="1"/>
  <c r="D550" i="1"/>
  <c r="AD549" i="1"/>
  <c r="AB549" i="1"/>
  <c r="Z549" i="1"/>
  <c r="X549" i="1"/>
  <c r="K549" i="1"/>
  <c r="N549" i="1" s="1"/>
  <c r="D549" i="1"/>
  <c r="AD857" i="1"/>
  <c r="AB857" i="1"/>
  <c r="Z857" i="1"/>
  <c r="X857" i="1"/>
  <c r="K857" i="1"/>
  <c r="N857" i="1" s="1"/>
  <c r="D857" i="1"/>
  <c r="AD845" i="1"/>
  <c r="AB845" i="1"/>
  <c r="Z845" i="1"/>
  <c r="X845" i="1"/>
  <c r="K845" i="1"/>
  <c r="N845" i="1" s="1"/>
  <c r="D845" i="1"/>
  <c r="AD546" i="1"/>
  <c r="AB546" i="1"/>
  <c r="Z546" i="1"/>
  <c r="X546" i="1"/>
  <c r="K546" i="1"/>
  <c r="N546" i="1" s="1"/>
  <c r="D546" i="1"/>
  <c r="AD832" i="1"/>
  <c r="AB832" i="1"/>
  <c r="Z832" i="1"/>
  <c r="X832" i="1"/>
  <c r="K832" i="1"/>
  <c r="N832" i="1" s="1"/>
  <c r="D832" i="1"/>
  <c r="AD544" i="1"/>
  <c r="AB544" i="1"/>
  <c r="Z544" i="1"/>
  <c r="X544" i="1"/>
  <c r="K544" i="1"/>
  <c r="N544" i="1" s="1"/>
  <c r="D544" i="1"/>
  <c r="AD820" i="1"/>
  <c r="AB820" i="1"/>
  <c r="Z820" i="1"/>
  <c r="X820" i="1"/>
  <c r="K820" i="1"/>
  <c r="N820" i="1" s="1"/>
  <c r="D820" i="1"/>
  <c r="AD542" i="1"/>
  <c r="AB542" i="1"/>
  <c r="Z542" i="1"/>
  <c r="X542" i="1"/>
  <c r="K542" i="1"/>
  <c r="N542" i="1" s="1"/>
  <c r="D542" i="1"/>
  <c r="AD541" i="1"/>
  <c r="AB541" i="1"/>
  <c r="Z541" i="1"/>
  <c r="X541" i="1"/>
  <c r="K541" i="1"/>
  <c r="N541" i="1" s="1"/>
  <c r="D541" i="1"/>
  <c r="AD1170" i="1"/>
  <c r="AB1170" i="1"/>
  <c r="Z1170" i="1"/>
  <c r="X1170" i="1"/>
  <c r="K1170" i="1"/>
  <c r="N1170" i="1" s="1"/>
  <c r="D1170" i="1"/>
  <c r="AD539" i="1"/>
  <c r="AB539" i="1"/>
  <c r="Z539" i="1"/>
  <c r="X539" i="1"/>
  <c r="K539" i="1"/>
  <c r="N539" i="1" s="1"/>
  <c r="D539" i="1"/>
  <c r="AD531" i="1"/>
  <c r="AB531" i="1"/>
  <c r="Z531" i="1"/>
  <c r="X531" i="1"/>
  <c r="K531" i="1"/>
  <c r="N531" i="1" s="1"/>
  <c r="D531" i="1"/>
  <c r="AD538" i="1"/>
  <c r="AB538" i="1"/>
  <c r="Z538" i="1"/>
  <c r="X538" i="1"/>
  <c r="K538" i="1"/>
  <c r="N538" i="1" s="1"/>
  <c r="D538" i="1"/>
  <c r="AD1160" i="1"/>
  <c r="AB1160" i="1"/>
  <c r="Z1160" i="1"/>
  <c r="X1160" i="1"/>
  <c r="K1160" i="1"/>
  <c r="N1160" i="1" s="1"/>
  <c r="D1160" i="1"/>
  <c r="AD536" i="1"/>
  <c r="AB536" i="1"/>
  <c r="Z536" i="1"/>
  <c r="X536" i="1"/>
  <c r="K536" i="1"/>
  <c r="N536" i="1" s="1"/>
  <c r="D536" i="1"/>
  <c r="AD535" i="1"/>
  <c r="AB535" i="1"/>
  <c r="Z535" i="1"/>
  <c r="X535" i="1"/>
  <c r="K535" i="1"/>
  <c r="N535" i="1" s="1"/>
  <c r="D535" i="1"/>
  <c r="AD1151" i="1"/>
  <c r="AB1151" i="1"/>
  <c r="Z1151" i="1"/>
  <c r="X1151" i="1"/>
  <c r="K1151" i="1"/>
  <c r="N1151" i="1" s="1"/>
  <c r="D1151" i="1"/>
  <c r="AD1144" i="1"/>
  <c r="AB1144" i="1"/>
  <c r="Z1144" i="1"/>
  <c r="X1144" i="1"/>
  <c r="K1144" i="1"/>
  <c r="N1144" i="1" s="1"/>
  <c r="D1144" i="1"/>
  <c r="AD532" i="1"/>
  <c r="AB532" i="1"/>
  <c r="Z532" i="1"/>
  <c r="X532" i="1"/>
  <c r="K532" i="1"/>
  <c r="N532" i="1" s="1"/>
  <c r="D532" i="1"/>
  <c r="AD530" i="1"/>
  <c r="AB530" i="1"/>
  <c r="Z530" i="1"/>
  <c r="X530" i="1"/>
  <c r="K530" i="1"/>
  <c r="N530" i="1" s="1"/>
  <c r="D530" i="1"/>
  <c r="AD529" i="1"/>
  <c r="AB529" i="1"/>
  <c r="Z529" i="1"/>
  <c r="X529" i="1"/>
  <c r="K529" i="1"/>
  <c r="N529" i="1" s="1"/>
  <c r="D529" i="1"/>
  <c r="AD528" i="1"/>
  <c r="AB528" i="1"/>
  <c r="Z528" i="1"/>
  <c r="X528" i="1"/>
  <c r="K528" i="1"/>
  <c r="N528" i="1" s="1"/>
  <c r="D528" i="1"/>
  <c r="AD527" i="1"/>
  <c r="AB527" i="1"/>
  <c r="Z527" i="1"/>
  <c r="X527" i="1"/>
  <c r="K527" i="1"/>
  <c r="N527" i="1" s="1"/>
  <c r="D527" i="1"/>
  <c r="AD526" i="1"/>
  <c r="AB526" i="1"/>
  <c r="Z526" i="1"/>
  <c r="X526" i="1"/>
  <c r="K526" i="1"/>
  <c r="N526" i="1" s="1"/>
  <c r="D526" i="1"/>
  <c r="AD863" i="1"/>
  <c r="AB863" i="1"/>
  <c r="Z863" i="1"/>
  <c r="X863" i="1"/>
  <c r="K863" i="1"/>
  <c r="N863" i="1" s="1"/>
  <c r="D863" i="1"/>
  <c r="AD524" i="1"/>
  <c r="AB524" i="1"/>
  <c r="Z524" i="1"/>
  <c r="X524" i="1"/>
  <c r="K524" i="1"/>
  <c r="N524" i="1" s="1"/>
  <c r="D524" i="1"/>
  <c r="AD852" i="1"/>
  <c r="AB852" i="1"/>
  <c r="Z852" i="1"/>
  <c r="X852" i="1"/>
  <c r="K852" i="1"/>
  <c r="N852" i="1" s="1"/>
  <c r="D852" i="1"/>
  <c r="AD522" i="1"/>
  <c r="AB522" i="1"/>
  <c r="Z522" i="1"/>
  <c r="X522" i="1"/>
  <c r="K522" i="1"/>
  <c r="N522" i="1" s="1"/>
  <c r="D522" i="1"/>
  <c r="AD521" i="1"/>
  <c r="AB521" i="1"/>
  <c r="Z521" i="1"/>
  <c r="X521" i="1"/>
  <c r="D521" i="1"/>
  <c r="AD520" i="1"/>
  <c r="AB520" i="1"/>
  <c r="Z520" i="1"/>
  <c r="X520" i="1"/>
  <c r="K520" i="1"/>
  <c r="N520" i="1" s="1"/>
  <c r="D520" i="1"/>
  <c r="AD519" i="1"/>
  <c r="AB519" i="1"/>
  <c r="Z519" i="1"/>
  <c r="X519" i="1"/>
  <c r="K519" i="1"/>
  <c r="N519" i="1" s="1"/>
  <c r="D519" i="1"/>
  <c r="AD518" i="1"/>
  <c r="AB518" i="1"/>
  <c r="Z518" i="1"/>
  <c r="X518" i="1"/>
  <c r="K518" i="1"/>
  <c r="N518" i="1" s="1"/>
  <c r="D518" i="1"/>
  <c r="AD840" i="1"/>
  <c r="AB840" i="1"/>
  <c r="Z840" i="1"/>
  <c r="X840" i="1"/>
  <c r="K840" i="1"/>
  <c r="N840" i="1" s="1"/>
  <c r="D840" i="1"/>
  <c r="AD516" i="1"/>
  <c r="AB516" i="1"/>
  <c r="Z516" i="1"/>
  <c r="X516" i="1"/>
  <c r="K516" i="1"/>
  <c r="N516" i="1" s="1"/>
  <c r="D516" i="1"/>
  <c r="AD827" i="1"/>
  <c r="AB827" i="1"/>
  <c r="Z827" i="1"/>
  <c r="X827" i="1"/>
  <c r="K827" i="1"/>
  <c r="N827" i="1" s="1"/>
  <c r="D827" i="1"/>
  <c r="AD514" i="1"/>
  <c r="AB514" i="1"/>
  <c r="Z514" i="1"/>
  <c r="X514" i="1"/>
  <c r="K514" i="1"/>
  <c r="N514" i="1" s="1"/>
  <c r="D514" i="1"/>
  <c r="AD513" i="1"/>
  <c r="AB513" i="1"/>
  <c r="Z513" i="1"/>
  <c r="X513" i="1"/>
  <c r="K513" i="1"/>
  <c r="N513" i="1" s="1"/>
  <c r="D513" i="1"/>
  <c r="AD512" i="1"/>
  <c r="AB512" i="1"/>
  <c r="Z512" i="1"/>
  <c r="X512" i="1"/>
  <c r="K512" i="1"/>
  <c r="N512" i="1" s="1"/>
  <c r="D512" i="1"/>
  <c r="AD511" i="1"/>
  <c r="AB511" i="1"/>
  <c r="Z511" i="1"/>
  <c r="X511" i="1"/>
  <c r="K511" i="1"/>
  <c r="N511" i="1" s="1"/>
  <c r="D511" i="1"/>
  <c r="AD510" i="1"/>
  <c r="AB510" i="1"/>
  <c r="Z510" i="1"/>
  <c r="X510" i="1"/>
  <c r="K510" i="1"/>
  <c r="N510" i="1" s="1"/>
  <c r="D510" i="1"/>
  <c r="AD509" i="1"/>
  <c r="AB509" i="1"/>
  <c r="Z509" i="1"/>
  <c r="X509" i="1"/>
  <c r="K509" i="1"/>
  <c r="N509" i="1" s="1"/>
  <c r="D509" i="1"/>
  <c r="AD508" i="1"/>
  <c r="AB508" i="1"/>
  <c r="Z508" i="1"/>
  <c r="X508" i="1"/>
  <c r="K508" i="1"/>
  <c r="N508" i="1" s="1"/>
  <c r="D508" i="1"/>
  <c r="AD710" i="1"/>
  <c r="AB710" i="1"/>
  <c r="Z710" i="1"/>
  <c r="X710" i="1"/>
  <c r="K710" i="1"/>
  <c r="N710" i="1" s="1"/>
  <c r="D710" i="1"/>
  <c r="AD506" i="1"/>
  <c r="AB506" i="1"/>
  <c r="Z506" i="1"/>
  <c r="X506" i="1"/>
  <c r="K506" i="1"/>
  <c r="N506" i="1" s="1"/>
  <c r="D506" i="1"/>
  <c r="AD698" i="1"/>
  <c r="AB698" i="1"/>
  <c r="Z698" i="1"/>
  <c r="X698" i="1"/>
  <c r="K698" i="1"/>
  <c r="N698" i="1" s="1"/>
  <c r="D698" i="1"/>
  <c r="AD504" i="1"/>
  <c r="AB504" i="1"/>
  <c r="Z504" i="1"/>
  <c r="X504" i="1"/>
  <c r="K504" i="1"/>
  <c r="N504" i="1" s="1"/>
  <c r="D504" i="1"/>
  <c r="AD503" i="1"/>
  <c r="AB503" i="1"/>
  <c r="Z503" i="1"/>
  <c r="X503" i="1"/>
  <c r="K503" i="1"/>
  <c r="N503" i="1" s="1"/>
  <c r="D503" i="1"/>
  <c r="AD502" i="1"/>
  <c r="AB502" i="1"/>
  <c r="Z502" i="1"/>
  <c r="X502" i="1"/>
  <c r="K502" i="1"/>
  <c r="N502" i="1" s="1"/>
  <c r="D502" i="1"/>
  <c r="AD501" i="1"/>
  <c r="AB501" i="1"/>
  <c r="Z501" i="1"/>
  <c r="X501" i="1"/>
  <c r="K501" i="1"/>
  <c r="N501" i="1" s="1"/>
  <c r="D501" i="1"/>
  <c r="AD500" i="1"/>
  <c r="AB500" i="1"/>
  <c r="Z500" i="1"/>
  <c r="X500" i="1"/>
  <c r="K500" i="1"/>
  <c r="N500" i="1" s="1"/>
  <c r="D500" i="1"/>
  <c r="AD499" i="1"/>
  <c r="AB499" i="1"/>
  <c r="Z499" i="1"/>
  <c r="X499" i="1"/>
  <c r="K499" i="1"/>
  <c r="N499" i="1" s="1"/>
  <c r="D499" i="1"/>
  <c r="AD1100" i="1"/>
  <c r="AB1100" i="1"/>
  <c r="Z1100" i="1"/>
  <c r="X1100" i="1"/>
  <c r="K1100" i="1"/>
  <c r="N1100" i="1" s="1"/>
  <c r="D1100" i="1"/>
  <c r="AD497" i="1"/>
  <c r="AB497" i="1"/>
  <c r="Z497" i="1"/>
  <c r="X497" i="1"/>
  <c r="K497" i="1"/>
  <c r="N497" i="1" s="1"/>
  <c r="D497" i="1"/>
  <c r="AD1087" i="1"/>
  <c r="AB1087" i="1"/>
  <c r="Z1087" i="1"/>
  <c r="X1087" i="1"/>
  <c r="K1087" i="1"/>
  <c r="N1087" i="1" s="1"/>
  <c r="D1087" i="1"/>
  <c r="AD495" i="1"/>
  <c r="AB495" i="1"/>
  <c r="Z495" i="1"/>
  <c r="X495" i="1"/>
  <c r="K495" i="1"/>
  <c r="N495" i="1" s="1"/>
  <c r="D495" i="1"/>
  <c r="AD494" i="1"/>
  <c r="AB494" i="1"/>
  <c r="Z494" i="1"/>
  <c r="X494" i="1"/>
  <c r="K494" i="1"/>
  <c r="N494" i="1" s="1"/>
  <c r="AD493" i="1"/>
  <c r="AB493" i="1"/>
  <c r="Z493" i="1"/>
  <c r="X493" i="1"/>
  <c r="K493" i="1"/>
  <c r="N493" i="1" s="1"/>
  <c r="D493" i="1"/>
  <c r="AD492" i="1"/>
  <c r="AB492" i="1"/>
  <c r="Z492" i="1"/>
  <c r="X492" i="1"/>
  <c r="K492" i="1"/>
  <c r="N492" i="1" s="1"/>
  <c r="D492" i="1"/>
  <c r="AD491" i="1"/>
  <c r="AB491" i="1"/>
  <c r="Z491" i="1"/>
  <c r="X491" i="1"/>
  <c r="K491" i="1"/>
  <c r="N491" i="1" s="1"/>
  <c r="D491" i="1"/>
  <c r="AD490" i="1"/>
  <c r="AB490" i="1"/>
  <c r="Z490" i="1"/>
  <c r="X490" i="1"/>
  <c r="K490" i="1"/>
  <c r="N490" i="1" s="1"/>
  <c r="D490" i="1"/>
  <c r="AD489" i="1"/>
  <c r="AB489" i="1"/>
  <c r="Z489" i="1"/>
  <c r="X489" i="1"/>
  <c r="K489" i="1"/>
  <c r="N489" i="1" s="1"/>
  <c r="D489" i="1"/>
  <c r="AD488" i="1"/>
  <c r="AB488" i="1"/>
  <c r="Z488" i="1"/>
  <c r="X488" i="1"/>
  <c r="K488" i="1"/>
  <c r="N488" i="1" s="1"/>
  <c r="D488" i="1"/>
  <c r="AD487" i="1"/>
  <c r="AB487" i="1"/>
  <c r="Z487" i="1"/>
  <c r="X487" i="1"/>
  <c r="K487" i="1"/>
  <c r="N487" i="1" s="1"/>
  <c r="D487" i="1"/>
  <c r="AD486" i="1"/>
  <c r="AB486" i="1"/>
  <c r="Z486" i="1"/>
  <c r="X486" i="1"/>
  <c r="K486" i="1"/>
  <c r="N486" i="1" s="1"/>
  <c r="D486" i="1"/>
  <c r="AD464" i="1"/>
  <c r="AB464" i="1"/>
  <c r="Z464" i="1"/>
  <c r="X464" i="1"/>
  <c r="K464" i="1"/>
  <c r="N464" i="1" s="1"/>
  <c r="D464" i="1"/>
  <c r="AD484" i="1"/>
  <c r="AB484" i="1"/>
  <c r="Z484" i="1"/>
  <c r="X484" i="1"/>
  <c r="K484" i="1"/>
  <c r="N484" i="1" s="1"/>
  <c r="D484" i="1"/>
  <c r="AD1074" i="1"/>
  <c r="AB1074" i="1"/>
  <c r="Z1074" i="1"/>
  <c r="X1074" i="1"/>
  <c r="K1074" i="1"/>
  <c r="N1074" i="1" s="1"/>
  <c r="D1074" i="1"/>
  <c r="AD483" i="1"/>
  <c r="AB483" i="1"/>
  <c r="Z483" i="1"/>
  <c r="X483" i="1"/>
  <c r="K483" i="1"/>
  <c r="N483" i="1" s="1"/>
  <c r="D483" i="1"/>
  <c r="AD482" i="1"/>
  <c r="AB482" i="1"/>
  <c r="Z482" i="1"/>
  <c r="X482" i="1"/>
  <c r="K482" i="1"/>
  <c r="N482" i="1" s="1"/>
  <c r="D482" i="1"/>
  <c r="AD481" i="1"/>
  <c r="AB481" i="1"/>
  <c r="Z481" i="1"/>
  <c r="X481" i="1"/>
  <c r="K481" i="1"/>
  <c r="N481" i="1" s="1"/>
  <c r="D481" i="1"/>
  <c r="AD480" i="1"/>
  <c r="AB480" i="1"/>
  <c r="Z480" i="1"/>
  <c r="X480" i="1"/>
  <c r="K480" i="1"/>
  <c r="N480" i="1" s="1"/>
  <c r="D480" i="1"/>
  <c r="AD479" i="1"/>
  <c r="AB479" i="1"/>
  <c r="Z479" i="1"/>
  <c r="X479" i="1"/>
  <c r="K479" i="1"/>
  <c r="N479" i="1" s="1"/>
  <c r="D479" i="1"/>
  <c r="AD478" i="1"/>
  <c r="AB478" i="1"/>
  <c r="Z478" i="1"/>
  <c r="X478" i="1"/>
  <c r="K478" i="1"/>
  <c r="N478" i="1" s="1"/>
  <c r="D478" i="1"/>
  <c r="AD477" i="1"/>
  <c r="AB477" i="1"/>
  <c r="Z477" i="1"/>
  <c r="X477" i="1"/>
  <c r="K477" i="1"/>
  <c r="N477" i="1" s="1"/>
  <c r="D477" i="1"/>
  <c r="AD454" i="1"/>
  <c r="AB454" i="1"/>
  <c r="Z454" i="1"/>
  <c r="X454" i="1"/>
  <c r="K454" i="1"/>
  <c r="N454" i="1" s="1"/>
  <c r="D454" i="1"/>
  <c r="AD475" i="1"/>
  <c r="AB475" i="1"/>
  <c r="Z475" i="1"/>
  <c r="X475" i="1"/>
  <c r="K475" i="1"/>
  <c r="N475" i="1" s="1"/>
  <c r="D475" i="1"/>
  <c r="AD1061" i="1"/>
  <c r="AB1061" i="1"/>
  <c r="Z1061" i="1"/>
  <c r="X1061" i="1"/>
  <c r="K1061" i="1"/>
  <c r="N1061" i="1" s="1"/>
  <c r="D1061" i="1"/>
  <c r="AD474" i="1"/>
  <c r="AB474" i="1"/>
  <c r="Z474" i="1"/>
  <c r="X474" i="1"/>
  <c r="K474" i="1"/>
  <c r="N474" i="1" s="1"/>
  <c r="D474" i="1"/>
  <c r="AD473" i="1"/>
  <c r="AB473" i="1"/>
  <c r="Z473" i="1"/>
  <c r="X473" i="1"/>
  <c r="K473" i="1"/>
  <c r="N473" i="1" s="1"/>
  <c r="D473" i="1"/>
  <c r="AD472" i="1"/>
  <c r="AB472" i="1"/>
  <c r="Z472" i="1"/>
  <c r="X472" i="1"/>
  <c r="K472" i="1"/>
  <c r="N472" i="1" s="1"/>
  <c r="D472" i="1"/>
  <c r="AD471" i="1"/>
  <c r="AB471" i="1"/>
  <c r="Z471" i="1"/>
  <c r="X471" i="1"/>
  <c r="K471" i="1"/>
  <c r="N471" i="1" s="1"/>
  <c r="D471" i="1"/>
  <c r="AD470" i="1"/>
  <c r="AB470" i="1"/>
  <c r="Z470" i="1"/>
  <c r="X470" i="1"/>
  <c r="K470" i="1"/>
  <c r="N470" i="1" s="1"/>
  <c r="D470" i="1"/>
  <c r="AD469" i="1"/>
  <c r="AB469" i="1"/>
  <c r="Z469" i="1"/>
  <c r="X469" i="1"/>
  <c r="K469" i="1"/>
  <c r="N469" i="1" s="1"/>
  <c r="D469" i="1"/>
  <c r="AD468" i="1"/>
  <c r="AB468" i="1"/>
  <c r="Z468" i="1"/>
  <c r="X468" i="1"/>
  <c r="K468" i="1"/>
  <c r="N468" i="1" s="1"/>
  <c r="D468" i="1"/>
  <c r="AD466" i="1"/>
  <c r="AB466" i="1"/>
  <c r="Z466" i="1"/>
  <c r="X466" i="1"/>
  <c r="K466" i="1"/>
  <c r="N466" i="1" s="1"/>
  <c r="D466" i="1"/>
  <c r="AD815" i="1"/>
  <c r="AB815" i="1"/>
  <c r="Z815" i="1"/>
  <c r="X815" i="1"/>
  <c r="K815" i="1"/>
  <c r="N815" i="1" s="1"/>
  <c r="D815" i="1"/>
  <c r="AD465" i="1"/>
  <c r="AB465" i="1"/>
  <c r="Z465" i="1"/>
  <c r="X465" i="1"/>
  <c r="K465" i="1"/>
  <c r="N465" i="1" s="1"/>
  <c r="D465" i="1"/>
  <c r="AD463" i="1"/>
  <c r="AB463" i="1"/>
  <c r="Z463" i="1"/>
  <c r="X463" i="1"/>
  <c r="K463" i="1"/>
  <c r="N463" i="1" s="1"/>
  <c r="D463" i="1"/>
  <c r="AD462" i="1"/>
  <c r="AB462" i="1"/>
  <c r="Z462" i="1"/>
  <c r="X462" i="1"/>
  <c r="K462" i="1"/>
  <c r="N462" i="1" s="1"/>
  <c r="D462" i="1"/>
  <c r="AD461" i="1"/>
  <c r="AB461" i="1"/>
  <c r="Z461" i="1"/>
  <c r="X461" i="1"/>
  <c r="K461" i="1"/>
  <c r="N461" i="1" s="1"/>
  <c r="D461" i="1"/>
  <c r="AD460" i="1"/>
  <c r="AB460" i="1"/>
  <c r="Z460" i="1"/>
  <c r="X460" i="1"/>
  <c r="K460" i="1"/>
  <c r="N460" i="1" s="1"/>
  <c r="D460" i="1"/>
  <c r="AD459" i="1"/>
  <c r="AB459" i="1"/>
  <c r="Z459" i="1"/>
  <c r="X459" i="1"/>
  <c r="K459" i="1"/>
  <c r="N459" i="1" s="1"/>
  <c r="D459" i="1"/>
  <c r="AD458" i="1"/>
  <c r="AB458" i="1"/>
  <c r="Z458" i="1"/>
  <c r="X458" i="1"/>
  <c r="K458" i="1"/>
  <c r="N458" i="1" s="1"/>
  <c r="D458" i="1"/>
  <c r="AD456" i="1"/>
  <c r="AB456" i="1"/>
  <c r="Z456" i="1"/>
  <c r="X456" i="1"/>
  <c r="K456" i="1"/>
  <c r="N456" i="1" s="1"/>
  <c r="D456" i="1"/>
  <c r="AD804" i="1"/>
  <c r="AB804" i="1"/>
  <c r="Z804" i="1"/>
  <c r="X804" i="1"/>
  <c r="K804" i="1"/>
  <c r="N804" i="1" s="1"/>
  <c r="D804" i="1"/>
  <c r="AD455" i="1"/>
  <c r="AB455" i="1"/>
  <c r="Z455" i="1"/>
  <c r="X455" i="1"/>
  <c r="K455" i="1"/>
  <c r="N455" i="1" s="1"/>
  <c r="D455" i="1"/>
  <c r="AD445" i="1"/>
  <c r="AB445" i="1"/>
  <c r="Z445" i="1"/>
  <c r="X445" i="1"/>
  <c r="K445" i="1"/>
  <c r="N445" i="1" s="1"/>
  <c r="D445" i="1"/>
  <c r="AD437" i="1"/>
  <c r="AB437" i="1"/>
  <c r="Z437" i="1"/>
  <c r="X437" i="1"/>
  <c r="K437" i="1"/>
  <c r="N437" i="1" s="1"/>
  <c r="D437" i="1"/>
  <c r="AD715" i="1"/>
  <c r="AB715" i="1"/>
  <c r="Z715" i="1"/>
  <c r="X715" i="1"/>
  <c r="K715" i="1"/>
  <c r="N715" i="1" s="1"/>
  <c r="D715" i="1"/>
  <c r="AD450" i="1"/>
  <c r="AB450" i="1"/>
  <c r="Z450" i="1"/>
  <c r="X450" i="1"/>
  <c r="K450" i="1"/>
  <c r="N450" i="1" s="1"/>
  <c r="D450" i="1"/>
  <c r="AD449" i="1"/>
  <c r="AB449" i="1"/>
  <c r="Z449" i="1"/>
  <c r="X449" i="1"/>
  <c r="K449" i="1"/>
  <c r="N449" i="1" s="1"/>
  <c r="D449" i="1"/>
  <c r="AD448" i="1"/>
  <c r="AB448" i="1"/>
  <c r="Z448" i="1"/>
  <c r="X448" i="1"/>
  <c r="K448" i="1"/>
  <c r="N448" i="1" s="1"/>
  <c r="D448" i="1"/>
  <c r="AD447" i="1"/>
  <c r="AB447" i="1"/>
  <c r="Z447" i="1"/>
  <c r="X447" i="1"/>
  <c r="K447" i="1"/>
  <c r="N447" i="1" s="1"/>
  <c r="D447" i="1"/>
  <c r="AD446" i="1"/>
  <c r="AB446" i="1"/>
  <c r="Z446" i="1"/>
  <c r="X446" i="1"/>
  <c r="K446" i="1"/>
  <c r="N446" i="1" s="1"/>
  <c r="D446" i="1"/>
  <c r="AD452" i="1"/>
  <c r="AB452" i="1"/>
  <c r="Z452" i="1"/>
  <c r="X452" i="1"/>
  <c r="K452" i="1"/>
  <c r="N452" i="1" s="1"/>
  <c r="D452" i="1"/>
  <c r="AD444" i="1"/>
  <c r="AB444" i="1"/>
  <c r="Z444" i="1"/>
  <c r="X444" i="1"/>
  <c r="K444" i="1"/>
  <c r="N444" i="1" s="1"/>
  <c r="D444" i="1"/>
  <c r="AD703" i="1"/>
  <c r="AB703" i="1"/>
  <c r="Z703" i="1"/>
  <c r="X703" i="1"/>
  <c r="K703" i="1"/>
  <c r="N703" i="1" s="1"/>
  <c r="D703" i="1"/>
  <c r="AD442" i="1"/>
  <c r="AB442" i="1"/>
  <c r="Z442" i="1"/>
  <c r="X442" i="1"/>
  <c r="K442" i="1"/>
  <c r="N442" i="1" s="1"/>
  <c r="D442" i="1"/>
  <c r="AD441" i="1"/>
  <c r="AB441" i="1"/>
  <c r="Z441" i="1"/>
  <c r="X441" i="1"/>
  <c r="K441" i="1"/>
  <c r="N441" i="1" s="1"/>
  <c r="D441" i="1"/>
  <c r="AD440" i="1"/>
  <c r="AB440" i="1"/>
  <c r="Z440" i="1"/>
  <c r="X440" i="1"/>
  <c r="K440" i="1"/>
  <c r="N440" i="1" s="1"/>
  <c r="D440" i="1"/>
  <c r="AD439" i="1"/>
  <c r="AB439" i="1"/>
  <c r="Z439" i="1"/>
  <c r="X439" i="1"/>
  <c r="K439" i="1"/>
  <c r="N439" i="1" s="1"/>
  <c r="D439" i="1"/>
  <c r="AD438" i="1"/>
  <c r="AB438" i="1"/>
  <c r="Z438" i="1"/>
  <c r="X438" i="1"/>
  <c r="K438" i="1"/>
  <c r="N438" i="1" s="1"/>
  <c r="D438" i="1"/>
  <c r="AD453" i="1"/>
  <c r="AB453" i="1"/>
  <c r="Z453" i="1"/>
  <c r="X453" i="1"/>
  <c r="K453" i="1"/>
  <c r="N453" i="1" s="1"/>
  <c r="D453" i="1"/>
  <c r="AD436" i="1"/>
  <c r="AB436" i="1"/>
  <c r="Z436" i="1"/>
  <c r="X436" i="1"/>
  <c r="K436" i="1"/>
  <c r="N436" i="1" s="1"/>
  <c r="D436" i="1"/>
  <c r="AD924" i="1"/>
  <c r="AB924" i="1"/>
  <c r="Z924" i="1"/>
  <c r="X924" i="1"/>
  <c r="K924" i="1"/>
  <c r="N924" i="1" s="1"/>
  <c r="D924" i="1"/>
  <c r="AD434" i="1"/>
  <c r="AB434" i="1"/>
  <c r="Z434" i="1"/>
  <c r="X434" i="1"/>
  <c r="K434" i="1"/>
  <c r="N434" i="1" s="1"/>
  <c r="D434" i="1"/>
  <c r="AD433" i="1"/>
  <c r="AB433" i="1"/>
  <c r="Z433" i="1"/>
  <c r="X433" i="1"/>
  <c r="K433" i="1"/>
  <c r="N433" i="1" s="1"/>
  <c r="D433" i="1"/>
  <c r="AD431" i="1"/>
  <c r="AB431" i="1"/>
  <c r="Z431" i="1"/>
  <c r="X431" i="1"/>
  <c r="K431" i="1"/>
  <c r="N431" i="1" s="1"/>
  <c r="D431" i="1"/>
  <c r="AD430" i="1"/>
  <c r="AB430" i="1"/>
  <c r="Z430" i="1"/>
  <c r="X430" i="1"/>
  <c r="K430" i="1"/>
  <c r="N430" i="1" s="1"/>
  <c r="D430" i="1"/>
  <c r="AD429" i="1"/>
  <c r="AB429" i="1"/>
  <c r="Z429" i="1"/>
  <c r="X429" i="1"/>
  <c r="K429" i="1"/>
  <c r="N429" i="1" s="1"/>
  <c r="D429" i="1"/>
  <c r="AD428" i="1"/>
  <c r="AB428" i="1"/>
  <c r="Z428" i="1"/>
  <c r="X428" i="1"/>
  <c r="K428" i="1"/>
  <c r="N428" i="1" s="1"/>
  <c r="D428" i="1"/>
  <c r="AD427" i="1"/>
  <c r="AB427" i="1"/>
  <c r="Z427" i="1"/>
  <c r="X427" i="1"/>
  <c r="K427" i="1"/>
  <c r="N427" i="1" s="1"/>
  <c r="D427" i="1"/>
  <c r="AD426" i="1"/>
  <c r="AB426" i="1"/>
  <c r="Z426" i="1"/>
  <c r="X426" i="1"/>
  <c r="K426" i="1"/>
  <c r="N426" i="1" s="1"/>
  <c r="D426" i="1"/>
  <c r="AD432" i="1"/>
  <c r="AB432" i="1"/>
  <c r="Z432" i="1"/>
  <c r="X432" i="1"/>
  <c r="K432" i="1"/>
  <c r="N432" i="1" s="1"/>
  <c r="D432" i="1"/>
  <c r="AD425" i="1"/>
  <c r="AB425" i="1"/>
  <c r="Z425" i="1"/>
  <c r="X425" i="1"/>
  <c r="K425" i="1"/>
  <c r="N425" i="1" s="1"/>
  <c r="D425" i="1"/>
  <c r="AD950" i="1"/>
  <c r="AB950" i="1"/>
  <c r="Z950" i="1"/>
  <c r="X950" i="1"/>
  <c r="K950" i="1"/>
  <c r="N950" i="1" s="1"/>
  <c r="D950" i="1"/>
  <c r="AD423" i="1"/>
  <c r="AB423" i="1"/>
  <c r="Z423" i="1"/>
  <c r="X423" i="1"/>
  <c r="K423" i="1"/>
  <c r="N423" i="1" s="1"/>
  <c r="D423" i="1"/>
  <c r="AD422" i="1"/>
  <c r="AB422" i="1"/>
  <c r="Z422" i="1"/>
  <c r="X422" i="1"/>
  <c r="K422" i="1"/>
  <c r="N422" i="1" s="1"/>
  <c r="D422" i="1"/>
  <c r="AD420" i="1"/>
  <c r="AB420" i="1"/>
  <c r="Z420" i="1"/>
  <c r="X420" i="1"/>
  <c r="K420" i="1"/>
  <c r="N420" i="1" s="1"/>
  <c r="D420" i="1"/>
  <c r="AD419" i="1"/>
  <c r="AB419" i="1"/>
  <c r="Z419" i="1"/>
  <c r="X419" i="1"/>
  <c r="K419" i="1"/>
  <c r="N419" i="1" s="1"/>
  <c r="D419" i="1"/>
  <c r="AD418" i="1"/>
  <c r="AB418" i="1"/>
  <c r="Z418" i="1"/>
  <c r="X418" i="1"/>
  <c r="K418" i="1"/>
  <c r="N418" i="1" s="1"/>
  <c r="D418" i="1"/>
  <c r="AD417" i="1"/>
  <c r="AB417" i="1"/>
  <c r="Z417" i="1"/>
  <c r="X417" i="1"/>
  <c r="K417" i="1"/>
  <c r="N417" i="1" s="1"/>
  <c r="D417" i="1"/>
  <c r="AD416" i="1"/>
  <c r="AB416" i="1"/>
  <c r="Z416" i="1"/>
  <c r="X416" i="1"/>
  <c r="K416" i="1"/>
  <c r="N416" i="1" s="1"/>
  <c r="D416" i="1"/>
  <c r="AD415" i="1"/>
  <c r="AB415" i="1"/>
  <c r="Z415" i="1"/>
  <c r="X415" i="1"/>
  <c r="K415" i="1"/>
  <c r="N415" i="1" s="1"/>
  <c r="D415" i="1"/>
  <c r="AD421" i="1"/>
  <c r="AB421" i="1"/>
  <c r="Z421" i="1"/>
  <c r="X421" i="1"/>
  <c r="K421" i="1"/>
  <c r="N421" i="1" s="1"/>
  <c r="D421" i="1"/>
  <c r="AD414" i="1"/>
  <c r="AB414" i="1"/>
  <c r="Z414" i="1"/>
  <c r="X414" i="1"/>
  <c r="K414" i="1"/>
  <c r="N414" i="1" s="1"/>
  <c r="D414" i="1"/>
  <c r="AD413" i="1"/>
  <c r="AB413" i="1"/>
  <c r="Z413" i="1"/>
  <c r="X413" i="1"/>
  <c r="K413" i="1"/>
  <c r="N413" i="1" s="1"/>
  <c r="D413" i="1"/>
  <c r="AD412" i="1"/>
  <c r="AB412" i="1"/>
  <c r="Z412" i="1"/>
  <c r="X412" i="1"/>
  <c r="K412" i="1"/>
  <c r="N412" i="1" s="1"/>
  <c r="D412" i="1"/>
  <c r="AD937" i="1"/>
  <c r="AB937" i="1"/>
  <c r="Z937" i="1"/>
  <c r="X937" i="1"/>
  <c r="K937" i="1"/>
  <c r="N937" i="1" s="1"/>
  <c r="D937" i="1"/>
  <c r="AD411" i="1"/>
  <c r="AB411" i="1"/>
  <c r="Z411" i="1"/>
  <c r="X411" i="1"/>
  <c r="K411" i="1"/>
  <c r="N411" i="1" s="1"/>
  <c r="D411" i="1"/>
  <c r="AD410" i="1"/>
  <c r="AB410" i="1"/>
  <c r="Z410" i="1"/>
  <c r="X410" i="1"/>
  <c r="K410" i="1"/>
  <c r="N410" i="1" s="1"/>
  <c r="D410" i="1"/>
  <c r="AD408" i="1"/>
  <c r="AB408" i="1"/>
  <c r="Z408" i="1"/>
  <c r="X408" i="1"/>
  <c r="K408" i="1"/>
  <c r="N408" i="1" s="1"/>
  <c r="D408" i="1"/>
  <c r="AD407" i="1"/>
  <c r="AB407" i="1"/>
  <c r="Z407" i="1"/>
  <c r="X407" i="1"/>
  <c r="K407" i="1"/>
  <c r="N407" i="1" s="1"/>
  <c r="D407" i="1"/>
  <c r="AD925" i="1"/>
  <c r="AB925" i="1"/>
  <c r="Z925" i="1"/>
  <c r="X925" i="1"/>
  <c r="K925" i="1"/>
  <c r="N925" i="1" s="1"/>
  <c r="D925" i="1"/>
  <c r="AD404" i="1"/>
  <c r="AB404" i="1"/>
  <c r="Z404" i="1"/>
  <c r="X404" i="1"/>
  <c r="K404" i="1"/>
  <c r="N404" i="1" s="1"/>
  <c r="D404" i="1"/>
  <c r="AD708" i="1"/>
  <c r="AB708" i="1"/>
  <c r="Z708" i="1"/>
  <c r="X708" i="1"/>
  <c r="K708" i="1"/>
  <c r="N708" i="1" s="1"/>
  <c r="D708" i="1"/>
  <c r="AD402" i="1"/>
  <c r="AB402" i="1"/>
  <c r="Z402" i="1"/>
  <c r="X402" i="1"/>
  <c r="K402" i="1"/>
  <c r="N402" i="1" s="1"/>
  <c r="D402" i="1"/>
  <c r="AD401" i="1"/>
  <c r="AB401" i="1"/>
  <c r="Z401" i="1"/>
  <c r="X401" i="1"/>
  <c r="K401" i="1"/>
  <c r="N401" i="1" s="1"/>
  <c r="D401" i="1"/>
  <c r="AD399" i="1"/>
  <c r="AB399" i="1"/>
  <c r="Z399" i="1"/>
  <c r="X399" i="1"/>
  <c r="K399" i="1"/>
  <c r="N399" i="1" s="1"/>
  <c r="D399" i="1"/>
  <c r="AD398" i="1"/>
  <c r="AB398" i="1"/>
  <c r="Z398" i="1"/>
  <c r="X398" i="1"/>
  <c r="K398" i="1"/>
  <c r="N398" i="1" s="1"/>
  <c r="D398" i="1"/>
  <c r="AD696" i="1"/>
  <c r="AB696" i="1"/>
  <c r="Z696" i="1"/>
  <c r="X696" i="1"/>
  <c r="K696" i="1"/>
  <c r="N696" i="1" s="1"/>
  <c r="D696" i="1"/>
  <c r="AD395" i="1"/>
  <c r="AB395" i="1"/>
  <c r="Z395" i="1"/>
  <c r="X395" i="1"/>
  <c r="K395" i="1"/>
  <c r="N395" i="1" s="1"/>
  <c r="D395" i="1"/>
  <c r="AD909" i="1"/>
  <c r="AB909" i="1"/>
  <c r="Z909" i="1"/>
  <c r="X909" i="1"/>
  <c r="K909" i="1"/>
  <c r="N909" i="1" s="1"/>
  <c r="D909" i="1"/>
  <c r="AD393" i="1"/>
  <c r="AB393" i="1"/>
  <c r="Z393" i="1"/>
  <c r="X393" i="1"/>
  <c r="K393" i="1"/>
  <c r="N393" i="1" s="1"/>
  <c r="D393" i="1"/>
  <c r="AD392" i="1"/>
  <c r="AB392" i="1"/>
  <c r="Z392" i="1"/>
  <c r="X392" i="1"/>
  <c r="K392" i="1"/>
  <c r="N392" i="1" s="1"/>
  <c r="D392" i="1"/>
  <c r="AD391" i="1"/>
  <c r="AB391" i="1"/>
  <c r="Z391" i="1"/>
  <c r="X391" i="1"/>
  <c r="K391" i="1"/>
  <c r="N391" i="1" s="1"/>
  <c r="D391" i="1"/>
  <c r="AD390" i="1"/>
  <c r="AB390" i="1"/>
  <c r="Z390" i="1"/>
  <c r="X390" i="1"/>
  <c r="K390" i="1"/>
  <c r="N390" i="1" s="1"/>
  <c r="D390" i="1"/>
  <c r="AD388" i="1"/>
  <c r="AB388" i="1"/>
  <c r="Z388" i="1"/>
  <c r="X388" i="1"/>
  <c r="K388" i="1"/>
  <c r="N388" i="1" s="1"/>
  <c r="D388" i="1"/>
  <c r="AD387" i="1"/>
  <c r="AB387" i="1"/>
  <c r="Z387" i="1"/>
  <c r="X387" i="1"/>
  <c r="K387" i="1"/>
  <c r="N387" i="1" s="1"/>
  <c r="D387" i="1"/>
  <c r="AD386" i="1"/>
  <c r="AB386" i="1"/>
  <c r="Z386" i="1"/>
  <c r="X386" i="1"/>
  <c r="K386" i="1"/>
  <c r="N386" i="1" s="1"/>
  <c r="D386" i="1"/>
  <c r="AD406" i="1"/>
  <c r="AB406" i="1"/>
  <c r="Z406" i="1"/>
  <c r="X406" i="1"/>
  <c r="K406" i="1"/>
  <c r="N406" i="1" s="1"/>
  <c r="D406" i="1"/>
  <c r="AD898" i="1"/>
  <c r="AB898" i="1"/>
  <c r="Z898" i="1"/>
  <c r="X898" i="1"/>
  <c r="K898" i="1"/>
  <c r="N898" i="1" s="1"/>
  <c r="D898" i="1"/>
  <c r="AD384" i="1"/>
  <c r="AB384" i="1"/>
  <c r="Z384" i="1"/>
  <c r="X384" i="1"/>
  <c r="K384" i="1"/>
  <c r="N384" i="1" s="1"/>
  <c r="D384" i="1"/>
  <c r="AD389" i="1"/>
  <c r="AB389" i="1"/>
  <c r="Z389" i="1"/>
  <c r="X389" i="1"/>
  <c r="K389" i="1"/>
  <c r="N389" i="1" s="1"/>
  <c r="D389" i="1"/>
  <c r="AD887" i="1"/>
  <c r="AB887" i="1"/>
  <c r="Z887" i="1"/>
  <c r="X887" i="1"/>
  <c r="K887" i="1"/>
  <c r="N887" i="1" s="1"/>
  <c r="D887" i="1"/>
  <c r="AD383" i="1"/>
  <c r="AB383" i="1"/>
  <c r="Z383" i="1"/>
  <c r="X383" i="1"/>
  <c r="K383" i="1"/>
  <c r="N383" i="1" s="1"/>
  <c r="D383" i="1"/>
  <c r="AD382" i="1"/>
  <c r="AB382" i="1"/>
  <c r="Z382" i="1"/>
  <c r="X382" i="1"/>
  <c r="K382" i="1"/>
  <c r="N382" i="1" s="1"/>
  <c r="D382" i="1"/>
  <c r="AD381" i="1"/>
  <c r="AB381" i="1"/>
  <c r="Z381" i="1"/>
  <c r="X381" i="1"/>
  <c r="K381" i="1"/>
  <c r="N381" i="1" s="1"/>
  <c r="D381" i="1"/>
  <c r="AD380" i="1"/>
  <c r="AB380" i="1"/>
  <c r="Z380" i="1"/>
  <c r="X380" i="1"/>
  <c r="K380" i="1"/>
  <c r="N380" i="1" s="1"/>
  <c r="D380" i="1"/>
  <c r="AD378" i="1"/>
  <c r="AB378" i="1"/>
  <c r="Z378" i="1"/>
  <c r="X378" i="1"/>
  <c r="K378" i="1"/>
  <c r="N378" i="1" s="1"/>
  <c r="D378" i="1"/>
  <c r="AD377" i="1"/>
  <c r="AB377" i="1"/>
  <c r="Z377" i="1"/>
  <c r="X377" i="1"/>
  <c r="K377" i="1"/>
  <c r="N377" i="1" s="1"/>
  <c r="D377" i="1"/>
  <c r="AD376" i="1"/>
  <c r="AB376" i="1"/>
  <c r="Z376" i="1"/>
  <c r="X376" i="1"/>
  <c r="K376" i="1"/>
  <c r="N376" i="1" s="1"/>
  <c r="D376" i="1"/>
  <c r="AD397" i="1"/>
  <c r="AB397" i="1"/>
  <c r="Z397" i="1"/>
  <c r="X397" i="1"/>
  <c r="K397" i="1"/>
  <c r="N397" i="1" s="1"/>
  <c r="D397" i="1"/>
  <c r="AD876" i="1"/>
  <c r="AB876" i="1"/>
  <c r="Z876" i="1"/>
  <c r="X876" i="1"/>
  <c r="K876" i="1"/>
  <c r="N876" i="1" s="1"/>
  <c r="D876" i="1"/>
  <c r="AD374" i="1"/>
  <c r="AB374" i="1"/>
  <c r="Z374" i="1"/>
  <c r="X374" i="1"/>
  <c r="K374" i="1"/>
  <c r="N374" i="1" s="1"/>
  <c r="D374" i="1"/>
  <c r="AD379" i="1"/>
  <c r="AB379" i="1"/>
  <c r="Z379" i="1"/>
  <c r="X379" i="1"/>
  <c r="K379" i="1"/>
  <c r="N379" i="1" s="1"/>
  <c r="D379" i="1"/>
  <c r="AD373" i="1"/>
  <c r="AB373" i="1"/>
  <c r="Z373" i="1"/>
  <c r="X373" i="1"/>
  <c r="K373" i="1"/>
  <c r="N373" i="1" s="1"/>
  <c r="D373" i="1"/>
  <c r="AD372" i="1"/>
  <c r="AB372" i="1"/>
  <c r="Z372" i="1"/>
  <c r="X372" i="1"/>
  <c r="K372" i="1"/>
  <c r="N372" i="1" s="1"/>
  <c r="D372" i="1"/>
  <c r="AD371" i="1"/>
  <c r="AB371" i="1"/>
  <c r="Z371" i="1"/>
  <c r="X371" i="1"/>
  <c r="K371" i="1"/>
  <c r="N371" i="1" s="1"/>
  <c r="D371" i="1"/>
  <c r="AD370" i="1"/>
  <c r="AB370" i="1"/>
  <c r="Z370" i="1"/>
  <c r="X370" i="1"/>
  <c r="K370" i="1"/>
  <c r="N370" i="1" s="1"/>
  <c r="D370" i="1"/>
  <c r="AD369" i="1"/>
  <c r="AB369" i="1"/>
  <c r="Z369" i="1"/>
  <c r="X369" i="1"/>
  <c r="K369" i="1"/>
  <c r="N369" i="1" s="1"/>
  <c r="D369" i="1"/>
  <c r="AD368" i="1"/>
  <c r="AB368" i="1"/>
  <c r="Z368" i="1"/>
  <c r="X368" i="1"/>
  <c r="K368" i="1"/>
  <c r="N368" i="1" s="1"/>
  <c r="D368" i="1"/>
  <c r="AD367" i="1"/>
  <c r="AB367" i="1"/>
  <c r="Z367" i="1"/>
  <c r="X367" i="1"/>
  <c r="K367" i="1"/>
  <c r="N367" i="1" s="1"/>
  <c r="D367" i="1"/>
  <c r="AD366" i="1"/>
  <c r="AB366" i="1"/>
  <c r="Z366" i="1"/>
  <c r="X366" i="1"/>
  <c r="K366" i="1"/>
  <c r="N366" i="1" s="1"/>
  <c r="D366" i="1"/>
  <c r="AD365" i="1"/>
  <c r="AB365" i="1"/>
  <c r="Z365" i="1"/>
  <c r="X365" i="1"/>
  <c r="K365" i="1"/>
  <c r="N365" i="1" s="1"/>
  <c r="D365" i="1"/>
  <c r="AD364" i="1"/>
  <c r="AB364" i="1"/>
  <c r="Z364" i="1"/>
  <c r="X364" i="1"/>
  <c r="K364" i="1"/>
  <c r="N364" i="1" s="1"/>
  <c r="D364" i="1"/>
  <c r="AD363" i="1"/>
  <c r="AB363" i="1"/>
  <c r="Z363" i="1"/>
  <c r="X363" i="1"/>
  <c r="K363" i="1"/>
  <c r="N363" i="1" s="1"/>
  <c r="D363" i="1"/>
  <c r="AD362" i="1"/>
  <c r="AB362" i="1"/>
  <c r="Z362" i="1"/>
  <c r="X362" i="1"/>
  <c r="K362" i="1"/>
  <c r="N362" i="1" s="1"/>
  <c r="D362" i="1"/>
  <c r="AD361" i="1"/>
  <c r="AB361" i="1"/>
  <c r="Z361" i="1"/>
  <c r="X361" i="1"/>
  <c r="K361" i="1"/>
  <c r="N361" i="1" s="1"/>
  <c r="D361" i="1"/>
  <c r="AD360" i="1"/>
  <c r="AB360" i="1"/>
  <c r="Z360" i="1"/>
  <c r="X360" i="1"/>
  <c r="K360" i="1"/>
  <c r="N360" i="1" s="1"/>
  <c r="D360" i="1"/>
  <c r="AD359" i="1"/>
  <c r="AB359" i="1"/>
  <c r="Z359" i="1"/>
  <c r="X359" i="1"/>
  <c r="K359" i="1"/>
  <c r="N359" i="1" s="1"/>
  <c r="D359" i="1"/>
  <c r="AD358" i="1"/>
  <c r="AB358" i="1"/>
  <c r="Z358" i="1"/>
  <c r="X358" i="1"/>
  <c r="K358" i="1"/>
  <c r="N358" i="1" s="1"/>
  <c r="D358" i="1"/>
  <c r="AD357" i="1"/>
  <c r="AB357" i="1"/>
  <c r="Z357" i="1"/>
  <c r="X357" i="1"/>
  <c r="K357" i="1"/>
  <c r="N357" i="1" s="1"/>
  <c r="D357" i="1"/>
  <c r="AD356" i="1"/>
  <c r="AB356" i="1"/>
  <c r="Z356" i="1"/>
  <c r="X356" i="1"/>
  <c r="K356" i="1"/>
  <c r="N356" i="1" s="1"/>
  <c r="D356" i="1"/>
  <c r="AD355" i="1"/>
  <c r="AB355" i="1"/>
  <c r="Z355" i="1"/>
  <c r="X355" i="1"/>
  <c r="K355" i="1"/>
  <c r="N355" i="1" s="1"/>
  <c r="D355" i="1"/>
  <c r="AD354" i="1"/>
  <c r="AB354" i="1"/>
  <c r="Z354" i="1"/>
  <c r="X354" i="1"/>
  <c r="K354" i="1"/>
  <c r="N354" i="1" s="1"/>
  <c r="D354" i="1"/>
  <c r="AD353" i="1"/>
  <c r="AB353" i="1"/>
  <c r="Z353" i="1"/>
  <c r="X353" i="1"/>
  <c r="K353" i="1"/>
  <c r="N353" i="1" s="1"/>
  <c r="D353" i="1"/>
  <c r="AD352" i="1"/>
  <c r="AB352" i="1"/>
  <c r="Z352" i="1"/>
  <c r="X352" i="1"/>
  <c r="K352" i="1"/>
  <c r="N352" i="1" s="1"/>
  <c r="D352" i="1"/>
  <c r="AD351" i="1"/>
  <c r="AB351" i="1"/>
  <c r="Z351" i="1"/>
  <c r="X351" i="1"/>
  <c r="K351" i="1"/>
  <c r="N351" i="1" s="1"/>
  <c r="D351" i="1"/>
  <c r="AD350" i="1"/>
  <c r="AB350" i="1"/>
  <c r="Z350" i="1"/>
  <c r="X350" i="1"/>
  <c r="K350" i="1"/>
  <c r="N350" i="1" s="1"/>
  <c r="D350" i="1"/>
  <c r="AD349" i="1"/>
  <c r="AB349" i="1"/>
  <c r="Z349" i="1"/>
  <c r="X349" i="1"/>
  <c r="K349" i="1"/>
  <c r="N349" i="1" s="1"/>
  <c r="D349" i="1"/>
  <c r="AD348" i="1"/>
  <c r="AB348" i="1"/>
  <c r="Z348" i="1"/>
  <c r="X348" i="1"/>
  <c r="K348" i="1"/>
  <c r="N348" i="1" s="1"/>
  <c r="D348" i="1"/>
  <c r="AD347" i="1"/>
  <c r="AB347" i="1"/>
  <c r="Z347" i="1"/>
  <c r="X347" i="1"/>
  <c r="K347" i="1"/>
  <c r="N347" i="1" s="1"/>
  <c r="D347" i="1"/>
  <c r="AD346" i="1"/>
  <c r="AB346" i="1"/>
  <c r="Z346" i="1"/>
  <c r="X346" i="1"/>
  <c r="K346" i="1"/>
  <c r="N346" i="1" s="1"/>
  <c r="D346" i="1"/>
  <c r="AD345" i="1"/>
  <c r="AB345" i="1"/>
  <c r="Z345" i="1"/>
  <c r="X345" i="1"/>
  <c r="K345" i="1"/>
  <c r="N345" i="1" s="1"/>
  <c r="D345" i="1"/>
  <c r="AD344" i="1"/>
  <c r="AB344" i="1"/>
  <c r="Z344" i="1"/>
  <c r="X344" i="1"/>
  <c r="K344" i="1"/>
  <c r="N344" i="1" s="1"/>
  <c r="D344" i="1"/>
  <c r="AD343" i="1"/>
  <c r="AB343" i="1"/>
  <c r="Z343" i="1"/>
  <c r="X343" i="1"/>
  <c r="K343" i="1"/>
  <c r="N343" i="1" s="1"/>
  <c r="D343" i="1"/>
  <c r="AD342" i="1"/>
  <c r="AB342" i="1"/>
  <c r="Z342" i="1"/>
  <c r="X342" i="1"/>
  <c r="K342" i="1"/>
  <c r="N342" i="1" s="1"/>
  <c r="D342" i="1"/>
  <c r="AD341" i="1"/>
  <c r="AB341" i="1"/>
  <c r="Z341" i="1"/>
  <c r="X341" i="1"/>
  <c r="K341" i="1"/>
  <c r="N341" i="1" s="1"/>
  <c r="D341" i="1"/>
  <c r="AD340" i="1"/>
  <c r="AB340" i="1"/>
  <c r="Z340" i="1"/>
  <c r="X340" i="1"/>
  <c r="K340" i="1"/>
  <c r="N340" i="1" s="1"/>
  <c r="D340" i="1"/>
  <c r="AD339" i="1"/>
  <c r="AB339" i="1"/>
  <c r="Z339" i="1"/>
  <c r="X339" i="1"/>
  <c r="K339" i="1"/>
  <c r="N339" i="1" s="1"/>
  <c r="D339" i="1"/>
  <c r="AD338" i="1"/>
  <c r="AB338" i="1"/>
  <c r="Z338" i="1"/>
  <c r="X338" i="1"/>
  <c r="K338" i="1"/>
  <c r="N338" i="1" s="1"/>
  <c r="D338" i="1"/>
  <c r="AD337" i="1"/>
  <c r="AB337" i="1"/>
  <c r="Z337" i="1"/>
  <c r="X337" i="1"/>
  <c r="K337" i="1"/>
  <c r="N337" i="1" s="1"/>
  <c r="D337" i="1"/>
  <c r="AD336" i="1"/>
  <c r="AB336" i="1"/>
  <c r="Z336" i="1"/>
  <c r="X336" i="1"/>
  <c r="K336" i="1"/>
  <c r="N336" i="1" s="1"/>
  <c r="D336" i="1"/>
  <c r="AD335" i="1"/>
  <c r="AB335" i="1"/>
  <c r="Z335" i="1"/>
  <c r="X335" i="1"/>
  <c r="K335" i="1"/>
  <c r="N335" i="1" s="1"/>
  <c r="D335" i="1"/>
  <c r="AD334" i="1"/>
  <c r="AB334" i="1"/>
  <c r="Z334" i="1"/>
  <c r="X334" i="1"/>
  <c r="K334" i="1"/>
  <c r="N334" i="1" s="1"/>
  <c r="D334" i="1"/>
  <c r="AD333" i="1"/>
  <c r="AB333" i="1"/>
  <c r="Z333" i="1"/>
  <c r="X333" i="1"/>
  <c r="K333" i="1"/>
  <c r="N333" i="1" s="1"/>
  <c r="D333" i="1"/>
  <c r="AD332" i="1"/>
  <c r="AB332" i="1"/>
  <c r="Z332" i="1"/>
  <c r="X332" i="1"/>
  <c r="K332" i="1"/>
  <c r="N332" i="1" s="1"/>
  <c r="D332" i="1"/>
  <c r="AD321" i="1"/>
  <c r="AB321" i="1"/>
  <c r="Z321" i="1"/>
  <c r="X321" i="1"/>
  <c r="K321" i="1"/>
  <c r="N321" i="1" s="1"/>
  <c r="D321" i="1"/>
  <c r="AD331" i="1"/>
  <c r="AB331" i="1"/>
  <c r="Z331" i="1"/>
  <c r="X331" i="1"/>
  <c r="K331" i="1"/>
  <c r="N331" i="1" s="1"/>
  <c r="D331" i="1"/>
  <c r="AD330" i="1"/>
  <c r="AB330" i="1"/>
  <c r="Z330" i="1"/>
  <c r="X330" i="1"/>
  <c r="K330" i="1"/>
  <c r="N330" i="1" s="1"/>
  <c r="D330" i="1"/>
  <c r="AD329" i="1"/>
  <c r="AB329" i="1"/>
  <c r="Z329" i="1"/>
  <c r="X329" i="1"/>
  <c r="K329" i="1"/>
  <c r="N329" i="1" s="1"/>
  <c r="D329" i="1"/>
  <c r="AD328" i="1"/>
  <c r="AB328" i="1"/>
  <c r="Z328" i="1"/>
  <c r="X328" i="1"/>
  <c r="K328" i="1"/>
  <c r="N328" i="1" s="1"/>
  <c r="D328" i="1"/>
  <c r="AD327" i="1"/>
  <c r="AB327" i="1"/>
  <c r="Z327" i="1"/>
  <c r="X327" i="1"/>
  <c r="K327" i="1"/>
  <c r="N327" i="1" s="1"/>
  <c r="D327" i="1"/>
  <c r="AD315" i="1"/>
  <c r="AB315" i="1"/>
  <c r="Z315" i="1"/>
  <c r="X315" i="1"/>
  <c r="K315" i="1"/>
  <c r="N315" i="1" s="1"/>
  <c r="D315" i="1"/>
  <c r="AD326" i="1"/>
  <c r="AB326" i="1"/>
  <c r="Z326" i="1"/>
  <c r="X326" i="1"/>
  <c r="K326" i="1"/>
  <c r="N326" i="1" s="1"/>
  <c r="D326" i="1"/>
  <c r="AD325" i="1"/>
  <c r="AB325" i="1"/>
  <c r="Z325" i="1"/>
  <c r="X325" i="1"/>
  <c r="K325" i="1"/>
  <c r="N325" i="1" s="1"/>
  <c r="D325" i="1"/>
  <c r="AD324" i="1"/>
  <c r="AB324" i="1"/>
  <c r="Z324" i="1"/>
  <c r="X324" i="1"/>
  <c r="K324" i="1"/>
  <c r="N324" i="1" s="1"/>
  <c r="D324" i="1"/>
  <c r="AD323" i="1"/>
  <c r="AB323" i="1"/>
  <c r="Z323" i="1"/>
  <c r="X323" i="1"/>
  <c r="K323" i="1"/>
  <c r="N323" i="1" s="1"/>
  <c r="D323" i="1"/>
  <c r="AD322" i="1"/>
  <c r="AB322" i="1"/>
  <c r="Z322" i="1"/>
  <c r="X322" i="1"/>
  <c r="K322" i="1"/>
  <c r="N322" i="1" s="1"/>
  <c r="D322" i="1"/>
  <c r="AD320" i="1"/>
  <c r="AB320" i="1"/>
  <c r="Z320" i="1"/>
  <c r="X320" i="1"/>
  <c r="K320" i="1"/>
  <c r="N320" i="1" s="1"/>
  <c r="D320" i="1"/>
  <c r="AD319" i="1"/>
  <c r="AB319" i="1"/>
  <c r="Z319" i="1"/>
  <c r="X319" i="1"/>
  <c r="K319" i="1"/>
  <c r="N319" i="1" s="1"/>
  <c r="D319" i="1"/>
  <c r="AD318" i="1"/>
  <c r="AB318" i="1"/>
  <c r="Z318" i="1"/>
  <c r="X318" i="1"/>
  <c r="K318" i="1"/>
  <c r="N318" i="1" s="1"/>
  <c r="D318" i="1"/>
  <c r="AD317" i="1"/>
  <c r="AB317" i="1"/>
  <c r="Z317" i="1"/>
  <c r="X317" i="1"/>
  <c r="K317" i="1"/>
  <c r="N317" i="1" s="1"/>
  <c r="D317" i="1"/>
  <c r="AD316" i="1"/>
  <c r="AB316" i="1"/>
  <c r="Z316" i="1"/>
  <c r="X316" i="1"/>
  <c r="K316" i="1"/>
  <c r="N316" i="1" s="1"/>
  <c r="D316" i="1"/>
  <c r="AD314" i="1"/>
  <c r="AB314" i="1"/>
  <c r="Z314" i="1"/>
  <c r="X314" i="1"/>
  <c r="K314" i="1"/>
  <c r="N314" i="1" s="1"/>
  <c r="D314" i="1"/>
  <c r="AD313" i="1"/>
  <c r="AB313" i="1"/>
  <c r="Z313" i="1"/>
  <c r="X313" i="1"/>
  <c r="K313" i="1"/>
  <c r="N313" i="1" s="1"/>
  <c r="D313" i="1"/>
  <c r="AD312" i="1"/>
  <c r="AB312" i="1"/>
  <c r="Z312" i="1"/>
  <c r="X312" i="1"/>
  <c r="K312" i="1"/>
  <c r="N312" i="1" s="1"/>
  <c r="D312" i="1"/>
  <c r="AD311" i="1"/>
  <c r="AB311" i="1"/>
  <c r="Z311" i="1"/>
  <c r="X311" i="1"/>
  <c r="K311" i="1"/>
  <c r="N311" i="1" s="1"/>
  <c r="D311" i="1"/>
  <c r="AD310" i="1"/>
  <c r="AB310" i="1"/>
  <c r="Z310" i="1"/>
  <c r="X310" i="1"/>
  <c r="K310" i="1"/>
  <c r="N310" i="1" s="1"/>
  <c r="D310" i="1"/>
  <c r="AD309" i="1"/>
  <c r="AB309" i="1"/>
  <c r="Z309" i="1"/>
  <c r="X309" i="1"/>
  <c r="K309" i="1"/>
  <c r="N309" i="1" s="1"/>
  <c r="AD308" i="1"/>
  <c r="AB308" i="1"/>
  <c r="Z308" i="1"/>
  <c r="X308" i="1"/>
  <c r="K308" i="1"/>
  <c r="N308" i="1" s="1"/>
  <c r="AD307" i="1"/>
  <c r="AB307" i="1"/>
  <c r="Z307" i="1"/>
  <c r="X307" i="1"/>
  <c r="K307" i="1"/>
  <c r="N307" i="1" s="1"/>
  <c r="D307" i="1"/>
  <c r="AD306" i="1"/>
  <c r="AB306" i="1"/>
  <c r="Z306" i="1"/>
  <c r="X306" i="1"/>
  <c r="K306" i="1"/>
  <c r="N306" i="1" s="1"/>
  <c r="D306" i="1"/>
  <c r="AD305" i="1"/>
  <c r="AB305" i="1"/>
  <c r="Z305" i="1"/>
  <c r="X305" i="1"/>
  <c r="K305" i="1"/>
  <c r="N305" i="1" s="1"/>
  <c r="D305" i="1"/>
  <c r="AD284" i="1"/>
  <c r="AB284" i="1"/>
  <c r="Z284" i="1"/>
  <c r="X284" i="1"/>
  <c r="K284" i="1"/>
  <c r="N284" i="1" s="1"/>
  <c r="D284" i="1"/>
  <c r="AD304" i="1"/>
  <c r="AB304" i="1"/>
  <c r="Z304" i="1"/>
  <c r="X304" i="1"/>
  <c r="K304" i="1"/>
  <c r="N304" i="1" s="1"/>
  <c r="D304" i="1"/>
  <c r="AD303" i="1"/>
  <c r="AB303" i="1"/>
  <c r="Z303" i="1"/>
  <c r="X303" i="1"/>
  <c r="K303" i="1"/>
  <c r="N303" i="1" s="1"/>
  <c r="D303" i="1"/>
  <c r="AD302" i="1"/>
  <c r="AB302" i="1"/>
  <c r="Z302" i="1"/>
  <c r="X302" i="1"/>
  <c r="K302" i="1"/>
  <c r="N302" i="1" s="1"/>
  <c r="D302" i="1"/>
  <c r="AD301" i="1"/>
  <c r="AB301" i="1"/>
  <c r="Z301" i="1"/>
  <c r="X301" i="1"/>
  <c r="K301" i="1"/>
  <c r="N301" i="1" s="1"/>
  <c r="D301" i="1"/>
  <c r="AD290" i="1"/>
  <c r="AB290" i="1"/>
  <c r="Z290" i="1"/>
  <c r="X290" i="1"/>
  <c r="K290" i="1"/>
  <c r="N290" i="1" s="1"/>
  <c r="D290" i="1"/>
  <c r="AD300" i="1"/>
  <c r="AB300" i="1"/>
  <c r="Z300" i="1"/>
  <c r="X300" i="1"/>
  <c r="K300" i="1"/>
  <c r="N300" i="1" s="1"/>
  <c r="D300" i="1"/>
  <c r="AD299" i="1"/>
  <c r="AB299" i="1"/>
  <c r="Z299" i="1"/>
  <c r="X299" i="1"/>
  <c r="K299" i="1"/>
  <c r="N299" i="1" s="1"/>
  <c r="D299" i="1"/>
  <c r="AD298" i="1"/>
  <c r="AB298" i="1"/>
  <c r="Z298" i="1"/>
  <c r="X298" i="1"/>
  <c r="K298" i="1"/>
  <c r="N298" i="1" s="1"/>
  <c r="D298" i="1"/>
  <c r="AD272" i="1"/>
  <c r="AB272" i="1"/>
  <c r="Z272" i="1"/>
  <c r="X272" i="1"/>
  <c r="K272" i="1"/>
  <c r="N272" i="1" s="1"/>
  <c r="D272" i="1"/>
  <c r="AD297" i="1"/>
  <c r="AB297" i="1"/>
  <c r="Z297" i="1"/>
  <c r="X297" i="1"/>
  <c r="K297" i="1"/>
  <c r="N297" i="1" s="1"/>
  <c r="D297" i="1"/>
  <c r="AD296" i="1"/>
  <c r="AB296" i="1"/>
  <c r="Z296" i="1"/>
  <c r="X296" i="1"/>
  <c r="K296" i="1"/>
  <c r="N296" i="1" s="1"/>
  <c r="D296" i="1"/>
  <c r="AD295" i="1"/>
  <c r="AB295" i="1"/>
  <c r="Z295" i="1"/>
  <c r="X295" i="1"/>
  <c r="K295" i="1"/>
  <c r="N295" i="1" s="1"/>
  <c r="D295" i="1"/>
  <c r="AD294" i="1"/>
  <c r="AB294" i="1"/>
  <c r="Z294" i="1"/>
  <c r="X294" i="1"/>
  <c r="K294" i="1"/>
  <c r="N294" i="1" s="1"/>
  <c r="D294" i="1"/>
  <c r="AD278" i="1"/>
  <c r="AB278" i="1"/>
  <c r="Z278" i="1"/>
  <c r="X278" i="1"/>
  <c r="K278" i="1"/>
  <c r="N278" i="1" s="1"/>
  <c r="D278" i="1"/>
  <c r="AD293" i="1"/>
  <c r="AB293" i="1"/>
  <c r="Z293" i="1"/>
  <c r="X293" i="1"/>
  <c r="K293" i="1"/>
  <c r="N293" i="1" s="1"/>
  <c r="D293" i="1"/>
  <c r="AD292" i="1"/>
  <c r="AB292" i="1"/>
  <c r="Z292" i="1"/>
  <c r="X292" i="1"/>
  <c r="K292" i="1"/>
  <c r="N292" i="1" s="1"/>
  <c r="D292" i="1"/>
  <c r="AD291" i="1"/>
  <c r="AB291" i="1"/>
  <c r="Z291" i="1"/>
  <c r="X291" i="1"/>
  <c r="K291" i="1"/>
  <c r="N291" i="1" s="1"/>
  <c r="D291" i="1"/>
  <c r="AD289" i="1"/>
  <c r="AB289" i="1"/>
  <c r="Z289" i="1"/>
  <c r="X289" i="1"/>
  <c r="K289" i="1"/>
  <c r="N289" i="1" s="1"/>
  <c r="D289" i="1"/>
  <c r="AD288" i="1"/>
  <c r="AB288" i="1"/>
  <c r="Z288" i="1"/>
  <c r="X288" i="1"/>
  <c r="K288" i="1"/>
  <c r="N288" i="1" s="1"/>
  <c r="D288" i="1"/>
  <c r="AD287" i="1"/>
  <c r="AB287" i="1"/>
  <c r="Z287" i="1"/>
  <c r="X287" i="1"/>
  <c r="K287" i="1"/>
  <c r="N287" i="1" s="1"/>
  <c r="D287" i="1"/>
  <c r="AD286" i="1"/>
  <c r="AB286" i="1"/>
  <c r="Z286" i="1"/>
  <c r="X286" i="1"/>
  <c r="K286" i="1"/>
  <c r="N286" i="1" s="1"/>
  <c r="D286" i="1"/>
  <c r="AD285" i="1"/>
  <c r="AB285" i="1"/>
  <c r="Z285" i="1"/>
  <c r="X285" i="1"/>
  <c r="K285" i="1"/>
  <c r="N285" i="1" s="1"/>
  <c r="D285" i="1"/>
  <c r="AD283" i="1"/>
  <c r="AB283" i="1"/>
  <c r="Z283" i="1"/>
  <c r="X283" i="1"/>
  <c r="K283" i="1"/>
  <c r="N283" i="1" s="1"/>
  <c r="D283" i="1"/>
  <c r="AD282" i="1"/>
  <c r="AB282" i="1"/>
  <c r="Z282" i="1"/>
  <c r="X282" i="1"/>
  <c r="K282" i="1"/>
  <c r="N282" i="1" s="1"/>
  <c r="D282" i="1"/>
  <c r="AD281" i="1"/>
  <c r="AB281" i="1"/>
  <c r="Z281" i="1"/>
  <c r="X281" i="1"/>
  <c r="K281" i="1"/>
  <c r="N281" i="1" s="1"/>
  <c r="D281" i="1"/>
  <c r="AD280" i="1"/>
  <c r="AB280" i="1"/>
  <c r="Z280" i="1"/>
  <c r="X280" i="1"/>
  <c r="K280" i="1"/>
  <c r="N280" i="1" s="1"/>
  <c r="D280" i="1"/>
  <c r="AD279" i="1"/>
  <c r="AB279" i="1"/>
  <c r="Z279" i="1"/>
  <c r="X279" i="1"/>
  <c r="K279" i="1"/>
  <c r="N279" i="1" s="1"/>
  <c r="D279" i="1"/>
  <c r="AD277" i="1"/>
  <c r="AB277" i="1"/>
  <c r="Z277" i="1"/>
  <c r="X277" i="1"/>
  <c r="K277" i="1"/>
  <c r="N277" i="1" s="1"/>
  <c r="D277" i="1"/>
  <c r="AD276" i="1"/>
  <c r="AB276" i="1"/>
  <c r="Z276" i="1"/>
  <c r="X276" i="1"/>
  <c r="K276" i="1"/>
  <c r="N276" i="1" s="1"/>
  <c r="D276" i="1"/>
  <c r="AD275" i="1"/>
  <c r="AB275" i="1"/>
  <c r="Z275" i="1"/>
  <c r="X275" i="1"/>
  <c r="K275" i="1"/>
  <c r="N275" i="1" s="1"/>
  <c r="D275" i="1"/>
  <c r="AD274" i="1"/>
  <c r="AB274" i="1"/>
  <c r="Z274" i="1"/>
  <c r="X274" i="1"/>
  <c r="K274" i="1"/>
  <c r="N274" i="1" s="1"/>
  <c r="D274" i="1"/>
  <c r="AD273" i="1"/>
  <c r="AB273" i="1"/>
  <c r="Z273" i="1"/>
  <c r="X273" i="1"/>
  <c r="K273" i="1"/>
  <c r="N273" i="1" s="1"/>
  <c r="D273" i="1"/>
  <c r="AD271" i="1"/>
  <c r="AB271" i="1"/>
  <c r="Z271" i="1"/>
  <c r="X271" i="1"/>
  <c r="K271" i="1"/>
  <c r="N271" i="1" s="1"/>
  <c r="D271" i="1"/>
  <c r="AD270" i="1"/>
  <c r="AB270" i="1"/>
  <c r="Z270" i="1"/>
  <c r="X270" i="1"/>
  <c r="K270" i="1"/>
  <c r="N270" i="1" s="1"/>
  <c r="D270" i="1"/>
  <c r="AD269" i="1"/>
  <c r="AB269" i="1"/>
  <c r="Z269" i="1"/>
  <c r="X269" i="1"/>
  <c r="K269" i="1"/>
  <c r="N269" i="1" s="1"/>
  <c r="D269" i="1"/>
  <c r="AD268" i="1"/>
  <c r="AB268" i="1"/>
  <c r="Z268" i="1"/>
  <c r="X268" i="1"/>
  <c r="K268" i="1"/>
  <c r="N268" i="1" s="1"/>
  <c r="D268" i="1"/>
  <c r="AD266" i="1"/>
  <c r="AB266" i="1"/>
  <c r="Z266" i="1"/>
  <c r="X266" i="1"/>
  <c r="K266" i="1"/>
  <c r="N266" i="1" s="1"/>
  <c r="D266" i="1"/>
  <c r="AD265" i="1"/>
  <c r="AB265" i="1"/>
  <c r="Z265" i="1"/>
  <c r="X265" i="1"/>
  <c r="K265" i="1"/>
  <c r="N265" i="1" s="1"/>
  <c r="D265" i="1"/>
  <c r="AD264" i="1"/>
  <c r="AB264" i="1"/>
  <c r="Z264" i="1"/>
  <c r="X264" i="1"/>
  <c r="K264" i="1"/>
  <c r="N264" i="1" s="1"/>
  <c r="D264" i="1"/>
  <c r="AD263" i="1"/>
  <c r="AB263" i="1"/>
  <c r="Z263" i="1"/>
  <c r="X263" i="1"/>
  <c r="K263" i="1"/>
  <c r="N263" i="1" s="1"/>
  <c r="D263" i="1"/>
  <c r="AD261" i="1"/>
  <c r="AB261" i="1"/>
  <c r="Z261" i="1"/>
  <c r="X261" i="1"/>
  <c r="K261" i="1"/>
  <c r="N261" i="1" s="1"/>
  <c r="D261" i="1"/>
  <c r="AD260" i="1"/>
  <c r="AB260" i="1"/>
  <c r="Z260" i="1"/>
  <c r="X260" i="1"/>
  <c r="K260" i="1"/>
  <c r="N260" i="1" s="1"/>
  <c r="D260" i="1"/>
  <c r="AD259" i="1"/>
  <c r="AB259" i="1"/>
  <c r="Z259" i="1"/>
  <c r="X259" i="1"/>
  <c r="K259" i="1"/>
  <c r="N259" i="1" s="1"/>
  <c r="D259" i="1"/>
  <c r="AD258" i="1"/>
  <c r="AB258" i="1"/>
  <c r="Z258" i="1"/>
  <c r="X258" i="1"/>
  <c r="K258" i="1"/>
  <c r="N258" i="1" s="1"/>
  <c r="D258" i="1"/>
  <c r="AD256" i="1"/>
  <c r="AB256" i="1"/>
  <c r="Z256" i="1"/>
  <c r="X256" i="1"/>
  <c r="K256" i="1"/>
  <c r="N256" i="1" s="1"/>
  <c r="D256" i="1"/>
  <c r="AD255" i="1"/>
  <c r="AB255" i="1"/>
  <c r="Z255" i="1"/>
  <c r="X255" i="1"/>
  <c r="K255" i="1"/>
  <c r="N255" i="1" s="1"/>
  <c r="D255" i="1"/>
  <c r="AD254" i="1"/>
  <c r="AB254" i="1"/>
  <c r="Z254" i="1"/>
  <c r="X254" i="1"/>
  <c r="K254" i="1"/>
  <c r="N254" i="1" s="1"/>
  <c r="D254" i="1"/>
  <c r="AD253" i="1"/>
  <c r="AB253" i="1"/>
  <c r="Z253" i="1"/>
  <c r="X253" i="1"/>
  <c r="K253" i="1"/>
  <c r="N253" i="1" s="1"/>
  <c r="D253" i="1"/>
  <c r="AD251" i="1"/>
  <c r="AB251" i="1"/>
  <c r="Z251" i="1"/>
  <c r="X251" i="1"/>
  <c r="K251" i="1"/>
  <c r="N251" i="1" s="1"/>
  <c r="D251" i="1"/>
  <c r="AD250" i="1"/>
  <c r="AB250" i="1"/>
  <c r="Z250" i="1"/>
  <c r="X250" i="1"/>
  <c r="K250" i="1"/>
  <c r="N250" i="1" s="1"/>
  <c r="D250" i="1"/>
  <c r="AD249" i="1"/>
  <c r="AB249" i="1"/>
  <c r="Z249" i="1"/>
  <c r="X249" i="1"/>
  <c r="K249" i="1"/>
  <c r="N249" i="1" s="1"/>
  <c r="D249" i="1"/>
  <c r="AD248" i="1"/>
  <c r="AB248" i="1"/>
  <c r="Z248" i="1"/>
  <c r="X248" i="1"/>
  <c r="K248" i="1"/>
  <c r="N248" i="1" s="1"/>
  <c r="D248" i="1"/>
  <c r="AD247" i="1"/>
  <c r="AB247" i="1"/>
  <c r="Z247" i="1"/>
  <c r="X247" i="1"/>
  <c r="K247" i="1"/>
  <c r="N247" i="1" s="1"/>
  <c r="D247" i="1"/>
  <c r="AD246" i="1"/>
  <c r="AB246" i="1"/>
  <c r="Z246" i="1"/>
  <c r="X246" i="1"/>
  <c r="K246" i="1"/>
  <c r="N246" i="1" s="1"/>
  <c r="D246" i="1"/>
  <c r="AD245" i="1"/>
  <c r="AB245" i="1"/>
  <c r="Z245" i="1"/>
  <c r="X245" i="1"/>
  <c r="K245" i="1"/>
  <c r="N245" i="1" s="1"/>
  <c r="D245" i="1"/>
  <c r="AD244" i="1"/>
  <c r="AB244" i="1"/>
  <c r="Z244" i="1"/>
  <c r="X244" i="1"/>
  <c r="K244" i="1"/>
  <c r="N244" i="1" s="1"/>
  <c r="D244" i="1"/>
  <c r="AD243" i="1"/>
  <c r="AB243" i="1"/>
  <c r="Z243" i="1"/>
  <c r="X243" i="1"/>
  <c r="K243" i="1"/>
  <c r="N243" i="1" s="1"/>
  <c r="D243" i="1"/>
  <c r="AD242" i="1"/>
  <c r="AB242" i="1"/>
  <c r="Z242" i="1"/>
  <c r="X242" i="1"/>
  <c r="K242" i="1"/>
  <c r="N242" i="1" s="1"/>
  <c r="D242" i="1"/>
  <c r="AD241" i="1"/>
  <c r="AB241" i="1"/>
  <c r="Z241" i="1"/>
  <c r="X241" i="1"/>
  <c r="K241" i="1"/>
  <c r="N241" i="1" s="1"/>
  <c r="D241" i="1"/>
  <c r="AD267" i="1"/>
  <c r="AB267" i="1"/>
  <c r="Z267" i="1"/>
  <c r="X267" i="1"/>
  <c r="K267" i="1"/>
  <c r="N267" i="1" s="1"/>
  <c r="D267" i="1"/>
  <c r="AD240" i="1"/>
  <c r="AB240" i="1"/>
  <c r="Z240" i="1"/>
  <c r="X240" i="1"/>
  <c r="K240" i="1"/>
  <c r="N240" i="1" s="1"/>
  <c r="D240" i="1"/>
  <c r="AD262" i="1"/>
  <c r="AB262" i="1"/>
  <c r="Z262" i="1"/>
  <c r="X262" i="1"/>
  <c r="K262" i="1"/>
  <c r="N262" i="1" s="1"/>
  <c r="D262" i="1"/>
  <c r="AD239" i="1"/>
  <c r="AB239" i="1"/>
  <c r="Z239" i="1"/>
  <c r="X239" i="1"/>
  <c r="K239" i="1"/>
  <c r="N239" i="1" s="1"/>
  <c r="D239" i="1"/>
  <c r="AD238" i="1"/>
  <c r="AB238" i="1"/>
  <c r="Z238" i="1"/>
  <c r="X238" i="1"/>
  <c r="K238" i="1"/>
  <c r="N238" i="1" s="1"/>
  <c r="D238" i="1"/>
  <c r="AD237" i="1"/>
  <c r="AB237" i="1"/>
  <c r="Z237" i="1"/>
  <c r="X237" i="1"/>
  <c r="K237" i="1"/>
  <c r="N237" i="1" s="1"/>
  <c r="D237" i="1"/>
  <c r="AD236" i="1"/>
  <c r="AB236" i="1"/>
  <c r="Z236" i="1"/>
  <c r="X236" i="1"/>
  <c r="K236" i="1"/>
  <c r="N236" i="1" s="1"/>
  <c r="D236" i="1"/>
  <c r="AD235" i="1"/>
  <c r="AB235" i="1"/>
  <c r="Z235" i="1"/>
  <c r="X235" i="1"/>
  <c r="K235" i="1"/>
  <c r="N235" i="1" s="1"/>
  <c r="D235" i="1"/>
  <c r="AD234" i="1"/>
  <c r="AB234" i="1"/>
  <c r="Z234" i="1"/>
  <c r="X234" i="1"/>
  <c r="K234" i="1"/>
  <c r="N234" i="1" s="1"/>
  <c r="D234" i="1"/>
  <c r="AD233" i="1"/>
  <c r="AB233" i="1"/>
  <c r="Z233" i="1"/>
  <c r="X233" i="1"/>
  <c r="K233" i="1"/>
  <c r="N233" i="1" s="1"/>
  <c r="D233" i="1"/>
  <c r="AD232" i="1"/>
  <c r="AB232" i="1"/>
  <c r="Z232" i="1"/>
  <c r="X232" i="1"/>
  <c r="K232" i="1"/>
  <c r="N232" i="1" s="1"/>
  <c r="D232" i="1"/>
  <c r="AD257" i="1"/>
  <c r="AB257" i="1"/>
  <c r="Z257" i="1"/>
  <c r="X257" i="1"/>
  <c r="K257" i="1"/>
  <c r="N257" i="1" s="1"/>
  <c r="D257" i="1"/>
  <c r="AD231" i="1"/>
  <c r="AB231" i="1"/>
  <c r="Z231" i="1"/>
  <c r="X231" i="1"/>
  <c r="K231" i="1"/>
  <c r="N231" i="1" s="1"/>
  <c r="D231" i="1"/>
  <c r="AD252" i="1"/>
  <c r="AB252" i="1"/>
  <c r="Z252" i="1"/>
  <c r="X252" i="1"/>
  <c r="K252" i="1"/>
  <c r="N252" i="1" s="1"/>
  <c r="D252" i="1"/>
  <c r="AD230" i="1"/>
  <c r="AB230" i="1"/>
  <c r="Z230" i="1"/>
  <c r="X230" i="1"/>
  <c r="K230" i="1"/>
  <c r="N230" i="1" s="1"/>
  <c r="D230" i="1"/>
  <c r="AD229" i="1"/>
  <c r="AB229" i="1"/>
  <c r="Z229" i="1"/>
  <c r="X229" i="1"/>
  <c r="K229" i="1"/>
  <c r="N229" i="1" s="1"/>
  <c r="D229" i="1"/>
  <c r="AD228" i="1"/>
  <c r="AB228" i="1"/>
  <c r="Z228" i="1"/>
  <c r="X228" i="1"/>
  <c r="K228" i="1"/>
  <c r="N228" i="1" s="1"/>
  <c r="D228" i="1"/>
  <c r="AD227" i="1"/>
  <c r="AB227" i="1"/>
  <c r="Z227" i="1"/>
  <c r="X227" i="1"/>
  <c r="K227" i="1"/>
  <c r="N227" i="1" s="1"/>
  <c r="D227" i="1"/>
  <c r="AD226" i="1"/>
  <c r="AB226" i="1"/>
  <c r="Z226" i="1"/>
  <c r="X226" i="1"/>
  <c r="K226" i="1"/>
  <c r="N226" i="1" s="1"/>
  <c r="D226" i="1"/>
  <c r="AD225" i="1"/>
  <c r="AB225" i="1"/>
  <c r="Z225" i="1"/>
  <c r="X225" i="1"/>
  <c r="K225" i="1"/>
  <c r="N225" i="1" s="1"/>
  <c r="D225" i="1"/>
  <c r="AD224" i="1"/>
  <c r="AB224" i="1"/>
  <c r="Z224" i="1"/>
  <c r="X224" i="1"/>
  <c r="K224" i="1"/>
  <c r="N224" i="1" s="1"/>
  <c r="D224" i="1"/>
  <c r="AD223" i="1"/>
  <c r="AB223" i="1"/>
  <c r="Z223" i="1"/>
  <c r="X223" i="1"/>
  <c r="K223" i="1"/>
  <c r="N223" i="1" s="1"/>
  <c r="D223" i="1"/>
  <c r="AD222" i="1"/>
  <c r="AB222" i="1"/>
  <c r="Z222" i="1"/>
  <c r="X222" i="1"/>
  <c r="K222" i="1"/>
  <c r="N222" i="1" s="1"/>
  <c r="D222" i="1"/>
  <c r="AD221" i="1"/>
  <c r="AB221" i="1"/>
  <c r="Z221" i="1"/>
  <c r="X221" i="1"/>
  <c r="K221" i="1"/>
  <c r="N221" i="1" s="1"/>
  <c r="D221" i="1"/>
  <c r="AD220" i="1"/>
  <c r="AB220" i="1"/>
  <c r="Z220" i="1"/>
  <c r="X220" i="1"/>
  <c r="K220" i="1"/>
  <c r="N220" i="1" s="1"/>
  <c r="D220" i="1"/>
  <c r="AD219" i="1"/>
  <c r="AB219" i="1"/>
  <c r="Z219" i="1"/>
  <c r="X219" i="1"/>
  <c r="K219" i="1"/>
  <c r="N219" i="1" s="1"/>
  <c r="D219" i="1"/>
  <c r="AD218" i="1"/>
  <c r="AB218" i="1"/>
  <c r="Z218" i="1"/>
  <c r="X218" i="1"/>
  <c r="K218" i="1"/>
  <c r="N218" i="1" s="1"/>
  <c r="D218" i="1"/>
  <c r="AD217" i="1"/>
  <c r="AB217" i="1"/>
  <c r="Z217" i="1"/>
  <c r="X217" i="1"/>
  <c r="K217" i="1"/>
  <c r="N217" i="1" s="1"/>
  <c r="D217" i="1"/>
  <c r="AD216" i="1"/>
  <c r="AB216" i="1"/>
  <c r="Z216" i="1"/>
  <c r="X216" i="1"/>
  <c r="K216" i="1"/>
  <c r="N216" i="1" s="1"/>
  <c r="D216" i="1"/>
  <c r="AD215" i="1"/>
  <c r="AB215" i="1"/>
  <c r="Z215" i="1"/>
  <c r="X215" i="1"/>
  <c r="K215" i="1"/>
  <c r="N215" i="1" s="1"/>
  <c r="D215" i="1"/>
  <c r="AD214" i="1"/>
  <c r="AB214" i="1"/>
  <c r="Z214" i="1"/>
  <c r="X214" i="1"/>
  <c r="K214" i="1"/>
  <c r="N214" i="1" s="1"/>
  <c r="D214" i="1"/>
  <c r="AD213" i="1"/>
  <c r="AB213" i="1"/>
  <c r="Z213" i="1"/>
  <c r="X213" i="1"/>
  <c r="K213" i="1"/>
  <c r="N213" i="1" s="1"/>
  <c r="D213" i="1"/>
  <c r="AD212" i="1"/>
  <c r="AB212" i="1"/>
  <c r="Z212" i="1"/>
  <c r="X212" i="1"/>
  <c r="K212" i="1"/>
  <c r="N212" i="1" s="1"/>
  <c r="D212" i="1"/>
  <c r="AD211" i="1"/>
  <c r="AB211" i="1"/>
  <c r="Z211" i="1"/>
  <c r="X211" i="1"/>
  <c r="K211" i="1"/>
  <c r="N211" i="1" s="1"/>
  <c r="D211" i="1"/>
  <c r="AD210" i="1"/>
  <c r="AB210" i="1"/>
  <c r="Z210" i="1"/>
  <c r="X210" i="1"/>
  <c r="K210" i="1"/>
  <c r="N210" i="1" s="1"/>
  <c r="D210" i="1"/>
  <c r="AD209" i="1"/>
  <c r="AB209" i="1"/>
  <c r="Z209" i="1"/>
  <c r="X209" i="1"/>
  <c r="K209" i="1"/>
  <c r="N209" i="1" s="1"/>
  <c r="D209" i="1"/>
  <c r="AD208" i="1"/>
  <c r="AB208" i="1"/>
  <c r="Z208" i="1"/>
  <c r="X208" i="1"/>
  <c r="K208" i="1"/>
  <c r="N208" i="1" s="1"/>
  <c r="D208" i="1"/>
  <c r="AD207" i="1"/>
  <c r="AB207" i="1"/>
  <c r="Z207" i="1"/>
  <c r="X207" i="1"/>
  <c r="K207" i="1"/>
  <c r="N207" i="1" s="1"/>
  <c r="D207" i="1"/>
  <c r="AD206" i="1"/>
  <c r="AB206" i="1"/>
  <c r="Z206" i="1"/>
  <c r="X206" i="1"/>
  <c r="K206" i="1"/>
  <c r="N206" i="1" s="1"/>
  <c r="D206" i="1"/>
  <c r="AD205" i="1"/>
  <c r="AB205" i="1"/>
  <c r="Z205" i="1"/>
  <c r="X205" i="1"/>
  <c r="K205" i="1"/>
  <c r="N205" i="1" s="1"/>
  <c r="D205" i="1"/>
  <c r="AD204" i="1"/>
  <c r="AB204" i="1"/>
  <c r="Z204" i="1"/>
  <c r="X204" i="1"/>
  <c r="K204" i="1"/>
  <c r="N204" i="1" s="1"/>
  <c r="D204" i="1"/>
  <c r="AD203" i="1"/>
  <c r="AB203" i="1"/>
  <c r="Z203" i="1"/>
  <c r="X203" i="1"/>
  <c r="K203" i="1"/>
  <c r="N203" i="1" s="1"/>
  <c r="D203" i="1"/>
  <c r="AD202" i="1"/>
  <c r="AB202" i="1"/>
  <c r="Z202" i="1"/>
  <c r="X202" i="1"/>
  <c r="K202" i="1"/>
  <c r="N202" i="1" s="1"/>
  <c r="D202" i="1"/>
  <c r="AD201" i="1"/>
  <c r="AB201" i="1"/>
  <c r="Z201" i="1"/>
  <c r="X201" i="1"/>
  <c r="K201" i="1"/>
  <c r="N201" i="1" s="1"/>
  <c r="D201" i="1"/>
  <c r="AD200" i="1"/>
  <c r="AB200" i="1"/>
  <c r="Z200" i="1"/>
  <c r="X200" i="1"/>
  <c r="K200" i="1"/>
  <c r="N200" i="1" s="1"/>
  <c r="AD199" i="1"/>
  <c r="AB199" i="1"/>
  <c r="Z199" i="1"/>
  <c r="X199" i="1"/>
  <c r="K199" i="1"/>
  <c r="N199" i="1" s="1"/>
  <c r="AD198" i="1"/>
  <c r="AB198" i="1"/>
  <c r="Z198" i="1"/>
  <c r="X198" i="1"/>
  <c r="K198" i="1"/>
  <c r="N198" i="1" s="1"/>
  <c r="AD197" i="1"/>
  <c r="AB197" i="1"/>
  <c r="Z197" i="1"/>
  <c r="X197" i="1"/>
  <c r="K197" i="1"/>
  <c r="N197" i="1" s="1"/>
  <c r="AD196" i="1"/>
  <c r="AB196" i="1"/>
  <c r="Z196" i="1"/>
  <c r="X196" i="1"/>
  <c r="K196" i="1"/>
  <c r="N196" i="1" s="1"/>
  <c r="D196" i="1"/>
  <c r="AD195" i="1"/>
  <c r="AB195" i="1"/>
  <c r="Z195" i="1"/>
  <c r="X195" i="1"/>
  <c r="K195" i="1"/>
  <c r="N195" i="1" s="1"/>
  <c r="D195" i="1"/>
  <c r="AD194" i="1"/>
  <c r="AB194" i="1"/>
  <c r="Z194" i="1"/>
  <c r="X194" i="1"/>
  <c r="K194" i="1"/>
  <c r="N194" i="1" s="1"/>
  <c r="D194" i="1"/>
  <c r="AD193" i="1"/>
  <c r="AB193" i="1"/>
  <c r="Z193" i="1"/>
  <c r="X193" i="1"/>
  <c r="K193" i="1"/>
  <c r="N193" i="1" s="1"/>
  <c r="D193" i="1"/>
  <c r="AD192" i="1"/>
  <c r="AB192" i="1"/>
  <c r="Z192" i="1"/>
  <c r="X192" i="1"/>
  <c r="K192" i="1"/>
  <c r="N192" i="1" s="1"/>
  <c r="D192" i="1"/>
  <c r="AD191" i="1"/>
  <c r="AB191" i="1"/>
  <c r="Z191" i="1"/>
  <c r="X191" i="1"/>
  <c r="K191" i="1"/>
  <c r="N191" i="1" s="1"/>
  <c r="D191" i="1"/>
  <c r="AD190" i="1"/>
  <c r="AB190" i="1"/>
  <c r="Z190" i="1"/>
  <c r="X190" i="1"/>
  <c r="K190" i="1"/>
  <c r="N190" i="1" s="1"/>
  <c r="D190" i="1"/>
  <c r="AD189" i="1"/>
  <c r="AB189" i="1"/>
  <c r="Z189" i="1"/>
  <c r="X189" i="1"/>
  <c r="K189" i="1"/>
  <c r="N189" i="1" s="1"/>
  <c r="D189" i="1"/>
  <c r="AD188" i="1"/>
  <c r="AB188" i="1"/>
  <c r="Z188" i="1"/>
  <c r="X188" i="1"/>
  <c r="K188" i="1"/>
  <c r="N188" i="1" s="1"/>
  <c r="D188" i="1"/>
  <c r="AD187" i="1"/>
  <c r="AB187" i="1"/>
  <c r="Z187" i="1"/>
  <c r="X187" i="1"/>
  <c r="K187" i="1"/>
  <c r="N187" i="1" s="1"/>
  <c r="D187" i="1"/>
  <c r="AD186" i="1"/>
  <c r="AB186" i="1"/>
  <c r="Z186" i="1"/>
  <c r="X186" i="1"/>
  <c r="K186" i="1"/>
  <c r="N186" i="1" s="1"/>
  <c r="D186" i="1"/>
  <c r="AD185" i="1"/>
  <c r="AB185" i="1"/>
  <c r="Z185" i="1"/>
  <c r="X185" i="1"/>
  <c r="K185" i="1"/>
  <c r="N185" i="1" s="1"/>
  <c r="D185" i="1"/>
  <c r="AD184" i="1"/>
  <c r="AB184" i="1"/>
  <c r="Z184" i="1"/>
  <c r="X184" i="1"/>
  <c r="K184" i="1"/>
  <c r="N184" i="1" s="1"/>
  <c r="D184" i="1"/>
  <c r="AD183" i="1"/>
  <c r="AB183" i="1"/>
  <c r="Z183" i="1"/>
  <c r="X183" i="1"/>
  <c r="K183" i="1"/>
  <c r="N183" i="1" s="1"/>
  <c r="D183" i="1"/>
  <c r="AD182" i="1"/>
  <c r="AB182" i="1"/>
  <c r="Z182" i="1"/>
  <c r="X182" i="1"/>
  <c r="K182" i="1"/>
  <c r="N182" i="1" s="1"/>
  <c r="D182" i="1"/>
  <c r="AD181" i="1"/>
  <c r="AB181" i="1"/>
  <c r="Z181" i="1"/>
  <c r="X181" i="1"/>
  <c r="K181" i="1"/>
  <c r="N181" i="1" s="1"/>
  <c r="D181" i="1"/>
  <c r="AD180" i="1"/>
  <c r="AB180" i="1"/>
  <c r="Z180" i="1"/>
  <c r="X180" i="1"/>
  <c r="K180" i="1"/>
  <c r="N180" i="1" s="1"/>
  <c r="D180" i="1"/>
  <c r="AD179" i="1"/>
  <c r="AB179" i="1"/>
  <c r="Z179" i="1"/>
  <c r="X179" i="1"/>
  <c r="K179" i="1"/>
  <c r="N179" i="1" s="1"/>
  <c r="D179" i="1"/>
  <c r="AD178" i="1"/>
  <c r="AB178" i="1"/>
  <c r="Z178" i="1"/>
  <c r="X178" i="1"/>
  <c r="K178" i="1"/>
  <c r="N178" i="1" s="1"/>
  <c r="D178" i="1"/>
  <c r="AD177" i="1"/>
  <c r="AB177" i="1"/>
  <c r="Z177" i="1"/>
  <c r="X177" i="1"/>
  <c r="K177" i="1"/>
  <c r="N177" i="1" s="1"/>
  <c r="D177" i="1"/>
  <c r="AD176" i="1"/>
  <c r="AB176" i="1"/>
  <c r="Z176" i="1"/>
  <c r="X176" i="1"/>
  <c r="K176" i="1"/>
  <c r="N176" i="1" s="1"/>
  <c r="D176" i="1"/>
  <c r="AD175" i="1"/>
  <c r="AB175" i="1"/>
  <c r="Z175" i="1"/>
  <c r="X175" i="1"/>
  <c r="K175" i="1"/>
  <c r="N175" i="1" s="1"/>
  <c r="D175" i="1"/>
  <c r="AD174" i="1"/>
  <c r="AB174" i="1"/>
  <c r="Z174" i="1"/>
  <c r="X174" i="1"/>
  <c r="K174" i="1"/>
  <c r="N174" i="1" s="1"/>
  <c r="D174" i="1"/>
  <c r="AD173" i="1"/>
  <c r="AB173" i="1"/>
  <c r="Z173" i="1"/>
  <c r="X173" i="1"/>
  <c r="K173" i="1"/>
  <c r="N173" i="1" s="1"/>
  <c r="D173" i="1"/>
  <c r="AD172" i="1"/>
  <c r="AB172" i="1"/>
  <c r="Z172" i="1"/>
  <c r="X172" i="1"/>
  <c r="K172" i="1"/>
  <c r="N172" i="1" s="1"/>
  <c r="D172" i="1"/>
  <c r="AD171" i="1"/>
  <c r="AB171" i="1"/>
  <c r="Z171" i="1"/>
  <c r="X171" i="1"/>
  <c r="K171" i="1"/>
  <c r="N171" i="1" s="1"/>
  <c r="D171" i="1"/>
  <c r="AD170" i="1"/>
  <c r="AB170" i="1"/>
  <c r="Z170" i="1"/>
  <c r="X170" i="1"/>
  <c r="K170" i="1"/>
  <c r="N170" i="1" s="1"/>
  <c r="D170" i="1"/>
  <c r="AD169" i="1"/>
  <c r="AB169" i="1"/>
  <c r="Z169" i="1"/>
  <c r="X169" i="1"/>
  <c r="K169" i="1"/>
  <c r="N169" i="1" s="1"/>
  <c r="D169" i="1"/>
  <c r="AD168" i="1"/>
  <c r="AB168" i="1"/>
  <c r="Z168" i="1"/>
  <c r="X168" i="1"/>
  <c r="K168" i="1"/>
  <c r="N168" i="1" s="1"/>
  <c r="D168" i="1"/>
  <c r="AD167" i="1"/>
  <c r="AB167" i="1"/>
  <c r="Z167" i="1"/>
  <c r="X167" i="1"/>
  <c r="K167" i="1"/>
  <c r="N167" i="1" s="1"/>
  <c r="D167" i="1"/>
  <c r="AD166" i="1"/>
  <c r="AB166" i="1"/>
  <c r="Z166" i="1"/>
  <c r="X166" i="1"/>
  <c r="K166" i="1"/>
  <c r="N166" i="1" s="1"/>
  <c r="D166" i="1"/>
  <c r="AD165" i="1"/>
  <c r="AB165" i="1"/>
  <c r="Z165" i="1"/>
  <c r="X165" i="1"/>
  <c r="K165" i="1"/>
  <c r="N165" i="1" s="1"/>
  <c r="D165" i="1"/>
  <c r="AD164" i="1"/>
  <c r="AB164" i="1"/>
  <c r="Z164" i="1"/>
  <c r="X164" i="1"/>
  <c r="K164" i="1"/>
  <c r="N164" i="1" s="1"/>
  <c r="D164" i="1"/>
  <c r="AD163" i="1"/>
  <c r="AB163" i="1"/>
  <c r="Z163" i="1"/>
  <c r="X163" i="1"/>
  <c r="K163" i="1"/>
  <c r="N163" i="1" s="1"/>
  <c r="D163" i="1"/>
  <c r="AD162" i="1"/>
  <c r="AB162" i="1"/>
  <c r="Z162" i="1"/>
  <c r="X162" i="1"/>
  <c r="K162" i="1"/>
  <c r="N162" i="1" s="1"/>
  <c r="D162" i="1"/>
  <c r="AD161" i="1"/>
  <c r="AB161" i="1"/>
  <c r="Z161" i="1"/>
  <c r="X161" i="1"/>
  <c r="K161" i="1"/>
  <c r="N161" i="1" s="1"/>
  <c r="D161" i="1"/>
  <c r="AD160" i="1"/>
  <c r="AB160" i="1"/>
  <c r="Z160" i="1"/>
  <c r="X160" i="1"/>
  <c r="K160" i="1"/>
  <c r="N160" i="1" s="1"/>
  <c r="D160" i="1"/>
  <c r="AD159" i="1"/>
  <c r="AB159" i="1"/>
  <c r="Z159" i="1"/>
  <c r="X159" i="1"/>
  <c r="K159" i="1"/>
  <c r="N159" i="1" s="1"/>
  <c r="D159" i="1"/>
  <c r="AD158" i="1"/>
  <c r="AB158" i="1"/>
  <c r="Z158" i="1"/>
  <c r="X158" i="1"/>
  <c r="K158" i="1"/>
  <c r="N158" i="1" s="1"/>
  <c r="D158" i="1"/>
  <c r="AD157" i="1"/>
  <c r="AB157" i="1"/>
  <c r="Z157" i="1"/>
  <c r="X157" i="1"/>
  <c r="K157" i="1"/>
  <c r="N157" i="1" s="1"/>
  <c r="D157" i="1"/>
  <c r="AD156" i="1"/>
  <c r="AB156" i="1"/>
  <c r="Z156" i="1"/>
  <c r="X156" i="1"/>
  <c r="K156" i="1"/>
  <c r="N156" i="1" s="1"/>
  <c r="D156" i="1"/>
  <c r="AD155" i="1"/>
  <c r="AB155" i="1"/>
  <c r="Z155" i="1"/>
  <c r="X155" i="1"/>
  <c r="K155" i="1"/>
  <c r="N155" i="1" s="1"/>
  <c r="D155" i="1"/>
  <c r="AD154" i="1"/>
  <c r="AB154" i="1"/>
  <c r="Z154" i="1"/>
  <c r="X154" i="1"/>
  <c r="K154" i="1"/>
  <c r="N154" i="1" s="1"/>
  <c r="D154" i="1"/>
  <c r="AD153" i="1"/>
  <c r="AB153" i="1"/>
  <c r="Z153" i="1"/>
  <c r="X153" i="1"/>
  <c r="K153" i="1"/>
  <c r="N153" i="1" s="1"/>
  <c r="D153" i="1"/>
  <c r="AD152" i="1"/>
  <c r="AB152" i="1"/>
  <c r="Z152" i="1"/>
  <c r="X152" i="1"/>
  <c r="K152" i="1"/>
  <c r="N152" i="1" s="1"/>
  <c r="D152" i="1"/>
  <c r="AD151" i="1"/>
  <c r="AB151" i="1"/>
  <c r="Z151" i="1"/>
  <c r="X151" i="1"/>
  <c r="K151" i="1"/>
  <c r="N151" i="1" s="1"/>
  <c r="D151" i="1"/>
  <c r="AD150" i="1"/>
  <c r="AB150" i="1"/>
  <c r="Z150" i="1"/>
  <c r="X150" i="1"/>
  <c r="K150" i="1"/>
  <c r="N150" i="1" s="1"/>
  <c r="D150" i="1"/>
  <c r="AD149" i="1"/>
  <c r="AB149" i="1"/>
  <c r="Z149" i="1"/>
  <c r="X149" i="1"/>
  <c r="K149" i="1"/>
  <c r="N149" i="1" s="1"/>
  <c r="D149" i="1"/>
  <c r="AD148" i="1"/>
  <c r="AB148" i="1"/>
  <c r="Z148" i="1"/>
  <c r="X148" i="1"/>
  <c r="K148" i="1"/>
  <c r="N148" i="1" s="1"/>
  <c r="D148" i="1"/>
  <c r="AD147" i="1"/>
  <c r="AB147" i="1"/>
  <c r="Z147" i="1"/>
  <c r="X147" i="1"/>
  <c r="K147" i="1"/>
  <c r="N147" i="1" s="1"/>
  <c r="D147" i="1"/>
  <c r="AD146" i="1"/>
  <c r="AB146" i="1"/>
  <c r="Z146" i="1"/>
  <c r="X146" i="1"/>
  <c r="K146" i="1"/>
  <c r="N146" i="1" s="1"/>
  <c r="D146" i="1"/>
  <c r="AD145" i="1"/>
  <c r="AB145" i="1"/>
  <c r="Z145" i="1"/>
  <c r="X145" i="1"/>
  <c r="K145" i="1"/>
  <c r="N145" i="1" s="1"/>
  <c r="D145" i="1"/>
  <c r="AD144" i="1"/>
  <c r="AB144" i="1"/>
  <c r="Z144" i="1"/>
  <c r="X144" i="1"/>
  <c r="K144" i="1"/>
  <c r="N144" i="1" s="1"/>
  <c r="D144" i="1"/>
  <c r="AD143" i="1"/>
  <c r="AB143" i="1"/>
  <c r="Z143" i="1"/>
  <c r="X143" i="1"/>
  <c r="K143" i="1"/>
  <c r="N143" i="1" s="1"/>
  <c r="D143" i="1"/>
  <c r="AD139" i="1"/>
  <c r="AB139" i="1"/>
  <c r="Z139" i="1"/>
  <c r="X139" i="1"/>
  <c r="K139" i="1"/>
  <c r="N139" i="1" s="1"/>
  <c r="D139" i="1"/>
  <c r="AD141" i="1"/>
  <c r="AB141" i="1"/>
  <c r="Z141" i="1"/>
  <c r="X141" i="1"/>
  <c r="K141" i="1"/>
  <c r="N141" i="1" s="1"/>
  <c r="D141" i="1"/>
  <c r="AD140" i="1"/>
  <c r="AB140" i="1"/>
  <c r="Z140" i="1"/>
  <c r="X140" i="1"/>
  <c r="K140" i="1"/>
  <c r="N140" i="1" s="1"/>
  <c r="D140" i="1"/>
  <c r="AD138" i="1"/>
  <c r="AB138" i="1"/>
  <c r="Z138" i="1"/>
  <c r="X138" i="1"/>
  <c r="K138" i="1"/>
  <c r="N138" i="1" s="1"/>
  <c r="D138" i="1"/>
  <c r="AD137" i="1"/>
  <c r="AB137" i="1"/>
  <c r="Z137" i="1"/>
  <c r="X137" i="1"/>
  <c r="K137" i="1"/>
  <c r="N137" i="1" s="1"/>
  <c r="D137" i="1"/>
  <c r="AD136" i="1"/>
  <c r="AB136" i="1"/>
  <c r="Z136" i="1"/>
  <c r="X136" i="1"/>
  <c r="K136" i="1"/>
  <c r="N136" i="1" s="1"/>
  <c r="D136" i="1"/>
  <c r="AD135" i="1"/>
  <c r="AB135" i="1"/>
  <c r="Z135" i="1"/>
  <c r="X135" i="1"/>
  <c r="K135" i="1"/>
  <c r="N135" i="1" s="1"/>
  <c r="D135" i="1"/>
  <c r="AD134" i="1"/>
  <c r="AB134" i="1"/>
  <c r="Z134" i="1"/>
  <c r="X134" i="1"/>
  <c r="K134" i="1"/>
  <c r="N134" i="1" s="1"/>
  <c r="D134" i="1"/>
  <c r="AD133" i="1"/>
  <c r="AB133" i="1"/>
  <c r="Z133" i="1"/>
  <c r="X133" i="1"/>
  <c r="K133" i="1"/>
  <c r="N133" i="1" s="1"/>
  <c r="D133" i="1"/>
  <c r="AD129" i="1"/>
  <c r="AB129" i="1"/>
  <c r="Z129" i="1"/>
  <c r="X129" i="1"/>
  <c r="K129" i="1"/>
  <c r="N129" i="1" s="1"/>
  <c r="D129" i="1"/>
  <c r="AD131" i="1"/>
  <c r="AB131" i="1"/>
  <c r="Z131" i="1"/>
  <c r="X131" i="1"/>
  <c r="K131" i="1"/>
  <c r="N131" i="1" s="1"/>
  <c r="D131" i="1"/>
  <c r="AD130" i="1"/>
  <c r="AB130" i="1"/>
  <c r="Z130" i="1"/>
  <c r="X130" i="1"/>
  <c r="K130" i="1"/>
  <c r="N130" i="1" s="1"/>
  <c r="D130" i="1"/>
  <c r="AD128" i="1"/>
  <c r="AB128" i="1"/>
  <c r="Z128" i="1"/>
  <c r="X128" i="1"/>
  <c r="K128" i="1"/>
  <c r="N128" i="1" s="1"/>
  <c r="D128" i="1"/>
  <c r="AD127" i="1"/>
  <c r="AB127" i="1"/>
  <c r="Z127" i="1"/>
  <c r="X127" i="1"/>
  <c r="K127" i="1"/>
  <c r="N127" i="1" s="1"/>
  <c r="D127" i="1"/>
  <c r="AD126" i="1"/>
  <c r="AB126" i="1"/>
  <c r="Z126" i="1"/>
  <c r="X126" i="1"/>
  <c r="K126" i="1"/>
  <c r="N126" i="1" s="1"/>
  <c r="D126" i="1"/>
  <c r="AD125" i="1"/>
  <c r="AB125" i="1"/>
  <c r="Z125" i="1"/>
  <c r="X125" i="1"/>
  <c r="K125" i="1"/>
  <c r="N125" i="1" s="1"/>
  <c r="D125" i="1"/>
  <c r="AD124" i="1"/>
  <c r="AB124" i="1"/>
  <c r="Z124" i="1"/>
  <c r="X124" i="1"/>
  <c r="K124" i="1"/>
  <c r="N124" i="1" s="1"/>
  <c r="D124" i="1"/>
  <c r="AD123" i="1"/>
  <c r="AB123" i="1"/>
  <c r="Z123" i="1"/>
  <c r="X123" i="1"/>
  <c r="K123" i="1"/>
  <c r="N123" i="1" s="1"/>
  <c r="D123" i="1"/>
  <c r="AD142" i="1"/>
  <c r="AB142" i="1"/>
  <c r="Z142" i="1"/>
  <c r="X142" i="1"/>
  <c r="K142" i="1"/>
  <c r="N142" i="1" s="1"/>
  <c r="D142" i="1"/>
  <c r="AD122" i="1"/>
  <c r="AB122" i="1"/>
  <c r="Z122" i="1"/>
  <c r="X122" i="1"/>
  <c r="K122" i="1"/>
  <c r="N122" i="1" s="1"/>
  <c r="D122" i="1"/>
  <c r="AD121" i="1"/>
  <c r="AB121" i="1"/>
  <c r="Z121" i="1"/>
  <c r="X121" i="1"/>
  <c r="K121" i="1"/>
  <c r="N121" i="1" s="1"/>
  <c r="D121" i="1"/>
  <c r="AD120" i="1"/>
  <c r="AB120" i="1"/>
  <c r="Z120" i="1"/>
  <c r="X120" i="1"/>
  <c r="K120" i="1"/>
  <c r="N120" i="1" s="1"/>
  <c r="D120" i="1"/>
  <c r="AD119" i="1"/>
  <c r="AB119" i="1"/>
  <c r="Z119" i="1"/>
  <c r="X119" i="1"/>
  <c r="K119" i="1"/>
  <c r="N119" i="1" s="1"/>
  <c r="D119" i="1"/>
  <c r="AD118" i="1"/>
  <c r="AB118" i="1"/>
  <c r="Z118" i="1"/>
  <c r="X118" i="1"/>
  <c r="K118" i="1"/>
  <c r="N118" i="1" s="1"/>
  <c r="D118" i="1"/>
  <c r="AD117" i="1"/>
  <c r="AB117" i="1"/>
  <c r="Z117" i="1"/>
  <c r="X117" i="1"/>
  <c r="K117" i="1"/>
  <c r="N117" i="1" s="1"/>
  <c r="D117" i="1"/>
  <c r="AD116" i="1"/>
  <c r="AB116" i="1"/>
  <c r="Z116" i="1"/>
  <c r="X116" i="1"/>
  <c r="K116" i="1"/>
  <c r="N116" i="1" s="1"/>
  <c r="D116" i="1"/>
  <c r="AD132" i="1"/>
  <c r="AB132" i="1"/>
  <c r="Z132" i="1"/>
  <c r="X132" i="1"/>
  <c r="K132" i="1"/>
  <c r="N132" i="1" s="1"/>
  <c r="D132" i="1"/>
  <c r="AD115" i="1"/>
  <c r="AB115" i="1"/>
  <c r="Z115" i="1"/>
  <c r="X115" i="1"/>
  <c r="K115" i="1"/>
  <c r="N115" i="1" s="1"/>
  <c r="D115" i="1"/>
  <c r="AD114" i="1"/>
  <c r="AB114" i="1"/>
  <c r="Z114" i="1"/>
  <c r="X114" i="1"/>
  <c r="K114" i="1"/>
  <c r="N114" i="1" s="1"/>
  <c r="D114" i="1"/>
  <c r="AD113" i="1"/>
  <c r="AB113" i="1"/>
  <c r="Z113" i="1"/>
  <c r="X113" i="1"/>
  <c r="K113" i="1"/>
  <c r="N113" i="1" s="1"/>
  <c r="D113" i="1"/>
  <c r="AD112" i="1"/>
  <c r="AB112" i="1"/>
  <c r="Z112" i="1"/>
  <c r="X112" i="1"/>
  <c r="K112" i="1"/>
  <c r="N112" i="1" s="1"/>
  <c r="D112" i="1"/>
  <c r="AD111" i="1"/>
  <c r="AB111" i="1"/>
  <c r="Z111" i="1"/>
  <c r="X111" i="1"/>
  <c r="K111" i="1"/>
  <c r="N111" i="1" s="1"/>
  <c r="D111" i="1"/>
  <c r="AD110" i="1"/>
  <c r="AB110" i="1"/>
  <c r="Z110" i="1"/>
  <c r="X110" i="1"/>
  <c r="K110" i="1"/>
  <c r="N110" i="1" s="1"/>
  <c r="D110" i="1"/>
  <c r="AD109" i="1"/>
  <c r="AB109" i="1"/>
  <c r="Z109" i="1"/>
  <c r="X109" i="1"/>
  <c r="K109" i="1"/>
  <c r="N109" i="1" s="1"/>
  <c r="D109" i="1"/>
  <c r="AD108" i="1"/>
  <c r="AB108" i="1"/>
  <c r="Z108" i="1"/>
  <c r="X108" i="1"/>
  <c r="K108" i="1"/>
  <c r="N108" i="1" s="1"/>
  <c r="D108" i="1"/>
  <c r="AD107" i="1"/>
  <c r="AB107" i="1"/>
  <c r="Z107" i="1"/>
  <c r="X107" i="1"/>
  <c r="K107" i="1"/>
  <c r="N107" i="1" s="1"/>
  <c r="D107" i="1"/>
  <c r="AD106" i="1"/>
  <c r="AB106" i="1"/>
  <c r="Z106" i="1"/>
  <c r="X106" i="1"/>
  <c r="K106" i="1"/>
  <c r="N106" i="1" s="1"/>
  <c r="D106" i="1"/>
  <c r="AD105" i="1"/>
  <c r="AB105" i="1"/>
  <c r="Z105" i="1"/>
  <c r="X105" i="1"/>
  <c r="K105" i="1"/>
  <c r="N105" i="1" s="1"/>
  <c r="D105" i="1"/>
  <c r="AD104" i="1"/>
  <c r="AB104" i="1"/>
  <c r="Z104" i="1"/>
  <c r="X104" i="1"/>
  <c r="K104" i="1"/>
  <c r="N104" i="1" s="1"/>
  <c r="D104" i="1"/>
  <c r="AD103" i="1"/>
  <c r="AB103" i="1"/>
  <c r="Z103" i="1"/>
  <c r="X103" i="1"/>
  <c r="K103" i="1"/>
  <c r="N103" i="1" s="1"/>
  <c r="D103" i="1"/>
  <c r="AD102" i="1"/>
  <c r="AB102" i="1"/>
  <c r="Z102" i="1"/>
  <c r="X102" i="1"/>
  <c r="K102" i="1"/>
  <c r="N102" i="1" s="1"/>
  <c r="D102" i="1"/>
  <c r="AD101" i="1"/>
  <c r="AB101" i="1"/>
  <c r="Z101" i="1"/>
  <c r="X101" i="1"/>
  <c r="K101" i="1"/>
  <c r="N101" i="1" s="1"/>
  <c r="D101" i="1"/>
  <c r="AD100" i="1"/>
  <c r="AB100" i="1"/>
  <c r="Z100" i="1"/>
  <c r="X100" i="1"/>
  <c r="K100" i="1"/>
  <c r="N100" i="1" s="1"/>
  <c r="D100" i="1"/>
  <c r="AD99" i="1"/>
  <c r="AB99" i="1"/>
  <c r="Z99" i="1"/>
  <c r="X99" i="1"/>
  <c r="K99" i="1"/>
  <c r="N99" i="1" s="1"/>
  <c r="D99" i="1"/>
  <c r="AD98" i="1"/>
  <c r="AB98" i="1"/>
  <c r="Z98" i="1"/>
  <c r="X98" i="1"/>
  <c r="K98" i="1"/>
  <c r="N98" i="1" s="1"/>
  <c r="D98" i="1"/>
  <c r="AD97" i="1"/>
  <c r="AB97" i="1"/>
  <c r="Z97" i="1"/>
  <c r="X97" i="1"/>
  <c r="K97" i="1"/>
  <c r="N97" i="1" s="1"/>
  <c r="D97" i="1"/>
  <c r="AD96" i="1"/>
  <c r="AB96" i="1"/>
  <c r="Z96" i="1"/>
  <c r="X96" i="1"/>
  <c r="K96" i="1"/>
  <c r="N96" i="1" s="1"/>
  <c r="D96" i="1"/>
  <c r="AD95" i="1"/>
  <c r="AB95" i="1"/>
  <c r="Z95" i="1"/>
  <c r="X95" i="1"/>
  <c r="K95" i="1"/>
  <c r="N95" i="1" s="1"/>
  <c r="D95" i="1"/>
  <c r="AD94" i="1"/>
  <c r="AB94" i="1"/>
  <c r="Z94" i="1"/>
  <c r="X94" i="1"/>
  <c r="K94" i="1"/>
  <c r="N94" i="1" s="1"/>
  <c r="D94" i="1"/>
  <c r="AD93" i="1"/>
  <c r="AB93" i="1"/>
  <c r="Z93" i="1"/>
  <c r="X93" i="1"/>
  <c r="K93" i="1"/>
  <c r="N93" i="1" s="1"/>
  <c r="D93" i="1"/>
  <c r="AD92" i="1"/>
  <c r="AB92" i="1"/>
  <c r="Z92" i="1"/>
  <c r="X92" i="1"/>
  <c r="K92" i="1"/>
  <c r="N92" i="1" s="1"/>
  <c r="D92" i="1"/>
  <c r="AD91" i="1"/>
  <c r="AB91" i="1"/>
  <c r="Z91" i="1"/>
  <c r="X91" i="1"/>
  <c r="K91" i="1"/>
  <c r="N91" i="1" s="1"/>
  <c r="D91" i="1"/>
  <c r="AD90" i="1"/>
  <c r="AB90" i="1"/>
  <c r="Z90" i="1"/>
  <c r="X90" i="1"/>
  <c r="K90" i="1"/>
  <c r="N90" i="1" s="1"/>
  <c r="D90" i="1"/>
  <c r="AD89" i="1"/>
  <c r="AB89" i="1"/>
  <c r="Z89" i="1"/>
  <c r="X89" i="1"/>
  <c r="K89" i="1"/>
  <c r="N89" i="1" s="1"/>
  <c r="D89" i="1"/>
  <c r="AD88" i="1"/>
  <c r="AB88" i="1"/>
  <c r="Z88" i="1"/>
  <c r="X88" i="1"/>
  <c r="K88" i="1"/>
  <c r="N88" i="1" s="1"/>
  <c r="D88" i="1"/>
  <c r="AD87" i="1"/>
  <c r="AB87" i="1"/>
  <c r="Z87" i="1"/>
  <c r="X87" i="1"/>
  <c r="K87" i="1"/>
  <c r="N87" i="1" s="1"/>
  <c r="D87" i="1"/>
  <c r="AD86" i="1"/>
  <c r="AB86" i="1"/>
  <c r="Z86" i="1"/>
  <c r="X86" i="1"/>
  <c r="K86" i="1"/>
  <c r="N86" i="1" s="1"/>
  <c r="D86" i="1"/>
  <c r="AD85" i="1"/>
  <c r="AB85" i="1"/>
  <c r="Z85" i="1"/>
  <c r="X85" i="1"/>
  <c r="K85" i="1"/>
  <c r="N85" i="1" s="1"/>
  <c r="D85" i="1"/>
  <c r="AD84" i="1"/>
  <c r="AB84" i="1"/>
  <c r="Z84" i="1"/>
  <c r="X84" i="1"/>
  <c r="K84" i="1"/>
  <c r="N84" i="1" s="1"/>
  <c r="D84" i="1"/>
  <c r="AD83" i="1"/>
  <c r="AB83" i="1"/>
  <c r="Z83" i="1"/>
  <c r="X83" i="1"/>
  <c r="K83" i="1"/>
  <c r="N83" i="1" s="1"/>
  <c r="D83" i="1"/>
  <c r="AD82" i="1"/>
  <c r="AB82" i="1"/>
  <c r="Z82" i="1"/>
  <c r="X82" i="1"/>
  <c r="K82" i="1"/>
  <c r="N82" i="1" s="1"/>
  <c r="D82" i="1"/>
  <c r="AD81" i="1"/>
  <c r="AB81" i="1"/>
  <c r="Z81" i="1"/>
  <c r="X81" i="1"/>
  <c r="K81" i="1"/>
  <c r="N81" i="1" s="1"/>
  <c r="D81" i="1"/>
  <c r="AD80" i="1"/>
  <c r="AB80" i="1"/>
  <c r="Z80" i="1"/>
  <c r="X80" i="1"/>
  <c r="K80" i="1"/>
  <c r="N80" i="1" s="1"/>
  <c r="D80" i="1"/>
  <c r="AD79" i="1"/>
  <c r="AB79" i="1"/>
  <c r="Z79" i="1"/>
  <c r="X79" i="1"/>
  <c r="K79" i="1"/>
  <c r="N79" i="1" s="1"/>
  <c r="D79" i="1"/>
  <c r="AD78" i="1"/>
  <c r="AB78" i="1"/>
  <c r="Z78" i="1"/>
  <c r="X78" i="1"/>
  <c r="K78" i="1"/>
  <c r="N78" i="1" s="1"/>
  <c r="D78" i="1"/>
  <c r="AD77" i="1"/>
  <c r="AB77" i="1"/>
  <c r="Z77" i="1"/>
  <c r="X77" i="1"/>
  <c r="K77" i="1"/>
  <c r="N77" i="1" s="1"/>
  <c r="D77" i="1"/>
  <c r="AD76" i="1"/>
  <c r="AB76" i="1"/>
  <c r="Z76" i="1"/>
  <c r="X76" i="1"/>
  <c r="K76" i="1"/>
  <c r="N76" i="1" s="1"/>
  <c r="D76" i="1"/>
  <c r="AD75" i="1"/>
  <c r="AB75" i="1"/>
  <c r="Z75" i="1"/>
  <c r="X75" i="1"/>
  <c r="K75" i="1"/>
  <c r="N75" i="1" s="1"/>
  <c r="D75" i="1"/>
  <c r="AD73" i="1"/>
  <c r="AB73" i="1"/>
  <c r="Z73" i="1"/>
  <c r="X73" i="1"/>
  <c r="K73" i="1"/>
  <c r="N73" i="1" s="1"/>
  <c r="D73" i="1"/>
  <c r="A73" i="1"/>
  <c r="AD72" i="1"/>
  <c r="AB72" i="1"/>
  <c r="Z72" i="1"/>
  <c r="X72" i="1"/>
  <c r="K72" i="1"/>
  <c r="N72" i="1" s="1"/>
  <c r="D72" i="1"/>
  <c r="AD71" i="1"/>
  <c r="AB71" i="1"/>
  <c r="Z71" i="1"/>
  <c r="X71" i="1"/>
  <c r="K71" i="1"/>
  <c r="N71" i="1" s="1"/>
  <c r="D71" i="1"/>
  <c r="AD64" i="1"/>
  <c r="AB64" i="1"/>
  <c r="Z64" i="1"/>
  <c r="X64" i="1"/>
  <c r="K64" i="1"/>
  <c r="N64" i="1" s="1"/>
  <c r="D64" i="1"/>
  <c r="AD70" i="1"/>
  <c r="AB70" i="1"/>
  <c r="Z70" i="1"/>
  <c r="X70" i="1"/>
  <c r="K70" i="1"/>
  <c r="N70" i="1" s="1"/>
  <c r="D70" i="1"/>
  <c r="AD69" i="1"/>
  <c r="AB69" i="1"/>
  <c r="Z69" i="1"/>
  <c r="X69" i="1"/>
  <c r="K69" i="1"/>
  <c r="N69" i="1" s="1"/>
  <c r="D69" i="1"/>
  <c r="AD68" i="1"/>
  <c r="AB68" i="1"/>
  <c r="Z68" i="1"/>
  <c r="X68" i="1"/>
  <c r="K68" i="1"/>
  <c r="N68" i="1" s="1"/>
  <c r="D68" i="1"/>
  <c r="AD67" i="1"/>
  <c r="AB67" i="1"/>
  <c r="Z67" i="1"/>
  <c r="X67" i="1"/>
  <c r="K67" i="1"/>
  <c r="N67" i="1" s="1"/>
  <c r="D67" i="1"/>
  <c r="AD66" i="1"/>
  <c r="AB66" i="1"/>
  <c r="Z66" i="1"/>
  <c r="X66" i="1"/>
  <c r="K66" i="1"/>
  <c r="N66" i="1" s="1"/>
  <c r="D66" i="1"/>
  <c r="AD65" i="1"/>
  <c r="AB65" i="1"/>
  <c r="Z65" i="1"/>
  <c r="X65" i="1"/>
  <c r="K65" i="1"/>
  <c r="N65" i="1" s="1"/>
  <c r="D65" i="1"/>
  <c r="AD63" i="1"/>
  <c r="AB63" i="1"/>
  <c r="Z63" i="1"/>
  <c r="X63" i="1"/>
  <c r="K63" i="1"/>
  <c r="N63" i="1" s="1"/>
  <c r="D63" i="1"/>
  <c r="A63" i="1"/>
  <c r="AD62" i="1"/>
  <c r="AB62" i="1"/>
  <c r="Z62" i="1"/>
  <c r="X62" i="1"/>
  <c r="K62" i="1"/>
  <c r="N62" i="1" s="1"/>
  <c r="D62" i="1"/>
  <c r="AD61" i="1"/>
  <c r="AB61" i="1"/>
  <c r="Z61" i="1"/>
  <c r="X61" i="1"/>
  <c r="K61" i="1"/>
  <c r="N61" i="1" s="1"/>
  <c r="D61" i="1"/>
  <c r="AD74" i="1"/>
  <c r="AB74" i="1"/>
  <c r="Z74" i="1"/>
  <c r="X74" i="1"/>
  <c r="K74" i="1"/>
  <c r="N74" i="1" s="1"/>
  <c r="D74" i="1"/>
  <c r="AD60" i="1"/>
  <c r="AB60" i="1"/>
  <c r="Z60" i="1"/>
  <c r="X60" i="1"/>
  <c r="K60" i="1"/>
  <c r="N60" i="1" s="1"/>
  <c r="D60" i="1"/>
  <c r="AD59" i="1"/>
  <c r="AB59" i="1"/>
  <c r="Z59" i="1"/>
  <c r="X59" i="1"/>
  <c r="K59" i="1"/>
  <c r="N59" i="1" s="1"/>
  <c r="D59" i="1"/>
  <c r="AD58" i="1"/>
  <c r="AB58" i="1"/>
  <c r="Z58" i="1"/>
  <c r="X58" i="1"/>
  <c r="K58" i="1"/>
  <c r="N58" i="1" s="1"/>
  <c r="D58" i="1"/>
  <c r="AD57" i="1"/>
  <c r="AB57" i="1"/>
  <c r="Z57" i="1"/>
  <c r="X57" i="1"/>
  <c r="K57" i="1"/>
  <c r="N57" i="1" s="1"/>
  <c r="D57" i="1"/>
  <c r="AD56" i="1"/>
  <c r="AB56" i="1"/>
  <c r="Z56" i="1"/>
  <c r="X56" i="1"/>
  <c r="K56" i="1"/>
  <c r="N56" i="1" s="1"/>
  <c r="D56" i="1"/>
  <c r="AD55" i="1"/>
  <c r="AB55" i="1"/>
  <c r="Z55" i="1"/>
  <c r="X55" i="1"/>
  <c r="K55" i="1"/>
  <c r="N55" i="1" s="1"/>
  <c r="D55" i="1"/>
  <c r="AD54" i="1"/>
  <c r="AB54" i="1"/>
  <c r="Z54" i="1"/>
  <c r="X54" i="1"/>
  <c r="K54" i="1"/>
  <c r="N54" i="1" s="1"/>
  <c r="D54" i="1"/>
  <c r="AD53" i="1"/>
  <c r="AB53" i="1"/>
  <c r="Z53" i="1"/>
  <c r="X53" i="1"/>
  <c r="K53" i="1"/>
  <c r="N53" i="1" s="1"/>
  <c r="D53" i="1"/>
  <c r="AD52" i="1"/>
  <c r="AB52" i="1"/>
  <c r="Z52" i="1"/>
  <c r="X52" i="1"/>
  <c r="K52" i="1"/>
  <c r="N52" i="1" s="1"/>
  <c r="D52" i="1"/>
  <c r="AD51" i="1"/>
  <c r="AB51" i="1"/>
  <c r="Z51" i="1"/>
  <c r="X51" i="1"/>
  <c r="K51" i="1"/>
  <c r="N51" i="1" s="1"/>
  <c r="D51" i="1"/>
  <c r="AD50" i="1"/>
  <c r="AB50" i="1"/>
  <c r="Z50" i="1"/>
  <c r="X50" i="1"/>
  <c r="K50" i="1"/>
  <c r="N50" i="1" s="1"/>
  <c r="D50" i="1"/>
  <c r="AD49" i="1"/>
  <c r="AB49" i="1"/>
  <c r="Z49" i="1"/>
  <c r="X49" i="1"/>
  <c r="K49" i="1"/>
  <c r="N49" i="1" s="1"/>
  <c r="D49" i="1"/>
  <c r="AD48" i="1"/>
  <c r="AB48" i="1"/>
  <c r="Z48" i="1"/>
  <c r="X48" i="1"/>
  <c r="K48" i="1"/>
  <c r="N48" i="1" s="1"/>
  <c r="D48" i="1"/>
  <c r="AD47" i="1"/>
  <c r="AB47" i="1"/>
  <c r="Z47" i="1"/>
  <c r="X47" i="1"/>
  <c r="K47" i="1"/>
  <c r="N47" i="1" s="1"/>
  <c r="D47" i="1"/>
  <c r="AD46" i="1"/>
  <c r="AB46" i="1"/>
  <c r="Z46" i="1"/>
  <c r="X46" i="1"/>
  <c r="K46" i="1"/>
  <c r="N46" i="1" s="1"/>
  <c r="D46" i="1"/>
  <c r="AD45" i="1"/>
  <c r="AB45" i="1"/>
  <c r="Z45" i="1"/>
  <c r="X45" i="1"/>
  <c r="K45" i="1"/>
  <c r="N45" i="1" s="1"/>
  <c r="D45" i="1"/>
  <c r="AD44" i="1"/>
  <c r="AB44" i="1"/>
  <c r="Z44" i="1"/>
  <c r="X44" i="1"/>
  <c r="K44" i="1"/>
  <c r="N44" i="1" s="1"/>
  <c r="D44" i="1"/>
  <c r="AD43" i="1"/>
  <c r="AB43" i="1"/>
  <c r="Z43" i="1"/>
  <c r="X43" i="1"/>
  <c r="K43" i="1"/>
  <c r="N43" i="1" s="1"/>
  <c r="D43" i="1"/>
  <c r="AD42" i="1"/>
  <c r="AB42" i="1"/>
  <c r="Z42" i="1"/>
  <c r="X42" i="1"/>
  <c r="K42" i="1"/>
  <c r="N42" i="1" s="1"/>
  <c r="D42" i="1"/>
  <c r="AD41" i="1"/>
  <c r="AB41" i="1"/>
  <c r="Z41" i="1"/>
  <c r="X41" i="1"/>
  <c r="K41" i="1"/>
  <c r="N41" i="1" s="1"/>
  <c r="D41" i="1"/>
  <c r="AD40" i="1"/>
  <c r="AB40" i="1"/>
  <c r="Z40" i="1"/>
  <c r="X40" i="1"/>
  <c r="K40" i="1"/>
  <c r="N40" i="1" s="1"/>
  <c r="D40" i="1"/>
  <c r="AD39" i="1"/>
  <c r="AB39" i="1"/>
  <c r="Z39" i="1"/>
  <c r="X39" i="1"/>
  <c r="K39" i="1"/>
  <c r="N39" i="1" s="1"/>
  <c r="D39" i="1"/>
  <c r="AD20" i="1"/>
  <c r="AB20" i="1"/>
  <c r="Z20" i="1"/>
  <c r="X20" i="1"/>
  <c r="K20" i="1"/>
  <c r="N20" i="1" s="1"/>
  <c r="D20" i="1"/>
  <c r="AD38" i="1"/>
  <c r="AB38" i="1"/>
  <c r="Z38" i="1"/>
  <c r="X38" i="1"/>
  <c r="K38" i="1"/>
  <c r="N38" i="1" s="1"/>
  <c r="D38" i="1"/>
  <c r="AD37" i="1"/>
  <c r="AB37" i="1"/>
  <c r="Z37" i="1"/>
  <c r="X37" i="1"/>
  <c r="K37" i="1"/>
  <c r="N37" i="1" s="1"/>
  <c r="D37" i="1"/>
  <c r="AD36" i="1"/>
  <c r="AB36" i="1"/>
  <c r="Z36" i="1"/>
  <c r="X36" i="1"/>
  <c r="K36" i="1"/>
  <c r="N36" i="1" s="1"/>
  <c r="D36" i="1"/>
  <c r="AD35" i="1"/>
  <c r="AB35" i="1"/>
  <c r="Z35" i="1"/>
  <c r="X35" i="1"/>
  <c r="K35" i="1"/>
  <c r="N35" i="1" s="1"/>
  <c r="D35" i="1"/>
  <c r="AD34" i="1"/>
  <c r="AB34" i="1"/>
  <c r="Z34" i="1"/>
  <c r="X34" i="1"/>
  <c r="K34" i="1"/>
  <c r="N34" i="1" s="1"/>
  <c r="D34" i="1"/>
  <c r="AD33" i="1"/>
  <c r="AB33" i="1"/>
  <c r="Z33" i="1"/>
  <c r="X33" i="1"/>
  <c r="K33" i="1"/>
  <c r="N33" i="1" s="1"/>
  <c r="D33" i="1"/>
  <c r="AD32" i="1"/>
  <c r="AB32" i="1"/>
  <c r="Z32" i="1"/>
  <c r="X32" i="1"/>
  <c r="K32" i="1"/>
  <c r="N32" i="1" s="1"/>
  <c r="D32" i="1"/>
  <c r="AD6" i="1"/>
  <c r="AB6" i="1"/>
  <c r="Z6" i="1"/>
  <c r="X6" i="1"/>
  <c r="K6" i="1"/>
  <c r="N6" i="1" s="1"/>
  <c r="D6" i="1"/>
  <c r="AD31" i="1"/>
  <c r="AB31" i="1"/>
  <c r="Z31" i="1"/>
  <c r="X31" i="1"/>
  <c r="K31" i="1"/>
  <c r="N31" i="1" s="1"/>
  <c r="D31" i="1"/>
  <c r="AD30" i="1"/>
  <c r="AB30" i="1"/>
  <c r="Z30" i="1"/>
  <c r="X30" i="1"/>
  <c r="K30" i="1"/>
  <c r="N30" i="1" s="1"/>
  <c r="D30" i="1"/>
  <c r="AD29" i="1"/>
  <c r="AB29" i="1"/>
  <c r="Z29" i="1"/>
  <c r="X29" i="1"/>
  <c r="K29" i="1"/>
  <c r="N29" i="1" s="1"/>
  <c r="D29" i="1"/>
  <c r="AD28" i="1"/>
  <c r="AB28" i="1"/>
  <c r="Z28" i="1"/>
  <c r="X28" i="1"/>
  <c r="K28" i="1"/>
  <c r="N28" i="1" s="1"/>
  <c r="D28" i="1"/>
  <c r="AD27" i="1"/>
  <c r="AB27" i="1"/>
  <c r="Z27" i="1"/>
  <c r="X27" i="1"/>
  <c r="K27" i="1"/>
  <c r="N27" i="1" s="1"/>
  <c r="D27" i="1"/>
  <c r="AD26" i="1"/>
  <c r="AB26" i="1"/>
  <c r="Z26" i="1"/>
  <c r="X26" i="1"/>
  <c r="K26" i="1"/>
  <c r="N26" i="1" s="1"/>
  <c r="D26" i="1"/>
  <c r="AD25" i="1"/>
  <c r="AB25" i="1"/>
  <c r="Z25" i="1"/>
  <c r="X25" i="1"/>
  <c r="K25" i="1"/>
  <c r="N25" i="1" s="1"/>
  <c r="D25" i="1"/>
  <c r="AD17" i="1"/>
  <c r="AB17" i="1"/>
  <c r="Z17" i="1"/>
  <c r="X17" i="1"/>
  <c r="K17" i="1"/>
  <c r="N17" i="1" s="1"/>
  <c r="D17" i="1"/>
  <c r="AD24" i="1"/>
  <c r="AB24" i="1"/>
  <c r="Z24" i="1"/>
  <c r="X24" i="1"/>
  <c r="K24" i="1"/>
  <c r="N24" i="1" s="1"/>
  <c r="D24" i="1"/>
  <c r="AD23" i="1"/>
  <c r="AB23" i="1"/>
  <c r="Z23" i="1"/>
  <c r="X23" i="1"/>
  <c r="K23" i="1"/>
  <c r="N23" i="1" s="1"/>
  <c r="D23" i="1"/>
  <c r="AD22" i="1"/>
  <c r="AB22" i="1"/>
  <c r="Z22" i="1"/>
  <c r="X22" i="1"/>
  <c r="K22" i="1"/>
  <c r="N22" i="1" s="1"/>
  <c r="D22" i="1"/>
  <c r="AD21" i="1"/>
  <c r="AB21" i="1"/>
  <c r="Z21" i="1"/>
  <c r="X21" i="1"/>
  <c r="K21" i="1"/>
  <c r="N21" i="1" s="1"/>
  <c r="D21" i="1"/>
  <c r="AD19" i="1"/>
  <c r="AB19" i="1"/>
  <c r="Z19" i="1"/>
  <c r="X19" i="1"/>
  <c r="K19" i="1"/>
  <c r="N19" i="1" s="1"/>
  <c r="D19" i="1"/>
  <c r="AD18" i="1"/>
  <c r="AB18" i="1"/>
  <c r="Z18" i="1"/>
  <c r="X18" i="1"/>
  <c r="K18" i="1"/>
  <c r="N18" i="1" s="1"/>
  <c r="D18" i="1"/>
  <c r="AD12" i="1"/>
  <c r="AB12" i="1"/>
  <c r="Z12" i="1"/>
  <c r="X12" i="1"/>
  <c r="K12" i="1"/>
  <c r="N12" i="1" s="1"/>
  <c r="D12" i="1"/>
  <c r="AD3" i="1"/>
  <c r="AB3" i="1"/>
  <c r="Z3" i="1"/>
  <c r="X3" i="1"/>
  <c r="K3" i="1"/>
  <c r="N3" i="1" s="1"/>
  <c r="D3" i="1"/>
  <c r="AD11" i="1"/>
  <c r="AB11" i="1"/>
  <c r="Z11" i="1"/>
  <c r="X11" i="1"/>
  <c r="K11" i="1"/>
  <c r="N11" i="1" s="1"/>
  <c r="D11" i="1"/>
  <c r="AD10" i="1"/>
  <c r="AB10" i="1"/>
  <c r="Z10" i="1"/>
  <c r="X10" i="1"/>
  <c r="K10" i="1"/>
  <c r="N10" i="1" s="1"/>
  <c r="D10" i="1"/>
  <c r="AD9" i="1"/>
  <c r="AB9" i="1"/>
  <c r="Z9" i="1"/>
  <c r="X9" i="1"/>
  <c r="K9" i="1"/>
  <c r="N9" i="1" s="1"/>
  <c r="D9" i="1"/>
  <c r="AD8" i="1"/>
  <c r="AB8" i="1"/>
  <c r="Z8" i="1"/>
  <c r="X8" i="1"/>
  <c r="K8" i="1"/>
  <c r="N8" i="1" s="1"/>
  <c r="D8" i="1"/>
  <c r="AD7" i="1"/>
  <c r="AB7" i="1"/>
  <c r="Z7" i="1"/>
  <c r="X7" i="1"/>
  <c r="K7" i="1"/>
  <c r="N7" i="1" s="1"/>
  <c r="D7" i="1"/>
  <c r="AD5" i="1"/>
  <c r="AB5" i="1"/>
  <c r="Z5" i="1"/>
  <c r="X5" i="1"/>
  <c r="K5" i="1"/>
  <c r="N5" i="1" s="1"/>
  <c r="D5" i="1"/>
  <c r="AD4" i="1"/>
  <c r="AB4" i="1"/>
  <c r="Z4" i="1"/>
  <c r="X4" i="1"/>
  <c r="K4" i="1"/>
  <c r="N4" i="1" s="1"/>
  <c r="D4" i="1"/>
  <c r="AD2" i="1"/>
  <c r="AB2" i="1"/>
  <c r="Z2" i="1"/>
  <c r="X2" i="1"/>
  <c r="K2" i="1"/>
  <c r="N2" i="1" s="1"/>
  <c r="D2" i="1"/>
  <c r="A968" i="1" l="1"/>
  <c r="A1001" i="1"/>
  <c r="A980" i="1"/>
  <c r="A990" i="1"/>
  <c r="H1199" i="1" l="1"/>
  <c r="H1204" i="1" l="1"/>
  <c r="H1196" i="1"/>
  <c r="H1185" i="1"/>
  <c r="H1194" i="1"/>
  <c r="H1179" i="1"/>
  <c r="H1197" i="1"/>
  <c r="H1186" i="1"/>
  <c r="H1195" i="1"/>
  <c r="H1192" i="1"/>
  <c r="H1191" i="1"/>
  <c r="H1180" i="1"/>
  <c r="H1206" i="1"/>
  <c r="H1184" i="1"/>
  <c r="H1201" i="1"/>
  <c r="H1181" i="1"/>
  <c r="C156" i="1"/>
  <c r="B156" i="1" s="1"/>
  <c r="A156" i="1" s="1"/>
  <c r="C1065" i="1"/>
  <c r="B1065" i="1" s="1"/>
  <c r="A1065" i="1" s="1"/>
  <c r="S584" i="1"/>
  <c r="V584" i="1" s="1"/>
  <c r="AH584" i="1" s="1"/>
  <c r="C973" i="1"/>
  <c r="B973" i="1" s="1"/>
  <c r="A973" i="1" s="1"/>
  <c r="C100" i="1"/>
  <c r="B100" i="1" s="1"/>
  <c r="A100" i="1" s="1"/>
  <c r="S1122" i="1"/>
  <c r="V1122" i="1" s="1"/>
  <c r="AH1122" i="1" s="1"/>
  <c r="C891" i="1"/>
  <c r="B891" i="1" s="1"/>
  <c r="A891" i="1" s="1"/>
  <c r="C642" i="1"/>
  <c r="B642" i="1" s="1"/>
  <c r="A642" i="1" s="1"/>
  <c r="S424" i="1"/>
  <c r="V424" i="1" s="1"/>
  <c r="AH424" i="1" s="1"/>
  <c r="S50" i="1"/>
  <c r="V50" i="1" s="1"/>
  <c r="AH50" i="1" s="1"/>
  <c r="C204" i="1"/>
  <c r="B204" i="1" s="1"/>
  <c r="A204" i="1" s="1"/>
  <c r="S692" i="1"/>
  <c r="V692" i="1" s="1"/>
  <c r="AH692" i="1" s="1"/>
  <c r="S507" i="1"/>
  <c r="V507" i="1" s="1"/>
  <c r="AH507" i="1" s="1"/>
  <c r="S361" i="1"/>
  <c r="V361" i="1" s="1"/>
  <c r="AH361" i="1" s="1"/>
  <c r="S328" i="1"/>
  <c r="V328" i="1" s="1"/>
  <c r="AH328" i="1" s="1"/>
  <c r="C720" i="1"/>
  <c r="B720" i="1" s="1"/>
  <c r="A720" i="1" s="1"/>
  <c r="S1106" i="1"/>
  <c r="V1106" i="1" s="1"/>
  <c r="AH1106" i="1" s="1"/>
  <c r="S1096" i="1"/>
  <c r="V1096" i="1" s="1"/>
  <c r="AH1096" i="1" s="1"/>
  <c r="C873" i="1"/>
  <c r="B873" i="1" s="1"/>
  <c r="A873" i="1" s="1"/>
  <c r="C433" i="1"/>
  <c r="B433" i="1" s="1"/>
  <c r="A433" i="1" s="1"/>
  <c r="C763" i="1"/>
  <c r="B763" i="1" s="1"/>
  <c r="A763" i="1" s="1"/>
  <c r="S851" i="1"/>
  <c r="V851" i="1" s="1"/>
  <c r="AH851" i="1" s="1"/>
  <c r="C858" i="1"/>
  <c r="B858" i="1" s="1"/>
  <c r="A858" i="1" s="1"/>
  <c r="C820" i="1"/>
  <c r="B820" i="1" s="1"/>
  <c r="A820" i="1" s="1"/>
  <c r="C783" i="1"/>
  <c r="B783" i="1" s="1"/>
  <c r="A783" i="1" s="1"/>
  <c r="C1133" i="1"/>
  <c r="B1133" i="1" s="1"/>
  <c r="A1133" i="1" s="1"/>
  <c r="C377" i="1"/>
  <c r="B377" i="1" s="1"/>
  <c r="A377" i="1" s="1"/>
  <c r="S843" i="1"/>
  <c r="V843" i="1" s="1"/>
  <c r="AH843" i="1" s="1"/>
  <c r="C1172" i="1"/>
  <c r="B1172" i="1" s="1"/>
  <c r="A1172" i="1" s="1"/>
  <c r="S704" i="1"/>
  <c r="V704" i="1" s="1"/>
  <c r="AH704" i="1" s="1"/>
  <c r="S883" i="1"/>
  <c r="V883" i="1" s="1"/>
  <c r="AH883" i="1" s="1"/>
  <c r="C1145" i="1"/>
  <c r="B1145" i="1" s="1"/>
  <c r="A1145" i="1" s="1"/>
  <c r="S1019" i="1"/>
  <c r="V1019" i="1" s="1"/>
  <c r="AH1019" i="1" s="1"/>
  <c r="C623" i="1"/>
  <c r="B623" i="1" s="1"/>
  <c r="A623" i="1" s="1"/>
  <c r="C1202" i="1"/>
  <c r="B1202" i="1" s="1"/>
  <c r="A1202" i="1" s="1"/>
  <c r="C514" i="1"/>
  <c r="B514" i="1" s="1"/>
  <c r="A514" i="1" s="1"/>
  <c r="S941" i="1"/>
  <c r="V941" i="1" s="1"/>
  <c r="AH941" i="1" s="1"/>
  <c r="C12" i="1"/>
  <c r="B12" i="1" s="1"/>
  <c r="A12" i="1" s="1"/>
  <c r="S970" i="1"/>
  <c r="V970" i="1" s="1"/>
  <c r="AH970" i="1" s="1"/>
  <c r="C1077" i="1"/>
  <c r="B1077" i="1" s="1"/>
  <c r="A1077" i="1" s="1"/>
  <c r="S93" i="1"/>
  <c r="V93" i="1" s="1"/>
  <c r="AH93" i="1" s="1"/>
  <c r="S431" i="1"/>
  <c r="V431" i="1" s="1"/>
  <c r="AH431" i="1" s="1"/>
  <c r="C1153" i="1"/>
  <c r="B1153" i="1" s="1"/>
  <c r="A1153" i="1" s="1"/>
  <c r="C578" i="1"/>
  <c r="B578" i="1" s="1"/>
  <c r="A578" i="1" s="1"/>
  <c r="C851" i="1"/>
  <c r="B851" i="1" s="1"/>
  <c r="A851" i="1" s="1"/>
  <c r="C398" i="1"/>
  <c r="B398" i="1" s="1"/>
  <c r="A398" i="1" s="1"/>
  <c r="S521" i="1"/>
  <c r="V521" i="1" s="1"/>
  <c r="AH521" i="1" s="1"/>
  <c r="C502" i="1"/>
  <c r="B502" i="1" s="1"/>
  <c r="A502" i="1" s="1"/>
  <c r="S951" i="1"/>
  <c r="V951" i="1" s="1"/>
  <c r="AH951" i="1" s="1"/>
  <c r="S748" i="1"/>
  <c r="V748" i="1" s="1"/>
  <c r="AH748" i="1" s="1"/>
  <c r="C709" i="1"/>
  <c r="B709" i="1" s="1"/>
  <c r="A709" i="1" s="1"/>
  <c r="C949" i="1"/>
  <c r="B949" i="1" s="1"/>
  <c r="A949" i="1" s="1"/>
  <c r="C441" i="1"/>
  <c r="B441" i="1" s="1"/>
  <c r="A441" i="1" s="1"/>
  <c r="S1111" i="1"/>
  <c r="V1111" i="1" s="1"/>
  <c r="AH1111" i="1" s="1"/>
  <c r="C438" i="1"/>
  <c r="B438" i="1" s="1"/>
  <c r="A438" i="1" s="1"/>
  <c r="S287" i="1"/>
  <c r="V287" i="1" s="1"/>
  <c r="AH287" i="1" s="1"/>
  <c r="C758" i="1"/>
  <c r="B758" i="1" s="1"/>
  <c r="A758" i="1" s="1"/>
  <c r="C505" i="1"/>
  <c r="B505" i="1" s="1"/>
  <c r="A505" i="1" s="1"/>
  <c r="S865" i="1"/>
  <c r="V865" i="1" s="1"/>
  <c r="AH865" i="1" s="1"/>
  <c r="C1104" i="1"/>
  <c r="B1104" i="1" s="1"/>
  <c r="A1104" i="1" s="1"/>
  <c r="P1210" i="1"/>
  <c r="C645" i="1"/>
  <c r="B645" i="1" s="1"/>
  <c r="A645" i="1" s="1"/>
  <c r="S957" i="1"/>
  <c r="V957" i="1" s="1"/>
  <c r="AH957" i="1" s="1"/>
  <c r="C405" i="1"/>
  <c r="B405" i="1" s="1"/>
  <c r="A405" i="1" s="1"/>
  <c r="C22" i="1"/>
  <c r="B22" i="1" s="1"/>
  <c r="A22" i="1" s="1"/>
  <c r="C117" i="1"/>
  <c r="B117" i="1" s="1"/>
  <c r="A117" i="1" s="1"/>
  <c r="C688" i="1"/>
  <c r="B688" i="1" s="1"/>
  <c r="A688" i="1" s="1"/>
  <c r="S337" i="1"/>
  <c r="V337" i="1" s="1"/>
  <c r="AH337" i="1" s="1"/>
  <c r="S1072" i="1"/>
  <c r="V1072" i="1" s="1"/>
  <c r="AH1072" i="1" s="1"/>
  <c r="P1191" i="1"/>
  <c r="C521" i="1"/>
  <c r="B521" i="1" s="1"/>
  <c r="A521" i="1" s="1"/>
  <c r="C443" i="1"/>
  <c r="B443" i="1" s="1"/>
  <c r="A443" i="1" s="1"/>
  <c r="S933" i="1"/>
  <c r="V933" i="1" s="1"/>
  <c r="AH933" i="1" s="1"/>
  <c r="S286" i="1"/>
  <c r="V286" i="1" s="1"/>
  <c r="AH286" i="1" s="1"/>
  <c r="S691" i="1"/>
  <c r="V691" i="1" s="1"/>
  <c r="AH691" i="1" s="1"/>
  <c r="C953" i="1"/>
  <c r="B953" i="1" s="1"/>
  <c r="A953" i="1" s="1"/>
  <c r="S470" i="1"/>
  <c r="V470" i="1" s="1"/>
  <c r="AH470" i="1" s="1"/>
  <c r="S495" i="1"/>
  <c r="V495" i="1" s="1"/>
  <c r="AH495" i="1" s="1"/>
  <c r="S1028" i="1"/>
  <c r="V1028" i="1" s="1"/>
  <c r="AH1028" i="1" s="1"/>
  <c r="S929" i="1"/>
  <c r="V929" i="1" s="1"/>
  <c r="AH929" i="1" s="1"/>
  <c r="S784" i="1"/>
  <c r="V784" i="1" s="1"/>
  <c r="AH784" i="1" s="1"/>
  <c r="S118" i="1"/>
  <c r="V118" i="1" s="1"/>
  <c r="AH118" i="1" s="1"/>
  <c r="S305" i="1"/>
  <c r="V305" i="1" s="1"/>
  <c r="AH305" i="1" s="1"/>
  <c r="S1113" i="1"/>
  <c r="V1113" i="1" s="1"/>
  <c r="AH1113" i="1" s="1"/>
  <c r="C861" i="1"/>
  <c r="B861" i="1" s="1"/>
  <c r="A861" i="1" s="1"/>
  <c r="C121" i="1"/>
  <c r="B121" i="1" s="1"/>
  <c r="A121" i="1" s="1"/>
  <c r="C911" i="1"/>
  <c r="B911" i="1" s="1"/>
  <c r="A911" i="1" s="1"/>
  <c r="C689" i="1"/>
  <c r="B689" i="1" s="1"/>
  <c r="A689" i="1" s="1"/>
  <c r="S44" i="1"/>
  <c r="V44" i="1" s="1"/>
  <c r="AH44" i="1" s="1"/>
  <c r="S456" i="1"/>
  <c r="V456" i="1" s="1"/>
  <c r="AH456" i="1" s="1"/>
  <c r="P1206" i="1"/>
  <c r="C856" i="1"/>
  <c r="B856" i="1" s="1"/>
  <c r="A856" i="1" s="1"/>
  <c r="C957" i="1"/>
  <c r="B957" i="1" s="1"/>
  <c r="A957" i="1" s="1"/>
  <c r="S380" i="1"/>
  <c r="V380" i="1" s="1"/>
  <c r="AH380" i="1" s="1"/>
  <c r="C1131" i="1"/>
  <c r="B1131" i="1" s="1"/>
  <c r="A1131" i="1" s="1"/>
  <c r="S1041" i="1"/>
  <c r="V1041" i="1" s="1"/>
  <c r="AH1041" i="1" s="1"/>
  <c r="C1125" i="1"/>
  <c r="B1125" i="1" s="1"/>
  <c r="A1125" i="1" s="1"/>
  <c r="C697" i="1"/>
  <c r="B697" i="1" s="1"/>
  <c r="A697" i="1" s="1"/>
  <c r="S1042" i="1"/>
  <c r="V1042" i="1" s="1"/>
  <c r="AH1042" i="1" s="1"/>
  <c r="C495" i="1"/>
  <c r="B495" i="1" s="1"/>
  <c r="A495" i="1" s="1"/>
  <c r="C896" i="1"/>
  <c r="B896" i="1" s="1"/>
  <c r="A896" i="1" s="1"/>
  <c r="C439" i="1"/>
  <c r="B439" i="1" s="1"/>
  <c r="A439" i="1" s="1"/>
  <c r="C179" i="1"/>
  <c r="B179" i="1" s="1"/>
  <c r="A179" i="1" s="1"/>
  <c r="C1187" i="1"/>
  <c r="B1187" i="1" s="1"/>
  <c r="A1187" i="1" s="1"/>
  <c r="S729" i="1"/>
  <c r="V729" i="1" s="1"/>
  <c r="AH729" i="1" s="1"/>
  <c r="C583" i="1"/>
  <c r="B583" i="1" s="1"/>
  <c r="A583" i="1" s="1"/>
  <c r="S581" i="1"/>
  <c r="V581" i="1" s="1"/>
  <c r="AH581" i="1" s="1"/>
  <c r="S827" i="1"/>
  <c r="V827" i="1" s="1"/>
  <c r="AH827" i="1" s="1"/>
  <c r="C401" i="1"/>
  <c r="B401" i="1" s="1"/>
  <c r="A401" i="1" s="1"/>
  <c r="S1032" i="1"/>
  <c r="V1032" i="1" s="1"/>
  <c r="AH1032" i="1" s="1"/>
  <c r="S233" i="1"/>
  <c r="V233" i="1" s="1"/>
  <c r="AH233" i="1" s="1"/>
  <c r="C967" i="1"/>
  <c r="B967" i="1" s="1"/>
  <c r="A967" i="1" s="1"/>
  <c r="C267" i="1"/>
  <c r="B267" i="1" s="1"/>
  <c r="A267" i="1" s="1"/>
  <c r="S416" i="1"/>
  <c r="V416" i="1" s="1"/>
  <c r="AH416" i="1" s="1"/>
  <c r="S508" i="1"/>
  <c r="V508" i="1" s="1"/>
  <c r="AH508" i="1" s="1"/>
  <c r="S985" i="1"/>
  <c r="V985" i="1" s="1"/>
  <c r="AH985" i="1" s="1"/>
  <c r="C52" i="1"/>
  <c r="B52" i="1" s="1"/>
  <c r="A52" i="1" s="1"/>
  <c r="S694" i="1"/>
  <c r="V694" i="1" s="1"/>
  <c r="AH694" i="1" s="1"/>
  <c r="C617" i="1"/>
  <c r="B617" i="1" s="1"/>
  <c r="A617" i="1" s="1"/>
  <c r="S536" i="1"/>
  <c r="V536" i="1" s="1"/>
  <c r="AH536" i="1" s="1"/>
  <c r="S614" i="1"/>
  <c r="V614" i="1" s="1"/>
  <c r="AH614" i="1" s="1"/>
  <c r="C865" i="1"/>
  <c r="B865" i="1" s="1"/>
  <c r="A865" i="1" s="1"/>
  <c r="C869" i="1"/>
  <c r="B869" i="1" s="1"/>
  <c r="A869" i="1" s="1"/>
  <c r="S900" i="1"/>
  <c r="V900" i="1" s="1"/>
  <c r="AH900" i="1" s="1"/>
  <c r="S248" i="1"/>
  <c r="V248" i="1" s="1"/>
  <c r="AH248" i="1" s="1"/>
  <c r="S437" i="1"/>
  <c r="V437" i="1" s="1"/>
  <c r="AH437" i="1" s="1"/>
  <c r="C1185" i="1"/>
  <c r="B1185" i="1" s="1"/>
  <c r="A1185" i="1" s="1"/>
  <c r="S359" i="1"/>
  <c r="V359" i="1" s="1"/>
  <c r="AH359" i="1" s="1"/>
  <c r="S875" i="1"/>
  <c r="V875" i="1" s="1"/>
  <c r="AH875" i="1" s="1"/>
  <c r="S596" i="1"/>
  <c r="V596" i="1" s="1"/>
  <c r="AH596" i="1" s="1"/>
  <c r="C933" i="1"/>
  <c r="B933" i="1" s="1"/>
  <c r="A933" i="1" s="1"/>
  <c r="C939" i="1"/>
  <c r="B939" i="1" s="1"/>
  <c r="A939" i="1" s="1"/>
  <c r="C667" i="1"/>
  <c r="B667" i="1" s="1"/>
  <c r="A667" i="1" s="1"/>
  <c r="S931" i="1"/>
  <c r="V931" i="1" s="1"/>
  <c r="AH931" i="1" s="1"/>
  <c r="C761" i="1"/>
  <c r="B761" i="1" s="1"/>
  <c r="A761" i="1" s="1"/>
  <c r="C648" i="1"/>
  <c r="B648" i="1" s="1"/>
  <c r="A648" i="1" s="1"/>
  <c r="C907" i="1"/>
  <c r="B907" i="1" s="1"/>
  <c r="A907" i="1" s="1"/>
  <c r="C633" i="1"/>
  <c r="B633" i="1" s="1"/>
  <c r="A633" i="1" s="1"/>
  <c r="S457" i="1"/>
  <c r="V457" i="1" s="1"/>
  <c r="AH457" i="1" s="1"/>
  <c r="P1197" i="1"/>
  <c r="C314" i="1"/>
  <c r="B314" i="1" s="1"/>
  <c r="A314" i="1" s="1"/>
  <c r="C611" i="1"/>
  <c r="B611" i="1" s="1"/>
  <c r="A611" i="1" s="1"/>
  <c r="S915" i="1"/>
  <c r="V915" i="1" s="1"/>
  <c r="AH915" i="1" s="1"/>
  <c r="C955" i="1"/>
  <c r="B955" i="1" s="1"/>
  <c r="A955" i="1" s="1"/>
  <c r="S1083" i="1"/>
  <c r="V1083" i="1" s="1"/>
  <c r="AH1083" i="1" s="1"/>
  <c r="C941" i="1"/>
  <c r="B941" i="1" s="1"/>
  <c r="A941" i="1" s="1"/>
  <c r="C1191" i="1"/>
  <c r="B1191" i="1" s="1"/>
  <c r="A1191" i="1" s="1"/>
  <c r="S1026" i="1"/>
  <c r="V1026" i="1" s="1"/>
  <c r="AH1026" i="1" s="1"/>
  <c r="C8" i="1"/>
  <c r="B8" i="1" s="1"/>
  <c r="A8" i="1" s="1"/>
  <c r="C712" i="1"/>
  <c r="B712" i="1" s="1"/>
  <c r="A712" i="1" s="1"/>
  <c r="C917" i="1"/>
  <c r="B917" i="1" s="1"/>
  <c r="A917" i="1" s="1"/>
  <c r="C80" i="1"/>
  <c r="B80" i="1" s="1"/>
  <c r="A80" i="1" s="1"/>
  <c r="C228" i="1"/>
  <c r="B228" i="1" s="1"/>
  <c r="A228" i="1" s="1"/>
  <c r="S1098" i="1"/>
  <c r="V1098" i="1" s="1"/>
  <c r="AH1098" i="1" s="1"/>
  <c r="S722" i="1"/>
  <c r="V722" i="1" s="1"/>
  <c r="AH722" i="1" s="1"/>
  <c r="S434" i="1"/>
  <c r="V434" i="1" s="1"/>
  <c r="AH434" i="1" s="1"/>
  <c r="S514" i="1"/>
  <c r="V514" i="1" s="1"/>
  <c r="AH514" i="1" s="1"/>
  <c r="C414" i="1"/>
  <c r="B414" i="1" s="1"/>
  <c r="A414" i="1" s="1"/>
  <c r="S102" i="1"/>
  <c r="V102" i="1" s="1"/>
  <c r="AH102" i="1" s="1"/>
  <c r="S367" i="1"/>
  <c r="V367" i="1" s="1"/>
  <c r="AH367" i="1" s="1"/>
  <c r="C863" i="1"/>
  <c r="B863" i="1" s="1"/>
  <c r="A863" i="1" s="1"/>
  <c r="C927" i="1"/>
  <c r="B927" i="1" s="1"/>
  <c r="A927" i="1" s="1"/>
  <c r="S986" i="1"/>
  <c r="V986" i="1" s="1"/>
  <c r="AH986" i="1" s="1"/>
  <c r="C382" i="1"/>
  <c r="B382" i="1" s="1"/>
  <c r="A382" i="1" s="1"/>
  <c r="C51" i="1"/>
  <c r="B51" i="1" s="1"/>
  <c r="A51" i="1" s="1"/>
  <c r="S1023" i="1"/>
  <c r="V1023" i="1" s="1"/>
  <c r="AH1023" i="1" s="1"/>
  <c r="C809" i="1"/>
  <c r="B809" i="1" s="1"/>
  <c r="A809" i="1" s="1"/>
  <c r="S638" i="1"/>
  <c r="V638" i="1" s="1"/>
  <c r="AH638" i="1" s="1"/>
  <c r="S1138" i="1"/>
  <c r="V1138" i="1" s="1"/>
  <c r="AH1138" i="1" s="1"/>
  <c r="S724" i="1"/>
  <c r="V724" i="1" s="1"/>
  <c r="AH724" i="1" s="1"/>
  <c r="S473" i="1"/>
  <c r="V473" i="1" s="1"/>
  <c r="AH473" i="1" s="1"/>
  <c r="S949" i="1"/>
  <c r="V949" i="1" s="1"/>
  <c r="AH949" i="1" s="1"/>
  <c r="C817" i="1"/>
  <c r="B817" i="1" s="1"/>
  <c r="A817" i="1" s="1"/>
  <c r="S877" i="1"/>
  <c r="V877" i="1" s="1"/>
  <c r="AH877" i="1" s="1"/>
  <c r="S603" i="1"/>
  <c r="V603" i="1" s="1"/>
  <c r="AH603" i="1" s="1"/>
  <c r="S966" i="1"/>
  <c r="V966" i="1" s="1"/>
  <c r="AH966" i="1" s="1"/>
  <c r="C280" i="1"/>
  <c r="B280" i="1" s="1"/>
  <c r="A280" i="1" s="1"/>
  <c r="C485" i="1"/>
  <c r="B485" i="1" s="1"/>
  <c r="A485" i="1" s="1"/>
  <c r="S285" i="1"/>
  <c r="V285" i="1" s="1"/>
  <c r="AH285" i="1" s="1"/>
  <c r="C537" i="1"/>
  <c r="B537" i="1" s="1"/>
  <c r="A537" i="1" s="1"/>
  <c r="S645" i="1"/>
  <c r="V645" i="1" s="1"/>
  <c r="AH645" i="1" s="1"/>
  <c r="C283" i="1"/>
  <c r="B283" i="1" s="1"/>
  <c r="A283" i="1" s="1"/>
  <c r="C1111" i="1"/>
  <c r="B1111" i="1" s="1"/>
  <c r="A1111" i="1" s="1"/>
  <c r="C409" i="1"/>
  <c r="B409" i="1" s="1"/>
  <c r="A409" i="1" s="1"/>
  <c r="S1131" i="1"/>
  <c r="V1131" i="1" s="1"/>
  <c r="AH1131" i="1" s="1"/>
  <c r="C742" i="1"/>
  <c r="B742" i="1" s="1"/>
  <c r="A742" i="1" s="1"/>
  <c r="S807" i="1"/>
  <c r="V807" i="1" s="1"/>
  <c r="AH807" i="1" s="1"/>
  <c r="C437" i="1"/>
  <c r="B437" i="1" s="1"/>
  <c r="A437" i="1" s="1"/>
  <c r="S330" i="1"/>
  <c r="V330" i="1" s="1"/>
  <c r="AH330" i="1" s="1"/>
  <c r="S586" i="1"/>
  <c r="V586" i="1" s="1"/>
  <c r="AH586" i="1" s="1"/>
  <c r="S373" i="1"/>
  <c r="V373" i="1" s="1"/>
  <c r="AH373" i="1" s="1"/>
  <c r="S1021" i="1"/>
  <c r="V1021" i="1" s="1"/>
  <c r="AH1021" i="1" s="1"/>
  <c r="S879" i="1"/>
  <c r="V879" i="1" s="1"/>
  <c r="AH879" i="1" s="1"/>
  <c r="C923" i="1"/>
  <c r="B923" i="1" s="1"/>
  <c r="A923" i="1" s="1"/>
  <c r="S786" i="1"/>
  <c r="V786" i="1" s="1"/>
  <c r="AH786" i="1" s="1"/>
  <c r="S480" i="1"/>
  <c r="V480" i="1" s="1"/>
  <c r="AH480" i="1" s="1"/>
  <c r="S577" i="1"/>
  <c r="V577" i="1" s="1"/>
  <c r="AH577" i="1" s="1"/>
  <c r="C177" i="1"/>
  <c r="B177" i="1" s="1"/>
  <c r="A177" i="1" s="1"/>
  <c r="C1132" i="1"/>
  <c r="B1132" i="1" s="1"/>
  <c r="A1132" i="1" s="1"/>
  <c r="S138" i="1"/>
  <c r="V138" i="1" s="1"/>
  <c r="AH138" i="1" s="1"/>
  <c r="S1044" i="1"/>
  <c r="V1044" i="1" s="1"/>
  <c r="AH1044" i="1" s="1"/>
  <c r="C1141" i="1"/>
  <c r="B1141" i="1" s="1"/>
  <c r="A1141" i="1" s="1"/>
  <c r="C936" i="1"/>
  <c r="B936" i="1" s="1"/>
  <c r="A936" i="1" s="1"/>
  <c r="S674" i="1"/>
  <c r="V674" i="1" s="1"/>
  <c r="AH674" i="1" s="1"/>
  <c r="S166" i="1"/>
  <c r="V166" i="1" s="1"/>
  <c r="AH166" i="1" s="1"/>
  <c r="S173" i="1"/>
  <c r="V173" i="1" s="1"/>
  <c r="AH173" i="1" s="1"/>
  <c r="S1000" i="1"/>
  <c r="V1000" i="1" s="1"/>
  <c r="AH1000" i="1" s="1"/>
  <c r="S85" i="1"/>
  <c r="V85" i="1" s="1"/>
  <c r="AH85" i="1" s="1"/>
  <c r="C357" i="1"/>
  <c r="B357" i="1" s="1"/>
  <c r="A357" i="1" s="1"/>
  <c r="C10" i="1"/>
  <c r="B10" i="1" s="1"/>
  <c r="A10" i="1" s="1"/>
  <c r="C655" i="1"/>
  <c r="B655" i="1" s="1"/>
  <c r="A655" i="1" s="1"/>
  <c r="S365" i="1"/>
  <c r="V365" i="1" s="1"/>
  <c r="AH365" i="1" s="1"/>
  <c r="S436" i="1"/>
  <c r="V436" i="1" s="1"/>
  <c r="AH436" i="1" s="1"/>
  <c r="S1082" i="1"/>
  <c r="V1082" i="1" s="1"/>
  <c r="AH1082" i="1" s="1"/>
  <c r="S999" i="1"/>
  <c r="V999" i="1" s="1"/>
  <c r="AH999" i="1" s="1"/>
  <c r="C900" i="1"/>
  <c r="B900" i="1" s="1"/>
  <c r="A900" i="1" s="1"/>
  <c r="C307" i="1"/>
  <c r="B307" i="1" s="1"/>
  <c r="A307" i="1" s="1"/>
  <c r="C622" i="1"/>
  <c r="B622" i="1" s="1"/>
  <c r="A622" i="1" s="1"/>
  <c r="S576" i="1"/>
  <c r="V576" i="1" s="1"/>
  <c r="AH576" i="1" s="1"/>
  <c r="C610" i="1"/>
  <c r="B610" i="1" s="1"/>
  <c r="A610" i="1" s="1"/>
  <c r="C425" i="1"/>
  <c r="B425" i="1" s="1"/>
  <c r="A425" i="1" s="1"/>
  <c r="C272" i="1"/>
  <c r="B272" i="1" s="1"/>
  <c r="A272" i="1" s="1"/>
  <c r="C590" i="1"/>
  <c r="B590" i="1" s="1"/>
  <c r="A590" i="1" s="1"/>
  <c r="S634" i="1"/>
  <c r="V634" i="1" s="1"/>
  <c r="AH634" i="1" s="1"/>
  <c r="S794" i="1"/>
  <c r="V794" i="1" s="1"/>
  <c r="AH794" i="1" s="1"/>
  <c r="S556" i="1"/>
  <c r="V556" i="1" s="1"/>
  <c r="AH556" i="1" s="1"/>
  <c r="C194" i="1"/>
  <c r="B194" i="1" s="1"/>
  <c r="A194" i="1" s="1"/>
  <c r="C805" i="1"/>
  <c r="B805" i="1" s="1"/>
  <c r="A805" i="1" s="1"/>
  <c r="C1112" i="1"/>
  <c r="B1112" i="1" s="1"/>
  <c r="A1112" i="1" s="1"/>
  <c r="C468" i="1"/>
  <c r="B468" i="1" s="1"/>
  <c r="A468" i="1" s="1"/>
  <c r="S801" i="1"/>
  <c r="V801" i="1" s="1"/>
  <c r="AH801" i="1" s="1"/>
  <c r="S465" i="1"/>
  <c r="V465" i="1" s="1"/>
  <c r="AH465" i="1" s="1"/>
  <c r="C788" i="1"/>
  <c r="B788" i="1" s="1"/>
  <c r="A788" i="1" s="1"/>
  <c r="C647" i="1"/>
  <c r="B647" i="1" s="1"/>
  <c r="A647" i="1" s="1"/>
  <c r="S594" i="1"/>
  <c r="V594" i="1" s="1"/>
  <c r="AH594" i="1" s="1"/>
  <c r="S1029" i="1"/>
  <c r="V1029" i="1" s="1"/>
  <c r="AH1029" i="1" s="1"/>
  <c r="C1198" i="1"/>
  <c r="B1198" i="1" s="1"/>
  <c r="A1198" i="1" s="1"/>
  <c r="C39" i="1"/>
  <c r="B39" i="1" s="1"/>
  <c r="A39" i="1" s="1"/>
  <c r="C444" i="1"/>
  <c r="B444" i="1" s="1"/>
  <c r="A444" i="1" s="1"/>
  <c r="C337" i="1"/>
  <c r="B337" i="1" s="1"/>
  <c r="A337" i="1" s="1"/>
  <c r="S282" i="1"/>
  <c r="V282" i="1" s="1"/>
  <c r="AH282" i="1" s="1"/>
  <c r="S230" i="1"/>
  <c r="V230" i="1" s="1"/>
  <c r="AH230" i="1" s="1"/>
  <c r="C938" i="1"/>
  <c r="B938" i="1" s="1"/>
  <c r="A938" i="1" s="1"/>
  <c r="C808" i="1"/>
  <c r="B808" i="1" s="1"/>
  <c r="A808" i="1" s="1"/>
  <c r="C734" i="1"/>
  <c r="B734" i="1" s="1"/>
  <c r="A734" i="1" s="1"/>
  <c r="S505" i="1"/>
  <c r="V505" i="1" s="1"/>
  <c r="AH505" i="1" s="1"/>
  <c r="C245" i="1"/>
  <c r="B245" i="1" s="1"/>
  <c r="A245" i="1" s="1"/>
  <c r="C1114" i="1"/>
  <c r="B1114" i="1" s="1"/>
  <c r="A1114" i="1" s="1"/>
  <c r="C275" i="1"/>
  <c r="B275" i="1" s="1"/>
  <c r="A275" i="1" s="1"/>
  <c r="C525" i="1"/>
  <c r="B525" i="1" s="1"/>
  <c r="A525" i="1" s="1"/>
  <c r="S758" i="1"/>
  <c r="V758" i="1" s="1"/>
  <c r="AH758" i="1" s="1"/>
  <c r="S384" i="1"/>
  <c r="V384" i="1" s="1"/>
  <c r="AH384" i="1" s="1"/>
  <c r="S675" i="1"/>
  <c r="V675" i="1" s="1"/>
  <c r="AH675" i="1" s="1"/>
  <c r="C965" i="1"/>
  <c r="B965" i="1" s="1"/>
  <c r="A965" i="1" s="1"/>
  <c r="C1095" i="1"/>
  <c r="B1095" i="1" s="1"/>
  <c r="A1095" i="1" s="1"/>
  <c r="C48" i="1"/>
  <c r="B48" i="1" s="1"/>
  <c r="A48" i="1" s="1"/>
  <c r="S1168" i="1"/>
  <c r="V1168" i="1" s="1"/>
  <c r="AH1168" i="1" s="1"/>
  <c r="S928" i="1"/>
  <c r="V928" i="1" s="1"/>
  <c r="AH928" i="1" s="1"/>
  <c r="S520" i="1"/>
  <c r="V520" i="1" s="1"/>
  <c r="AH520" i="1" s="1"/>
  <c r="C575" i="1"/>
  <c r="B575" i="1" s="1"/>
  <c r="A575" i="1" s="1"/>
  <c r="S963" i="1"/>
  <c r="V963" i="1" s="1"/>
  <c r="AH963" i="1" s="1"/>
  <c r="S283" i="1"/>
  <c r="V283" i="1" s="1"/>
  <c r="AH283" i="1" s="1"/>
  <c r="C818" i="1"/>
  <c r="B818" i="1" s="1"/>
  <c r="A818" i="1" s="1"/>
  <c r="S312" i="1"/>
  <c r="V312" i="1" s="1"/>
  <c r="AH312" i="1" s="1"/>
  <c r="S25" i="1"/>
  <c r="V25" i="1" s="1"/>
  <c r="AH25" i="1" s="1"/>
  <c r="C948" i="1"/>
  <c r="B948" i="1" s="1"/>
  <c r="A948" i="1" s="1"/>
  <c r="C789" i="1"/>
  <c r="B789" i="1" s="1"/>
  <c r="A789" i="1" s="1"/>
  <c r="C881" i="1"/>
  <c r="B881" i="1" s="1"/>
  <c r="A881" i="1" s="1"/>
  <c r="C577" i="1"/>
  <c r="B577" i="1" s="1"/>
  <c r="A577" i="1" s="1"/>
  <c r="S1144" i="1"/>
  <c r="V1144" i="1" s="1"/>
  <c r="AH1144" i="1" s="1"/>
  <c r="S360" i="1"/>
  <c r="V360" i="1" s="1"/>
  <c r="AH360" i="1" s="1"/>
  <c r="C487" i="1"/>
  <c r="B487" i="1" s="1"/>
  <c r="A487" i="1" s="1"/>
  <c r="C69" i="1"/>
  <c r="B69" i="1" s="1"/>
  <c r="A69" i="1" s="1"/>
  <c r="C867" i="1"/>
  <c r="B867" i="1" s="1"/>
  <c r="A867" i="1" s="1"/>
  <c r="S1155" i="1"/>
  <c r="V1155" i="1" s="1"/>
  <c r="AH1155" i="1" s="1"/>
  <c r="C288" i="1"/>
  <c r="B288" i="1" s="1"/>
  <c r="A288" i="1" s="1"/>
  <c r="S55" i="1"/>
  <c r="V55" i="1" s="1"/>
  <c r="AH55" i="1" s="1"/>
  <c r="S907" i="1"/>
  <c r="V907" i="1" s="1"/>
  <c r="AH907" i="1" s="1"/>
  <c r="S366" i="1"/>
  <c r="V366" i="1" s="1"/>
  <c r="AH366" i="1" s="1"/>
  <c r="C28" i="1"/>
  <c r="B28" i="1" s="1"/>
  <c r="A28" i="1" s="1"/>
  <c r="C255" i="1"/>
  <c r="B255" i="1" s="1"/>
  <c r="A255" i="1" s="1"/>
  <c r="S646" i="1"/>
  <c r="V646" i="1" s="1"/>
  <c r="AH646" i="1" s="1"/>
  <c r="C889" i="1"/>
  <c r="B889" i="1" s="1"/>
  <c r="A889" i="1" s="1"/>
  <c r="S179" i="1"/>
  <c r="V179" i="1" s="1"/>
  <c r="AH179" i="1" s="1"/>
  <c r="S670" i="1"/>
  <c r="V670" i="1" s="1"/>
  <c r="AH670" i="1" s="1"/>
  <c r="C259" i="1"/>
  <c r="B259" i="1" s="1"/>
  <c r="A259" i="1" s="1"/>
  <c r="S641" i="1"/>
  <c r="V641" i="1" s="1"/>
  <c r="AH641" i="1" s="1"/>
  <c r="C197" i="1"/>
  <c r="B197" i="1" s="1"/>
  <c r="A197" i="1" s="1"/>
  <c r="S725" i="1"/>
  <c r="V725" i="1" s="1"/>
  <c r="AH725" i="1" s="1"/>
  <c r="S64" i="1"/>
  <c r="V64" i="1" s="1"/>
  <c r="AH64" i="1" s="1"/>
  <c r="C1129" i="1"/>
  <c r="B1129" i="1" s="1"/>
  <c r="A1129" i="1" s="1"/>
  <c r="C109" i="1"/>
  <c r="B109" i="1" s="1"/>
  <c r="A109" i="1" s="1"/>
  <c r="S369" i="1"/>
  <c r="V369" i="1" s="1"/>
  <c r="AH369" i="1" s="1"/>
  <c r="C1199" i="1"/>
  <c r="B1199" i="1" s="1"/>
  <c r="A1199" i="1" s="1"/>
  <c r="C1188" i="1"/>
  <c r="B1188" i="1" s="1"/>
  <c r="A1188" i="1" s="1"/>
  <c r="C1000" i="1"/>
  <c r="B1000" i="1" s="1"/>
  <c r="A1000" i="1" s="1"/>
  <c r="S151" i="1"/>
  <c r="V151" i="1" s="1"/>
  <c r="AH151" i="1" s="1"/>
  <c r="C406" i="1"/>
  <c r="B406" i="1" s="1"/>
  <c r="A406" i="1" s="1"/>
  <c r="S750" i="1"/>
  <c r="V750" i="1" s="1"/>
  <c r="AH750" i="1" s="1"/>
  <c r="S1037" i="1"/>
  <c r="V1037" i="1" s="1"/>
  <c r="AH1037" i="1" s="1"/>
  <c r="C344" i="1"/>
  <c r="B344" i="1" s="1"/>
  <c r="A344" i="1" s="1"/>
  <c r="S293" i="1"/>
  <c r="V293" i="1" s="1"/>
  <c r="AH293" i="1" s="1"/>
  <c r="C504" i="1"/>
  <c r="B504" i="1" s="1"/>
  <c r="A504" i="1" s="1"/>
  <c r="S333" i="1"/>
  <c r="V333" i="1" s="1"/>
  <c r="AH333" i="1" s="1"/>
  <c r="C959" i="1"/>
  <c r="B959" i="1" s="1"/>
  <c r="A959" i="1" s="1"/>
  <c r="C570" i="1"/>
  <c r="B570" i="1" s="1"/>
  <c r="A570" i="1" s="1"/>
  <c r="S502" i="1"/>
  <c r="V502" i="1" s="1"/>
  <c r="AH502" i="1" s="1"/>
  <c r="C1101" i="1"/>
  <c r="B1101" i="1" s="1"/>
  <c r="A1101" i="1" s="1"/>
  <c r="C36" i="1"/>
  <c r="B36" i="1" s="1"/>
  <c r="A36" i="1" s="1"/>
  <c r="S893" i="1"/>
  <c r="V893" i="1" s="1"/>
  <c r="AH893" i="1" s="1"/>
  <c r="C664" i="1"/>
  <c r="B664" i="1" s="1"/>
  <c r="A664" i="1" s="1"/>
  <c r="C1100" i="1"/>
  <c r="B1100" i="1" s="1"/>
  <c r="A1100" i="1" s="1"/>
  <c r="S253" i="1"/>
  <c r="V253" i="1" s="1"/>
  <c r="AH253" i="1" s="1"/>
  <c r="C574" i="1"/>
  <c r="B574" i="1" s="1"/>
  <c r="A574" i="1" s="1"/>
  <c r="C614" i="1"/>
  <c r="B614" i="1" s="1"/>
  <c r="A614" i="1" s="1"/>
  <c r="S181" i="1"/>
  <c r="V181" i="1" s="1"/>
  <c r="AH181" i="1" s="1"/>
  <c r="S855" i="1"/>
  <c r="V855" i="1" s="1"/>
  <c r="AH855" i="1" s="1"/>
  <c r="P1186" i="1"/>
  <c r="S1047" i="1"/>
  <c r="V1047" i="1" s="1"/>
  <c r="AH1047" i="1" s="1"/>
  <c r="C952" i="1"/>
  <c r="B952" i="1" s="1"/>
  <c r="A952" i="1" s="1"/>
  <c r="C9" i="1"/>
  <c r="B9" i="1" s="1"/>
  <c r="A9" i="1" s="1"/>
  <c r="S895" i="1"/>
  <c r="V895" i="1" s="1"/>
  <c r="AH895" i="1" s="1"/>
  <c r="S104" i="1"/>
  <c r="V104" i="1" s="1"/>
  <c r="AH104" i="1" s="1"/>
  <c r="C727" i="1"/>
  <c r="B727" i="1" s="1"/>
  <c r="A727" i="1" s="1"/>
  <c r="C492" i="1"/>
  <c r="B492" i="1" s="1"/>
  <c r="A492" i="1" s="1"/>
  <c r="S598" i="1"/>
  <c r="V598" i="1" s="1"/>
  <c r="AH598" i="1" s="1"/>
  <c r="C1117" i="1"/>
  <c r="B1117" i="1" s="1"/>
  <c r="A1117" i="1" s="1"/>
  <c r="S288" i="1"/>
  <c r="V288" i="1" s="1"/>
  <c r="AH288" i="1" s="1"/>
  <c r="S451" i="1"/>
  <c r="V451" i="1" s="1"/>
  <c r="AH451" i="1" s="1"/>
  <c r="C728" i="1"/>
  <c r="B728" i="1" s="1"/>
  <c r="A728" i="1" s="1"/>
  <c r="S472" i="1"/>
  <c r="V472" i="1" s="1"/>
  <c r="AH472" i="1" s="1"/>
  <c r="C457" i="1"/>
  <c r="B457" i="1" s="1"/>
  <c r="A457" i="1" s="1"/>
  <c r="S528" i="1"/>
  <c r="V528" i="1" s="1"/>
  <c r="AH528" i="1" s="1"/>
  <c r="C531" i="1"/>
  <c r="B531" i="1" s="1"/>
  <c r="A531" i="1" s="1"/>
  <c r="C848" i="1"/>
  <c r="B848" i="1" s="1"/>
  <c r="A848" i="1" s="1"/>
  <c r="S919" i="1"/>
  <c r="V919" i="1" s="1"/>
  <c r="AH919" i="1" s="1"/>
  <c r="S854" i="1"/>
  <c r="V854" i="1" s="1"/>
  <c r="AH854" i="1" s="1"/>
  <c r="S140" i="1"/>
  <c r="V140" i="1" s="1"/>
  <c r="AH140" i="1" s="1"/>
  <c r="S1121" i="1"/>
  <c r="V1121" i="1" s="1"/>
  <c r="AH1121" i="1" s="1"/>
  <c r="S539" i="1"/>
  <c r="V539" i="1" s="1"/>
  <c r="AH539" i="1" s="1"/>
  <c r="P599" i="1"/>
  <c r="C496" i="1"/>
  <c r="B496" i="1" s="1"/>
  <c r="A496" i="1" s="1"/>
  <c r="S48" i="1"/>
  <c r="V48" i="1" s="1"/>
  <c r="AH48" i="1" s="1"/>
  <c r="S295" i="1"/>
  <c r="V295" i="1" s="1"/>
  <c r="AH295" i="1" s="1"/>
  <c r="S716" i="1"/>
  <c r="V716" i="1" s="1"/>
  <c r="AH716" i="1" s="1"/>
  <c r="C564" i="1"/>
  <c r="B564" i="1" s="1"/>
  <c r="A564" i="1" s="1"/>
  <c r="S569" i="1"/>
  <c r="V569" i="1" s="1"/>
  <c r="AH569" i="1" s="1"/>
  <c r="S415" i="1"/>
  <c r="V415" i="1" s="1"/>
  <c r="AH415" i="1" s="1"/>
  <c r="C157" i="1"/>
  <c r="B157" i="1" s="1"/>
  <c r="A157" i="1" s="1"/>
  <c r="C1194" i="1"/>
  <c r="B1194" i="1" s="1"/>
  <c r="A1194" i="1" s="1"/>
  <c r="S793" i="1"/>
  <c r="V793" i="1" s="1"/>
  <c r="AH793" i="1" s="1"/>
  <c r="S738" i="1"/>
  <c r="V738" i="1" s="1"/>
  <c r="AH738" i="1" s="1"/>
  <c r="S1001" i="1"/>
  <c r="V1001" i="1" s="1"/>
  <c r="AH1001" i="1" s="1"/>
  <c r="P596" i="1"/>
  <c r="P1180" i="1"/>
  <c r="C1003" i="1"/>
  <c r="B1003" i="1" s="1"/>
  <c r="A1003" i="1" s="1"/>
  <c r="C1166" i="1"/>
  <c r="B1166" i="1" s="1"/>
  <c r="A1166" i="1" s="1"/>
  <c r="S371" i="1"/>
  <c r="V371" i="1" s="1"/>
  <c r="AH371" i="1" s="1"/>
  <c r="C354" i="1"/>
  <c r="B354" i="1" s="1"/>
  <c r="A354" i="1" s="1"/>
  <c r="C801" i="1"/>
  <c r="B801" i="1" s="1"/>
  <c r="A801" i="1" s="1"/>
  <c r="C511" i="1"/>
  <c r="B511" i="1" s="1"/>
  <c r="A511" i="1" s="1"/>
  <c r="S1110" i="1"/>
  <c r="V1110" i="1" s="1"/>
  <c r="AH1110" i="1" s="1"/>
  <c r="C396" i="1"/>
  <c r="B396" i="1" s="1"/>
  <c r="A396" i="1" s="1"/>
  <c r="C1073" i="1"/>
  <c r="B1073" i="1" s="1"/>
  <c r="A1073" i="1" s="1"/>
  <c r="C113" i="1"/>
  <c r="B113" i="1" s="1"/>
  <c r="A113" i="1" s="1"/>
  <c r="S484" i="1"/>
  <c r="V484" i="1" s="1"/>
  <c r="AH484" i="1" s="1"/>
  <c r="S764" i="1"/>
  <c r="V764" i="1" s="1"/>
  <c r="AH764" i="1" s="1"/>
  <c r="C681" i="1"/>
  <c r="B681" i="1" s="1"/>
  <c r="A681" i="1" s="1"/>
  <c r="C1115" i="1"/>
  <c r="B1115" i="1" s="1"/>
  <c r="A1115" i="1" s="1"/>
  <c r="C731" i="1"/>
  <c r="B731" i="1" s="1"/>
  <c r="A731" i="1" s="1"/>
  <c r="C602" i="1"/>
  <c r="B602" i="1" s="1"/>
  <c r="A602" i="1" s="1"/>
  <c r="S590" i="1"/>
  <c r="V590" i="1" s="1"/>
  <c r="AH590" i="1" s="1"/>
  <c r="C213" i="1"/>
  <c r="B213" i="1" s="1"/>
  <c r="A213" i="1" s="1"/>
  <c r="C1092" i="1"/>
  <c r="B1092" i="1" s="1"/>
  <c r="A1092" i="1" s="1"/>
  <c r="C931" i="1"/>
  <c r="B931" i="1" s="1"/>
  <c r="A931" i="1" s="1"/>
  <c r="C835" i="1"/>
  <c r="B835" i="1" s="1"/>
  <c r="A835" i="1" s="1"/>
  <c r="S651" i="1"/>
  <c r="V651" i="1" s="1"/>
  <c r="AH651" i="1" s="1"/>
  <c r="S194" i="1"/>
  <c r="V194" i="1" s="1"/>
  <c r="AH194" i="1" s="1"/>
  <c r="S385" i="1"/>
  <c r="V385" i="1" s="1"/>
  <c r="AH385" i="1" s="1"/>
  <c r="C1116" i="1"/>
  <c r="B1116" i="1" s="1"/>
  <c r="A1116" i="1" s="1"/>
  <c r="S686" i="1"/>
  <c r="V686" i="1" s="1"/>
  <c r="AH686" i="1" s="1"/>
  <c r="S364" i="1"/>
  <c r="V364" i="1" s="1"/>
  <c r="AH364" i="1" s="1"/>
  <c r="S477" i="1"/>
  <c r="V477" i="1" s="1"/>
  <c r="AH477" i="1" s="1"/>
  <c r="C120" i="1"/>
  <c r="B120" i="1" s="1"/>
  <c r="A120" i="1" s="1"/>
  <c r="S284" i="1"/>
  <c r="V284" i="1" s="1"/>
  <c r="AH284" i="1" s="1"/>
  <c r="S649" i="1"/>
  <c r="V649" i="1" s="1"/>
  <c r="AH649" i="1" s="1"/>
  <c r="C828" i="1"/>
  <c r="B828" i="1" s="1"/>
  <c r="A828" i="1" s="1"/>
  <c r="C1183" i="1"/>
  <c r="B1183" i="1" s="1"/>
  <c r="A1183" i="1" s="1"/>
  <c r="S767" i="1"/>
  <c r="V767" i="1" s="1"/>
  <c r="AH767" i="1" s="1"/>
  <c r="C978" i="1"/>
  <c r="B978" i="1" s="1"/>
  <c r="A978" i="1" s="1"/>
  <c r="S769" i="1"/>
  <c r="V769" i="1" s="1"/>
  <c r="AH769" i="1" s="1"/>
  <c r="S821" i="1"/>
  <c r="V821" i="1" s="1"/>
  <c r="AH821" i="1" s="1"/>
  <c r="S772" i="1"/>
  <c r="V772" i="1" s="1"/>
  <c r="AH772" i="1" s="1"/>
  <c r="S517" i="1"/>
  <c r="V517" i="1" s="1"/>
  <c r="AH517" i="1" s="1"/>
  <c r="S1163" i="1"/>
  <c r="V1163" i="1" s="1"/>
  <c r="AH1163" i="1" s="1"/>
  <c r="S1013" i="1"/>
  <c r="V1013" i="1" s="1"/>
  <c r="AH1013" i="1" s="1"/>
  <c r="C895" i="1"/>
  <c r="B895" i="1" s="1"/>
  <c r="A895" i="1" s="1"/>
  <c r="S1162" i="1"/>
  <c r="V1162" i="1" s="1"/>
  <c r="AH1162" i="1" s="1"/>
  <c r="C244" i="1"/>
  <c r="B244" i="1" s="1"/>
  <c r="A244" i="1" s="1"/>
  <c r="S304" i="1"/>
  <c r="V304" i="1" s="1"/>
  <c r="AH304" i="1" s="1"/>
  <c r="S1108" i="1"/>
  <c r="V1108" i="1" s="1"/>
  <c r="AH1108" i="1" s="1"/>
  <c r="S389" i="1"/>
  <c r="V389" i="1" s="1"/>
  <c r="AH389" i="1" s="1"/>
  <c r="S676" i="1"/>
  <c r="V676" i="1" s="1"/>
  <c r="AH676" i="1" s="1"/>
  <c r="S1014" i="1"/>
  <c r="V1014" i="1" s="1"/>
  <c r="AH1014" i="1" s="1"/>
  <c r="S721" i="1"/>
  <c r="V721" i="1" s="1"/>
  <c r="AH721" i="1" s="1"/>
  <c r="S120" i="1"/>
  <c r="V120" i="1" s="1"/>
  <c r="AH120" i="1" s="1"/>
  <c r="S188" i="1"/>
  <c r="V188" i="1" s="1"/>
  <c r="AH188" i="1" s="1"/>
  <c r="S658" i="1"/>
  <c r="V658" i="1" s="1"/>
  <c r="AH658" i="1" s="1"/>
  <c r="C1146" i="1"/>
  <c r="B1146" i="1" s="1"/>
  <c r="A1146" i="1" s="1"/>
  <c r="S1169" i="1"/>
  <c r="V1169" i="1" s="1"/>
  <c r="AH1169" i="1" s="1"/>
  <c r="C989" i="1"/>
  <c r="B989" i="1" s="1"/>
  <c r="A989" i="1" s="1"/>
  <c r="S982" i="1"/>
  <c r="V982" i="1" s="1"/>
  <c r="AH982" i="1" s="1"/>
  <c r="S33" i="1"/>
  <c r="V33" i="1" s="1"/>
  <c r="AH33" i="1" s="1"/>
  <c r="C1093" i="1"/>
  <c r="B1093" i="1" s="1"/>
  <c r="A1093" i="1" s="1"/>
  <c r="S177" i="1"/>
  <c r="V177" i="1" s="1"/>
  <c r="AH177" i="1" s="1"/>
  <c r="S974" i="1"/>
  <c r="V974" i="1" s="1"/>
  <c r="AH974" i="1" s="1"/>
  <c r="C791" i="1"/>
  <c r="B791" i="1" s="1"/>
  <c r="A791" i="1" s="1"/>
  <c r="S886" i="1"/>
  <c r="V886" i="1" s="1"/>
  <c r="AH886" i="1" s="1"/>
  <c r="C376" i="1"/>
  <c r="B376" i="1" s="1"/>
  <c r="A376" i="1" s="1"/>
  <c r="S888" i="1"/>
  <c r="V888" i="1" s="1"/>
  <c r="AH888" i="1" s="1"/>
  <c r="S925" i="1"/>
  <c r="V925" i="1" s="1"/>
  <c r="AH925" i="1" s="1"/>
  <c r="S650" i="1"/>
  <c r="V650" i="1" s="1"/>
  <c r="AH650" i="1" s="1"/>
  <c r="C278" i="1"/>
  <c r="B278" i="1" s="1"/>
  <c r="A278" i="1" s="1"/>
  <c r="C1062" i="1"/>
  <c r="B1062" i="1" s="1"/>
  <c r="A1062" i="1" s="1"/>
  <c r="S1069" i="1"/>
  <c r="V1069" i="1" s="1"/>
  <c r="AH1069" i="1" s="1"/>
  <c r="C1124" i="1"/>
  <c r="B1124" i="1" s="1"/>
  <c r="A1124" i="1" s="1"/>
  <c r="C743" i="1"/>
  <c r="B743" i="1" s="1"/>
  <c r="A743" i="1" s="1"/>
  <c r="S561" i="1"/>
  <c r="V561" i="1" s="1"/>
  <c r="AH561" i="1" s="1"/>
  <c r="C819" i="1"/>
  <c r="B819" i="1" s="1"/>
  <c r="A819" i="1" s="1"/>
  <c r="C467" i="1"/>
  <c r="B467" i="1" s="1"/>
  <c r="A467" i="1" s="1"/>
  <c r="S677" i="1"/>
  <c r="V677" i="1" s="1"/>
  <c r="AH677" i="1" s="1"/>
  <c r="S839" i="1"/>
  <c r="V839" i="1" s="1"/>
  <c r="AH839" i="1" s="1"/>
  <c r="C837" i="1"/>
  <c r="B837" i="1" s="1"/>
  <c r="A837" i="1" s="1"/>
  <c r="S911" i="1"/>
  <c r="V911" i="1" s="1"/>
  <c r="AH911" i="1" s="1"/>
  <c r="S564" i="1"/>
  <c r="V564" i="1" s="1"/>
  <c r="AH564" i="1" s="1"/>
  <c r="S595" i="1"/>
  <c r="V595" i="1" s="1"/>
  <c r="AH595" i="1" s="1"/>
  <c r="C410" i="1"/>
  <c r="B410" i="1" s="1"/>
  <c r="A410" i="1" s="1"/>
  <c r="C766" i="1"/>
  <c r="B766" i="1" s="1"/>
  <c r="A766" i="1" s="1"/>
  <c r="S866" i="1"/>
  <c r="V866" i="1" s="1"/>
  <c r="AH866" i="1" s="1"/>
  <c r="C888" i="1"/>
  <c r="B888" i="1" s="1"/>
  <c r="A888" i="1" s="1"/>
  <c r="C87" i="1"/>
  <c r="B87" i="1" s="1"/>
  <c r="A87" i="1" s="1"/>
  <c r="C977" i="1"/>
  <c r="B977" i="1" s="1"/>
  <c r="A977" i="1" s="1"/>
  <c r="C701" i="1"/>
  <c r="B701" i="1" s="1"/>
  <c r="A701" i="1" s="1"/>
  <c r="C1184" i="1"/>
  <c r="B1184" i="1" s="1"/>
  <c r="A1184" i="1" s="1"/>
  <c r="S1009" i="1"/>
  <c r="V1009" i="1" s="1"/>
  <c r="AH1009" i="1" s="1"/>
  <c r="C257" i="1"/>
  <c r="B257" i="1" s="1"/>
  <c r="A257" i="1" s="1"/>
  <c r="C1090" i="1"/>
  <c r="B1090" i="1" s="1"/>
  <c r="A1090" i="1" s="1"/>
  <c r="C741" i="1"/>
  <c r="B741" i="1" s="1"/>
  <c r="A741" i="1" s="1"/>
  <c r="S1088" i="1"/>
  <c r="V1088" i="1" s="1"/>
  <c r="AH1088" i="1" s="1"/>
  <c r="C1140" i="1"/>
  <c r="B1140" i="1" s="1"/>
  <c r="A1140" i="1" s="1"/>
  <c r="C920" i="1"/>
  <c r="B920" i="1" s="1"/>
  <c r="A920" i="1" s="1"/>
  <c r="S948" i="1"/>
  <c r="V948" i="1" s="1"/>
  <c r="AH948" i="1" s="1"/>
  <c r="S934" i="1"/>
  <c r="V934" i="1" s="1"/>
  <c r="AH934" i="1" s="1"/>
  <c r="C676" i="1"/>
  <c r="B676" i="1" s="1"/>
  <c r="A676" i="1" s="1"/>
  <c r="S1089" i="1"/>
  <c r="V1089" i="1" s="1"/>
  <c r="AH1089" i="1" s="1"/>
  <c r="C810" i="1"/>
  <c r="B810" i="1" s="1"/>
  <c r="A810" i="1" s="1"/>
  <c r="S593" i="1"/>
  <c r="V593" i="1" s="1"/>
  <c r="AH593" i="1" s="1"/>
  <c r="C164" i="1"/>
  <c r="B164" i="1" s="1"/>
  <c r="A164" i="1" s="1"/>
  <c r="C29" i="1"/>
  <c r="B29" i="1" s="1"/>
  <c r="A29" i="1" s="1"/>
  <c r="S322" i="1"/>
  <c r="V322" i="1" s="1"/>
  <c r="AH322" i="1" s="1"/>
  <c r="S968" i="1"/>
  <c r="V968" i="1" s="1"/>
  <c r="AH968" i="1" s="1"/>
  <c r="S717" i="1"/>
  <c r="V717" i="1" s="1"/>
  <c r="AH717" i="1" s="1"/>
  <c r="S953" i="1"/>
  <c r="V953" i="1" s="1"/>
  <c r="AH953" i="1" s="1"/>
  <c r="S213" i="1"/>
  <c r="V213" i="1" s="1"/>
  <c r="AH213" i="1" s="1"/>
  <c r="S747" i="1"/>
  <c r="V747" i="1" s="1"/>
  <c r="AH747" i="1" s="1"/>
  <c r="C163" i="1"/>
  <c r="B163" i="1" s="1"/>
  <c r="A163" i="1" s="1"/>
  <c r="C616" i="1"/>
  <c r="B616" i="1" s="1"/>
  <c r="A616" i="1" s="1"/>
  <c r="C1126" i="1"/>
  <c r="B1126" i="1" s="1"/>
  <c r="A1126" i="1" s="1"/>
  <c r="C683" i="1"/>
  <c r="B683" i="1" s="1"/>
  <c r="A683" i="1" s="1"/>
  <c r="S1071" i="1"/>
  <c r="V1071" i="1" s="1"/>
  <c r="AH1071" i="1" s="1"/>
  <c r="S65" i="1"/>
  <c r="V65" i="1" s="1"/>
  <c r="AH65" i="1" s="1"/>
  <c r="S348" i="1"/>
  <c r="V348" i="1" s="1"/>
  <c r="AH348" i="1" s="1"/>
  <c r="C24" i="1"/>
  <c r="B24" i="1" s="1"/>
  <c r="A24" i="1" s="1"/>
  <c r="C1068" i="1"/>
  <c r="B1068" i="1" s="1"/>
  <c r="A1068" i="1" s="1"/>
  <c r="S696" i="1"/>
  <c r="V696" i="1" s="1"/>
  <c r="AH696" i="1" s="1"/>
  <c r="S630" i="1"/>
  <c r="V630" i="1" s="1"/>
  <c r="AH630" i="1" s="1"/>
  <c r="S701" i="1"/>
  <c r="V701" i="1" s="1"/>
  <c r="AH701" i="1" s="1"/>
  <c r="S1120" i="1"/>
  <c r="V1120" i="1" s="1"/>
  <c r="AH1120" i="1" s="1"/>
  <c r="S537" i="1"/>
  <c r="V537" i="1" s="1"/>
  <c r="AH537" i="1" s="1"/>
  <c r="S483" i="1"/>
  <c r="V483" i="1" s="1"/>
  <c r="AH483" i="1" s="1"/>
  <c r="S523" i="1"/>
  <c r="V523" i="1" s="1"/>
  <c r="AH523" i="1" s="1"/>
  <c r="S300" i="1"/>
  <c r="V300" i="1" s="1"/>
  <c r="AH300" i="1" s="1"/>
  <c r="C846" i="1"/>
  <c r="B846" i="1" s="1"/>
  <c r="A846" i="1" s="1"/>
  <c r="S1093" i="1"/>
  <c r="V1093" i="1" s="1"/>
  <c r="AH1093" i="1" s="1"/>
  <c r="C306" i="1"/>
  <c r="B306" i="1" s="1"/>
  <c r="A306" i="1" s="1"/>
  <c r="C200" i="1"/>
  <c r="B200" i="1" s="1"/>
  <c r="A200" i="1" s="1"/>
  <c r="C54" i="1"/>
  <c r="B54" i="1" s="1"/>
  <c r="A54" i="1" s="1"/>
  <c r="C644" i="1"/>
  <c r="B644" i="1" s="1"/>
  <c r="A644" i="1" s="1"/>
  <c r="C254" i="1"/>
  <c r="B254" i="1" s="1"/>
  <c r="A254" i="1" s="1"/>
  <c r="C142" i="1"/>
  <c r="B142" i="1" s="1"/>
  <c r="A142" i="1" s="1"/>
  <c r="S270" i="1"/>
  <c r="V270" i="1" s="1"/>
  <c r="AH270" i="1" s="1"/>
  <c r="C209" i="1"/>
  <c r="B209" i="1" s="1"/>
  <c r="A209" i="1" s="1"/>
  <c r="C125" i="1"/>
  <c r="B125" i="1" s="1"/>
  <c r="A125" i="1" s="1"/>
  <c r="S450" i="1"/>
  <c r="V450" i="1" s="1"/>
  <c r="AH450" i="1" s="1"/>
  <c r="S680" i="1"/>
  <c r="V680" i="1" s="1"/>
  <c r="AH680" i="1" s="1"/>
  <c r="S410" i="1"/>
  <c r="V410" i="1" s="1"/>
  <c r="AH410" i="1" s="1"/>
  <c r="C942" i="1"/>
  <c r="B942" i="1" s="1"/>
  <c r="A942" i="1" s="1"/>
  <c r="S737" i="1"/>
  <c r="V737" i="1" s="1"/>
  <c r="AH737" i="1" s="1"/>
  <c r="C416" i="1"/>
  <c r="B416" i="1" s="1"/>
  <c r="A416" i="1" s="1"/>
  <c r="S642" i="1"/>
  <c r="V642" i="1" s="1"/>
  <c r="AH642" i="1" s="1"/>
  <c r="C707" i="1"/>
  <c r="B707" i="1" s="1"/>
  <c r="A707" i="1" s="1"/>
  <c r="S809" i="1"/>
  <c r="V809" i="1" s="1"/>
  <c r="AH809" i="1" s="1"/>
  <c r="S659" i="1"/>
  <c r="V659" i="1" s="1"/>
  <c r="AH659" i="1" s="1"/>
  <c r="C383" i="1"/>
  <c r="B383" i="1" s="1"/>
  <c r="A383" i="1" s="1"/>
  <c r="S899" i="1"/>
  <c r="V899" i="1" s="1"/>
  <c r="AH899" i="1" s="1"/>
  <c r="S452" i="1"/>
  <c r="V452" i="1" s="1"/>
  <c r="AH452" i="1" s="1"/>
  <c r="S302" i="1"/>
  <c r="V302" i="1" s="1"/>
  <c r="AH302" i="1" s="1"/>
  <c r="S947" i="1"/>
  <c r="V947" i="1" s="1"/>
  <c r="AH947" i="1" s="1"/>
  <c r="S983" i="1"/>
  <c r="V983" i="1" s="1"/>
  <c r="AH983" i="1" s="1"/>
  <c r="S936" i="1"/>
  <c r="V936" i="1" s="1"/>
  <c r="AH936" i="1" s="1"/>
  <c r="S870" i="1"/>
  <c r="V870" i="1" s="1"/>
  <c r="AH870" i="1" s="1"/>
  <c r="C884" i="1"/>
  <c r="B884" i="1" s="1"/>
  <c r="A884" i="1" s="1"/>
  <c r="S707" i="1"/>
  <c r="V707" i="1" s="1"/>
  <c r="AH707" i="1" s="1"/>
  <c r="S554" i="1"/>
  <c r="V554" i="1" s="1"/>
  <c r="AH554" i="1" s="1"/>
  <c r="S771" i="1"/>
  <c r="V771" i="1" s="1"/>
  <c r="AH771" i="1" s="1"/>
  <c r="C626" i="1"/>
  <c r="B626" i="1" s="1"/>
  <c r="A626" i="1" s="1"/>
  <c r="C736" i="1"/>
  <c r="B736" i="1" s="1"/>
  <c r="A736" i="1" s="1"/>
  <c r="C251" i="1"/>
  <c r="B251" i="1" s="1"/>
  <c r="A251" i="1" s="1"/>
  <c r="S78" i="1"/>
  <c r="V78" i="1" s="1"/>
  <c r="AH78" i="1" s="1"/>
  <c r="S1079" i="1"/>
  <c r="V1079" i="1" s="1"/>
  <c r="AH1079" i="1" s="1"/>
  <c r="S325" i="1"/>
  <c r="V325" i="1" s="1"/>
  <c r="AH325" i="1" s="1"/>
  <c r="C905" i="1"/>
  <c r="B905" i="1" s="1"/>
  <c r="A905" i="1" s="1"/>
  <c r="C685" i="1"/>
  <c r="B685" i="1" s="1"/>
  <c r="A685" i="1" s="1"/>
  <c r="S135" i="1"/>
  <c r="V135" i="1" s="1"/>
  <c r="AH135" i="1" s="1"/>
  <c r="C947" i="1"/>
  <c r="B947" i="1" s="1"/>
  <c r="A947" i="1" s="1"/>
  <c r="C1080" i="1"/>
  <c r="B1080" i="1" s="1"/>
  <c r="A1080" i="1" s="1"/>
  <c r="S633" i="1"/>
  <c r="V633" i="1" s="1"/>
  <c r="AH633" i="1" s="1"/>
  <c r="S37" i="1"/>
  <c r="V37" i="1" s="1"/>
  <c r="AH37" i="1" s="1"/>
  <c r="C249" i="1"/>
  <c r="B249" i="1" s="1"/>
  <c r="A249" i="1" s="1"/>
  <c r="S631" i="1"/>
  <c r="V631" i="1" s="1"/>
  <c r="AH631" i="1" s="1"/>
  <c r="S1102" i="1"/>
  <c r="V1102" i="1" s="1"/>
  <c r="AH1102" i="1" s="1"/>
  <c r="S1134" i="1"/>
  <c r="V1134" i="1" s="1"/>
  <c r="AH1134" i="1" s="1"/>
  <c r="S168" i="1"/>
  <c r="V168" i="1" s="1"/>
  <c r="AH168" i="1" s="1"/>
  <c r="C906" i="1"/>
  <c r="B906" i="1" s="1"/>
  <c r="A906" i="1" s="1"/>
  <c r="S549" i="1"/>
  <c r="V549" i="1" s="1"/>
  <c r="AH549" i="1" s="1"/>
  <c r="C424" i="1"/>
  <c r="B424" i="1" s="1"/>
  <c r="A424" i="1" s="1"/>
  <c r="S608" i="1"/>
  <c r="V608" i="1" s="1"/>
  <c r="AH608" i="1" s="1"/>
  <c r="C880" i="1"/>
  <c r="B880" i="1" s="1"/>
  <c r="A880" i="1" s="1"/>
  <c r="C242" i="1"/>
  <c r="B242" i="1" s="1"/>
  <c r="A242" i="1" s="1"/>
  <c r="C961" i="1"/>
  <c r="B961" i="1" s="1"/>
  <c r="A961" i="1" s="1"/>
  <c r="S433" i="1"/>
  <c r="V433" i="1" s="1"/>
  <c r="AH433" i="1" s="1"/>
  <c r="S1046" i="1"/>
  <c r="V1046" i="1" s="1"/>
  <c r="AH1046" i="1" s="1"/>
  <c r="S685" i="1"/>
  <c r="V685" i="1" s="1"/>
  <c r="AH685" i="1" s="1"/>
  <c r="S1043" i="1"/>
  <c r="V1043" i="1" s="1"/>
  <c r="AH1043" i="1" s="1"/>
  <c r="S310" i="1"/>
  <c r="V310" i="1" s="1"/>
  <c r="AH310" i="1" s="1"/>
  <c r="C682" i="1"/>
  <c r="B682" i="1" s="1"/>
  <c r="A682" i="1" s="1"/>
  <c r="S1174" i="1"/>
  <c r="V1174" i="1" s="1"/>
  <c r="AH1174" i="1" s="1"/>
  <c r="S435" i="1"/>
  <c r="V435" i="1" s="1"/>
  <c r="AH435" i="1" s="1"/>
  <c r="C945" i="1"/>
  <c r="B945" i="1" s="1"/>
  <c r="A945" i="1" s="1"/>
  <c r="C764" i="1"/>
  <c r="B764" i="1" s="1"/>
  <c r="A764" i="1" s="1"/>
  <c r="C1004" i="1"/>
  <c r="B1004" i="1" s="1"/>
  <c r="A1004" i="1" s="1"/>
  <c r="S699" i="1"/>
  <c r="V699" i="1" s="1"/>
  <c r="AH699" i="1" s="1"/>
  <c r="C607" i="1"/>
  <c r="B607" i="1" s="1"/>
  <c r="A607" i="1" s="1"/>
  <c r="C1176" i="1"/>
  <c r="B1176" i="1" s="1"/>
  <c r="A1176" i="1" s="1"/>
  <c r="C913" i="1"/>
  <c r="B913" i="1" s="1"/>
  <c r="A913" i="1" s="1"/>
  <c r="S768" i="1"/>
  <c r="V768" i="1" s="1"/>
  <c r="AH768" i="1" s="1"/>
  <c r="C753" i="1"/>
  <c r="B753" i="1" s="1"/>
  <c r="A753" i="1" s="1"/>
  <c r="C660" i="1"/>
  <c r="B660" i="1" s="1"/>
  <c r="A660" i="1" s="1"/>
  <c r="S1085" i="1"/>
  <c r="V1085" i="1" s="1"/>
  <c r="AH1085" i="1" s="1"/>
  <c r="S1107" i="1"/>
  <c r="V1107" i="1" s="1"/>
  <c r="AH1107" i="1" s="1"/>
  <c r="S782" i="1"/>
  <c r="V782" i="1" s="1"/>
  <c r="AH782" i="1" s="1"/>
  <c r="S174" i="1"/>
  <c r="V174" i="1" s="1"/>
  <c r="AH174" i="1" s="1"/>
  <c r="C997" i="1"/>
  <c r="B997" i="1" s="1"/>
  <c r="A997" i="1" s="1"/>
  <c r="S1109" i="1"/>
  <c r="V1109" i="1" s="1"/>
  <c r="AH1109" i="1" s="1"/>
  <c r="S972" i="1"/>
  <c r="V972" i="1" s="1"/>
  <c r="AH972" i="1" s="1"/>
  <c r="S973" i="1"/>
  <c r="V973" i="1" s="1"/>
  <c r="AH973" i="1" s="1"/>
  <c r="C289" i="1"/>
  <c r="B289" i="1" s="1"/>
  <c r="A289" i="1" s="1"/>
  <c r="C704" i="1"/>
  <c r="B704" i="1" s="1"/>
  <c r="A704" i="1" s="1"/>
  <c r="C1066" i="1"/>
  <c r="B1066" i="1" s="1"/>
  <c r="A1066" i="1" s="1"/>
  <c r="S1025" i="1"/>
  <c r="V1025" i="1" s="1"/>
  <c r="AH1025" i="1" s="1"/>
  <c r="C958" i="1"/>
  <c r="B958" i="1" s="1"/>
  <c r="A958" i="1" s="1"/>
  <c r="S1090" i="1"/>
  <c r="V1090" i="1" s="1"/>
  <c r="AH1090" i="1" s="1"/>
  <c r="S376" i="1"/>
  <c r="V376" i="1" s="1"/>
  <c r="AH376" i="1" s="1"/>
  <c r="S565" i="1"/>
  <c r="V565" i="1" s="1"/>
  <c r="AH565" i="1" s="1"/>
  <c r="C637" i="1"/>
  <c r="B637" i="1" s="1"/>
  <c r="A637" i="1" s="1"/>
  <c r="C189" i="1"/>
  <c r="B189" i="1" s="1"/>
  <c r="A189" i="1" s="1"/>
  <c r="C198" i="1"/>
  <c r="B198" i="1" s="1"/>
  <c r="A198" i="1" s="1"/>
  <c r="S413" i="1"/>
  <c r="V413" i="1" s="1"/>
  <c r="AH413" i="1" s="1"/>
  <c r="C963" i="1"/>
  <c r="B963" i="1" s="1"/>
  <c r="A963" i="1" s="1"/>
  <c r="S6" i="1"/>
  <c r="V6" i="1" s="1"/>
  <c r="AH6" i="1" s="1"/>
  <c r="C974" i="1"/>
  <c r="B974" i="1" s="1"/>
  <c r="A974" i="1" s="1"/>
  <c r="C436" i="1"/>
  <c r="B436" i="1" s="1"/>
  <c r="A436" i="1" s="1"/>
  <c r="C339" i="1"/>
  <c r="B339" i="1" s="1"/>
  <c r="A339" i="1" s="1"/>
  <c r="C1070" i="1"/>
  <c r="B1070" i="1" s="1"/>
  <c r="A1070" i="1" s="1"/>
  <c r="C1105" i="1"/>
  <c r="B1105" i="1" s="1"/>
  <c r="A1105" i="1" s="1"/>
  <c r="C18" i="1"/>
  <c r="B18" i="1" s="1"/>
  <c r="A18" i="1" s="1"/>
  <c r="S714" i="1"/>
  <c r="V714" i="1" s="1"/>
  <c r="AH714" i="1" s="1"/>
  <c r="C944" i="1"/>
  <c r="B944" i="1" s="1"/>
  <c r="A944" i="1" s="1"/>
  <c r="S713" i="1"/>
  <c r="V713" i="1" s="1"/>
  <c r="AH713" i="1" s="1"/>
  <c r="S1035" i="1"/>
  <c r="V1035" i="1" s="1"/>
  <c r="AH1035" i="1" s="1"/>
  <c r="S23" i="1"/>
  <c r="V23" i="1" s="1"/>
  <c r="AH23" i="1" s="1"/>
  <c r="S506" i="1"/>
  <c r="V506" i="1" s="1"/>
  <c r="AH506" i="1" s="1"/>
  <c r="S387" i="1"/>
  <c r="V387" i="1" s="1"/>
  <c r="AH387" i="1" s="1"/>
  <c r="C684" i="1"/>
  <c r="B684" i="1" s="1"/>
  <c r="A684" i="1" s="1"/>
  <c r="C449" i="1"/>
  <c r="B449" i="1" s="1"/>
  <c r="A449" i="1" s="1"/>
  <c r="S432" i="1"/>
  <c r="V432" i="1" s="1"/>
  <c r="AH432" i="1" s="1"/>
  <c r="C329" i="1"/>
  <c r="B329" i="1" s="1"/>
  <c r="A329" i="1" s="1"/>
  <c r="S832" i="1"/>
  <c r="V832" i="1" s="1"/>
  <c r="AH832" i="1" s="1"/>
  <c r="S652" i="1"/>
  <c r="V652" i="1" s="1"/>
  <c r="AH652" i="1" s="1"/>
  <c r="S842" i="1"/>
  <c r="V842" i="1" s="1"/>
  <c r="AH842" i="1" s="1"/>
  <c r="C699" i="1"/>
  <c r="B699" i="1" s="1"/>
  <c r="A699" i="1" s="1"/>
  <c r="S681" i="1"/>
  <c r="V681" i="1" s="1"/>
  <c r="AH681" i="1" s="1"/>
  <c r="C855" i="1"/>
  <c r="B855" i="1" s="1"/>
  <c r="A855" i="1" s="1"/>
  <c r="C815" i="1"/>
  <c r="B815" i="1" s="1"/>
  <c r="A815" i="1" s="1"/>
  <c r="S924" i="1"/>
  <c r="V924" i="1" s="1"/>
  <c r="AH924" i="1" s="1"/>
  <c r="C1098" i="1"/>
  <c r="B1098" i="1" s="1"/>
  <c r="A1098" i="1" s="1"/>
  <c r="S222" i="1"/>
  <c r="V222" i="1" s="1"/>
  <c r="AH222" i="1" s="1"/>
  <c r="C264" i="1"/>
  <c r="B264" i="1" s="1"/>
  <c r="A264" i="1" s="1"/>
  <c r="S491" i="1"/>
  <c r="V491" i="1" s="1"/>
  <c r="AH491" i="1" s="1"/>
  <c r="S896" i="1"/>
  <c r="V896" i="1" s="1"/>
  <c r="AH896" i="1" s="1"/>
  <c r="C291" i="1"/>
  <c r="B291" i="1" s="1"/>
  <c r="A291" i="1" s="1"/>
  <c r="S423" i="1"/>
  <c r="V423" i="1" s="1"/>
  <c r="AH423" i="1" s="1"/>
  <c r="C769" i="1"/>
  <c r="B769" i="1" s="1"/>
  <c r="A769" i="1" s="1"/>
  <c r="P1187" i="1"/>
  <c r="C932" i="1"/>
  <c r="B932" i="1" s="1"/>
  <c r="A932" i="1" s="1"/>
  <c r="S1067" i="1"/>
  <c r="V1067" i="1" s="1"/>
  <c r="AH1067" i="1" s="1"/>
  <c r="C34" i="1"/>
  <c r="B34" i="1" s="1"/>
  <c r="A34" i="1" s="1"/>
  <c r="C1002" i="1"/>
  <c r="B1002" i="1" s="1"/>
  <c r="A1002" i="1" s="1"/>
  <c r="C133" i="1"/>
  <c r="B133" i="1" s="1"/>
  <c r="A133" i="1" s="1"/>
  <c r="S1020" i="1"/>
  <c r="V1020" i="1" s="1"/>
  <c r="AH1020" i="1" s="1"/>
  <c r="C193" i="1"/>
  <c r="B193" i="1" s="1"/>
  <c r="A193" i="1" s="1"/>
  <c r="S509" i="1"/>
  <c r="V509" i="1" s="1"/>
  <c r="AH509" i="1" s="1"/>
  <c r="S887" i="1"/>
  <c r="V887" i="1" s="1"/>
  <c r="AH887" i="1" s="1"/>
  <c r="S1103" i="1"/>
  <c r="V1103" i="1" s="1"/>
  <c r="AH1103" i="1" s="1"/>
  <c r="C220" i="1"/>
  <c r="B220" i="1" s="1"/>
  <c r="A220" i="1" s="1"/>
  <c r="C150" i="1"/>
  <c r="B150" i="1" s="1"/>
  <c r="A150" i="1" s="1"/>
  <c r="S1132" i="1"/>
  <c r="V1132" i="1" s="1"/>
  <c r="AH1132" i="1" s="1"/>
  <c r="C480" i="1"/>
  <c r="B480" i="1" s="1"/>
  <c r="A480" i="1" s="1"/>
  <c r="C458" i="1"/>
  <c r="B458" i="1" s="1"/>
  <c r="A458" i="1" s="1"/>
  <c r="C17" i="1"/>
  <c r="B17" i="1" s="1"/>
  <c r="A17" i="1" s="1"/>
  <c r="S792" i="1"/>
  <c r="V792" i="1" s="1"/>
  <c r="AH792" i="1" s="1"/>
  <c r="C215" i="1"/>
  <c r="B215" i="1" s="1"/>
  <c r="A215" i="1" s="1"/>
  <c r="C170" i="1"/>
  <c r="B170" i="1" s="1"/>
  <c r="A170" i="1" s="1"/>
  <c r="C427" i="1"/>
  <c r="B427" i="1" s="1"/>
  <c r="A427" i="1" s="1"/>
  <c r="C312" i="1"/>
  <c r="B312" i="1" s="1"/>
  <c r="A312" i="1" s="1"/>
  <c r="C411" i="1"/>
  <c r="B411" i="1" s="1"/>
  <c r="A411" i="1" s="1"/>
  <c r="C6" i="1"/>
  <c r="B6" i="1" s="1"/>
  <c r="A6" i="1" s="1"/>
  <c r="C79" i="1"/>
  <c r="B79" i="1" s="1"/>
  <c r="A79" i="1" s="1"/>
  <c r="S909" i="1"/>
  <c r="V909" i="1" s="1"/>
  <c r="AH909" i="1" s="1"/>
  <c r="C310" i="1"/>
  <c r="B310" i="1" s="1"/>
  <c r="A310" i="1" s="1"/>
  <c r="C98" i="1"/>
  <c r="B98" i="1" s="1"/>
  <c r="A98" i="1" s="1"/>
  <c r="S176" i="1"/>
  <c r="V176" i="1" s="1"/>
  <c r="AH176" i="1" s="1"/>
  <c r="C1192" i="1"/>
  <c r="B1192" i="1" s="1"/>
  <c r="A1192" i="1" s="1"/>
  <c r="S515" i="1"/>
  <c r="V515" i="1" s="1"/>
  <c r="AH515" i="1" s="1"/>
  <c r="S733" i="1"/>
  <c r="V733" i="1" s="1"/>
  <c r="AH733" i="1" s="1"/>
  <c r="C388" i="1"/>
  <c r="B388" i="1" s="1"/>
  <c r="A388" i="1" s="1"/>
  <c r="C565" i="1"/>
  <c r="B565" i="1" s="1"/>
  <c r="A565" i="1" s="1"/>
  <c r="C393" i="1"/>
  <c r="B393" i="1" s="1"/>
  <c r="A393" i="1" s="1"/>
  <c r="C481" i="1"/>
  <c r="B481" i="1" s="1"/>
  <c r="A481" i="1" s="1"/>
  <c r="S244" i="1"/>
  <c r="V244" i="1" s="1"/>
  <c r="AH244" i="1" s="1"/>
  <c r="C589" i="1"/>
  <c r="B589" i="1" s="1"/>
  <c r="A589" i="1" s="1"/>
  <c r="C165" i="1"/>
  <c r="B165" i="1" s="1"/>
  <c r="A165" i="1" s="1"/>
  <c r="C374" i="1"/>
  <c r="B374" i="1" s="1"/>
  <c r="A374" i="1" s="1"/>
  <c r="C1063" i="1"/>
  <c r="B1063" i="1" s="1"/>
  <c r="A1063" i="1" s="1"/>
  <c r="S555" i="1"/>
  <c r="V555" i="1" s="1"/>
  <c r="AH555" i="1" s="1"/>
  <c r="C579" i="1"/>
  <c r="B579" i="1" s="1"/>
  <c r="A579" i="1" s="1"/>
  <c r="S550" i="1"/>
  <c r="V550" i="1" s="1"/>
  <c r="AH550" i="1" s="1"/>
  <c r="C972" i="1"/>
  <c r="B972" i="1" s="1"/>
  <c r="A972" i="1" s="1"/>
  <c r="S172" i="1"/>
  <c r="V172" i="1" s="1"/>
  <c r="AH172" i="1" s="1"/>
  <c r="S250" i="1"/>
  <c r="V250" i="1" s="1"/>
  <c r="AH250" i="1" s="1"/>
  <c r="C1197" i="1"/>
  <c r="B1197" i="1" s="1"/>
  <c r="A1197" i="1" s="1"/>
  <c r="C668" i="1"/>
  <c r="B668" i="1" s="1"/>
  <c r="A668" i="1" s="1"/>
  <c r="S762" i="1"/>
  <c r="V762" i="1" s="1"/>
  <c r="AH762" i="1" s="1"/>
  <c r="S1173" i="1"/>
  <c r="V1173" i="1" s="1"/>
  <c r="AH1173" i="1" s="1"/>
  <c r="C811" i="1"/>
  <c r="B811" i="1" s="1"/>
  <c r="A811" i="1" s="1"/>
  <c r="Q1009" i="1"/>
  <c r="S800" i="1"/>
  <c r="V800" i="1" s="1"/>
  <c r="AH800" i="1" s="1"/>
  <c r="S1161" i="1"/>
  <c r="V1161" i="1" s="1"/>
  <c r="AH1161" i="1" s="1"/>
  <c r="C1079" i="1"/>
  <c r="B1079" i="1" s="1"/>
  <c r="A1079" i="1" s="1"/>
  <c r="C834" i="1"/>
  <c r="B834" i="1" s="1"/>
  <c r="A834" i="1" s="1"/>
  <c r="C774" i="1"/>
  <c r="B774" i="1" s="1"/>
  <c r="A774" i="1" s="1"/>
  <c r="S867" i="1"/>
  <c r="V867" i="1" s="1"/>
  <c r="AH867" i="1" s="1"/>
  <c r="S340" i="1"/>
  <c r="V340" i="1" s="1"/>
  <c r="AH340" i="1" s="1"/>
  <c r="C630" i="1"/>
  <c r="B630" i="1" s="1"/>
  <c r="A630" i="1" s="1"/>
  <c r="C260" i="1"/>
  <c r="B260" i="1" s="1"/>
  <c r="A260" i="1" s="1"/>
  <c r="C784" i="1"/>
  <c r="B784" i="1" s="1"/>
  <c r="A784" i="1" s="1"/>
  <c r="C979" i="1"/>
  <c r="B979" i="1" s="1"/>
  <c r="A979" i="1" s="1"/>
  <c r="S978" i="1"/>
  <c r="V978" i="1" s="1"/>
  <c r="AH978" i="1" s="1"/>
  <c r="S1057" i="1"/>
  <c r="V1057" i="1" s="1"/>
  <c r="AH1057" i="1" s="1"/>
  <c r="S1054" i="1"/>
  <c r="V1054" i="1" s="1"/>
  <c r="AH1054" i="1" s="1"/>
  <c r="S813" i="1"/>
  <c r="V813" i="1" s="1"/>
  <c r="AH813" i="1" s="1"/>
  <c r="S808" i="1"/>
  <c r="V808" i="1" s="1"/>
  <c r="AH808" i="1" s="1"/>
  <c r="C592" i="1"/>
  <c r="B592" i="1" s="1"/>
  <c r="A592" i="1" s="1"/>
  <c r="C506" i="1"/>
  <c r="B506" i="1" s="1"/>
  <c r="A506" i="1" s="1"/>
  <c r="C362" i="1"/>
  <c r="B362" i="1" s="1"/>
  <c r="A362" i="1" s="1"/>
  <c r="C839" i="1"/>
  <c r="B839" i="1" s="1"/>
  <c r="A839" i="1" s="1"/>
  <c r="C1210" i="1"/>
  <c r="B1210" i="1" s="1"/>
  <c r="A1210" i="1" s="1"/>
  <c r="C841" i="1"/>
  <c r="B841" i="1" s="1"/>
  <c r="A841" i="1" s="1"/>
  <c r="S215" i="1"/>
  <c r="V215" i="1" s="1"/>
  <c r="AH215" i="1" s="1"/>
  <c r="S236" i="1"/>
  <c r="V236" i="1" s="1"/>
  <c r="AH236" i="1" s="1"/>
  <c r="C780" i="1"/>
  <c r="B780" i="1" s="1"/>
  <c r="A780" i="1" s="1"/>
  <c r="C886" i="1"/>
  <c r="B886" i="1" s="1"/>
  <c r="A886" i="1" s="1"/>
  <c r="C710" i="1"/>
  <c r="B710" i="1" s="1"/>
  <c r="A710" i="1" s="1"/>
  <c r="S695" i="1"/>
  <c r="V695" i="1" s="1"/>
  <c r="AH695" i="1" s="1"/>
  <c r="S1002" i="1"/>
  <c r="V1002" i="1" s="1"/>
  <c r="AH1002" i="1" s="1"/>
  <c r="S756" i="1"/>
  <c r="V756" i="1" s="1"/>
  <c r="AH756" i="1" s="1"/>
  <c r="C415" i="1"/>
  <c r="B415" i="1" s="1"/>
  <c r="A415" i="1" s="1"/>
  <c r="C544" i="1"/>
  <c r="B544" i="1" s="1"/>
  <c r="A544" i="1" s="1"/>
  <c r="C849" i="1"/>
  <c r="B849" i="1" s="1"/>
  <c r="A849" i="1" s="1"/>
  <c r="S734" i="1"/>
  <c r="V734" i="1" s="1"/>
  <c r="AH734" i="1" s="1"/>
  <c r="C1162" i="1"/>
  <c r="B1162" i="1" s="1"/>
  <c r="A1162" i="1" s="1"/>
  <c r="S703" i="1"/>
  <c r="V703" i="1" s="1"/>
  <c r="AH703" i="1" s="1"/>
  <c r="S905" i="1"/>
  <c r="V905" i="1" s="1"/>
  <c r="AH905" i="1" s="1"/>
  <c r="C1193" i="1"/>
  <c r="B1193" i="1" s="1"/>
  <c r="A1193" i="1" s="1"/>
  <c r="C263" i="1"/>
  <c r="B263" i="1" s="1"/>
  <c r="A263" i="1" s="1"/>
  <c r="C158" i="1"/>
  <c r="B158" i="1" s="1"/>
  <c r="A158" i="1" s="1"/>
  <c r="S141" i="1"/>
  <c r="V141" i="1" s="1"/>
  <c r="AH141" i="1" s="1"/>
  <c r="S837" i="1"/>
  <c r="V837" i="1" s="1"/>
  <c r="AH837" i="1" s="1"/>
  <c r="C1177" i="1"/>
  <c r="B1177" i="1" s="1"/>
  <c r="A1177" i="1" s="1"/>
  <c r="S134" i="1"/>
  <c r="V134" i="1" s="1"/>
  <c r="AH134" i="1" s="1"/>
  <c r="C81" i="1"/>
  <c r="B81" i="1" s="1"/>
  <c r="A81" i="1" s="1"/>
  <c r="C335" i="1"/>
  <c r="B335" i="1" s="1"/>
  <c r="A335" i="1" s="1"/>
  <c r="S79" i="1"/>
  <c r="V79" i="1" s="1"/>
  <c r="AH79" i="1" s="1"/>
  <c r="S687" i="1"/>
  <c r="V687" i="1" s="1"/>
  <c r="AH687" i="1" s="1"/>
  <c r="C595" i="1"/>
  <c r="B595" i="1" s="1"/>
  <c r="A595" i="1" s="1"/>
  <c r="C392" i="1"/>
  <c r="B392" i="1" s="1"/>
  <c r="A392" i="1" s="1"/>
  <c r="S460" i="1"/>
  <c r="V460" i="1" s="1"/>
  <c r="AH460" i="1" s="1"/>
  <c r="S1099" i="1"/>
  <c r="V1099" i="1" s="1"/>
  <c r="AH1099" i="1" s="1"/>
  <c r="S375" i="1"/>
  <c r="V375" i="1" s="1"/>
  <c r="AH375" i="1" s="1"/>
  <c r="S4" i="1"/>
  <c r="V4" i="1" s="1"/>
  <c r="AH4" i="1" s="1"/>
  <c r="S671" i="1"/>
  <c r="V671" i="1" s="1"/>
  <c r="AH671" i="1" s="1"/>
  <c r="C268" i="1"/>
  <c r="B268" i="1" s="1"/>
  <c r="A268" i="1" s="1"/>
  <c r="S547" i="1"/>
  <c r="V547" i="1" s="1"/>
  <c r="AH547" i="1" s="1"/>
  <c r="S996" i="1"/>
  <c r="V996" i="1" s="1"/>
  <c r="AH996" i="1" s="1"/>
  <c r="S378" i="1"/>
  <c r="V378" i="1" s="1"/>
  <c r="AH378" i="1" s="1"/>
  <c r="S53" i="1"/>
  <c r="V53" i="1" s="1"/>
  <c r="AH53" i="1" s="1"/>
  <c r="S624" i="1"/>
  <c r="V624" i="1" s="1"/>
  <c r="AH624" i="1" s="1"/>
  <c r="C192" i="1"/>
  <c r="B192" i="1" s="1"/>
  <c r="A192" i="1" s="1"/>
  <c r="S897" i="1"/>
  <c r="V897" i="1" s="1"/>
  <c r="AH897" i="1" s="1"/>
  <c r="S229" i="1"/>
  <c r="V229" i="1" s="1"/>
  <c r="AH229" i="1" s="1"/>
  <c r="C118" i="1"/>
  <c r="B118" i="1" s="1"/>
  <c r="A118" i="1" s="1"/>
  <c r="S616" i="1"/>
  <c r="V616" i="1" s="1"/>
  <c r="AH616" i="1" s="1"/>
  <c r="S478" i="1"/>
  <c r="V478" i="1" s="1"/>
  <c r="AH478" i="1" s="1"/>
  <c r="C1099" i="1"/>
  <c r="B1099" i="1" s="1"/>
  <c r="A1099" i="1" s="1"/>
  <c r="S1065" i="1"/>
  <c r="V1065" i="1" s="1"/>
  <c r="AH1065" i="1" s="1"/>
  <c r="C571" i="1"/>
  <c r="B571" i="1" s="1"/>
  <c r="A571" i="1" s="1"/>
  <c r="S453" i="1"/>
  <c r="V453" i="1" s="1"/>
  <c r="AH453" i="1" s="1"/>
  <c r="S1166" i="1"/>
  <c r="V1166" i="1" s="1"/>
  <c r="AH1166" i="1" s="1"/>
  <c r="S202" i="1"/>
  <c r="V202" i="1" s="1"/>
  <c r="AH202" i="1" s="1"/>
  <c r="S789" i="1"/>
  <c r="V789" i="1" s="1"/>
  <c r="AH789" i="1" s="1"/>
  <c r="S935" i="1"/>
  <c r="V935" i="1" s="1"/>
  <c r="AH935" i="1" s="1"/>
  <c r="S7" i="1"/>
  <c r="V7" i="1" s="1"/>
  <c r="AH7" i="1" s="1"/>
  <c r="S689" i="1"/>
  <c r="V689" i="1" s="1"/>
  <c r="AH689" i="1" s="1"/>
  <c r="P1193" i="1"/>
  <c r="C270" i="1"/>
  <c r="B270" i="1" s="1"/>
  <c r="A270" i="1" s="1"/>
  <c r="S42" i="1"/>
  <c r="V42" i="1" s="1"/>
  <c r="AH42" i="1" s="1"/>
  <c r="S62" i="1"/>
  <c r="V62" i="1" s="1"/>
  <c r="AH62" i="1" s="1"/>
  <c r="S277" i="1"/>
  <c r="V277" i="1" s="1"/>
  <c r="AH277" i="1" s="1"/>
  <c r="C76" i="1"/>
  <c r="B76" i="1" s="1"/>
  <c r="A76" i="1" s="1"/>
  <c r="C686" i="1"/>
  <c r="B686" i="1" s="1"/>
  <c r="A686" i="1" s="1"/>
  <c r="C673" i="1"/>
  <c r="B673" i="1" s="1"/>
  <c r="A673" i="1" s="1"/>
  <c r="C413" i="1"/>
  <c r="B413" i="1" s="1"/>
  <c r="A413" i="1" s="1"/>
  <c r="C853" i="1"/>
  <c r="B853" i="1" s="1"/>
  <c r="A853" i="1" s="1"/>
  <c r="C456" i="1"/>
  <c r="B456" i="1" s="1"/>
  <c r="A456" i="1" s="1"/>
  <c r="S1005" i="1"/>
  <c r="V1005" i="1" s="1"/>
  <c r="AH1005" i="1" s="1"/>
  <c r="C807" i="1"/>
  <c r="B807" i="1" s="1"/>
  <c r="A807" i="1" s="1"/>
  <c r="S848" i="1"/>
  <c r="V848" i="1" s="1"/>
  <c r="AH848" i="1" s="1"/>
  <c r="P1198" i="1"/>
  <c r="P1204" i="1"/>
  <c r="C860" i="1"/>
  <c r="B860" i="1" s="1"/>
  <c r="A860" i="1" s="1"/>
  <c r="S702" i="1"/>
  <c r="V702" i="1" s="1"/>
  <c r="AH702" i="1" s="1"/>
  <c r="C771" i="1"/>
  <c r="B771" i="1" s="1"/>
  <c r="A771" i="1" s="1"/>
  <c r="C46" i="1"/>
  <c r="B46" i="1" s="1"/>
  <c r="A46" i="1" s="1"/>
  <c r="C286" i="1"/>
  <c r="B286" i="1" s="1"/>
  <c r="A286" i="1" s="1"/>
  <c r="P1199" i="1"/>
  <c r="C662" i="1"/>
  <c r="B662" i="1" s="1"/>
  <c r="A662" i="1" s="1"/>
  <c r="S690" i="1"/>
  <c r="V690" i="1" s="1"/>
  <c r="AH690" i="1" s="1"/>
  <c r="S98" i="1"/>
  <c r="V98" i="1" s="1"/>
  <c r="AH98" i="1" s="1"/>
  <c r="S335" i="1"/>
  <c r="V335" i="1" s="1"/>
  <c r="AH335" i="1" s="1"/>
  <c r="S579" i="1"/>
  <c r="V579" i="1" s="1"/>
  <c r="AH579" i="1" s="1"/>
  <c r="S829" i="1"/>
  <c r="V829" i="1" s="1"/>
  <c r="AH829" i="1" s="1"/>
  <c r="C167" i="1"/>
  <c r="B167" i="1" s="1"/>
  <c r="A167" i="1" s="1"/>
  <c r="C1107" i="1"/>
  <c r="B1107" i="1" s="1"/>
  <c r="A1107" i="1" s="1"/>
  <c r="S262" i="1"/>
  <c r="V262" i="1" s="1"/>
  <c r="AH262" i="1" s="1"/>
  <c r="C665" i="1"/>
  <c r="B665" i="1" s="1"/>
  <c r="A665" i="1" s="1"/>
  <c r="C322" i="1"/>
  <c r="B322" i="1" s="1"/>
  <c r="A322" i="1" s="1"/>
  <c r="S530" i="1"/>
  <c r="V530" i="1" s="1"/>
  <c r="AH530" i="1" s="1"/>
  <c r="S321" i="1"/>
  <c r="V321" i="1" s="1"/>
  <c r="AH321" i="1" s="1"/>
  <c r="S1017" i="1"/>
  <c r="V1017" i="1" s="1"/>
  <c r="AH1017" i="1" s="1"/>
  <c r="C876" i="1"/>
  <c r="B876" i="1" s="1"/>
  <c r="A876" i="1" s="1"/>
  <c r="C298" i="1"/>
  <c r="B298" i="1" s="1"/>
  <c r="A298" i="1" s="1"/>
  <c r="C3" i="1"/>
  <c r="B3" i="1" s="1"/>
  <c r="A3" i="1" s="1"/>
  <c r="S421" i="1"/>
  <c r="V421" i="1" s="1"/>
  <c r="AH421" i="1" s="1"/>
  <c r="C635" i="1"/>
  <c r="B635" i="1" s="1"/>
  <c r="A635" i="1" s="1"/>
  <c r="C883" i="1"/>
  <c r="B883" i="1" s="1"/>
  <c r="A883" i="1" s="1"/>
  <c r="C1209" i="1"/>
  <c r="B1209" i="1" s="1"/>
  <c r="A1209" i="1" s="1"/>
  <c r="S1004" i="1"/>
  <c r="V1004" i="1" s="1"/>
  <c r="AH1004" i="1" s="1"/>
  <c r="S705" i="1"/>
  <c r="V705" i="1" s="1"/>
  <c r="AH705" i="1" s="1"/>
  <c r="S810" i="1"/>
  <c r="V810" i="1" s="1"/>
  <c r="AH810" i="1" s="1"/>
  <c r="C778" i="1"/>
  <c r="B778" i="1" s="1"/>
  <c r="A778" i="1" s="1"/>
  <c r="C1171" i="1"/>
  <c r="B1171" i="1" s="1"/>
  <c r="A1171" i="1" s="1"/>
  <c r="C1180" i="1"/>
  <c r="B1180" i="1" s="1"/>
  <c r="A1180" i="1" s="1"/>
  <c r="S698" i="1"/>
  <c r="V698" i="1" s="1"/>
  <c r="AH698" i="1" s="1"/>
  <c r="C482" i="1"/>
  <c r="B482" i="1" s="1"/>
  <c r="A482" i="1" s="1"/>
  <c r="S958" i="1"/>
  <c r="V958" i="1" s="1"/>
  <c r="AH958" i="1" s="1"/>
  <c r="C606" i="1"/>
  <c r="B606" i="1" s="1"/>
  <c r="A606" i="1" s="1"/>
  <c r="S40" i="1"/>
  <c r="V40" i="1" s="1"/>
  <c r="AH40" i="1" s="1"/>
  <c r="C417" i="1"/>
  <c r="B417" i="1" s="1"/>
  <c r="A417" i="1" s="1"/>
  <c r="S444" i="1"/>
  <c r="V444" i="1" s="1"/>
  <c r="AH444" i="1" s="1"/>
  <c r="C922" i="1"/>
  <c r="B922" i="1" s="1"/>
  <c r="A922" i="1" s="1"/>
  <c r="S1003" i="1"/>
  <c r="V1003" i="1" s="1"/>
  <c r="AH1003" i="1" s="1"/>
  <c r="S746" i="1"/>
  <c r="V746" i="1" s="1"/>
  <c r="AH746" i="1" s="1"/>
  <c r="S589" i="1"/>
  <c r="V589" i="1" s="1"/>
  <c r="AH589" i="1" s="1"/>
  <c r="S324" i="1"/>
  <c r="V324" i="1" s="1"/>
  <c r="AH324" i="1" s="1"/>
  <c r="C173" i="1"/>
  <c r="B173" i="1" s="1"/>
  <c r="A173" i="1" s="1"/>
  <c r="S1060" i="1"/>
  <c r="V1060" i="1" s="1"/>
  <c r="AH1060" i="1" s="1"/>
  <c r="S296" i="1"/>
  <c r="V296" i="1" s="1"/>
  <c r="AH296" i="1" s="1"/>
  <c r="C252" i="1"/>
  <c r="B252" i="1" s="1"/>
  <c r="A252" i="1" s="1"/>
  <c r="S679" i="1"/>
  <c r="V679" i="1" s="1"/>
  <c r="AH679" i="1" s="1"/>
  <c r="S17" i="1"/>
  <c r="V17" i="1" s="1"/>
  <c r="AH17" i="1" s="1"/>
  <c r="C983" i="1"/>
  <c r="B983" i="1" s="1"/>
  <c r="A983" i="1" s="1"/>
  <c r="S326" i="1"/>
  <c r="V326" i="1" s="1"/>
  <c r="AH326" i="1" s="1"/>
  <c r="S461" i="1"/>
  <c r="V461" i="1" s="1"/>
  <c r="AH461" i="1" s="1"/>
  <c r="S1055" i="1"/>
  <c r="V1055" i="1" s="1"/>
  <c r="AH1055" i="1" s="1"/>
  <c r="S395" i="1"/>
  <c r="V395" i="1" s="1"/>
  <c r="AH395" i="1" s="1"/>
  <c r="S889" i="1"/>
  <c r="V889" i="1" s="1"/>
  <c r="AH889" i="1" s="1"/>
  <c r="S516" i="1"/>
  <c r="V516" i="1" s="1"/>
  <c r="AH516" i="1" s="1"/>
  <c r="C365" i="1"/>
  <c r="B365" i="1" s="1"/>
  <c r="A365" i="1" s="1"/>
  <c r="S840" i="1"/>
  <c r="V840" i="1" s="1"/>
  <c r="AH840" i="1" s="1"/>
  <c r="C161" i="1"/>
  <c r="B161" i="1" s="1"/>
  <c r="A161" i="1" s="1"/>
  <c r="C426" i="1"/>
  <c r="B426" i="1" s="1"/>
  <c r="A426" i="1" s="1"/>
  <c r="S203" i="1"/>
  <c r="V203" i="1" s="1"/>
  <c r="AH203" i="1" s="1"/>
  <c r="S892" i="1"/>
  <c r="V892" i="1" s="1"/>
  <c r="AH892" i="1" s="1"/>
  <c r="S844" i="1"/>
  <c r="V844" i="1" s="1"/>
  <c r="AH844" i="1" s="1"/>
  <c r="C597" i="1"/>
  <c r="B597" i="1" s="1"/>
  <c r="A597" i="1" s="1"/>
  <c r="C1084" i="1"/>
  <c r="B1084" i="1" s="1"/>
  <c r="A1084" i="1" s="1"/>
  <c r="C512" i="1"/>
  <c r="B512" i="1" s="1"/>
  <c r="A512" i="1" s="1"/>
  <c r="C795" i="1"/>
  <c r="B795" i="1" s="1"/>
  <c r="A795" i="1" s="1"/>
  <c r="C919" i="1"/>
  <c r="B919" i="1" s="1"/>
  <c r="A919" i="1" s="1"/>
  <c r="C384" i="1"/>
  <c r="B384" i="1" s="1"/>
  <c r="A384" i="1" s="1"/>
  <c r="C572" i="1"/>
  <c r="B572" i="1" s="1"/>
  <c r="A572" i="1" s="1"/>
  <c r="C802" i="1"/>
  <c r="B802" i="1" s="1"/>
  <c r="A802" i="1" s="1"/>
  <c r="S637" i="1"/>
  <c r="V637" i="1" s="1"/>
  <c r="AH637" i="1" s="1"/>
  <c r="S739" i="1"/>
  <c r="V739" i="1" s="1"/>
  <c r="AH739" i="1" s="1"/>
  <c r="C551" i="1"/>
  <c r="B551" i="1" s="1"/>
  <c r="A551" i="1" s="1"/>
  <c r="C993" i="1"/>
  <c r="B993" i="1" s="1"/>
  <c r="A993" i="1" s="1"/>
  <c r="C776" i="1"/>
  <c r="B776" i="1" s="1"/>
  <c r="A776" i="1" s="1"/>
  <c r="C794" i="1"/>
  <c r="B794" i="1" s="1"/>
  <c r="A794" i="1" s="1"/>
  <c r="C715" i="1"/>
  <c r="B715" i="1" s="1"/>
  <c r="A715" i="1" s="1"/>
  <c r="S257" i="1"/>
  <c r="V257" i="1" s="1"/>
  <c r="AH257" i="1" s="1"/>
  <c r="C122" i="1"/>
  <c r="B122" i="1" s="1"/>
  <c r="A122" i="1" s="1"/>
  <c r="S1068" i="1"/>
  <c r="V1068" i="1" s="1"/>
  <c r="AH1068" i="1" s="1"/>
  <c r="S1091" i="1"/>
  <c r="V1091" i="1" s="1"/>
  <c r="AH1091" i="1" s="1"/>
  <c r="C969" i="1"/>
  <c r="B969" i="1" s="1"/>
  <c r="A969" i="1" s="1"/>
  <c r="C224" i="1"/>
  <c r="B224" i="1" s="1"/>
  <c r="A224" i="1" s="1"/>
  <c r="S908" i="1"/>
  <c r="V908" i="1" s="1"/>
  <c r="AH908" i="1" s="1"/>
  <c r="C656" i="1"/>
  <c r="B656" i="1" s="1"/>
  <c r="A656" i="1" s="1"/>
  <c r="S777" i="1"/>
  <c r="V777" i="1" s="1"/>
  <c r="AH777" i="1" s="1"/>
  <c r="S291" i="1"/>
  <c r="V291" i="1" s="1"/>
  <c r="AH291" i="1" s="1"/>
  <c r="S774" i="1"/>
  <c r="V774" i="1" s="1"/>
  <c r="AH774" i="1" s="1"/>
  <c r="C315" i="1"/>
  <c r="B315" i="1" s="1"/>
  <c r="A315" i="1" s="1"/>
  <c r="S1007" i="1"/>
  <c r="V1007" i="1" s="1"/>
  <c r="AH1007" i="1" s="1"/>
  <c r="C636" i="1"/>
  <c r="B636" i="1" s="1"/>
  <c r="A636" i="1" s="1"/>
  <c r="C232" i="1"/>
  <c r="B232" i="1" s="1"/>
  <c r="A232" i="1" s="1"/>
  <c r="S994" i="1"/>
  <c r="V994" i="1" s="1"/>
  <c r="AH994" i="1" s="1"/>
  <c r="C1158" i="1"/>
  <c r="B1158" i="1" s="1"/>
  <c r="A1158" i="1" s="1"/>
  <c r="S783" i="1"/>
  <c r="V783" i="1" s="1"/>
  <c r="AH783" i="1" s="1"/>
  <c r="S356" i="1"/>
  <c r="V356" i="1" s="1"/>
  <c r="AH356" i="1" s="1"/>
  <c r="S301" i="1"/>
  <c r="V301" i="1" s="1"/>
  <c r="AH301" i="1" s="1"/>
  <c r="S902" i="1"/>
  <c r="V902" i="1" s="1"/>
  <c r="AH902" i="1" s="1"/>
  <c r="C1087" i="1"/>
  <c r="B1087" i="1" s="1"/>
  <c r="A1087" i="1" s="1"/>
  <c r="C126" i="1"/>
  <c r="B126" i="1" s="1"/>
  <c r="A126" i="1" s="1"/>
  <c r="C319" i="1"/>
  <c r="B319" i="1" s="1"/>
  <c r="A319" i="1" s="1"/>
  <c r="C576" i="1"/>
  <c r="B576" i="1" s="1"/>
  <c r="A576" i="1" s="1"/>
  <c r="C535" i="1"/>
  <c r="B535" i="1" s="1"/>
  <c r="A535" i="1" s="1"/>
  <c r="S622" i="1"/>
  <c r="V622" i="1" s="1"/>
  <c r="AH622" i="1" s="1"/>
  <c r="S618" i="1"/>
  <c r="V618" i="1" s="1"/>
  <c r="AH618" i="1" s="1"/>
  <c r="S998" i="1"/>
  <c r="V998" i="1" s="1"/>
  <c r="AH998" i="1" s="1"/>
  <c r="S1143" i="1"/>
  <c r="V1143" i="1" s="1"/>
  <c r="AH1143" i="1" s="1"/>
  <c r="C138" i="1"/>
  <c r="B138" i="1" s="1"/>
  <c r="A138" i="1" s="1"/>
  <c r="S329" i="1"/>
  <c r="V329" i="1" s="1"/>
  <c r="AH329" i="1" s="1"/>
  <c r="C695" i="1"/>
  <c r="B695" i="1" s="1"/>
  <c r="A695" i="1" s="1"/>
  <c r="S397" i="1"/>
  <c r="V397" i="1" s="1"/>
  <c r="AH397" i="1" s="1"/>
  <c r="C608" i="1"/>
  <c r="B608" i="1" s="1"/>
  <c r="A608" i="1" s="1"/>
  <c r="S1153" i="1"/>
  <c r="V1153" i="1" s="1"/>
  <c r="AH1153" i="1" s="1"/>
  <c r="S718" i="1"/>
  <c r="V718" i="1" s="1"/>
  <c r="AH718" i="1" s="1"/>
  <c r="C227" i="1"/>
  <c r="B227" i="1" s="1"/>
  <c r="A227" i="1" s="1"/>
  <c r="C934" i="1"/>
  <c r="B934" i="1" s="1"/>
  <c r="A934" i="1" s="1"/>
  <c r="C899" i="1"/>
  <c r="B899" i="1" s="1"/>
  <c r="A899" i="1" s="1"/>
  <c r="C711" i="1"/>
  <c r="B711" i="1" s="1"/>
  <c r="A711" i="1" s="1"/>
  <c r="C219" i="1"/>
  <c r="B219" i="1" s="1"/>
  <c r="A219" i="1" s="1"/>
  <c r="S1036" i="1"/>
  <c r="V1036" i="1" s="1"/>
  <c r="AH1036" i="1" s="1"/>
  <c r="S332" i="1"/>
  <c r="V332" i="1" s="1"/>
  <c r="AH332" i="1" s="1"/>
  <c r="S309" i="1"/>
  <c r="V309" i="1" s="1"/>
  <c r="AH309" i="1" s="1"/>
  <c r="S391" i="1"/>
  <c r="V391" i="1" s="1"/>
  <c r="AH391" i="1" s="1"/>
  <c r="C140" i="1"/>
  <c r="B140" i="1" s="1"/>
  <c r="A140" i="1" s="1"/>
  <c r="C305" i="1"/>
  <c r="B305" i="1" s="1"/>
  <c r="A305" i="1" s="1"/>
  <c r="C926" i="1"/>
  <c r="B926" i="1" s="1"/>
  <c r="A926" i="1" s="1"/>
  <c r="C2" i="1"/>
  <c r="B2" i="1" s="1"/>
  <c r="C718" i="1"/>
  <c r="B718" i="1" s="1"/>
  <c r="A718" i="1" s="1"/>
  <c r="C692" i="1"/>
  <c r="B692" i="1" s="1"/>
  <c r="A692" i="1" s="1"/>
  <c r="S278" i="1"/>
  <c r="V278" i="1" s="1"/>
  <c r="AH278" i="1" s="1"/>
  <c r="S510" i="1"/>
  <c r="V510" i="1" s="1"/>
  <c r="AH510" i="1" s="1"/>
  <c r="C295" i="1"/>
  <c r="B295" i="1" s="1"/>
  <c r="A295" i="1" s="1"/>
  <c r="S927" i="1"/>
  <c r="V927" i="1" s="1"/>
  <c r="AH927" i="1" s="1"/>
  <c r="S1177" i="1"/>
  <c r="V1177" i="1" s="1"/>
  <c r="AH1177" i="1" s="1"/>
  <c r="S414" i="1"/>
  <c r="V414" i="1" s="1"/>
  <c r="AH414" i="1" s="1"/>
  <c r="S445" i="1"/>
  <c r="V445" i="1" s="1"/>
  <c r="AH445" i="1" s="1"/>
  <c r="C131" i="1"/>
  <c r="B131" i="1" s="1"/>
  <c r="A131" i="1" s="1"/>
  <c r="C598" i="1"/>
  <c r="B598" i="1" s="1"/>
  <c r="A598" i="1" s="1"/>
  <c r="C429" i="1"/>
  <c r="B429" i="1" s="1"/>
  <c r="A429" i="1" s="1"/>
  <c r="C92" i="1"/>
  <c r="B92" i="1" s="1"/>
  <c r="A92" i="1" s="1"/>
  <c r="C1139" i="1"/>
  <c r="B1139" i="1" s="1"/>
  <c r="A1139" i="1" s="1"/>
  <c r="C1200" i="1"/>
  <c r="B1200" i="1" s="1"/>
  <c r="A1200" i="1" s="1"/>
  <c r="C400" i="1"/>
  <c r="B400" i="1" s="1"/>
  <c r="A400" i="1" s="1"/>
  <c r="C183" i="1"/>
  <c r="B183" i="1" s="1"/>
  <c r="A183" i="1" s="1"/>
  <c r="S1066" i="1"/>
  <c r="V1066" i="1" s="1"/>
  <c r="AH1066" i="1" s="1"/>
  <c r="C507" i="1"/>
  <c r="B507" i="1" s="1"/>
  <c r="A507" i="1" s="1"/>
  <c r="S146" i="1"/>
  <c r="V146" i="1" s="1"/>
  <c r="AH146" i="1" s="1"/>
  <c r="C347" i="1"/>
  <c r="B347" i="1" s="1"/>
  <c r="A347" i="1" s="1"/>
  <c r="S913" i="1"/>
  <c r="V913" i="1" s="1"/>
  <c r="AH913" i="1" s="1"/>
  <c r="S779" i="1"/>
  <c r="V779" i="1" s="1"/>
  <c r="AH779" i="1" s="1"/>
  <c r="C95" i="1"/>
  <c r="B95" i="1" s="1"/>
  <c r="A95" i="1" s="1"/>
  <c r="S449" i="1"/>
  <c r="V449" i="1" s="1"/>
  <c r="AH449" i="1" s="1"/>
  <c r="C336" i="1"/>
  <c r="B336" i="1" s="1"/>
  <c r="A336" i="1" s="1"/>
  <c r="S471" i="1"/>
  <c r="V471" i="1" s="1"/>
  <c r="AH471" i="1" s="1"/>
  <c r="S962" i="1"/>
  <c r="V962" i="1" s="1"/>
  <c r="AH962" i="1" s="1"/>
  <c r="C591" i="1"/>
  <c r="B591" i="1" s="1"/>
  <c r="A591" i="1" s="1"/>
  <c r="C90" i="1"/>
  <c r="B90" i="1" s="1"/>
  <c r="A90" i="1" s="1"/>
  <c r="S580" i="1"/>
  <c r="V580" i="1" s="1"/>
  <c r="AH580" i="1" s="1"/>
  <c r="C1134" i="1"/>
  <c r="B1134" i="1" s="1"/>
  <c r="A1134" i="1" s="1"/>
  <c r="P1205" i="1"/>
  <c r="C258" i="1"/>
  <c r="B258" i="1" s="1"/>
  <c r="A258" i="1" s="1"/>
  <c r="S814" i="1"/>
  <c r="V814" i="1" s="1"/>
  <c r="AH814" i="1" s="1"/>
  <c r="S657" i="1"/>
  <c r="V657" i="1" s="1"/>
  <c r="AH657" i="1" s="1"/>
  <c r="C385" i="1"/>
  <c r="B385" i="1" s="1"/>
  <c r="A385" i="1" s="1"/>
  <c r="S944" i="1"/>
  <c r="V944" i="1" s="1"/>
  <c r="AH944" i="1" s="1"/>
  <c r="C470" i="1"/>
  <c r="B470" i="1" s="1"/>
  <c r="A470" i="1" s="1"/>
  <c r="S806" i="1"/>
  <c r="V806" i="1" s="1"/>
  <c r="AH806" i="1" s="1"/>
  <c r="C83" i="1"/>
  <c r="B83" i="1" s="1"/>
  <c r="A83" i="1" s="1"/>
  <c r="S582" i="1"/>
  <c r="V582" i="1" s="1"/>
  <c r="AH582" i="1" s="1"/>
  <c r="S795" i="1"/>
  <c r="V795" i="1" s="1"/>
  <c r="AH795" i="1" s="1"/>
  <c r="S984" i="1"/>
  <c r="V984" i="1" s="1"/>
  <c r="AH984" i="1" s="1"/>
  <c r="S459" i="1"/>
  <c r="V459" i="1" s="1"/>
  <c r="AH459" i="1" s="1"/>
  <c r="S955" i="1"/>
  <c r="V955" i="1" s="1"/>
  <c r="AH955" i="1" s="1"/>
  <c r="S1062" i="1"/>
  <c r="V1062" i="1" s="1"/>
  <c r="AH1062" i="1" s="1"/>
  <c r="S84" i="1"/>
  <c r="V84" i="1" s="1"/>
  <c r="AH84" i="1" s="1"/>
  <c r="C534" i="1"/>
  <c r="B534" i="1" s="1"/>
  <c r="A534" i="1" s="1"/>
  <c r="C951" i="1"/>
  <c r="B951" i="1" s="1"/>
  <c r="A951" i="1" s="1"/>
  <c r="C1179" i="1"/>
  <c r="B1179" i="1" s="1"/>
  <c r="A1179" i="1" s="1"/>
  <c r="C104" i="1"/>
  <c r="B104" i="1" s="1"/>
  <c r="A104" i="1" s="1"/>
  <c r="S667" i="1"/>
  <c r="V667" i="1" s="1"/>
  <c r="AH667" i="1" s="1"/>
  <c r="C661" i="1"/>
  <c r="B661" i="1" s="1"/>
  <c r="A661" i="1" s="1"/>
  <c r="S825" i="1"/>
  <c r="V825" i="1" s="1"/>
  <c r="AH825" i="1" s="1"/>
  <c r="C1168" i="1"/>
  <c r="B1168" i="1" s="1"/>
  <c r="A1168" i="1" s="1"/>
  <c r="C316" i="1"/>
  <c r="B316" i="1" s="1"/>
  <c r="A316" i="1" s="1"/>
  <c r="C96" i="1"/>
  <c r="B96" i="1" s="1"/>
  <c r="A96" i="1" s="1"/>
  <c r="C749" i="1"/>
  <c r="B749" i="1" s="1"/>
  <c r="A749" i="1" s="1"/>
  <c r="C287" i="1"/>
  <c r="B287" i="1" s="1"/>
  <c r="A287" i="1" s="1"/>
  <c r="C559" i="1"/>
  <c r="B559" i="1" s="1"/>
  <c r="A559" i="1" s="1"/>
  <c r="S612" i="1"/>
  <c r="V612" i="1" s="1"/>
  <c r="AH612" i="1" s="1"/>
  <c r="S398" i="1"/>
  <c r="V398" i="1" s="1"/>
  <c r="AH398" i="1" s="1"/>
  <c r="S1101" i="1"/>
  <c r="V1101" i="1" s="1"/>
  <c r="AH1101" i="1" s="1"/>
  <c r="S500" i="1"/>
  <c r="V500" i="1" s="1"/>
  <c r="AH500" i="1" s="1"/>
  <c r="C474" i="1"/>
  <c r="B474" i="1" s="1"/>
  <c r="A474" i="1" s="1"/>
  <c r="C493" i="1"/>
  <c r="B493" i="1" s="1"/>
  <c r="A493" i="1" s="1"/>
  <c r="S343" i="1"/>
  <c r="V343" i="1" s="1"/>
  <c r="AH343" i="1" s="1"/>
  <c r="C162" i="1"/>
  <c r="B162" i="1" s="1"/>
  <c r="A162" i="1" s="1"/>
  <c r="C1165" i="1"/>
  <c r="B1165" i="1" s="1"/>
  <c r="A1165" i="1" s="1"/>
  <c r="C330" i="1"/>
  <c r="B330" i="1" s="1"/>
  <c r="A330" i="1" s="1"/>
  <c r="S585" i="1"/>
  <c r="V585" i="1" s="1"/>
  <c r="AH585" i="1" s="1"/>
  <c r="S990" i="1"/>
  <c r="V990" i="1" s="1"/>
  <c r="AH990" i="1" s="1"/>
  <c r="S56" i="1"/>
  <c r="V56" i="1" s="1"/>
  <c r="AH56" i="1" s="1"/>
  <c r="C74" i="1"/>
  <c r="B74" i="1" s="1"/>
  <c r="A74" i="1" s="1"/>
  <c r="C628" i="1"/>
  <c r="B628" i="1" s="1"/>
  <c r="A628" i="1" s="1"/>
  <c r="C852" i="1"/>
  <c r="B852" i="1" s="1"/>
  <c r="A852" i="1" s="1"/>
  <c r="S97" i="1"/>
  <c r="V97" i="1" s="1"/>
  <c r="AH97" i="1" s="1"/>
  <c r="S818" i="1"/>
  <c r="V818" i="1" s="1"/>
  <c r="AH818" i="1" s="1"/>
  <c r="C988" i="1"/>
  <c r="B988" i="1" s="1"/>
  <c r="A988" i="1" s="1"/>
  <c r="C1061" i="1"/>
  <c r="B1061" i="1" s="1"/>
  <c r="A1061" i="1" s="1"/>
  <c r="C545" i="1"/>
  <c r="B545" i="1" s="1"/>
  <c r="A545" i="1" s="1"/>
  <c r="C301" i="1"/>
  <c r="B301" i="1" s="1"/>
  <c r="A301" i="1" s="1"/>
  <c r="C105" i="1"/>
  <c r="B105" i="1" s="1"/>
  <c r="A105" i="1" s="1"/>
  <c r="C462" i="1"/>
  <c r="B462" i="1" s="1"/>
  <c r="A462" i="1" s="1"/>
  <c r="S736" i="1"/>
  <c r="V736" i="1" s="1"/>
  <c r="AH736" i="1" s="1"/>
  <c r="S790" i="1"/>
  <c r="V790" i="1" s="1"/>
  <c r="AH790" i="1" s="1"/>
  <c r="S164" i="1"/>
  <c r="V164" i="1" s="1"/>
  <c r="AH164" i="1" s="1"/>
  <c r="S275" i="1"/>
  <c r="V275" i="1" s="1"/>
  <c r="AH275" i="1" s="1"/>
  <c r="S1086" i="1"/>
  <c r="V1086" i="1" s="1"/>
  <c r="AH1086" i="1" s="1"/>
  <c r="C678" i="1"/>
  <c r="B678" i="1" s="1"/>
  <c r="A678" i="1" s="1"/>
  <c r="C744" i="1"/>
  <c r="B744" i="1" s="1"/>
  <c r="A744" i="1" s="1"/>
  <c r="C132" i="1"/>
  <c r="B132" i="1" s="1"/>
  <c r="A132" i="1" s="1"/>
  <c r="S1148" i="1"/>
  <c r="V1148" i="1" s="1"/>
  <c r="AH1148" i="1" s="1"/>
  <c r="C991" i="1"/>
  <c r="B991" i="1" s="1"/>
  <c r="A991" i="1" s="1"/>
  <c r="C548" i="1"/>
  <c r="B548" i="1" s="1"/>
  <c r="A548" i="1" s="1"/>
  <c r="S1058" i="1"/>
  <c r="V1058" i="1" s="1"/>
  <c r="AH1058" i="1" s="1"/>
  <c r="S439" i="1"/>
  <c r="V439" i="1" s="1"/>
  <c r="AH439" i="1" s="1"/>
  <c r="C184" i="1"/>
  <c r="B184" i="1" s="1"/>
  <c r="A184" i="1" s="1"/>
  <c r="C714" i="1"/>
  <c r="B714" i="1" s="1"/>
  <c r="A714" i="1" s="1"/>
  <c r="S298" i="1"/>
  <c r="V298" i="1" s="1"/>
  <c r="AH298" i="1" s="1"/>
  <c r="S952" i="1"/>
  <c r="V952" i="1" s="1"/>
  <c r="AH952" i="1" s="1"/>
  <c r="C1175" i="1"/>
  <c r="B1175" i="1" s="1"/>
  <c r="A1175" i="1" s="1"/>
  <c r="C42" i="1"/>
  <c r="B42" i="1" s="1"/>
  <c r="A42" i="1" s="1"/>
  <c r="C206" i="1"/>
  <c r="B206" i="1" s="1"/>
  <c r="A206" i="1" s="1"/>
  <c r="S503" i="1"/>
  <c r="V503" i="1" s="1"/>
  <c r="AH503" i="1" s="1"/>
  <c r="S45" i="1"/>
  <c r="V45" i="1" s="1"/>
  <c r="AH45" i="1" s="1"/>
  <c r="C798" i="1"/>
  <c r="B798" i="1" s="1"/>
  <c r="A798" i="1" s="1"/>
  <c r="C143" i="1"/>
  <c r="B143" i="1" s="1"/>
  <c r="A143" i="1" s="1"/>
  <c r="C1082" i="1"/>
  <c r="B1082" i="1" s="1"/>
  <c r="A1082" i="1" s="1"/>
  <c r="S798" i="1"/>
  <c r="V798" i="1" s="1"/>
  <c r="AH798" i="1" s="1"/>
  <c r="C107" i="1"/>
  <c r="B107" i="1" s="1"/>
  <c r="A107" i="1" s="1"/>
  <c r="S684" i="1"/>
  <c r="V684" i="1" s="1"/>
  <c r="AH684" i="1" s="1"/>
  <c r="C872" i="1"/>
  <c r="B872" i="1" s="1"/>
  <c r="A872" i="1" s="1"/>
  <c r="C237" i="1"/>
  <c r="B237" i="1" s="1"/>
  <c r="A237" i="1" s="1"/>
  <c r="S959" i="1"/>
  <c r="V959" i="1" s="1"/>
  <c r="AH959" i="1" s="1"/>
  <c r="S1070" i="1"/>
  <c r="V1070" i="1" s="1"/>
  <c r="AH1070" i="1" s="1"/>
  <c r="C211" i="1"/>
  <c r="B211" i="1" s="1"/>
  <c r="A211" i="1" s="1"/>
  <c r="S835" i="1"/>
  <c r="V835" i="1" s="1"/>
  <c r="AH835" i="1" s="1"/>
  <c r="S38" i="1"/>
  <c r="V38" i="1" s="1"/>
  <c r="AH38" i="1" s="1"/>
  <c r="S467" i="1"/>
  <c r="V467" i="1" s="1"/>
  <c r="AH467" i="1" s="1"/>
  <c r="C561" i="1"/>
  <c r="B561" i="1" s="1"/>
  <c r="A561" i="1" s="1"/>
  <c r="C38" i="1"/>
  <c r="B38" i="1" s="1"/>
  <c r="A38" i="1" s="1"/>
  <c r="C369" i="1"/>
  <c r="B369" i="1" s="1"/>
  <c r="A369" i="1" s="1"/>
  <c r="S82" i="1"/>
  <c r="V82" i="1" s="1"/>
  <c r="AH82" i="1" s="1"/>
  <c r="C816" i="1"/>
  <c r="B816" i="1" s="1"/>
  <c r="A816" i="1" s="1"/>
  <c r="C732" i="1"/>
  <c r="B732" i="1" s="1"/>
  <c r="A732" i="1" s="1"/>
  <c r="S599" i="1"/>
  <c r="V599" i="1" s="1"/>
  <c r="AH599" i="1" s="1"/>
  <c r="S719" i="1"/>
  <c r="V719" i="1" s="1"/>
  <c r="AH719" i="1" s="1"/>
  <c r="C925" i="1"/>
  <c r="B925" i="1" s="1"/>
  <c r="A925" i="1" s="1"/>
  <c r="S258" i="1"/>
  <c r="V258" i="1" s="1"/>
  <c r="AH258" i="1" s="1"/>
  <c r="S394" i="1"/>
  <c r="V394" i="1" s="1"/>
  <c r="AH394" i="1" s="1"/>
  <c r="S370" i="1"/>
  <c r="V370" i="1" s="1"/>
  <c r="AH370" i="1" s="1"/>
  <c r="C447" i="1"/>
  <c r="B447" i="1" s="1"/>
  <c r="A447" i="1" s="1"/>
  <c r="C334" i="1"/>
  <c r="B334" i="1" s="1"/>
  <c r="A334" i="1" s="1"/>
  <c r="C58" i="1"/>
  <c r="B58" i="1" s="1"/>
  <c r="A58" i="1" s="1"/>
  <c r="S609" i="1"/>
  <c r="V609" i="1" s="1"/>
  <c r="AH609" i="1" s="1"/>
  <c r="S743" i="1"/>
  <c r="V743" i="1" s="1"/>
  <c r="AH743" i="1" s="1"/>
  <c r="C269" i="1"/>
  <c r="B269" i="1" s="1"/>
  <c r="A269" i="1" s="1"/>
  <c r="S1130" i="1"/>
  <c r="V1130" i="1" s="1"/>
  <c r="AH1130" i="1" s="1"/>
  <c r="S1142" i="1"/>
  <c r="V1142" i="1" s="1"/>
  <c r="AH1142" i="1" s="1"/>
  <c r="S1095" i="1"/>
  <c r="V1095" i="1" s="1"/>
  <c r="AH1095" i="1" s="1"/>
  <c r="C582" i="1"/>
  <c r="B582" i="1" s="1"/>
  <c r="A582" i="1" s="1"/>
  <c r="C172" i="1"/>
  <c r="B172" i="1" s="1"/>
  <c r="A172" i="1" s="1"/>
  <c r="S323" i="1"/>
  <c r="V323" i="1" s="1"/>
  <c r="AH323" i="1" s="1"/>
  <c r="C155" i="1"/>
  <c r="B155" i="1" s="1"/>
  <c r="A155" i="1" s="1"/>
  <c r="S775" i="1"/>
  <c r="V775" i="1" s="1"/>
  <c r="AH775" i="1" s="1"/>
  <c r="P1185" i="1"/>
  <c r="C282" i="1"/>
  <c r="B282" i="1" s="1"/>
  <c r="A282" i="1" s="1"/>
  <c r="S468" i="1"/>
  <c r="V468" i="1" s="1"/>
  <c r="AH468" i="1" s="1"/>
  <c r="C454" i="1"/>
  <c r="B454" i="1" s="1"/>
  <c r="A454" i="1" s="1"/>
  <c r="S313" i="1"/>
  <c r="V313" i="1" s="1"/>
  <c r="AH313" i="1" s="1"/>
  <c r="C491" i="1"/>
  <c r="B491" i="1" s="1"/>
  <c r="A491" i="1" s="1"/>
  <c r="C845" i="1"/>
  <c r="B845" i="1" s="1"/>
  <c r="A845" i="1" s="1"/>
  <c r="C1091" i="1"/>
  <c r="B1091" i="1" s="1"/>
  <c r="A1091" i="1" s="1"/>
  <c r="S454" i="1"/>
  <c r="V454" i="1" s="1"/>
  <c r="AH454" i="1" s="1"/>
  <c r="S882" i="1"/>
  <c r="V882" i="1" s="1"/>
  <c r="AH882" i="1" s="1"/>
  <c r="S833" i="1"/>
  <c r="V833" i="1" s="1"/>
  <c r="AH833" i="1" s="1"/>
  <c r="S165" i="1"/>
  <c r="V165" i="1" s="1"/>
  <c r="AH165" i="1" s="1"/>
  <c r="S588" i="1"/>
  <c r="V588" i="1" s="1"/>
  <c r="AH588" i="1" s="1"/>
  <c r="S997" i="1"/>
  <c r="V997" i="1" s="1"/>
  <c r="AH997" i="1" s="1"/>
  <c r="S347" i="1"/>
  <c r="V347" i="1" s="1"/>
  <c r="AH347" i="1" s="1"/>
  <c r="C5" i="1"/>
  <c r="B5" i="1" s="1"/>
  <c r="A5" i="1" s="1"/>
  <c r="S954" i="1"/>
  <c r="V954" i="1" s="1"/>
  <c r="AH954" i="1" s="1"/>
  <c r="C345" i="1"/>
  <c r="B345" i="1" s="1"/>
  <c r="A345" i="1" s="1"/>
  <c r="C971" i="1"/>
  <c r="B971" i="1" s="1"/>
  <c r="A971" i="1" s="1"/>
  <c r="P1182" i="1"/>
  <c r="S1080" i="1"/>
  <c r="V1080" i="1" s="1"/>
  <c r="AH1080" i="1" s="1"/>
  <c r="C27" i="1"/>
  <c r="B27" i="1" s="1"/>
  <c r="A27" i="1" s="1"/>
  <c r="S655" i="1"/>
  <c r="V655" i="1" s="1"/>
  <c r="AH655" i="1" s="1"/>
  <c r="S92" i="1"/>
  <c r="V92" i="1" s="1"/>
  <c r="AH92" i="1" s="1"/>
  <c r="C825" i="1"/>
  <c r="B825" i="1" s="1"/>
  <c r="A825" i="1" s="1"/>
  <c r="C754" i="1"/>
  <c r="B754" i="1" s="1"/>
  <c r="A754" i="1" s="1"/>
  <c r="S1087" i="1"/>
  <c r="V1087" i="1" s="1"/>
  <c r="AH1087" i="1" s="1"/>
  <c r="C675" i="1"/>
  <c r="B675" i="1" s="1"/>
  <c r="A675" i="1" s="1"/>
  <c r="C407" i="1"/>
  <c r="B407" i="1" s="1"/>
  <c r="A407" i="1" s="1"/>
  <c r="S358" i="1"/>
  <c r="V358" i="1" s="1"/>
  <c r="AH358" i="1" s="1"/>
  <c r="S308" i="1"/>
  <c r="V308" i="1" s="1"/>
  <c r="AH308" i="1" s="1"/>
  <c r="C471" i="1"/>
  <c r="B471" i="1" s="1"/>
  <c r="A471" i="1" s="1"/>
  <c r="S529" i="1"/>
  <c r="V529" i="1" s="1"/>
  <c r="AH529" i="1" s="1"/>
  <c r="C804" i="1"/>
  <c r="B804" i="1" s="1"/>
  <c r="A804" i="1" s="1"/>
  <c r="C44" i="1"/>
  <c r="B44" i="1" s="1"/>
  <c r="A44" i="1" s="1"/>
  <c r="C222" i="1"/>
  <c r="B222" i="1" s="1"/>
  <c r="A222" i="1" s="1"/>
  <c r="C563" i="1"/>
  <c r="B563" i="1" s="1"/>
  <c r="A563" i="1" s="1"/>
  <c r="S1022" i="1"/>
  <c r="V1022" i="1" s="1"/>
  <c r="AH1022" i="1" s="1"/>
  <c r="C1182" i="1"/>
  <c r="B1182" i="1" s="1"/>
  <c r="A1182" i="1" s="1"/>
  <c r="S620" i="1"/>
  <c r="V620" i="1" s="1"/>
  <c r="AH620" i="1" s="1"/>
  <c r="C838" i="1"/>
  <c r="B838" i="1" s="1"/>
  <c r="A838" i="1" s="1"/>
  <c r="S1136" i="1"/>
  <c r="V1136" i="1" s="1"/>
  <c r="AH1136" i="1" s="1"/>
  <c r="C463" i="1"/>
  <c r="B463" i="1" s="1"/>
  <c r="A463" i="1" s="1"/>
  <c r="C97" i="1"/>
  <c r="B97" i="1" s="1"/>
  <c r="A97" i="1" s="1"/>
  <c r="S1084" i="1"/>
  <c r="V1084" i="1" s="1"/>
  <c r="AH1084" i="1" s="1"/>
  <c r="C431" i="1"/>
  <c r="B431" i="1" s="1"/>
  <c r="A431" i="1" s="1"/>
  <c r="C806" i="1"/>
  <c r="B806" i="1" s="1"/>
  <c r="A806" i="1" s="1"/>
  <c r="C207" i="1"/>
  <c r="B207" i="1" s="1"/>
  <c r="A207" i="1" s="1"/>
  <c r="S252" i="1"/>
  <c r="V252" i="1" s="1"/>
  <c r="AH252" i="1" s="1"/>
  <c r="C26" i="1"/>
  <c r="B26" i="1" s="1"/>
  <c r="A26" i="1" s="1"/>
  <c r="S91" i="1"/>
  <c r="V91" i="1" s="1"/>
  <c r="AH91" i="1" s="1"/>
  <c r="P587" i="1"/>
  <c r="S239" i="1"/>
  <c r="V239" i="1" s="1"/>
  <c r="AH239" i="1" s="1"/>
  <c r="C218" i="1"/>
  <c r="B218" i="1" s="1"/>
  <c r="A218" i="1" s="1"/>
  <c r="S831" i="1"/>
  <c r="V831" i="1" s="1"/>
  <c r="AH831" i="1" s="1"/>
  <c r="S673" i="1"/>
  <c r="V673" i="1" s="1"/>
  <c r="AH673" i="1" s="1"/>
  <c r="C47" i="1"/>
  <c r="B47" i="1" s="1"/>
  <c r="A47" i="1" s="1"/>
  <c r="C7" i="1"/>
  <c r="B7" i="1" s="1"/>
  <c r="A7" i="1" s="1"/>
  <c r="S227" i="1"/>
  <c r="V227" i="1" s="1"/>
  <c r="AH227" i="1" s="1"/>
  <c r="C231" i="1"/>
  <c r="B231" i="1" s="1"/>
  <c r="A231" i="1" s="1"/>
  <c r="S1118" i="1"/>
  <c r="V1118" i="1" s="1"/>
  <c r="AH1118" i="1" s="1"/>
  <c r="P1211" i="1"/>
  <c r="S212" i="1"/>
  <c r="V212" i="1" s="1"/>
  <c r="AH212" i="1" s="1"/>
  <c r="S988" i="1"/>
  <c r="V988" i="1" s="1"/>
  <c r="AH988" i="1" s="1"/>
  <c r="C497" i="1"/>
  <c r="B497" i="1" s="1"/>
  <c r="A497" i="1" s="1"/>
  <c r="C412" i="1"/>
  <c r="B412" i="1" s="1"/>
  <c r="A412" i="1" s="1"/>
  <c r="C1006" i="1"/>
  <c r="B1006" i="1" s="1"/>
  <c r="A1006" i="1" s="1"/>
  <c r="S72" i="1"/>
  <c r="V72" i="1" s="1"/>
  <c r="AH72" i="1" s="1"/>
  <c r="S311" i="1"/>
  <c r="V311" i="1" s="1"/>
  <c r="AH311" i="1" s="1"/>
  <c r="C910" i="1"/>
  <c r="B910" i="1" s="1"/>
  <c r="A910" i="1" s="1"/>
  <c r="S863" i="1"/>
  <c r="V863" i="1" s="1"/>
  <c r="AH863" i="1" s="1"/>
  <c r="C240" i="1"/>
  <c r="B240" i="1" s="1"/>
  <c r="A240" i="1" s="1"/>
  <c r="C717" i="1"/>
  <c r="B717" i="1" s="1"/>
  <c r="A717" i="1" s="1"/>
  <c r="S139" i="1"/>
  <c r="V139" i="1" s="1"/>
  <c r="AH139" i="1" s="1"/>
  <c r="S154" i="1"/>
  <c r="V154" i="1" s="1"/>
  <c r="AH154" i="1" s="1"/>
  <c r="S254" i="1"/>
  <c r="V254" i="1" s="1"/>
  <c r="AH254" i="1" s="1"/>
  <c r="C380" i="1"/>
  <c r="B380" i="1" s="1"/>
  <c r="A380" i="1" s="1"/>
  <c r="C773" i="1"/>
  <c r="B773" i="1" s="1"/>
  <c r="A773" i="1" s="1"/>
  <c r="S86" i="1"/>
  <c r="V86" i="1" s="1"/>
  <c r="AH86" i="1" s="1"/>
  <c r="S567" i="1"/>
  <c r="V567" i="1" s="1"/>
  <c r="AH567" i="1" s="1"/>
  <c r="S9" i="1"/>
  <c r="V9" i="1" s="1"/>
  <c r="AH9" i="1" s="1"/>
  <c r="C1119" i="1"/>
  <c r="B1119" i="1" s="1"/>
  <c r="A1119" i="1" s="1"/>
  <c r="S815" i="1"/>
  <c r="V815" i="1" s="1"/>
  <c r="AH815" i="1" s="1"/>
  <c r="C556" i="1"/>
  <c r="B556" i="1" s="1"/>
  <c r="A556" i="1" s="1"/>
  <c r="C119" i="1"/>
  <c r="B119" i="1" s="1"/>
  <c r="A119" i="1" s="1"/>
  <c r="C803" i="1"/>
  <c r="B803" i="1" s="1"/>
  <c r="A803" i="1" s="1"/>
  <c r="S35" i="1"/>
  <c r="V35" i="1" s="1"/>
  <c r="AH35" i="1" s="1"/>
  <c r="C141" i="1"/>
  <c r="B141" i="1" s="1"/>
  <c r="A141" i="1" s="1"/>
  <c r="C214" i="1"/>
  <c r="B214" i="1" s="1"/>
  <c r="A214" i="1" s="1"/>
  <c r="S923" i="1"/>
  <c r="V923" i="1" s="1"/>
  <c r="AH923" i="1" s="1"/>
  <c r="S185" i="1"/>
  <c r="V185" i="1" s="1"/>
  <c r="AH185" i="1" s="1"/>
  <c r="C546" i="1"/>
  <c r="B546" i="1" s="1"/>
  <c r="A546" i="1" s="1"/>
  <c r="C77" i="1"/>
  <c r="B77" i="1" s="1"/>
  <c r="A77" i="1" s="1"/>
  <c r="C445" i="1"/>
  <c r="B445" i="1" s="1"/>
  <c r="A445" i="1" s="1"/>
  <c r="S1100" i="1"/>
  <c r="V1100" i="1" s="1"/>
  <c r="AH1100" i="1" s="1"/>
  <c r="S265" i="1"/>
  <c r="V265" i="1" s="1"/>
  <c r="AH265" i="1" s="1"/>
  <c r="S256" i="1"/>
  <c r="V256" i="1" s="1"/>
  <c r="AH256" i="1" s="1"/>
  <c r="S30" i="1"/>
  <c r="V30" i="1" s="1"/>
  <c r="AH30" i="1" s="1"/>
  <c r="S1052" i="1"/>
  <c r="V1052" i="1" s="1"/>
  <c r="AH1052" i="1" s="1"/>
  <c r="S785" i="1"/>
  <c r="V785" i="1" s="1"/>
  <c r="AH785" i="1" s="1"/>
  <c r="S159" i="1"/>
  <c r="V159" i="1" s="1"/>
  <c r="AH159" i="1" s="1"/>
  <c r="S751" i="1"/>
  <c r="V751" i="1" s="1"/>
  <c r="AH751" i="1" s="1"/>
  <c r="C210" i="1"/>
  <c r="B210" i="1" s="1"/>
  <c r="A210" i="1" s="1"/>
  <c r="S773" i="1"/>
  <c r="V773" i="1" s="1"/>
  <c r="AH773" i="1" s="1"/>
  <c r="C338" i="1"/>
  <c r="B338" i="1" s="1"/>
  <c r="A338" i="1" s="1"/>
  <c r="C746" i="1"/>
  <c r="B746" i="1" s="1"/>
  <c r="A746" i="1" s="1"/>
  <c r="C229" i="1"/>
  <c r="B229" i="1" s="1"/>
  <c r="A229" i="1" s="1"/>
  <c r="S10" i="1"/>
  <c r="V10" i="1" s="1"/>
  <c r="AH10" i="1" s="1"/>
  <c r="S32" i="1"/>
  <c r="V32" i="1" s="1"/>
  <c r="AH32" i="1" s="1"/>
  <c r="C1173" i="1"/>
  <c r="B1173" i="1" s="1"/>
  <c r="A1173" i="1" s="1"/>
  <c r="P1208" i="1"/>
  <c r="S946" i="1"/>
  <c r="V946" i="1" s="1"/>
  <c r="AH946" i="1" s="1"/>
  <c r="S289" i="1"/>
  <c r="V289" i="1" s="1"/>
  <c r="AH289" i="1" s="1"/>
  <c r="S891" i="1"/>
  <c r="V891" i="1" s="1"/>
  <c r="AH891" i="1" s="1"/>
  <c r="C422" i="1"/>
  <c r="B422" i="1" s="1"/>
  <c r="A422" i="1" s="1"/>
  <c r="C762" i="1"/>
  <c r="B762" i="1" s="1"/>
  <c r="A762" i="1" s="1"/>
  <c r="S171" i="1"/>
  <c r="V171" i="1" s="1"/>
  <c r="AH171" i="1" s="1"/>
  <c r="C1136" i="1"/>
  <c r="B1136" i="1" s="1"/>
  <c r="A1136" i="1" s="1"/>
  <c r="S819" i="1"/>
  <c r="V819" i="1" s="1"/>
  <c r="AH819" i="1" s="1"/>
  <c r="S129" i="1"/>
  <c r="V129" i="1" s="1"/>
  <c r="AH129" i="1" s="1"/>
  <c r="S1045" i="1"/>
  <c r="V1045" i="1" s="1"/>
  <c r="AH1045" i="1" s="1"/>
  <c r="C191" i="1"/>
  <c r="B191" i="1" s="1"/>
  <c r="A191" i="1" s="1"/>
  <c r="S876" i="1"/>
  <c r="V876" i="1" s="1"/>
  <c r="AH876" i="1" s="1"/>
  <c r="C992" i="1"/>
  <c r="B992" i="1" s="1"/>
  <c r="A992" i="1" s="1"/>
  <c r="S190" i="1"/>
  <c r="V190" i="1" s="1"/>
  <c r="AH190" i="1" s="1"/>
  <c r="S443" i="1"/>
  <c r="V443" i="1" s="1"/>
  <c r="AH443" i="1" s="1"/>
  <c r="S817" i="1"/>
  <c r="V817" i="1" s="1"/>
  <c r="AH817" i="1" s="1"/>
  <c r="S930" i="1"/>
  <c r="V930" i="1" s="1"/>
  <c r="AH930" i="1" s="1"/>
  <c r="S632" i="1"/>
  <c r="V632" i="1" s="1"/>
  <c r="AH632" i="1" s="1"/>
  <c r="S241" i="1"/>
  <c r="V241" i="1" s="1"/>
  <c r="AH241" i="1" s="1"/>
  <c r="C670" i="1"/>
  <c r="B670" i="1" s="1"/>
  <c r="A670" i="1" s="1"/>
  <c r="S532" i="1"/>
  <c r="V532" i="1" s="1"/>
  <c r="AH532" i="1" s="1"/>
  <c r="C554" i="1"/>
  <c r="B554" i="1" s="1"/>
  <c r="A554" i="1" s="1"/>
  <c r="P584" i="1"/>
  <c r="S271" i="1"/>
  <c r="V271" i="1" s="1"/>
  <c r="AH271" i="1" s="1"/>
  <c r="C352" i="1"/>
  <c r="B352" i="1" s="1"/>
  <c r="A352" i="1" s="1"/>
  <c r="C790" i="1"/>
  <c r="B790" i="1" s="1"/>
  <c r="A790" i="1" s="1"/>
  <c r="C593" i="1"/>
  <c r="B593" i="1" s="1"/>
  <c r="A593" i="1" s="1"/>
  <c r="C111" i="1"/>
  <c r="B111" i="1" s="1"/>
  <c r="A111" i="1" s="1"/>
  <c r="C432" i="1"/>
  <c r="B432" i="1" s="1"/>
  <c r="A432" i="1" s="1"/>
  <c r="C294" i="1"/>
  <c r="B294" i="1" s="1"/>
  <c r="A294" i="1" s="1"/>
  <c r="S1027" i="1"/>
  <c r="V1027" i="1" s="1"/>
  <c r="AH1027" i="1" s="1"/>
  <c r="C102" i="1"/>
  <c r="B102" i="1" s="1"/>
  <c r="A102" i="1" s="1"/>
  <c r="C483" i="1"/>
  <c r="B483" i="1" s="1"/>
  <c r="A483" i="1" s="1"/>
  <c r="C536" i="1"/>
  <c r="B536" i="1" s="1"/>
  <c r="A536" i="1" s="1"/>
  <c r="C1144" i="1"/>
  <c r="B1144" i="1" s="1"/>
  <c r="A1144" i="1" s="1"/>
  <c r="S504" i="1"/>
  <c r="V504" i="1" s="1"/>
  <c r="AH504" i="1" s="1"/>
  <c r="S73" i="1"/>
  <c r="V73" i="1" s="1"/>
  <c r="AH73" i="1" s="1"/>
  <c r="C1078" i="1"/>
  <c r="B1078" i="1" s="1"/>
  <c r="A1078" i="1" s="1"/>
  <c r="S640" i="1"/>
  <c r="V640" i="1" s="1"/>
  <c r="AH640" i="1" s="1"/>
  <c r="C1118" i="1"/>
  <c r="B1118" i="1" s="1"/>
  <c r="A1118" i="1" s="1"/>
  <c r="C549" i="1"/>
  <c r="B549" i="1" s="1"/>
  <c r="A549" i="1" s="1"/>
  <c r="P1200" i="1"/>
  <c r="C527" i="1"/>
  <c r="B527" i="1" s="1"/>
  <c r="A527" i="1" s="1"/>
  <c r="S765" i="1"/>
  <c r="V765" i="1" s="1"/>
  <c r="AH765" i="1" s="1"/>
  <c r="S1011" i="1"/>
  <c r="V1011" i="1" s="1"/>
  <c r="AH1011" i="1" s="1"/>
  <c r="S975" i="1"/>
  <c r="V975" i="1" s="1"/>
  <c r="AH975" i="1" s="1"/>
  <c r="S1137" i="1"/>
  <c r="V1137" i="1" s="1"/>
  <c r="AH1137" i="1" s="1"/>
  <c r="C1083" i="1"/>
  <c r="B1083" i="1" s="1"/>
  <c r="A1083" i="1" s="1"/>
  <c r="S1154" i="1"/>
  <c r="V1154" i="1" s="1"/>
  <c r="AH1154" i="1" s="1"/>
  <c r="S1075" i="1"/>
  <c r="V1075" i="1" s="1"/>
  <c r="AH1075" i="1" s="1"/>
  <c r="C713" i="1"/>
  <c r="B713" i="1" s="1"/>
  <c r="A713" i="1" s="1"/>
  <c r="C1186" i="1"/>
  <c r="B1186" i="1" s="1"/>
  <c r="A1186" i="1" s="1"/>
  <c r="S531" i="1"/>
  <c r="V531" i="1" s="1"/>
  <c r="AH531" i="1" s="1"/>
  <c r="C1135" i="1"/>
  <c r="B1135" i="1" s="1"/>
  <c r="A1135" i="1" s="1"/>
  <c r="S388" i="1"/>
  <c r="V388" i="1" s="1"/>
  <c r="AH388" i="1" s="1"/>
  <c r="C508" i="1"/>
  <c r="B508" i="1" s="1"/>
  <c r="A508" i="1" s="1"/>
  <c r="C796" i="1"/>
  <c r="B796" i="1" s="1"/>
  <c r="A796" i="1" s="1"/>
  <c r="S226" i="1"/>
  <c r="V226" i="1" s="1"/>
  <c r="AH226" i="1" s="1"/>
  <c r="S422" i="1"/>
  <c r="V422" i="1" s="1"/>
  <c r="AH422" i="1" s="1"/>
  <c r="S485" i="1"/>
  <c r="V485" i="1" s="1"/>
  <c r="AH485" i="1" s="1"/>
  <c r="S878" i="1"/>
  <c r="V878" i="1" s="1"/>
  <c r="AH878" i="1" s="1"/>
  <c r="S938" i="1"/>
  <c r="V938" i="1" s="1"/>
  <c r="AH938" i="1" s="1"/>
  <c r="S83" i="1"/>
  <c r="V83" i="1" s="1"/>
  <c r="AH83" i="1" s="1"/>
  <c r="P1203" i="1"/>
  <c r="C271" i="1"/>
  <c r="B271" i="1" s="1"/>
  <c r="A271" i="1" s="1"/>
  <c r="S860" i="1"/>
  <c r="V860" i="1" s="1"/>
  <c r="AH860" i="1" s="1"/>
  <c r="S669" i="1"/>
  <c r="V669" i="1" s="1"/>
  <c r="AH669" i="1" s="1"/>
  <c r="S393" i="1"/>
  <c r="V393" i="1" s="1"/>
  <c r="AH393" i="1" s="1"/>
  <c r="S396" i="1"/>
  <c r="V396" i="1" s="1"/>
  <c r="AH396" i="1" s="1"/>
  <c r="S386" i="1"/>
  <c r="V386" i="1" s="1"/>
  <c r="AH386" i="1" s="1"/>
  <c r="C586" i="1"/>
  <c r="B586" i="1" s="1"/>
  <c r="A586" i="1" s="1"/>
  <c r="S823" i="1"/>
  <c r="V823" i="1" s="1"/>
  <c r="AH823" i="1" s="1"/>
  <c r="S206" i="1"/>
  <c r="V206" i="1" s="1"/>
  <c r="AH206" i="1" s="1"/>
  <c r="C494" i="1"/>
  <c r="B494" i="1" s="1"/>
  <c r="A494" i="1" s="1"/>
  <c r="C303" i="1"/>
  <c r="B303" i="1" s="1"/>
  <c r="A303" i="1" s="1"/>
  <c r="S405" i="1"/>
  <c r="V405" i="1" s="1"/>
  <c r="AH405" i="1" s="1"/>
  <c r="S463" i="1"/>
  <c r="V463" i="1" s="1"/>
  <c r="AH463" i="1" s="1"/>
  <c r="S1114" i="1"/>
  <c r="V1114" i="1" s="1"/>
  <c r="AH1114" i="1" s="1"/>
  <c r="C1147" i="1"/>
  <c r="B1147" i="1" s="1"/>
  <c r="A1147" i="1" s="1"/>
  <c r="S34" i="1"/>
  <c r="V34" i="1" s="1"/>
  <c r="AH34" i="1" s="1"/>
  <c r="S170" i="1"/>
  <c r="V170" i="1" s="1"/>
  <c r="AH170" i="1" s="1"/>
  <c r="C371" i="1"/>
  <c r="B371" i="1" s="1"/>
  <c r="A371" i="1" s="1"/>
  <c r="S1175" i="1"/>
  <c r="V1175" i="1" s="1"/>
  <c r="AH1175" i="1" s="1"/>
  <c r="C176" i="1"/>
  <c r="B176" i="1" s="1"/>
  <c r="A176" i="1" s="1"/>
  <c r="S780" i="1"/>
  <c r="V780" i="1" s="1"/>
  <c r="AH780" i="1" s="1"/>
  <c r="S231" i="1"/>
  <c r="V231" i="1" s="1"/>
  <c r="AH231" i="1" s="1"/>
  <c r="C450" i="1"/>
  <c r="B450" i="1" s="1"/>
  <c r="A450" i="1" s="1"/>
  <c r="C708" i="1"/>
  <c r="B708" i="1" s="1"/>
  <c r="A708" i="1" s="1"/>
  <c r="C624" i="1"/>
  <c r="B624" i="1" s="1"/>
  <c r="A624" i="1" s="1"/>
  <c r="C751" i="1"/>
  <c r="B751" i="1" s="1"/>
  <c r="A751" i="1" s="1"/>
  <c r="C112" i="1"/>
  <c r="B112" i="1" s="1"/>
  <c r="A112" i="1" s="1"/>
  <c r="S856" i="1"/>
  <c r="V856" i="1" s="1"/>
  <c r="AH856" i="1" s="1"/>
  <c r="C356" i="1"/>
  <c r="B356" i="1" s="1"/>
  <c r="A356" i="1" s="1"/>
  <c r="C61" i="1"/>
  <c r="B61" i="1" s="1"/>
  <c r="A61" i="1" s="1"/>
  <c r="S749" i="1"/>
  <c r="V749" i="1" s="1"/>
  <c r="AH749" i="1" s="1"/>
  <c r="C821" i="1"/>
  <c r="B821" i="1" s="1"/>
  <c r="A821" i="1" s="1"/>
  <c r="C1120" i="1"/>
  <c r="B1120" i="1" s="1"/>
  <c r="A1120" i="1" s="1"/>
  <c r="C1007" i="1"/>
  <c r="B1007" i="1" s="1"/>
  <c r="A1007" i="1" s="1"/>
  <c r="C928" i="1"/>
  <c r="B928" i="1" s="1"/>
  <c r="A928" i="1" s="1"/>
  <c r="C740" i="1"/>
  <c r="B740" i="1" s="1"/>
  <c r="A740" i="1" s="1"/>
  <c r="S710" i="1"/>
  <c r="V710" i="1" s="1"/>
  <c r="AH710" i="1" s="1"/>
  <c r="C550" i="1"/>
  <c r="B550" i="1" s="1"/>
  <c r="A550" i="1" s="1"/>
  <c r="C653" i="1"/>
  <c r="B653" i="1" s="1"/>
  <c r="A653" i="1" s="1"/>
  <c r="S661" i="1"/>
  <c r="V661" i="1" s="1"/>
  <c r="AH661" i="1" s="1"/>
  <c r="C1138" i="1"/>
  <c r="B1138" i="1" s="1"/>
  <c r="A1138" i="1" s="1"/>
  <c r="C1109" i="1"/>
  <c r="B1109" i="1" s="1"/>
  <c r="A1109" i="1" s="1"/>
  <c r="S573" i="1"/>
  <c r="V573" i="1" s="1"/>
  <c r="AH573" i="1" s="1"/>
  <c r="C1130" i="1"/>
  <c r="B1130" i="1" s="1"/>
  <c r="A1130" i="1" s="1"/>
  <c r="S1165" i="1"/>
  <c r="V1165" i="1" s="1"/>
  <c r="AH1165" i="1" s="1"/>
  <c r="C787" i="1"/>
  <c r="B787" i="1" s="1"/>
  <c r="A787" i="1" s="1"/>
  <c r="S1040" i="1"/>
  <c r="V1040" i="1" s="1"/>
  <c r="AH1040" i="1" s="1"/>
  <c r="S352" i="1"/>
  <c r="V352" i="1" s="1"/>
  <c r="AH352" i="1" s="1"/>
  <c r="C726" i="1"/>
  <c r="B726" i="1" s="1"/>
  <c r="A726" i="1" s="1"/>
  <c r="C182" i="1"/>
  <c r="B182" i="1" s="1"/>
  <c r="A182" i="1" s="1"/>
  <c r="S560" i="1"/>
  <c r="V560" i="1" s="1"/>
  <c r="AH560" i="1" s="1"/>
  <c r="S440" i="1"/>
  <c r="V440" i="1" s="1"/>
  <c r="AH440" i="1" s="1"/>
  <c r="S741" i="1"/>
  <c r="V741" i="1" s="1"/>
  <c r="AH741" i="1" s="1"/>
  <c r="S526" i="1"/>
  <c r="V526" i="1" s="1"/>
  <c r="AH526" i="1" s="1"/>
  <c r="C755" i="1"/>
  <c r="B755" i="1" s="1"/>
  <c r="A755" i="1" s="1"/>
  <c r="S377" i="1"/>
  <c r="V377" i="1" s="1"/>
  <c r="AH377" i="1" s="1"/>
  <c r="C116" i="1"/>
  <c r="B116" i="1" s="1"/>
  <c r="A116" i="1" s="1"/>
  <c r="C342" i="1"/>
  <c r="B342" i="1" s="1"/>
  <c r="A342" i="1" s="1"/>
  <c r="C175" i="1"/>
  <c r="B175" i="1" s="1"/>
  <c r="A175" i="1" s="1"/>
  <c r="S626" i="1"/>
  <c r="V626" i="1" s="1"/>
  <c r="AH626" i="1" s="1"/>
  <c r="C671" i="1"/>
  <c r="B671" i="1" s="1"/>
  <c r="A671" i="1" s="1"/>
  <c r="S1123" i="1"/>
  <c r="V1123" i="1" s="1"/>
  <c r="AH1123" i="1" s="1"/>
  <c r="C185" i="1"/>
  <c r="B185" i="1" s="1"/>
  <c r="A185" i="1" s="1"/>
  <c r="C373" i="1"/>
  <c r="B373" i="1" s="1"/>
  <c r="A373" i="1" s="1"/>
  <c r="C573" i="1"/>
  <c r="B573" i="1" s="1"/>
  <c r="A573" i="1" s="1"/>
  <c r="C1060" i="1"/>
  <c r="B1060" i="1" s="1"/>
  <c r="A1060" i="1" s="1"/>
  <c r="C1113" i="1"/>
  <c r="B1113" i="1" s="1"/>
  <c r="A1113" i="1" s="1"/>
  <c r="C912" i="1"/>
  <c r="B912" i="1" s="1"/>
  <c r="A912" i="1" s="1"/>
  <c r="S441" i="1"/>
  <c r="V441" i="1" s="1"/>
  <c r="AH441" i="1" s="1"/>
  <c r="C285" i="1"/>
  <c r="B285" i="1" s="1"/>
  <c r="A285" i="1" s="1"/>
  <c r="C950" i="1"/>
  <c r="B950" i="1" s="1"/>
  <c r="A950" i="1" s="1"/>
  <c r="S921" i="1"/>
  <c r="V921" i="1" s="1"/>
  <c r="AH921" i="1" s="1"/>
  <c r="S1031" i="1"/>
  <c r="V1031" i="1" s="1"/>
  <c r="AH1031" i="1" s="1"/>
  <c r="S890" i="1"/>
  <c r="V890" i="1" s="1"/>
  <c r="AH890" i="1" s="1"/>
  <c r="C892" i="1"/>
  <c r="B892" i="1" s="1"/>
  <c r="A892" i="1" s="1"/>
  <c r="C924" i="1"/>
  <c r="B924" i="1" s="1"/>
  <c r="A924" i="1" s="1"/>
  <c r="C914" i="1"/>
  <c r="B914" i="1" s="1"/>
  <c r="A914" i="1" s="1"/>
  <c r="S600" i="1"/>
  <c r="V600" i="1" s="1"/>
  <c r="AH600" i="1" s="1"/>
  <c r="S563" i="1"/>
  <c r="V563" i="1" s="1"/>
  <c r="AH563" i="1" s="1"/>
  <c r="C154" i="1"/>
  <c r="B154" i="1" s="1"/>
  <c r="A154" i="1" s="1"/>
  <c r="S1010" i="1"/>
  <c r="V1010" i="1" s="1"/>
  <c r="AH1010" i="1" s="1"/>
  <c r="S1074" i="1"/>
  <c r="V1074" i="1" s="1"/>
  <c r="AH1074" i="1" s="1"/>
  <c r="S316" i="1"/>
  <c r="V316" i="1" s="1"/>
  <c r="AH316" i="1" s="1"/>
  <c r="C775" i="1"/>
  <c r="B775" i="1" s="1"/>
  <c r="A775" i="1" s="1"/>
  <c r="S51" i="1"/>
  <c r="V51" i="1" s="1"/>
  <c r="AH51" i="1" s="1"/>
  <c r="C1064" i="1"/>
  <c r="B1064" i="1" s="1"/>
  <c r="A1064" i="1" s="1"/>
  <c r="C528" i="1"/>
  <c r="B528" i="1" s="1"/>
  <c r="A528" i="1" s="1"/>
  <c r="S1104" i="1"/>
  <c r="V1104" i="1" s="1"/>
  <c r="AH1104" i="1" s="1"/>
  <c r="S363" i="1"/>
  <c r="V363" i="1" s="1"/>
  <c r="AH363" i="1" s="1"/>
  <c r="C448" i="1"/>
  <c r="B448" i="1" s="1"/>
  <c r="A448" i="1" s="1"/>
  <c r="C1103" i="1"/>
  <c r="B1103" i="1" s="1"/>
  <c r="A1103" i="1" s="1"/>
  <c r="C666" i="1"/>
  <c r="B666" i="1" s="1"/>
  <c r="A666" i="1" s="1"/>
  <c r="C442" i="1"/>
  <c r="B442" i="1" s="1"/>
  <c r="A442" i="1" s="1"/>
  <c r="C1081" i="1"/>
  <c r="B1081" i="1" s="1"/>
  <c r="A1081" i="1" s="1"/>
  <c r="C466" i="1"/>
  <c r="B466" i="1" s="1"/>
  <c r="A466" i="1" s="1"/>
  <c r="C756" i="1"/>
  <c r="B756" i="1" s="1"/>
  <c r="A756" i="1" s="1"/>
  <c r="S234" i="1"/>
  <c r="V234" i="1" s="1"/>
  <c r="AH234" i="1" s="1"/>
  <c r="C812" i="1"/>
  <c r="B812" i="1" s="1"/>
  <c r="A812" i="1" s="1"/>
  <c r="C248" i="1"/>
  <c r="B248" i="1" s="1"/>
  <c r="A248" i="1" s="1"/>
  <c r="S513" i="1"/>
  <c r="V513" i="1" s="1"/>
  <c r="AH513" i="1" s="1"/>
  <c r="C518" i="1"/>
  <c r="B518" i="1" s="1"/>
  <c r="A518" i="1" s="1"/>
  <c r="P1207" i="1"/>
  <c r="S816" i="1"/>
  <c r="V816" i="1" s="1"/>
  <c r="AH816" i="1" s="1"/>
  <c r="C587" i="1"/>
  <c r="B587" i="1" s="1"/>
  <c r="A587" i="1" s="1"/>
  <c r="P1192" i="1"/>
  <c r="C201" i="1"/>
  <c r="B201" i="1" s="1"/>
  <c r="A201" i="1" s="1"/>
  <c r="S245" i="1"/>
  <c r="V245" i="1" s="1"/>
  <c r="AH245" i="1" s="1"/>
  <c r="C408" i="1"/>
  <c r="B408" i="1" s="1"/>
  <c r="A408" i="1" s="1"/>
  <c r="S379" i="1"/>
  <c r="V379" i="1" s="1"/>
  <c r="AH379" i="1" s="1"/>
  <c r="S1064" i="1"/>
  <c r="V1064" i="1" s="1"/>
  <c r="AH1064" i="1" s="1"/>
  <c r="S1051" i="1"/>
  <c r="V1051" i="1" s="1"/>
  <c r="AH1051" i="1" s="1"/>
  <c r="S820" i="1"/>
  <c r="V820" i="1" s="1"/>
  <c r="AH820" i="1" s="1"/>
  <c r="S524" i="1"/>
  <c r="V524" i="1" s="1"/>
  <c r="AH524" i="1" s="1"/>
  <c r="C355" i="1"/>
  <c r="B355" i="1" s="1"/>
  <c r="A355" i="1" s="1"/>
  <c r="S357" i="1"/>
  <c r="V357" i="1" s="1"/>
  <c r="AH357" i="1" s="1"/>
  <c r="C745" i="1"/>
  <c r="B745" i="1" s="1"/>
  <c r="A745" i="1" s="1"/>
  <c r="C321" i="1"/>
  <c r="B321" i="1" s="1"/>
  <c r="A321" i="1" s="1"/>
  <c r="C57" i="1"/>
  <c r="B57" i="1" s="1"/>
  <c r="A57" i="1" s="1"/>
  <c r="C986" i="1"/>
  <c r="B986" i="1" s="1"/>
  <c r="A986" i="1" s="1"/>
  <c r="C1089" i="1"/>
  <c r="B1089" i="1" s="1"/>
  <c r="A1089" i="1" s="1"/>
  <c r="C800" i="1"/>
  <c r="B800" i="1" s="1"/>
  <c r="A800" i="1" s="1"/>
  <c r="S656" i="1"/>
  <c r="V656" i="1" s="1"/>
  <c r="AH656" i="1" s="1"/>
  <c r="S114" i="1"/>
  <c r="V114" i="1" s="1"/>
  <c r="AH114" i="1" s="1"/>
  <c r="C719" i="1"/>
  <c r="B719" i="1" s="1"/>
  <c r="A719" i="1" s="1"/>
  <c r="C706" i="1"/>
  <c r="B706" i="1" s="1"/>
  <c r="A706" i="1" s="1"/>
  <c r="C799" i="1"/>
  <c r="B799" i="1" s="1"/>
  <c r="A799" i="1" s="1"/>
  <c r="S67" i="1"/>
  <c r="V67" i="1" s="1"/>
  <c r="AH67" i="1" s="1"/>
  <c r="C273" i="1"/>
  <c r="B273" i="1" s="1"/>
  <c r="A273" i="1" s="1"/>
  <c r="C434" i="1"/>
  <c r="B434" i="1" s="1"/>
  <c r="A434" i="1" s="1"/>
  <c r="S989" i="1"/>
  <c r="V989" i="1" s="1"/>
  <c r="AH989" i="1" s="1"/>
  <c r="C72" i="1"/>
  <c r="B72" i="1" s="1"/>
  <c r="A72" i="1" s="1"/>
  <c r="C532" i="1"/>
  <c r="B532" i="1" s="1"/>
  <c r="A532" i="1" s="1"/>
  <c r="C1085" i="1"/>
  <c r="B1085" i="1" s="1"/>
  <c r="A1085" i="1" s="1"/>
  <c r="S345" i="1"/>
  <c r="V345" i="1" s="1"/>
  <c r="AH345" i="1" s="1"/>
  <c r="C1149" i="1"/>
  <c r="B1149" i="1" s="1"/>
  <c r="A1149" i="1" s="1"/>
  <c r="C857" i="1"/>
  <c r="B857" i="1" s="1"/>
  <c r="A857" i="1" s="1"/>
  <c r="C149" i="1"/>
  <c r="B149" i="1" s="1"/>
  <c r="A149" i="1" s="1"/>
  <c r="S850" i="1"/>
  <c r="V850" i="1" s="1"/>
  <c r="AH850" i="1" s="1"/>
  <c r="C1076" i="1"/>
  <c r="B1076" i="1" s="1"/>
  <c r="A1076" i="1" s="1"/>
  <c r="S1150" i="1"/>
  <c r="V1150" i="1" s="1"/>
  <c r="AH1150" i="1" s="1"/>
  <c r="C256" i="1"/>
  <c r="B256" i="1" s="1"/>
  <c r="A256" i="1" s="1"/>
  <c r="S628" i="1"/>
  <c r="V628" i="1" s="1"/>
  <c r="AH628" i="1" s="1"/>
  <c r="C827" i="1"/>
  <c r="B827" i="1" s="1"/>
  <c r="A827" i="1" s="1"/>
  <c r="C418" i="1"/>
  <c r="B418" i="1" s="1"/>
  <c r="A418" i="1" s="1"/>
  <c r="C620" i="1"/>
  <c r="B620" i="1" s="1"/>
  <c r="A620" i="1" s="1"/>
  <c r="S175" i="1"/>
  <c r="V175" i="1" s="1"/>
  <c r="AH175" i="1" s="1"/>
  <c r="S859" i="1"/>
  <c r="V859" i="1" s="1"/>
  <c r="AH859" i="1" s="1"/>
  <c r="C1159" i="1"/>
  <c r="B1159" i="1" s="1"/>
  <c r="A1159" i="1" s="1"/>
  <c r="S96" i="1"/>
  <c r="V96" i="1" s="1"/>
  <c r="AH96" i="1" s="1"/>
  <c r="C1167" i="1"/>
  <c r="B1167" i="1" s="1"/>
  <c r="A1167" i="1" s="1"/>
  <c r="C309" i="1"/>
  <c r="B309" i="1" s="1"/>
  <c r="A309" i="1" s="1"/>
  <c r="C1201" i="1"/>
  <c r="B1201" i="1" s="1"/>
  <c r="A1201" i="1" s="1"/>
  <c r="C136" i="1"/>
  <c r="B136" i="1" s="1"/>
  <c r="A136" i="1" s="1"/>
  <c r="C331" i="1"/>
  <c r="B331" i="1" s="1"/>
  <c r="A331" i="1" s="1"/>
  <c r="C390" i="1"/>
  <c r="B390" i="1" s="1"/>
  <c r="A390" i="1" s="1"/>
  <c r="C1211" i="1"/>
  <c r="B1211" i="1" s="1"/>
  <c r="A1211" i="1" s="1"/>
  <c r="S754" i="1"/>
  <c r="V754" i="1" s="1"/>
  <c r="AH754" i="1" s="1"/>
  <c r="C601" i="1"/>
  <c r="B601" i="1" s="1"/>
  <c r="A601" i="1" s="1"/>
  <c r="C1160" i="1"/>
  <c r="B1160" i="1" s="1"/>
  <c r="A1160" i="1" s="1"/>
  <c r="S306" i="1"/>
  <c r="V306" i="1" s="1"/>
  <c r="AH306" i="1" s="1"/>
  <c r="S688" i="1"/>
  <c r="V688" i="1" s="1"/>
  <c r="AH688" i="1" s="1"/>
  <c r="C700" i="1"/>
  <c r="B700" i="1" s="1"/>
  <c r="A700" i="1" s="1"/>
  <c r="S406" i="1"/>
  <c r="V406" i="1" s="1"/>
  <c r="AH406" i="1" s="1"/>
  <c r="C650" i="1"/>
  <c r="B650" i="1" s="1"/>
  <c r="A650" i="1" s="1"/>
  <c r="C750" i="1"/>
  <c r="B750" i="1" s="1"/>
  <c r="A750" i="1" s="1"/>
  <c r="C836" i="1"/>
  <c r="B836" i="1" s="1"/>
  <c r="A836" i="1" s="1"/>
  <c r="S297" i="1"/>
  <c r="V297" i="1" s="1"/>
  <c r="AH297" i="1" s="1"/>
  <c r="C361" i="1"/>
  <c r="B361" i="1" s="1"/>
  <c r="A361" i="1" s="1"/>
  <c r="S20" i="1"/>
  <c r="V20" i="1" s="1"/>
  <c r="AH20" i="1" s="1"/>
  <c r="S745" i="1"/>
  <c r="V745" i="1" s="1"/>
  <c r="AH745" i="1" s="1"/>
  <c r="C317" i="1"/>
  <c r="B317" i="1" s="1"/>
  <c r="A317" i="1" s="1"/>
  <c r="S617" i="1"/>
  <c r="V617" i="1" s="1"/>
  <c r="AH617" i="1" s="1"/>
  <c r="S1125" i="1"/>
  <c r="V1125" i="1" s="1"/>
  <c r="AH1125" i="1" s="1"/>
  <c r="C842" i="1"/>
  <c r="B842" i="1" s="1"/>
  <c r="A842" i="1" s="1"/>
  <c r="C737" i="1"/>
  <c r="B737" i="1" s="1"/>
  <c r="A737" i="1" s="1"/>
  <c r="S167" i="1"/>
  <c r="V167" i="1" s="1"/>
  <c r="AH167" i="1" s="1"/>
  <c r="C600" i="1"/>
  <c r="B600" i="1" s="1"/>
  <c r="A600" i="1" s="1"/>
  <c r="S353" i="1"/>
  <c r="V353" i="1" s="1"/>
  <c r="AH353" i="1" s="1"/>
  <c r="S27" i="1"/>
  <c r="V27" i="1" s="1"/>
  <c r="AH27" i="1" s="1"/>
  <c r="S1156" i="1"/>
  <c r="V1156" i="1" s="1"/>
  <c r="AH1156" i="1" s="1"/>
  <c r="S3" i="1"/>
  <c r="V3" i="1" s="1"/>
  <c r="AH3" i="1" s="1"/>
  <c r="S131" i="1"/>
  <c r="V131" i="1" s="1"/>
  <c r="AH131" i="1" s="1"/>
  <c r="C1156" i="1"/>
  <c r="B1156" i="1" s="1"/>
  <c r="A1156" i="1" s="1"/>
  <c r="S220" i="1"/>
  <c r="V220" i="1" s="1"/>
  <c r="AH220" i="1" s="1"/>
  <c r="C690" i="1"/>
  <c r="B690" i="1" s="1"/>
  <c r="A690" i="1" s="1"/>
  <c r="S251" i="1"/>
  <c r="V251" i="1" s="1"/>
  <c r="AH251" i="1" s="1"/>
  <c r="S553" i="1"/>
  <c r="V553" i="1" s="1"/>
  <c r="AH553" i="1" s="1"/>
  <c r="C368" i="1"/>
  <c r="B368" i="1" s="1"/>
  <c r="A368" i="1" s="1"/>
  <c r="S294" i="1"/>
  <c r="V294" i="1" s="1"/>
  <c r="AH294" i="1" s="1"/>
  <c r="S971" i="1"/>
  <c r="V971" i="1" s="1"/>
  <c r="AH971" i="1" s="1"/>
  <c r="C739" i="1"/>
  <c r="B739" i="1" s="1"/>
  <c r="A739" i="1" s="1"/>
  <c r="S217" i="1"/>
  <c r="V217" i="1" s="1"/>
  <c r="AH217" i="1" s="1"/>
  <c r="S59" i="1"/>
  <c r="V59" i="1" s="1"/>
  <c r="AH59" i="1" s="1"/>
  <c r="S1018" i="1"/>
  <c r="V1018" i="1" s="1"/>
  <c r="AH1018" i="1" s="1"/>
  <c r="S1147" i="1"/>
  <c r="V1147" i="1" s="1"/>
  <c r="AH1147" i="1" s="1"/>
  <c r="S787" i="1"/>
  <c r="V787" i="1" s="1"/>
  <c r="AH787" i="1" s="1"/>
  <c r="C985" i="1"/>
  <c r="B985" i="1" s="1"/>
  <c r="A985" i="1" s="1"/>
  <c r="C560" i="1"/>
  <c r="B560" i="1" s="1"/>
  <c r="A560" i="1" s="1"/>
  <c r="C1110" i="1"/>
  <c r="B1110" i="1" s="1"/>
  <c r="A1110" i="1" s="1"/>
  <c r="S607" i="1"/>
  <c r="V607" i="1" s="1"/>
  <c r="AH607" i="1" s="1"/>
  <c r="C1169" i="1"/>
  <c r="B1169" i="1" s="1"/>
  <c r="A1169" i="1" s="1"/>
  <c r="C59" i="1"/>
  <c r="B59" i="1" s="1"/>
  <c r="A59" i="1" s="1"/>
  <c r="S115" i="1"/>
  <c r="V115" i="1" s="1"/>
  <c r="AH115" i="1" s="1"/>
  <c r="C435" i="1"/>
  <c r="B435" i="1" s="1"/>
  <c r="A435" i="1" s="1"/>
  <c r="S980" i="1"/>
  <c r="V980" i="1" s="1"/>
  <c r="AH980" i="1" s="1"/>
  <c r="C520" i="1"/>
  <c r="B520" i="1" s="1"/>
  <c r="A520" i="1" s="1"/>
  <c r="S197" i="1"/>
  <c r="V197" i="1" s="1"/>
  <c r="AH197" i="1" s="1"/>
  <c r="S615" i="1"/>
  <c r="V615" i="1" s="1"/>
  <c r="AH615" i="1" s="1"/>
  <c r="S318" i="1"/>
  <c r="V318" i="1" s="1"/>
  <c r="AH318" i="1" s="1"/>
  <c r="S543" i="1"/>
  <c r="V543" i="1" s="1"/>
  <c r="AH543" i="1" s="1"/>
  <c r="S218" i="1"/>
  <c r="V218" i="1" s="1"/>
  <c r="AH218" i="1" s="1"/>
  <c r="S872" i="1"/>
  <c r="V872" i="1" s="1"/>
  <c r="AH872" i="1" s="1"/>
  <c r="S52" i="1"/>
  <c r="V52" i="1" s="1"/>
  <c r="AH52" i="1" s="1"/>
  <c r="S264" i="1"/>
  <c r="V264" i="1" s="1"/>
  <c r="AH264" i="1" s="1"/>
  <c r="S926" i="1"/>
  <c r="V926" i="1" s="1"/>
  <c r="AH926" i="1" s="1"/>
  <c r="C503" i="1"/>
  <c r="B503" i="1" s="1"/>
  <c r="A503" i="1" s="1"/>
  <c r="C75" i="1"/>
  <c r="B75" i="1" s="1"/>
  <c r="A75" i="1" s="1"/>
  <c r="C129" i="1"/>
  <c r="B129" i="1" s="1"/>
  <c r="A129" i="1" s="1"/>
  <c r="S597" i="1"/>
  <c r="V597" i="1" s="1"/>
  <c r="AH597" i="1" s="1"/>
  <c r="S778" i="1"/>
  <c r="V778" i="1" s="1"/>
  <c r="AH778" i="1" s="1"/>
  <c r="S1024" i="1"/>
  <c r="V1024" i="1" s="1"/>
  <c r="AH1024" i="1" s="1"/>
  <c r="S906" i="1"/>
  <c r="V906" i="1" s="1"/>
  <c r="AH906" i="1" s="1"/>
  <c r="S225" i="1"/>
  <c r="V225" i="1" s="1"/>
  <c r="AH225" i="1" s="1"/>
  <c r="S720" i="1"/>
  <c r="V720" i="1" s="1"/>
  <c r="AH720" i="1" s="1"/>
  <c r="C898" i="1"/>
  <c r="B898" i="1" s="1"/>
  <c r="A898" i="1" s="1"/>
  <c r="S709" i="1"/>
  <c r="V709" i="1" s="1"/>
  <c r="AH709" i="1" s="1"/>
  <c r="S147" i="1"/>
  <c r="V147" i="1" s="1"/>
  <c r="AH147" i="1" s="1"/>
  <c r="S805" i="1"/>
  <c r="V805" i="1" s="1"/>
  <c r="AH805" i="1" s="1"/>
  <c r="C151" i="1"/>
  <c r="B151" i="1" s="1"/>
  <c r="A151" i="1" s="1"/>
  <c r="C833" i="1"/>
  <c r="B833" i="1" s="1"/>
  <c r="A833" i="1" s="1"/>
  <c r="S979" i="1"/>
  <c r="V979" i="1" s="1"/>
  <c r="AH979" i="1" s="1"/>
  <c r="C190" i="1"/>
  <c r="B190" i="1" s="1"/>
  <c r="A190" i="1" s="1"/>
  <c r="S578" i="1"/>
  <c r="V578" i="1" s="1"/>
  <c r="AH578" i="1" s="1"/>
  <c r="S1112" i="1"/>
  <c r="V1112" i="1" s="1"/>
  <c r="AH1112" i="1" s="1"/>
  <c r="S552" i="1"/>
  <c r="V552" i="1" s="1"/>
  <c r="AH552" i="1" s="1"/>
  <c r="C569" i="1"/>
  <c r="B569" i="1" s="1"/>
  <c r="A569" i="1" s="1"/>
  <c r="S117" i="1"/>
  <c r="V117" i="1" s="1"/>
  <c r="AH117" i="1" s="1"/>
  <c r="S276" i="1"/>
  <c r="V276" i="1" s="1"/>
  <c r="AH276" i="1" s="1"/>
  <c r="S868" i="1"/>
  <c r="V868" i="1" s="1"/>
  <c r="AH868" i="1" s="1"/>
  <c r="S69" i="1"/>
  <c r="V69" i="1" s="1"/>
  <c r="AH69" i="1" s="1"/>
  <c r="S39" i="1"/>
  <c r="V39" i="1" s="1"/>
  <c r="AH39" i="1" s="1"/>
  <c r="C19" i="1"/>
  <c r="B19" i="1" s="1"/>
  <c r="A19" i="1" s="1"/>
  <c r="S664" i="1"/>
  <c r="V664" i="1" s="1"/>
  <c r="AH664" i="1" s="1"/>
  <c r="S591" i="1"/>
  <c r="V591" i="1" s="1"/>
  <c r="AH591" i="1" s="1"/>
  <c r="S126" i="1"/>
  <c r="V126" i="1" s="1"/>
  <c r="AH126" i="1" s="1"/>
  <c r="C1142" i="1"/>
  <c r="B1142" i="1" s="1"/>
  <c r="A1142" i="1" s="1"/>
  <c r="S574" i="1"/>
  <c r="V574" i="1" s="1"/>
  <c r="AH574" i="1" s="1"/>
  <c r="S1116" i="1"/>
  <c r="V1116" i="1" s="1"/>
  <c r="AH1116" i="1" s="1"/>
  <c r="S70" i="1"/>
  <c r="V70" i="1" s="1"/>
  <c r="AH70" i="1" s="1"/>
  <c r="S858" i="1"/>
  <c r="V858" i="1" s="1"/>
  <c r="AH858" i="1" s="1"/>
  <c r="S492" i="1"/>
  <c r="V492" i="1" s="1"/>
  <c r="AH492" i="1" s="1"/>
  <c r="S346" i="1"/>
  <c r="V346" i="1" s="1"/>
  <c r="AH346" i="1" s="1"/>
  <c r="S619" i="1"/>
  <c r="V619" i="1" s="1"/>
  <c r="AH619" i="1" s="1"/>
  <c r="S68" i="1"/>
  <c r="V68" i="1" s="1"/>
  <c r="AH68" i="1" s="1"/>
  <c r="S1151" i="1"/>
  <c r="V1151" i="1" s="1"/>
  <c r="AH1151" i="1" s="1"/>
  <c r="C859" i="1"/>
  <c r="B859" i="1" s="1"/>
  <c r="A859" i="1" s="1"/>
  <c r="C379" i="1"/>
  <c r="B379" i="1" s="1"/>
  <c r="A379" i="1" s="1"/>
  <c r="C970" i="1"/>
  <c r="B970" i="1" s="1"/>
  <c r="A970" i="1" s="1"/>
  <c r="C705" i="1"/>
  <c r="B705" i="1" s="1"/>
  <c r="A705" i="1" s="1"/>
  <c r="C397" i="1"/>
  <c r="B397" i="1" s="1"/>
  <c r="A397" i="1" s="1"/>
  <c r="S639" i="1"/>
  <c r="V639" i="1" s="1"/>
  <c r="AH639" i="1" s="1"/>
  <c r="S119" i="1"/>
  <c r="V119" i="1" s="1"/>
  <c r="AH119" i="1" s="1"/>
  <c r="C216" i="1"/>
  <c r="B216" i="1" s="1"/>
  <c r="A216" i="1" s="1"/>
  <c r="S290" i="1"/>
  <c r="V290" i="1" s="1"/>
  <c r="AH290" i="1" s="1"/>
  <c r="C196" i="1"/>
  <c r="B196" i="1" s="1"/>
  <c r="A196" i="1" s="1"/>
  <c r="S799" i="1"/>
  <c r="V799" i="1" s="1"/>
  <c r="AH799" i="1" s="1"/>
  <c r="C567" i="1"/>
  <c r="B567" i="1" s="1"/>
  <c r="A567" i="1" s="1"/>
  <c r="S186" i="1"/>
  <c r="V186" i="1" s="1"/>
  <c r="AH186" i="1" s="1"/>
  <c r="C987" i="1"/>
  <c r="B987" i="1" s="1"/>
  <c r="A987" i="1" s="1"/>
  <c r="C31" i="1"/>
  <c r="B31" i="1" s="1"/>
  <c r="A31" i="1" s="1"/>
  <c r="S763" i="1"/>
  <c r="V763" i="1" s="1"/>
  <c r="AH763" i="1" s="1"/>
  <c r="S442" i="1"/>
  <c r="V442" i="1" s="1"/>
  <c r="AH442" i="1" s="1"/>
  <c r="C265" i="1"/>
  <c r="B265" i="1" s="1"/>
  <c r="A265" i="1" s="1"/>
  <c r="S682" i="1"/>
  <c r="V682" i="1" s="1"/>
  <c r="AH682" i="1" s="1"/>
  <c r="S708" i="1"/>
  <c r="V708" i="1" s="1"/>
  <c r="AH708" i="1" s="1"/>
  <c r="S740" i="1"/>
  <c r="V740" i="1" s="1"/>
  <c r="AH740" i="1" s="1"/>
  <c r="S402" i="1"/>
  <c r="V402" i="1" s="1"/>
  <c r="AH402" i="1" s="1"/>
  <c r="S153" i="1"/>
  <c r="V153" i="1" s="1"/>
  <c r="AH153" i="1" s="1"/>
  <c r="C722" i="1"/>
  <c r="B722" i="1" s="1"/>
  <c r="A722" i="1" s="1"/>
  <c r="S426" i="1"/>
  <c r="V426" i="1" s="1"/>
  <c r="AH426" i="1" s="1"/>
  <c r="S446" i="1"/>
  <c r="V446" i="1" s="1"/>
  <c r="AH446" i="1" s="1"/>
  <c r="C1069" i="1"/>
  <c r="B1069" i="1" s="1"/>
  <c r="A1069" i="1" s="1"/>
  <c r="C543" i="1"/>
  <c r="B543" i="1" s="1"/>
  <c r="A543" i="1" s="1"/>
  <c r="C153" i="1"/>
  <c r="B153" i="1" s="1"/>
  <c r="A153" i="1" s="1"/>
  <c r="S228" i="1"/>
  <c r="V228" i="1" s="1"/>
  <c r="AH228" i="1" s="1"/>
  <c r="S130" i="1"/>
  <c r="V130" i="1" s="1"/>
  <c r="AH130" i="1" s="1"/>
  <c r="S199" i="1"/>
  <c r="V199" i="1" s="1"/>
  <c r="AH199" i="1" s="1"/>
  <c r="C995" i="1"/>
  <c r="B995" i="1" s="1"/>
  <c r="A995" i="1" s="1"/>
  <c r="S374" i="1"/>
  <c r="V374" i="1" s="1"/>
  <c r="AH374" i="1" s="1"/>
  <c r="C284" i="1"/>
  <c r="B284" i="1" s="1"/>
  <c r="A284" i="1" s="1"/>
  <c r="C625" i="1"/>
  <c r="B625" i="1" s="1"/>
  <c r="A625" i="1" s="1"/>
  <c r="S1094" i="1"/>
  <c r="V1094" i="1" s="1"/>
  <c r="AH1094" i="1" s="1"/>
  <c r="C84" i="1"/>
  <c r="B84" i="1" s="1"/>
  <c r="A84" i="1" s="1"/>
  <c r="S243" i="1"/>
  <c r="V243" i="1" s="1"/>
  <c r="AH243" i="1" s="1"/>
  <c r="S803" i="1"/>
  <c r="V803" i="1" s="1"/>
  <c r="AH803" i="1" s="1"/>
  <c r="C687" i="1"/>
  <c r="B687" i="1" s="1"/>
  <c r="A687" i="1" s="1"/>
  <c r="S210" i="1"/>
  <c r="V210" i="1" s="1"/>
  <c r="AH210" i="1" s="1"/>
  <c r="S518" i="1"/>
  <c r="V518" i="1" s="1"/>
  <c r="AH518" i="1" s="1"/>
  <c r="S246" i="1"/>
  <c r="V246" i="1" s="1"/>
  <c r="AH246" i="1" s="1"/>
  <c r="S372" i="1"/>
  <c r="V372" i="1" s="1"/>
  <c r="AH372" i="1" s="1"/>
  <c r="C341" i="1"/>
  <c r="B341" i="1" s="1"/>
  <c r="A341" i="1" s="1"/>
  <c r="C663" i="1"/>
  <c r="B663" i="1" s="1"/>
  <c r="A663" i="1" s="1"/>
  <c r="S382" i="1"/>
  <c r="V382" i="1" s="1"/>
  <c r="AH382" i="1" s="1"/>
  <c r="S303" i="1"/>
  <c r="V303" i="1" s="1"/>
  <c r="AH303" i="1" s="1"/>
  <c r="C56" i="1"/>
  <c r="B56" i="1" s="1"/>
  <c r="A56" i="1" s="1"/>
  <c r="S334" i="1"/>
  <c r="V334" i="1" s="1"/>
  <c r="AH334" i="1" s="1"/>
  <c r="C652" i="1"/>
  <c r="B652" i="1" s="1"/>
  <c r="A652" i="1" s="1"/>
  <c r="S469" i="1"/>
  <c r="V469" i="1" s="1"/>
  <c r="AH469" i="1" s="1"/>
  <c r="C847" i="1"/>
  <c r="B847" i="1" s="1"/>
  <c r="A847" i="1" s="1"/>
  <c r="S219" i="1"/>
  <c r="V219" i="1" s="1"/>
  <c r="AH219" i="1" s="1"/>
  <c r="C916" i="1"/>
  <c r="B916" i="1" s="1"/>
  <c r="A916" i="1" s="1"/>
  <c r="C679" i="1"/>
  <c r="B679" i="1" s="1"/>
  <c r="A679" i="1" s="1"/>
  <c r="C453" i="1"/>
  <c r="B453" i="1" s="1"/>
  <c r="A453" i="1" s="1"/>
  <c r="S490" i="1"/>
  <c r="V490" i="1" s="1"/>
  <c r="AH490" i="1" s="1"/>
  <c r="S103" i="1"/>
  <c r="V103" i="1" s="1"/>
  <c r="AH103" i="1" s="1"/>
  <c r="C1164" i="1"/>
  <c r="B1164" i="1" s="1"/>
  <c r="A1164" i="1" s="1"/>
  <c r="C770" i="1"/>
  <c r="B770" i="1" s="1"/>
  <c r="A770" i="1" s="1"/>
  <c r="S1146" i="1"/>
  <c r="V1146" i="1" s="1"/>
  <c r="AH1146" i="1" s="1"/>
  <c r="S208" i="1"/>
  <c r="V208" i="1" s="1"/>
  <c r="AH208" i="1" s="1"/>
  <c r="C510" i="1"/>
  <c r="B510" i="1" s="1"/>
  <c r="A510" i="1" s="1"/>
  <c r="C850" i="1"/>
  <c r="B850" i="1" s="1"/>
  <c r="A850" i="1" s="1"/>
  <c r="C824" i="1"/>
  <c r="B824" i="1" s="1"/>
  <c r="A824" i="1" s="1"/>
  <c r="S409" i="1"/>
  <c r="V409" i="1" s="1"/>
  <c r="AH409" i="1" s="1"/>
  <c r="C553" i="1"/>
  <c r="B553" i="1" s="1"/>
  <c r="A553" i="1" s="1"/>
  <c r="C526" i="1"/>
  <c r="B526" i="1" s="1"/>
  <c r="A526" i="1" s="1"/>
  <c r="C1208" i="1"/>
  <c r="B1208" i="1" s="1"/>
  <c r="A1208" i="1" s="1"/>
  <c r="S731" i="1"/>
  <c r="V731" i="1" s="1"/>
  <c r="AH731" i="1" s="1"/>
  <c r="C831" i="1"/>
  <c r="B831" i="1" s="1"/>
  <c r="A831" i="1" s="1"/>
  <c r="C772" i="1"/>
  <c r="B772" i="1" s="1"/>
  <c r="A772" i="1" s="1"/>
  <c r="C233" i="1"/>
  <c r="B233" i="1" s="1"/>
  <c r="A233" i="1" s="1"/>
  <c r="C1195" i="1"/>
  <c r="B1195" i="1" s="1"/>
  <c r="A1195" i="1" s="1"/>
  <c r="S1164" i="1"/>
  <c r="V1164" i="1" s="1"/>
  <c r="AH1164" i="1" s="1"/>
  <c r="C1127" i="1"/>
  <c r="B1127" i="1" s="1"/>
  <c r="A1127" i="1" s="1"/>
  <c r="S46" i="1"/>
  <c r="V46" i="1" s="1"/>
  <c r="AH46" i="1" s="1"/>
  <c r="C613" i="1"/>
  <c r="B613" i="1" s="1"/>
  <c r="A613" i="1" s="1"/>
  <c r="C538" i="1"/>
  <c r="B538" i="1" s="1"/>
  <c r="A538" i="1" s="1"/>
  <c r="S995" i="1"/>
  <c r="V995" i="1" s="1"/>
  <c r="AH995" i="1" s="1"/>
  <c r="S408" i="1"/>
  <c r="V408" i="1" s="1"/>
  <c r="AH408" i="1" s="1"/>
  <c r="S956" i="1"/>
  <c r="V956" i="1" s="1"/>
  <c r="AH956" i="1" s="1"/>
  <c r="S1061" i="1"/>
  <c r="V1061" i="1" s="1"/>
  <c r="AH1061" i="1" s="1"/>
  <c r="S247" i="1"/>
  <c r="V247" i="1" s="1"/>
  <c r="AH247" i="1" s="1"/>
  <c r="C147" i="1"/>
  <c r="B147" i="1" s="1"/>
  <c r="A147" i="1" s="1"/>
  <c r="C203" i="1"/>
  <c r="B203" i="1" s="1"/>
  <c r="A203" i="1" s="1"/>
  <c r="S987" i="1"/>
  <c r="V987" i="1" s="1"/>
  <c r="AH987" i="1" s="1"/>
  <c r="C484" i="1"/>
  <c r="B484" i="1" s="1"/>
  <c r="A484" i="1" s="1"/>
  <c r="C729" i="1"/>
  <c r="B729" i="1" s="1"/>
  <c r="A729" i="1" s="1"/>
  <c r="S320" i="1"/>
  <c r="V320" i="1" s="1"/>
  <c r="AH320" i="1" s="1"/>
  <c r="S693" i="1"/>
  <c r="V693" i="1" s="1"/>
  <c r="AH693" i="1" s="1"/>
  <c r="S1092" i="1"/>
  <c r="V1092" i="1" s="1"/>
  <c r="AH1092" i="1" s="1"/>
  <c r="S943" i="1"/>
  <c r="V943" i="1" s="1"/>
  <c r="AH943" i="1" s="1"/>
  <c r="C658" i="1"/>
  <c r="B658" i="1" s="1"/>
  <c r="A658" i="1" s="1"/>
  <c r="S404" i="1"/>
  <c r="V404" i="1" s="1"/>
  <c r="AH404" i="1" s="1"/>
  <c r="S744" i="1"/>
  <c r="V744" i="1" s="1"/>
  <c r="AH744" i="1" s="1"/>
  <c r="C479" i="1"/>
  <c r="B479" i="1" s="1"/>
  <c r="A479" i="1" s="1"/>
  <c r="C378" i="1"/>
  <c r="B378" i="1" s="1"/>
  <c r="A378" i="1" s="1"/>
  <c r="S1049" i="1"/>
  <c r="V1049" i="1" s="1"/>
  <c r="AH1049" i="1" s="1"/>
  <c r="C632" i="1"/>
  <c r="B632" i="1" s="1"/>
  <c r="A632" i="1" s="1"/>
  <c r="C542" i="1"/>
  <c r="B542" i="1" s="1"/>
  <c r="A542" i="1" s="1"/>
  <c r="C1128" i="1"/>
  <c r="B1128" i="1" s="1"/>
  <c r="A1128" i="1" s="1"/>
  <c r="C1205" i="1"/>
  <c r="B1205" i="1" s="1"/>
  <c r="A1205" i="1" s="1"/>
  <c r="C135" i="1"/>
  <c r="B135" i="1" s="1"/>
  <c r="A135" i="1" s="1"/>
  <c r="C515" i="1"/>
  <c r="B515" i="1" s="1"/>
  <c r="A515" i="1" s="1"/>
  <c r="C1189" i="1"/>
  <c r="B1189" i="1" s="1"/>
  <c r="A1189" i="1" s="1"/>
  <c r="S341" i="1"/>
  <c r="V341" i="1" s="1"/>
  <c r="AH341" i="1" s="1"/>
  <c r="S849" i="1"/>
  <c r="V849" i="1" s="1"/>
  <c r="AH849" i="1" s="1"/>
  <c r="S476" i="1"/>
  <c r="V476" i="1" s="1"/>
  <c r="AH476" i="1" s="1"/>
  <c r="S41" i="1"/>
  <c r="V41" i="1" s="1"/>
  <c r="AH41" i="1" s="1"/>
  <c r="S706" i="1"/>
  <c r="V706" i="1" s="1"/>
  <c r="AH706" i="1" s="1"/>
  <c r="C875" i="1"/>
  <c r="B875" i="1" s="1"/>
  <c r="A875" i="1" s="1"/>
  <c r="C954" i="1"/>
  <c r="B954" i="1" s="1"/>
  <c r="A954" i="1" s="1"/>
  <c r="C1088" i="1"/>
  <c r="B1088" i="1" s="1"/>
  <c r="A1088" i="1" s="1"/>
  <c r="S916" i="1"/>
  <c r="V916" i="1" s="1"/>
  <c r="AH916" i="1" s="1"/>
  <c r="C490" i="1"/>
  <c r="B490" i="1" s="1"/>
  <c r="A490" i="1" s="1"/>
  <c r="C404" i="1"/>
  <c r="B404" i="1" s="1"/>
  <c r="A404" i="1" s="1"/>
  <c r="S400" i="1"/>
  <c r="V400" i="1" s="1"/>
  <c r="AH400" i="1" s="1"/>
  <c r="S711" i="1"/>
  <c r="V711" i="1" s="1"/>
  <c r="AH711" i="1" s="1"/>
  <c r="C226" i="1"/>
  <c r="B226" i="1" s="1"/>
  <c r="A226" i="1" s="1"/>
  <c r="S605" i="1"/>
  <c r="V605" i="1" s="1"/>
  <c r="AH605" i="1" s="1"/>
  <c r="C918" i="1"/>
  <c r="B918" i="1" s="1"/>
  <c r="A918" i="1" s="1"/>
  <c r="S479" i="1"/>
  <c r="V479" i="1" s="1"/>
  <c r="AH479" i="1" s="1"/>
  <c r="S2" i="1"/>
  <c r="V2" i="1" s="1"/>
  <c r="AH2" i="1" s="1"/>
  <c r="C370" i="1"/>
  <c r="B370" i="1" s="1"/>
  <c r="A370" i="1" s="1"/>
  <c r="S668" i="1"/>
  <c r="V668" i="1" s="1"/>
  <c r="AH668" i="1" s="1"/>
  <c r="S853" i="1"/>
  <c r="V853" i="1" s="1"/>
  <c r="AH853" i="1" s="1"/>
  <c r="S1059" i="1"/>
  <c r="V1059" i="1" s="1"/>
  <c r="AH1059" i="1" s="1"/>
  <c r="S127" i="1"/>
  <c r="V127" i="1" s="1"/>
  <c r="AH127" i="1" s="1"/>
  <c r="C297" i="1"/>
  <c r="B297" i="1" s="1"/>
  <c r="A297" i="1" s="1"/>
  <c r="C897" i="1"/>
  <c r="B897" i="1" s="1"/>
  <c r="A897" i="1" s="1"/>
  <c r="S150" i="1"/>
  <c r="V150" i="1" s="1"/>
  <c r="AH150" i="1" s="1"/>
  <c r="C253" i="1"/>
  <c r="B253" i="1" s="1"/>
  <c r="A253" i="1" s="1"/>
  <c r="C186" i="1"/>
  <c r="B186" i="1" s="1"/>
  <c r="A186" i="1" s="1"/>
  <c r="C870" i="1"/>
  <c r="B870" i="1" s="1"/>
  <c r="A870" i="1" s="1"/>
  <c r="C367" i="1"/>
  <c r="B367" i="1" s="1"/>
  <c r="A367" i="1" s="1"/>
  <c r="C566" i="1"/>
  <c r="B566" i="1" s="1"/>
  <c r="A566" i="1" s="1"/>
  <c r="C981" i="1"/>
  <c r="B981" i="1" s="1"/>
  <c r="A981" i="1" s="1"/>
  <c r="C1121" i="1"/>
  <c r="B1121" i="1" s="1"/>
  <c r="A1121" i="1" s="1"/>
  <c r="S663" i="1"/>
  <c r="V663" i="1" s="1"/>
  <c r="AH663" i="1" s="1"/>
  <c r="C152" i="1"/>
  <c r="B152" i="1" s="1"/>
  <c r="A152" i="1" s="1"/>
  <c r="S1149" i="1"/>
  <c r="V1149" i="1" s="1"/>
  <c r="AH1149" i="1" s="1"/>
  <c r="C99" i="1"/>
  <c r="B99" i="1" s="1"/>
  <c r="A99" i="1" s="1"/>
  <c r="C115" i="1"/>
  <c r="B115" i="1" s="1"/>
  <c r="A115" i="1" s="1"/>
  <c r="C181" i="1"/>
  <c r="B181" i="1" s="1"/>
  <c r="A181" i="1" s="1"/>
  <c r="C419" i="1"/>
  <c r="B419" i="1" s="1"/>
  <c r="A419" i="1" s="1"/>
  <c r="C558" i="1"/>
  <c r="B558" i="1" s="1"/>
  <c r="A558" i="1" s="1"/>
  <c r="C348" i="1"/>
  <c r="B348" i="1" s="1"/>
  <c r="A348" i="1" s="1"/>
  <c r="C640" i="1"/>
  <c r="B640" i="1" s="1"/>
  <c r="A640" i="1" s="1"/>
  <c r="S961" i="1"/>
  <c r="V961" i="1" s="1"/>
  <c r="AH961" i="1" s="1"/>
  <c r="C375" i="1"/>
  <c r="B375" i="1" s="1"/>
  <c r="A375" i="1" s="1"/>
  <c r="S60" i="1"/>
  <c r="V60" i="1" s="1"/>
  <c r="AH60" i="1" s="1"/>
  <c r="C669" i="1"/>
  <c r="B669" i="1" s="1"/>
  <c r="A669" i="1" s="1"/>
  <c r="P1196" i="1"/>
  <c r="S183" i="1"/>
  <c r="V183" i="1" s="1"/>
  <c r="AH183" i="1" s="1"/>
  <c r="S327" i="1"/>
  <c r="V327" i="1" s="1"/>
  <c r="AH327" i="1" s="1"/>
  <c r="S654" i="1"/>
  <c r="V654" i="1" s="1"/>
  <c r="AH654" i="1" s="1"/>
  <c r="C621" i="1"/>
  <c r="B621" i="1" s="1"/>
  <c r="A621" i="1" s="1"/>
  <c r="S937" i="1"/>
  <c r="V937" i="1" s="1"/>
  <c r="AH937" i="1" s="1"/>
  <c r="S766" i="1"/>
  <c r="V766" i="1" s="1"/>
  <c r="AH766" i="1" s="1"/>
  <c r="S920" i="1"/>
  <c r="V920" i="1" s="1"/>
  <c r="AH920" i="1" s="1"/>
  <c r="P1194" i="1"/>
  <c r="S87" i="1"/>
  <c r="V87" i="1" s="1"/>
  <c r="AH87" i="1" s="1"/>
  <c r="S362" i="1"/>
  <c r="V362" i="1" s="1"/>
  <c r="AH362" i="1" s="1"/>
  <c r="C998" i="1"/>
  <c r="B998" i="1" s="1"/>
  <c r="A998" i="1" s="1"/>
  <c r="S448" i="1"/>
  <c r="V448" i="1" s="1"/>
  <c r="AH448" i="1" s="1"/>
  <c r="S1073" i="1"/>
  <c r="V1073" i="1" s="1"/>
  <c r="AH1073" i="1" s="1"/>
  <c r="C308" i="1"/>
  <c r="B308" i="1" s="1"/>
  <c r="A308" i="1" s="1"/>
  <c r="C634" i="1"/>
  <c r="B634" i="1" s="1"/>
  <c r="A634" i="1" s="1"/>
  <c r="C65" i="1"/>
  <c r="B65" i="1" s="1"/>
  <c r="A65" i="1" s="1"/>
  <c r="S912" i="1"/>
  <c r="V912" i="1" s="1"/>
  <c r="AH912" i="1" s="1"/>
  <c r="C716" i="1"/>
  <c r="B716" i="1" s="1"/>
  <c r="A716" i="1" s="1"/>
  <c r="S700" i="1"/>
  <c r="V700" i="1" s="1"/>
  <c r="AH700" i="1" s="1"/>
  <c r="C1123" i="1"/>
  <c r="B1123" i="1" s="1"/>
  <c r="A1123" i="1" s="1"/>
  <c r="C202" i="1"/>
  <c r="B202" i="1" s="1"/>
  <c r="A202" i="1" s="1"/>
  <c r="S182" i="1"/>
  <c r="V182" i="1" s="1"/>
  <c r="AH182" i="1" s="1"/>
  <c r="C174" i="1"/>
  <c r="B174" i="1" s="1"/>
  <c r="A174" i="1" s="1"/>
  <c r="S481" i="1"/>
  <c r="V481" i="1" s="1"/>
  <c r="AH481" i="1" s="1"/>
  <c r="C236" i="1"/>
  <c r="B236" i="1" s="1"/>
  <c r="A236" i="1" s="1"/>
  <c r="C1122" i="1"/>
  <c r="B1122" i="1" s="1"/>
  <c r="A1122" i="1" s="1"/>
  <c r="C929" i="1"/>
  <c r="B929" i="1" s="1"/>
  <c r="A929" i="1" s="1"/>
  <c r="S540" i="1"/>
  <c r="V540" i="1" s="1"/>
  <c r="AH540" i="1" s="1"/>
  <c r="S429" i="1"/>
  <c r="V429" i="1" s="1"/>
  <c r="AH429" i="1" s="1"/>
  <c r="S101" i="1"/>
  <c r="V101" i="1" s="1"/>
  <c r="AH101" i="1" s="1"/>
  <c r="S368" i="1"/>
  <c r="V368" i="1" s="1"/>
  <c r="AH368" i="1" s="1"/>
  <c r="S178" i="1"/>
  <c r="V178" i="1" s="1"/>
  <c r="AH178" i="1" s="1"/>
  <c r="C349" i="1"/>
  <c r="B349" i="1" s="1"/>
  <c r="A349" i="1" s="1"/>
  <c r="S1039" i="1"/>
  <c r="V1039" i="1" s="1"/>
  <c r="AH1039" i="1" s="1"/>
  <c r="C759" i="1"/>
  <c r="B759" i="1" s="1"/>
  <c r="A759" i="1" s="1"/>
  <c r="C455" i="1"/>
  <c r="B455" i="1" s="1"/>
  <c r="A455" i="1" s="1"/>
  <c r="S683" i="1"/>
  <c r="V683" i="1" s="1"/>
  <c r="AH683" i="1" s="1"/>
  <c r="C420" i="1"/>
  <c r="B420" i="1" s="1"/>
  <c r="A420" i="1" s="1"/>
  <c r="C935" i="1"/>
  <c r="B935" i="1" s="1"/>
  <c r="A935" i="1" s="1"/>
  <c r="S1159" i="1"/>
  <c r="V1159" i="1" s="1"/>
  <c r="AH1159" i="1" s="1"/>
  <c r="S412" i="1"/>
  <c r="V412" i="1" s="1"/>
  <c r="AH412" i="1" s="1"/>
  <c r="C903" i="1"/>
  <c r="B903" i="1" s="1"/>
  <c r="A903" i="1" s="1"/>
  <c r="S5" i="1"/>
  <c r="V5" i="1" s="1"/>
  <c r="AH5" i="1" s="1"/>
  <c r="C693" i="1"/>
  <c r="B693" i="1" s="1"/>
  <c r="A693" i="1" s="1"/>
  <c r="C946" i="1"/>
  <c r="B946" i="1" s="1"/>
  <c r="A946" i="1" s="1"/>
  <c r="C421" i="1"/>
  <c r="B421" i="1" s="1"/>
  <c r="A421" i="1" s="1"/>
  <c r="C721" i="1"/>
  <c r="B721" i="1" s="1"/>
  <c r="A721" i="1" s="1"/>
  <c r="S1012" i="1"/>
  <c r="V1012" i="1" s="1"/>
  <c r="AH1012" i="1" s="1"/>
  <c r="S715" i="1"/>
  <c r="V715" i="1" s="1"/>
  <c r="AH715" i="1" s="1"/>
  <c r="S1157" i="1"/>
  <c r="V1157" i="1" s="1"/>
  <c r="AH1157" i="1" s="1"/>
  <c r="C760" i="1"/>
  <c r="B760" i="1" s="1"/>
  <c r="A760" i="1" s="1"/>
  <c r="S1006" i="1"/>
  <c r="V1006" i="1" s="1"/>
  <c r="AH1006" i="1" s="1"/>
  <c r="S874" i="1"/>
  <c r="V874" i="1" s="1"/>
  <c r="AH874" i="1" s="1"/>
  <c r="C557" i="1"/>
  <c r="B557" i="1" s="1"/>
  <c r="A557" i="1" s="1"/>
  <c r="C195" i="1"/>
  <c r="B195" i="1" s="1"/>
  <c r="A195" i="1" s="1"/>
  <c r="S575" i="1"/>
  <c r="V575" i="1" s="1"/>
  <c r="AH575" i="1" s="1"/>
  <c r="C108" i="1"/>
  <c r="B108" i="1" s="1"/>
  <c r="A108" i="1" s="1"/>
  <c r="S489" i="1"/>
  <c r="V489" i="1" s="1"/>
  <c r="AH489" i="1" s="1"/>
  <c r="C188" i="1"/>
  <c r="B188" i="1" s="1"/>
  <c r="A188" i="1" s="1"/>
  <c r="C363" i="1"/>
  <c r="B363" i="1" s="1"/>
  <c r="A363" i="1" s="1"/>
  <c r="S482" i="1"/>
  <c r="V482" i="1" s="1"/>
  <c r="AH482" i="1" s="1"/>
  <c r="C346" i="1"/>
  <c r="B346" i="1" s="1"/>
  <c r="A346" i="1" s="1"/>
  <c r="S21" i="1"/>
  <c r="V21" i="1" s="1"/>
  <c r="AH21" i="1" s="1"/>
  <c r="C37" i="1"/>
  <c r="B37" i="1" s="1"/>
  <c r="A37" i="1" s="1"/>
  <c r="S66" i="1"/>
  <c r="V66" i="1" s="1"/>
  <c r="AH66" i="1" s="1"/>
  <c r="S420" i="1"/>
  <c r="V420" i="1" s="1"/>
  <c r="AH420" i="1" s="1"/>
  <c r="C323" i="1"/>
  <c r="B323" i="1" s="1"/>
  <c r="A323" i="1" s="1"/>
  <c r="S430" i="1"/>
  <c r="V430" i="1" s="1"/>
  <c r="AH430" i="1" s="1"/>
  <c r="C60" i="1"/>
  <c r="B60" i="1" s="1"/>
  <c r="A60" i="1" s="1"/>
  <c r="C730" i="1"/>
  <c r="B730" i="1" s="1"/>
  <c r="A730" i="1" s="1"/>
  <c r="C603" i="1"/>
  <c r="B603" i="1" s="1"/>
  <c r="A603" i="1" s="1"/>
  <c r="C499" i="1"/>
  <c r="B499" i="1" s="1"/>
  <c r="A499" i="1" s="1"/>
  <c r="S660" i="1"/>
  <c r="V660" i="1" s="1"/>
  <c r="AH660" i="1" s="1"/>
  <c r="C350" i="1"/>
  <c r="B350" i="1" s="1"/>
  <c r="A350" i="1" s="1"/>
  <c r="C208" i="1"/>
  <c r="B208" i="1" s="1"/>
  <c r="A208" i="1" s="1"/>
  <c r="C20" i="1"/>
  <c r="B20" i="1" s="1"/>
  <c r="A20" i="1" s="1"/>
  <c r="S113" i="1"/>
  <c r="V113" i="1" s="1"/>
  <c r="AH113" i="1" s="1"/>
  <c r="S105" i="1"/>
  <c r="V105" i="1" s="1"/>
  <c r="AH105" i="1" s="1"/>
  <c r="C605" i="1"/>
  <c r="B605" i="1" s="1"/>
  <c r="A605" i="1" s="1"/>
  <c r="C328" i="1"/>
  <c r="B328" i="1" s="1"/>
  <c r="A328" i="1" s="1"/>
  <c r="C440" i="1"/>
  <c r="B440" i="1" s="1"/>
  <c r="A440" i="1" s="1"/>
  <c r="S881" i="1"/>
  <c r="V881" i="1" s="1"/>
  <c r="AH881" i="1" s="1"/>
  <c r="C500" i="1"/>
  <c r="B500" i="1" s="1"/>
  <c r="A500" i="1" s="1"/>
  <c r="C247" i="1"/>
  <c r="B247" i="1" s="1"/>
  <c r="A247" i="1" s="1"/>
  <c r="C146" i="1"/>
  <c r="B146" i="1" s="1"/>
  <c r="A146" i="1" s="1"/>
  <c r="C725" i="1"/>
  <c r="B725" i="1" s="1"/>
  <c r="A725" i="1" s="1"/>
  <c r="C747" i="1"/>
  <c r="B747" i="1" s="1"/>
  <c r="A747" i="1" s="1"/>
  <c r="C333" i="1"/>
  <c r="B333" i="1" s="1"/>
  <c r="A333" i="1" s="1"/>
  <c r="C1074" i="1"/>
  <c r="B1074" i="1" s="1"/>
  <c r="A1074" i="1" s="1"/>
  <c r="C70" i="1"/>
  <c r="B70" i="1" s="1"/>
  <c r="A70" i="1" s="1"/>
  <c r="S211" i="1"/>
  <c r="V211" i="1" s="1"/>
  <c r="AH211" i="1" s="1"/>
  <c r="C391" i="1"/>
  <c r="B391" i="1" s="1"/>
  <c r="A391" i="1" s="1"/>
  <c r="C489" i="1"/>
  <c r="B489" i="1" s="1"/>
  <c r="A489" i="1" s="1"/>
  <c r="C300" i="1"/>
  <c r="B300" i="1" s="1"/>
  <c r="A300" i="1" s="1"/>
  <c r="C594" i="1"/>
  <c r="B594" i="1" s="1"/>
  <c r="A594" i="1" s="1"/>
  <c r="S976" i="1"/>
  <c r="V976" i="1" s="1"/>
  <c r="AH976" i="1" s="1"/>
  <c r="S501" i="1"/>
  <c r="V501" i="1" s="1"/>
  <c r="AH501" i="1" s="1"/>
  <c r="S653" i="1"/>
  <c r="V653" i="1" s="1"/>
  <c r="AH653" i="1" s="1"/>
  <c r="C465" i="1"/>
  <c r="B465" i="1" s="1"/>
  <c r="A465" i="1" s="1"/>
  <c r="S237" i="1"/>
  <c r="V237" i="1" s="1"/>
  <c r="AH237" i="1" s="1"/>
  <c r="S281" i="1"/>
  <c r="V281" i="1" s="1"/>
  <c r="AH281" i="1" s="1"/>
  <c r="S319" i="1"/>
  <c r="V319" i="1" s="1"/>
  <c r="AH319" i="1" s="1"/>
  <c r="S18" i="1"/>
  <c r="V18" i="1" s="1"/>
  <c r="AH18" i="1" s="1"/>
  <c r="C909" i="1"/>
  <c r="B909" i="1" s="1"/>
  <c r="A909" i="1" s="1"/>
  <c r="S922" i="1"/>
  <c r="V922" i="1" s="1"/>
  <c r="AH922" i="1" s="1"/>
  <c r="S757" i="1"/>
  <c r="V757" i="1" s="1"/>
  <c r="AH757" i="1" s="1"/>
  <c r="S338" i="1"/>
  <c r="V338" i="1" s="1"/>
  <c r="AH338" i="1" s="1"/>
  <c r="C781" i="1"/>
  <c r="B781" i="1" s="1"/>
  <c r="A781" i="1" s="1"/>
  <c r="S163" i="1"/>
  <c r="V163" i="1" s="1"/>
  <c r="AH163" i="1" s="1"/>
  <c r="C940" i="1"/>
  <c r="B940" i="1" s="1"/>
  <c r="A940" i="1" s="1"/>
  <c r="C864" i="1"/>
  <c r="B864" i="1" s="1"/>
  <c r="A864" i="1" s="1"/>
  <c r="C843" i="1"/>
  <c r="B843" i="1" s="1"/>
  <c r="A843" i="1" s="1"/>
  <c r="S314" i="1"/>
  <c r="V314" i="1" s="1"/>
  <c r="AH314" i="1" s="1"/>
  <c r="C326" i="1"/>
  <c r="B326" i="1" s="1"/>
  <c r="A326" i="1" s="1"/>
  <c r="S1078" i="1"/>
  <c r="V1078" i="1" s="1"/>
  <c r="AH1078" i="1" s="1"/>
  <c r="C982" i="1"/>
  <c r="B982" i="1" s="1"/>
  <c r="A982" i="1" s="1"/>
  <c r="S964" i="1"/>
  <c r="V964" i="1" s="1"/>
  <c r="AH964" i="1" s="1"/>
  <c r="C609" i="1"/>
  <c r="B609" i="1" s="1"/>
  <c r="A609" i="1" s="1"/>
  <c r="C533" i="1"/>
  <c r="B533" i="1" s="1"/>
  <c r="A533" i="1" s="1"/>
  <c r="S873" i="1"/>
  <c r="V873" i="1" s="1"/>
  <c r="AH873" i="1" s="1"/>
  <c r="C877" i="1"/>
  <c r="B877" i="1" s="1"/>
  <c r="A877" i="1" s="1"/>
  <c r="C459" i="1"/>
  <c r="B459" i="1" s="1"/>
  <c r="A459" i="1" s="1"/>
  <c r="C402" i="1"/>
  <c r="B402" i="1" s="1"/>
  <c r="A402" i="1" s="1"/>
  <c r="C786" i="1"/>
  <c r="B786" i="1" s="1"/>
  <c r="A786" i="1" s="1"/>
  <c r="C519" i="1"/>
  <c r="B519" i="1" s="1"/>
  <c r="A519" i="1" s="1"/>
  <c r="C476" i="1"/>
  <c r="B476" i="1" s="1"/>
  <c r="A476" i="1" s="1"/>
  <c r="S156" i="1"/>
  <c r="V156" i="1" s="1"/>
  <c r="AH156" i="1" s="1"/>
  <c r="P1202" i="1"/>
  <c r="C639" i="1"/>
  <c r="B639" i="1" s="1"/>
  <c r="A639" i="1" s="1"/>
  <c r="C145" i="1"/>
  <c r="B145" i="1" s="1"/>
  <c r="A145" i="1" s="1"/>
  <c r="C874" i="1"/>
  <c r="B874" i="1" s="1"/>
  <c r="A874" i="1" s="1"/>
  <c r="C148" i="1"/>
  <c r="B148" i="1" s="1"/>
  <c r="A148" i="1" s="1"/>
  <c r="C894" i="1"/>
  <c r="B894" i="1" s="1"/>
  <c r="A894" i="1" s="1"/>
  <c r="C428" i="1"/>
  <c r="B428" i="1" s="1"/>
  <c r="A428" i="1" s="1"/>
  <c r="S31" i="1"/>
  <c r="V31" i="1" s="1"/>
  <c r="AH31" i="1" s="1"/>
  <c r="C45" i="1"/>
  <c r="B45" i="1" s="1"/>
  <c r="A45" i="1" s="1"/>
  <c r="S960" i="1"/>
  <c r="V960" i="1" s="1"/>
  <c r="AH960" i="1" s="1"/>
  <c r="C960" i="1"/>
  <c r="B960" i="1" s="1"/>
  <c r="A960" i="1" s="1"/>
  <c r="C1207" i="1"/>
  <c r="B1207" i="1" s="1"/>
  <c r="A1207" i="1" s="1"/>
  <c r="S932" i="1"/>
  <c r="V932" i="1" s="1"/>
  <c r="AH932" i="1" s="1"/>
  <c r="S133" i="1"/>
  <c r="V133" i="1" s="1"/>
  <c r="AH133" i="1" s="1"/>
  <c r="C473" i="1"/>
  <c r="B473" i="1" s="1"/>
  <c r="A473" i="1" s="1"/>
  <c r="C160" i="1"/>
  <c r="B160" i="1" s="1"/>
  <c r="A160" i="1" s="1"/>
  <c r="C1143" i="1"/>
  <c r="B1143" i="1" s="1"/>
  <c r="A1143" i="1" s="1"/>
  <c r="S497" i="1"/>
  <c r="V497" i="1" s="1"/>
  <c r="AH497" i="1" s="1"/>
  <c r="S1128" i="1"/>
  <c r="V1128" i="1" s="1"/>
  <c r="AH1128" i="1" s="1"/>
  <c r="S80" i="1"/>
  <c r="V80" i="1" s="1"/>
  <c r="AH80" i="1" s="1"/>
  <c r="C1157" i="1"/>
  <c r="B1157" i="1" s="1"/>
  <c r="A1157" i="1" s="1"/>
  <c r="C290" i="1"/>
  <c r="B290" i="1" s="1"/>
  <c r="A290" i="1" s="1"/>
  <c r="C530" i="1"/>
  <c r="B530" i="1" s="1"/>
  <c r="A530" i="1" s="1"/>
  <c r="C403" i="1"/>
  <c r="B403" i="1" s="1"/>
  <c r="A403" i="1" s="1"/>
  <c r="S192" i="1"/>
  <c r="V192" i="1" s="1"/>
  <c r="AH192" i="1" s="1"/>
  <c r="S1050" i="1"/>
  <c r="V1050" i="1" s="1"/>
  <c r="AH1050" i="1" s="1"/>
  <c r="C902" i="1"/>
  <c r="B902" i="1" s="1"/>
  <c r="A902" i="1" s="1"/>
  <c r="S392" i="1"/>
  <c r="V392" i="1" s="1"/>
  <c r="AH392" i="1" s="1"/>
  <c r="C389" i="1"/>
  <c r="B389" i="1" s="1"/>
  <c r="A389" i="1" s="1"/>
  <c r="C694" i="1"/>
  <c r="B694" i="1" s="1"/>
  <c r="A694" i="1" s="1"/>
  <c r="P1209" i="1"/>
  <c r="S742" i="1"/>
  <c r="V742" i="1" s="1"/>
  <c r="AH742" i="1" s="1"/>
  <c r="S538" i="1"/>
  <c r="V538" i="1" s="1"/>
  <c r="AH538" i="1" s="1"/>
  <c r="S47" i="1"/>
  <c r="V47" i="1" s="1"/>
  <c r="AH47" i="1" s="1"/>
  <c r="C540" i="1"/>
  <c r="B540" i="1" s="1"/>
  <c r="A540" i="1" s="1"/>
  <c r="C1170" i="1"/>
  <c r="B1170" i="1" s="1"/>
  <c r="A1170" i="1" s="1"/>
  <c r="S812" i="1"/>
  <c r="V812" i="1" s="1"/>
  <c r="AH812" i="1" s="1"/>
  <c r="S158" i="1"/>
  <c r="V158" i="1" s="1"/>
  <c r="AH158" i="1" s="1"/>
  <c r="C599" i="1"/>
  <c r="B599" i="1" s="1"/>
  <c r="A599" i="1" s="1"/>
  <c r="S198" i="1"/>
  <c r="V198" i="1" s="1"/>
  <c r="AH198" i="1" s="1"/>
  <c r="C372" i="1"/>
  <c r="B372" i="1" s="1"/>
  <c r="A372" i="1" s="1"/>
  <c r="C89" i="1"/>
  <c r="B89" i="1" s="1"/>
  <c r="A89" i="1" s="1"/>
  <c r="C262" i="1"/>
  <c r="B262" i="1" s="1"/>
  <c r="A262" i="1" s="1"/>
  <c r="C106" i="1"/>
  <c r="B106" i="1" s="1"/>
  <c r="A106" i="1" s="1"/>
  <c r="C168" i="1"/>
  <c r="B168" i="1" s="1"/>
  <c r="A168" i="1" s="1"/>
  <c r="C71" i="1"/>
  <c r="B71" i="1" s="1"/>
  <c r="A71" i="1" s="1"/>
  <c r="S75" i="1"/>
  <c r="V75" i="1" s="1"/>
  <c r="AH75" i="1" s="1"/>
  <c r="S1171" i="1"/>
  <c r="V1171" i="1" s="1"/>
  <c r="AH1171" i="1" s="1"/>
  <c r="S209" i="1"/>
  <c r="V209" i="1" s="1"/>
  <c r="AH209" i="1" s="1"/>
  <c r="S292" i="1"/>
  <c r="V292" i="1" s="1"/>
  <c r="AH292" i="1" s="1"/>
  <c r="C472" i="1"/>
  <c r="B472" i="1" s="1"/>
  <c r="A472" i="1" s="1"/>
  <c r="S666" i="1"/>
  <c r="V666" i="1" s="1"/>
  <c r="AH666" i="1" s="1"/>
  <c r="C178" i="1"/>
  <c r="B178" i="1" s="1"/>
  <c r="A178" i="1" s="1"/>
  <c r="S1119" i="1"/>
  <c r="V1119" i="1" s="1"/>
  <c r="AH1119" i="1" s="1"/>
  <c r="S945" i="1"/>
  <c r="V945" i="1" s="1"/>
  <c r="AH945" i="1" s="1"/>
  <c r="S474" i="1"/>
  <c r="V474" i="1" s="1"/>
  <c r="AH474" i="1" s="1"/>
  <c r="C738" i="1"/>
  <c r="B738" i="1" s="1"/>
  <c r="A738" i="1" s="1"/>
  <c r="C243" i="1"/>
  <c r="B243" i="1" s="1"/>
  <c r="A243" i="1" s="1"/>
  <c r="C1154" i="1"/>
  <c r="B1154" i="1" s="1"/>
  <c r="A1154" i="1" s="1"/>
  <c r="S1097" i="1"/>
  <c r="V1097" i="1" s="1"/>
  <c r="AH1097" i="1" s="1"/>
  <c r="S466" i="1"/>
  <c r="V466" i="1" s="1"/>
  <c r="AH466" i="1" s="1"/>
  <c r="S350" i="1"/>
  <c r="V350" i="1" s="1"/>
  <c r="AH350" i="1" s="1"/>
  <c r="S137" i="1"/>
  <c r="V137" i="1" s="1"/>
  <c r="AH137" i="1" s="1"/>
  <c r="C103" i="1"/>
  <c r="B103" i="1" s="1"/>
  <c r="A103" i="1" s="1"/>
  <c r="S583" i="1"/>
  <c r="V583" i="1" s="1"/>
  <c r="AH583" i="1" s="1"/>
  <c r="S546" i="1"/>
  <c r="V546" i="1" s="1"/>
  <c r="AH546" i="1" s="1"/>
  <c r="S195" i="1"/>
  <c r="V195" i="1" s="1"/>
  <c r="AH195" i="1" s="1"/>
  <c r="S223" i="1"/>
  <c r="V223" i="1" s="1"/>
  <c r="AH223" i="1" s="1"/>
  <c r="S697" i="1"/>
  <c r="V697" i="1" s="1"/>
  <c r="AH697" i="1" s="1"/>
  <c r="C680" i="1"/>
  <c r="B680" i="1" s="1"/>
  <c r="A680" i="1" s="1"/>
  <c r="C11" i="1"/>
  <c r="B11" i="1" s="1"/>
  <c r="A11" i="1" s="1"/>
  <c r="S193" i="1"/>
  <c r="V193" i="1" s="1"/>
  <c r="AH193" i="1" s="1"/>
  <c r="S1063" i="1"/>
  <c r="V1063" i="1" s="1"/>
  <c r="AH1063" i="1" s="1"/>
  <c r="S486" i="1"/>
  <c r="V486" i="1" s="1"/>
  <c r="AH486" i="1" s="1"/>
  <c r="C451" i="1"/>
  <c r="B451" i="1" s="1"/>
  <c r="A451" i="1" s="1"/>
  <c r="C238" i="1"/>
  <c r="B238" i="1" s="1"/>
  <c r="A238" i="1" s="1"/>
  <c r="C123" i="1"/>
  <c r="B123" i="1" s="1"/>
  <c r="A123" i="1" s="1"/>
  <c r="S1160" i="1"/>
  <c r="V1160" i="1" s="1"/>
  <c r="AH1160" i="1" s="1"/>
  <c r="C792" i="1"/>
  <c r="B792" i="1" s="1"/>
  <c r="A792" i="1" s="1"/>
  <c r="S162" i="1"/>
  <c r="V162" i="1" s="1"/>
  <c r="AH162" i="1" s="1"/>
  <c r="C501" i="1"/>
  <c r="B501" i="1" s="1"/>
  <c r="A501" i="1" s="1"/>
  <c r="C88" i="1"/>
  <c r="B88" i="1" s="1"/>
  <c r="A88" i="1" s="1"/>
  <c r="S606" i="1"/>
  <c r="V606" i="1" s="1"/>
  <c r="AH606" i="1" s="1"/>
  <c r="C698" i="1"/>
  <c r="B698" i="1" s="1"/>
  <c r="A698" i="1" s="1"/>
  <c r="S344" i="1"/>
  <c r="V344" i="1" s="1"/>
  <c r="AH344" i="1" s="1"/>
  <c r="C486" i="1"/>
  <c r="B486" i="1" s="1"/>
  <c r="A486" i="1" s="1"/>
  <c r="P1181" i="1"/>
  <c r="C234" i="1"/>
  <c r="B234" i="1" s="1"/>
  <c r="A234" i="1" s="1"/>
  <c r="C641" i="1"/>
  <c r="B641" i="1" s="1"/>
  <c r="A641" i="1" s="1"/>
  <c r="S967" i="1"/>
  <c r="V967" i="1" s="1"/>
  <c r="AH967" i="1" s="1"/>
  <c r="S884" i="1"/>
  <c r="V884" i="1" s="1"/>
  <c r="AH884" i="1" s="1"/>
  <c r="S351" i="1"/>
  <c r="V351" i="1" s="1"/>
  <c r="AH351" i="1" s="1"/>
  <c r="P1190" i="1"/>
  <c r="C943" i="1"/>
  <c r="B943" i="1" s="1"/>
  <c r="A943" i="1" s="1"/>
  <c r="S728" i="1"/>
  <c r="V728" i="1" s="1"/>
  <c r="AH728" i="1" s="1"/>
  <c r="S601" i="1"/>
  <c r="V601" i="1" s="1"/>
  <c r="AH601" i="1" s="1"/>
  <c r="C91" i="1"/>
  <c r="B91" i="1" s="1"/>
  <c r="A91" i="1" s="1"/>
  <c r="S8" i="1"/>
  <c r="V8" i="1" s="1"/>
  <c r="AH8" i="1" s="1"/>
  <c r="C723" i="1"/>
  <c r="B723" i="1" s="1"/>
  <c r="A723" i="1" s="1"/>
  <c r="S499" i="1"/>
  <c r="V499" i="1" s="1"/>
  <c r="AH499" i="1" s="1"/>
  <c r="C844" i="1"/>
  <c r="B844" i="1" s="1"/>
  <c r="A844" i="1" s="1"/>
  <c r="C469" i="1"/>
  <c r="B469" i="1" s="1"/>
  <c r="A469" i="1" s="1"/>
  <c r="S770" i="1"/>
  <c r="V770" i="1" s="1"/>
  <c r="AH770" i="1" s="1"/>
  <c r="S255" i="1"/>
  <c r="V255" i="1" s="1"/>
  <c r="AH255" i="1" s="1"/>
  <c r="S428" i="1"/>
  <c r="V428" i="1" s="1"/>
  <c r="AH428" i="1" s="1"/>
  <c r="C529" i="1"/>
  <c r="B529" i="1" s="1"/>
  <c r="A529" i="1" s="1"/>
  <c r="S533" i="1"/>
  <c r="V533" i="1" s="1"/>
  <c r="AH533" i="1" s="1"/>
  <c r="S74" i="1"/>
  <c r="V74" i="1" s="1"/>
  <c r="AH74" i="1" s="1"/>
  <c r="S354" i="1"/>
  <c r="V354" i="1" s="1"/>
  <c r="AH354" i="1" s="1"/>
  <c r="C366" i="1"/>
  <c r="B366" i="1" s="1"/>
  <c r="A366" i="1" s="1"/>
  <c r="C292" i="1"/>
  <c r="B292" i="1" s="1"/>
  <c r="A292" i="1" s="1"/>
  <c r="S1139" i="1"/>
  <c r="V1139" i="1" s="1"/>
  <c r="AH1139" i="1" s="1"/>
  <c r="S545" i="1"/>
  <c r="V545" i="1" s="1"/>
  <c r="AH545" i="1" s="1"/>
  <c r="C797" i="1"/>
  <c r="B797" i="1" s="1"/>
  <c r="A797" i="1" s="1"/>
  <c r="C93" i="1"/>
  <c r="B93" i="1" s="1"/>
  <c r="A93" i="1" s="1"/>
  <c r="S826" i="1"/>
  <c r="V826" i="1" s="1"/>
  <c r="AH826" i="1" s="1"/>
  <c r="C777" i="1"/>
  <c r="B777" i="1" s="1"/>
  <c r="A777" i="1" s="1"/>
  <c r="S63" i="1"/>
  <c r="V63" i="1" s="1"/>
  <c r="AH63" i="1" s="1"/>
  <c r="S123" i="1"/>
  <c r="V123" i="1" s="1"/>
  <c r="AH123" i="1" s="1"/>
  <c r="S144" i="1"/>
  <c r="V144" i="1" s="1"/>
  <c r="AH144" i="1" s="1"/>
  <c r="C1155" i="1"/>
  <c r="B1155" i="1" s="1"/>
  <c r="A1155" i="1" s="1"/>
  <c r="C171" i="1"/>
  <c r="B171" i="1" s="1"/>
  <c r="A171" i="1" s="1"/>
  <c r="S834" i="1"/>
  <c r="V834" i="1" s="1"/>
  <c r="AH834" i="1" s="1"/>
  <c r="C612" i="1"/>
  <c r="B612" i="1" s="1"/>
  <c r="A612" i="1" s="1"/>
  <c r="C302" i="1"/>
  <c r="B302" i="1" s="1"/>
  <c r="A302" i="1" s="1"/>
  <c r="C1075" i="1"/>
  <c r="B1075" i="1" s="1"/>
  <c r="A1075" i="1" s="1"/>
  <c r="C651" i="1"/>
  <c r="B651" i="1" s="1"/>
  <c r="A651" i="1" s="1"/>
  <c r="C40" i="1"/>
  <c r="B40" i="1" s="1"/>
  <c r="A40" i="1" s="1"/>
  <c r="C230" i="1"/>
  <c r="B230" i="1" s="1"/>
  <c r="A230" i="1" s="1"/>
  <c r="S184" i="1"/>
  <c r="V184" i="1" s="1"/>
  <c r="AH184" i="1" s="1"/>
  <c r="S1077" i="1"/>
  <c r="V1077" i="1" s="1"/>
  <c r="AH1077" i="1" s="1"/>
  <c r="S1016" i="1"/>
  <c r="V1016" i="1" s="1"/>
  <c r="AH1016" i="1" s="1"/>
  <c r="C793" i="1"/>
  <c r="B793" i="1" s="1"/>
  <c r="A793" i="1" s="1"/>
  <c r="S822" i="1"/>
  <c r="V822" i="1" s="1"/>
  <c r="AH822" i="1" s="1"/>
  <c r="P1179" i="1"/>
  <c r="S761" i="1"/>
  <c r="V761" i="1" s="1"/>
  <c r="AH761" i="1" s="1"/>
  <c r="S90" i="1"/>
  <c r="V90" i="1" s="1"/>
  <c r="AH90" i="1" s="1"/>
  <c r="C358" i="1"/>
  <c r="B358" i="1" s="1"/>
  <c r="A358" i="1" s="1"/>
  <c r="S1140" i="1"/>
  <c r="V1140" i="1" s="1"/>
  <c r="AH1140" i="1" s="1"/>
  <c r="S1076" i="1"/>
  <c r="V1076" i="1" s="1"/>
  <c r="AH1076" i="1" s="1"/>
  <c r="S498" i="1"/>
  <c r="V498" i="1" s="1"/>
  <c r="AH498" i="1" s="1"/>
  <c r="C813" i="1"/>
  <c r="B813" i="1" s="1"/>
  <c r="A813" i="1" s="1"/>
  <c r="S349" i="1"/>
  <c r="V349" i="1" s="1"/>
  <c r="AH349" i="1" s="1"/>
  <c r="C555" i="1"/>
  <c r="B555" i="1" s="1"/>
  <c r="A555" i="1" s="1"/>
  <c r="C646" i="1"/>
  <c r="B646" i="1" s="1"/>
  <c r="A646" i="1" s="1"/>
  <c r="C782" i="1"/>
  <c r="B782" i="1" s="1"/>
  <c r="A782" i="1" s="1"/>
  <c r="C1059" i="1"/>
  <c r="B1059" i="1" s="1"/>
  <c r="A1059" i="1" s="1"/>
  <c r="S571" i="1"/>
  <c r="V571" i="1" s="1"/>
  <c r="AH571" i="1" s="1"/>
  <c r="C522" i="1"/>
  <c r="B522" i="1" s="1"/>
  <c r="A522" i="1" s="1"/>
  <c r="C364" i="1"/>
  <c r="B364" i="1" s="1"/>
  <c r="A364" i="1" s="1"/>
  <c r="C672" i="1"/>
  <c r="B672" i="1" s="1"/>
  <c r="A672" i="1" s="1"/>
  <c r="C299" i="1"/>
  <c r="B299" i="1" s="1"/>
  <c r="A299" i="1" s="1"/>
  <c r="S861" i="1"/>
  <c r="V861" i="1" s="1"/>
  <c r="AH861" i="1" s="1"/>
  <c r="C937" i="1"/>
  <c r="B937" i="1" s="1"/>
  <c r="A937" i="1" s="1"/>
  <c r="C50" i="1"/>
  <c r="B50" i="1" s="1"/>
  <c r="A50" i="1" s="1"/>
  <c r="C381" i="1"/>
  <c r="B381" i="1" s="1"/>
  <c r="A381" i="1" s="1"/>
  <c r="S122" i="1"/>
  <c r="V122" i="1" s="1"/>
  <c r="AH122" i="1" s="1"/>
  <c r="C1072" i="1"/>
  <c r="B1072" i="1" s="1"/>
  <c r="A1072" i="1" s="1"/>
  <c r="S269" i="1"/>
  <c r="V269" i="1" s="1"/>
  <c r="AH269" i="1" s="1"/>
  <c r="S205" i="1"/>
  <c r="V205" i="1" s="1"/>
  <c r="AH205" i="1" s="1"/>
  <c r="S315" i="1"/>
  <c r="V315" i="1" s="1"/>
  <c r="AH315" i="1" s="1"/>
  <c r="C823" i="1"/>
  <c r="B823" i="1" s="1"/>
  <c r="A823" i="1" s="1"/>
  <c r="S804" i="1"/>
  <c r="V804" i="1" s="1"/>
  <c r="AH804" i="1" s="1"/>
  <c r="S901" i="1"/>
  <c r="V901" i="1" s="1"/>
  <c r="AH901" i="1" s="1"/>
  <c r="S527" i="1"/>
  <c r="V527" i="1" s="1"/>
  <c r="AH527" i="1" s="1"/>
  <c r="C53" i="1"/>
  <c r="B53" i="1" s="1"/>
  <c r="A53" i="1" s="1"/>
  <c r="S965" i="1"/>
  <c r="V965" i="1" s="1"/>
  <c r="AH965" i="1" s="1"/>
  <c r="C814" i="1"/>
  <c r="B814" i="1" s="1"/>
  <c r="A814" i="1" s="1"/>
  <c r="C246" i="1"/>
  <c r="B246" i="1" s="1"/>
  <c r="A246" i="1" s="1"/>
  <c r="S904" i="1"/>
  <c r="V904" i="1" s="1"/>
  <c r="AH904" i="1" s="1"/>
  <c r="S898" i="1"/>
  <c r="V898" i="1" s="1"/>
  <c r="AH898" i="1" s="1"/>
  <c r="S107" i="1"/>
  <c r="V107" i="1" s="1"/>
  <c r="AH107" i="1" s="1"/>
  <c r="S977" i="1"/>
  <c r="V977" i="1" s="1"/>
  <c r="AH977" i="1" s="1"/>
  <c r="C114" i="1"/>
  <c r="B114" i="1" s="1"/>
  <c r="A114" i="1" s="1"/>
  <c r="S110" i="1"/>
  <c r="V110" i="1" s="1"/>
  <c r="AH110" i="1" s="1"/>
  <c r="S336" i="1"/>
  <c r="V336" i="1" s="1"/>
  <c r="AH336" i="1" s="1"/>
  <c r="S28" i="1"/>
  <c r="V28" i="1" s="1"/>
  <c r="AH28" i="1" s="1"/>
  <c r="S811" i="1"/>
  <c r="V811" i="1" s="1"/>
  <c r="AH811" i="1" s="1"/>
  <c r="C127" i="1"/>
  <c r="B127" i="1" s="1"/>
  <c r="A127" i="1" s="1"/>
  <c r="S726" i="1"/>
  <c r="V726" i="1" s="1"/>
  <c r="AH726" i="1" s="1"/>
  <c r="S1141" i="1"/>
  <c r="V1141" i="1" s="1"/>
  <c r="AH1141" i="1" s="1"/>
  <c r="C1108" i="1"/>
  <c r="B1108" i="1" s="1"/>
  <c r="A1108" i="1" s="1"/>
  <c r="C277" i="1"/>
  <c r="B277" i="1" s="1"/>
  <c r="A277" i="1" s="1"/>
  <c r="S1038" i="1"/>
  <c r="V1038" i="1" s="1"/>
  <c r="AH1038" i="1" s="1"/>
  <c r="C588" i="1"/>
  <c r="B588" i="1" s="1"/>
  <c r="A588" i="1" s="1"/>
  <c r="S1135" i="1"/>
  <c r="V1135" i="1" s="1"/>
  <c r="AH1135" i="1" s="1"/>
  <c r="S401" i="1"/>
  <c r="V401" i="1" s="1"/>
  <c r="AH401" i="1" s="1"/>
  <c r="S662" i="1"/>
  <c r="V662" i="1" s="1"/>
  <c r="AH662" i="1" s="1"/>
  <c r="S1030" i="1"/>
  <c r="V1030" i="1" s="1"/>
  <c r="AH1030" i="1" s="1"/>
  <c r="S54" i="1"/>
  <c r="V54" i="1" s="1"/>
  <c r="AH54" i="1" s="1"/>
  <c r="C1067" i="1"/>
  <c r="B1067" i="1" s="1"/>
  <c r="A1067" i="1" s="1"/>
  <c r="S49" i="1"/>
  <c r="V49" i="1" s="1"/>
  <c r="AH49" i="1" s="1"/>
  <c r="S753" i="1"/>
  <c r="V753" i="1" s="1"/>
  <c r="AH753" i="1" s="1"/>
  <c r="S148" i="1"/>
  <c r="V148" i="1" s="1"/>
  <c r="AH148" i="1" s="1"/>
  <c r="C137" i="1"/>
  <c r="B137" i="1" s="1"/>
  <c r="A137" i="1" s="1"/>
  <c r="S1033" i="1"/>
  <c r="V1033" i="1" s="1"/>
  <c r="AH1033" i="1" s="1"/>
  <c r="S1117" i="1"/>
  <c r="V1117" i="1" s="1"/>
  <c r="AH1117" i="1" s="1"/>
  <c r="C1206" i="1"/>
  <c r="B1206" i="1" s="1"/>
  <c r="A1206" i="1" s="1"/>
  <c r="S88" i="1"/>
  <c r="V88" i="1" s="1"/>
  <c r="AH88" i="1" s="1"/>
  <c r="P1195" i="1"/>
  <c r="S541" i="1"/>
  <c r="V541" i="1" s="1"/>
  <c r="AH541" i="1" s="1"/>
  <c r="S647" i="1"/>
  <c r="V647" i="1" s="1"/>
  <c r="AH647" i="1" s="1"/>
  <c r="S1145" i="1"/>
  <c r="V1145" i="1" s="1"/>
  <c r="AH1145" i="1" s="1"/>
  <c r="C86" i="1"/>
  <c r="B86" i="1" s="1"/>
  <c r="A86" i="1" s="1"/>
  <c r="C110" i="1"/>
  <c r="B110" i="1" s="1"/>
  <c r="A110" i="1" s="1"/>
  <c r="C615" i="1"/>
  <c r="B615" i="1" s="1"/>
  <c r="A615" i="1" s="1"/>
  <c r="C478" i="1"/>
  <c r="B478" i="1" s="1"/>
  <c r="A478" i="1" s="1"/>
  <c r="S161" i="1"/>
  <c r="V161" i="1" s="1"/>
  <c r="AH161" i="1" s="1"/>
  <c r="S331" i="1"/>
  <c r="V331" i="1" s="1"/>
  <c r="AH331" i="1" s="1"/>
  <c r="C638" i="1"/>
  <c r="B638" i="1" s="1"/>
  <c r="A638" i="1" s="1"/>
  <c r="C748" i="1"/>
  <c r="B748" i="1" s="1"/>
  <c r="A748" i="1" s="1"/>
  <c r="S894" i="1"/>
  <c r="V894" i="1" s="1"/>
  <c r="AH894" i="1" s="1"/>
  <c r="C1181" i="1"/>
  <c r="B1181" i="1" s="1"/>
  <c r="A1181" i="1" s="1"/>
  <c r="S610" i="1"/>
  <c r="V610" i="1" s="1"/>
  <c r="AH610" i="1" s="1"/>
  <c r="S548" i="1"/>
  <c r="V548" i="1" s="1"/>
  <c r="AH548" i="1" s="1"/>
  <c r="S752" i="1"/>
  <c r="V752" i="1" s="1"/>
  <c r="AH752" i="1" s="1"/>
  <c r="S125" i="1"/>
  <c r="V125" i="1" s="1"/>
  <c r="AH125" i="1" s="1"/>
  <c r="S918" i="1"/>
  <c r="V918" i="1" s="1"/>
  <c r="AH918" i="1" s="1"/>
  <c r="S355" i="1"/>
  <c r="V355" i="1" s="1"/>
  <c r="AH355" i="1" s="1"/>
  <c r="S735" i="1"/>
  <c r="V735" i="1" s="1"/>
  <c r="AH735" i="1" s="1"/>
  <c r="S204" i="1"/>
  <c r="V204" i="1" s="1"/>
  <c r="AH204" i="1" s="1"/>
  <c r="S847" i="1"/>
  <c r="V847" i="1" s="1"/>
  <c r="AH847" i="1" s="1"/>
  <c r="S61" i="1"/>
  <c r="V61" i="1" s="1"/>
  <c r="AH61" i="1" s="1"/>
  <c r="S1127" i="1"/>
  <c r="V1127" i="1" s="1"/>
  <c r="AH1127" i="1" s="1"/>
  <c r="C239" i="1"/>
  <c r="B239" i="1" s="1"/>
  <c r="A239" i="1" s="1"/>
  <c r="S991" i="1"/>
  <c r="V991" i="1" s="1"/>
  <c r="AH991" i="1" s="1"/>
  <c r="S611" i="1"/>
  <c r="V611" i="1" s="1"/>
  <c r="AH611" i="1" s="1"/>
  <c r="C524" i="1"/>
  <c r="B524" i="1" s="1"/>
  <c r="A524" i="1" s="1"/>
  <c r="C477" i="1"/>
  <c r="B477" i="1" s="1"/>
  <c r="A477" i="1" s="1"/>
  <c r="S864" i="1"/>
  <c r="V864" i="1" s="1"/>
  <c r="AH864" i="1" s="1"/>
  <c r="C581" i="1"/>
  <c r="B581" i="1" s="1"/>
  <c r="A581" i="1" s="1"/>
  <c r="S917" i="1"/>
  <c r="V917" i="1" s="1"/>
  <c r="AH917" i="1" s="1"/>
  <c r="C359" i="1"/>
  <c r="B359" i="1" s="1"/>
  <c r="A359" i="1" s="1"/>
  <c r="C423" i="1"/>
  <c r="B423" i="1" s="1"/>
  <c r="A423" i="1" s="1"/>
  <c r="S1053" i="1"/>
  <c r="V1053" i="1" s="1"/>
  <c r="AH1053" i="1" s="1"/>
  <c r="C976" i="1"/>
  <c r="B976" i="1" s="1"/>
  <c r="A976" i="1" s="1"/>
  <c r="S142" i="1"/>
  <c r="V142" i="1" s="1"/>
  <c r="AH142" i="1" s="1"/>
  <c r="C822" i="1"/>
  <c r="B822" i="1" s="1"/>
  <c r="A822" i="1" s="1"/>
  <c r="S1126" i="1"/>
  <c r="V1126" i="1" s="1"/>
  <c r="AH1126" i="1" s="1"/>
  <c r="S487" i="1"/>
  <c r="V487" i="1" s="1"/>
  <c r="AH487" i="1" s="1"/>
  <c r="C568" i="1"/>
  <c r="B568" i="1" s="1"/>
  <c r="A568" i="1" s="1"/>
  <c r="S838" i="1"/>
  <c r="V838" i="1" s="1"/>
  <c r="AH838" i="1" s="1"/>
  <c r="C1150" i="1"/>
  <c r="B1150" i="1" s="1"/>
  <c r="A1150" i="1" s="1"/>
  <c r="C1137" i="1"/>
  <c r="B1137" i="1" s="1"/>
  <c r="A1137" i="1" s="1"/>
  <c r="C128" i="1"/>
  <c r="B128" i="1" s="1"/>
  <c r="A128" i="1" s="1"/>
  <c r="S802" i="1"/>
  <c r="V802" i="1" s="1"/>
  <c r="AH802" i="1" s="1"/>
  <c r="S143" i="1"/>
  <c r="V143" i="1" s="1"/>
  <c r="AH143" i="1" s="1"/>
  <c r="S791" i="1"/>
  <c r="V791" i="1" s="1"/>
  <c r="AH791" i="1" s="1"/>
  <c r="C552" i="1"/>
  <c r="B552" i="1" s="1"/>
  <c r="A552" i="1" s="1"/>
  <c r="C266" i="1"/>
  <c r="B266" i="1" s="1"/>
  <c r="A266" i="1" s="1"/>
  <c r="C785" i="1"/>
  <c r="B785" i="1" s="1"/>
  <c r="A785" i="1" s="1"/>
  <c r="S232" i="1"/>
  <c r="V232" i="1" s="1"/>
  <c r="AH232" i="1" s="1"/>
  <c r="S727" i="1"/>
  <c r="V727" i="1" s="1"/>
  <c r="AH727" i="1" s="1"/>
  <c r="C752" i="1"/>
  <c r="B752" i="1" s="1"/>
  <c r="A752" i="1" s="1"/>
  <c r="S644" i="1"/>
  <c r="V644" i="1" s="1"/>
  <c r="AH644" i="1" s="1"/>
  <c r="S425" i="1"/>
  <c r="V425" i="1" s="1"/>
  <c r="AH425" i="1" s="1"/>
  <c r="C1148" i="1"/>
  <c r="B1148" i="1" s="1"/>
  <c r="A1148" i="1" s="1"/>
  <c r="C604" i="1"/>
  <c r="B604" i="1" s="1"/>
  <c r="A604" i="1" s="1"/>
  <c r="S730" i="1"/>
  <c r="V730" i="1" s="1"/>
  <c r="AH730" i="1" s="1"/>
  <c r="S534" i="1"/>
  <c r="V534" i="1" s="1"/>
  <c r="AH534" i="1" s="1"/>
  <c r="S24" i="1"/>
  <c r="V24" i="1" s="1"/>
  <c r="AH24" i="1" s="1"/>
  <c r="S625" i="1"/>
  <c r="V625" i="1" s="1"/>
  <c r="AH625" i="1" s="1"/>
  <c r="C962" i="1"/>
  <c r="B962" i="1" s="1"/>
  <c r="A962" i="1" s="1"/>
  <c r="S214" i="1"/>
  <c r="V214" i="1" s="1"/>
  <c r="AH214" i="1" s="1"/>
  <c r="C144" i="1"/>
  <c r="B144" i="1" s="1"/>
  <c r="A144" i="1" s="1"/>
  <c r="S969" i="1"/>
  <c r="V969" i="1" s="1"/>
  <c r="AH969" i="1" s="1"/>
  <c r="C340" i="1"/>
  <c r="B340" i="1" s="1"/>
  <c r="A340" i="1" s="1"/>
  <c r="S1034" i="1"/>
  <c r="V1034" i="1" s="1"/>
  <c r="AH1034" i="1" s="1"/>
  <c r="S128" i="1"/>
  <c r="V128" i="1" s="1"/>
  <c r="AH128" i="1" s="1"/>
  <c r="C293" i="1"/>
  <c r="B293" i="1" s="1"/>
  <c r="A293" i="1" s="1"/>
  <c r="C221" i="1"/>
  <c r="B221" i="1" s="1"/>
  <c r="A221" i="1" s="1"/>
  <c r="S535" i="1"/>
  <c r="V535" i="1" s="1"/>
  <c r="AH535" i="1" s="1"/>
  <c r="C765" i="1"/>
  <c r="B765" i="1" s="1"/>
  <c r="A765" i="1" s="1"/>
  <c r="C386" i="1"/>
  <c r="B386" i="1" s="1"/>
  <c r="A386" i="1" s="1"/>
  <c r="S99" i="1"/>
  <c r="V99" i="1" s="1"/>
  <c r="AH99" i="1" s="1"/>
  <c r="C984" i="1"/>
  <c r="B984" i="1" s="1"/>
  <c r="A984" i="1" s="1"/>
  <c r="C547" i="1"/>
  <c r="B547" i="1" s="1"/>
  <c r="A547" i="1" s="1"/>
  <c r="S169" i="1"/>
  <c r="V169" i="1" s="1"/>
  <c r="AH169" i="1" s="1"/>
  <c r="S259" i="1"/>
  <c r="V259" i="1" s="1"/>
  <c r="AH259" i="1" s="1"/>
  <c r="C274" i="1"/>
  <c r="B274" i="1" s="1"/>
  <c r="A274" i="1" s="1"/>
  <c r="S568" i="1"/>
  <c r="V568" i="1" s="1"/>
  <c r="AH568" i="1" s="1"/>
  <c r="S857" i="1"/>
  <c r="V857" i="1" s="1"/>
  <c r="AH857" i="1" s="1"/>
  <c r="S828" i="1"/>
  <c r="V828" i="1" s="1"/>
  <c r="AH828" i="1" s="1"/>
  <c r="C35" i="1"/>
  <c r="B35" i="1" s="1"/>
  <c r="A35" i="1" s="1"/>
  <c r="S418" i="1"/>
  <c r="V418" i="1" s="1"/>
  <c r="AH418" i="1" s="1"/>
  <c r="S201" i="1"/>
  <c r="V201" i="1" s="1"/>
  <c r="AH201" i="1" s="1"/>
  <c r="S196" i="1"/>
  <c r="V196" i="1" s="1"/>
  <c r="AH196" i="1" s="1"/>
  <c r="C235" i="1"/>
  <c r="B235" i="1" s="1"/>
  <c r="A235" i="1" s="1"/>
  <c r="S488" i="1"/>
  <c r="V488" i="1" s="1"/>
  <c r="AH488" i="1" s="1"/>
  <c r="C446" i="1"/>
  <c r="B446" i="1" s="1"/>
  <c r="A446" i="1" s="1"/>
  <c r="C187" i="1"/>
  <c r="B187" i="1" s="1"/>
  <c r="A187" i="1" s="1"/>
  <c r="S280" i="1"/>
  <c r="V280" i="1" s="1"/>
  <c r="AH280" i="1" s="1"/>
  <c r="S160" i="1"/>
  <c r="V160" i="1" s="1"/>
  <c r="AH160" i="1" s="1"/>
  <c r="C1106" i="1"/>
  <c r="B1106" i="1" s="1"/>
  <c r="A1106" i="1" s="1"/>
  <c r="C826" i="1"/>
  <c r="B826" i="1" s="1"/>
  <c r="A826" i="1" s="1"/>
  <c r="C703" i="1"/>
  <c r="B703" i="1" s="1"/>
  <c r="A703" i="1" s="1"/>
  <c r="C101" i="1"/>
  <c r="B101" i="1" s="1"/>
  <c r="A101" i="1" s="1"/>
  <c r="S1167" i="1"/>
  <c r="V1167" i="1" s="1"/>
  <c r="AH1167" i="1" s="1"/>
  <c r="C139" i="1"/>
  <c r="B139" i="1" s="1"/>
  <c r="A139" i="1" s="1"/>
  <c r="S216" i="1"/>
  <c r="V216" i="1" s="1"/>
  <c r="AH216" i="1" s="1"/>
  <c r="C394" i="1"/>
  <c r="B394" i="1" s="1"/>
  <c r="A394" i="1" s="1"/>
  <c r="C1163" i="1"/>
  <c r="B1163" i="1" s="1"/>
  <c r="A1163" i="1" s="1"/>
  <c r="C629" i="1"/>
  <c r="B629" i="1" s="1"/>
  <c r="A629" i="1" s="1"/>
  <c r="S1105" i="1"/>
  <c r="V1105" i="1" s="1"/>
  <c r="AH1105" i="1" s="1"/>
  <c r="C460" i="1"/>
  <c r="B460" i="1" s="1"/>
  <c r="A460" i="1" s="1"/>
  <c r="S494" i="1"/>
  <c r="V494" i="1" s="1"/>
  <c r="AH494" i="1" s="1"/>
  <c r="S1129" i="1"/>
  <c r="V1129" i="1" s="1"/>
  <c r="AH1129" i="1" s="1"/>
  <c r="S993" i="1"/>
  <c r="V993" i="1" s="1"/>
  <c r="AH993" i="1" s="1"/>
  <c r="C654" i="1"/>
  <c r="B654" i="1" s="1"/>
  <c r="A654" i="1" s="1"/>
  <c r="S403" i="1"/>
  <c r="V403" i="1" s="1"/>
  <c r="AH403" i="1" s="1"/>
  <c r="S12" i="1"/>
  <c r="V12" i="1" s="1"/>
  <c r="AH12" i="1" s="1"/>
  <c r="C677" i="1"/>
  <c r="B677" i="1" s="1"/>
  <c r="A677" i="1" s="1"/>
  <c r="S100" i="1"/>
  <c r="V100" i="1" s="1"/>
  <c r="AH100" i="1" s="1"/>
  <c r="S572" i="1"/>
  <c r="V572" i="1" s="1"/>
  <c r="AH572" i="1" s="1"/>
  <c r="C562" i="1"/>
  <c r="B562" i="1" s="1"/>
  <c r="A562" i="1" s="1"/>
  <c r="S635" i="1"/>
  <c r="V635" i="1" s="1"/>
  <c r="AH635" i="1" s="1"/>
  <c r="S317" i="1"/>
  <c r="V317" i="1" s="1"/>
  <c r="AH317" i="1" s="1"/>
  <c r="C498" i="1"/>
  <c r="B498" i="1" s="1"/>
  <c r="A498" i="1" s="1"/>
  <c r="S279" i="1"/>
  <c r="V279" i="1" s="1"/>
  <c r="AH279" i="1" s="1"/>
  <c r="C1152" i="1"/>
  <c r="B1152" i="1" s="1"/>
  <c r="A1152" i="1" s="1"/>
  <c r="C1097" i="1"/>
  <c r="B1097" i="1" s="1"/>
  <c r="A1097" i="1" s="1"/>
  <c r="C395" i="1"/>
  <c r="B395" i="1" s="1"/>
  <c r="A395" i="1" s="1"/>
  <c r="S629" i="1"/>
  <c r="V629" i="1" s="1"/>
  <c r="AH629" i="1" s="1"/>
  <c r="C94" i="1"/>
  <c r="B94" i="1" s="1"/>
  <c r="A94" i="1" s="1"/>
  <c r="C320" i="1"/>
  <c r="B320" i="1" s="1"/>
  <c r="A320" i="1" s="1"/>
  <c r="S475" i="1"/>
  <c r="V475" i="1" s="1"/>
  <c r="AH475" i="1" s="1"/>
  <c r="S885" i="1"/>
  <c r="V885" i="1" s="1"/>
  <c r="AH885" i="1" s="1"/>
  <c r="S992" i="1"/>
  <c r="V992" i="1" s="1"/>
  <c r="AH992" i="1" s="1"/>
  <c r="S71" i="1"/>
  <c r="V71" i="1" s="1"/>
  <c r="AH71" i="1" s="1"/>
  <c r="S11" i="1"/>
  <c r="V11" i="1" s="1"/>
  <c r="AH11" i="1" s="1"/>
  <c r="S558" i="1"/>
  <c r="V558" i="1" s="1"/>
  <c r="AH558" i="1" s="1"/>
  <c r="S109" i="1"/>
  <c r="V109" i="1" s="1"/>
  <c r="AH109" i="1" s="1"/>
  <c r="C696" i="1"/>
  <c r="B696" i="1" s="1"/>
  <c r="A696" i="1" s="1"/>
  <c r="S260" i="1"/>
  <c r="V260" i="1" s="1"/>
  <c r="AH260" i="1" s="1"/>
  <c r="C768" i="1"/>
  <c r="B768" i="1" s="1"/>
  <c r="A768" i="1" s="1"/>
  <c r="C830" i="1"/>
  <c r="B830" i="1" s="1"/>
  <c r="A830" i="1" s="1"/>
  <c r="S519" i="1"/>
  <c r="V519" i="1" s="1"/>
  <c r="AH519" i="1" s="1"/>
  <c r="S776" i="1"/>
  <c r="V776" i="1" s="1"/>
  <c r="AH776" i="1" s="1"/>
  <c r="S602" i="1"/>
  <c r="V602" i="1" s="1"/>
  <c r="AH602" i="1" s="1"/>
  <c r="C279" i="1"/>
  <c r="B279" i="1" s="1"/>
  <c r="A279" i="1" s="1"/>
  <c r="S496" i="1"/>
  <c r="V496" i="1" s="1"/>
  <c r="AH496" i="1" s="1"/>
  <c r="S136" i="1"/>
  <c r="V136" i="1" s="1"/>
  <c r="AH136" i="1" s="1"/>
  <c r="S940" i="1"/>
  <c r="V940" i="1" s="1"/>
  <c r="AH940" i="1" s="1"/>
  <c r="C878" i="1"/>
  <c r="B878" i="1" s="1"/>
  <c r="A878" i="1" s="1"/>
  <c r="S383" i="1"/>
  <c r="V383" i="1" s="1"/>
  <c r="AH383" i="1" s="1"/>
  <c r="C399" i="1"/>
  <c r="B399" i="1" s="1"/>
  <c r="A399" i="1" s="1"/>
  <c r="C1178" i="1"/>
  <c r="B1178" i="1" s="1"/>
  <c r="A1178" i="1" s="1"/>
  <c r="S238" i="1"/>
  <c r="V238" i="1" s="1"/>
  <c r="AH238" i="1" s="1"/>
  <c r="S267" i="1"/>
  <c r="V267" i="1" s="1"/>
  <c r="AH267" i="1" s="1"/>
  <c r="C30" i="1"/>
  <c r="B30" i="1" s="1"/>
  <c r="A30" i="1" s="1"/>
  <c r="C78" i="1"/>
  <c r="B78" i="1" s="1"/>
  <c r="A78" i="1" s="1"/>
  <c r="C130" i="1"/>
  <c r="B130" i="1" s="1"/>
  <c r="A130" i="1" s="1"/>
  <c r="C55" i="1"/>
  <c r="B55" i="1" s="1"/>
  <c r="A55" i="1" s="1"/>
  <c r="S224" i="1"/>
  <c r="V224" i="1" s="1"/>
  <c r="AH224" i="1" s="1"/>
  <c r="C387" i="1"/>
  <c r="B387" i="1" s="1"/>
  <c r="A387" i="1" s="1"/>
  <c r="C541" i="1"/>
  <c r="B541" i="1" s="1"/>
  <c r="A541" i="1" s="1"/>
  <c r="S268" i="1"/>
  <c r="V268" i="1" s="1"/>
  <c r="AH268" i="1" s="1"/>
  <c r="C62" i="1"/>
  <c r="B62" i="1" s="1"/>
  <c r="A62" i="1" s="1"/>
  <c r="C1102" i="1"/>
  <c r="B1102" i="1" s="1"/>
  <c r="A1102" i="1" s="1"/>
  <c r="C657" i="1"/>
  <c r="B657" i="1" s="1"/>
  <c r="A657" i="1" s="1"/>
  <c r="C327" i="1"/>
  <c r="B327" i="1" s="1"/>
  <c r="A327" i="1" s="1"/>
  <c r="C1096" i="1"/>
  <c r="B1096" i="1" s="1"/>
  <c r="A1096" i="1" s="1"/>
  <c r="C733" i="1"/>
  <c r="B733" i="1" s="1"/>
  <c r="A733" i="1" s="1"/>
  <c r="C1086" i="1"/>
  <c r="B1086" i="1" s="1"/>
  <c r="A1086" i="1" s="1"/>
  <c r="C332" i="1"/>
  <c r="B332" i="1" s="1"/>
  <c r="A332" i="1" s="1"/>
  <c r="S462" i="1"/>
  <c r="V462" i="1" s="1"/>
  <c r="AH462" i="1" s="1"/>
  <c r="C539" i="1"/>
  <c r="B539" i="1" s="1"/>
  <c r="A539" i="1" s="1"/>
  <c r="S723" i="1"/>
  <c r="V723" i="1" s="1"/>
  <c r="AH723" i="1" s="1"/>
  <c r="P1201" i="1"/>
  <c r="S643" i="1"/>
  <c r="V643" i="1" s="1"/>
  <c r="AH643" i="1" s="1"/>
  <c r="C580" i="1"/>
  <c r="B580" i="1" s="1"/>
  <c r="A580" i="1" s="1"/>
  <c r="C887" i="1"/>
  <c r="B887" i="1" s="1"/>
  <c r="A887" i="1" s="1"/>
  <c r="C1190" i="1"/>
  <c r="B1190" i="1" s="1"/>
  <c r="A1190" i="1" s="1"/>
  <c r="C840" i="1"/>
  <c r="B840" i="1" s="1"/>
  <c r="A840" i="1" s="1"/>
  <c r="C33" i="1"/>
  <c r="B33" i="1" s="1"/>
  <c r="A33" i="1" s="1"/>
  <c r="S493" i="1"/>
  <c r="V493" i="1" s="1"/>
  <c r="AH493" i="1" s="1"/>
  <c r="S845" i="1"/>
  <c r="V845" i="1" s="1"/>
  <c r="AH845" i="1" s="1"/>
  <c r="S43" i="1"/>
  <c r="V43" i="1" s="1"/>
  <c r="AH43" i="1" s="1"/>
  <c r="S551" i="1"/>
  <c r="V551" i="1" s="1"/>
  <c r="AH551" i="1" s="1"/>
  <c r="S464" i="1"/>
  <c r="V464" i="1" s="1"/>
  <c r="AH464" i="1" s="1"/>
  <c r="C1203" i="1"/>
  <c r="B1203" i="1" s="1"/>
  <c r="A1203" i="1" s="1"/>
  <c r="C631" i="1"/>
  <c r="B631" i="1" s="1"/>
  <c r="A631" i="1" s="1"/>
  <c r="C915" i="1"/>
  <c r="B915" i="1" s="1"/>
  <c r="A915" i="1" s="1"/>
  <c r="C674" i="1"/>
  <c r="B674" i="1" s="1"/>
  <c r="A674" i="1" s="1"/>
  <c r="S1056" i="1"/>
  <c r="V1056" i="1" s="1"/>
  <c r="AH1056" i="1" s="1"/>
  <c r="S623" i="1"/>
  <c r="V623" i="1" s="1"/>
  <c r="AH623" i="1" s="1"/>
  <c r="C964" i="1"/>
  <c r="B964" i="1" s="1"/>
  <c r="A964" i="1" s="1"/>
  <c r="S266" i="1"/>
  <c r="V266" i="1" s="1"/>
  <c r="AH266" i="1" s="1"/>
  <c r="S447" i="1"/>
  <c r="V447" i="1" s="1"/>
  <c r="AH447" i="1" s="1"/>
  <c r="P1183" i="1"/>
  <c r="S869" i="1"/>
  <c r="V869" i="1" s="1"/>
  <c r="AH869" i="1" s="1"/>
  <c r="C23" i="1"/>
  <c r="B23" i="1" s="1"/>
  <c r="A23" i="1" s="1"/>
  <c r="S871" i="1"/>
  <c r="V871" i="1" s="1"/>
  <c r="AH871" i="1" s="1"/>
  <c r="C66" i="1"/>
  <c r="B66" i="1" s="1"/>
  <c r="A66" i="1" s="1"/>
  <c r="C281" i="1"/>
  <c r="B281" i="1" s="1"/>
  <c r="A281" i="1" s="1"/>
  <c r="C757" i="1"/>
  <c r="B757" i="1" s="1"/>
  <c r="A757" i="1" s="1"/>
  <c r="C516" i="1"/>
  <c r="B516" i="1" s="1"/>
  <c r="A516" i="1" s="1"/>
  <c r="P1184" i="1"/>
  <c r="C261" i="1"/>
  <c r="B261" i="1" s="1"/>
  <c r="A261" i="1" s="1"/>
  <c r="C1005" i="1"/>
  <c r="B1005" i="1" s="1"/>
  <c r="A1005" i="1" s="1"/>
  <c r="S559" i="1"/>
  <c r="V559" i="1" s="1"/>
  <c r="AH559" i="1" s="1"/>
  <c r="S557" i="1"/>
  <c r="V557" i="1" s="1"/>
  <c r="AH557" i="1" s="1"/>
  <c r="S438" i="1"/>
  <c r="V438" i="1" s="1"/>
  <c r="AH438" i="1" s="1"/>
  <c r="C169" i="1"/>
  <c r="B169" i="1" s="1"/>
  <c r="A169" i="1" s="1"/>
  <c r="S512" i="1"/>
  <c r="V512" i="1" s="1"/>
  <c r="AH512" i="1" s="1"/>
  <c r="S94" i="1"/>
  <c r="V94" i="1" s="1"/>
  <c r="AH94" i="1" s="1"/>
  <c r="S307" i="1"/>
  <c r="V307" i="1" s="1"/>
  <c r="AH307" i="1" s="1"/>
  <c r="C659" i="1"/>
  <c r="B659" i="1" s="1"/>
  <c r="A659" i="1" s="1"/>
  <c r="S399" i="1"/>
  <c r="V399" i="1" s="1"/>
  <c r="AH399" i="1" s="1"/>
  <c r="S1158" i="1"/>
  <c r="V1158" i="1" s="1"/>
  <c r="AH1158" i="1" s="1"/>
  <c r="C82" i="1"/>
  <c r="B82" i="1" s="1"/>
  <c r="A82" i="1" s="1"/>
  <c r="S221" i="1"/>
  <c r="V221" i="1" s="1"/>
  <c r="AH221" i="1" s="1"/>
  <c r="S903" i="1"/>
  <c r="V903" i="1" s="1"/>
  <c r="AH903" i="1" s="1"/>
  <c r="S1133" i="1"/>
  <c r="V1133" i="1" s="1"/>
  <c r="AH1133" i="1" s="1"/>
  <c r="C276" i="1"/>
  <c r="B276" i="1" s="1"/>
  <c r="A276" i="1" s="1"/>
  <c r="S417" i="1"/>
  <c r="V417" i="1" s="1"/>
  <c r="AH417" i="1" s="1"/>
  <c r="S116" i="1"/>
  <c r="V116" i="1" s="1"/>
  <c r="AH116" i="1" s="1"/>
  <c r="C627" i="1"/>
  <c r="B627" i="1" s="1"/>
  <c r="A627" i="1" s="1"/>
  <c r="C885" i="1"/>
  <c r="B885" i="1" s="1"/>
  <c r="A885" i="1" s="1"/>
  <c r="S29" i="1"/>
  <c r="V29" i="1" s="1"/>
  <c r="AH29" i="1" s="1"/>
  <c r="C43" i="1"/>
  <c r="B43" i="1" s="1"/>
  <c r="A43" i="1" s="1"/>
  <c r="C360" i="1"/>
  <c r="B360" i="1" s="1"/>
  <c r="A360" i="1" s="1"/>
  <c r="S242" i="1"/>
  <c r="V242" i="1" s="1"/>
  <c r="AH242" i="1" s="1"/>
  <c r="S824" i="1"/>
  <c r="V824" i="1" s="1"/>
  <c r="AH824" i="1" s="1"/>
  <c r="S1048" i="1"/>
  <c r="V1048" i="1" s="1"/>
  <c r="AH1048" i="1" s="1"/>
  <c r="C1204" i="1"/>
  <c r="B1204" i="1" s="1"/>
  <c r="A1204" i="1" s="1"/>
  <c r="C134" i="1"/>
  <c r="B134" i="1" s="1"/>
  <c r="A134" i="1" s="1"/>
  <c r="C996" i="1"/>
  <c r="B996" i="1" s="1"/>
  <c r="A996" i="1" s="1"/>
  <c r="C464" i="1"/>
  <c r="B464" i="1" s="1"/>
  <c r="A464" i="1" s="1"/>
  <c r="C966" i="1"/>
  <c r="B966" i="1" s="1"/>
  <c r="A966" i="1" s="1"/>
  <c r="C649" i="1"/>
  <c r="B649" i="1" s="1"/>
  <c r="A649" i="1" s="1"/>
  <c r="C49" i="1"/>
  <c r="B49" i="1" s="1"/>
  <c r="A49" i="1" s="1"/>
  <c r="S121" i="1"/>
  <c r="V121" i="1" s="1"/>
  <c r="AH121" i="1" s="1"/>
  <c r="S942" i="1"/>
  <c r="V942" i="1" s="1"/>
  <c r="AH942" i="1" s="1"/>
  <c r="S648" i="1"/>
  <c r="V648" i="1" s="1"/>
  <c r="AH648" i="1" s="1"/>
  <c r="S458" i="1"/>
  <c r="V458" i="1" s="1"/>
  <c r="AH458" i="1" s="1"/>
  <c r="C1071" i="1"/>
  <c r="B1071" i="1" s="1"/>
  <c r="A1071" i="1" s="1"/>
  <c r="S111" i="1"/>
  <c r="V111" i="1" s="1"/>
  <c r="AH111" i="1" s="1"/>
  <c r="S19" i="1"/>
  <c r="V19" i="1" s="1"/>
  <c r="AH19" i="1" s="1"/>
  <c r="S145" i="1"/>
  <c r="V145" i="1" s="1"/>
  <c r="AH145" i="1" s="1"/>
  <c r="C205" i="1"/>
  <c r="B205" i="1" s="1"/>
  <c r="A205" i="1" s="1"/>
  <c r="C619" i="1"/>
  <c r="B619" i="1" s="1"/>
  <c r="A619" i="1" s="1"/>
  <c r="C313" i="1"/>
  <c r="B313" i="1" s="1"/>
  <c r="A313" i="1" s="1"/>
  <c r="S407" i="1"/>
  <c r="V407" i="1" s="1"/>
  <c r="AH407" i="1" s="1"/>
  <c r="S124" i="1"/>
  <c r="V124" i="1" s="1"/>
  <c r="AH124" i="1" s="1"/>
  <c r="C509" i="1"/>
  <c r="B509" i="1" s="1"/>
  <c r="A509" i="1" s="1"/>
  <c r="C724" i="1"/>
  <c r="B724" i="1" s="1"/>
  <c r="A724" i="1" s="1"/>
  <c r="C475" i="1"/>
  <c r="B475" i="1" s="1"/>
  <c r="A475" i="1" s="1"/>
  <c r="S542" i="1"/>
  <c r="V542" i="1" s="1"/>
  <c r="AH542" i="1" s="1"/>
  <c r="C166" i="1"/>
  <c r="B166" i="1" s="1"/>
  <c r="A166" i="1" s="1"/>
  <c r="S836" i="1"/>
  <c r="V836" i="1" s="1"/>
  <c r="AH836" i="1" s="1"/>
  <c r="C325" i="1"/>
  <c r="B325" i="1" s="1"/>
  <c r="A325" i="1" s="1"/>
  <c r="S26" i="1"/>
  <c r="V26" i="1" s="1"/>
  <c r="AH26" i="1" s="1"/>
  <c r="C311" i="1"/>
  <c r="B311" i="1" s="1"/>
  <c r="A311" i="1" s="1"/>
  <c r="S191" i="1"/>
  <c r="V191" i="1" s="1"/>
  <c r="AH191" i="1" s="1"/>
  <c r="C67" i="1"/>
  <c r="B67" i="1" s="1"/>
  <c r="A67" i="1" s="1"/>
  <c r="S636" i="1"/>
  <c r="V636" i="1" s="1"/>
  <c r="AH636" i="1" s="1"/>
  <c r="C643" i="1"/>
  <c r="B643" i="1" s="1"/>
  <c r="A643" i="1" s="1"/>
  <c r="S1170" i="1"/>
  <c r="V1170" i="1" s="1"/>
  <c r="AH1170" i="1" s="1"/>
  <c r="C4" i="1"/>
  <c r="B4" i="1" s="1"/>
  <c r="A4" i="1" s="1"/>
  <c r="C452" i="1"/>
  <c r="B452" i="1" s="1"/>
  <c r="A452" i="1" s="1"/>
  <c r="C353" i="1"/>
  <c r="B353" i="1" s="1"/>
  <c r="A353" i="1" s="1"/>
  <c r="S1124" i="1"/>
  <c r="V1124" i="1" s="1"/>
  <c r="AH1124" i="1" s="1"/>
  <c r="S880" i="1"/>
  <c r="V880" i="1" s="1"/>
  <c r="AH880" i="1" s="1"/>
  <c r="C217" i="1"/>
  <c r="B217" i="1" s="1"/>
  <c r="A217" i="1" s="1"/>
  <c r="C343" i="1"/>
  <c r="B343" i="1" s="1"/>
  <c r="A343" i="1" s="1"/>
  <c r="S152" i="1"/>
  <c r="V152" i="1" s="1"/>
  <c r="AH152" i="1" s="1"/>
  <c r="S1015" i="1"/>
  <c r="V1015" i="1" s="1"/>
  <c r="AH1015" i="1" s="1"/>
  <c r="S759" i="1"/>
  <c r="V759" i="1" s="1"/>
  <c r="AH759" i="1" s="1"/>
  <c r="S797" i="1"/>
  <c r="V797" i="1" s="1"/>
  <c r="AH797" i="1" s="1"/>
  <c r="S566" i="1"/>
  <c r="V566" i="1" s="1"/>
  <c r="AH566" i="1" s="1"/>
  <c r="S1081" i="1"/>
  <c r="V1081" i="1" s="1"/>
  <c r="AH1081" i="1" s="1"/>
  <c r="C517" i="1"/>
  <c r="B517" i="1" s="1"/>
  <c r="A517" i="1" s="1"/>
  <c r="C488" i="1"/>
  <c r="B488" i="1" s="1"/>
  <c r="A488" i="1" s="1"/>
  <c r="S381" i="1"/>
  <c r="V381" i="1" s="1"/>
  <c r="AH381" i="1" s="1"/>
  <c r="S788" i="1"/>
  <c r="V788" i="1" s="1"/>
  <c r="AH788" i="1" s="1"/>
  <c r="S1176" i="1"/>
  <c r="V1176" i="1" s="1"/>
  <c r="AH1176" i="1" s="1"/>
  <c r="S22" i="1"/>
  <c r="V22" i="1" s="1"/>
  <c r="AH22" i="1" s="1"/>
  <c r="C829" i="1"/>
  <c r="B829" i="1" s="1"/>
  <c r="A829" i="1" s="1"/>
  <c r="S830" i="1"/>
  <c r="V830" i="1" s="1"/>
  <c r="AH830" i="1" s="1"/>
  <c r="C523" i="1"/>
  <c r="B523" i="1" s="1"/>
  <c r="A523" i="1" s="1"/>
  <c r="S712" i="1"/>
  <c r="V712" i="1" s="1"/>
  <c r="AH712" i="1" s="1"/>
  <c r="C999" i="1"/>
  <c r="B999" i="1" s="1"/>
  <c r="A999" i="1" s="1"/>
  <c r="S522" i="1"/>
  <c r="V522" i="1" s="1"/>
  <c r="AH522" i="1" s="1"/>
  <c r="S1115" i="1"/>
  <c r="V1115" i="1" s="1"/>
  <c r="AH1115" i="1" s="1"/>
  <c r="S1178" i="1"/>
  <c r="V1178" i="1" s="1"/>
  <c r="AH1178" i="1" s="1"/>
  <c r="S36" i="1"/>
  <c r="V36" i="1" s="1"/>
  <c r="AH36" i="1" s="1"/>
  <c r="S950" i="1"/>
  <c r="V950" i="1" s="1"/>
  <c r="AH950" i="1" s="1"/>
  <c r="S240" i="1"/>
  <c r="V240" i="1" s="1"/>
  <c r="AH240" i="1" s="1"/>
  <c r="S89" i="1"/>
  <c r="V89" i="1" s="1"/>
  <c r="AH89" i="1" s="1"/>
  <c r="S77" i="1"/>
  <c r="V77" i="1" s="1"/>
  <c r="AH77" i="1" s="1"/>
  <c r="S149" i="1"/>
  <c r="V149" i="1" s="1"/>
  <c r="AH149" i="1" s="1"/>
  <c r="S981" i="1"/>
  <c r="V981" i="1" s="1"/>
  <c r="AH981" i="1" s="1"/>
  <c r="S411" i="1"/>
  <c r="V411" i="1" s="1"/>
  <c r="AH411" i="1" s="1"/>
  <c r="S132" i="1"/>
  <c r="V132" i="1" s="1"/>
  <c r="AH132" i="1" s="1"/>
  <c r="C691" i="1"/>
  <c r="B691" i="1" s="1"/>
  <c r="A691" i="1" s="1"/>
  <c r="S1152" i="1"/>
  <c r="V1152" i="1" s="1"/>
  <c r="AH1152" i="1" s="1"/>
  <c r="C930" i="1"/>
  <c r="B930" i="1" s="1"/>
  <c r="A930" i="1" s="1"/>
  <c r="C585" i="1"/>
  <c r="B585" i="1" s="1"/>
  <c r="A585" i="1" s="1"/>
  <c r="S613" i="1"/>
  <c r="V613" i="1" s="1"/>
  <c r="AH613" i="1" s="1"/>
  <c r="S272" i="1"/>
  <c r="V272" i="1" s="1"/>
  <c r="AH272" i="1" s="1"/>
  <c r="S760" i="1"/>
  <c r="V760" i="1" s="1"/>
  <c r="AH760" i="1" s="1"/>
  <c r="S235" i="1"/>
  <c r="V235" i="1" s="1"/>
  <c r="AH235" i="1" s="1"/>
  <c r="C21" i="1"/>
  <c r="B21" i="1" s="1"/>
  <c r="A21" i="1" s="1"/>
  <c r="P1189" i="1"/>
  <c r="C212" i="1"/>
  <c r="B212" i="1" s="1"/>
  <c r="A212" i="1" s="1"/>
  <c r="C862" i="1"/>
  <c r="B862" i="1" s="1"/>
  <c r="A862" i="1" s="1"/>
  <c r="S187" i="1"/>
  <c r="V187" i="1" s="1"/>
  <c r="AH187" i="1" s="1"/>
  <c r="S678" i="1"/>
  <c r="V678" i="1" s="1"/>
  <c r="AH678" i="1" s="1"/>
  <c r="S108" i="1"/>
  <c r="V108" i="1" s="1"/>
  <c r="AH108" i="1" s="1"/>
  <c r="C351" i="1"/>
  <c r="B351" i="1" s="1"/>
  <c r="A351" i="1" s="1"/>
  <c r="C767" i="1"/>
  <c r="B767" i="1" s="1"/>
  <c r="A767" i="1" s="1"/>
  <c r="C296" i="1"/>
  <c r="B296" i="1" s="1"/>
  <c r="A296" i="1" s="1"/>
  <c r="S58" i="1"/>
  <c r="V58" i="1" s="1"/>
  <c r="AH58" i="1" s="1"/>
  <c r="S852" i="1"/>
  <c r="V852" i="1" s="1"/>
  <c r="AH852" i="1" s="1"/>
  <c r="C180" i="1"/>
  <c r="B180" i="1" s="1"/>
  <c r="A180" i="1" s="1"/>
  <c r="C866" i="1"/>
  <c r="B866" i="1" s="1"/>
  <c r="A866" i="1" s="1"/>
  <c r="C975" i="1"/>
  <c r="B975" i="1" s="1"/>
  <c r="A975" i="1" s="1"/>
  <c r="C32" i="1"/>
  <c r="B32" i="1" s="1"/>
  <c r="A32" i="1" s="1"/>
  <c r="S249" i="1"/>
  <c r="V249" i="1" s="1"/>
  <c r="AH249" i="1" s="1"/>
  <c r="S672" i="1"/>
  <c r="V672" i="1" s="1"/>
  <c r="AH672" i="1" s="1"/>
  <c r="C832" i="1"/>
  <c r="B832" i="1" s="1"/>
  <c r="A832" i="1" s="1"/>
  <c r="S263" i="1"/>
  <c r="V263" i="1" s="1"/>
  <c r="AH263" i="1" s="1"/>
  <c r="S95" i="1"/>
  <c r="V95" i="1" s="1"/>
  <c r="AH95" i="1" s="1"/>
  <c r="S732" i="1"/>
  <c r="V732" i="1" s="1"/>
  <c r="AH732" i="1" s="1"/>
  <c r="S207" i="1"/>
  <c r="V207" i="1" s="1"/>
  <c r="AH207" i="1" s="1"/>
  <c r="C304" i="1"/>
  <c r="B304" i="1" s="1"/>
  <c r="A304" i="1" s="1"/>
  <c r="S627" i="1"/>
  <c r="V627" i="1" s="1"/>
  <c r="AH627" i="1" s="1"/>
  <c r="S621" i="1"/>
  <c r="V621" i="1" s="1"/>
  <c r="AH621" i="1" s="1"/>
  <c r="S862" i="1"/>
  <c r="V862" i="1" s="1"/>
  <c r="AH862" i="1" s="1"/>
  <c r="S592" i="1"/>
  <c r="V592" i="1" s="1"/>
  <c r="AH592" i="1" s="1"/>
  <c r="C68" i="1"/>
  <c r="B68" i="1" s="1"/>
  <c r="A68" i="1" s="1"/>
  <c r="S189" i="1"/>
  <c r="V189" i="1" s="1"/>
  <c r="AH189" i="1" s="1"/>
  <c r="S1008" i="1"/>
  <c r="V1008" i="1" s="1"/>
  <c r="AH1008" i="1" s="1"/>
  <c r="C241" i="1"/>
  <c r="B241" i="1" s="1"/>
  <c r="A241" i="1" s="1"/>
  <c r="S665" i="1"/>
  <c r="V665" i="1" s="1"/>
  <c r="AH665" i="1" s="1"/>
  <c r="S342" i="1"/>
  <c r="V342" i="1" s="1"/>
  <c r="AH342" i="1" s="1"/>
  <c r="S427" i="1"/>
  <c r="V427" i="1" s="1"/>
  <c r="AH427" i="1" s="1"/>
  <c r="S914" i="1"/>
  <c r="V914" i="1" s="1"/>
  <c r="AH914" i="1" s="1"/>
  <c r="S299" i="1"/>
  <c r="V299" i="1" s="1"/>
  <c r="AH299" i="1" s="1"/>
  <c r="S200" i="1"/>
  <c r="V200" i="1" s="1"/>
  <c r="AH200" i="1" s="1"/>
  <c r="S841" i="1"/>
  <c r="V841" i="1" s="1"/>
  <c r="AH841" i="1" s="1"/>
  <c r="C250" i="1"/>
  <c r="B250" i="1" s="1"/>
  <c r="A250" i="1" s="1"/>
  <c r="C779" i="1"/>
  <c r="B779" i="1" s="1"/>
  <c r="A779" i="1" s="1"/>
  <c r="C921" i="1"/>
  <c r="B921" i="1" s="1"/>
  <c r="A921" i="1" s="1"/>
  <c r="C25" i="1"/>
  <c r="B25" i="1" s="1"/>
  <c r="A25" i="1" s="1"/>
  <c r="C41" i="1"/>
  <c r="B41" i="1" s="1"/>
  <c r="A41" i="1" s="1"/>
  <c r="S544" i="1"/>
  <c r="V544" i="1" s="1"/>
  <c r="AH544" i="1" s="1"/>
  <c r="C994" i="1"/>
  <c r="B994" i="1" s="1"/>
  <c r="A994" i="1" s="1"/>
  <c r="P1188" i="1"/>
  <c r="C64" i="1"/>
  <c r="B64" i="1" s="1"/>
  <c r="A64" i="1" s="1"/>
  <c r="S587" i="1"/>
  <c r="V587" i="1" s="1"/>
  <c r="AH587" i="1" s="1"/>
  <c r="S106" i="1"/>
  <c r="V106" i="1" s="1"/>
  <c r="AH106" i="1" s="1"/>
  <c r="S157" i="1"/>
  <c r="V157" i="1" s="1"/>
  <c r="AH157" i="1" s="1"/>
  <c r="S781" i="1"/>
  <c r="V781" i="1" s="1"/>
  <c r="AH781" i="1" s="1"/>
  <c r="C1094" i="1"/>
  <c r="B1094" i="1" s="1"/>
  <c r="A1094" i="1" s="1"/>
  <c r="C223" i="1"/>
  <c r="B223" i="1" s="1"/>
  <c r="A223" i="1" s="1"/>
  <c r="S570" i="1"/>
  <c r="V570" i="1" s="1"/>
  <c r="AH570" i="1" s="1"/>
  <c r="C318" i="1"/>
  <c r="B318" i="1" s="1"/>
  <c r="A318" i="1" s="1"/>
  <c r="S525" i="1"/>
  <c r="V525" i="1" s="1"/>
  <c r="AH525" i="1" s="1"/>
  <c r="S339" i="1"/>
  <c r="V339" i="1" s="1"/>
  <c r="AH339" i="1" s="1"/>
  <c r="S155" i="1"/>
  <c r="V155" i="1" s="1"/>
  <c r="AH155" i="1" s="1"/>
  <c r="S939" i="1"/>
  <c r="V939" i="1" s="1"/>
  <c r="AH939" i="1" s="1"/>
  <c r="C159" i="1"/>
  <c r="B159" i="1" s="1"/>
  <c r="A159" i="1" s="1"/>
  <c r="S112" i="1"/>
  <c r="V112" i="1" s="1"/>
  <c r="AH112" i="1" s="1"/>
  <c r="C1196" i="1"/>
  <c r="B1196" i="1" s="1"/>
  <c r="A1196" i="1" s="1"/>
  <c r="C1161" i="1"/>
  <c r="B1161" i="1" s="1"/>
  <c r="A1161" i="1" s="1"/>
  <c r="S511" i="1"/>
  <c r="V511" i="1" s="1"/>
  <c r="AH511" i="1" s="1"/>
  <c r="S604" i="1"/>
  <c r="V604" i="1" s="1"/>
  <c r="AH604" i="1" s="1"/>
  <c r="S261" i="1"/>
  <c r="V261" i="1" s="1"/>
  <c r="AH261" i="1" s="1"/>
  <c r="S274" i="1"/>
  <c r="V274" i="1" s="1"/>
  <c r="AH274" i="1" s="1"/>
  <c r="S562" i="1"/>
  <c r="V562" i="1" s="1"/>
  <c r="AH562" i="1" s="1"/>
  <c r="S755" i="1"/>
  <c r="V755" i="1" s="1"/>
  <c r="AH755" i="1" s="1"/>
  <c r="C324" i="1"/>
  <c r="B324" i="1" s="1"/>
  <c r="A324" i="1" s="1"/>
  <c r="C461" i="1"/>
  <c r="B461" i="1" s="1"/>
  <c r="A461" i="1" s="1"/>
  <c r="C956" i="1"/>
  <c r="B956" i="1" s="1"/>
  <c r="A956" i="1" s="1"/>
  <c r="S273" i="1"/>
  <c r="V273" i="1" s="1"/>
  <c r="AH273" i="1" s="1"/>
  <c r="C513" i="1"/>
  <c r="B513" i="1" s="1"/>
  <c r="A513" i="1" s="1"/>
  <c r="C124" i="1"/>
  <c r="B124" i="1" s="1"/>
  <c r="A124" i="1" s="1"/>
  <c r="S796" i="1"/>
  <c r="V796" i="1" s="1"/>
  <c r="AH796" i="1" s="1"/>
  <c r="S846" i="1"/>
  <c r="V846" i="1" s="1"/>
  <c r="AH846" i="1" s="1"/>
  <c r="C199" i="1"/>
  <c r="B199" i="1" s="1"/>
  <c r="A199" i="1" s="1"/>
  <c r="C618" i="1"/>
  <c r="B618" i="1" s="1"/>
  <c r="A618" i="1" s="1"/>
  <c r="S419" i="1"/>
  <c r="V419" i="1" s="1"/>
  <c r="AH419" i="1" s="1"/>
  <c r="S180" i="1"/>
  <c r="V180" i="1" s="1"/>
  <c r="AH180" i="1" s="1"/>
  <c r="C225" i="1"/>
  <c r="B225" i="1" s="1"/>
  <c r="A225" i="1" s="1"/>
  <c r="S390" i="1"/>
  <c r="V390" i="1" s="1"/>
  <c r="AH390" i="1" s="1"/>
  <c r="S455" i="1"/>
  <c r="V455" i="1" s="1"/>
  <c r="AH455" i="1" s="1"/>
  <c r="C735" i="1"/>
  <c r="B735" i="1" s="1"/>
  <c r="A735" i="1" s="1"/>
  <c r="S57" i="1"/>
  <c r="V57" i="1" s="1"/>
  <c r="AH57" i="1" s="1"/>
  <c r="S76" i="1"/>
  <c r="V76" i="1" s="1"/>
  <c r="AH76" i="1" s="1"/>
  <c r="C430" i="1"/>
  <c r="B430" i="1" s="1"/>
  <c r="A430" i="1" s="1"/>
  <c r="C1151" i="1"/>
  <c r="B1151" i="1" s="1"/>
  <c r="A1151" i="1" s="1"/>
  <c r="C908" i="1"/>
  <c r="B908" i="1" s="1"/>
  <c r="A908" i="1" s="1"/>
  <c r="S1172" i="1"/>
  <c r="V1172" i="1" s="1"/>
  <c r="AH1172" i="1" s="1"/>
  <c r="C85" i="1"/>
  <c r="B85" i="1" s="1"/>
  <c r="A85" i="1" s="1"/>
  <c r="S81" i="1"/>
  <c r="V81" i="1" s="1"/>
  <c r="AH81" i="1" s="1"/>
  <c r="C702" i="1"/>
  <c r="B702" i="1" s="1"/>
  <c r="A702" i="1" s="1"/>
  <c r="C854" i="1"/>
  <c r="B854" i="1" s="1"/>
  <c r="A854" i="1" s="1"/>
  <c r="S910" i="1"/>
  <c r="V910" i="1" s="1"/>
  <c r="AH910" i="1" s="1"/>
  <c r="H126" i="1"/>
  <c r="H119" i="1"/>
  <c r="H25" i="1"/>
  <c r="H39" i="1"/>
  <c r="H40" i="1"/>
  <c r="H32" i="1"/>
  <c r="H1187" i="1"/>
  <c r="H1211" i="1"/>
  <c r="H1202" i="1"/>
  <c r="H1209" i="1"/>
  <c r="H1188" i="1"/>
  <c r="H1205" i="1"/>
  <c r="H1210" i="1"/>
  <c r="H1203" i="1"/>
  <c r="H1200" i="1"/>
  <c r="H1183" i="1"/>
  <c r="H1182" i="1"/>
  <c r="H1189" i="1"/>
  <c r="H1198" i="1"/>
  <c r="H1193" i="1"/>
  <c r="H1208" i="1"/>
  <c r="H1190" i="1"/>
  <c r="H1207" i="1"/>
  <c r="H8" i="1"/>
  <c r="H41" i="1"/>
  <c r="H21" i="1"/>
  <c r="H24" i="1"/>
  <c r="H11" i="1"/>
  <c r="H7" i="1"/>
  <c r="H26" i="1"/>
  <c r="H33" i="1"/>
  <c r="H5" i="1"/>
  <c r="H19" i="1"/>
  <c r="H20" i="1"/>
  <c r="H6" i="1"/>
  <c r="H34" i="1"/>
  <c r="H27" i="1"/>
  <c r="H103" i="1"/>
  <c r="H105" i="1"/>
  <c r="H98" i="1"/>
  <c r="H110" i="1"/>
  <c r="H97" i="1"/>
  <c r="H87" i="1"/>
  <c r="H93" i="1"/>
  <c r="H86" i="1"/>
  <c r="H96" i="1"/>
  <c r="H83" i="1"/>
  <c r="H112" i="1"/>
  <c r="H113" i="1"/>
  <c r="H102" i="1"/>
  <c r="H109" i="1"/>
  <c r="H108" i="1"/>
  <c r="H101" i="1"/>
  <c r="H106" i="1"/>
  <c r="H99" i="1"/>
  <c r="H95" i="1"/>
  <c r="H85" i="1"/>
  <c r="H136" i="1"/>
  <c r="H146" i="1"/>
  <c r="H133" i="1"/>
  <c r="H135" i="1"/>
  <c r="H145" i="1"/>
  <c r="H143" i="1"/>
  <c r="H137" i="1"/>
  <c r="H147" i="1"/>
  <c r="H128" i="1"/>
  <c r="H138" i="1"/>
  <c r="H121" i="1"/>
  <c r="H114" i="1"/>
  <c r="H139" i="1"/>
  <c r="H129" i="1"/>
  <c r="H189" i="1"/>
  <c r="H188" i="1"/>
  <c r="H178" i="1"/>
  <c r="H186" i="1"/>
  <c r="H150" i="1"/>
  <c r="H160" i="1"/>
  <c r="H181" i="1"/>
  <c r="H171" i="1"/>
  <c r="H168" i="1"/>
  <c r="H154" i="1"/>
  <c r="H158" i="1"/>
  <c r="H164" i="1"/>
  <c r="H159" i="1"/>
  <c r="H169" i="1"/>
  <c r="H179" i="1"/>
  <c r="H187" i="1"/>
  <c r="H161" i="1"/>
  <c r="H177" i="1"/>
  <c r="H151" i="1"/>
  <c r="H185" i="1"/>
  <c r="H269" i="1"/>
  <c r="H268" i="1"/>
  <c r="H257" i="1"/>
  <c r="H267" i="1"/>
  <c r="H258" i="1"/>
  <c r="H248" i="1"/>
  <c r="H246" i="1"/>
  <c r="H237" i="1"/>
  <c r="H260" i="1"/>
  <c r="H266" i="1"/>
  <c r="H256" i="1"/>
  <c r="H250" i="1"/>
  <c r="H249" i="1"/>
  <c r="H235" i="1"/>
  <c r="H244" i="1"/>
  <c r="H259" i="1"/>
  <c r="H72" i="1"/>
  <c r="H57" i="1"/>
  <c r="H67" i="1"/>
  <c r="H62" i="1"/>
  <c r="H75" i="1"/>
  <c r="H65" i="1"/>
  <c r="H56" i="1"/>
  <c r="H66" i="1"/>
  <c r="H61" i="1"/>
  <c r="H71" i="1"/>
  <c r="H55" i="1"/>
  <c r="H53" i="1"/>
  <c r="H48" i="1"/>
  <c r="H46" i="1"/>
  <c r="H51" i="1"/>
  <c r="H47" i="1"/>
  <c r="H54" i="1"/>
  <c r="H44" i="1"/>
  <c r="H76" i="1"/>
  <c r="H77" i="1"/>
  <c r="H50" i="1"/>
  <c r="H43" i="1"/>
  <c r="H68" i="1"/>
  <c r="H58" i="1"/>
  <c r="H63" i="1"/>
  <c r="H73" i="1"/>
  <c r="H69" i="1"/>
  <c r="H59" i="1"/>
  <c r="H74" i="1"/>
  <c r="H64" i="1"/>
  <c r="H45" i="1"/>
  <c r="H52" i="1"/>
  <c r="H84" i="1"/>
  <c r="H100" i="1"/>
  <c r="H107" i="1"/>
  <c r="H94" i="1"/>
  <c r="H117" i="1"/>
  <c r="H140" i="1"/>
  <c r="H124" i="1"/>
  <c r="H130" i="1"/>
  <c r="H175" i="1"/>
  <c r="H184" i="1"/>
  <c r="H216" i="1"/>
  <c r="H226" i="1"/>
  <c r="H200" i="1"/>
  <c r="H191" i="1"/>
  <c r="H194" i="1"/>
  <c r="H203" i="1"/>
  <c r="H193" i="1"/>
  <c r="H202" i="1"/>
  <c r="H198" i="1"/>
  <c r="H207" i="1"/>
  <c r="H229" i="1"/>
  <c r="H228" i="1"/>
  <c r="H195" i="1"/>
  <c r="H204" i="1"/>
  <c r="H223" i="1"/>
  <c r="H213" i="1"/>
  <c r="H221" i="1"/>
  <c r="H211" i="1"/>
  <c r="H219" i="1"/>
  <c r="H209" i="1"/>
  <c r="H227" i="1"/>
  <c r="H217" i="1"/>
  <c r="H224" i="1"/>
  <c r="H214" i="1"/>
  <c r="H212" i="1"/>
  <c r="H222" i="1"/>
  <c r="H201" i="1"/>
  <c r="H210" i="1"/>
  <c r="H220" i="1"/>
  <c r="H192" i="1"/>
  <c r="H205" i="1"/>
  <c r="H196" i="1"/>
  <c r="H215" i="1"/>
  <c r="H225" i="1"/>
  <c r="H190" i="1"/>
  <c r="H208" i="1"/>
  <c r="H218" i="1"/>
  <c r="H199" i="1"/>
  <c r="H234" i="1"/>
  <c r="H243" i="1"/>
  <c r="H279" i="1"/>
  <c r="H291" i="1"/>
  <c r="H276" i="1"/>
  <c r="H288" i="1"/>
  <c r="H282" i="1"/>
  <c r="H270" i="1"/>
  <c r="H273" i="1"/>
  <c r="H285" i="1"/>
  <c r="H305" i="1"/>
  <c r="H298" i="1"/>
  <c r="H302" i="1"/>
  <c r="H295" i="1"/>
  <c r="H307" i="1"/>
  <c r="H300" i="1"/>
  <c r="H283" i="1"/>
  <c r="H309" i="1"/>
  <c r="H308" i="1"/>
  <c r="H271" i="1"/>
  <c r="H301" i="1"/>
  <c r="H293" i="1"/>
  <c r="H294" i="1"/>
  <c r="H281" i="1"/>
  <c r="H277" i="1"/>
  <c r="H289" i="1"/>
  <c r="H274" i="1"/>
  <c r="H286" i="1"/>
  <c r="H299" i="1"/>
  <c r="H292" i="1"/>
  <c r="H306" i="1"/>
  <c r="H280" i="1"/>
  <c r="H290" i="1"/>
  <c r="H278" i="1"/>
  <c r="H272" i="1"/>
  <c r="H284" i="1"/>
  <c r="H296" i="1"/>
  <c r="H275" i="1"/>
  <c r="H303" i="1"/>
  <c r="H287" i="1"/>
  <c r="H320" i="1"/>
  <c r="H314" i="1"/>
  <c r="H371" i="1"/>
  <c r="H373" i="1"/>
  <c r="H353" i="1"/>
  <c r="H343" i="1"/>
  <c r="H370" i="1"/>
  <c r="H372" i="1"/>
  <c r="H364" i="1"/>
  <c r="H356" i="1"/>
  <c r="H341" i="1"/>
  <c r="H351" i="1"/>
  <c r="H339" i="1"/>
  <c r="H349" i="1"/>
  <c r="H347" i="1"/>
  <c r="H337" i="1"/>
  <c r="H354" i="1"/>
  <c r="H367" i="1"/>
  <c r="H359" i="1"/>
  <c r="H362" i="1"/>
  <c r="H334" i="1"/>
  <c r="H369" i="1"/>
  <c r="H344" i="1"/>
  <c r="H361" i="1"/>
  <c r="H368" i="1"/>
  <c r="H360" i="1"/>
  <c r="H348" i="1"/>
  <c r="H365" i="1"/>
  <c r="H357" i="1"/>
  <c r="H338" i="1"/>
  <c r="H345" i="1"/>
  <c r="H335" i="1"/>
  <c r="H342" i="1"/>
  <c r="H352" i="1"/>
  <c r="H346" i="1"/>
  <c r="H363" i="1"/>
  <c r="H355" i="1"/>
  <c r="H336" i="1"/>
  <c r="H340" i="1"/>
  <c r="H350" i="1"/>
  <c r="H411" i="1"/>
  <c r="H402" i="1"/>
  <c r="H436" i="1"/>
  <c r="H444" i="1"/>
  <c r="H446" i="1"/>
  <c r="H438" i="1"/>
  <c r="H421" i="1"/>
  <c r="H432" i="1"/>
  <c r="H452" i="1"/>
  <c r="H453" i="1"/>
  <c r="H448" i="1"/>
  <c r="H440" i="1"/>
  <c r="H414" i="1"/>
  <c r="H425" i="1"/>
  <c r="H417" i="1"/>
  <c r="H428" i="1"/>
  <c r="H437" i="1"/>
  <c r="H445" i="1"/>
  <c r="H431" i="1"/>
  <c r="H420" i="1"/>
  <c r="H422" i="1"/>
  <c r="H433" i="1"/>
  <c r="H415" i="1"/>
  <c r="H426" i="1"/>
  <c r="H429" i="1"/>
  <c r="H418" i="1"/>
  <c r="H443" i="1"/>
  <c r="H451" i="1"/>
  <c r="H435" i="1"/>
  <c r="H424" i="1"/>
  <c r="H427" i="1"/>
  <c r="H416" i="1"/>
  <c r="H434" i="1"/>
  <c r="H423" i="1"/>
  <c r="H419" i="1"/>
  <c r="H430" i="1"/>
  <c r="H439" i="1"/>
  <c r="H447" i="1"/>
  <c r="H450" i="1"/>
  <c r="H442" i="1"/>
  <c r="H458" i="1"/>
  <c r="H468" i="1"/>
  <c r="H529" i="1"/>
  <c r="H528" i="1"/>
  <c r="H499" i="1"/>
  <c r="H508" i="1"/>
  <c r="H509" i="1"/>
  <c r="H500" i="1"/>
  <c r="H510" i="1"/>
  <c r="H501" i="1"/>
  <c r="H516" i="1"/>
  <c r="H524" i="1"/>
  <c r="H514" i="1"/>
  <c r="H522" i="1"/>
  <c r="H497" i="1"/>
  <c r="H506" i="1"/>
  <c r="H512" i="1"/>
  <c r="H504" i="1"/>
  <c r="H495" i="1"/>
  <c r="H520" i="1"/>
  <c r="H519" i="1"/>
  <c r="H527" i="1"/>
  <c r="H518" i="1"/>
  <c r="H526" i="1"/>
  <c r="H513" i="1"/>
  <c r="H521" i="1"/>
  <c r="H498" i="1"/>
  <c r="H525" i="1"/>
  <c r="H517" i="1"/>
  <c r="H507" i="1"/>
  <c r="H502" i="1"/>
  <c r="H511" i="1"/>
  <c r="H523" i="1"/>
  <c r="H505" i="1"/>
  <c r="H515" i="1"/>
  <c r="H496" i="1"/>
  <c r="H574" i="1"/>
  <c r="H565" i="1"/>
  <c r="H593" i="1"/>
  <c r="H579" i="1"/>
  <c r="H591" i="1"/>
  <c r="H581" i="1"/>
  <c r="H595" i="1"/>
  <c r="H583" i="1"/>
  <c r="H616" i="1"/>
  <c r="H605" i="1"/>
  <c r="H619" i="1"/>
  <c r="H608" i="1"/>
  <c r="H614" i="1"/>
  <c r="H603" i="1"/>
  <c r="H618" i="1"/>
  <c r="H607" i="1"/>
  <c r="H623" i="1"/>
  <c r="H588" i="1"/>
  <c r="H600" i="1"/>
  <c r="H609" i="1"/>
  <c r="H620" i="1"/>
  <c r="H597" i="1"/>
  <c r="H585" i="1"/>
  <c r="H586" i="1"/>
  <c r="H598" i="1"/>
  <c r="H617" i="1"/>
  <c r="H606" i="1"/>
  <c r="H594" i="1"/>
  <c r="H582" i="1"/>
  <c r="H601" i="1"/>
  <c r="H577" i="1"/>
  <c r="H612" i="1"/>
  <c r="H589" i="1"/>
  <c r="H621" i="1"/>
  <c r="H610" i="1"/>
  <c r="H613" i="1"/>
  <c r="H602" i="1"/>
  <c r="H599" i="1"/>
  <c r="H584" i="1"/>
  <c r="H596" i="1"/>
  <c r="H587" i="1"/>
  <c r="H604" i="1"/>
  <c r="H615" i="1"/>
  <c r="H580" i="1"/>
  <c r="H592" i="1"/>
  <c r="H590" i="1"/>
  <c r="H578" i="1"/>
  <c r="H643" i="1"/>
  <c r="H632" i="1"/>
  <c r="H684" i="1"/>
  <c r="H673" i="1"/>
  <c r="H694" i="1"/>
  <c r="H719" i="1"/>
  <c r="H686" i="1"/>
  <c r="H675" i="1"/>
  <c r="H683" i="1"/>
  <c r="H721" i="1"/>
  <c r="H695" i="1"/>
  <c r="H707" i="1"/>
  <c r="H720" i="1"/>
  <c r="H678" i="1"/>
  <c r="H691" i="1"/>
  <c r="H680" i="1"/>
  <c r="H689" i="1"/>
  <c r="H713" i="1"/>
  <c r="H701" i="1"/>
  <c r="H715" i="1"/>
  <c r="H703" i="1"/>
  <c r="H708" i="1"/>
  <c r="H696" i="1"/>
  <c r="H710" i="1"/>
  <c r="H698" i="1"/>
  <c r="H674" i="1"/>
  <c r="H697" i="1"/>
  <c r="H685" i="1"/>
  <c r="H709" i="1"/>
  <c r="H699" i="1"/>
  <c r="H687" i="1"/>
  <c r="H676" i="1"/>
  <c r="H711" i="1"/>
  <c r="H704" i="1"/>
  <c r="H681" i="1"/>
  <c r="H692" i="1"/>
  <c r="H716" i="1"/>
  <c r="H677" i="1"/>
  <c r="H700" i="1"/>
  <c r="H712" i="1"/>
  <c r="H688" i="1"/>
  <c r="H690" i="1"/>
  <c r="H679" i="1"/>
  <c r="H702" i="1"/>
  <c r="H714" i="1"/>
  <c r="H717" i="1"/>
  <c r="H693" i="1"/>
  <c r="H705" i="1"/>
  <c r="H682" i="1"/>
  <c r="H761" i="1"/>
  <c r="H750" i="1"/>
  <c r="H813" i="1"/>
  <c r="H802" i="1"/>
  <c r="H836" i="1"/>
  <c r="H824" i="1"/>
  <c r="H828" i="1"/>
  <c r="H841" i="1"/>
  <c r="H833" i="1"/>
  <c r="H821" i="1"/>
  <c r="H855" i="1"/>
  <c r="H843" i="1"/>
  <c r="H846" i="1"/>
  <c r="H858" i="1"/>
  <c r="H861" i="1"/>
  <c r="H825" i="1"/>
  <c r="H849" i="1"/>
  <c r="H838" i="1"/>
  <c r="H862" i="1"/>
  <c r="H866" i="1"/>
  <c r="H851" i="1"/>
  <c r="H853" i="1"/>
  <c r="H864" i="1"/>
  <c r="H826" i="1"/>
  <c r="H839" i="1"/>
  <c r="H819" i="1"/>
  <c r="H844" i="1"/>
  <c r="H856" i="1"/>
  <c r="H831" i="1"/>
  <c r="H854" i="1"/>
  <c r="H865" i="1"/>
  <c r="H829" i="1"/>
  <c r="H842" i="1"/>
  <c r="H823" i="1"/>
  <c r="H848" i="1"/>
  <c r="H835" i="1"/>
  <c r="H860" i="1"/>
  <c r="H837" i="1"/>
  <c r="H850" i="1"/>
  <c r="H822" i="1"/>
  <c r="H834" i="1"/>
  <c r="H859" i="1"/>
  <c r="H847" i="1"/>
  <c r="H863" i="1"/>
  <c r="H840" i="1"/>
  <c r="H852" i="1"/>
  <c r="H827" i="1"/>
  <c r="H857" i="1"/>
  <c r="H832" i="1"/>
  <c r="H845" i="1"/>
  <c r="H820" i="1"/>
  <c r="H902" i="1"/>
  <c r="H891" i="1"/>
  <c r="H926" i="1"/>
  <c r="H914" i="1"/>
  <c r="H920" i="1"/>
  <c r="H932" i="1"/>
  <c r="H934" i="1"/>
  <c r="H922" i="1"/>
  <c r="H941" i="1"/>
  <c r="H954" i="1"/>
  <c r="H947" i="1"/>
  <c r="H959" i="1"/>
  <c r="H931" i="1"/>
  <c r="H943" i="1"/>
  <c r="H919" i="1"/>
  <c r="H937" i="1"/>
  <c r="H950" i="1"/>
  <c r="H925" i="1"/>
  <c r="H936" i="1"/>
  <c r="H924" i="1"/>
  <c r="H949" i="1"/>
  <c r="H917" i="1"/>
  <c r="H929" i="1"/>
  <c r="H923" i="1"/>
  <c r="H935" i="1"/>
  <c r="H952" i="1"/>
  <c r="H927" i="1"/>
  <c r="H915" i="1"/>
  <c r="H939" i="1"/>
  <c r="H942" i="1"/>
  <c r="H930" i="1"/>
  <c r="H918" i="1"/>
  <c r="H955" i="1"/>
  <c r="H956" i="1"/>
  <c r="H944" i="1"/>
  <c r="H960" i="1"/>
  <c r="H948" i="1"/>
  <c r="H916" i="1"/>
  <c r="H953" i="1"/>
  <c r="H928" i="1"/>
  <c r="H940" i="1"/>
  <c r="H958" i="1"/>
  <c r="H933" i="1"/>
  <c r="H946" i="1"/>
  <c r="H921" i="1"/>
  <c r="H957" i="1"/>
  <c r="H945" i="1"/>
  <c r="H1007" i="1"/>
  <c r="H972" i="1"/>
  <c r="H991" i="1"/>
  <c r="H1002" i="1"/>
  <c r="H1004" i="1"/>
  <c r="H993" i="1"/>
  <c r="H965" i="1"/>
  <c r="H977" i="1"/>
  <c r="H963" i="1"/>
  <c r="H975" i="1"/>
  <c r="H987" i="1"/>
  <c r="H1000" i="1"/>
  <c r="H989" i="1"/>
  <c r="H966" i="1"/>
  <c r="H978" i="1"/>
  <c r="H962" i="1"/>
  <c r="H974" i="1"/>
  <c r="H1005" i="1"/>
  <c r="H994" i="1"/>
  <c r="H986" i="1"/>
  <c r="H988" i="1"/>
  <c r="H999" i="1"/>
  <c r="H997" i="1"/>
  <c r="H967" i="1"/>
  <c r="H979" i="1"/>
  <c r="H1094" i="1"/>
  <c r="H1106" i="1"/>
  <c r="H1137" i="1"/>
  <c r="H1128" i="1"/>
  <c r="H1113" i="1"/>
  <c r="H1120" i="1"/>
  <c r="H1130" i="1"/>
  <c r="H1139" i="1"/>
  <c r="H1127" i="1"/>
  <c r="H1136" i="1"/>
  <c r="H1126" i="1"/>
  <c r="H1125" i="1"/>
  <c r="H1135" i="1"/>
  <c r="H1118" i="1"/>
  <c r="H1111" i="1"/>
  <c r="H1134" i="1"/>
  <c r="H1117" i="1"/>
  <c r="H1110" i="1"/>
  <c r="H1124" i="1"/>
  <c r="H1121" i="1"/>
  <c r="H1140" i="1"/>
  <c r="H1131" i="1"/>
  <c r="H1114" i="1"/>
  <c r="H1133" i="1"/>
  <c r="H1123" i="1"/>
  <c r="H1142" i="1"/>
  <c r="H1116" i="1"/>
  <c r="H1122" i="1"/>
  <c r="H1141" i="1"/>
  <c r="H1132" i="1"/>
  <c r="H1115" i="1"/>
  <c r="H1129" i="1"/>
  <c r="H1112" i="1"/>
  <c r="H1119" i="1"/>
  <c r="H1138" i="1"/>
  <c r="H37" i="1"/>
  <c r="H12" i="1"/>
  <c r="H2" i="1"/>
  <c r="H30" i="1"/>
  <c r="H9" i="1"/>
  <c r="H22" i="1"/>
  <c r="H18" i="1"/>
  <c r="H4" i="1"/>
  <c r="H31" i="1"/>
  <c r="H35" i="1"/>
  <c r="H28" i="1"/>
  <c r="H38" i="1"/>
  <c r="H17" i="1"/>
  <c r="H3" i="1"/>
  <c r="H29" i="1"/>
  <c r="H36" i="1"/>
  <c r="H10" i="1"/>
  <c r="H23" i="1"/>
  <c r="H49" i="1"/>
  <c r="H60" i="1"/>
  <c r="H42" i="1"/>
  <c r="H70" i="1"/>
  <c r="H104" i="1"/>
  <c r="H111" i="1"/>
  <c r="H90" i="1"/>
  <c r="H80" i="1"/>
  <c r="H88" i="1"/>
  <c r="H78" i="1"/>
  <c r="H81" i="1"/>
  <c r="H91" i="1"/>
  <c r="H82" i="1"/>
  <c r="H92" i="1"/>
  <c r="H89" i="1"/>
  <c r="H79" i="1"/>
  <c r="H148" i="1"/>
  <c r="H149" i="1"/>
  <c r="H141" i="1"/>
  <c r="H131" i="1"/>
  <c r="H120" i="1"/>
  <c r="H127" i="1"/>
  <c r="H115" i="1"/>
  <c r="H116" i="1"/>
  <c r="H123" i="1"/>
  <c r="H122" i="1"/>
  <c r="H142" i="1"/>
  <c r="H132" i="1"/>
  <c r="H118" i="1"/>
  <c r="H125" i="1"/>
  <c r="H134" i="1"/>
  <c r="H144" i="1"/>
  <c r="H174" i="1"/>
  <c r="H183" i="1"/>
  <c r="H173" i="1"/>
  <c r="H182" i="1"/>
  <c r="H165" i="1"/>
  <c r="H155" i="1"/>
  <c r="H152" i="1"/>
  <c r="H170" i="1"/>
  <c r="H180" i="1"/>
  <c r="H162" i="1"/>
  <c r="H166" i="1"/>
  <c r="H156" i="1"/>
  <c r="H172" i="1"/>
  <c r="H153" i="1"/>
  <c r="H176" i="1"/>
  <c r="H163" i="1"/>
  <c r="H157" i="1"/>
  <c r="H167" i="1"/>
  <c r="H197" i="1"/>
  <c r="H206" i="1"/>
  <c r="H253" i="1"/>
  <c r="H263" i="1"/>
  <c r="H241" i="1"/>
  <c r="H232" i="1"/>
  <c r="H261" i="1"/>
  <c r="H251" i="1"/>
  <c r="H230" i="1"/>
  <c r="H231" i="1"/>
  <c r="H240" i="1"/>
  <c r="H239" i="1"/>
  <c r="H264" i="1"/>
  <c r="H254" i="1"/>
  <c r="H233" i="1"/>
  <c r="H242" i="1"/>
  <c r="H247" i="1"/>
  <c r="H238" i="1"/>
  <c r="H262" i="1"/>
  <c r="H252" i="1"/>
  <c r="H236" i="1"/>
  <c r="H265" i="1"/>
  <c r="H255" i="1"/>
  <c r="H245" i="1"/>
  <c r="H304" i="1"/>
  <c r="H297" i="1"/>
  <c r="H318" i="1"/>
  <c r="H312" i="1"/>
  <c r="H323" i="1"/>
  <c r="H328" i="1"/>
  <c r="H310" i="1"/>
  <c r="H316" i="1"/>
  <c r="H330" i="1"/>
  <c r="H325" i="1"/>
  <c r="H311" i="1"/>
  <c r="H317" i="1"/>
  <c r="H333" i="1"/>
  <c r="H332" i="1"/>
  <c r="H319" i="1"/>
  <c r="H326" i="1"/>
  <c r="H331" i="1"/>
  <c r="H313" i="1"/>
  <c r="H329" i="1"/>
  <c r="H324" i="1"/>
  <c r="H322" i="1"/>
  <c r="H327" i="1"/>
  <c r="H315" i="1"/>
  <c r="H321" i="1"/>
  <c r="H366" i="1"/>
  <c r="H358" i="1"/>
  <c r="H399" i="1"/>
  <c r="H408" i="1"/>
  <c r="H404" i="1"/>
  <c r="H395" i="1"/>
  <c r="H389" i="1"/>
  <c r="H379" i="1"/>
  <c r="H398" i="1"/>
  <c r="H407" i="1"/>
  <c r="H388" i="1"/>
  <c r="H378" i="1"/>
  <c r="H401" i="1"/>
  <c r="H410" i="1"/>
  <c r="H412" i="1"/>
  <c r="H413" i="1"/>
  <c r="H380" i="1"/>
  <c r="H390" i="1"/>
  <c r="H386" i="1"/>
  <c r="H376" i="1"/>
  <c r="H384" i="1"/>
  <c r="H383" i="1"/>
  <c r="H374" i="1"/>
  <c r="H393" i="1"/>
  <c r="H391" i="1"/>
  <c r="H381" i="1"/>
  <c r="H394" i="1"/>
  <c r="H400" i="1"/>
  <c r="H409" i="1"/>
  <c r="H403" i="1"/>
  <c r="H406" i="1"/>
  <c r="H397" i="1"/>
  <c r="H377" i="1"/>
  <c r="H387" i="1"/>
  <c r="H375" i="1"/>
  <c r="H396" i="1"/>
  <c r="H405" i="1"/>
  <c r="H385" i="1"/>
  <c r="H382" i="1"/>
  <c r="H392" i="1"/>
  <c r="H441" i="1"/>
  <c r="H449" i="1"/>
  <c r="H481" i="1"/>
  <c r="H490" i="1"/>
  <c r="H488" i="1"/>
  <c r="H479" i="1"/>
  <c r="H489" i="1"/>
  <c r="H480" i="1"/>
  <c r="H463" i="1"/>
  <c r="H473" i="1"/>
  <c r="H493" i="1"/>
  <c r="H492" i="1"/>
  <c r="H472" i="1"/>
  <c r="H462" i="1"/>
  <c r="H483" i="1"/>
  <c r="H474" i="1"/>
  <c r="H465" i="1"/>
  <c r="H455" i="1"/>
  <c r="H486" i="1"/>
  <c r="H477" i="1"/>
  <c r="H482" i="1"/>
  <c r="H470" i="1"/>
  <c r="H460" i="1"/>
  <c r="H491" i="1"/>
  <c r="H459" i="1"/>
  <c r="H469" i="1"/>
  <c r="H475" i="1"/>
  <c r="H456" i="1"/>
  <c r="H484" i="1"/>
  <c r="H466" i="1"/>
  <c r="H471" i="1"/>
  <c r="H461" i="1"/>
  <c r="H478" i="1"/>
  <c r="H487" i="1"/>
  <c r="H485" i="1"/>
  <c r="H467" i="1"/>
  <c r="H457" i="1"/>
  <c r="H476" i="1"/>
  <c r="H464" i="1"/>
  <c r="H454" i="1"/>
  <c r="H503" i="1"/>
  <c r="H494" i="1"/>
  <c r="H555" i="1"/>
  <c r="H541" i="1"/>
  <c r="H549" i="1"/>
  <c r="H535" i="1"/>
  <c r="H559" i="1"/>
  <c r="H568" i="1"/>
  <c r="H567" i="1"/>
  <c r="H558" i="1"/>
  <c r="H554" i="1"/>
  <c r="H540" i="1"/>
  <c r="H552" i="1"/>
  <c r="H538" i="1"/>
  <c r="H562" i="1"/>
  <c r="H571" i="1"/>
  <c r="H532" i="1"/>
  <c r="H576" i="1"/>
  <c r="H546" i="1"/>
  <c r="H544" i="1"/>
  <c r="H530" i="1"/>
  <c r="H575" i="1"/>
  <c r="H566" i="1"/>
  <c r="H557" i="1"/>
  <c r="H543" i="1"/>
  <c r="H564" i="1"/>
  <c r="H537" i="1"/>
  <c r="H551" i="1"/>
  <c r="H573" i="1"/>
  <c r="H547" i="1"/>
  <c r="H533" i="1"/>
  <c r="H569" i="1"/>
  <c r="H560" i="1"/>
  <c r="H545" i="1"/>
  <c r="H531" i="1"/>
  <c r="H539" i="1"/>
  <c r="H553" i="1"/>
  <c r="H572" i="1"/>
  <c r="H550" i="1"/>
  <c r="H563" i="1"/>
  <c r="H536" i="1"/>
  <c r="H570" i="1"/>
  <c r="H561" i="1"/>
  <c r="H534" i="1"/>
  <c r="H548" i="1"/>
  <c r="H542" i="1"/>
  <c r="H556" i="1"/>
  <c r="H622" i="1"/>
  <c r="H611" i="1"/>
  <c r="H652" i="1"/>
  <c r="H651" i="1"/>
  <c r="H664" i="1"/>
  <c r="H662" i="1"/>
  <c r="H669" i="1"/>
  <c r="H670" i="1"/>
  <c r="H635" i="1"/>
  <c r="H624" i="1"/>
  <c r="H671" i="1"/>
  <c r="H663" i="1"/>
  <c r="H638" i="1"/>
  <c r="H627" i="1"/>
  <c r="H630" i="1"/>
  <c r="H641" i="1"/>
  <c r="H666" i="1"/>
  <c r="H654" i="1"/>
  <c r="H672" i="1"/>
  <c r="H649" i="1"/>
  <c r="H660" i="1"/>
  <c r="H629" i="1"/>
  <c r="H640" i="1"/>
  <c r="H646" i="1"/>
  <c r="H657" i="1"/>
  <c r="H647" i="1"/>
  <c r="H658" i="1"/>
  <c r="H625" i="1"/>
  <c r="H636" i="1"/>
  <c r="H644" i="1"/>
  <c r="H655" i="1"/>
  <c r="H667" i="1"/>
  <c r="H633" i="1"/>
  <c r="H650" i="1"/>
  <c r="H639" i="1"/>
  <c r="H628" i="1"/>
  <c r="H661" i="1"/>
  <c r="H637" i="1"/>
  <c r="H659" i="1"/>
  <c r="H626" i="1"/>
  <c r="H648" i="1"/>
  <c r="H634" i="1"/>
  <c r="H645" i="1"/>
  <c r="H668" i="1"/>
  <c r="H656" i="1"/>
  <c r="H665" i="1"/>
  <c r="H631" i="1"/>
  <c r="H653" i="1"/>
  <c r="H642" i="1"/>
  <c r="H706" i="1"/>
  <c r="H718" i="1"/>
  <c r="H742" i="1"/>
  <c r="H730" i="1"/>
  <c r="H729" i="1"/>
  <c r="H741" i="1"/>
  <c r="H758" i="1"/>
  <c r="H747" i="1"/>
  <c r="H733" i="1"/>
  <c r="H768" i="1"/>
  <c r="H744" i="1"/>
  <c r="H732" i="1"/>
  <c r="H736" i="1"/>
  <c r="H727" i="1"/>
  <c r="H724" i="1"/>
  <c r="H739" i="1"/>
  <c r="H745" i="1"/>
  <c r="H752" i="1"/>
  <c r="H763" i="1"/>
  <c r="H766" i="1"/>
  <c r="H767" i="1"/>
  <c r="H756" i="1"/>
  <c r="H755" i="1"/>
  <c r="H740" i="1"/>
  <c r="H728" i="1"/>
  <c r="H762" i="1"/>
  <c r="H753" i="1"/>
  <c r="H751" i="1"/>
  <c r="H764" i="1"/>
  <c r="H748" i="1"/>
  <c r="H759" i="1"/>
  <c r="H737" i="1"/>
  <c r="H725" i="1"/>
  <c r="H743" i="1"/>
  <c r="H731" i="1"/>
  <c r="H734" i="1"/>
  <c r="H722" i="1"/>
  <c r="H738" i="1"/>
  <c r="H726" i="1"/>
  <c r="H760" i="1"/>
  <c r="H749" i="1"/>
  <c r="H723" i="1"/>
  <c r="H757" i="1"/>
  <c r="H746" i="1"/>
  <c r="H735" i="1"/>
  <c r="H765" i="1"/>
  <c r="H754" i="1"/>
  <c r="H780" i="1"/>
  <c r="H793" i="1"/>
  <c r="H801" i="1"/>
  <c r="H787" i="1"/>
  <c r="H775" i="1"/>
  <c r="H788" i="1"/>
  <c r="H798" i="1"/>
  <c r="H810" i="1"/>
  <c r="H804" i="1"/>
  <c r="H815" i="1"/>
  <c r="H777" i="1"/>
  <c r="H806" i="1"/>
  <c r="H790" i="1"/>
  <c r="H817" i="1"/>
  <c r="H783" i="1"/>
  <c r="H796" i="1"/>
  <c r="H771" i="1"/>
  <c r="H772" i="1"/>
  <c r="H784" i="1"/>
  <c r="H797" i="1"/>
  <c r="H809" i="1"/>
  <c r="H791" i="1"/>
  <c r="H778" i="1"/>
  <c r="H805" i="1"/>
  <c r="H816" i="1"/>
  <c r="H807" i="1"/>
  <c r="H794" i="1"/>
  <c r="H769" i="1"/>
  <c r="H781" i="1"/>
  <c r="H811" i="1"/>
  <c r="H799" i="1"/>
  <c r="H773" i="1"/>
  <c r="H785" i="1"/>
  <c r="H792" i="1"/>
  <c r="H779" i="1"/>
  <c r="H800" i="1"/>
  <c r="H812" i="1"/>
  <c r="H786" i="1"/>
  <c r="H774" i="1"/>
  <c r="H770" i="1"/>
  <c r="H782" i="1"/>
  <c r="H808" i="1"/>
  <c r="H795" i="1"/>
  <c r="H776" i="1"/>
  <c r="H803" i="1"/>
  <c r="H789" i="1"/>
  <c r="H814" i="1"/>
  <c r="H818" i="1"/>
  <c r="H830" i="1"/>
  <c r="H888" i="1"/>
  <c r="H877" i="1"/>
  <c r="H912" i="1"/>
  <c r="H913" i="1"/>
  <c r="H889" i="1"/>
  <c r="H900" i="1"/>
  <c r="H872" i="1"/>
  <c r="H883" i="1"/>
  <c r="H874" i="1"/>
  <c r="H885" i="1"/>
  <c r="H878" i="1"/>
  <c r="H880" i="1"/>
  <c r="H869" i="1"/>
  <c r="H867" i="1"/>
  <c r="H905" i="1"/>
  <c r="H911" i="1"/>
  <c r="H894" i="1"/>
  <c r="H910" i="1"/>
  <c r="H908" i="1"/>
  <c r="H897" i="1"/>
  <c r="H899" i="1"/>
  <c r="H898" i="1"/>
  <c r="H909" i="1"/>
  <c r="H879" i="1"/>
  <c r="H901" i="1"/>
  <c r="H868" i="1"/>
  <c r="H890" i="1"/>
  <c r="H870" i="1"/>
  <c r="H881" i="1"/>
  <c r="H892" i="1"/>
  <c r="H903" i="1"/>
  <c r="H886" i="1"/>
  <c r="H875" i="1"/>
  <c r="H895" i="1"/>
  <c r="H906" i="1"/>
  <c r="H882" i="1"/>
  <c r="H893" i="1"/>
  <c r="H871" i="1"/>
  <c r="H904" i="1"/>
  <c r="H873" i="1"/>
  <c r="H884" i="1"/>
  <c r="H907" i="1"/>
  <c r="H896" i="1"/>
  <c r="H876" i="1"/>
  <c r="H887" i="1"/>
  <c r="H951" i="1"/>
  <c r="H938" i="1"/>
  <c r="H976" i="1"/>
  <c r="H964" i="1"/>
  <c r="H969" i="1"/>
  <c r="H981" i="1"/>
  <c r="H971" i="1"/>
  <c r="H983" i="1"/>
  <c r="H998" i="1"/>
  <c r="H984" i="1"/>
  <c r="H995" i="1"/>
  <c r="H1006" i="1"/>
  <c r="H990" i="1"/>
  <c r="H1001" i="1"/>
  <c r="H973" i="1"/>
  <c r="H961" i="1"/>
  <c r="H996" i="1"/>
  <c r="H985" i="1"/>
  <c r="H980" i="1"/>
  <c r="H968" i="1"/>
  <c r="H970" i="1"/>
  <c r="H982" i="1"/>
  <c r="H992" i="1"/>
  <c r="H1003" i="1"/>
  <c r="H1072" i="1"/>
  <c r="H1059" i="1"/>
  <c r="H1108" i="1"/>
  <c r="H1096" i="1"/>
  <c r="H1082" i="1"/>
  <c r="H1069" i="1"/>
  <c r="H1076" i="1"/>
  <c r="H1063" i="1"/>
  <c r="H1089" i="1"/>
  <c r="H1102" i="1"/>
  <c r="H1064" i="1"/>
  <c r="H1077" i="1"/>
  <c r="H1090" i="1"/>
  <c r="H1066" i="1"/>
  <c r="H1104" i="1"/>
  <c r="H1079" i="1"/>
  <c r="H1092" i="1"/>
  <c r="H1085" i="1"/>
  <c r="H1098" i="1"/>
  <c r="H1067" i="1"/>
  <c r="H1080" i="1"/>
  <c r="H1093" i="1"/>
  <c r="H1105" i="1"/>
  <c r="H1073" i="1"/>
  <c r="H1060" i="1"/>
  <c r="H1086" i="1"/>
  <c r="H1099" i="1"/>
  <c r="H1109" i="1"/>
  <c r="H1070" i="1"/>
  <c r="H1097" i="1"/>
  <c r="H1083" i="1"/>
  <c r="H1075" i="1"/>
  <c r="H1088" i="1"/>
  <c r="H1062" i="1"/>
  <c r="H1101" i="1"/>
  <c r="H1084" i="1"/>
  <c r="H1071" i="1"/>
  <c r="H1100" i="1"/>
  <c r="H1074" i="1"/>
  <c r="H1061" i="1"/>
  <c r="H1087" i="1"/>
  <c r="H1091" i="1"/>
  <c r="H1065" i="1"/>
  <c r="H1103" i="1"/>
  <c r="H1078" i="1"/>
  <c r="H1068" i="1"/>
  <c r="H1107" i="1"/>
  <c r="H1095" i="1"/>
  <c r="H1081" i="1"/>
  <c r="H1174" i="1"/>
  <c r="H1164" i="1"/>
  <c r="H1149" i="1"/>
  <c r="H1168" i="1"/>
  <c r="H1158" i="1"/>
  <c r="H1177" i="1"/>
  <c r="H1176" i="1"/>
  <c r="H1148" i="1"/>
  <c r="H1166" i="1"/>
  <c r="H1156" i="1"/>
  <c r="H1167" i="1"/>
  <c r="H1157" i="1"/>
  <c r="H1152" i="1"/>
  <c r="H1145" i="1"/>
  <c r="H1161" i="1"/>
  <c r="H1171" i="1"/>
  <c r="H1169" i="1"/>
  <c r="H1159" i="1"/>
  <c r="H1150" i="1"/>
  <c r="H1143" i="1"/>
  <c r="H1153" i="1"/>
  <c r="H1162" i="1"/>
  <c r="H1178" i="1"/>
  <c r="H1172" i="1"/>
  <c r="H1146" i="1"/>
  <c r="H1154" i="1"/>
  <c r="H1163" i="1"/>
  <c r="H1173" i="1"/>
  <c r="H1151" i="1"/>
  <c r="H1170" i="1"/>
  <c r="H1160" i="1"/>
  <c r="H1144" i="1"/>
  <c r="H1175" i="1"/>
  <c r="H1155" i="1"/>
  <c r="H1165" i="1"/>
  <c r="H1147" i="1"/>
  <c r="A2" i="1" l="1"/>
  <c r="M892" i="1" l="1"/>
  <c r="M903" i="1"/>
  <c r="M870" i="1"/>
  <c r="M881" i="1"/>
  <c r="M962" i="1" l="1"/>
  <c r="M966" i="1"/>
  <c r="M978" i="1"/>
  <c r="M974" i="1"/>
  <c r="M871" i="1"/>
  <c r="M882" i="1"/>
  <c r="M893" i="1"/>
  <c r="M904" i="1"/>
  <c r="M239" i="1"/>
  <c r="M231" i="1"/>
  <c r="M240" i="1"/>
  <c r="M230" i="1"/>
  <c r="M770" i="1"/>
  <c r="M782" i="1"/>
  <c r="M795" i="1"/>
  <c r="M808" i="1"/>
  <c r="M621" i="1"/>
  <c r="M610" i="1"/>
  <c r="M182" i="1"/>
  <c r="M173" i="1"/>
  <c r="M57" i="1"/>
  <c r="M67" i="1"/>
  <c r="M72" i="1"/>
  <c r="M62" i="1"/>
  <c r="M69" i="1"/>
  <c r="M59" i="1"/>
  <c r="M383" i="1"/>
  <c r="M374" i="1"/>
  <c r="M384" i="1"/>
  <c r="M393" i="1"/>
  <c r="M565" i="1"/>
  <c r="M574" i="1"/>
  <c r="M729" i="1"/>
  <c r="M741" i="1"/>
  <c r="M66" i="1"/>
  <c r="M56" i="1"/>
  <c r="M633" i="1"/>
  <c r="M644" i="1"/>
  <c r="M667" i="1"/>
  <c r="M655" i="1"/>
  <c r="M208" i="1"/>
  <c r="M199" i="1"/>
  <c r="M190" i="1"/>
  <c r="M218" i="1"/>
  <c r="M332" i="1"/>
  <c r="M333" i="1"/>
  <c r="M427" i="1"/>
  <c r="M416" i="1"/>
  <c r="M1118" i="1"/>
  <c r="M1111" i="1"/>
  <c r="M1125" i="1"/>
  <c r="M1135" i="1"/>
  <c r="M948" i="1"/>
  <c r="M960" i="1"/>
  <c r="M245" i="1"/>
  <c r="M236" i="1"/>
  <c r="M265" i="1"/>
  <c r="M255" i="1"/>
  <c r="M1165" i="1"/>
  <c r="M1175" i="1"/>
  <c r="M1147" i="1"/>
  <c r="M1155" i="1"/>
  <c r="M22" i="1"/>
  <c r="M9" i="1"/>
  <c r="M708" i="1"/>
  <c r="M696" i="1"/>
  <c r="M349" i="1"/>
  <c r="M339" i="1"/>
  <c r="M160" i="1"/>
  <c r="M150" i="1"/>
  <c r="M328" i="1"/>
  <c r="M323" i="1"/>
  <c r="M765" i="1"/>
  <c r="M754" i="1"/>
  <c r="M410" i="1"/>
  <c r="M401" i="1"/>
  <c r="M823" i="1"/>
  <c r="M860" i="1"/>
  <c r="M848" i="1"/>
  <c r="M835" i="1"/>
  <c r="M1020" i="1"/>
  <c r="M1033" i="1"/>
  <c r="M1045" i="1"/>
  <c r="M1057" i="1"/>
  <c r="M212" i="1"/>
  <c r="M222" i="1"/>
  <c r="M784" i="1"/>
  <c r="M772" i="1"/>
  <c r="M80" i="1"/>
  <c r="M90" i="1"/>
  <c r="M614" i="1"/>
  <c r="M603" i="1"/>
  <c r="M1081" i="1"/>
  <c r="M1095" i="1"/>
  <c r="M1107" i="1"/>
  <c r="M1068" i="1"/>
  <c r="M906" i="1"/>
  <c r="M895" i="1"/>
  <c r="M1133" i="1"/>
  <c r="M1142" i="1"/>
  <c r="M1123" i="1"/>
  <c r="M1116" i="1"/>
  <c r="M285" i="1"/>
  <c r="M273" i="1"/>
  <c r="M104" i="1"/>
  <c r="M111" i="1"/>
  <c r="M517" i="1"/>
  <c r="M498" i="1"/>
  <c r="M507" i="1"/>
  <c r="M525" i="1"/>
  <c r="M459" i="1"/>
  <c r="M469" i="1"/>
  <c r="M986" i="1"/>
  <c r="M988" i="1"/>
  <c r="M997" i="1"/>
  <c r="M999" i="1"/>
  <c r="M566" i="1"/>
  <c r="M575" i="1"/>
  <c r="M441" i="1"/>
  <c r="M449" i="1"/>
  <c r="M178" i="1"/>
  <c r="M186" i="1"/>
  <c r="M251" i="1"/>
  <c r="M261" i="1"/>
  <c r="M1181" i="1"/>
  <c r="M1190" i="1"/>
  <c r="M969" i="1"/>
  <c r="M981" i="1"/>
  <c r="M1002" i="1"/>
  <c r="M991" i="1"/>
  <c r="M839" i="1"/>
  <c r="M826" i="1"/>
  <c r="M1001" i="1"/>
  <c r="M990" i="1"/>
  <c r="M1041" i="1"/>
  <c r="M1053" i="1"/>
  <c r="M511" i="1"/>
  <c r="M502" i="1"/>
  <c r="M1016" i="1"/>
  <c r="M1029" i="1"/>
  <c r="M932" i="1"/>
  <c r="M920" i="1"/>
  <c r="M691" i="1"/>
  <c r="M680" i="1"/>
  <c r="M362" i="1"/>
  <c r="M367" i="1"/>
  <c r="M359" i="1"/>
  <c r="M354" i="1"/>
  <c r="M737" i="1"/>
  <c r="M748" i="1"/>
  <c r="M759" i="1"/>
  <c r="M725" i="1"/>
  <c r="M1170" i="1"/>
  <c r="M1144" i="1"/>
  <c r="M1151" i="1"/>
  <c r="M1160" i="1"/>
  <c r="M899" i="1"/>
  <c r="M897" i="1"/>
  <c r="M910" i="1"/>
  <c r="M908" i="1"/>
  <c r="M760" i="1"/>
  <c r="M726" i="1"/>
  <c r="M749" i="1"/>
  <c r="M738" i="1"/>
  <c r="M93" i="1"/>
  <c r="M86" i="1"/>
  <c r="M96" i="1"/>
  <c r="M83" i="1"/>
  <c r="M119" i="1"/>
  <c r="M126" i="1"/>
  <c r="M884" i="1"/>
  <c r="M907" i="1"/>
  <c r="M873" i="1"/>
  <c r="M896" i="1"/>
  <c r="M105" i="1"/>
  <c r="M103" i="1"/>
  <c r="M98" i="1"/>
  <c r="M110" i="1"/>
  <c r="M549" i="1"/>
  <c r="M541" i="1"/>
  <c r="M535" i="1"/>
  <c r="M555" i="1"/>
  <c r="M787" i="1"/>
  <c r="M801" i="1"/>
  <c r="M1101" i="1"/>
  <c r="M1062" i="1"/>
  <c r="M1088" i="1"/>
  <c r="M1075" i="1"/>
  <c r="M183" i="1"/>
  <c r="M174" i="1"/>
  <c r="M253" i="1"/>
  <c r="M263" i="1"/>
  <c r="M722" i="1"/>
  <c r="M734" i="1"/>
  <c r="M242" i="1"/>
  <c r="M233" i="1"/>
  <c r="M279" i="1"/>
  <c r="M291" i="1"/>
  <c r="M961" i="1"/>
  <c r="M973" i="1"/>
  <c r="M985" i="1"/>
  <c r="M996" i="1"/>
  <c r="M369" i="1"/>
  <c r="M334" i="1"/>
  <c r="M361" i="1"/>
  <c r="M344" i="1"/>
  <c r="M444" i="1"/>
  <c r="M436" i="1"/>
  <c r="M453" i="1"/>
  <c r="M452" i="1"/>
  <c r="M758" i="1"/>
  <c r="M747" i="1"/>
  <c r="M1070" i="1"/>
  <c r="M1083" i="1"/>
  <c r="M1109" i="1"/>
  <c r="M1097" i="1"/>
  <c r="M464" i="1"/>
  <c r="M454" i="1"/>
  <c r="M965" i="1"/>
  <c r="M977" i="1"/>
  <c r="M61" i="1"/>
  <c r="M71" i="1"/>
  <c r="M175" i="1"/>
  <c r="M184" i="1"/>
  <c r="M262" i="1"/>
  <c r="M252" i="1"/>
  <c r="M506" i="1"/>
  <c r="M497" i="1"/>
  <c r="M107" i="1"/>
  <c r="M84" i="1"/>
  <c r="M100" i="1"/>
  <c r="M94" i="1"/>
  <c r="M1082" i="1"/>
  <c r="M1069" i="1"/>
  <c r="M1028" i="1"/>
  <c r="M1015" i="1"/>
  <c r="M1098" i="1"/>
  <c r="M1085" i="1"/>
  <c r="M85" i="1"/>
  <c r="M95" i="1"/>
  <c r="M612" i="1"/>
  <c r="M601" i="1"/>
  <c r="M589" i="1"/>
  <c r="M577" i="1"/>
  <c r="M1003" i="1"/>
  <c r="M970" i="1"/>
  <c r="M982" i="1"/>
  <c r="M992" i="1"/>
  <c r="M846" i="1"/>
  <c r="M858" i="1"/>
  <c r="M918" i="1"/>
  <c r="M942" i="1"/>
  <c r="M930" i="1"/>
  <c r="M955" i="1"/>
  <c r="M308" i="1"/>
  <c r="M283" i="1"/>
  <c r="M309" i="1"/>
  <c r="M271" i="1"/>
  <c r="M744" i="1"/>
  <c r="M732" i="1"/>
  <c r="M446" i="1"/>
  <c r="M438" i="1"/>
  <c r="M537" i="1"/>
  <c r="M573" i="1"/>
  <c r="M564" i="1"/>
  <c r="M551" i="1"/>
  <c r="M78" i="1"/>
  <c r="M88" i="1"/>
  <c r="M788" i="1"/>
  <c r="M775" i="1"/>
  <c r="M434" i="1"/>
  <c r="M423" i="1"/>
  <c r="M602" i="1"/>
  <c r="M613" i="1"/>
  <c r="M194" i="1"/>
  <c r="M203" i="1"/>
  <c r="M648" i="1"/>
  <c r="M626" i="1"/>
  <c r="M637" i="1"/>
  <c r="M659" i="1"/>
  <c r="M25" i="1"/>
  <c r="M40" i="1"/>
  <c r="M39" i="1"/>
  <c r="M32" i="1"/>
  <c r="M397" i="1"/>
  <c r="M406" i="1"/>
  <c r="M949" i="1"/>
  <c r="M924" i="1"/>
  <c r="M936" i="1"/>
  <c r="M185" i="1"/>
  <c r="M161" i="1"/>
  <c r="M177" i="1"/>
  <c r="M151" i="1"/>
  <c r="M774" i="1"/>
  <c r="M812" i="1"/>
  <c r="M786" i="1"/>
  <c r="M800" i="1"/>
  <c r="M1114" i="1"/>
  <c r="M1121" i="1"/>
  <c r="M1140" i="1"/>
  <c r="M1131" i="1"/>
  <c r="M413" i="1"/>
  <c r="M412" i="1"/>
  <c r="M421" i="1"/>
  <c r="M432" i="1"/>
  <c r="M1073" i="1"/>
  <c r="M1060" i="1"/>
  <c r="M1099" i="1"/>
  <c r="M1086" i="1"/>
  <c r="M458" i="1"/>
  <c r="M468" i="1"/>
  <c r="M1067" i="1"/>
  <c r="M1080" i="1"/>
  <c r="M909" i="1"/>
  <c r="M898" i="1"/>
  <c r="M135" i="1"/>
  <c r="M133" i="1"/>
  <c r="M143" i="1"/>
  <c r="M145" i="1"/>
  <c r="M619" i="1"/>
  <c r="M608" i="1"/>
  <c r="M797" i="1"/>
  <c r="M809" i="1"/>
  <c r="M609" i="1"/>
  <c r="M620" i="1"/>
  <c r="M63" i="1"/>
  <c r="M73" i="1"/>
  <c r="M58" i="1"/>
  <c r="M68" i="1"/>
  <c r="M623" i="1"/>
  <c r="M588" i="1"/>
  <c r="M600" i="1"/>
  <c r="M559" i="1"/>
  <c r="M568" i="1"/>
  <c r="M629" i="1"/>
  <c r="M640" i="1"/>
  <c r="M205" i="1"/>
  <c r="M196" i="1"/>
  <c r="M1129" i="1"/>
  <c r="M1138" i="1"/>
  <c r="M1119" i="1"/>
  <c r="M1112" i="1"/>
  <c r="M885" i="1"/>
  <c r="M874" i="1"/>
  <c r="M125" i="1"/>
  <c r="M118" i="1"/>
  <c r="M935" i="1"/>
  <c r="M923" i="1"/>
  <c r="M954" i="1"/>
  <c r="M941" i="1"/>
  <c r="M27" i="1"/>
  <c r="M34" i="1"/>
  <c r="M299" i="1"/>
  <c r="M292" i="1"/>
  <c r="M306" i="1"/>
  <c r="M280" i="1"/>
  <c r="M711" i="1"/>
  <c r="M699" i="1"/>
  <c r="M687" i="1"/>
  <c r="M676" i="1"/>
  <c r="M852" i="1"/>
  <c r="M827" i="1"/>
  <c r="M863" i="1"/>
  <c r="M840" i="1"/>
  <c r="M878" i="1"/>
  <c r="M867" i="1"/>
  <c r="M869" i="1"/>
  <c r="M880" i="1"/>
  <c r="M1093" i="1"/>
  <c r="M1105" i="1"/>
  <c r="M288" i="1"/>
  <c r="M276" i="1"/>
  <c r="M204" i="1"/>
  <c r="M195" i="1"/>
  <c r="M1066" i="1"/>
  <c r="M1079" i="1"/>
  <c r="M1104" i="1"/>
  <c r="M1092" i="1"/>
  <c r="M841" i="1"/>
  <c r="M828" i="1"/>
  <c r="M302" i="1"/>
  <c r="M295" i="1"/>
  <c r="M41" i="1"/>
  <c r="M8" i="1"/>
  <c r="M188" i="1"/>
  <c r="M189" i="1"/>
  <c r="M193" i="1"/>
  <c r="M202" i="1"/>
  <c r="M995" i="1"/>
  <c r="M1006" i="1"/>
  <c r="M984" i="1"/>
  <c r="M132" i="1"/>
  <c r="M142" i="1"/>
  <c r="M74" i="1"/>
  <c r="M64" i="1"/>
  <c r="M545" i="1"/>
  <c r="M531" i="1"/>
  <c r="M950" i="1"/>
  <c r="M925" i="1"/>
  <c r="M937" i="1"/>
  <c r="M854" i="1"/>
  <c r="M829" i="1"/>
  <c r="M842" i="1"/>
  <c r="M865" i="1"/>
  <c r="M875" i="1"/>
  <c r="M886" i="1"/>
  <c r="M284" i="1"/>
  <c r="M272" i="1"/>
  <c r="M543" i="1"/>
  <c r="M557" i="1"/>
  <c r="M201" i="1"/>
  <c r="M220" i="1"/>
  <c r="M210" i="1"/>
  <c r="M192" i="1"/>
  <c r="M114" i="1"/>
  <c r="M121" i="1"/>
  <c r="M424" i="1"/>
  <c r="M443" i="1"/>
  <c r="M435" i="1"/>
  <c r="M451" i="1"/>
  <c r="M521" i="1"/>
  <c r="M513" i="1"/>
  <c r="M465" i="1"/>
  <c r="M477" i="1"/>
  <c r="M455" i="1"/>
  <c r="M486" i="1"/>
  <c r="M166" i="1"/>
  <c r="M156" i="1"/>
  <c r="M586" i="1"/>
  <c r="M598" i="1"/>
  <c r="M718" i="1"/>
  <c r="M706" i="1"/>
  <c r="M796" i="1"/>
  <c r="M783" i="1"/>
  <c r="M771" i="1"/>
  <c r="M52" i="1"/>
  <c r="M45" i="1"/>
  <c r="M1048" i="1"/>
  <c r="M1036" i="1"/>
  <c r="M1010" i="1"/>
  <c r="M1023" i="1"/>
  <c r="M1043" i="1"/>
  <c r="M1055" i="1"/>
  <c r="M922" i="1"/>
  <c r="M934" i="1"/>
  <c r="M917" i="1"/>
  <c r="M929" i="1"/>
  <c r="M159" i="1"/>
  <c r="M169" i="1"/>
  <c r="M685" i="1"/>
  <c r="M697" i="1"/>
  <c r="M674" i="1"/>
  <c r="M709" i="1"/>
  <c r="M198" i="1"/>
  <c r="M207" i="1"/>
  <c r="M439" i="1"/>
  <c r="M447" i="1"/>
  <c r="M430" i="1"/>
  <c r="M419" i="1"/>
  <c r="M945" i="1"/>
  <c r="M957" i="1"/>
  <c r="M1106" i="1"/>
  <c r="M1094" i="1"/>
  <c r="M703" i="1"/>
  <c r="M715" i="1"/>
  <c r="M926" i="1"/>
  <c r="M914" i="1"/>
  <c r="M1008" i="1"/>
  <c r="M1021" i="1"/>
  <c r="M764" i="1"/>
  <c r="M753" i="1"/>
  <c r="M762" i="1"/>
  <c r="M751" i="1"/>
  <c r="M450" i="1"/>
  <c r="M442" i="1"/>
  <c r="M317" i="1"/>
  <c r="M311" i="1"/>
  <c r="M1065" i="1"/>
  <c r="M1078" i="1"/>
  <c r="M1103" i="1"/>
  <c r="M1091" i="1"/>
  <c r="M567" i="1"/>
  <c r="M558" i="1"/>
  <c r="M857" i="1"/>
  <c r="M832" i="1"/>
  <c r="M845" i="1"/>
  <c r="M820" i="1"/>
  <c r="M30" i="1"/>
  <c r="M37" i="1"/>
  <c r="M12" i="1"/>
  <c r="M2" i="1"/>
  <c r="M561" i="1"/>
  <c r="M570" i="1"/>
  <c r="M534" i="1"/>
  <c r="M548" i="1"/>
  <c r="M260" i="1"/>
  <c r="M256" i="1"/>
  <c r="M266" i="1"/>
  <c r="M250" i="1"/>
  <c r="M595" i="1"/>
  <c r="M583" i="1"/>
  <c r="M1141" i="1"/>
  <c r="M1122" i="1"/>
  <c r="M1115" i="1"/>
  <c r="M1132" i="1"/>
  <c r="M979" i="1"/>
  <c r="M967" i="1"/>
  <c r="M740" i="1"/>
  <c r="M728" i="1"/>
  <c r="M730" i="1"/>
  <c r="M742" i="1"/>
  <c r="M850" i="1"/>
  <c r="M837" i="1"/>
  <c r="M849" i="1"/>
  <c r="M838" i="1"/>
  <c r="M861" i="1"/>
  <c r="M825" i="1"/>
  <c r="M499" i="1"/>
  <c r="M508" i="1"/>
  <c r="M1163" i="1"/>
  <c r="M1146" i="1"/>
  <c r="M1154" i="1"/>
  <c r="M1173" i="1"/>
  <c r="M943" i="1"/>
  <c r="M919" i="1"/>
  <c r="M931" i="1"/>
  <c r="M877" i="1"/>
  <c r="M888" i="1"/>
  <c r="M1077" i="1"/>
  <c r="M1090" i="1"/>
  <c r="M1064" i="1"/>
  <c r="M129" i="1"/>
  <c r="M139" i="1"/>
  <c r="M259" i="1"/>
  <c r="M244" i="1"/>
  <c r="M235" i="1"/>
  <c r="M249" i="1"/>
  <c r="M16" i="1"/>
  <c r="M15" i="1"/>
  <c r="M28" i="1"/>
  <c r="M31" i="1"/>
  <c r="M35" i="1"/>
  <c r="M38" i="1"/>
  <c r="M258" i="1"/>
  <c r="M248" i="1"/>
  <c r="M494" i="1"/>
  <c r="M503" i="1"/>
  <c r="M532" i="1"/>
  <c r="M576" i="1"/>
  <c r="M546" i="1"/>
  <c r="M363" i="1"/>
  <c r="M336" i="1"/>
  <c r="M355" i="1"/>
  <c r="M346" i="1"/>
  <c r="M1071" i="1"/>
  <c r="M1084" i="1"/>
  <c r="M457" i="1"/>
  <c r="M485" i="1"/>
  <c r="M476" i="1"/>
  <c r="M467" i="1"/>
  <c r="M731" i="1"/>
  <c r="M743" i="1"/>
  <c r="M296" i="1"/>
  <c r="M287" i="1"/>
  <c r="M303" i="1"/>
  <c r="M275" i="1"/>
  <c r="M1137" i="1"/>
  <c r="M1128" i="1"/>
  <c r="M234" i="1"/>
  <c r="M243" i="1"/>
  <c r="M670" i="1"/>
  <c r="M669" i="1"/>
  <c r="M542" i="1"/>
  <c r="M556" i="1"/>
  <c r="M350" i="1"/>
  <c r="M340" i="1"/>
  <c r="M584" i="1"/>
  <c r="M587" i="1"/>
  <c r="M596" i="1"/>
  <c r="M599" i="1"/>
  <c r="M553" i="1"/>
  <c r="M539" i="1"/>
  <c r="M480" i="1"/>
  <c r="M489" i="1"/>
  <c r="M91" i="1"/>
  <c r="M81" i="1"/>
  <c r="M1025" i="1"/>
  <c r="M1012" i="1"/>
  <c r="M1024" i="1"/>
  <c r="M1011" i="1"/>
  <c r="M975" i="1"/>
  <c r="M963" i="1"/>
  <c r="M987" i="1"/>
  <c r="M19" i="1"/>
  <c r="M5" i="1"/>
  <c r="M352" i="1"/>
  <c r="M342" i="1"/>
  <c r="M572" i="1"/>
  <c r="M536" i="1"/>
  <c r="M550" i="1"/>
  <c r="M563" i="1"/>
  <c r="M890" i="1"/>
  <c r="M868" i="1"/>
  <c r="M879" i="1"/>
  <c r="M901" i="1"/>
  <c r="M649" i="1"/>
  <c r="M660" i="1"/>
  <c r="M500" i="1"/>
  <c r="M509" i="1"/>
  <c r="M224" i="1"/>
  <c r="M214" i="1"/>
  <c r="M695" i="1"/>
  <c r="M707" i="1"/>
  <c r="M946" i="1"/>
  <c r="M921" i="1"/>
  <c r="M933" i="1"/>
  <c r="M958" i="1"/>
  <c r="M281" i="1"/>
  <c r="M293" i="1"/>
  <c r="M294" i="1"/>
  <c r="M301" i="1"/>
  <c r="M474" i="1"/>
  <c r="M483" i="1"/>
  <c r="M267" i="1"/>
  <c r="M257" i="1"/>
  <c r="P881" i="1"/>
  <c r="P870" i="1"/>
  <c r="P892" i="1"/>
  <c r="P903" i="1"/>
  <c r="M155" i="1"/>
  <c r="M165" i="1"/>
  <c r="M1018" i="1"/>
  <c r="M1031" i="1"/>
  <c r="M717" i="1"/>
  <c r="M693" i="1"/>
  <c r="M682" i="1"/>
  <c r="M705" i="1"/>
  <c r="M101" i="1"/>
  <c r="M108" i="1"/>
  <c r="M402" i="1"/>
  <c r="M411" i="1"/>
  <c r="M853" i="1"/>
  <c r="M864" i="1"/>
  <c r="M448" i="1"/>
  <c r="M440" i="1"/>
  <c r="M46" i="1"/>
  <c r="M55" i="1"/>
  <c r="M53" i="1"/>
  <c r="M48" i="1"/>
  <c r="M645" i="1"/>
  <c r="M656" i="1"/>
  <c r="M668" i="1"/>
  <c r="M634" i="1"/>
  <c r="M1102" i="1"/>
  <c r="M1089" i="1"/>
  <c r="M618" i="1"/>
  <c r="M607" i="1"/>
  <c r="M1056" i="1"/>
  <c r="M1032" i="1"/>
  <c r="M1044" i="1"/>
  <c r="M1019" i="1"/>
  <c r="M1004" i="1"/>
  <c r="M993" i="1"/>
  <c r="M335" i="1"/>
  <c r="M345" i="1"/>
  <c r="M940" i="1"/>
  <c r="M916" i="1"/>
  <c r="M928" i="1"/>
  <c r="M953" i="1"/>
  <c r="M605" i="1"/>
  <c r="M616" i="1"/>
  <c r="M54" i="1"/>
  <c r="M47" i="1"/>
  <c r="M44" i="1"/>
  <c r="M51" i="1"/>
  <c r="M1174" i="1"/>
  <c r="M1164" i="1"/>
  <c r="M415" i="1"/>
  <c r="M426" i="1"/>
  <c r="M422" i="1"/>
  <c r="M433" i="1"/>
  <c r="M1152" i="1"/>
  <c r="M1161" i="1"/>
  <c r="M1171" i="1"/>
  <c r="M1145" i="1"/>
  <c r="M221" i="1"/>
  <c r="M213" i="1"/>
  <c r="M223" i="1"/>
  <c r="M211" i="1"/>
  <c r="M951" i="1"/>
  <c r="M938" i="1"/>
  <c r="M247" i="1"/>
  <c r="M238" i="1"/>
  <c r="M617" i="1"/>
  <c r="M582" i="1"/>
  <c r="M606" i="1"/>
  <c r="M594" i="1"/>
  <c r="M269" i="1"/>
  <c r="M268" i="1"/>
  <c r="M343" i="1"/>
  <c r="M353" i="1"/>
  <c r="M487" i="1"/>
  <c r="M478" i="1"/>
  <c r="M396" i="1"/>
  <c r="M405" i="1"/>
  <c r="M375" i="1"/>
  <c r="M385" i="1"/>
  <c r="M624" i="1"/>
  <c r="M635" i="1"/>
  <c r="M254" i="1"/>
  <c r="M264" i="1"/>
  <c r="M117" i="1"/>
  <c r="M124" i="1"/>
  <c r="M130" i="1"/>
  <c r="M140" i="1"/>
  <c r="M830" i="1"/>
  <c r="M818" i="1"/>
  <c r="M817" i="1"/>
  <c r="M790" i="1"/>
  <c r="M806" i="1"/>
  <c r="M777" i="1"/>
  <c r="M225" i="1"/>
  <c r="M215" i="1"/>
  <c r="M698" i="1"/>
  <c r="M710" i="1"/>
  <c r="M733" i="1"/>
  <c r="M768" i="1"/>
  <c r="M592" i="1"/>
  <c r="M615" i="1"/>
  <c r="M580" i="1"/>
  <c r="M604" i="1"/>
  <c r="M799" i="1"/>
  <c r="M811" i="1"/>
  <c r="M773" i="1"/>
  <c r="M785" i="1"/>
  <c r="M1063" i="1"/>
  <c r="M1076" i="1"/>
  <c r="M14" i="1"/>
  <c r="M13" i="1"/>
  <c r="M769" i="1"/>
  <c r="M781" i="1"/>
  <c r="M794" i="1"/>
  <c r="M807" i="1"/>
  <c r="M380" i="1"/>
  <c r="M390" i="1"/>
  <c r="M376" i="1"/>
  <c r="M386" i="1"/>
  <c r="M872" i="1"/>
  <c r="M883" i="1"/>
  <c r="M6" i="1"/>
  <c r="M20" i="1"/>
  <c r="M650" i="1"/>
  <c r="M628" i="1"/>
  <c r="M661" i="1"/>
  <c r="M639" i="1"/>
  <c r="M735" i="1"/>
  <c r="M757" i="1"/>
  <c r="M723" i="1"/>
  <c r="M746" i="1"/>
  <c r="M663" i="1"/>
  <c r="M671" i="1"/>
  <c r="M372" i="1"/>
  <c r="M370" i="1"/>
  <c r="M200" i="1"/>
  <c r="M191" i="1"/>
  <c r="M394" i="1"/>
  <c r="M400" i="1"/>
  <c r="M409" i="1"/>
  <c r="M403" i="1"/>
  <c r="M493" i="1"/>
  <c r="M492" i="1"/>
  <c r="M429" i="1"/>
  <c r="M418" i="1"/>
  <c r="M318" i="1"/>
  <c r="M312" i="1"/>
  <c r="M399" i="1"/>
  <c r="M408" i="1"/>
  <c r="M538" i="1"/>
  <c r="M552" i="1"/>
  <c r="M461" i="1"/>
  <c r="M471" i="1"/>
  <c r="M1042" i="1"/>
  <c r="M1054" i="1"/>
  <c r="M1178" i="1"/>
  <c r="M1172" i="1"/>
  <c r="M1162" i="1"/>
  <c r="M1153" i="1"/>
  <c r="M913" i="1"/>
  <c r="M912" i="1"/>
  <c r="M900" i="1"/>
  <c r="M889" i="1"/>
  <c r="M43" i="1"/>
  <c r="M50" i="1"/>
  <c r="M364" i="1"/>
  <c r="M356" i="1"/>
  <c r="M959" i="1"/>
  <c r="M947" i="1"/>
  <c r="M713" i="1"/>
  <c r="M701" i="1"/>
  <c r="M689" i="1"/>
  <c r="M496" i="1"/>
  <c r="M515" i="1"/>
  <c r="M505" i="1"/>
  <c r="M523" i="1"/>
  <c r="M330" i="1"/>
  <c r="M325" i="1"/>
  <c r="M1017" i="1"/>
  <c r="M1030" i="1"/>
  <c r="M1209" i="1"/>
  <c r="M1202" i="1"/>
  <c r="M1185" i="1"/>
  <c r="M1194" i="1"/>
  <c r="M1180" i="1"/>
  <c r="M1189" i="1"/>
  <c r="M1198" i="1"/>
  <c r="M1206" i="1"/>
  <c r="M366" i="1"/>
  <c r="M358" i="1"/>
  <c r="M106" i="1"/>
  <c r="M99" i="1"/>
  <c r="M70" i="1"/>
  <c r="M49" i="1"/>
  <c r="M42" i="1"/>
  <c r="M60" i="1"/>
  <c r="M528" i="1"/>
  <c r="M529" i="1"/>
  <c r="M11" i="1"/>
  <c r="M21" i="1"/>
  <c r="M24" i="1"/>
  <c r="M7" i="1"/>
  <c r="M3" i="1"/>
  <c r="M17" i="1"/>
  <c r="M462" i="1"/>
  <c r="M472" i="1"/>
  <c r="M1007" i="1"/>
  <c r="M972" i="1"/>
  <c r="M82" i="1"/>
  <c r="M92" i="1"/>
  <c r="M241" i="1"/>
  <c r="M232" i="1"/>
  <c r="M398" i="1"/>
  <c r="M407" i="1"/>
  <c r="M290" i="1"/>
  <c r="M278" i="1"/>
  <c r="M1124" i="1"/>
  <c r="M1117" i="1"/>
  <c r="M1134" i="1"/>
  <c r="M1110" i="1"/>
  <c r="M876" i="1"/>
  <c r="M887" i="1"/>
  <c r="M724" i="1"/>
  <c r="M736" i="1"/>
  <c r="M727" i="1"/>
  <c r="M739" i="1"/>
  <c r="M980" i="1"/>
  <c r="M968" i="1"/>
  <c r="M1027" i="1"/>
  <c r="M1014" i="1"/>
  <c r="M1040" i="1"/>
  <c r="M1052" i="1"/>
  <c r="M720" i="1"/>
  <c r="M678" i="1"/>
  <c r="M128" i="1"/>
  <c r="M138" i="1"/>
  <c r="M209" i="1"/>
  <c r="M217" i="1"/>
  <c r="M219" i="1"/>
  <c r="M227" i="1"/>
  <c r="M97" i="1"/>
  <c r="M87" i="1"/>
  <c r="M802" i="1"/>
  <c r="M813" i="1"/>
  <c r="M1186" i="1"/>
  <c r="M1203" i="1"/>
  <c r="M1210" i="1"/>
  <c r="M1195" i="1"/>
  <c r="M1037" i="1"/>
  <c r="M1049" i="1"/>
  <c r="M282" i="1"/>
  <c r="M270" i="1"/>
  <c r="M712" i="1"/>
  <c r="M700" i="1"/>
  <c r="M677" i="1"/>
  <c r="M688" i="1"/>
  <c r="M123" i="1"/>
  <c r="M115" i="1"/>
  <c r="M116" i="1"/>
  <c r="M122" i="1"/>
  <c r="M371" i="1"/>
  <c r="M373" i="1"/>
  <c r="M859" i="1"/>
  <c r="M834" i="1"/>
  <c r="M822" i="1"/>
  <c r="M847" i="1"/>
  <c r="M501" i="1"/>
  <c r="M510" i="1"/>
  <c r="M1197" i="1"/>
  <c r="M1188" i="1"/>
  <c r="M1205" i="1"/>
  <c r="M1179" i="1"/>
  <c r="M314" i="1"/>
  <c r="M320" i="1"/>
  <c r="M891" i="1"/>
  <c r="M902" i="1"/>
  <c r="M146" i="1"/>
  <c r="M136" i="1"/>
  <c r="M815" i="1"/>
  <c r="M804" i="1"/>
  <c r="M360" i="1"/>
  <c r="M368" i="1"/>
  <c r="M481" i="1"/>
  <c r="M490" i="1"/>
  <c r="M1201" i="1"/>
  <c r="M1184" i="1"/>
  <c r="M1208" i="1"/>
  <c r="M1193" i="1"/>
  <c r="M866" i="1"/>
  <c r="M862" i="1"/>
  <c r="M851" i="1"/>
  <c r="M338" i="1"/>
  <c r="M357" i="1"/>
  <c r="M348" i="1"/>
  <c r="M365" i="1"/>
  <c r="M479" i="1"/>
  <c r="M488" i="1"/>
  <c r="M134" i="1"/>
  <c r="M144" i="1"/>
  <c r="M445" i="1"/>
  <c r="M420" i="1"/>
  <c r="M437" i="1"/>
  <c r="M431" i="1"/>
  <c r="M377" i="1"/>
  <c r="M387" i="1"/>
  <c r="M1038" i="1"/>
  <c r="M1050" i="1"/>
  <c r="M1058" i="1"/>
  <c r="M473" i="1"/>
  <c r="M463" i="1"/>
  <c r="M579" i="1"/>
  <c r="M593" i="1"/>
  <c r="M591" i="1"/>
  <c r="M581" i="1"/>
  <c r="M816" i="1"/>
  <c r="M791" i="1"/>
  <c r="M805" i="1"/>
  <c r="M778" i="1"/>
  <c r="M1158" i="1"/>
  <c r="M1168" i="1"/>
  <c r="M1177" i="1"/>
  <c r="M1149" i="1"/>
  <c r="M518" i="1"/>
  <c r="M527" i="1"/>
  <c r="M526" i="1"/>
  <c r="M519" i="1"/>
  <c r="M761" i="1"/>
  <c r="M750" i="1"/>
  <c r="M404" i="1"/>
  <c r="M395" i="1"/>
  <c r="M331" i="1"/>
  <c r="M326" i="1"/>
  <c r="M319" i="1"/>
  <c r="M313" i="1"/>
  <c r="M562" i="1"/>
  <c r="M571" i="1"/>
  <c r="M229" i="1"/>
  <c r="M228" i="1"/>
  <c r="M994" i="1"/>
  <c r="M1005" i="1"/>
  <c r="M102" i="1"/>
  <c r="M109" i="1"/>
  <c r="M112" i="1"/>
  <c r="M113" i="1"/>
  <c r="M1199" i="1"/>
  <c r="M1207" i="1"/>
  <c r="M470" i="1"/>
  <c r="M482" i="1"/>
  <c r="M460" i="1"/>
  <c r="M491" i="1"/>
  <c r="M33" i="1"/>
  <c r="M26" i="1"/>
  <c r="M475" i="1"/>
  <c r="M466" i="1"/>
  <c r="M484" i="1"/>
  <c r="M456" i="1"/>
  <c r="M1039" i="1"/>
  <c r="M1051" i="1"/>
  <c r="M1013" i="1"/>
  <c r="M1026" i="1"/>
  <c r="M316" i="1"/>
  <c r="M310" i="1"/>
  <c r="M1211" i="1"/>
  <c r="M1204" i="1"/>
  <c r="M1196" i="1"/>
  <c r="M1187" i="1"/>
  <c r="M611" i="1"/>
  <c r="M622" i="1"/>
  <c r="M560" i="1"/>
  <c r="M569" i="1"/>
  <c r="M547" i="1"/>
  <c r="M533" i="1"/>
  <c r="M216" i="1"/>
  <c r="M226" i="1"/>
  <c r="M647" i="1"/>
  <c r="M625" i="1"/>
  <c r="M658" i="1"/>
  <c r="M636" i="1"/>
  <c r="M1127" i="1"/>
  <c r="M1126" i="1"/>
  <c r="M1136" i="1"/>
  <c r="M763" i="1"/>
  <c r="M752" i="1"/>
  <c r="M745" i="1"/>
  <c r="M798" i="1"/>
  <c r="M810" i="1"/>
  <c r="M322" i="1"/>
  <c r="M329" i="1"/>
  <c r="M324" i="1"/>
  <c r="M327" i="1"/>
  <c r="M843" i="1"/>
  <c r="M855" i="1"/>
  <c r="M756" i="1"/>
  <c r="M755" i="1"/>
  <c r="M766" i="1"/>
  <c r="M767" i="1"/>
  <c r="M672" i="1"/>
  <c r="M654" i="1"/>
  <c r="M666" i="1"/>
  <c r="M530" i="1"/>
  <c r="M544" i="1"/>
  <c r="M1096" i="1"/>
  <c r="M1108" i="1"/>
  <c r="M1035" i="1"/>
  <c r="M1047" i="1"/>
  <c r="M1022" i="1"/>
  <c r="M1009" i="1"/>
  <c r="M237" i="1"/>
  <c r="M246" i="1"/>
  <c r="M23" i="1"/>
  <c r="M821" i="1"/>
  <c r="M833" i="1"/>
  <c r="M179" i="1"/>
  <c r="M187" i="1"/>
  <c r="M714" i="1"/>
  <c r="M702" i="1"/>
  <c r="M679" i="1"/>
  <c r="M690" i="1"/>
  <c r="M627" i="1"/>
  <c r="M638" i="1"/>
  <c r="M341" i="1"/>
  <c r="M351" i="1"/>
  <c r="M304" i="1"/>
  <c r="M297" i="1"/>
  <c r="M1046" i="1"/>
  <c r="M1034" i="1"/>
  <c r="M172" i="1"/>
  <c r="M153" i="1"/>
  <c r="M163" i="1"/>
  <c r="M176" i="1"/>
  <c r="M307" i="1"/>
  <c r="M300" i="1"/>
  <c r="M414" i="1"/>
  <c r="M425" i="1"/>
  <c r="M632" i="1"/>
  <c r="M643" i="1"/>
  <c r="M1169" i="1"/>
  <c r="M1159" i="1"/>
  <c r="M1143" i="1"/>
  <c r="M1150" i="1"/>
  <c r="M274" i="1"/>
  <c r="M286" i="1"/>
  <c r="M652" i="1"/>
  <c r="M662" i="1"/>
  <c r="M651" i="1"/>
  <c r="M664" i="1"/>
  <c r="M36" i="1"/>
  <c r="M29" i="1"/>
  <c r="M1156" i="1"/>
  <c r="M1176" i="1"/>
  <c r="M1148" i="1"/>
  <c r="M1166" i="1"/>
  <c r="M347" i="1"/>
  <c r="M337" i="1"/>
  <c r="M646" i="1"/>
  <c r="M657" i="1"/>
  <c r="M911" i="1"/>
  <c r="M905" i="1"/>
  <c r="M894" i="1"/>
  <c r="M1087" i="1"/>
  <c r="M1100" i="1"/>
  <c r="M1074" i="1"/>
  <c r="M1061" i="1"/>
  <c r="M642" i="1"/>
  <c r="M665" i="1"/>
  <c r="M631" i="1"/>
  <c r="M653" i="1"/>
  <c r="M1059" i="1"/>
  <c r="M1072" i="1"/>
  <c r="M149" i="1"/>
  <c r="M141" i="1"/>
  <c r="M131" i="1"/>
  <c r="M148" i="1"/>
  <c r="M971" i="1"/>
  <c r="M983" i="1"/>
  <c r="M998" i="1"/>
  <c r="M1130" i="1"/>
  <c r="M1139" i="1"/>
  <c r="M686" i="1"/>
  <c r="M675" i="1"/>
  <c r="M630" i="1"/>
  <c r="M641" i="1"/>
  <c r="M147" i="1"/>
  <c r="M137" i="1"/>
  <c r="M168" i="1"/>
  <c r="M164" i="1"/>
  <c r="M154" i="1"/>
  <c r="M158" i="1"/>
  <c r="M152" i="1"/>
  <c r="M180" i="1"/>
  <c r="M170" i="1"/>
  <c r="M162" i="1"/>
  <c r="M4" i="1"/>
  <c r="M18" i="1"/>
  <c r="M792" i="1"/>
  <c r="M779" i="1"/>
  <c r="M673" i="1"/>
  <c r="M694" i="1"/>
  <c r="M684" i="1"/>
  <c r="M719" i="1"/>
  <c r="M120" i="1"/>
  <c r="M127" i="1"/>
  <c r="M1157" i="1"/>
  <c r="M1167" i="1"/>
  <c r="M540" i="1"/>
  <c r="M554" i="1"/>
  <c r="M381" i="1"/>
  <c r="M391" i="1"/>
  <c r="M289" i="1"/>
  <c r="M277" i="1"/>
  <c r="M1000" i="1"/>
  <c r="M989" i="1"/>
  <c r="M171" i="1"/>
  <c r="M181" i="1"/>
  <c r="M585" i="1"/>
  <c r="M597" i="1"/>
  <c r="M964" i="1"/>
  <c r="M976" i="1"/>
  <c r="M167" i="1"/>
  <c r="M157" i="1"/>
  <c r="M89" i="1"/>
  <c r="M79" i="1"/>
  <c r="M495" i="1"/>
  <c r="M512" i="1"/>
  <c r="M520" i="1"/>
  <c r="M504" i="1"/>
  <c r="M819" i="1"/>
  <c r="M844" i="1"/>
  <c r="M856" i="1"/>
  <c r="M831" i="1"/>
  <c r="M379" i="1"/>
  <c r="M389" i="1"/>
  <c r="M382" i="1"/>
  <c r="M392" i="1"/>
  <c r="M721" i="1"/>
  <c r="M683" i="1"/>
  <c r="M814" i="1"/>
  <c r="M776" i="1"/>
  <c r="M789" i="1"/>
  <c r="M803" i="1"/>
  <c r="M514" i="1"/>
  <c r="M522" i="1"/>
  <c r="M315" i="1"/>
  <c r="M321" i="1"/>
  <c r="M836" i="1"/>
  <c r="M824" i="1"/>
  <c r="M780" i="1"/>
  <c r="M793" i="1"/>
  <c r="M1120" i="1"/>
  <c r="M1113" i="1"/>
  <c r="M1191" i="1"/>
  <c r="M1182" i="1"/>
  <c r="M1200" i="1"/>
  <c r="M1183" i="1"/>
  <c r="M1192" i="1"/>
  <c r="M65" i="1"/>
  <c r="M75" i="1"/>
  <c r="M692" i="1"/>
  <c r="M704" i="1"/>
  <c r="M716" i="1"/>
  <c r="M681" i="1"/>
  <c r="M417" i="1"/>
  <c r="M428" i="1"/>
  <c r="M927" i="1"/>
  <c r="M915" i="1"/>
  <c r="M952" i="1"/>
  <c r="M939" i="1"/>
  <c r="M578" i="1"/>
  <c r="M590" i="1"/>
  <c r="M388" i="1"/>
  <c r="M378" i="1"/>
  <c r="M944" i="1"/>
  <c r="M956" i="1"/>
  <c r="M77" i="1"/>
  <c r="M76" i="1"/>
  <c r="M516" i="1"/>
  <c r="M524" i="1"/>
  <c r="M206" i="1"/>
  <c r="M197" i="1"/>
  <c r="M298" i="1"/>
  <c r="M305" i="1"/>
  <c r="P298" i="1" l="1"/>
  <c r="P305" i="1"/>
  <c r="P197" i="1"/>
  <c r="P206" i="1"/>
  <c r="P524" i="1"/>
  <c r="P516" i="1"/>
  <c r="P76" i="1"/>
  <c r="P77" i="1"/>
  <c r="P944" i="1"/>
  <c r="P956" i="1"/>
  <c r="P388" i="1"/>
  <c r="P378" i="1"/>
  <c r="P590" i="1"/>
  <c r="P578" i="1"/>
  <c r="P939" i="1"/>
  <c r="P952" i="1"/>
  <c r="P915" i="1"/>
  <c r="P927" i="1"/>
  <c r="P417" i="1"/>
  <c r="P428" i="1"/>
  <c r="P692" i="1"/>
  <c r="P704" i="1"/>
  <c r="P716" i="1"/>
  <c r="P681" i="1"/>
  <c r="P65" i="1"/>
  <c r="P75" i="1"/>
  <c r="P1120" i="1"/>
  <c r="P1113" i="1"/>
  <c r="P780" i="1"/>
  <c r="P793" i="1"/>
  <c r="P836" i="1"/>
  <c r="P824" i="1"/>
  <c r="P321" i="1"/>
  <c r="P315" i="1"/>
  <c r="P514" i="1"/>
  <c r="P522" i="1"/>
  <c r="P814" i="1"/>
  <c r="P789" i="1"/>
  <c r="P776" i="1"/>
  <c r="P803" i="1"/>
  <c r="P721" i="1"/>
  <c r="P683" i="1"/>
  <c r="P382" i="1"/>
  <c r="P392" i="1"/>
  <c r="P389" i="1"/>
  <c r="P379" i="1"/>
  <c r="P856" i="1"/>
  <c r="P819" i="1"/>
  <c r="P844" i="1"/>
  <c r="P831" i="1"/>
  <c r="P495" i="1"/>
  <c r="P512" i="1"/>
  <c r="P520" i="1"/>
  <c r="P504" i="1"/>
  <c r="P79" i="1"/>
  <c r="P89" i="1"/>
  <c r="P167" i="1"/>
  <c r="P157" i="1"/>
  <c r="P964" i="1"/>
  <c r="P976" i="1"/>
  <c r="P585" i="1"/>
  <c r="P597" i="1"/>
  <c r="P181" i="1"/>
  <c r="P171" i="1"/>
  <c r="P1000" i="1"/>
  <c r="P989" i="1"/>
  <c r="P289" i="1"/>
  <c r="P277" i="1"/>
  <c r="P381" i="1"/>
  <c r="P391" i="1"/>
  <c r="P554" i="1"/>
  <c r="P540" i="1"/>
  <c r="P1167" i="1"/>
  <c r="P1157" i="1"/>
  <c r="P127" i="1"/>
  <c r="P120" i="1"/>
  <c r="P673" i="1"/>
  <c r="P684" i="1"/>
  <c r="P719" i="1"/>
  <c r="P694" i="1"/>
  <c r="P792" i="1"/>
  <c r="P779" i="1"/>
  <c r="P18" i="1"/>
  <c r="P4" i="1"/>
  <c r="P180" i="1"/>
  <c r="P170" i="1"/>
  <c r="P152" i="1"/>
  <c r="P162" i="1"/>
  <c r="P164" i="1"/>
  <c r="P158" i="1"/>
  <c r="P168" i="1"/>
  <c r="P154" i="1"/>
  <c r="P137" i="1"/>
  <c r="P147" i="1"/>
  <c r="P630" i="1"/>
  <c r="P641" i="1"/>
  <c r="P686" i="1"/>
  <c r="P675" i="1"/>
  <c r="P1130" i="1"/>
  <c r="P1139" i="1"/>
  <c r="Q1140" i="1"/>
  <c r="P983" i="1"/>
  <c r="P998" i="1"/>
  <c r="P971" i="1"/>
  <c r="P148" i="1"/>
  <c r="P141" i="1"/>
  <c r="P131" i="1"/>
  <c r="P149" i="1"/>
  <c r="P1059" i="1"/>
  <c r="P1072" i="1"/>
  <c r="P665" i="1"/>
  <c r="P631" i="1"/>
  <c r="P642" i="1"/>
  <c r="P653" i="1"/>
  <c r="P1061" i="1"/>
  <c r="P1100" i="1"/>
  <c r="P1087" i="1"/>
  <c r="P1074" i="1"/>
  <c r="P905" i="1"/>
  <c r="P894" i="1"/>
  <c r="P911" i="1"/>
  <c r="P646" i="1"/>
  <c r="P657" i="1"/>
  <c r="P337" i="1"/>
  <c r="P347" i="1"/>
  <c r="P1166" i="1"/>
  <c r="P1156" i="1"/>
  <c r="P1176" i="1"/>
  <c r="P1148" i="1"/>
  <c r="P36" i="1"/>
  <c r="P29" i="1"/>
  <c r="P662" i="1"/>
  <c r="P664" i="1"/>
  <c r="P652" i="1"/>
  <c r="P651" i="1"/>
  <c r="P286" i="1"/>
  <c r="P274" i="1"/>
  <c r="P1143" i="1"/>
  <c r="P1169" i="1"/>
  <c r="P1150" i="1"/>
  <c r="P1159" i="1"/>
  <c r="P632" i="1"/>
  <c r="P643" i="1"/>
  <c r="P425" i="1"/>
  <c r="P414" i="1"/>
  <c r="P307" i="1"/>
  <c r="P300" i="1"/>
  <c r="P176" i="1"/>
  <c r="P172" i="1"/>
  <c r="P163" i="1"/>
  <c r="P153" i="1"/>
  <c r="P297" i="1"/>
  <c r="P304" i="1"/>
  <c r="P351" i="1"/>
  <c r="P341" i="1"/>
  <c r="P638" i="1"/>
  <c r="P627" i="1"/>
  <c r="P714" i="1"/>
  <c r="P690" i="1"/>
  <c r="P702" i="1"/>
  <c r="P679" i="1"/>
  <c r="P187" i="1"/>
  <c r="P179" i="1"/>
  <c r="P821" i="1"/>
  <c r="P833" i="1"/>
  <c r="P23" i="1"/>
  <c r="P10" i="1"/>
  <c r="P237" i="1"/>
  <c r="P246" i="1"/>
  <c r="P1108" i="1"/>
  <c r="P1096" i="1"/>
  <c r="P530" i="1"/>
  <c r="P544" i="1"/>
  <c r="P672" i="1"/>
  <c r="P666" i="1"/>
  <c r="P654" i="1"/>
  <c r="P766" i="1"/>
  <c r="P767" i="1"/>
  <c r="P755" i="1"/>
  <c r="P756" i="1"/>
  <c r="P855" i="1"/>
  <c r="P843" i="1"/>
  <c r="P329" i="1"/>
  <c r="P324" i="1"/>
  <c r="P327" i="1"/>
  <c r="P322" i="1"/>
  <c r="P798" i="1"/>
  <c r="P810" i="1"/>
  <c r="P752" i="1"/>
  <c r="P745" i="1"/>
  <c r="P763" i="1"/>
  <c r="P1136" i="1"/>
  <c r="P1127" i="1"/>
  <c r="P1126" i="1"/>
  <c r="P647" i="1"/>
  <c r="P625" i="1"/>
  <c r="P636" i="1"/>
  <c r="P658" i="1"/>
  <c r="P216" i="1"/>
  <c r="P226" i="1"/>
  <c r="P569" i="1"/>
  <c r="P547" i="1"/>
  <c r="P560" i="1"/>
  <c r="P533" i="1"/>
  <c r="P611" i="1"/>
  <c r="P622" i="1"/>
  <c r="P310" i="1"/>
  <c r="P316" i="1"/>
  <c r="P475" i="1"/>
  <c r="P484" i="1"/>
  <c r="P456" i="1"/>
  <c r="P466" i="1"/>
  <c r="P26" i="1"/>
  <c r="P33" i="1"/>
  <c r="P491" i="1"/>
  <c r="P482" i="1"/>
  <c r="P460" i="1"/>
  <c r="P470" i="1"/>
  <c r="P102" i="1"/>
  <c r="P109" i="1"/>
  <c r="P112" i="1"/>
  <c r="P113" i="1"/>
  <c r="P994" i="1"/>
  <c r="P1005" i="1"/>
  <c r="P228" i="1"/>
  <c r="P229" i="1"/>
  <c r="P562" i="1"/>
  <c r="P571" i="1"/>
  <c r="P313" i="1"/>
  <c r="P331" i="1"/>
  <c r="P326" i="1"/>
  <c r="P319" i="1"/>
  <c r="P395" i="1"/>
  <c r="P404" i="1"/>
  <c r="P750" i="1"/>
  <c r="P761" i="1"/>
  <c r="P526" i="1"/>
  <c r="P527" i="1"/>
  <c r="P518" i="1"/>
  <c r="P519" i="1"/>
  <c r="P1158" i="1"/>
  <c r="P1168" i="1"/>
  <c r="P1177" i="1"/>
  <c r="P1149" i="1"/>
  <c r="P791" i="1"/>
  <c r="P805" i="1"/>
  <c r="P778" i="1"/>
  <c r="P816" i="1"/>
  <c r="P581" i="1"/>
  <c r="P579" i="1"/>
  <c r="P593" i="1"/>
  <c r="P591" i="1"/>
  <c r="P463" i="1"/>
  <c r="P473" i="1"/>
  <c r="P387" i="1"/>
  <c r="P377" i="1"/>
  <c r="P445" i="1"/>
  <c r="P431" i="1"/>
  <c r="P420" i="1"/>
  <c r="P437" i="1"/>
  <c r="P144" i="1"/>
  <c r="P134" i="1"/>
  <c r="P488" i="1"/>
  <c r="P479" i="1"/>
  <c r="P338" i="1"/>
  <c r="P365" i="1"/>
  <c r="P357" i="1"/>
  <c r="P348" i="1"/>
  <c r="P851" i="1"/>
  <c r="P862" i="1"/>
  <c r="P866" i="1"/>
  <c r="P481" i="1"/>
  <c r="P490" i="1"/>
  <c r="P368" i="1"/>
  <c r="P360" i="1"/>
  <c r="P815" i="1"/>
  <c r="P804" i="1"/>
  <c r="P136" i="1"/>
  <c r="P146" i="1"/>
  <c r="P902" i="1"/>
  <c r="P891" i="1"/>
  <c r="P320" i="1"/>
  <c r="P314" i="1"/>
  <c r="P510" i="1"/>
  <c r="P501" i="1"/>
  <c r="P859" i="1"/>
  <c r="P847" i="1"/>
  <c r="P822" i="1"/>
  <c r="P834" i="1"/>
  <c r="P371" i="1"/>
  <c r="P373" i="1"/>
  <c r="P115" i="1"/>
  <c r="P123" i="1"/>
  <c r="P122" i="1"/>
  <c r="P116" i="1"/>
  <c r="P688" i="1"/>
  <c r="P700" i="1"/>
  <c r="P712" i="1"/>
  <c r="P677" i="1"/>
  <c r="P282" i="1"/>
  <c r="P270" i="1"/>
  <c r="P813" i="1"/>
  <c r="P802" i="1"/>
  <c r="P97" i="1"/>
  <c r="P87" i="1"/>
  <c r="P209" i="1"/>
  <c r="P219" i="1"/>
  <c r="P217" i="1"/>
  <c r="P227" i="1"/>
  <c r="P128" i="1"/>
  <c r="P138" i="1"/>
  <c r="P720" i="1"/>
  <c r="P678" i="1"/>
  <c r="P968" i="1"/>
  <c r="P980" i="1"/>
  <c r="P736" i="1"/>
  <c r="P727" i="1"/>
  <c r="P724" i="1"/>
  <c r="P739" i="1"/>
  <c r="P876" i="1"/>
  <c r="P887" i="1"/>
  <c r="P1134" i="1"/>
  <c r="P1124" i="1"/>
  <c r="P1110" i="1"/>
  <c r="P1117" i="1"/>
  <c r="P290" i="1"/>
  <c r="P278" i="1"/>
  <c r="P398" i="1"/>
  <c r="P407" i="1"/>
  <c r="P241" i="1"/>
  <c r="P232" i="1"/>
  <c r="P92" i="1"/>
  <c r="P82" i="1"/>
  <c r="P1007" i="1"/>
  <c r="P972" i="1"/>
  <c r="P462" i="1"/>
  <c r="P472" i="1"/>
  <c r="P3" i="1"/>
  <c r="P17" i="1"/>
  <c r="P24" i="1"/>
  <c r="P21" i="1"/>
  <c r="P11" i="1"/>
  <c r="P7" i="1"/>
  <c r="P528" i="1"/>
  <c r="P529" i="1"/>
  <c r="P60" i="1"/>
  <c r="P49" i="1"/>
  <c r="P42" i="1"/>
  <c r="P70" i="1"/>
  <c r="P106" i="1"/>
  <c r="P99" i="1"/>
  <c r="P358" i="1"/>
  <c r="P366" i="1"/>
  <c r="P325" i="1"/>
  <c r="P330" i="1"/>
  <c r="P496" i="1"/>
  <c r="P523" i="1"/>
  <c r="P505" i="1"/>
  <c r="P515" i="1"/>
  <c r="P713" i="1"/>
  <c r="P701" i="1"/>
  <c r="P689" i="1"/>
  <c r="P947" i="1"/>
  <c r="P959" i="1"/>
  <c r="P356" i="1"/>
  <c r="P364" i="1"/>
  <c r="P50" i="1"/>
  <c r="P43" i="1"/>
  <c r="P900" i="1"/>
  <c r="P889" i="1"/>
  <c r="P913" i="1"/>
  <c r="P912" i="1"/>
  <c r="P1172" i="1"/>
  <c r="P1178" i="1"/>
  <c r="P1153" i="1"/>
  <c r="P1162" i="1"/>
  <c r="P471" i="1"/>
  <c r="P461" i="1"/>
  <c r="P552" i="1"/>
  <c r="P538" i="1"/>
  <c r="P399" i="1"/>
  <c r="P408" i="1"/>
  <c r="P312" i="1"/>
  <c r="P318" i="1"/>
  <c r="P418" i="1"/>
  <c r="P429" i="1"/>
  <c r="P493" i="1"/>
  <c r="P492" i="1"/>
  <c r="P409" i="1"/>
  <c r="P403" i="1"/>
  <c r="P394" i="1"/>
  <c r="P400" i="1"/>
  <c r="P200" i="1"/>
  <c r="P191" i="1"/>
  <c r="P372" i="1"/>
  <c r="P370" i="1"/>
  <c r="P671" i="1"/>
  <c r="P663" i="1"/>
  <c r="P757" i="1"/>
  <c r="P746" i="1"/>
  <c r="P735" i="1"/>
  <c r="P723" i="1"/>
  <c r="P639" i="1"/>
  <c r="P650" i="1"/>
  <c r="P661" i="1"/>
  <c r="P628" i="1"/>
  <c r="P6" i="1"/>
  <c r="P20" i="1"/>
  <c r="P872" i="1"/>
  <c r="P883" i="1"/>
  <c r="P386" i="1"/>
  <c r="P390" i="1"/>
  <c r="P376" i="1"/>
  <c r="P380" i="1"/>
  <c r="P794" i="1"/>
  <c r="P781" i="1"/>
  <c r="P807" i="1"/>
  <c r="P769" i="1"/>
  <c r="P1076" i="1"/>
  <c r="P1063" i="1"/>
  <c r="P811" i="1"/>
  <c r="P785" i="1"/>
  <c r="P799" i="1"/>
  <c r="P773" i="1"/>
  <c r="P592" i="1"/>
  <c r="P615" i="1"/>
  <c r="P580" i="1"/>
  <c r="P604" i="1"/>
  <c r="P733" i="1"/>
  <c r="P768" i="1"/>
  <c r="P710" i="1"/>
  <c r="P698" i="1"/>
  <c r="P225" i="1"/>
  <c r="P215" i="1"/>
  <c r="P806" i="1"/>
  <c r="P817" i="1"/>
  <c r="P790" i="1"/>
  <c r="P777" i="1"/>
  <c r="P818" i="1"/>
  <c r="P830" i="1"/>
  <c r="P124" i="1"/>
  <c r="P130" i="1"/>
  <c r="P140" i="1"/>
  <c r="P117" i="1"/>
  <c r="P264" i="1"/>
  <c r="P254" i="1"/>
  <c r="P624" i="1"/>
  <c r="P635" i="1"/>
  <c r="P375" i="1"/>
  <c r="P396" i="1"/>
  <c r="P385" i="1"/>
  <c r="P405" i="1"/>
  <c r="P487" i="1"/>
  <c r="P478" i="1"/>
  <c r="P343" i="1"/>
  <c r="P353" i="1"/>
  <c r="P269" i="1"/>
  <c r="P268" i="1"/>
  <c r="P594" i="1"/>
  <c r="P617" i="1"/>
  <c r="P606" i="1"/>
  <c r="P582" i="1"/>
  <c r="P238" i="1"/>
  <c r="P247" i="1"/>
  <c r="P951" i="1"/>
  <c r="P938" i="1"/>
  <c r="P223" i="1"/>
  <c r="P221" i="1"/>
  <c r="P211" i="1"/>
  <c r="P213" i="1"/>
  <c r="P1161" i="1"/>
  <c r="P1152" i="1"/>
  <c r="P1145" i="1"/>
  <c r="P1171" i="1"/>
  <c r="P422" i="1"/>
  <c r="P433" i="1"/>
  <c r="P415" i="1"/>
  <c r="P426" i="1"/>
  <c r="P1164" i="1"/>
  <c r="P1174" i="1"/>
  <c r="P54" i="1"/>
  <c r="P51" i="1"/>
  <c r="P44" i="1"/>
  <c r="P47" i="1"/>
  <c r="P616" i="1"/>
  <c r="P605" i="1"/>
  <c r="P916" i="1"/>
  <c r="P940" i="1"/>
  <c r="P953" i="1"/>
  <c r="P928" i="1"/>
  <c r="P345" i="1"/>
  <c r="P335" i="1"/>
  <c r="P1004" i="1"/>
  <c r="P993" i="1"/>
  <c r="P618" i="1"/>
  <c r="P607" i="1"/>
  <c r="P1089" i="1"/>
  <c r="P1102" i="1"/>
  <c r="P634" i="1"/>
  <c r="P668" i="1"/>
  <c r="P645" i="1"/>
  <c r="P656" i="1"/>
  <c r="P53" i="1"/>
  <c r="P46" i="1"/>
  <c r="P48" i="1"/>
  <c r="P55" i="1"/>
  <c r="P440" i="1"/>
  <c r="P448" i="1"/>
  <c r="P853" i="1"/>
  <c r="P864" i="1"/>
  <c r="P402" i="1"/>
  <c r="P411" i="1"/>
  <c r="P101" i="1"/>
  <c r="P108" i="1"/>
  <c r="P682" i="1"/>
  <c r="P717" i="1"/>
  <c r="P693" i="1"/>
  <c r="P705" i="1"/>
  <c r="P155" i="1"/>
  <c r="P165" i="1"/>
  <c r="P267" i="1"/>
  <c r="P257" i="1"/>
  <c r="P483" i="1"/>
  <c r="P474" i="1"/>
  <c r="P294" i="1"/>
  <c r="P301" i="1"/>
  <c r="P293" i="1"/>
  <c r="P281" i="1"/>
  <c r="P946" i="1"/>
  <c r="P958" i="1"/>
  <c r="P933" i="1"/>
  <c r="P921" i="1"/>
  <c r="P695" i="1"/>
  <c r="P707" i="1"/>
  <c r="P224" i="1"/>
  <c r="P214" i="1"/>
  <c r="P509" i="1"/>
  <c r="P500" i="1"/>
  <c r="P649" i="1"/>
  <c r="P660" i="1"/>
  <c r="P868" i="1"/>
  <c r="P879" i="1"/>
  <c r="P890" i="1"/>
  <c r="P901" i="1"/>
  <c r="P550" i="1"/>
  <c r="P572" i="1"/>
  <c r="P563" i="1"/>
  <c r="P536" i="1"/>
  <c r="P342" i="1"/>
  <c r="P352" i="1"/>
  <c r="P19" i="1"/>
  <c r="P5" i="1"/>
  <c r="P963" i="1"/>
  <c r="P975" i="1"/>
  <c r="P987" i="1"/>
  <c r="P81" i="1"/>
  <c r="P91" i="1"/>
  <c r="P489" i="1"/>
  <c r="P480" i="1"/>
  <c r="P553" i="1"/>
  <c r="P539" i="1"/>
  <c r="P350" i="1"/>
  <c r="P340" i="1"/>
  <c r="P556" i="1"/>
  <c r="P542" i="1"/>
  <c r="P670" i="1"/>
  <c r="P669" i="1"/>
  <c r="P243" i="1"/>
  <c r="P234" i="1"/>
  <c r="P1137" i="1"/>
  <c r="P1128" i="1"/>
  <c r="P303" i="1"/>
  <c r="P287" i="1"/>
  <c r="P296" i="1"/>
  <c r="P275" i="1"/>
  <c r="P743" i="1"/>
  <c r="P731" i="1"/>
  <c r="P476" i="1"/>
  <c r="P467" i="1"/>
  <c r="P485" i="1"/>
  <c r="P457" i="1"/>
  <c r="P1084" i="1"/>
  <c r="P1071" i="1"/>
  <c r="P336" i="1"/>
  <c r="P346" i="1"/>
  <c r="P363" i="1"/>
  <c r="P355" i="1"/>
  <c r="P576" i="1"/>
  <c r="P546" i="1"/>
  <c r="P532" i="1"/>
  <c r="P503" i="1"/>
  <c r="P494" i="1"/>
  <c r="P258" i="1"/>
  <c r="P248" i="1"/>
  <c r="P38" i="1"/>
  <c r="P35" i="1"/>
  <c r="P31" i="1"/>
  <c r="P28" i="1"/>
  <c r="P249" i="1"/>
  <c r="P244" i="1"/>
  <c r="P259" i="1"/>
  <c r="P235" i="1"/>
  <c r="P129" i="1"/>
  <c r="P139" i="1"/>
  <c r="P1090" i="1"/>
  <c r="P1077" i="1"/>
  <c r="P1064" i="1"/>
  <c r="P888" i="1"/>
  <c r="P877" i="1"/>
  <c r="P943" i="1"/>
  <c r="P931" i="1"/>
  <c r="P919" i="1"/>
  <c r="P1154" i="1"/>
  <c r="P1173" i="1"/>
  <c r="P1163" i="1"/>
  <c r="P1146" i="1"/>
  <c r="P508" i="1"/>
  <c r="P499" i="1"/>
  <c r="P838" i="1"/>
  <c r="P825" i="1"/>
  <c r="P849" i="1"/>
  <c r="P861" i="1"/>
  <c r="P837" i="1"/>
  <c r="P850" i="1"/>
  <c r="P742" i="1"/>
  <c r="P730" i="1"/>
  <c r="P740" i="1"/>
  <c r="P728" i="1"/>
  <c r="P967" i="1"/>
  <c r="P979" i="1"/>
  <c r="Q1116" i="1"/>
  <c r="Q1133" i="1"/>
  <c r="P1115" i="1"/>
  <c r="P1122" i="1"/>
  <c r="P1132" i="1"/>
  <c r="Q1123" i="1"/>
  <c r="Q1142" i="1"/>
  <c r="P1141" i="1"/>
  <c r="P583" i="1"/>
  <c r="P595" i="1"/>
  <c r="P256" i="1"/>
  <c r="P260" i="1"/>
  <c r="P250" i="1"/>
  <c r="P266" i="1"/>
  <c r="P561" i="1"/>
  <c r="P534" i="1"/>
  <c r="P570" i="1"/>
  <c r="P548" i="1"/>
  <c r="P37" i="1"/>
  <c r="P12" i="1"/>
  <c r="P30" i="1"/>
  <c r="P2" i="1"/>
  <c r="P820" i="1"/>
  <c r="P857" i="1"/>
  <c r="P832" i="1"/>
  <c r="P845" i="1"/>
  <c r="P558" i="1"/>
  <c r="P567" i="1"/>
  <c r="P1103" i="1"/>
  <c r="P1091" i="1"/>
  <c r="P1065" i="1"/>
  <c r="P1078" i="1"/>
  <c r="P311" i="1"/>
  <c r="P317" i="1"/>
  <c r="P450" i="1"/>
  <c r="P442" i="1"/>
  <c r="P762" i="1"/>
  <c r="P753" i="1"/>
  <c r="P751" i="1"/>
  <c r="P764" i="1"/>
  <c r="P926" i="1"/>
  <c r="P914" i="1"/>
  <c r="P715" i="1"/>
  <c r="P703" i="1"/>
  <c r="P1094" i="1"/>
  <c r="P1106" i="1"/>
  <c r="P957" i="1"/>
  <c r="P945" i="1"/>
  <c r="P430" i="1"/>
  <c r="P447" i="1"/>
  <c r="P419" i="1"/>
  <c r="P439" i="1"/>
  <c r="P207" i="1"/>
  <c r="P198" i="1"/>
  <c r="P709" i="1"/>
  <c r="P674" i="1"/>
  <c r="P685" i="1"/>
  <c r="P697" i="1"/>
  <c r="P159" i="1"/>
  <c r="P169" i="1"/>
  <c r="P929" i="1"/>
  <c r="P917" i="1"/>
  <c r="P922" i="1"/>
  <c r="P934" i="1"/>
  <c r="P45" i="1"/>
  <c r="P52" i="1"/>
  <c r="P783" i="1"/>
  <c r="P796" i="1"/>
  <c r="P771" i="1"/>
  <c r="P718" i="1"/>
  <c r="P706" i="1"/>
  <c r="P598" i="1"/>
  <c r="P586" i="1"/>
  <c r="P156" i="1"/>
  <c r="P166" i="1"/>
  <c r="P486" i="1"/>
  <c r="P455" i="1"/>
  <c r="P477" i="1"/>
  <c r="P465" i="1"/>
  <c r="P513" i="1"/>
  <c r="P521" i="1"/>
  <c r="P435" i="1"/>
  <c r="P443" i="1"/>
  <c r="P451" i="1"/>
  <c r="P424" i="1"/>
  <c r="P121" i="1"/>
  <c r="P114" i="1"/>
  <c r="P201" i="1"/>
  <c r="P210" i="1"/>
  <c r="P220" i="1"/>
  <c r="P192" i="1"/>
  <c r="P557" i="1"/>
  <c r="P543" i="1"/>
  <c r="P272" i="1"/>
  <c r="P284" i="1"/>
  <c r="P875" i="1"/>
  <c r="P886" i="1"/>
  <c r="P865" i="1"/>
  <c r="P854" i="1"/>
  <c r="P842" i="1"/>
  <c r="P829" i="1"/>
  <c r="P950" i="1"/>
  <c r="P937" i="1"/>
  <c r="P925" i="1"/>
  <c r="P531" i="1"/>
  <c r="P545" i="1"/>
  <c r="P64" i="1"/>
  <c r="P74" i="1"/>
  <c r="P142" i="1"/>
  <c r="P132" i="1"/>
  <c r="P995" i="1"/>
  <c r="P984" i="1"/>
  <c r="P1006" i="1"/>
  <c r="P193" i="1"/>
  <c r="P202" i="1"/>
  <c r="P188" i="1"/>
  <c r="P189" i="1"/>
  <c r="P8" i="1"/>
  <c r="P41" i="1"/>
  <c r="P295" i="1"/>
  <c r="P302" i="1"/>
  <c r="P828" i="1"/>
  <c r="P841" i="1"/>
  <c r="P1079" i="1"/>
  <c r="P1092" i="1"/>
  <c r="P1066" i="1"/>
  <c r="P1104" i="1"/>
  <c r="P204" i="1"/>
  <c r="P195" i="1"/>
  <c r="P276" i="1"/>
  <c r="P288" i="1"/>
  <c r="P1105" i="1"/>
  <c r="P1093" i="1"/>
  <c r="P867" i="1"/>
  <c r="P878" i="1"/>
  <c r="P869" i="1"/>
  <c r="P880" i="1"/>
  <c r="P852" i="1"/>
  <c r="P863" i="1"/>
  <c r="P840" i="1"/>
  <c r="P827" i="1"/>
  <c r="P676" i="1"/>
  <c r="P687" i="1"/>
  <c r="P699" i="1"/>
  <c r="P711" i="1"/>
  <c r="P306" i="1"/>
  <c r="P299" i="1"/>
  <c r="P292" i="1"/>
  <c r="P280" i="1"/>
  <c r="P27" i="1"/>
  <c r="P34" i="1"/>
  <c r="P954" i="1"/>
  <c r="P941" i="1"/>
  <c r="P923" i="1"/>
  <c r="P935" i="1"/>
  <c r="P118" i="1"/>
  <c r="P125" i="1"/>
  <c r="P874" i="1"/>
  <c r="P885" i="1"/>
  <c r="P1112" i="1"/>
  <c r="P1138" i="1"/>
  <c r="P1129" i="1"/>
  <c r="P1119" i="1"/>
  <c r="P205" i="1"/>
  <c r="P196" i="1"/>
  <c r="P640" i="1"/>
  <c r="P629" i="1"/>
  <c r="P559" i="1"/>
  <c r="P568" i="1"/>
  <c r="P623" i="1"/>
  <c r="P588" i="1"/>
  <c r="P600" i="1"/>
  <c r="P68" i="1"/>
  <c r="P58" i="1"/>
  <c r="P63" i="1"/>
  <c r="P73" i="1"/>
  <c r="P609" i="1"/>
  <c r="P620" i="1"/>
  <c r="P809" i="1"/>
  <c r="P797" i="1"/>
  <c r="P619" i="1"/>
  <c r="P608" i="1"/>
  <c r="P143" i="1"/>
  <c r="P145" i="1"/>
  <c r="P135" i="1"/>
  <c r="P133" i="1"/>
  <c r="P898" i="1"/>
  <c r="P909" i="1"/>
  <c r="P1067" i="1"/>
  <c r="P1080" i="1"/>
  <c r="P458" i="1"/>
  <c r="P468" i="1"/>
  <c r="P1086" i="1"/>
  <c r="P1099" i="1"/>
  <c r="P1060" i="1"/>
  <c r="P1073" i="1"/>
  <c r="P421" i="1"/>
  <c r="P432" i="1"/>
  <c r="P412" i="1"/>
  <c r="P413" i="1"/>
  <c r="P1121" i="1"/>
  <c r="P1114" i="1"/>
  <c r="P786" i="1"/>
  <c r="P812" i="1"/>
  <c r="P774" i="1"/>
  <c r="P800" i="1"/>
  <c r="P177" i="1"/>
  <c r="P161" i="1"/>
  <c r="P185" i="1"/>
  <c r="P151" i="1"/>
  <c r="P924" i="1"/>
  <c r="P936" i="1"/>
  <c r="P949" i="1"/>
  <c r="P406" i="1"/>
  <c r="P397" i="1"/>
  <c r="P25" i="1"/>
  <c r="P39" i="1"/>
  <c r="P40" i="1"/>
  <c r="P32" i="1"/>
  <c r="P648" i="1"/>
  <c r="P659" i="1"/>
  <c r="P637" i="1"/>
  <c r="P626" i="1"/>
  <c r="P203" i="1"/>
  <c r="P194" i="1"/>
  <c r="P602" i="1"/>
  <c r="P613" i="1"/>
  <c r="P423" i="1"/>
  <c r="P434" i="1"/>
  <c r="P788" i="1"/>
  <c r="P775" i="1"/>
  <c r="P88" i="1"/>
  <c r="P78" i="1"/>
  <c r="P537" i="1"/>
  <c r="P551" i="1"/>
  <c r="P564" i="1"/>
  <c r="P573" i="1"/>
  <c r="P438" i="1"/>
  <c r="P446" i="1"/>
  <c r="P732" i="1"/>
  <c r="P744" i="1"/>
  <c r="P271" i="1"/>
  <c r="P283" i="1"/>
  <c r="P308" i="1"/>
  <c r="P309" i="1"/>
  <c r="P930" i="1"/>
  <c r="P955" i="1"/>
  <c r="P918" i="1"/>
  <c r="P942" i="1"/>
  <c r="P846" i="1"/>
  <c r="P858" i="1"/>
  <c r="P970" i="1"/>
  <c r="P1003" i="1"/>
  <c r="P982" i="1"/>
  <c r="P992" i="1"/>
  <c r="P612" i="1"/>
  <c r="P577" i="1"/>
  <c r="P601" i="1"/>
  <c r="P589" i="1"/>
  <c r="P85" i="1"/>
  <c r="P95" i="1"/>
  <c r="P1085" i="1"/>
  <c r="P1098" i="1"/>
  <c r="P1082" i="1"/>
  <c r="P1069" i="1"/>
  <c r="P107" i="1"/>
  <c r="P94" i="1"/>
  <c r="P84" i="1"/>
  <c r="P100" i="1"/>
  <c r="P497" i="1"/>
  <c r="P506" i="1"/>
  <c r="P252" i="1"/>
  <c r="P262" i="1"/>
  <c r="P184" i="1"/>
  <c r="P175" i="1"/>
  <c r="P71" i="1"/>
  <c r="P61" i="1"/>
  <c r="P965" i="1"/>
  <c r="P977" i="1"/>
  <c r="P464" i="1"/>
  <c r="P454" i="1"/>
  <c r="P1083" i="1"/>
  <c r="P1109" i="1"/>
  <c r="P1097" i="1"/>
  <c r="P1070" i="1"/>
  <c r="P747" i="1"/>
  <c r="P758" i="1"/>
  <c r="P452" i="1"/>
  <c r="P453" i="1"/>
  <c r="P436" i="1"/>
  <c r="P444" i="1"/>
  <c r="P334" i="1"/>
  <c r="P369" i="1"/>
  <c r="P361" i="1"/>
  <c r="P344" i="1"/>
  <c r="P961" i="1"/>
  <c r="P996" i="1"/>
  <c r="P973" i="1"/>
  <c r="P985" i="1"/>
  <c r="P279" i="1"/>
  <c r="P291" i="1"/>
  <c r="P242" i="1"/>
  <c r="P233" i="1"/>
  <c r="P734" i="1"/>
  <c r="P722" i="1"/>
  <c r="P263" i="1"/>
  <c r="P253" i="1"/>
  <c r="P183" i="1"/>
  <c r="P174" i="1"/>
  <c r="P1088" i="1"/>
  <c r="P1075" i="1"/>
  <c r="P1101" i="1"/>
  <c r="P1062" i="1"/>
  <c r="P787" i="1"/>
  <c r="P801" i="1"/>
  <c r="P541" i="1"/>
  <c r="P555" i="1"/>
  <c r="P549" i="1"/>
  <c r="P535" i="1"/>
  <c r="P105" i="1"/>
  <c r="P98" i="1"/>
  <c r="P103" i="1"/>
  <c r="P110" i="1"/>
  <c r="P907" i="1"/>
  <c r="P873" i="1"/>
  <c r="P896" i="1"/>
  <c r="P884" i="1"/>
  <c r="P119" i="1"/>
  <c r="P126" i="1"/>
  <c r="P93" i="1"/>
  <c r="P83" i="1"/>
  <c r="P96" i="1"/>
  <c r="P86" i="1"/>
  <c r="P760" i="1"/>
  <c r="P726" i="1"/>
  <c r="P738" i="1"/>
  <c r="P749" i="1"/>
  <c r="P897" i="1"/>
  <c r="P899" i="1"/>
  <c r="P908" i="1"/>
  <c r="P910" i="1"/>
  <c r="P1160" i="1"/>
  <c r="P1170" i="1"/>
  <c r="P1144" i="1"/>
  <c r="P1151" i="1"/>
  <c r="P759" i="1"/>
  <c r="P737" i="1"/>
  <c r="P725" i="1"/>
  <c r="P748" i="1"/>
  <c r="P362" i="1"/>
  <c r="P367" i="1"/>
  <c r="P359" i="1"/>
  <c r="P354" i="1"/>
  <c r="P680" i="1"/>
  <c r="P691" i="1"/>
  <c r="P932" i="1"/>
  <c r="P920" i="1"/>
  <c r="P511" i="1"/>
  <c r="P502" i="1"/>
  <c r="P1001" i="1"/>
  <c r="P990" i="1"/>
  <c r="P839" i="1"/>
  <c r="P826" i="1"/>
  <c r="P991" i="1"/>
  <c r="P1002" i="1"/>
  <c r="P969" i="1"/>
  <c r="P981" i="1"/>
  <c r="P251" i="1"/>
  <c r="P261" i="1"/>
  <c r="P186" i="1"/>
  <c r="P178" i="1"/>
  <c r="P449" i="1"/>
  <c r="P441" i="1"/>
  <c r="P575" i="1"/>
  <c r="P566" i="1"/>
  <c r="P986" i="1"/>
  <c r="P997" i="1"/>
  <c r="P988" i="1"/>
  <c r="P999" i="1"/>
  <c r="P469" i="1"/>
  <c r="P459" i="1"/>
  <c r="P517" i="1"/>
  <c r="P525" i="1"/>
  <c r="P507" i="1"/>
  <c r="P498" i="1"/>
  <c r="P111" i="1"/>
  <c r="P104" i="1"/>
  <c r="P285" i="1"/>
  <c r="P273" i="1"/>
  <c r="P906" i="1"/>
  <c r="P895" i="1"/>
  <c r="P1068" i="1"/>
  <c r="P1081" i="1"/>
  <c r="P1095" i="1"/>
  <c r="P1107" i="1"/>
  <c r="P614" i="1"/>
  <c r="P603" i="1"/>
  <c r="P90" i="1"/>
  <c r="P80" i="1"/>
  <c r="P784" i="1"/>
  <c r="P772" i="1"/>
  <c r="P212" i="1"/>
  <c r="P222" i="1"/>
  <c r="P848" i="1"/>
  <c r="P835" i="1"/>
  <c r="P823" i="1"/>
  <c r="P860" i="1"/>
  <c r="P410" i="1"/>
  <c r="P401" i="1"/>
  <c r="P765" i="1"/>
  <c r="P754" i="1"/>
  <c r="P328" i="1"/>
  <c r="P323" i="1"/>
  <c r="P150" i="1"/>
  <c r="P160" i="1"/>
  <c r="P349" i="1"/>
  <c r="P339" i="1"/>
  <c r="P708" i="1"/>
  <c r="P696" i="1"/>
  <c r="P22" i="1"/>
  <c r="P9" i="1"/>
  <c r="P1147" i="1"/>
  <c r="P1165" i="1"/>
  <c r="P1175" i="1"/>
  <c r="P1155" i="1"/>
  <c r="P245" i="1"/>
  <c r="P255" i="1"/>
  <c r="P236" i="1"/>
  <c r="P265" i="1"/>
  <c r="P960" i="1"/>
  <c r="P948" i="1"/>
  <c r="P1111" i="1"/>
  <c r="P1135" i="1"/>
  <c r="P1118" i="1"/>
  <c r="P1125" i="1"/>
  <c r="P427" i="1"/>
  <c r="P416" i="1"/>
  <c r="P332" i="1"/>
  <c r="P333" i="1"/>
  <c r="P199" i="1"/>
  <c r="P218" i="1"/>
  <c r="P208" i="1"/>
  <c r="P190" i="1"/>
  <c r="P655" i="1"/>
  <c r="P644" i="1"/>
  <c r="P667" i="1"/>
  <c r="P633" i="1"/>
  <c r="P56" i="1"/>
  <c r="P66" i="1"/>
  <c r="P729" i="1"/>
  <c r="P741" i="1"/>
  <c r="P574" i="1"/>
  <c r="P565" i="1"/>
  <c r="P393" i="1"/>
  <c r="P374" i="1"/>
  <c r="P384" i="1"/>
  <c r="P383" i="1"/>
  <c r="P69" i="1"/>
  <c r="P59" i="1"/>
  <c r="P67" i="1"/>
  <c r="P72" i="1"/>
  <c r="P57" i="1"/>
  <c r="P62" i="1"/>
  <c r="P173" i="1"/>
  <c r="P182" i="1"/>
  <c r="P621" i="1"/>
  <c r="P610" i="1"/>
  <c r="P808" i="1"/>
  <c r="P782" i="1"/>
  <c r="P770" i="1"/>
  <c r="P795" i="1"/>
  <c r="P239" i="1"/>
  <c r="P230" i="1"/>
  <c r="P240" i="1"/>
  <c r="P231" i="1"/>
  <c r="P904" i="1"/>
  <c r="P882" i="1"/>
  <c r="P893" i="1"/>
  <c r="P871" i="1"/>
  <c r="P962" i="1"/>
  <c r="P974" i="1"/>
  <c r="P966" i="1"/>
  <c r="P97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Alumno</author>
  </authors>
  <commentList>
    <comment ref="M132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Alumno:</t>
        </r>
        <r>
          <rPr>
            <sz val="9"/>
            <color indexed="81"/>
            <rFont val="Tahoma"/>
            <family val="2"/>
          </rPr>
          <t xml:space="preserve">
ESTAS HORAS VIENEN DE 1°5° CAMBIO CON FISTER SERV PROV
</t>
        </r>
      </text>
    </comment>
    <comment ref="M142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Alumno:</t>
        </r>
        <r>
          <rPr>
            <sz val="9"/>
            <color indexed="81"/>
            <rFont val="Tahoma"/>
            <family val="2"/>
          </rPr>
          <t xml:space="preserve">
ESTAS HORAS VIENEN DE 1°5° CAMBIO CON FISTER SERV PROV
</t>
        </r>
      </text>
    </comment>
    <comment ref="E670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Alumno:</t>
        </r>
        <r>
          <rPr>
            <sz val="9"/>
            <color indexed="81"/>
            <rFont val="Tahoma"/>
            <family val="2"/>
          </rPr>
          <t xml:space="preserve">
LA PROFESORA CAMBIO EL PARTE 3-3-22
</t>
        </r>
      </text>
    </comment>
    <comment ref="F915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Alumno:</t>
        </r>
        <r>
          <rPr>
            <sz val="9"/>
            <color indexed="81"/>
            <rFont val="Tahoma"/>
            <family val="2"/>
          </rPr>
          <t xml:space="preserve">
mañana
</t>
        </r>
      </text>
    </comment>
    <comment ref="F927" authorId="0" shapeId="0" xr:uid="{00000000-0006-0000-0600-000005000000}">
      <text>
        <r>
          <rPr>
            <b/>
            <sz val="9"/>
            <color indexed="81"/>
            <rFont val="Tahoma"/>
            <family val="2"/>
          </rPr>
          <t>Alumno:</t>
        </r>
        <r>
          <rPr>
            <sz val="9"/>
            <color indexed="81"/>
            <rFont val="Tahoma"/>
            <family val="2"/>
          </rPr>
          <t xml:space="preserve">
mañana
</t>
        </r>
      </text>
    </comment>
    <comment ref="F939" authorId="0" shapeId="0" xr:uid="{00000000-0006-0000-0600-000006000000}">
      <text>
        <r>
          <rPr>
            <b/>
            <sz val="9"/>
            <color indexed="81"/>
            <rFont val="Tahoma"/>
            <family val="2"/>
          </rPr>
          <t>Alumno:</t>
        </r>
        <r>
          <rPr>
            <sz val="9"/>
            <color indexed="81"/>
            <rFont val="Tahoma"/>
            <family val="2"/>
          </rPr>
          <t xml:space="preserve">
mañana
</t>
        </r>
      </text>
    </comment>
  </commentList>
</comments>
</file>

<file path=xl/sharedStrings.xml><?xml version="1.0" encoding="utf-8"?>
<sst xmlns="http://schemas.openxmlformats.org/spreadsheetml/2006/main" count="16199" uniqueCount="2805">
  <si>
    <t>CURSO</t>
  </si>
  <si>
    <t>COM</t>
  </si>
  <si>
    <t>cod</t>
  </si>
  <si>
    <t>H_D</t>
  </si>
  <si>
    <t>turno</t>
  </si>
  <si>
    <t>cod_mat</t>
  </si>
  <si>
    <t>materia</t>
  </si>
  <si>
    <t>AULA</t>
  </si>
  <si>
    <t>aula_mov</t>
  </si>
  <si>
    <t>1LU</t>
  </si>
  <si>
    <t>TARDE</t>
  </si>
  <si>
    <t>1°1°1111TST</t>
  </si>
  <si>
    <t>2LU</t>
  </si>
  <si>
    <t>3MA</t>
  </si>
  <si>
    <t>1°1°1121TLT</t>
  </si>
  <si>
    <t>AUDITORIO</t>
  </si>
  <si>
    <t>4MA</t>
  </si>
  <si>
    <t>1MA</t>
  </si>
  <si>
    <t>1°1°1111TLT</t>
  </si>
  <si>
    <t>2MA</t>
  </si>
  <si>
    <t>1°1°1121TPT</t>
  </si>
  <si>
    <t>HERRERIA</t>
  </si>
  <si>
    <t>1°1°1111TPT</t>
  </si>
  <si>
    <t>CARPINTERIA</t>
  </si>
  <si>
    <t>1MI</t>
  </si>
  <si>
    <t>1°1°1121TST</t>
  </si>
  <si>
    <t>2MI</t>
  </si>
  <si>
    <t>MAÑANA</t>
  </si>
  <si>
    <t>1°2°1211TLT</t>
  </si>
  <si>
    <t>3LU</t>
  </si>
  <si>
    <t>1°2°1221TLT</t>
  </si>
  <si>
    <t>4LU</t>
  </si>
  <si>
    <t>1°2°1211TST</t>
  </si>
  <si>
    <t>1°2°1221TPT</t>
  </si>
  <si>
    <t>1°2°1221TST</t>
  </si>
  <si>
    <t>3VI</t>
  </si>
  <si>
    <t>4VI</t>
  </si>
  <si>
    <t>1°3°1311TST</t>
  </si>
  <si>
    <t>HARDWARE</t>
  </si>
  <si>
    <t>1°3°1321TLT</t>
  </si>
  <si>
    <t>BIBLIOTECA</t>
  </si>
  <si>
    <t>1°3°1311TLT</t>
  </si>
  <si>
    <t>1°3°1321TST</t>
  </si>
  <si>
    <t>1JU</t>
  </si>
  <si>
    <t>1°3°1321TPT</t>
  </si>
  <si>
    <t>2JU</t>
  </si>
  <si>
    <t>3JU</t>
  </si>
  <si>
    <t>1°3°1311TPT</t>
  </si>
  <si>
    <t>4JU</t>
  </si>
  <si>
    <t>1°4°1411TPT</t>
  </si>
  <si>
    <t>3MI</t>
  </si>
  <si>
    <t>1°4°1421TPT</t>
  </si>
  <si>
    <t>4MI</t>
  </si>
  <si>
    <t>1°4°1421TLT</t>
  </si>
  <si>
    <t>1°4°1411TLT</t>
  </si>
  <si>
    <t>1mi</t>
  </si>
  <si>
    <t>1°4°1421TST</t>
  </si>
  <si>
    <t>1VI</t>
  </si>
  <si>
    <t>1°4°1411TST</t>
  </si>
  <si>
    <t>2VI</t>
  </si>
  <si>
    <t>SUPERPUESTO</t>
  </si>
  <si>
    <t>1°6°1611TST</t>
  </si>
  <si>
    <t>1°6°1621TST</t>
  </si>
  <si>
    <t>1°6°1611TLT</t>
  </si>
  <si>
    <t>1°6°1621TPT</t>
  </si>
  <si>
    <t>1°6°1611TPT</t>
  </si>
  <si>
    <t>1°6°1621TLT</t>
  </si>
  <si>
    <t>PREHORAVI</t>
  </si>
  <si>
    <t>2°1°2112TPT2</t>
  </si>
  <si>
    <t>2°1°2112TLT2</t>
  </si>
  <si>
    <t>2°1°2122TST2</t>
  </si>
  <si>
    <t>2°1°2122TPT2</t>
  </si>
  <si>
    <t>2°1°2112TST2</t>
  </si>
  <si>
    <t>2°1°2122TLT2</t>
  </si>
  <si>
    <t>2°2°2212TPT2</t>
  </si>
  <si>
    <t>2°2°2212TST2</t>
  </si>
  <si>
    <t>2°2°2222TLT2</t>
  </si>
  <si>
    <t>2°2°2212TLT2</t>
  </si>
  <si>
    <t>2°2°2222TST2</t>
  </si>
  <si>
    <t>2°2°2222TPT2</t>
  </si>
  <si>
    <t>2°3°2312TST2</t>
  </si>
  <si>
    <t>2°3°2312TPT2</t>
  </si>
  <si>
    <t>2°3°2322TPT2</t>
  </si>
  <si>
    <t>2°3°2312TLT2</t>
  </si>
  <si>
    <t>2°3°2322TST2</t>
  </si>
  <si>
    <t>2°3°2322TLT2</t>
  </si>
  <si>
    <t>2°4°2422TPT2</t>
  </si>
  <si>
    <t>2°4°2412TLT2</t>
  </si>
  <si>
    <t>1ma</t>
  </si>
  <si>
    <t>2°4°2412TST2</t>
  </si>
  <si>
    <t>2ma</t>
  </si>
  <si>
    <t>2°4°2422TST2</t>
  </si>
  <si>
    <t>2°4°2422TLT2</t>
  </si>
  <si>
    <t>2°4°2412TPT2</t>
  </si>
  <si>
    <t>2°5°2512TPT2</t>
  </si>
  <si>
    <t>2°5°2512TLT2</t>
  </si>
  <si>
    <t>2°5°2522TPT2</t>
  </si>
  <si>
    <t>2°5°2522TST2</t>
  </si>
  <si>
    <t>2°5°2512TST2</t>
  </si>
  <si>
    <t>2°5°2522TLT2</t>
  </si>
  <si>
    <t>3°1°3113TST3</t>
  </si>
  <si>
    <t>3°1°3123TST3</t>
  </si>
  <si>
    <t>5LU</t>
  </si>
  <si>
    <t>5MA</t>
  </si>
  <si>
    <t>3°1°3123TLT3</t>
  </si>
  <si>
    <t>3°1°3113TLT3</t>
  </si>
  <si>
    <t>3°1°3123TPT3</t>
  </si>
  <si>
    <t>3°1°3113TPT3</t>
  </si>
  <si>
    <t>3°2°3213TPT3</t>
  </si>
  <si>
    <t>3°2°3223TST3</t>
  </si>
  <si>
    <t>3°2°3213TST3</t>
  </si>
  <si>
    <t>3°2°3223TLT3</t>
  </si>
  <si>
    <t>3°2°3213TLT3</t>
  </si>
  <si>
    <t>3°2°3223TPT3</t>
  </si>
  <si>
    <t>3°3°3313TPT3</t>
  </si>
  <si>
    <t>3°3°3313TLT3</t>
  </si>
  <si>
    <t>3°3°3323TST3</t>
  </si>
  <si>
    <t>3°3°3323TPT3</t>
  </si>
  <si>
    <t>3°3°3313TST3</t>
  </si>
  <si>
    <t>3°3°3323TLT3</t>
  </si>
  <si>
    <t>3°4°3413TST3</t>
  </si>
  <si>
    <t>3°4°3423TPT3</t>
  </si>
  <si>
    <t>3°4°3413TLT3</t>
  </si>
  <si>
    <t>3°4°3423TLT3</t>
  </si>
  <si>
    <t>3°4°3413TPT3</t>
  </si>
  <si>
    <t>VESPERTINO</t>
  </si>
  <si>
    <t>3°4°3423TST3</t>
  </si>
  <si>
    <t>3°5°3513TST3</t>
  </si>
  <si>
    <t>3°5°3513TPT3</t>
  </si>
  <si>
    <t>3°5°3513TLT3</t>
  </si>
  <si>
    <t>3°5°3523TST3</t>
  </si>
  <si>
    <t>3°5°3523TpT3</t>
  </si>
  <si>
    <t>3°5°3523TLT3</t>
  </si>
  <si>
    <t>4°1°4124IFTLS4</t>
  </si>
  <si>
    <t>4°1°4114IFTLS4</t>
  </si>
  <si>
    <t>4°1°4124IFTLH4</t>
  </si>
  <si>
    <t>4°1°4124IFTLP4</t>
  </si>
  <si>
    <t>4°1°4114IFTLP4</t>
  </si>
  <si>
    <t>4°1°4114IFTLH4</t>
  </si>
  <si>
    <t>5JU</t>
  </si>
  <si>
    <t>4°1°4114IFTLA4</t>
  </si>
  <si>
    <t>4°1°4124IFTLA4</t>
  </si>
  <si>
    <t>4°2°4224IFTLS4</t>
  </si>
  <si>
    <t>4°2°4214IFTLH4</t>
  </si>
  <si>
    <t>4°2°4214IFTLA4</t>
  </si>
  <si>
    <t>4°2°4224IFTLH4</t>
  </si>
  <si>
    <t>4°2°4214IFTLS4</t>
  </si>
  <si>
    <t>4°2°4224IFTLA4</t>
  </si>
  <si>
    <t>4°2°4224IFTLP4</t>
  </si>
  <si>
    <t>4°2°4214IFTLP4</t>
  </si>
  <si>
    <t>4°3°4314EFTMP4</t>
  </si>
  <si>
    <t>4°3°4324EFTMP4</t>
  </si>
  <si>
    <t>4°3°4324EFTED4</t>
  </si>
  <si>
    <t>4°3°4314EFTAE4</t>
  </si>
  <si>
    <t>4°3°4324EFTAE4</t>
  </si>
  <si>
    <t>4°3°4314EFTED4</t>
  </si>
  <si>
    <t>4°4°4424EFTMP4</t>
  </si>
  <si>
    <t>4°4°4414EFTAE4</t>
  </si>
  <si>
    <t>4°4°4414EFTED4</t>
  </si>
  <si>
    <t>4°4°4424EFTAE4</t>
  </si>
  <si>
    <t>4°4°4424EFTED4</t>
  </si>
  <si>
    <t>4°4°4414EFTMP4</t>
  </si>
  <si>
    <t>5°1°5115IFTLP5</t>
  </si>
  <si>
    <t>5°1°5125IFTLH5</t>
  </si>
  <si>
    <t>5°1°5115IFTLH5</t>
  </si>
  <si>
    <t>5°1°5115IFTLA5</t>
  </si>
  <si>
    <t>5°1°5125IFTLA5</t>
  </si>
  <si>
    <t>5°1°5115IFTLS5</t>
  </si>
  <si>
    <t>5°1°5125IFTLS5</t>
  </si>
  <si>
    <t>5°1°5125IFTLP5</t>
  </si>
  <si>
    <t>5°2°5215IFTLH5</t>
  </si>
  <si>
    <t>5°2°5225IFTLS5</t>
  </si>
  <si>
    <t>5°2°5215IFTLP5</t>
  </si>
  <si>
    <t>5°2°5225IFTLA5</t>
  </si>
  <si>
    <t>5°2°5215IFTLS5</t>
  </si>
  <si>
    <t>5°2°5225IFTLP5</t>
  </si>
  <si>
    <t>5°2°5225IFTLH5</t>
  </si>
  <si>
    <t>5°2°5215IFTLA5</t>
  </si>
  <si>
    <t>5°3°5315EDASE</t>
  </si>
  <si>
    <t>5°3°5315EFTMP5</t>
  </si>
  <si>
    <t>5°3°5325EFTAE5</t>
  </si>
  <si>
    <t>5°3°5325EFTMP5</t>
  </si>
  <si>
    <t>5°3°5315EFTED5</t>
  </si>
  <si>
    <t>5°3°5325EFTED5</t>
  </si>
  <si>
    <t>5°3°5315EFTAE5</t>
  </si>
  <si>
    <t>5°3°5325EDASE</t>
  </si>
  <si>
    <t>5°4°5425EFTAE5</t>
  </si>
  <si>
    <t>5°4°5415EDASE</t>
  </si>
  <si>
    <t>5°4°5425EDASE</t>
  </si>
  <si>
    <t>5°4°5415EFTMP5</t>
  </si>
  <si>
    <t>5°4°5425EFTED5</t>
  </si>
  <si>
    <t>5°4°5415EFTAE5</t>
  </si>
  <si>
    <t>5°4°5425EFTMP5</t>
  </si>
  <si>
    <t>5°4°5415EFTED5</t>
  </si>
  <si>
    <t>6°1°6116IFTLH6</t>
  </si>
  <si>
    <t>6°1°6126IFTLH6</t>
  </si>
  <si>
    <t>6°1°6116IFTLA6</t>
  </si>
  <si>
    <t>6°1°6116IFHLS6</t>
  </si>
  <si>
    <t>6°1°6126IFTLA6</t>
  </si>
  <si>
    <t>6°1°6ISIDI6</t>
  </si>
  <si>
    <t>6°1°6116IFTLP6</t>
  </si>
  <si>
    <t>6°1°6126IFTLP6</t>
  </si>
  <si>
    <t>6°1°6126IFHLS6</t>
  </si>
  <si>
    <t>6°2°6216IFTLA6</t>
  </si>
  <si>
    <t>6°2°6216IFTLH6</t>
  </si>
  <si>
    <t>6°2°6226IFTLA6</t>
  </si>
  <si>
    <t>6°2°6226IFTLP6</t>
  </si>
  <si>
    <t>6°2°6226IFTLH6</t>
  </si>
  <si>
    <t>6°2°6216IFHLS6</t>
  </si>
  <si>
    <t>6°2°6226IFHLS6</t>
  </si>
  <si>
    <t>6°2°6216IFTLP6</t>
  </si>
  <si>
    <t>6°4°6416EFTMP6</t>
  </si>
  <si>
    <t>6°4°6416ELENE6</t>
  </si>
  <si>
    <t>6°4°6416EFTAE6</t>
  </si>
  <si>
    <t>6°4°6426EFTED6</t>
  </si>
  <si>
    <t>6°4°6416EFTED6</t>
  </si>
  <si>
    <t>6°4°6426ELENE6</t>
  </si>
  <si>
    <t>6°4°6426EFTMP6</t>
  </si>
  <si>
    <t>6°4°6426EFTAE6</t>
  </si>
  <si>
    <t>7°1°7117IPDISC</t>
  </si>
  <si>
    <t>7°1°7127IIMRSC</t>
  </si>
  <si>
    <t>7°1°7IPPSIN</t>
  </si>
  <si>
    <t>7°1°7127IIMRRI</t>
  </si>
  <si>
    <t>7°1°7117IIMRSC</t>
  </si>
  <si>
    <t>7°1°7117IIMRRI</t>
  </si>
  <si>
    <t>7°1°7127IPDISC</t>
  </si>
  <si>
    <t>7°2°7217EELEAP</t>
  </si>
  <si>
    <t>7°2°7227EPRODE</t>
  </si>
  <si>
    <t>7°2°7217EPRODE</t>
  </si>
  <si>
    <t>7°2°7217EINSIN</t>
  </si>
  <si>
    <t>7°2°7227EELEAP</t>
  </si>
  <si>
    <t>7°2°7227EINSIN</t>
  </si>
  <si>
    <t>5°1°5IANMAT</t>
  </si>
  <si>
    <t>5°1°5ILITS</t>
  </si>
  <si>
    <t>5°1°5IINGS</t>
  </si>
  <si>
    <t>5°1°5ISIDI4</t>
  </si>
  <si>
    <t>5°1°5IGEOS5</t>
  </si>
  <si>
    <t>5°1°5ITELEI</t>
  </si>
  <si>
    <t>5°1°5IPYCS</t>
  </si>
  <si>
    <t>5°1°5IHIS5</t>
  </si>
  <si>
    <t>5°2°5IEFIS</t>
  </si>
  <si>
    <t>PATIO</t>
  </si>
  <si>
    <t>5°1°5IEFIS</t>
  </si>
  <si>
    <t>5°3°5ELENE</t>
  </si>
  <si>
    <t>5°3°5EHIS5</t>
  </si>
  <si>
    <t>5°3°5EANMAT</t>
  </si>
  <si>
    <t>5°3°5ELITS</t>
  </si>
  <si>
    <t>5°3°5EGEOS5</t>
  </si>
  <si>
    <t>5°3°5EPYCS</t>
  </si>
  <si>
    <t>5°3°5EAMC</t>
  </si>
  <si>
    <t>5°3°5EINGS</t>
  </si>
  <si>
    <t>5°3°5EEFIS</t>
  </si>
  <si>
    <t>PATIO3</t>
  </si>
  <si>
    <t>5°4°5EPYCS</t>
  </si>
  <si>
    <t>5°4°5EGEOS5</t>
  </si>
  <si>
    <t>5°4°5ELENE</t>
  </si>
  <si>
    <t>5°4°5EANMAT</t>
  </si>
  <si>
    <t>5°4°5EAMC</t>
  </si>
  <si>
    <t>5°4°5EHIS5</t>
  </si>
  <si>
    <t>5°4°5ELITS</t>
  </si>
  <si>
    <t>5°4°5EINGS</t>
  </si>
  <si>
    <t>5°4°5EEFIS</t>
  </si>
  <si>
    <t>1°1°1ING</t>
  </si>
  <si>
    <t>1°1°1NAT</t>
  </si>
  <si>
    <t>1°1°1CCD</t>
  </si>
  <si>
    <t>1°1°1MAT</t>
  </si>
  <si>
    <t>1°1°1ART</t>
  </si>
  <si>
    <t>1°1°1SOC</t>
  </si>
  <si>
    <t>1°1°1LEN</t>
  </si>
  <si>
    <t>1°1°1EFI</t>
  </si>
  <si>
    <t>1°2°1LEN</t>
  </si>
  <si>
    <t>1°2°1NAT</t>
  </si>
  <si>
    <t>1°2°1MAT</t>
  </si>
  <si>
    <t>1°2°1ING</t>
  </si>
  <si>
    <t>1°2°1SOC</t>
  </si>
  <si>
    <t>5MI</t>
  </si>
  <si>
    <t>1°2°1CCD</t>
  </si>
  <si>
    <t>1°2°1ART</t>
  </si>
  <si>
    <t>1°2°1EFI</t>
  </si>
  <si>
    <t>1°3°1NAT</t>
  </si>
  <si>
    <t>1°3°1CCD</t>
  </si>
  <si>
    <t>1°3°1ING</t>
  </si>
  <si>
    <t>1°3°1MAT</t>
  </si>
  <si>
    <t>1°3°1LEN</t>
  </si>
  <si>
    <t>1°3°1SOC</t>
  </si>
  <si>
    <t>1°3°1ART</t>
  </si>
  <si>
    <t>1°3°1EFI</t>
  </si>
  <si>
    <t>1°4°1LEN</t>
  </si>
  <si>
    <t>1°4°1NAT</t>
  </si>
  <si>
    <t>1°4°1SOC</t>
  </si>
  <si>
    <t>1°4°1MAT</t>
  </si>
  <si>
    <t>1°4°1ART</t>
  </si>
  <si>
    <t>1°4°1ING</t>
  </si>
  <si>
    <t>1°4°1CCD</t>
  </si>
  <si>
    <t>1°4°1EFI</t>
  </si>
  <si>
    <t>PATIO2</t>
  </si>
  <si>
    <t>5VI</t>
  </si>
  <si>
    <t>1°6°1EFI</t>
  </si>
  <si>
    <t>2°1°2MAT</t>
  </si>
  <si>
    <t>2°1°2ING</t>
  </si>
  <si>
    <t>2°1°2CCD</t>
  </si>
  <si>
    <t>2°1°2PLG</t>
  </si>
  <si>
    <t>2°1°2FI/QUI</t>
  </si>
  <si>
    <t>2°1°2HIS</t>
  </si>
  <si>
    <t>2°1°2BIO</t>
  </si>
  <si>
    <t>2°1°2GEO</t>
  </si>
  <si>
    <t>2°1°2ART</t>
  </si>
  <si>
    <t>2°1°2EFI</t>
  </si>
  <si>
    <t>2°2°2FI/QUI</t>
  </si>
  <si>
    <t>2°2°2MAT</t>
  </si>
  <si>
    <t>2°2°2ING</t>
  </si>
  <si>
    <t>2°2°2HIS</t>
  </si>
  <si>
    <t>2°2°2BIO</t>
  </si>
  <si>
    <t>2°2°2CCD</t>
  </si>
  <si>
    <t>2°2°2ART</t>
  </si>
  <si>
    <t>2°2°2PLG</t>
  </si>
  <si>
    <t>2°2°2GEO</t>
  </si>
  <si>
    <t>2°2°2EFI</t>
  </si>
  <si>
    <t>2°3°2MAT</t>
  </si>
  <si>
    <t>2°3°2PLG</t>
  </si>
  <si>
    <t>2°3°2CCD</t>
  </si>
  <si>
    <t>2°3°2FI/QUI</t>
  </si>
  <si>
    <t>2°3°2HIS</t>
  </si>
  <si>
    <t>2°3°2BIO</t>
  </si>
  <si>
    <t>2°3°2ART</t>
  </si>
  <si>
    <t>2°3°2GEO</t>
  </si>
  <si>
    <t>2°3°2ING</t>
  </si>
  <si>
    <t>2°3°2EFI</t>
  </si>
  <si>
    <t>2°4°2FI/QUI</t>
  </si>
  <si>
    <t>2°4°2HIS</t>
  </si>
  <si>
    <t>2°4°2MAT</t>
  </si>
  <si>
    <t>2°4°2ART</t>
  </si>
  <si>
    <t>2°4°2BIO</t>
  </si>
  <si>
    <t>2°4°2CCD</t>
  </si>
  <si>
    <t>2°4°2GEO</t>
  </si>
  <si>
    <t>2°4°2PLG</t>
  </si>
  <si>
    <t>2°4°2ING</t>
  </si>
  <si>
    <t>2°4°2EFI</t>
  </si>
  <si>
    <t>2°5°2HIS</t>
  </si>
  <si>
    <t>2°5°2PLG</t>
  </si>
  <si>
    <t>2°5°2ART</t>
  </si>
  <si>
    <t>2°5°2MAT</t>
  </si>
  <si>
    <t>2°5°2GEO</t>
  </si>
  <si>
    <t>2°5°2FI/QUI</t>
  </si>
  <si>
    <t>2°5°2ING</t>
  </si>
  <si>
    <t>2°5°2BIO</t>
  </si>
  <si>
    <t>2°5°2EFI</t>
  </si>
  <si>
    <t>3°1°3ING</t>
  </si>
  <si>
    <t>3°1°3FI/QUI</t>
  </si>
  <si>
    <t>3°1°3EFI</t>
  </si>
  <si>
    <t>3°1°3HIS</t>
  </si>
  <si>
    <t>3°1°3BIO</t>
  </si>
  <si>
    <t>3°1°3CCD</t>
  </si>
  <si>
    <t>3°1°3GEO</t>
  </si>
  <si>
    <t>3°1°3MAT</t>
  </si>
  <si>
    <t>3°1°3PLG</t>
  </si>
  <si>
    <t>3°1°3ART</t>
  </si>
  <si>
    <t>3°2°3MAT</t>
  </si>
  <si>
    <t>3°2°3FI/QUI</t>
  </si>
  <si>
    <t>3°2°3ING</t>
  </si>
  <si>
    <t>3°2°3GEO</t>
  </si>
  <si>
    <t>3°2°3CCD</t>
  </si>
  <si>
    <t>3°2°3HIS</t>
  </si>
  <si>
    <t>3°2°3PLG</t>
  </si>
  <si>
    <t>3°2°3ART</t>
  </si>
  <si>
    <t>3°2°3BIO</t>
  </si>
  <si>
    <t>3°2°3EFI</t>
  </si>
  <si>
    <t>3°3°3PLG</t>
  </si>
  <si>
    <t>3°3°3FI/QUI</t>
  </si>
  <si>
    <t>3°3°3ING</t>
  </si>
  <si>
    <t>3°3°3ART</t>
  </si>
  <si>
    <t>3°3°3MAT</t>
  </si>
  <si>
    <t>3°3°3GEO</t>
  </si>
  <si>
    <t>3°3°3HIS</t>
  </si>
  <si>
    <t>3°3°3CCD</t>
  </si>
  <si>
    <t>3°3°3BIO</t>
  </si>
  <si>
    <t>3°3°3EFI</t>
  </si>
  <si>
    <t>3°4°3GEO</t>
  </si>
  <si>
    <t>3°4°3MAT</t>
  </si>
  <si>
    <t>3°4°3PLG</t>
  </si>
  <si>
    <t>3°4°3ART</t>
  </si>
  <si>
    <t>3°4°3BIO</t>
  </si>
  <si>
    <t>3°4°3HIS</t>
  </si>
  <si>
    <t>3°4°3CCD</t>
  </si>
  <si>
    <t>3°4°3ING</t>
  </si>
  <si>
    <t>3°4°3FI/QUI</t>
  </si>
  <si>
    <t>3°4°3EFI</t>
  </si>
  <si>
    <t>3°5°3BIO</t>
  </si>
  <si>
    <t>3°5°3MAT</t>
  </si>
  <si>
    <t>3°5°3ING</t>
  </si>
  <si>
    <t>3°5°3GEO</t>
  </si>
  <si>
    <t>3°5°3ART</t>
  </si>
  <si>
    <t>3°5°3PLG</t>
  </si>
  <si>
    <t>3°5°3CCD</t>
  </si>
  <si>
    <t>3°5°3HIS</t>
  </si>
  <si>
    <t>3°5°3FI/QUI</t>
  </si>
  <si>
    <t>3°5°3EFI</t>
  </si>
  <si>
    <t>4°1°4IFIS</t>
  </si>
  <si>
    <t>4°1°4ILITS</t>
  </si>
  <si>
    <t>4°1°4IMATES</t>
  </si>
  <si>
    <t>4°1°4IGEOS</t>
  </si>
  <si>
    <t>4°1°4IHIS</t>
  </si>
  <si>
    <t>4°1°4IQUIS</t>
  </si>
  <si>
    <t>4°1°4ISADS</t>
  </si>
  <si>
    <t>4°1°4IINGS</t>
  </si>
  <si>
    <t>4°1°4ITELE</t>
  </si>
  <si>
    <t>4°2°4IMATES</t>
  </si>
  <si>
    <t>4°2°4IINGS</t>
  </si>
  <si>
    <t>4°2°4ILITS</t>
  </si>
  <si>
    <t>4°2°4IGEOS</t>
  </si>
  <si>
    <t>4°2°4ITELE</t>
  </si>
  <si>
    <t>4°2°4ISADS</t>
  </si>
  <si>
    <t>4°2°4IFIS</t>
  </si>
  <si>
    <t>4°2°4IHIS</t>
  </si>
  <si>
    <t>4°2°4IQUIS</t>
  </si>
  <si>
    <t>4°2°4IEFIS</t>
  </si>
  <si>
    <t>4°3°4EHIS</t>
  </si>
  <si>
    <t>4°3°4EFMC</t>
  </si>
  <si>
    <t>4°3°4ELITS</t>
  </si>
  <si>
    <t>4°3°4ESADS</t>
  </si>
  <si>
    <t>4°3°4EMATES</t>
  </si>
  <si>
    <t>4°3°4EGEOS</t>
  </si>
  <si>
    <t>4°3°4EFIS</t>
  </si>
  <si>
    <t>4°3°4EINGS</t>
  </si>
  <si>
    <t>4°3°4ETELE</t>
  </si>
  <si>
    <t>4°3°4EQUIS</t>
  </si>
  <si>
    <t>4°3°4EEFIS</t>
  </si>
  <si>
    <t>4°4°4EINGS</t>
  </si>
  <si>
    <t>4°4°4ELITS</t>
  </si>
  <si>
    <t>4°4°4ETELE</t>
  </si>
  <si>
    <t>PREHORAMA</t>
  </si>
  <si>
    <t>4°4°4EQUIS</t>
  </si>
  <si>
    <t>4°4°4EFIS</t>
  </si>
  <si>
    <t>4°4°4EGEOS</t>
  </si>
  <si>
    <t>4°4°4ESADS</t>
  </si>
  <si>
    <t>4°4°4EMATES</t>
  </si>
  <si>
    <t>4°4°4EFMC</t>
  </si>
  <si>
    <t>4°4°4EHIS</t>
  </si>
  <si>
    <t>4°4°4EEFIS</t>
  </si>
  <si>
    <t>6°1°6IDETRA</t>
  </si>
  <si>
    <t>6°1°6IINVOP</t>
  </si>
  <si>
    <t>6°1°6IARTE</t>
  </si>
  <si>
    <t>6°1°6IMATAP</t>
  </si>
  <si>
    <t>6°1°6IFILO</t>
  </si>
  <si>
    <t>6°1°6IINGS</t>
  </si>
  <si>
    <t>6°1°6ILITS</t>
  </si>
  <si>
    <t>6°1°6ISEIN</t>
  </si>
  <si>
    <t>6°1°6IEFIS</t>
  </si>
  <si>
    <t>PREHORAMI</t>
  </si>
  <si>
    <t>6°2°6IMATAP</t>
  </si>
  <si>
    <t>6°2°6IDETRA</t>
  </si>
  <si>
    <t>6°2°6IARTE</t>
  </si>
  <si>
    <t>6°2°6IINGS</t>
  </si>
  <si>
    <t>6°2°6ISIDI6</t>
  </si>
  <si>
    <t>6°2°6IFILO</t>
  </si>
  <si>
    <t>6°2°6IINVOP</t>
  </si>
  <si>
    <t>6°2°6ISEIN</t>
  </si>
  <si>
    <t>6°2°6ILITS</t>
  </si>
  <si>
    <t>6°2°6IEFIS</t>
  </si>
  <si>
    <t>6°4°6EARTE</t>
  </si>
  <si>
    <t>6°4°6EMATAP</t>
  </si>
  <si>
    <t>6°4°6ESISCO</t>
  </si>
  <si>
    <t>6°4°6EINSMA</t>
  </si>
  <si>
    <t>6°4°6EDETRA</t>
  </si>
  <si>
    <t>6°4°6ELITS</t>
  </si>
  <si>
    <t>6°4°6EINGS</t>
  </si>
  <si>
    <t>6°4°6ESIPRO</t>
  </si>
  <si>
    <t>6°4°6EFILO</t>
  </si>
  <si>
    <t>6°4°6EEFIS</t>
  </si>
  <si>
    <t>7°1°7IBADAT</t>
  </si>
  <si>
    <t>7°1°7IEVPRO</t>
  </si>
  <si>
    <t>7°1°7IMOSIS</t>
  </si>
  <si>
    <t>7°1°7IPPDLO</t>
  </si>
  <si>
    <t>7°2°7ESISDC</t>
  </si>
  <si>
    <t>7°2°7ESEHPA</t>
  </si>
  <si>
    <t>7°2°7EPPDLO</t>
  </si>
  <si>
    <t>7°2°7ESIDCO</t>
  </si>
  <si>
    <t>Etiquetas de fila</t>
  </si>
  <si>
    <t>1°1°</t>
  </si>
  <si>
    <t>1°2°</t>
  </si>
  <si>
    <t>1°3°</t>
  </si>
  <si>
    <t>1°4°</t>
  </si>
  <si>
    <t>1°6°</t>
  </si>
  <si>
    <t>2°1°</t>
  </si>
  <si>
    <t>2°2°</t>
  </si>
  <si>
    <t>2°3°</t>
  </si>
  <si>
    <t>2°4°</t>
  </si>
  <si>
    <t>2°5°</t>
  </si>
  <si>
    <t>3°1°</t>
  </si>
  <si>
    <t>3°2°</t>
  </si>
  <si>
    <t>3°3°</t>
  </si>
  <si>
    <t>3°4°</t>
  </si>
  <si>
    <t>3°5°</t>
  </si>
  <si>
    <t>4°1°</t>
  </si>
  <si>
    <t>4°2°</t>
  </si>
  <si>
    <t>4°3°</t>
  </si>
  <si>
    <t>4°4°</t>
  </si>
  <si>
    <t>5°3°</t>
  </si>
  <si>
    <t>5°4°</t>
  </si>
  <si>
    <t>6°1°</t>
  </si>
  <si>
    <t>6°2°</t>
  </si>
  <si>
    <t>6°4°</t>
  </si>
  <si>
    <t>7°2°</t>
  </si>
  <si>
    <t>5°1°</t>
  </si>
  <si>
    <t>5°2°</t>
  </si>
  <si>
    <t>7°1°</t>
  </si>
  <si>
    <t>dia</t>
  </si>
  <si>
    <t>JU</t>
  </si>
  <si>
    <t>LU</t>
  </si>
  <si>
    <t>MA</t>
  </si>
  <si>
    <t>MI</t>
  </si>
  <si>
    <t>VI</t>
  </si>
  <si>
    <t>CONTRATURNO</t>
  </si>
  <si>
    <t>MODALIDAD</t>
  </si>
  <si>
    <t>ma</t>
  </si>
  <si>
    <t>mi</t>
  </si>
  <si>
    <t>DOCENTE</t>
  </si>
  <si>
    <t xml:space="preserve">ETCHEVERRY MARTIN                            </t>
  </si>
  <si>
    <t>3MATHERRERIA</t>
  </si>
  <si>
    <t>PROCEDIMIENTOS TECNICOS</t>
  </si>
  <si>
    <t>LENGUAJES TECNOLOGICOS</t>
  </si>
  <si>
    <t>EDUCACION FISICA</t>
  </si>
  <si>
    <t>LAB DE APLICACIONES</t>
  </si>
  <si>
    <t>LAB DE HARDWARE</t>
  </si>
  <si>
    <t>LAB DE PROGRAM</t>
  </si>
  <si>
    <t xml:space="preserve">LAB DE SIST OPERATIVOS   </t>
  </si>
  <si>
    <t xml:space="preserve">APLI DE ELECT ANALOGICA </t>
  </si>
  <si>
    <t xml:space="preserve">APLI DE ELECT DIGITAL </t>
  </si>
  <si>
    <t xml:space="preserve">MOTAJE DE PROY ELEC </t>
  </si>
  <si>
    <t xml:space="preserve">LAB DE APLICACIONES </t>
  </si>
  <si>
    <t xml:space="preserve">LAB DE HARDWARE </t>
  </si>
  <si>
    <t xml:space="preserve">LAB DE PROGRAM </t>
  </si>
  <si>
    <t>LAB DE SIST OPERATIVOS</t>
  </si>
  <si>
    <t>SISTEMA DIGITAL</t>
  </si>
  <si>
    <t xml:space="preserve">ALPIC ELECT ANALOG </t>
  </si>
  <si>
    <t>APLIC ELECTR DIGITAL</t>
  </si>
  <si>
    <t xml:space="preserve">DISEÑO ASIST Y SIMUL ELECT </t>
  </si>
  <si>
    <t>EDUCACIÓN FISICA</t>
  </si>
  <si>
    <t xml:space="preserve">MONT DE PROYEC ELECTRONICOS </t>
  </si>
  <si>
    <t>FILOSOFIA</t>
  </si>
  <si>
    <t xml:space="preserve">LAB DE SIST OPERATIVOS </t>
  </si>
  <si>
    <t>SEGURIDAD INFORMATICA</t>
  </si>
  <si>
    <t>ALPIC ELECT ANALOG</t>
  </si>
  <si>
    <t xml:space="preserve">APLIC ELECTR DIGITAL </t>
  </si>
  <si>
    <t>LENGUAJE ELECTRONICO</t>
  </si>
  <si>
    <t xml:space="preserve">MONTAJE DE PROYECTO ELECTRONICOS </t>
  </si>
  <si>
    <t xml:space="preserve">INSTALACION, MANTENIMIENTO Y REPARACION DE REDES INFORMATICAS- </t>
  </si>
  <si>
    <t>INSTALACION, MANTENIMIENTO Y REPARACION DE SISTEMAS COMPUTACIONALES-</t>
  </si>
  <si>
    <t>PRACTICAS PROFESIONALIZANTES</t>
  </si>
  <si>
    <t>PROYECTO, DISEÑO E IMPLEMENTACION DE SISTEMAS COMPUTACIONALES</t>
  </si>
  <si>
    <t>ELECTRONICA APLICADA</t>
  </si>
  <si>
    <t>INSTALACIONES INDUSTRIALES</t>
  </si>
  <si>
    <t xml:space="preserve">PROYECTO Y DISEÑO ELECTRONICO </t>
  </si>
  <si>
    <t>1°2°1211TPT</t>
  </si>
  <si>
    <t>COD_2</t>
  </si>
  <si>
    <t>MARTES Y VIERNES LIBRE</t>
  </si>
  <si>
    <t xml:space="preserve">ESTAS HORAS VIENEN DE 1°5° CAMBIO CON FISTER (Serv.Prov)       </t>
  </si>
  <si>
    <t>PREHORAVILU</t>
  </si>
  <si>
    <t>CAMBIO 1/3 ANTES JUEVES 1 Y S</t>
  </si>
  <si>
    <t>CAMBIO 1/3 ANTES MARTES 1 Y S</t>
  </si>
  <si>
    <t>CAMBIO 1-3-2033 ANTES 1 Y 2 MA</t>
  </si>
  <si>
    <t>CAMBIO 1-3-2022 ANTES 1 Y 2 VI</t>
  </si>
  <si>
    <t>|</t>
  </si>
  <si>
    <t>4°1°4IEFIS</t>
  </si>
  <si>
    <t>1°1°1LUTARDE111</t>
  </si>
  <si>
    <t>1LUT45</t>
  </si>
  <si>
    <t xml:space="preserve">FISTER (Serv.Prov)         </t>
  </si>
  <si>
    <t>1°1°1111TSTLU</t>
  </si>
  <si>
    <t>1°1°3MATARDE112</t>
  </si>
  <si>
    <t>3MATAUDITORIO</t>
  </si>
  <si>
    <t xml:space="preserve">BARROZO RAMON            </t>
  </si>
  <si>
    <t>1°1°1121TLTMA</t>
  </si>
  <si>
    <t>1°1°1MATARDE111</t>
  </si>
  <si>
    <t>1MATAUDITORIO</t>
  </si>
  <si>
    <t xml:space="preserve">BARROZO RAMON                   </t>
  </si>
  <si>
    <t>1°1°1111TLTMA</t>
  </si>
  <si>
    <t>1°1°1MATARDE112</t>
  </si>
  <si>
    <t>1MATHERRERIA</t>
  </si>
  <si>
    <t xml:space="preserve">LEYES RICARDO              </t>
  </si>
  <si>
    <t>1°1°1121TPTMA</t>
  </si>
  <si>
    <t>1°1°3MATARDE111</t>
  </si>
  <si>
    <t>3MATCARPINTERIA</t>
  </si>
  <si>
    <t xml:space="preserve">GUTIERREZ FERNANDO </t>
  </si>
  <si>
    <t>1°1°1111TPTMA</t>
  </si>
  <si>
    <t>1°1°1MITARDE112</t>
  </si>
  <si>
    <t>1MIT12</t>
  </si>
  <si>
    <t xml:space="preserve">RODRIGUEZ RAUL         </t>
  </si>
  <si>
    <t>1°1°1121TSTMI</t>
  </si>
  <si>
    <t>1°2°1LUMAÑANA121</t>
  </si>
  <si>
    <t>1LUMAUDITORIO</t>
  </si>
  <si>
    <t xml:space="preserve">RIVAROLA NORMA                    </t>
  </si>
  <si>
    <t>1°2°1211TLTLU</t>
  </si>
  <si>
    <t>1°2°3LUMAÑANA122</t>
  </si>
  <si>
    <t>3LUMAUDITORIO</t>
  </si>
  <si>
    <t xml:space="preserve">RIVAROLA NORMA              </t>
  </si>
  <si>
    <t>1°2°1221TLTLU</t>
  </si>
  <si>
    <t>1°2°3LUMAÑANA121</t>
  </si>
  <si>
    <t>3LUM52</t>
  </si>
  <si>
    <t>1°2°1211TSTLU</t>
  </si>
  <si>
    <t>1°2°1MAMAÑANA122</t>
  </si>
  <si>
    <t>1MAMCARPINTERIA</t>
  </si>
  <si>
    <t>1°2°1221TPTMA</t>
  </si>
  <si>
    <t>1°2°3MAMAÑANA122</t>
  </si>
  <si>
    <t>3MAMCARPINTERIA</t>
  </si>
  <si>
    <t xml:space="preserve">GARCIA MONICA                   </t>
  </si>
  <si>
    <t>1°2°1221TSTMA</t>
  </si>
  <si>
    <t>1°2°3VIMAÑANA121</t>
  </si>
  <si>
    <t>3VIMCARPINTERIA</t>
  </si>
  <si>
    <t>1°2°1211TPTVI</t>
  </si>
  <si>
    <t>1°3°1LUTARDE131</t>
  </si>
  <si>
    <t>1LUTHARDWARE</t>
  </si>
  <si>
    <t xml:space="preserve">PADIN OLINIK JORGE </t>
  </si>
  <si>
    <t>1°3°1311TSTLU</t>
  </si>
  <si>
    <t>1°3°1LUTARDE132</t>
  </si>
  <si>
    <t>1LUTBIBLIOTECA</t>
  </si>
  <si>
    <t xml:space="preserve">RIVAROLA NORMA       </t>
  </si>
  <si>
    <t>1°3°1321TLTLU</t>
  </si>
  <si>
    <t>1°3°3LUTARDE131</t>
  </si>
  <si>
    <t>3LUTHARDWARE</t>
  </si>
  <si>
    <t xml:space="preserve">RIVAROLA NORMA            </t>
  </si>
  <si>
    <t>1°3°1311TLTLU</t>
  </si>
  <si>
    <t>1°3°1MATARDE132</t>
  </si>
  <si>
    <t>1MAT45</t>
  </si>
  <si>
    <t>RAMIREZ, JORGE</t>
  </si>
  <si>
    <t>1°3°1321TSTMA</t>
  </si>
  <si>
    <t>1°3°1JUTARDE132</t>
  </si>
  <si>
    <t>1JUTCARPINTERIA</t>
  </si>
  <si>
    <t xml:space="preserve">GUTIERREZ FERNANDO              </t>
  </si>
  <si>
    <t>1°3°1321TPTJU</t>
  </si>
  <si>
    <t>1°3°3JUTARDE131</t>
  </si>
  <si>
    <t>3JUTHERRERIA</t>
  </si>
  <si>
    <t xml:space="preserve">GUTIERREZ FERNANDO           </t>
  </si>
  <si>
    <t>1°3°1311TPTJU</t>
  </si>
  <si>
    <t>1°4°1MIMAÑANA141</t>
  </si>
  <si>
    <t>1MIMCARPINTERIA</t>
  </si>
  <si>
    <t xml:space="preserve">ESPINDOLA SERGIO                          </t>
  </si>
  <si>
    <t>1°4°1411TPTMI</t>
  </si>
  <si>
    <t>1°4°3MIMAÑANA142</t>
  </si>
  <si>
    <t>3MIMCARPINTERIA</t>
  </si>
  <si>
    <t>1°4°1421TPTMI</t>
  </si>
  <si>
    <t>1°4°1JUMAÑANA142</t>
  </si>
  <si>
    <t>1JUMAUDITORIO</t>
  </si>
  <si>
    <t xml:space="preserve">ACEVEDO ALCIDES                </t>
  </si>
  <si>
    <t>1°4°1421TLTJU</t>
  </si>
  <si>
    <t>1°4°3JUMAÑANA141</t>
  </si>
  <si>
    <t>3JUMAUDITORIO</t>
  </si>
  <si>
    <t xml:space="preserve">ACEVEDO ALCIDES            </t>
  </si>
  <si>
    <t>1°4°1411TLTJU</t>
  </si>
  <si>
    <t>1°4°1miMAÑANA142</t>
  </si>
  <si>
    <t>1miM30</t>
  </si>
  <si>
    <t xml:space="preserve">RIOS MARTHA                </t>
  </si>
  <si>
    <t>1°4°1421TSTmi</t>
  </si>
  <si>
    <t>1°4°1LUMAÑANA141</t>
  </si>
  <si>
    <t>1LUM52</t>
  </si>
  <si>
    <t>ETCHEVERRY MARTIN</t>
  </si>
  <si>
    <t>1°4°1411TSTLU</t>
  </si>
  <si>
    <t>1°6°1LUMAÑANA161</t>
  </si>
  <si>
    <t>1LUM45</t>
  </si>
  <si>
    <t xml:space="preserve">ESCALADA ARNALDO     </t>
  </si>
  <si>
    <t>1°6°1611TSTLU</t>
  </si>
  <si>
    <t>1°6°3LUMAÑANA162</t>
  </si>
  <si>
    <t>3LUM45</t>
  </si>
  <si>
    <t xml:space="preserve">CORDOBA ALEJANDRO              </t>
  </si>
  <si>
    <t>1°6°1621TSTLU</t>
  </si>
  <si>
    <t>1°6°1JUMAÑANA161</t>
  </si>
  <si>
    <t>1JUM12</t>
  </si>
  <si>
    <t>1°6°1611TLTJU</t>
  </si>
  <si>
    <t>1°6°1JUMAÑANA162</t>
  </si>
  <si>
    <t>1JUMCARPINTERIA</t>
  </si>
  <si>
    <t xml:space="preserve">PAZ DANIEL                     </t>
  </si>
  <si>
    <t>1°6°1621TPTJU</t>
  </si>
  <si>
    <t>1°6°3JUMAÑANA161</t>
  </si>
  <si>
    <t>3JUMCARPINTERIA</t>
  </si>
  <si>
    <t>1°6°1611TPTJU</t>
  </si>
  <si>
    <t>1°6°3JUMAÑANA162</t>
  </si>
  <si>
    <t>3JUM12</t>
  </si>
  <si>
    <t>1°6°1621TLTJU</t>
  </si>
  <si>
    <t>2°1°3LUTARDE211</t>
  </si>
  <si>
    <t>3LUTHERRERIA</t>
  </si>
  <si>
    <t>FIORELA PANUNCIO</t>
  </si>
  <si>
    <t>2°1°2112TPT2LU</t>
  </si>
  <si>
    <t>2°1°1MITARDE211</t>
  </si>
  <si>
    <t>1MITAUDITORIO</t>
  </si>
  <si>
    <t xml:space="preserve">RIVAROLA NORMA                               </t>
  </si>
  <si>
    <t>2°1°2112TLT2MI</t>
  </si>
  <si>
    <t>2°1°1MITARDE212</t>
  </si>
  <si>
    <t>1MIT45</t>
  </si>
  <si>
    <t xml:space="preserve">VERA LORENA                        </t>
  </si>
  <si>
    <t>2°1°2122TST2MI</t>
  </si>
  <si>
    <t>2°1°3MITARDE212</t>
  </si>
  <si>
    <t>3MITCARPINTERIA</t>
  </si>
  <si>
    <t xml:space="preserve">CHAMORRO CRISTIAN                        </t>
  </si>
  <si>
    <t>2°1°2122TPT2MI</t>
  </si>
  <si>
    <t>2°1°1VITARDE211</t>
  </si>
  <si>
    <t>1VIT12</t>
  </si>
  <si>
    <t xml:space="preserve">AGUILERA CRISTINA                      </t>
  </si>
  <si>
    <t>2°1°2112TST2VI</t>
  </si>
  <si>
    <t>2°1°3VITARDE212</t>
  </si>
  <si>
    <t>3VITAUDITORIO</t>
  </si>
  <si>
    <t xml:space="preserve">RIVAROLA NORMA                  </t>
  </si>
  <si>
    <t>2°1°2122TLT2VI</t>
  </si>
  <si>
    <t>2°2°1LUMAÑANA221</t>
  </si>
  <si>
    <t>1LUMCARPINTERIA</t>
  </si>
  <si>
    <t xml:space="preserve">PADIN OLINIK JORGE              </t>
  </si>
  <si>
    <t>2°2°2212TPT2LU</t>
  </si>
  <si>
    <t>2°2°3MAMAÑANA221</t>
  </si>
  <si>
    <t>3MAM52</t>
  </si>
  <si>
    <t xml:space="preserve">LOIS EDUARDO        </t>
  </si>
  <si>
    <t>2°2°2212TST2MA</t>
  </si>
  <si>
    <t>2°2°1MIMAÑANA222</t>
  </si>
  <si>
    <t>1MIMAUDITORIO</t>
  </si>
  <si>
    <t>2°2°2222TLT2MI</t>
  </si>
  <si>
    <t>2°2°3MIMAÑANA221</t>
  </si>
  <si>
    <t>3MIMAUDITORIO</t>
  </si>
  <si>
    <t xml:space="preserve">RIVAROLA NORMA                            </t>
  </si>
  <si>
    <t>2°2°2212TLT2MI</t>
  </si>
  <si>
    <t>2°2°3MIMAÑANA222</t>
  </si>
  <si>
    <t>3MIM52</t>
  </si>
  <si>
    <t>2°2°2222TST2MI</t>
  </si>
  <si>
    <t>2°2°1JUMAÑANA222</t>
  </si>
  <si>
    <t>1JUMHERRERIA</t>
  </si>
  <si>
    <t>2°2°2222TPT2JU</t>
  </si>
  <si>
    <t>2°3°1MATARDE231</t>
  </si>
  <si>
    <t>1MAT30</t>
  </si>
  <si>
    <t xml:space="preserve">LOIS EDUARDO </t>
  </si>
  <si>
    <t>2°3°2312TST2MA</t>
  </si>
  <si>
    <t>2°3°1MITARDE231</t>
  </si>
  <si>
    <t>1MITCARPINTERIA</t>
  </si>
  <si>
    <t>CHAMORRO CRISTIAN</t>
  </si>
  <si>
    <t>2°3°2312TPT2MI</t>
  </si>
  <si>
    <t>2°3°3MITARDE232</t>
  </si>
  <si>
    <t>3MITHERRERIA</t>
  </si>
  <si>
    <t>CAMBULE, PEDRO</t>
  </si>
  <si>
    <t>2°3°2322TPT2MI</t>
  </si>
  <si>
    <t>1MITHERRERIA</t>
  </si>
  <si>
    <t>2°3°3MITARDE231</t>
  </si>
  <si>
    <t>3MITAUDITORIO</t>
  </si>
  <si>
    <t xml:space="preserve">RIVAROLA NORMA </t>
  </si>
  <si>
    <t>2°3°2312TLT2MI</t>
  </si>
  <si>
    <t>2°3°1JUTARDE232</t>
  </si>
  <si>
    <t>1JUT30</t>
  </si>
  <si>
    <t>ECHAVE, CRISTIAN</t>
  </si>
  <si>
    <t>2°3°2322TST2JU</t>
  </si>
  <si>
    <t>2°3°1VITARDE232</t>
  </si>
  <si>
    <t>1VITAUDITORIO</t>
  </si>
  <si>
    <t>RIVAROLA NORMA</t>
  </si>
  <si>
    <t>2°3°2322TLT2VI</t>
  </si>
  <si>
    <t>2°4°1MAMAÑANA242</t>
  </si>
  <si>
    <t>1MAMHERRERIA</t>
  </si>
  <si>
    <t>CRUZ DAVID</t>
  </si>
  <si>
    <t>2°4°2422TPT2MA</t>
  </si>
  <si>
    <t>2°4°1MIMAÑANA241</t>
  </si>
  <si>
    <t>1MIM52</t>
  </si>
  <si>
    <t>FISTER, VICTOR</t>
  </si>
  <si>
    <t>2°4°2412TLT2MI</t>
  </si>
  <si>
    <t>2°4°1maMAÑANA241</t>
  </si>
  <si>
    <t>1maM52</t>
  </si>
  <si>
    <t>RIOS MARTHA</t>
  </si>
  <si>
    <t>2°4°2412TST2ma</t>
  </si>
  <si>
    <t>2°4°3MIMAÑANA242</t>
  </si>
  <si>
    <t>3MIMHERRERIA</t>
  </si>
  <si>
    <t xml:space="preserve">ETCHEVERRY MARTIN  </t>
  </si>
  <si>
    <t>2°4°2422TST2MI</t>
  </si>
  <si>
    <t>2°4°3JUMAÑANA242</t>
  </si>
  <si>
    <t>3JUM52</t>
  </si>
  <si>
    <t xml:space="preserve">LEYES RICARDO  </t>
  </si>
  <si>
    <t>2°4°2422TLT2JU</t>
  </si>
  <si>
    <t>2°4°1VIMAÑANA241</t>
  </si>
  <si>
    <t>1VIMCARPINTERIA</t>
  </si>
  <si>
    <t>LUZURIAGA ANGEL</t>
  </si>
  <si>
    <t>2°4°2412TPT2VI</t>
  </si>
  <si>
    <t>2°5°1LUTARDE251</t>
  </si>
  <si>
    <t>1LUTCARPINTERIA</t>
  </si>
  <si>
    <t xml:space="preserve">THOMPSON PEDRO  </t>
  </si>
  <si>
    <t>2°5°2512TPT2LU</t>
  </si>
  <si>
    <t>2°5°1MATARDE251</t>
  </si>
  <si>
    <t>1MAT12</t>
  </si>
  <si>
    <t xml:space="preserve">THOMPSON PEDRO </t>
  </si>
  <si>
    <t>2°5°2512TLT2MA</t>
  </si>
  <si>
    <t>2°5°3MATARDE252</t>
  </si>
  <si>
    <t>RAMIREZ,  JORGE</t>
  </si>
  <si>
    <t>2°5°2522TPT2MA</t>
  </si>
  <si>
    <t>1JUTSUPERPUESTO</t>
  </si>
  <si>
    <t>2°5°3MITARDE252</t>
  </si>
  <si>
    <t>3MIT45</t>
  </si>
  <si>
    <t xml:space="preserve">MOLINA, WALTER </t>
  </si>
  <si>
    <t>2°5°2522TST2MI</t>
  </si>
  <si>
    <t>2°5°1VITARDE251</t>
  </si>
  <si>
    <t>1VITCARPINTERIA</t>
  </si>
  <si>
    <t xml:space="preserve">COLMAN GUILLERMO </t>
  </si>
  <si>
    <t>2°5°2512TST2VI</t>
  </si>
  <si>
    <t>2°5°3VITARDE252</t>
  </si>
  <si>
    <t>3VIT12</t>
  </si>
  <si>
    <t>THOMPSON PEDRO</t>
  </si>
  <si>
    <t>2°5°2522TLT2VI</t>
  </si>
  <si>
    <t>3°1°1LUTARDE311</t>
  </si>
  <si>
    <t>1LUTAUDITORIO</t>
  </si>
  <si>
    <t xml:space="preserve">ECHAZU FARIAS </t>
  </si>
  <si>
    <t>3°1°3113TST3LU</t>
  </si>
  <si>
    <t>3°1°4LUTARDE312</t>
  </si>
  <si>
    <t>4LUT45</t>
  </si>
  <si>
    <t xml:space="preserve">MUÑOZ MAURICIO </t>
  </si>
  <si>
    <t>3°1°3123TST3LU</t>
  </si>
  <si>
    <t>3°1°1MIMAÑANA312</t>
  </si>
  <si>
    <t>1MIM40</t>
  </si>
  <si>
    <t>GUTIERREZ FERNANDO</t>
  </si>
  <si>
    <t>3°1°3123TLT3MI</t>
  </si>
  <si>
    <t>3°1°3MIMAÑANA311</t>
  </si>
  <si>
    <t>3MIM40</t>
  </si>
  <si>
    <t xml:space="preserve">GUTIERREZ FERNANDO  </t>
  </si>
  <si>
    <t>3°1°3113TLT3MI</t>
  </si>
  <si>
    <t>3°1°1JUTARDE312</t>
  </si>
  <si>
    <t xml:space="preserve">CANO JORGE </t>
  </si>
  <si>
    <t>3°1°3123TPT3JU</t>
  </si>
  <si>
    <t>3°1°1VITARDE311</t>
  </si>
  <si>
    <t>1VITSUPERPUESTO</t>
  </si>
  <si>
    <t xml:space="preserve">FISTER (Serv.Prov) </t>
  </si>
  <si>
    <t>3°1°3113TPT3VI</t>
  </si>
  <si>
    <t>3°2°1LUMAÑANA321</t>
  </si>
  <si>
    <t>1LUMHERRERIA</t>
  </si>
  <si>
    <t>LEYES RICARDO</t>
  </si>
  <si>
    <t>3°2°3213TPT3LU</t>
  </si>
  <si>
    <t>3°2°1LUMAÑANA322</t>
  </si>
  <si>
    <t>1LUM41</t>
  </si>
  <si>
    <t xml:space="preserve">SOSA SILVIA BEATRIZ </t>
  </si>
  <si>
    <t>3°2°3223TST3LU</t>
  </si>
  <si>
    <t>3°2°1MAMAÑANA321</t>
  </si>
  <si>
    <t>1MAM30</t>
  </si>
  <si>
    <t>3°2°3213TST3MA</t>
  </si>
  <si>
    <t>3°2°1MAMAÑANA322</t>
  </si>
  <si>
    <t>1MAM41</t>
  </si>
  <si>
    <t>JUAN MANUEL</t>
  </si>
  <si>
    <t>3°2°3223TLT3MA</t>
  </si>
  <si>
    <t>3°2°1VIMAÑANA321</t>
  </si>
  <si>
    <t>1VIM40</t>
  </si>
  <si>
    <t>3°2°3213TLT3VI</t>
  </si>
  <si>
    <t>3°2°1VIMAÑANA322</t>
  </si>
  <si>
    <t>1VIMHERRERIA</t>
  </si>
  <si>
    <t>3°2°3223TPT3VI</t>
  </si>
  <si>
    <t>3°3°1LUTARDE331</t>
  </si>
  <si>
    <t>1LUTHERRERIA</t>
  </si>
  <si>
    <t xml:space="preserve">CHAMORRO CRISTIAN </t>
  </si>
  <si>
    <t>3°3°3313TPT3LU</t>
  </si>
  <si>
    <t>3°3°1MATARDE331</t>
  </si>
  <si>
    <t>1MAT40</t>
  </si>
  <si>
    <t>3°3°3313TLT3MA</t>
  </si>
  <si>
    <t>3°3°1MATARDE332</t>
  </si>
  <si>
    <t>1MAT46</t>
  </si>
  <si>
    <t>CORDOBA ALEJANDRO</t>
  </si>
  <si>
    <t>3°3°3323TST3MA</t>
  </si>
  <si>
    <t>3°3°3MITARDE332</t>
  </si>
  <si>
    <t>3MITSUPERPUESTO</t>
  </si>
  <si>
    <t xml:space="preserve">CASTILLO ANGEL </t>
  </si>
  <si>
    <t>3°3°3323TPT3MI</t>
  </si>
  <si>
    <t>3°3°1MITARDE331</t>
  </si>
  <si>
    <t>COLAZO VIRGINIA</t>
  </si>
  <si>
    <t>3°3°3313TST3MI</t>
  </si>
  <si>
    <t>3°3°1VITARDE332</t>
  </si>
  <si>
    <t>1VIT30</t>
  </si>
  <si>
    <t xml:space="preserve">PROCHOR PABLO  </t>
  </si>
  <si>
    <t>3°3°3323TLT3VI</t>
  </si>
  <si>
    <t>3°4°1LUMAÑANA341</t>
  </si>
  <si>
    <t>1LUM30</t>
  </si>
  <si>
    <t xml:space="preserve">LOPEZ. JOTHAN </t>
  </si>
  <si>
    <t>3°4°3413TST3LU</t>
  </si>
  <si>
    <t>3°4°3LUMAÑANA342</t>
  </si>
  <si>
    <t>3LUMHERRERIA</t>
  </si>
  <si>
    <t>3°4°3423TPT3LU</t>
  </si>
  <si>
    <t>3°4°1MAMAÑANA341</t>
  </si>
  <si>
    <t>1MAM40</t>
  </si>
  <si>
    <t>3°4°3413TLT3MA</t>
  </si>
  <si>
    <t>3°4°3MAMAÑANA342</t>
  </si>
  <si>
    <t>3MAM40</t>
  </si>
  <si>
    <t>3°4°3423TLT3MA</t>
  </si>
  <si>
    <t>3°4°1MIMAÑANA341</t>
  </si>
  <si>
    <t>1MIMHERRERIA</t>
  </si>
  <si>
    <t>3°4°3413TPT3MI</t>
  </si>
  <si>
    <t>3°4°1JUVESPERTINO342</t>
  </si>
  <si>
    <t>1JUV30</t>
  </si>
  <si>
    <t xml:space="preserve">ROTOLO, LUCIANO </t>
  </si>
  <si>
    <t>3°4°3423TST3JU</t>
  </si>
  <si>
    <t>3°5°1JUTARDE351</t>
  </si>
  <si>
    <t>1JUT12</t>
  </si>
  <si>
    <t>PAZ DANIEL</t>
  </si>
  <si>
    <t>3°5°3513TST3JU</t>
  </si>
  <si>
    <t>3°5°1MAVESPERTINO351</t>
  </si>
  <si>
    <t>1MAVHERRERIA</t>
  </si>
  <si>
    <t>3°5°3513TPT3MA</t>
  </si>
  <si>
    <t>3°5°3MAVESPERTINO351</t>
  </si>
  <si>
    <t>3MAVAUDITORIO</t>
  </si>
  <si>
    <t>3°5°3513TLT3MA</t>
  </si>
  <si>
    <t>3°5°1LUTARDE352</t>
  </si>
  <si>
    <t>1LUT12</t>
  </si>
  <si>
    <t>3°5°3523TST3LU</t>
  </si>
  <si>
    <t>3°5°1VITARDE352</t>
  </si>
  <si>
    <t>1VITHERRERIA</t>
  </si>
  <si>
    <t xml:space="preserve">VIANA MAURO                  </t>
  </si>
  <si>
    <t>3°5°3523TpT3VI</t>
  </si>
  <si>
    <t>3°5°3VITARDE352</t>
  </si>
  <si>
    <t>3VIT40</t>
  </si>
  <si>
    <t>CASTILLO MARCOS</t>
  </si>
  <si>
    <t>3°5°3523TLT3VI</t>
  </si>
  <si>
    <t>4°1°1LUTARDE412</t>
  </si>
  <si>
    <t>1LUT40</t>
  </si>
  <si>
    <t>4°1°4124IFTLS4LU</t>
  </si>
  <si>
    <t>4°1°1MATARDE411</t>
  </si>
  <si>
    <t>1MAT52</t>
  </si>
  <si>
    <t>4°1°4114IFTLS4MA</t>
  </si>
  <si>
    <t>4°1°1MATARDE412</t>
  </si>
  <si>
    <t>1MATHARDWARE</t>
  </si>
  <si>
    <t xml:space="preserve">ARBORIO ELSA </t>
  </si>
  <si>
    <t>4°1°4124IFTLH4MA</t>
  </si>
  <si>
    <t>4°1°1MITARDE412</t>
  </si>
  <si>
    <t>1MIT41</t>
  </si>
  <si>
    <t>ARBORIO ELSA</t>
  </si>
  <si>
    <t>4°1°4124IFTLP4MI</t>
  </si>
  <si>
    <t>4°1°1MITARDE411</t>
  </si>
  <si>
    <t>1MIT52</t>
  </si>
  <si>
    <t>4°1°4114IFTLP4MI</t>
  </si>
  <si>
    <t>4°1°2JUTARDE411</t>
  </si>
  <si>
    <t>2JUT40</t>
  </si>
  <si>
    <t>4°1°4114IFTLH4JU</t>
  </si>
  <si>
    <t>4°1°1VITARDE411</t>
  </si>
  <si>
    <t>1VIT41</t>
  </si>
  <si>
    <t>ROCHA, JULIETA</t>
  </si>
  <si>
    <t>4°1°4114IFTLA4VI</t>
  </si>
  <si>
    <t>4°1°1VITARDE412</t>
  </si>
  <si>
    <t>1VIT40</t>
  </si>
  <si>
    <t xml:space="preserve">PROCHOR GLORIA </t>
  </si>
  <si>
    <t>4°1°4124IFTLA4VI</t>
  </si>
  <si>
    <t>4°2°1LUMAÑANA422</t>
  </si>
  <si>
    <t>1LUM40</t>
  </si>
  <si>
    <t>4°2°4224IFTLS4LU</t>
  </si>
  <si>
    <t>4°2°1LUVESPERTINO421</t>
  </si>
  <si>
    <t>1LUVHARDWARE</t>
  </si>
  <si>
    <t xml:space="preserve">FERREYRA VICTOR </t>
  </si>
  <si>
    <t>4°2°4214IFTLH4LU</t>
  </si>
  <si>
    <t>4°2°1MIMAÑANA421</t>
  </si>
  <si>
    <t>1MIM41</t>
  </si>
  <si>
    <t>4°2°4214IFTLA4MI</t>
  </si>
  <si>
    <t>4°2°1MIMAÑANA422</t>
  </si>
  <si>
    <t>1MIM31</t>
  </si>
  <si>
    <t>MUÑOZ MAURICIO</t>
  </si>
  <si>
    <t>4°2°4224IFTLH4MI</t>
  </si>
  <si>
    <t>4°2°1JUMAÑANA421</t>
  </si>
  <si>
    <t>1JUM31</t>
  </si>
  <si>
    <t>4°2°4214IFTLS4JU</t>
  </si>
  <si>
    <t>4°2°1JUMAÑANA422</t>
  </si>
  <si>
    <t>1JUM41</t>
  </si>
  <si>
    <t>RIVERA JOSE F M</t>
  </si>
  <si>
    <t>4°2°4224IFTLA4JU</t>
  </si>
  <si>
    <t>4°2°3JUMAÑANA422</t>
  </si>
  <si>
    <t>3JUM41</t>
  </si>
  <si>
    <t xml:space="preserve">ORMEÑO </t>
  </si>
  <si>
    <t>4°2°4224IFTLP4JU</t>
  </si>
  <si>
    <t>4°2°3VIMAÑANA421</t>
  </si>
  <si>
    <t>3VIM41</t>
  </si>
  <si>
    <t>4°2°4214IFTLP4VI</t>
  </si>
  <si>
    <t>4°3°1LUTARDE431</t>
  </si>
  <si>
    <t>1LUT46</t>
  </si>
  <si>
    <t xml:space="preserve">SAUCEDO GUSTAVO </t>
  </si>
  <si>
    <t>4°3°4314EFTMP4LU</t>
  </si>
  <si>
    <t>4°3°1MITARDE432</t>
  </si>
  <si>
    <t>1MIT46</t>
  </si>
  <si>
    <t>4°3°4324EFTMP4MI</t>
  </si>
  <si>
    <t>4°3°3MITARDE432</t>
  </si>
  <si>
    <t>3MIT46</t>
  </si>
  <si>
    <t>4°3°4324EFTED4MI</t>
  </si>
  <si>
    <t>4°3°1JUTARDE431</t>
  </si>
  <si>
    <t>1JUT46</t>
  </si>
  <si>
    <t>4°3°4314EFTAE4JU</t>
  </si>
  <si>
    <t>4°3°1JUTARDE432</t>
  </si>
  <si>
    <t>1JUT44</t>
  </si>
  <si>
    <t xml:space="preserve">BARBIERI OSVALDO </t>
  </si>
  <si>
    <t>4°3°4324EFTAE4JU</t>
  </si>
  <si>
    <t>4°3°1VITARDE431</t>
  </si>
  <si>
    <t>1VIT46</t>
  </si>
  <si>
    <t>CÓRDOBA ERNESTO</t>
  </si>
  <si>
    <t>4°3°4314EFTED4VI</t>
  </si>
  <si>
    <t>4°4°1LUMAÑANA442</t>
  </si>
  <si>
    <t>1LUM46</t>
  </si>
  <si>
    <t xml:space="preserve">VELAZQUEZ GERARDO </t>
  </si>
  <si>
    <t>4°4°4424EFTMP4LU</t>
  </si>
  <si>
    <t>4°4°3LUMAÑANA441</t>
  </si>
  <si>
    <t>3LUM46</t>
  </si>
  <si>
    <t>4°4°4414EFTAE4LU</t>
  </si>
  <si>
    <t>4°4°1MAMAÑANA441</t>
  </si>
  <si>
    <t>1MAM46</t>
  </si>
  <si>
    <t>MARTINEZ, SILVIO</t>
  </si>
  <si>
    <t>4°4°4414EFTED4MA</t>
  </si>
  <si>
    <t>4°4°1MAMAÑANA442</t>
  </si>
  <si>
    <t>1MAMAUDITORIO</t>
  </si>
  <si>
    <t>4°4°4424EFTAE4MA</t>
  </si>
  <si>
    <t>4°4°1MIMAÑANA442</t>
  </si>
  <si>
    <t>1MIM46</t>
  </si>
  <si>
    <t>BULACIO OSVALDO</t>
  </si>
  <si>
    <t>4°4°4424EFTED4MI</t>
  </si>
  <si>
    <t>4°4°1VIMAÑANA441</t>
  </si>
  <si>
    <t>1VIM46</t>
  </si>
  <si>
    <t xml:space="preserve">QUINTANA RAMON </t>
  </si>
  <si>
    <t>4°4°4414EFTMP4VI</t>
  </si>
  <si>
    <t>5°1°1LUTARDE511</t>
  </si>
  <si>
    <t>1LUT41</t>
  </si>
  <si>
    <t>5°1°5115IFTLP5LU</t>
  </si>
  <si>
    <t>5°1°1LUTARDE512</t>
  </si>
  <si>
    <t>1LUT31</t>
  </si>
  <si>
    <t>FERREYRA VICTOR</t>
  </si>
  <si>
    <t>5°1°5125IFTLH5LU</t>
  </si>
  <si>
    <t>5°1°3MATARDE511</t>
  </si>
  <si>
    <t>3MAT45</t>
  </si>
  <si>
    <t>HERRERA, STELLA</t>
  </si>
  <si>
    <t>5°1°5115IFTLH5MA</t>
  </si>
  <si>
    <t>5°1°1MITARDE511</t>
  </si>
  <si>
    <t>1MIT31</t>
  </si>
  <si>
    <t>5°1°5115IFTLA5MI</t>
  </si>
  <si>
    <t>5°1°3MITARDE512</t>
  </si>
  <si>
    <t>3MIT41</t>
  </si>
  <si>
    <t xml:space="preserve">BARCENILLA, JAVIER </t>
  </si>
  <si>
    <t>5°1°5125IFTLA5MI</t>
  </si>
  <si>
    <t>5°1°1JUTARDE511</t>
  </si>
  <si>
    <t>1JUT52</t>
  </si>
  <si>
    <t xml:space="preserve">GARCIA MONICA </t>
  </si>
  <si>
    <t>5°1°5115IFTLS5JU</t>
  </si>
  <si>
    <t>5°1°1JUTARDE512</t>
  </si>
  <si>
    <t>1JUT31</t>
  </si>
  <si>
    <t>5°1°5125IFTLS5JU</t>
  </si>
  <si>
    <t>5°1°1VITARDE512</t>
  </si>
  <si>
    <t>1VIT31</t>
  </si>
  <si>
    <t>GARCIA MONICA</t>
  </si>
  <si>
    <t>5°1°5125IFTLP5VI</t>
  </si>
  <si>
    <t>5°2°1LUVESPERTINO521</t>
  </si>
  <si>
    <t>1LUV31</t>
  </si>
  <si>
    <t>5°2°5215IFTLH5LU</t>
  </si>
  <si>
    <t>5°2°1LUVESPERTINO522</t>
  </si>
  <si>
    <t>1LUV30</t>
  </si>
  <si>
    <t xml:space="preserve">HERRERA LEONEL      </t>
  </si>
  <si>
    <t>5°2°5225IFTLS5LU</t>
  </si>
  <si>
    <t>5°2°1MAVESPERTINO521</t>
  </si>
  <si>
    <t>1MAV41</t>
  </si>
  <si>
    <t>5°2°5215IFTLP5MA</t>
  </si>
  <si>
    <t>5°2°1MAVESPERTINO522</t>
  </si>
  <si>
    <t>1MAV40</t>
  </si>
  <si>
    <t>5°2°5225IFTLA5MA</t>
  </si>
  <si>
    <t>5°2°1MIVESPERTINO521</t>
  </si>
  <si>
    <t>1MIV31</t>
  </si>
  <si>
    <t>5°2°5215IFTLS5MI</t>
  </si>
  <si>
    <t>5°2°1MIVESPERTINO522</t>
  </si>
  <si>
    <t>1MIV40</t>
  </si>
  <si>
    <t xml:space="preserve">RIOS MARTHA </t>
  </si>
  <si>
    <t>5°2°5225IFTLP5MI</t>
  </si>
  <si>
    <t>5°2°3MIVESPERTINO522</t>
  </si>
  <si>
    <t>3MIV40</t>
  </si>
  <si>
    <t xml:space="preserve">BARONI, ROBERTO </t>
  </si>
  <si>
    <t>5°2°5225IFTLH5MI</t>
  </si>
  <si>
    <t>5°2°3JUVESPERTINO521</t>
  </si>
  <si>
    <t>3JUV41</t>
  </si>
  <si>
    <t>5°2°5215IFTLA5JU</t>
  </si>
  <si>
    <t>5°3°3MIMAÑANA531</t>
  </si>
  <si>
    <t>3MIM45</t>
  </si>
  <si>
    <t>5°3°5315EDASEMI</t>
  </si>
  <si>
    <t>5°3°1MAMAÑANA531</t>
  </si>
  <si>
    <t>1MAM44</t>
  </si>
  <si>
    <t>GUTIERREZ ANGEL</t>
  </si>
  <si>
    <t>5°3°5315EFTMP5MA</t>
  </si>
  <si>
    <t>5°3°1MAMAÑANA532</t>
  </si>
  <si>
    <t>1MAM45</t>
  </si>
  <si>
    <t>5°3°5325EFTAE5MA</t>
  </si>
  <si>
    <t>5°3°1MIMAÑANA532</t>
  </si>
  <si>
    <t>1MIM44</t>
  </si>
  <si>
    <t>SERENO, LEONEL</t>
  </si>
  <si>
    <t>5°3°5325EFTMP5MI</t>
  </si>
  <si>
    <t>5°3°1JUMAÑANA531</t>
  </si>
  <si>
    <t>1JUM45</t>
  </si>
  <si>
    <t>5°3°5315EFTED5JU</t>
  </si>
  <si>
    <t>5°3°1JUMAÑANA532</t>
  </si>
  <si>
    <t>1JUM46</t>
  </si>
  <si>
    <t xml:space="preserve">FISTER VICTOR </t>
  </si>
  <si>
    <t>5°3°5325EFTED5JU</t>
  </si>
  <si>
    <t>5°3°1VIMAÑANA531</t>
  </si>
  <si>
    <t>1VIM45</t>
  </si>
  <si>
    <t>5°3°5315EFTAE5VI</t>
  </si>
  <si>
    <t>5°3°3VIMAÑANA532</t>
  </si>
  <si>
    <t>3VIMAUDITORIO</t>
  </si>
  <si>
    <t>ESCALADA ARNALDO</t>
  </si>
  <si>
    <t>5°3°5325EDASEVI</t>
  </si>
  <si>
    <t>5°4°1LUVESPERTINO542</t>
  </si>
  <si>
    <t>1LUV46</t>
  </si>
  <si>
    <t>BARBIERI OSVALDO</t>
  </si>
  <si>
    <t>5°4°5425EFTAE5LU</t>
  </si>
  <si>
    <t>5°4°1MAVESPERTINO541</t>
  </si>
  <si>
    <t>1MAV46</t>
  </si>
  <si>
    <t>5°4°5415EDASEMA</t>
  </si>
  <si>
    <t>5°4°1MAVESPERTINO542</t>
  </si>
  <si>
    <t>1MAV45</t>
  </si>
  <si>
    <t xml:space="preserve">MARTINEZ, SILVIO </t>
  </si>
  <si>
    <t>5°4°5425EDASEMA</t>
  </si>
  <si>
    <t>5°4°1MIVESPERTINO541</t>
  </si>
  <si>
    <t>1MIV44</t>
  </si>
  <si>
    <t>5°4°5415EFTMP5MI</t>
  </si>
  <si>
    <t>5°4°1MIVESPERTINO542</t>
  </si>
  <si>
    <t>1MIVAUDITORIO</t>
  </si>
  <si>
    <t>5°4°5425EFTED5MI</t>
  </si>
  <si>
    <t>5°4°1JUVESPERTINO541</t>
  </si>
  <si>
    <t>1JUV46</t>
  </si>
  <si>
    <t>5°4°5415EFTAE5JU</t>
  </si>
  <si>
    <t>5°4°1JUVESPERTINO542</t>
  </si>
  <si>
    <t>1JUV44</t>
  </si>
  <si>
    <t>5°4°5425EFTMP5JU</t>
  </si>
  <si>
    <t>5°4°1VIVESPERTINO541</t>
  </si>
  <si>
    <t>1VIV46</t>
  </si>
  <si>
    <t>5°4°5415EFTED5VI</t>
  </si>
  <si>
    <t>6°1°1LUTARDE611</t>
  </si>
  <si>
    <t>1LUT52</t>
  </si>
  <si>
    <t>6°1°6116IFTLH6LU</t>
  </si>
  <si>
    <t>6°1°1LUTARDE612</t>
  </si>
  <si>
    <t>1LUT30</t>
  </si>
  <si>
    <t>6°1°6126IFTLH6LU</t>
  </si>
  <si>
    <t>6°1°5LUMAÑANA611</t>
  </si>
  <si>
    <t>5LUM31</t>
  </si>
  <si>
    <t>6°1°6116IFTLA6LU</t>
  </si>
  <si>
    <t>6°1°1MATARDE611</t>
  </si>
  <si>
    <t>1MAT31</t>
  </si>
  <si>
    <t>6°1°6116IFHLS6MA</t>
  </si>
  <si>
    <t>6°1°3MITARDE612</t>
  </si>
  <si>
    <t>3MIT31</t>
  </si>
  <si>
    <t>6°1°6126IFTLA6MI</t>
  </si>
  <si>
    <t>6°1°1JUTARDE0</t>
  </si>
  <si>
    <t>1JUT45</t>
  </si>
  <si>
    <t xml:space="preserve">CARPITELLA FABIAN </t>
  </si>
  <si>
    <t>6°1°6ISIDI6JU</t>
  </si>
  <si>
    <t>6°1°3VITARDE611</t>
  </si>
  <si>
    <t>3VIT31</t>
  </si>
  <si>
    <t>VERON, LEANDRO</t>
  </si>
  <si>
    <t>6°1°6116IFTLP6VI</t>
  </si>
  <si>
    <t>6°1°3VITARDE612</t>
  </si>
  <si>
    <t>3VIT41</t>
  </si>
  <si>
    <t>6°1°6126IFTLP6VI</t>
  </si>
  <si>
    <t>6°1°1VIMAÑANA612</t>
  </si>
  <si>
    <t>1VIM30</t>
  </si>
  <si>
    <t>6°1°6126IFHLS6VI</t>
  </si>
  <si>
    <t>6°2°1LUMAÑANA621</t>
  </si>
  <si>
    <t>1LUM31</t>
  </si>
  <si>
    <t>6°2°6216IFTLA6LU</t>
  </si>
  <si>
    <t>6°2°1MAMAÑANA621</t>
  </si>
  <si>
    <t>1MAMHARDWARE</t>
  </si>
  <si>
    <t>6°2°6216IFTLH6MA</t>
  </si>
  <si>
    <t>6°2°1MAMAÑANA622</t>
  </si>
  <si>
    <t>1MAM31</t>
  </si>
  <si>
    <t>6°2°6226IFTLA6MA</t>
  </si>
  <si>
    <t>6°2°3MAMAÑANA622</t>
  </si>
  <si>
    <t>3MAM31</t>
  </si>
  <si>
    <t>6°2°6226IFTLP6MA</t>
  </si>
  <si>
    <t>6°2°1MIMAÑANA622</t>
  </si>
  <si>
    <t>6°2°6226IFTLH6MI</t>
  </si>
  <si>
    <t>6°2°1JUMAÑANA621</t>
  </si>
  <si>
    <t>1JUM40</t>
  </si>
  <si>
    <t>6°2°6216IFHLS6JU</t>
  </si>
  <si>
    <t>6°2°1VIMAÑANA622</t>
  </si>
  <si>
    <t>1VIM31</t>
  </si>
  <si>
    <t>6°2°6226IFHLS6VI</t>
  </si>
  <si>
    <t>6°2°1VIMAÑANA621</t>
  </si>
  <si>
    <t>1VIM41</t>
  </si>
  <si>
    <t>6°2°6216IFTLP6VI</t>
  </si>
  <si>
    <t>6°4°1LUMAÑANA641</t>
  </si>
  <si>
    <t>1LUM44</t>
  </si>
  <si>
    <t>SAUCEDO GUSTAVO</t>
  </si>
  <si>
    <t>6°4°6416EFTMP6LU</t>
  </si>
  <si>
    <t>6°4°1MIMAÑANA641</t>
  </si>
  <si>
    <t>1MIM45</t>
  </si>
  <si>
    <t>6°4°6416ELENE6MI</t>
  </si>
  <si>
    <t>6°4°1MIVESPERTINO641</t>
  </si>
  <si>
    <t>1MIV45</t>
  </si>
  <si>
    <t>6°4°6416EFTAE6MI</t>
  </si>
  <si>
    <t>6°4°2MIVESPERTINO642</t>
  </si>
  <si>
    <t>2MIV46</t>
  </si>
  <si>
    <t>PADIN OLINIK JORGE</t>
  </si>
  <si>
    <t>6°4°6426EFTED6MI</t>
  </si>
  <si>
    <t>6°4°1JUVESPERTINO641</t>
  </si>
  <si>
    <t>1JUVAUDITORIO</t>
  </si>
  <si>
    <t>6°4°6416EFTED6JU</t>
  </si>
  <si>
    <t>6°4°1JUVESPERTINO642</t>
  </si>
  <si>
    <t>1JUV45</t>
  </si>
  <si>
    <t>6°4°6426ELENE6JU</t>
  </si>
  <si>
    <t>6°4°1VIMAÑANA642</t>
  </si>
  <si>
    <t>1VIM44</t>
  </si>
  <si>
    <t>6°4°6426EFTMP6VI</t>
  </si>
  <si>
    <t>6°4°1VIVESPERTINO642</t>
  </si>
  <si>
    <t>1VIV44</t>
  </si>
  <si>
    <t>6°4°6426EFTAE6VI</t>
  </si>
  <si>
    <t>7°1°1LUVESPERTINO711</t>
  </si>
  <si>
    <t>1LUV40</t>
  </si>
  <si>
    <t>CARPITELLA FABIAN</t>
  </si>
  <si>
    <t>7°1°7117IPDISCLU</t>
  </si>
  <si>
    <t>7°1°1LUVESPERTINO712</t>
  </si>
  <si>
    <t>1LUV52</t>
  </si>
  <si>
    <t>7°1°7127IIMRSCLU</t>
  </si>
  <si>
    <t>7°1°1LUTARDE0</t>
  </si>
  <si>
    <t>7°1°7IPPSINLU</t>
  </si>
  <si>
    <t>7°1°1MITARDE712</t>
  </si>
  <si>
    <t>1MIT30</t>
  </si>
  <si>
    <t>7°1°7127IIMRRIMI</t>
  </si>
  <si>
    <t>7°1°1JUTARDE711</t>
  </si>
  <si>
    <t>1JUT41</t>
  </si>
  <si>
    <t>DELLA VECCHIA I</t>
  </si>
  <si>
    <t>7°1°7117IIMRSCJU</t>
  </si>
  <si>
    <t>7°1°1VIVESPERTINO711</t>
  </si>
  <si>
    <t>1VIV31</t>
  </si>
  <si>
    <t>7°1°7117IIMRRIVI</t>
  </si>
  <si>
    <t>7°1°1VIVESPERTINO712</t>
  </si>
  <si>
    <t>1VIV40</t>
  </si>
  <si>
    <t>7°1°7127IPDISCVI</t>
  </si>
  <si>
    <t>7°2°PREHORAVILUTARDE721</t>
  </si>
  <si>
    <t>PREHORAVILUT44</t>
  </si>
  <si>
    <t>7°2°7217EELEAPLU</t>
  </si>
  <si>
    <t>7°2°1LUVESPERTINO722</t>
  </si>
  <si>
    <t>1LUV45</t>
  </si>
  <si>
    <t>7°2°7227EPRODELU</t>
  </si>
  <si>
    <t>7°2°1LUTARDE721</t>
  </si>
  <si>
    <t>1LUT44</t>
  </si>
  <si>
    <t>7°2°7217EPRODELU</t>
  </si>
  <si>
    <t>7°2°1JUMAÑANA721</t>
  </si>
  <si>
    <t>1JUM44</t>
  </si>
  <si>
    <t>7°2°7217EINSINJU</t>
  </si>
  <si>
    <t>7°2°1MITARDE722</t>
  </si>
  <si>
    <t>1MIT44</t>
  </si>
  <si>
    <t>MARTINCUS, GASTON</t>
  </si>
  <si>
    <t>7°2°7227EELEAPMI</t>
  </si>
  <si>
    <t>7°2°1JUVESPERTINO722</t>
  </si>
  <si>
    <t>1JUVBIBLIOTECA</t>
  </si>
  <si>
    <t>7°2°7227EINSINJU</t>
  </si>
  <si>
    <t>5°2°1VIVESPERTINO0</t>
  </si>
  <si>
    <t>1VIVPATIO</t>
  </si>
  <si>
    <t xml:space="preserve">FUENTE, DIEGO   </t>
  </si>
  <si>
    <t>5°2°5IEFISVI</t>
  </si>
  <si>
    <t>5°1°1MATARDE0</t>
  </si>
  <si>
    <t>1MATPATIO</t>
  </si>
  <si>
    <t>LUDUEÑA NELSON</t>
  </si>
  <si>
    <t>5°1°5IEFISMA</t>
  </si>
  <si>
    <t>5°3°1MATARDE0</t>
  </si>
  <si>
    <t>1MATPATIO3</t>
  </si>
  <si>
    <t>SANCHEZ CARLOS</t>
  </si>
  <si>
    <t>5°3°5EEFISMA</t>
  </si>
  <si>
    <t>5°4°3VIMAÑANA0</t>
  </si>
  <si>
    <t>3VIMPATIO</t>
  </si>
  <si>
    <t>FERNANDEZ MARCELO</t>
  </si>
  <si>
    <t>5°4°5EEFISVI</t>
  </si>
  <si>
    <t>1°1°1JUTARDE0</t>
  </si>
  <si>
    <t>1JUTPATIO</t>
  </si>
  <si>
    <t xml:space="preserve">SANCHEZ CARLOS        </t>
  </si>
  <si>
    <t>1°1°1EFIJU</t>
  </si>
  <si>
    <t>1°2°1VIMAÑANA0</t>
  </si>
  <si>
    <t>1VIMPATIO</t>
  </si>
  <si>
    <t xml:space="preserve">DE LA FUENTE F.        </t>
  </si>
  <si>
    <t>1°2°1EFIVI</t>
  </si>
  <si>
    <t>1°3°1MITARDE0</t>
  </si>
  <si>
    <t>1MITPATIO</t>
  </si>
  <si>
    <t xml:space="preserve">DAFFUNCHIO PAOLA </t>
  </si>
  <si>
    <t>1°3°1EFIMI</t>
  </si>
  <si>
    <t>1°4°3VIMAÑANA0</t>
  </si>
  <si>
    <t>3VIMPATIO2</t>
  </si>
  <si>
    <t xml:space="preserve">LUDUEÑA NELSON           </t>
  </si>
  <si>
    <t>1°4°1EFIVI</t>
  </si>
  <si>
    <t>1°6°1MIMAÑANA0</t>
  </si>
  <si>
    <t>1MIMPATIO</t>
  </si>
  <si>
    <t xml:space="preserve">MELGAREJO VERONICA                            </t>
  </si>
  <si>
    <t>1°6°1EFIMI</t>
  </si>
  <si>
    <t>2°2°1MAMAÑANA0</t>
  </si>
  <si>
    <t>1MAMPATIO</t>
  </si>
  <si>
    <t xml:space="preserve">BECERRA, PABLO        </t>
  </si>
  <si>
    <t>2°2°2EFIMA</t>
  </si>
  <si>
    <t>2°3°1LUTARDE0</t>
  </si>
  <si>
    <t>1LUTPATIO</t>
  </si>
  <si>
    <t>FUENTE, DIEGO</t>
  </si>
  <si>
    <t>2°3°2EFILU</t>
  </si>
  <si>
    <t>2°4°1JUMAÑANA0</t>
  </si>
  <si>
    <t>1JUMPATIO</t>
  </si>
  <si>
    <t>2°4°2EFIJU</t>
  </si>
  <si>
    <t>2°5°3JUTARDE0</t>
  </si>
  <si>
    <t>3JUTPATIO</t>
  </si>
  <si>
    <t xml:space="preserve">GUERRERO DANIEL </t>
  </si>
  <si>
    <t>2°5°2EFIJU</t>
  </si>
  <si>
    <t>3°1°5LUMAÑANA0</t>
  </si>
  <si>
    <t>5LUMPATIO</t>
  </si>
  <si>
    <t xml:space="preserve">SANCHEZ CARLOS </t>
  </si>
  <si>
    <t>3°1°3EFILU</t>
  </si>
  <si>
    <t>3°2°1MIMAÑANA0</t>
  </si>
  <si>
    <t>1MIMPATIO2</t>
  </si>
  <si>
    <t xml:space="preserve">ALVAREZ DARIO  </t>
  </si>
  <si>
    <t>3°2°3EFIMI</t>
  </si>
  <si>
    <t>3°3°1JUTARDE0</t>
  </si>
  <si>
    <t>1JUTPATIO2</t>
  </si>
  <si>
    <t>3°3°3EFIJU</t>
  </si>
  <si>
    <t>3°4°3MIMAÑANA0</t>
  </si>
  <si>
    <t>3MIMPATIO</t>
  </si>
  <si>
    <t xml:space="preserve">MELGAREJO VERONICA  </t>
  </si>
  <si>
    <t>3°4°3EFIMI</t>
  </si>
  <si>
    <t>3°5°1MITARDE0</t>
  </si>
  <si>
    <t>1MITPATIO2</t>
  </si>
  <si>
    <t xml:space="preserve">LUDUEÑA NELSON </t>
  </si>
  <si>
    <t>3°5°3EFIMI</t>
  </si>
  <si>
    <t>4°2°3MIMAÑANA0</t>
  </si>
  <si>
    <t>3MIMPATIO2</t>
  </si>
  <si>
    <t>DAFFUNCHIO PAOLA</t>
  </si>
  <si>
    <t>4°2°4IEFISMI</t>
  </si>
  <si>
    <t>4°3°3MATARDE0</t>
  </si>
  <si>
    <t>3MATPATIO2</t>
  </si>
  <si>
    <t>4°3°4EEFISMA</t>
  </si>
  <si>
    <t>4°4°3JUMAÑANA0</t>
  </si>
  <si>
    <t>3JUMPATIO</t>
  </si>
  <si>
    <t>4°4°4EEFISJU</t>
  </si>
  <si>
    <t>6°1°3MIVESPERTINO0</t>
  </si>
  <si>
    <t>3MIV</t>
  </si>
  <si>
    <t>LETIERI, MANUEL</t>
  </si>
  <si>
    <t>6°1°6IFILOMI</t>
  </si>
  <si>
    <t>6°1°5MIMAÑANA0</t>
  </si>
  <si>
    <t>5MIMPATIO3</t>
  </si>
  <si>
    <t xml:space="preserve">MELGAREJO VERONICA </t>
  </si>
  <si>
    <t>6°1°6IEFISMI</t>
  </si>
  <si>
    <t>6°2°3VITARDE0</t>
  </si>
  <si>
    <t>3VIT</t>
  </si>
  <si>
    <t>HERRERA STELLA</t>
  </si>
  <si>
    <t>6°2°6ISEINVI</t>
  </si>
  <si>
    <t>6°2°3LUMAÑANA0</t>
  </si>
  <si>
    <t>3LUMPATIO</t>
  </si>
  <si>
    <t xml:space="preserve">BURELA, MERCEDES </t>
  </si>
  <si>
    <t>6°2°6IEFISLU</t>
  </si>
  <si>
    <t>SISTEMAS TECNOLOGICOS</t>
  </si>
  <si>
    <t>(en blanco)</t>
  </si>
  <si>
    <t>Total general</t>
  </si>
  <si>
    <t>Etiquetas de columna</t>
  </si>
  <si>
    <t>Cuenta de AULA</t>
  </si>
  <si>
    <t>3mi</t>
  </si>
  <si>
    <t>CURSO2</t>
  </si>
  <si>
    <t>(Todas)</t>
  </si>
  <si>
    <t>3ma</t>
  </si>
  <si>
    <t>4ma</t>
  </si>
  <si>
    <t>3vi</t>
  </si>
  <si>
    <t>4vi</t>
  </si>
  <si>
    <t>5°5°5IEFIS</t>
  </si>
  <si>
    <t>5°5°5515IFTLH5</t>
  </si>
  <si>
    <t>5°5°5525IFTLH5</t>
  </si>
  <si>
    <t>5°5°5515IFTLP5</t>
  </si>
  <si>
    <t>5°5°5515IFTLA5</t>
  </si>
  <si>
    <t>2mi</t>
  </si>
  <si>
    <t>4mi</t>
  </si>
  <si>
    <t>5°5°5525IFTLP5</t>
  </si>
  <si>
    <t>5°5°5525IFTLA5</t>
  </si>
  <si>
    <t>5°5°5525IFTLS5</t>
  </si>
  <si>
    <t>1ju</t>
  </si>
  <si>
    <t>2ju</t>
  </si>
  <si>
    <t>3ju</t>
  </si>
  <si>
    <t>4ju</t>
  </si>
  <si>
    <t>5°5°5515IFTLS5</t>
  </si>
  <si>
    <t>5°5°</t>
  </si>
  <si>
    <t>CAMBIO 23/3 DE DIA LUNES 1 Y 2 VESP AL MIERCOLES 1 Y 2</t>
  </si>
  <si>
    <t>OBSERVACION</t>
  </si>
  <si>
    <t>CAMBIO 23/3 DE DIA JUEVES 1 Y 2 VMAÑANAESP AL LUNES 1 Y 2</t>
  </si>
  <si>
    <t>CAMBIO 23/3 DE DIA JUEVES 1 Y 2 MAÑANA  AL LUNES 1 Y 2</t>
  </si>
  <si>
    <t>HORARIO ORIGINAL 1M</t>
  </si>
  <si>
    <t>HORARIO ORIGINAL 2M</t>
  </si>
  <si>
    <t>HORARIO ORIGINAL 3M</t>
  </si>
  <si>
    <t>HORARIO ORIGINAL 4M</t>
  </si>
  <si>
    <t xml:space="preserve">estaban los jueves 1 2  3 y 4 mod vespertino  bulacio </t>
  </si>
  <si>
    <t>(-15 MIN)</t>
  </si>
  <si>
    <t>(-35 MIN)</t>
  </si>
  <si>
    <t>5°5°5IANMAT</t>
  </si>
  <si>
    <t>5°5°5ILITS</t>
  </si>
  <si>
    <t>5°5°5IGEOS5</t>
  </si>
  <si>
    <t>5°5°5ISIDI4</t>
  </si>
  <si>
    <t>5°5°5IINGS</t>
  </si>
  <si>
    <t>5°5°5ITELEI</t>
  </si>
  <si>
    <t>5°5°5IPYCS</t>
  </si>
  <si>
    <t>5°5°5IHIS5</t>
  </si>
  <si>
    <t xml:space="preserve"> </t>
  </si>
  <si>
    <t>MODIFICADO 10/8/22</t>
  </si>
  <si>
    <t>1vi</t>
  </si>
  <si>
    <t>MODIFICADO 10/8/22  ANTES ESTABA LOS DIAS VIERNES 1 Y  2</t>
  </si>
  <si>
    <t>2vi</t>
  </si>
  <si>
    <t>sistemas tecnologicos</t>
  </si>
  <si>
    <t>fister</t>
  </si>
  <si>
    <t>garcia monica</t>
  </si>
  <si>
    <t>rios marta</t>
  </si>
  <si>
    <t>proc tecnicos</t>
  </si>
  <si>
    <t>lopez jonathan</t>
  </si>
  <si>
    <t xml:space="preserve">cambule </t>
  </si>
  <si>
    <t>lenguajes tecnologicos</t>
  </si>
  <si>
    <t>´ramirez jorge</t>
  </si>
  <si>
    <t>luis eduardo</t>
  </si>
  <si>
    <t>Cordoba alejandro</t>
  </si>
  <si>
    <t>Rivarola norma</t>
  </si>
  <si>
    <t xml:space="preserve">laboratorio harware </t>
  </si>
  <si>
    <t>arborio elsa</t>
  </si>
  <si>
    <t xml:space="preserve">Laboratorio de aplicaciones </t>
  </si>
  <si>
    <t>barcenilla</t>
  </si>
  <si>
    <t>laboratorio de sistemas operativos</t>
  </si>
  <si>
    <t>laboratorio de programacion</t>
  </si>
  <si>
    <t>Rios marta</t>
  </si>
  <si>
    <t>laboratorio de harware</t>
  </si>
  <si>
    <t>Carrizo ulises</t>
  </si>
  <si>
    <t>montaje de proyecto electronico</t>
  </si>
  <si>
    <t>cordaba alejandro</t>
  </si>
  <si>
    <t>diseño asit y simula elect</t>
  </si>
  <si>
    <t>aplicaciones elect analog</t>
  </si>
  <si>
    <t>Escalada Arnanaldo</t>
  </si>
  <si>
    <t>aplicaciones elect digitales</t>
  </si>
  <si>
    <t xml:space="preserve">martinez </t>
  </si>
  <si>
    <t>diseño asis y simul elect</t>
  </si>
  <si>
    <t>lab de aplicaciones</t>
  </si>
  <si>
    <t>lab de hardware</t>
  </si>
  <si>
    <t>baroni</t>
  </si>
  <si>
    <t>padin</t>
  </si>
  <si>
    <t xml:space="preserve">lenguajes electronicos </t>
  </si>
  <si>
    <t>carpitella</t>
  </si>
  <si>
    <t>estado</t>
  </si>
  <si>
    <t>vacante</t>
  </si>
  <si>
    <t>SISTEMAS TECNOLGICOS</t>
  </si>
  <si>
    <t>RECLAMO</t>
  </si>
  <si>
    <t>VACANTE</t>
  </si>
  <si>
    <t>7:15 A 11:35</t>
  </si>
  <si>
    <t>9:35 A 11:35</t>
  </si>
  <si>
    <t>13:15 a 15:15</t>
  </si>
  <si>
    <t>17:45 a 22:00</t>
  </si>
  <si>
    <t>HORARIO</t>
  </si>
  <si>
    <t>LUNES</t>
  </si>
  <si>
    <t>MARTES</t>
  </si>
  <si>
    <t>MIERCOLES</t>
  </si>
  <si>
    <t>VIERNES</t>
  </si>
  <si>
    <t>JUEVES</t>
  </si>
  <si>
    <t>LICENCIA</t>
  </si>
  <si>
    <t>ESTADO</t>
  </si>
  <si>
    <t>DIA</t>
  </si>
  <si>
    <t>TURNO</t>
  </si>
  <si>
    <t>MATERIA</t>
  </si>
  <si>
    <t>FECHA</t>
  </si>
  <si>
    <t>MEDIO</t>
  </si>
  <si>
    <t>WHASAP A MARISA</t>
  </si>
  <si>
    <t>MODIFICADO 12/10 VIENE DE JUEVES VESPERTINO</t>
  </si>
  <si>
    <t>aula 4</t>
  </si>
  <si>
    <t>aula 2</t>
  </si>
  <si>
    <t>APLIC ELECT ANALOG</t>
  </si>
  <si>
    <t>PB01</t>
  </si>
  <si>
    <t>prehoravi</t>
  </si>
  <si>
    <t>9/3 paso de 4 mod ju a prehora viernes</t>
  </si>
  <si>
    <t>15/3 ESTABA 5MD JUEVES</t>
  </si>
  <si>
    <t>1lu</t>
  </si>
  <si>
    <t>2lu</t>
  </si>
  <si>
    <t>20/03 de viernes 1-2  pasa al jueves 3 a 4</t>
  </si>
  <si>
    <t>prehoraju</t>
  </si>
  <si>
    <t>CARGADO SUPLENTE 20/03/23</t>
  </si>
  <si>
    <t>Estaba 1y2 mi paso a 1 y 2 ju 20/03/23</t>
  </si>
  <si>
    <t>pasa de 1lu a prehoralu 20/03/23</t>
  </si>
  <si>
    <t>pasa de 2lu a prehorama 20/03/23</t>
  </si>
  <si>
    <t>pasa de 5ma a 1lu 20/03/23</t>
  </si>
  <si>
    <t>pasa de 5mi a 2lu 20/03/23</t>
  </si>
  <si>
    <t>13/3/23 ESTABA EN 5 MOD DEL JUEVES  (NO ESTA ESTA REFLEJADO EN HOIRARIO 20/036/23</t>
  </si>
  <si>
    <t>CAMBIO 23/3 DE DIA LUNES 1 Y 2 MAÑANA AL VIERNES 3 Y 4  (SE INFORM A SECREARIA HORARIO 20/03/23)</t>
  </si>
  <si>
    <t>CORREGIDO HORARIO 20/03/23</t>
  </si>
  <si>
    <t>INGLÉS</t>
  </si>
  <si>
    <t>SISTEMA PRODUCTIVO</t>
  </si>
  <si>
    <t>ARTE</t>
  </si>
  <si>
    <t>MATEMATICA APLICADA</t>
  </si>
  <si>
    <t>INSTALACIONES Y MAQUINAS ELECTRICAS</t>
  </si>
  <si>
    <t>DERECHO DE TRABAJO</t>
  </si>
  <si>
    <t>LITERATURA</t>
  </si>
  <si>
    <t>LENGUAJES ELECTRONICOS</t>
  </si>
  <si>
    <t>SISTEMA DE COMUNICACIONES</t>
  </si>
  <si>
    <t>6°3°</t>
  </si>
  <si>
    <t>6°3°6316EFTMP6</t>
  </si>
  <si>
    <t>6°3°6326EFTMP6</t>
  </si>
  <si>
    <t>6°3°6EINGS</t>
  </si>
  <si>
    <t>6°3°6ESIPRO</t>
  </si>
  <si>
    <t>6°3°6EARTE</t>
  </si>
  <si>
    <t>6°3°6EMATAP</t>
  </si>
  <si>
    <t>6°3°6EINSMA</t>
  </si>
  <si>
    <t>6°3°6EDETRA</t>
  </si>
  <si>
    <t>6°3°6ELITS</t>
  </si>
  <si>
    <t>6°3°6EFILO</t>
  </si>
  <si>
    <t>6°3°6EEFIS</t>
  </si>
  <si>
    <t>6°3°6316ELENE6</t>
  </si>
  <si>
    <t>6°3°6326EFTED6</t>
  </si>
  <si>
    <t>6°3°6ESISCO</t>
  </si>
  <si>
    <t>6°3°6326EFTAE6</t>
  </si>
  <si>
    <t>6°3°6316EFTAE6</t>
  </si>
  <si>
    <t>6°3°6316EFTED6</t>
  </si>
  <si>
    <t>6°3°6326ELENE6</t>
  </si>
  <si>
    <t>AULA 4</t>
  </si>
  <si>
    <t>AULA 2</t>
  </si>
  <si>
    <t>VIENE DE MARTES A LA TARDE  SOSA BETIATRIZ RENUNCIA CAMBIO</t>
  </si>
  <si>
    <t>VIENE DE VIERNES A LA MAÑANA BETY SOSA</t>
  </si>
  <si>
    <t>aula 1</t>
  </si>
  <si>
    <t>AULA 3</t>
  </si>
  <si>
    <t>cambio 3/4 listado alberto 5mi a prehora del jueves</t>
  </si>
  <si>
    <t>3/4 listado alberto paso de ma a mi</t>
  </si>
  <si>
    <t>1Mi</t>
  </si>
  <si>
    <t>2Mi</t>
  </si>
  <si>
    <t>3/4 listado alberto paso mi a vi</t>
  </si>
  <si>
    <t>3/4 listado alberto paso vi a ma</t>
  </si>
  <si>
    <t>3/4 PASO DE PREHORA MI A 4JU</t>
  </si>
  <si>
    <t>10/4 pasa del turno tarde al turno mañana</t>
  </si>
  <si>
    <t>estaba los viernes  vespertino con aguilera paso a miecores, el 11/04/23 paso al lunes a la tarde</t>
  </si>
  <si>
    <t>MODIFICADO 12/10 VIENE DE JUEVES A LA TARDE 17/4 VOLVIO AL JUEVES A LA TARDE</t>
  </si>
  <si>
    <t>17 /4/23 PASO DE 3 Y 4 MI VESP  A 1 Y 2 MA VESPERTINO</t>
  </si>
  <si>
    <t>20/4/23 PASA4MI  MAÑANA A 4LU TURNO MAÑANA</t>
  </si>
  <si>
    <t>20/4/23 PASA 3MI  MAÑANA A 3LU TURNO MAÑANA</t>
  </si>
  <si>
    <t xml:space="preserve">ESTAS HORAS VIENEN DE 1°5° CAMBIO CON FISTER (Serv.Prov)       , 5/10 CAMBIO DEL 1 LU </t>
  </si>
  <si>
    <t>ESTAS HORAS VIENEN DE 1°5° CAMBIO CON FISTER (Serv.Prov)        , 5/10 CAMBIO DEL 2LU</t>
  </si>
  <si>
    <t>5/10 CAMBIO VIENE 1MI</t>
  </si>
  <si>
    <t>5/0 CAMBIO VIENE 2MI</t>
  </si>
  <si>
    <t>QUINTANA LASA TENIA 3VI TARDE</t>
  </si>
  <si>
    <t>QUINTANA LA TENIA 4VI TARDE</t>
  </si>
  <si>
    <t>estaban los miercoles 1 y 2 mañana por error secretaria se paso a ju 1 y 2 vesp, 21/2/24 estaban 1J vesp pasa 3 mi mañana</t>
  </si>
  <si>
    <t>estaban los miercoles 1 y 2 mañana por error secretaria se paso a ju 1 y 2 vesp, 21/2/24 estaban 2J vesp pasa 4 mi mañana</t>
  </si>
  <si>
    <t>estaban los viernes 1 2  3 y 4 mod vespertino  bulacio , estaban mates vesper 21/2/24 pasan a  jueves</t>
  </si>
  <si>
    <t>cambio el 22/2 antes el viernes</t>
  </si>
  <si>
    <t>3lu</t>
  </si>
  <si>
    <t>4lu</t>
  </si>
  <si>
    <t>ANTES A LA TARDE 26/8  CREO QUE TOMO SUPLENCIA DE RIVERA</t>
  </si>
  <si>
    <t>HORAS INST</t>
  </si>
  <si>
    <t xml:space="preserve"> ' and horario.turno='</t>
  </si>
  <si>
    <t>' ) ,
    (SELECT horario.ID_HOR FROM horario WHERE horario.modulo='</t>
  </si>
  <si>
    <t>INSERT INTO horario_curso_materia (horario_curso_materia.FK_CUR_mat,horario_curso_materia.FK_HOR,horario_curso_materia.DIA) VALUES (  (SELECT curso_materia.ID_CUR_MAT FROM curso_materia WHERE curso_materia.CUPOF='733462' ) ,
    (SELECT horario.ID_HOR FROM horario WHERE horario.modulo='1 ' and horario.turno='M ' ),
    'LUNES '
 );</t>
  </si>
  <si>
    <t>INSERT INTO horario_curso_materia (horario_curso_materia.FK_CUR_mat,horario_curso_materia.FK_HOR,horario_curso_materia.DIA) VALUES (  (SELECT curso_materia.ID_CUR_MAT FROM curso_materia WHERE curso_materia.CUPOF='2673010' ) ,
    (SELECT horario.ID_HOR FROM horario WHERE horario.modulo='1 ' and horario.turno='T ' ),
    'LUNES '
 );</t>
  </si>
  <si>
    <t>INSERT INTO horario_curso_materia (horario_curso_materia.FK_CUR_mat,horario_curso_materia.FK_HOR,horario_curso_materia.DIA) VALUES (  (SELECT curso_materia.ID_CUR_MAT FROM curso_materia WHERE curso_materia.CUPOF='733472' ) ,
    (SELECT horario.ID_HOR FROM horario WHERE horario.modulo='1 ' and horario.turno='M ' ),
    'MARTES '
 );</t>
  </si>
  <si>
    <t>INSERT INTO horario_curso_materia (horario_curso_materia.FK_CUR_mat,horario_curso_materia.FK_HOR,horario_curso_materia.DIA) VALUES (  (SELECT curso_materia.ID_CUR_MAT FROM curso_materia WHERE curso_materia.CUPOF='891873' ) ,
    (SELECT horario.ID_HOR FROM horario WHERE horario.modulo='1 ' and horario.turno='T ' ),
    'MARTES '
 );</t>
  </si>
  <si>
    <t>INSERT INTO horario_curso_materia (horario_curso_materia.FK_CUR_mat,horario_curso_materia.FK_HOR,horario_curso_materia.DIA) VALUES (  (SELECT curso_materia.ID_CUR_MAT FROM curso_materia WHERE curso_materia.CUPOF='733478' ) ,
    (SELECT horario.ID_HOR FROM horario WHERE horario.modulo='1 ' and horario.turno='M ' ),
    'MIERCOLES '
 );</t>
  </si>
  <si>
    <t>INSERT INTO horario_curso_materia (horario_curso_materia.FK_CUR_mat,horario_curso_materia.FK_HOR,horario_curso_materia.DIA) VALUES (  (SELECT curso_materia.ID_CUR_MAT FROM curso_materia WHERE curso_materia.CUPOF='2673016' ) ,
    (SELECT horario.ID_HOR FROM horario WHERE horario.modulo='1 ' and horario.turno='T ' ),
    'MIERCOLES '
 );</t>
  </si>
  <si>
    <t>INSERT INTO horario_curso_materia (horario_curso_materia.FK_CUR_mat,horario_curso_materia.FK_HOR,horario_curso_materia.DIA) VALUES (  (SELECT curso_materia.ID_CUR_MAT FROM curso_materia WHERE curso_materia.CUPOF='733472' ) ,
    (SELECT horario.ID_HOR FROM horario WHERE horario.modulo='1 ' and horario.turno='M ' ),
    'VIERNES '
 );</t>
  </si>
  <si>
    <t>INSERT INTO horario_curso_materia (horario_curso_materia.FK_CUR_mat,horario_curso_materia.FK_HOR,horario_curso_materia.DIA) VALUES (  (SELECT curso_materia.ID_CUR_MAT FROM curso_materia WHERE curso_materia.CUPOF='2673007' ) ,
    (SELECT horario.ID_HOR FROM horario WHERE horario.modulo='1 ' and horario.turno='T ' ),
    'JUEVES '
 );</t>
  </si>
  <si>
    <t>INSERT INTO horario_curso_materia (horario_curso_materia.FK_CUR_mat,horario_curso_materia.FK_HOR,horario_curso_materia.DIA) VALUES (  (SELECT curso_materia.ID_CUR_MAT FROM curso_materia WHERE curso_materia.CUPOF='733445' ) ,
    (SELECT horario.ID_HOR FROM horario WHERE horario.modulo='2 ' and horario.turno='M ' ),
    'JUEVES '
 );</t>
  </si>
  <si>
    <t>INSERT INTO horario_curso_materia (horario_curso_materia.FK_CUR_mat,horario_curso_materia.FK_HOR,horario_curso_materia.DIA) VALUES (  (SELECT curso_materia.ID_CUR_MAT FROM curso_materia WHERE curso_materia.CUPOF='733462' ) ,
    (SELECT horario.ID_HOR FROM horario WHERE horario.modulo='2 ' and horario.turno='M ' ),
    'LUNES '
 );</t>
  </si>
  <si>
    <t>INSERT INTO horario_curso_materia (horario_curso_materia.FK_CUR_mat,horario_curso_materia.FK_HOR,horario_curso_materia.DIA) VALUES (  (SELECT curso_materia.ID_CUR_MAT FROM curso_materia WHERE curso_materia.CUPOF='2673010' ) ,
    (SELECT horario.ID_HOR FROM horario WHERE horario.modulo='2 ' and horario.turno='T ' ),
    'LUNES '
 );</t>
  </si>
  <si>
    <t>INSERT INTO horario_curso_materia (horario_curso_materia.FK_CUR_mat,horario_curso_materia.FK_HOR,horario_curso_materia.DIA) VALUES (  (SELECT curso_materia.ID_CUR_MAT FROM curso_materia WHERE curso_materia.CUPOF='733472' ) ,
    (SELECT horario.ID_HOR FROM horario WHERE horario.modulo='2 ' and horario.turno='M ' ),
    'MARTES '
 );</t>
  </si>
  <si>
    <t>INSERT INTO horario_curso_materia (horario_curso_materia.FK_CUR_mat,horario_curso_materia.FK_HOR,horario_curso_materia.DIA) VALUES (  (SELECT curso_materia.ID_CUR_MAT FROM curso_materia WHERE curso_materia.CUPOF='733478' ) ,
    (SELECT horario.ID_HOR FROM horario WHERE horario.modulo='2 ' and horario.turno='M ' ),
    'MIERCOLES '
 );</t>
  </si>
  <si>
    <t>INSERT INTO horario_curso_materia (horario_curso_materia.FK_CUR_mat,horario_curso_materia.FK_HOR,horario_curso_materia.DIA) VALUES (  (SELECT curso_materia.ID_CUR_MAT FROM curso_materia WHERE curso_materia.CUPOF='2673016' ) ,
    (SELECT horario.ID_HOR FROM horario WHERE horario.modulo='2 ' and horario.turno='T ' ),
    'MIERCOLES '
 );</t>
  </si>
  <si>
    <t>INSERT INTO horario_curso_materia (horario_curso_materia.FK_CUR_mat,horario_curso_materia.FK_HOR,horario_curso_materia.DIA) VALUES (  (SELECT curso_materia.ID_CUR_MAT FROM curso_materia WHERE curso_materia.CUPOF='733472' ) ,
    (SELECT horario.ID_HOR FROM horario WHERE horario.modulo='2 ' and horario.turno='M ' ),
    'VIERNES '
 );</t>
  </si>
  <si>
    <t>INSERT INTO horario_curso_materia (horario_curso_materia.FK_CUR_mat,horario_curso_materia.FK_HOR,horario_curso_materia.DIA) VALUES (  (SELECT curso_materia.ID_CUR_MAT FROM curso_materia WHERE curso_materia.CUPOF='2673007' ) ,
    (SELECT horario.ID_HOR FROM horario WHERE horario.modulo='2 ' and horario.turno='T ' ),
    'JUEVES '
 );</t>
  </si>
  <si>
    <t>INSERT INTO horario_curso_materia (horario_curso_materia.FK_CUR_mat,horario_curso_materia.FK_HOR,horario_curso_materia.DIA) VALUES (  (SELECT curso_materia.ID_CUR_MAT FROM curso_materia WHERE curso_materia.CUPOF='733442' ) ,
    (SELECT horario.ID_HOR FROM horario WHERE horario.modulo='3 ' and horario.turno='M ' ),
    'JUEVES '
 );</t>
  </si>
  <si>
    <t>INSERT INTO horario_curso_materia (horario_curso_materia.FK_CUR_mat,horario_curso_materia.FK_HOR,horario_curso_materia.DIA) VALUES (  (SELECT curso_materia.ID_CUR_MAT FROM curso_materia WHERE curso_materia.CUPOF='992715' ) ,
    (SELECT horario.ID_HOR FROM horario WHERE horario.modulo='3 ' and horario.turno='M ' ),
    'LUNES '
 );</t>
  </si>
  <si>
    <t>INSERT INTO horario_curso_materia (horario_curso_materia.FK_CUR_mat,horario_curso_materia.FK_HOR,horario_curso_materia.DIA) VALUES (  (SELECT curso_materia.ID_CUR_MAT FROM curso_materia WHERE curso_materia.CUPOF='2673017' ) ,
    (SELECT horario.ID_HOR FROM horario WHERE horario.modulo='3 ' and horario.turno='T ' ),
    'LUNES '
 );</t>
  </si>
  <si>
    <t>INSERT INTO horario_curso_materia (horario_curso_materia.FK_CUR_mat,horario_curso_materia.FK_HOR,horario_curso_materia.DIA) VALUES (  (SELECT curso_materia.ID_CUR_MAT FROM curso_materia WHERE curso_materia.CUPOF='733465' ) ,
    (SELECT horario.ID_HOR FROM horario WHERE horario.modulo='3 ' and horario.turno='M ' ),
    'MARTES '
 );</t>
  </si>
  <si>
    <t>INSERT INTO horario_curso_materia (horario_curso_materia.FK_CUR_mat,horario_curso_materia.FK_HOR,horario_curso_materia.DIA) VALUES (  (SELECT curso_materia.ID_CUR_MAT FROM curso_materia WHERE curso_materia.CUPOF='2673013' ) ,
    (SELECT horario.ID_HOR FROM horario WHERE horario.modulo='3 ' and horario.turno='T ' ),
    'MARTES '
 );</t>
  </si>
  <si>
    <t>INSERT INTO horario_curso_materia (horario_curso_materia.FK_CUR_mat,horario_curso_materia.FK_HOR,horario_curso_materia.DIA) VALUES (  (SELECT curso_materia.ID_CUR_MAT FROM curso_materia WHERE curso_materia.CUPOF='733445' ) ,
    (SELECT horario.ID_HOR FROM horario WHERE horario.modulo='3 ' and horario.turno='M ' ),
    'MIERCOLES '
 );</t>
  </si>
  <si>
    <t>INSERT INTO horario_curso_materia (horario_curso_materia.FK_CUR_mat,horario_curso_materia.FK_HOR,horario_curso_materia.DIA) VALUES (  (SELECT curso_materia.ID_CUR_MAT FROM curso_materia WHERE curso_materia.CUPOF='733465' ) ,
    (SELECT horario.ID_HOR FROM horario WHERE horario.modulo='3 ' and horario.turno='M ' ),
    'VIERNES '
 );</t>
  </si>
  <si>
    <t>INSERT INTO horario_curso_materia (horario_curso_materia.FK_CUR_mat,horario_curso_materia.FK_HOR,horario_curso_materia.DIA) VALUES (  (SELECT curso_materia.ID_CUR_MAT FROM curso_materia WHERE curso_materia.CUPOF='2673015' ) ,
    (SELECT horario.ID_HOR FROM horario WHERE horario.modulo='1 ' and horario.turno='T ' ),
    'LUNES '
 );</t>
  </si>
  <si>
    <t>INSERT INTO horario_curso_materia (horario_curso_materia.FK_CUR_mat,horario_curso_materia.FK_HOR,horario_curso_materia.DIA) VALUES (  (SELECT curso_materia.ID_CUR_MAT FROM curso_materia WHERE curso_materia.CUPOF='733442' ) ,
    (SELECT horario.ID_HOR FROM horario WHERE horario.modulo='4 ' and horario.turno='M ' ),
    'JUEVES '
 );</t>
  </si>
  <si>
    <t>INSERT INTO horario_curso_materia (horario_curso_materia.FK_CUR_mat,horario_curso_materia.FK_HOR,horario_curso_materia.DIA) VALUES (  (SELECT curso_materia.ID_CUR_MAT FROM curso_materia WHERE curso_materia.CUPOF='992715' ) ,
    (SELECT horario.ID_HOR FROM horario WHERE horario.modulo='4 ' and horario.turno='M ' ),
    'LUNES '
 );</t>
  </si>
  <si>
    <t>INSERT INTO horario_curso_materia (horario_curso_materia.FK_CUR_mat,horario_curso_materia.FK_HOR,horario_curso_materia.DIA) VALUES (  (SELECT curso_materia.ID_CUR_MAT FROM curso_materia WHERE curso_materia.CUPOF='2673017' ) ,
    (SELECT horario.ID_HOR FROM horario WHERE horario.modulo='4 ' and horario.turno='T ' ),
    'LUNES '
 );</t>
  </si>
  <si>
    <t>INSERT INTO horario_curso_materia (horario_curso_materia.FK_CUR_mat,horario_curso_materia.FK_HOR,horario_curso_materia.DIA) VALUES (  (SELECT curso_materia.ID_CUR_MAT FROM curso_materia WHERE curso_materia.CUPOF='733465' ) ,
    (SELECT horario.ID_HOR FROM horario WHERE horario.modulo='4 ' and horario.turno='M ' ),
    'MARTES '
 );</t>
  </si>
  <si>
    <t>INSERT INTO horario_curso_materia (horario_curso_materia.FK_CUR_mat,horario_curso_materia.FK_HOR,horario_curso_materia.DIA) VALUES (  (SELECT curso_materia.ID_CUR_MAT FROM curso_materia WHERE curso_materia.CUPOF='2673013' ) ,
    (SELECT horario.ID_HOR FROM horario WHERE horario.modulo='4 ' and horario.turno='T ' ),
    'MARTES '
 );</t>
  </si>
  <si>
    <t>INSERT INTO horario_curso_materia (horario_curso_materia.FK_CUR_mat,horario_curso_materia.FK_HOR,horario_curso_materia.DIA) VALUES (  (SELECT curso_materia.ID_CUR_MAT FROM curso_materia WHERE curso_materia.CUPOF='733445' ) ,
    (SELECT horario.ID_HOR FROM horario WHERE horario.modulo='4 ' and horario.turno='M ' ),
    'MIERCOLES '
 );</t>
  </si>
  <si>
    <t>INSERT INTO horario_curso_materia (horario_curso_materia.FK_CUR_mat,horario_curso_materia.FK_HOR,horario_curso_materia.DIA) VALUES (  (SELECT curso_materia.ID_CUR_MAT FROM curso_materia WHERE curso_materia.CUPOF='733465' ) ,
    (SELECT horario.ID_HOR FROM horario WHERE horario.modulo='4 ' and horario.turno='M ' ),
    'VIERNES '
 );</t>
  </si>
  <si>
    <t>INSERT INTO horario_curso_materia (horario_curso_materia.FK_CUR_mat,horario_curso_materia.FK_HOR,horario_curso_materia.DIA) VALUES (  (SELECT curso_materia.ID_CUR_MAT FROM curso_materia WHERE curso_materia.CUPOF='2673015' ) ,
    (SELECT horario.ID_HOR FROM horario WHERE horario.modulo='2 ' and horario.turno='T ' ),
    'LUNES '
 );</t>
  </si>
  <si>
    <t>INSERT INTO horario_curso_materia (horario_curso_materia.FK_CUR_mat,horario_curso_materia.FK_HOR,horario_curso_materia.DIA) VALUES (  (SELECT curso_materia.ID_CUR_MAT FROM curso_materia WHERE curso_materia.CUPOF='733442' ) ,
    (SELECT horario.ID_HOR FROM horario WHERE horario.modulo='5 ' and horario.turno='M ' ),
    'JUEVES '
 );</t>
  </si>
  <si>
    <t>INSERT INTO horario_curso_materia (horario_curso_materia.FK_CUR_mat,horario_curso_materia.FK_HOR,horario_curso_materia.DIA) VALUES (  (SELECT curso_materia.ID_CUR_MAT FROM curso_materia WHERE curso_materia.CUPOF='733442' ) ,
    (SELECT horario.ID_HOR FROM horario WHERE horario.modulo='5 ' and horario.turno='M ' ),
    'LUNES '
 );</t>
  </si>
  <si>
    <t>INSERT INTO horario_curso_materia (horario_curso_materia.FK_CUR_mat,horario_curso_materia.FK_HOR,horario_curso_materia.DIA) VALUES (  (SELECT curso_materia.ID_CUR_MAT FROM curso_materia WHERE curso_materia.CUPOF='891873' ) ,
    (SELECT horario.ID_HOR FROM horario WHERE horario.modulo='prehora ' and horario.turno='T ' ),
    'MARTES '
 );</t>
  </si>
  <si>
    <t>INSERT INTO horario_curso_materia (horario_curso_materia.FK_CUR_mat,horario_curso_materia.FK_HOR,horario_curso_materia.DIA) VALUES (  (SELECT curso_materia.ID_CUR_MAT FROM curso_materia WHERE curso_materia.CUPOF='733711' ) ,
    (SELECT horario.ID_HOR FROM horario WHERE horario.modulo='1 ' and horario.turno='T ' ),
    'JUEVES '
 );</t>
  </si>
  <si>
    <t>INSERT INTO horario_curso_materia (horario_curso_materia.FK_CUR_mat,horario_curso_materia.FK_HOR,horario_curso_materia.DIA) VALUES (  (SELECT curso_materia.ID_CUR_MAT FROM curso_materia WHERE curso_materia.CUPOF='2673023' ) ,
    (SELECT horario.ID_HOR FROM horario WHERE horario.modulo='1 ' and horario.turno='M ' ),
    'LUNES '
 );</t>
  </si>
  <si>
    <t>INSERT INTO horario_curso_materia (horario_curso_materia.FK_CUR_mat,horario_curso_materia.FK_HOR,horario_curso_materia.DIA) VALUES (  (SELECT curso_materia.ID_CUR_MAT FROM curso_materia WHERE curso_materia.CUPOF='733448' ) ,
    (SELECT horario.ID_HOR FROM horario WHERE horario.modulo='1 ' and horario.turno='T ' ),
    'LUNES '
 );</t>
  </si>
  <si>
    <t>INSERT INTO horario_curso_materia (horario_curso_materia.FK_CUR_mat,horario_curso_materia.FK_HOR,horario_curso_materia.DIA) VALUES (  (SELECT curso_materia.ID_CUR_MAT FROM curso_materia WHERE curso_materia.CUPOF='2673029' ) ,
    (SELECT horario.ID_HOR FROM horario WHERE horario.modulo='1 ' and horario.turno='M ' ),
    'MARTES '
 );</t>
  </si>
  <si>
    <t>INSERT INTO horario_curso_materia (horario_curso_materia.FK_CUR_mat,horario_curso_materia.FK_HOR,horario_curso_materia.DIA) VALUES (  (SELECT curso_materia.ID_CUR_MAT FROM curso_materia WHERE curso_materia.CUPOF='789732' ) ,
    (SELECT horario.ID_HOR FROM horario WHERE horario.modulo='1 ' and horario.turno='T ' ),
    'MARTES '
 );</t>
  </si>
  <si>
    <t>INSERT INTO horario_curso_materia (horario_curso_materia.FK_CUR_mat,horario_curso_materia.FK_HOR,horario_curso_materia.DIA) VALUES (  (SELECT curso_materia.ID_CUR_MAT FROM curso_materia WHERE curso_materia.CUPOF='733448' ) ,
    (SELECT horario.ID_HOR FROM horario WHERE horario.modulo='1 ' and horario.turno='T ' ),
    'MIERCOLES '
 );</t>
  </si>
  <si>
    <t>INSERT INTO horario_curso_materia (horario_curso_materia.FK_CUR_mat,horario_curso_materia.FK_HOR,horario_curso_materia.DIA) VALUES (  (SELECT curso_materia.ID_CUR_MAT FROM curso_materia WHERE curso_materia.CUPOF='789732' ) ,
    (SELECT horario.ID_HOR FROM horario WHERE horario.modulo='1 ' and horario.turno='T ' ),
    'VIERNES '
 );</t>
  </si>
  <si>
    <t>INSERT INTO horario_curso_materia (horario_curso_materia.FK_CUR_mat,horario_curso_materia.FK_HOR,horario_curso_materia.DIA) VALUES (  (SELECT curso_materia.ID_CUR_MAT FROM curso_materia WHERE curso_materia.CUPOF='733711' ) ,
    (SELECT horario.ID_HOR FROM horario WHERE horario.modulo='2 ' and horario.turno='T ' ),
    'JUEVES '
 );</t>
  </si>
  <si>
    <t>INSERT INTO horario_curso_materia (horario_curso_materia.FK_CUR_mat,horario_curso_materia.FK_HOR,horario_curso_materia.DIA) VALUES (  (SELECT curso_materia.ID_CUR_MAT FROM curso_materia WHERE curso_materia.CUPOF='2673023' ) ,
    (SELECT horario.ID_HOR FROM horario WHERE horario.modulo='2 ' and horario.turno='M ' ),
    'LUNES '
 );</t>
  </si>
  <si>
    <t>INSERT INTO horario_curso_materia (horario_curso_materia.FK_CUR_mat,horario_curso_materia.FK_HOR,horario_curso_materia.DIA) VALUES (  (SELECT curso_materia.ID_CUR_MAT FROM curso_materia WHERE curso_materia.CUPOF='733448' ) ,
    (SELECT horario.ID_HOR FROM horario WHERE horario.modulo='2 ' and horario.turno='T ' ),
    'LUNES '
 );</t>
  </si>
  <si>
    <t>INSERT INTO horario_curso_materia (horario_curso_materia.FK_CUR_mat,horario_curso_materia.FK_HOR,horario_curso_materia.DIA) VALUES (  (SELECT curso_materia.ID_CUR_MAT FROM curso_materia WHERE curso_materia.CUPOF='2673029' ) ,
    (SELECT horario.ID_HOR FROM horario WHERE horario.modulo='2 ' and horario.turno='M ' ),
    'MARTES '
 );</t>
  </si>
  <si>
    <t>INSERT INTO horario_curso_materia (horario_curso_materia.FK_CUR_mat,horario_curso_materia.FK_HOR,horario_curso_materia.DIA) VALUES (  (SELECT curso_materia.ID_CUR_MAT FROM curso_materia WHERE curso_materia.CUPOF='789732' ) ,
    (SELECT horario.ID_HOR FROM horario WHERE horario.modulo='2 ' and horario.turno='T ' ),
    'MARTES '
 );</t>
  </si>
  <si>
    <t>INSERT INTO horario_curso_materia (horario_curso_materia.FK_CUR_mat,horario_curso_materia.FK_HOR,horario_curso_materia.DIA) VALUES (  (SELECT curso_materia.ID_CUR_MAT FROM curso_materia WHERE curso_materia.CUPOF='733448' ) ,
    (SELECT horario.ID_HOR FROM horario WHERE horario.modulo='2 ' and horario.turno='T ' ),
    'MIERCOLES '
 );</t>
  </si>
  <si>
    <t>INSERT INTO horario_curso_materia (horario_curso_materia.FK_CUR_mat,horario_curso_materia.FK_HOR,horario_curso_materia.DIA) VALUES (  (SELECT curso_materia.ID_CUR_MAT FROM curso_materia WHERE curso_materia.CUPOF='789732' ) ,
    (SELECT horario.ID_HOR FROM horario WHERE horario.modulo='2 ' and horario.turno='T ' ),
    'VIERNES '
 );</t>
  </si>
  <si>
    <t>INSERT INTO horario_curso_materia (horario_curso_materia.FK_CUR_mat,horario_curso_materia.FK_HOR,horario_curso_materia.DIA) VALUES (  (SELECT curso_materia.ID_CUR_MAT FROM curso_materia WHERE curso_materia.CUPOF='839180' ) ,
    (SELECT horario.ID_HOR FROM horario WHERE horario.modulo='3 ' and horario.turno='M ' ),
    'JUEVES '
 );</t>
  </si>
  <si>
    <t>INSERT INTO horario_curso_materia (horario_curso_materia.FK_CUR_mat,horario_curso_materia.FK_HOR,horario_curso_materia.DIA) VALUES (  (SELECT curso_materia.ID_CUR_MAT FROM curso_materia WHERE curso_materia.CUPOF='2683145' ) ,
    (SELECT horario.ID_HOR FROM horario WHERE horario.modulo='3 ' and horario.turno='T ' ),
    'JUEVES '
 );</t>
  </si>
  <si>
    <t>INSERT INTO horario_curso_materia (horario_curso_materia.FK_CUR_mat,horario_curso_materia.FK_HOR,horario_curso_materia.DIA) VALUES (  (SELECT curso_materia.ID_CUR_MAT FROM curso_materia WHERE curso_materia.CUPOF='2673025' ) ,
    (SELECT horario.ID_HOR FROM horario WHERE horario.modulo='3 ' and horario.turno='M ' ),
    'LUNES '
 );</t>
  </si>
  <si>
    <t>INSERT INTO horario_curso_materia (horario_curso_materia.FK_CUR_mat,horario_curso_materia.FK_HOR,horario_curso_materia.DIA) VALUES (  (SELECT curso_materia.ID_CUR_MAT FROM curso_materia WHERE curso_materia.CUPOF='2673027' ) ,
    (SELECT horario.ID_HOR FROM horario WHERE horario.modulo='3 ' and horario.turno='M ' ),
    'LUNES '
 );</t>
  </si>
  <si>
    <t>INSERT INTO horario_curso_materia (horario_curso_materia.FK_CUR_mat,horario_curso_materia.FK_HOR,horario_curso_materia.DIA) VALUES (  (SELECT curso_materia.ID_CUR_MAT FROM curso_materia WHERE curso_materia.CUPOF='733711' ) ,
    (SELECT horario.ID_HOR FROM horario WHERE horario.modulo='3 ' and horario.turno='T ' ),
    'LUNES '
 );</t>
  </si>
  <si>
    <t>INSERT INTO horario_curso_materia (horario_curso_materia.FK_CUR_mat,horario_curso_materia.FK_HOR,horario_curso_materia.DIA) VALUES (  (SELECT curso_materia.ID_CUR_MAT FROM curso_materia WHERE curso_materia.CUPOF='2673028' ) ,
    (SELECT horario.ID_HOR FROM horario WHERE horario.modulo='3 ' and horario.turno='M ' ),
    'VIERNES '
 );</t>
  </si>
  <si>
    <t>INSERT INTO horario_curso_materia (horario_curso_materia.FK_CUR_mat,horario_curso_materia.FK_HOR,horario_curso_materia.DIA) VALUES (  (SELECT curso_materia.ID_CUR_MAT FROM curso_materia WHERE curso_materia.CUPOF='891876' ) ,
    (SELECT horario.ID_HOR FROM horario WHERE horario.modulo='3 ' and horario.turno='T ' ),
    'MARTES '
 );</t>
  </si>
  <si>
    <t>INSERT INTO horario_curso_materia (horario_curso_materia.FK_CUR_mat,horario_curso_materia.FK_HOR,horario_curso_materia.DIA) VALUES (  (SELECT curso_materia.ID_CUR_MAT FROM curso_materia WHERE curso_materia.CUPOF='2683145' ) ,
    (SELECT horario.ID_HOR FROM horario WHERE horario.modulo='3 ' and horario.turno='T ' ),
    'MIERCOLES '
 );</t>
  </si>
  <si>
    <t>INSERT INTO horario_curso_materia (horario_curso_materia.FK_CUR_mat,horario_curso_materia.FK_HOR,horario_curso_materia.DIA) VALUES (  (SELECT curso_materia.ID_CUR_MAT FROM curso_materia WHERE curso_materia.CUPOF='2673026' ) ,
    (SELECT horario.ID_HOR FROM horario WHERE horario.modulo='3 ' and horario.turno='M ' ),
    'VIERNES '
 );</t>
  </si>
  <si>
    <t>INSERT INTO horario_curso_materia (horario_curso_materia.FK_CUR_mat,horario_curso_materia.FK_HOR,horario_curso_materia.DIA) VALUES (  (SELECT curso_materia.ID_CUR_MAT FROM curso_materia WHERE curso_materia.CUPOF='733441' ) ,
    (SELECT horario.ID_HOR FROM horario WHERE horario.modulo='3 ' and horario.turno='T ' ),
    'VIERNES '
 );</t>
  </si>
  <si>
    <t>INSERT INTO horario_curso_materia (horario_curso_materia.FK_CUR_mat,horario_curso_materia.FK_HOR,horario_curso_materia.DIA) VALUES (  (SELECT curso_materia.ID_CUR_MAT FROM curso_materia WHERE curso_materia.CUPOF='839180' ) ,
    (SELECT horario.ID_HOR FROM horario WHERE horario.modulo='4 ' and horario.turno='M ' ),
    'JUEVES '
 );</t>
  </si>
  <si>
    <t>INSERT INTO horario_curso_materia (horario_curso_materia.FK_CUR_mat,horario_curso_materia.FK_HOR,horario_curso_materia.DIA) VALUES (  (SELECT curso_materia.ID_CUR_MAT FROM curso_materia WHERE curso_materia.CUPOF='2683145' ) ,
    (SELECT horario.ID_HOR FROM horario WHERE horario.modulo='4 ' and horario.turno='T ' ),
    'JUEVES '
 );</t>
  </si>
  <si>
    <t>INSERT INTO horario_curso_materia (horario_curso_materia.FK_CUR_mat,horario_curso_materia.FK_HOR,horario_curso_materia.DIA) VALUES (  (SELECT curso_materia.ID_CUR_MAT FROM curso_materia WHERE curso_materia.CUPOF='2673025' ) ,
    (SELECT horario.ID_HOR FROM horario WHERE horario.modulo='4 ' and horario.turno='M ' ),
    'LUNES '
 );</t>
  </si>
  <si>
    <t>INSERT INTO horario_curso_materia (horario_curso_materia.FK_CUR_mat,horario_curso_materia.FK_HOR,horario_curso_materia.DIA) VALUES (  (SELECT curso_materia.ID_CUR_MAT FROM curso_materia WHERE curso_materia.CUPOF='2673027' ) ,
    (SELECT horario.ID_HOR FROM horario WHERE horario.modulo='4 ' and horario.turno='M ' ),
    'LUNES '
 );</t>
  </si>
  <si>
    <t>INSERT INTO horario_curso_materia (horario_curso_materia.FK_CUR_mat,horario_curso_materia.FK_HOR,horario_curso_materia.DIA) VALUES (  (SELECT curso_materia.ID_CUR_MAT FROM curso_materia WHERE curso_materia.CUPOF='733711' ) ,
    (SELECT horario.ID_HOR FROM horario WHERE horario.modulo='4 ' and horario.turno='T ' ),
    'LUNES '
 );</t>
  </si>
  <si>
    <t>INSERT INTO horario_curso_materia (horario_curso_materia.FK_CUR_mat,horario_curso_materia.FK_HOR,horario_curso_materia.DIA) VALUES (  (SELECT curso_materia.ID_CUR_MAT FROM curso_materia WHERE curso_materia.CUPOF='891876' ) ,
    (SELECT horario.ID_HOR FROM horario WHERE horario.modulo='4 ' and horario.turno='T ' ),
    'MARTES '
 );</t>
  </si>
  <si>
    <t>INSERT INTO horario_curso_materia (horario_curso_materia.FK_CUR_mat,horario_curso_materia.FK_HOR,horario_curso_materia.DIA) VALUES (  (SELECT curso_materia.ID_CUR_MAT FROM curso_materia WHERE curso_materia.CUPOF='2683145' ) ,
    (SELECT horario.ID_HOR FROM horario WHERE horario.modulo='4 ' and horario.turno='T ' ),
    'MIERCOLES '
 );</t>
  </si>
  <si>
    <t>INSERT INTO horario_curso_materia (horario_curso_materia.FK_CUR_mat,horario_curso_materia.FK_HOR,horario_curso_materia.DIA) VALUES (  (SELECT curso_materia.ID_CUR_MAT FROM curso_materia WHERE curso_materia.CUPOF='2673026' ) ,
    (SELECT horario.ID_HOR FROM horario WHERE horario.modulo='4 ' and horario.turno='M ' ),
    'VIERNES '
 );</t>
  </si>
  <si>
    <t>INSERT INTO horario_curso_materia (horario_curso_materia.FK_CUR_mat,horario_curso_materia.FK_HOR,horario_curso_materia.DIA) VALUES (  (SELECT curso_materia.ID_CUR_MAT FROM curso_materia WHERE curso_materia.CUPOF='733441' ) ,
    (SELECT horario.ID_HOR FROM horario WHERE horario.modulo='4 ' and horario.turno='T ' ),
    'VIERNES '
 );</t>
  </si>
  <si>
    <t>INSERT INTO horario_curso_materia (horario_curso_materia.FK_CUR_mat,horario_curso_materia.FK_HOR,horario_curso_materia.DIA) VALUES (  (SELECT curso_materia.ID_CUR_MAT FROM curso_materia WHERE curso_materia.CUPOF='839178' ) ,
    (SELECT horario.ID_HOR FROM horario WHERE horario.modulo='prehora ' and horario.turno='T ' ),
    'MARTES '
 );</t>
  </si>
  <si>
    <t>INSERT INTO horario_curso_materia (horario_curso_materia.FK_CUR_mat,horario_curso_materia.FK_HOR,horario_curso_materia.DIA) VALUES (  (SELECT curso_materia.ID_CUR_MAT FROM curso_materia WHERE curso_materia.CUPOF='839178' ) ,
    (SELECT horario.ID_HOR FROM horario WHERE horario.modulo='prehora ' and horario.turno='T ' ),
    'MIERCOLES '
 );</t>
  </si>
  <si>
    <t>INSERT INTO horario_curso_materia (horario_curso_materia.FK_CUR_mat,horario_curso_materia.FK_HOR,horario_curso_materia.DIA) VALUES (  (SELECT curso_materia.ID_CUR_MAT FROM curso_materia WHERE curso_materia.CUPOF='2683142' ) ,
    (SELECT horario.ID_HOR FROM horario WHERE horario.modulo='1 ' and horario.turno='M ' ),
    'JUEVES '
 );</t>
  </si>
  <si>
    <t>INSERT INTO horario_curso_materia (horario_curso_materia.FK_CUR_mat,horario_curso_materia.FK_HOR,horario_curso_materia.DIA) VALUES (  (SELECT curso_materia.ID_CUR_MAT FROM curso_materia WHERE curso_materia.CUPOF='2673084' ) ,
    (SELECT horario.ID_HOR FROM horario WHERE horario.modulo='1 ' and horario.turno='T ' ),
    'JUEVES '
 );</t>
  </si>
  <si>
    <t>INSERT INTO horario_curso_materia (horario_curso_materia.FK_CUR_mat,horario_curso_materia.FK_HOR,horario_curso_materia.DIA) VALUES (  (SELECT curso_materia.ID_CUR_MAT FROM curso_materia WHERE curso_materia.CUPOF='733464' ) ,
    (SELECT horario.ID_HOR FROM horario WHERE horario.modulo='1 ' and horario.turno='M ' ),
    'LUNES '
 );</t>
  </si>
  <si>
    <t>INSERT INTO horario_curso_materia (horario_curso_materia.FK_CUR_mat,horario_curso_materia.FK_HOR,horario_curso_materia.DIA) VALUES (  (SELECT curso_materia.ID_CUR_MAT FROM curso_materia WHERE curso_materia.CUPOF='2673076' ) ,
    (SELECT horario.ID_HOR FROM horario WHERE horario.modulo='1 ' and horario.turno='T ' ),
    'LUNES '
 );</t>
  </si>
  <si>
    <t>INSERT INTO horario_curso_materia (horario_curso_materia.FK_CUR_mat,horario_curso_materia.FK_HOR,horario_curso_materia.DIA) VALUES (  (SELECT curso_materia.ID_CUR_MAT FROM curso_materia WHERE curso_materia.CUPOF='2673082' ) ,
    (SELECT horario.ID_HOR FROM horario WHERE horario.modulo='1 ' and horario.turno='T ' ),
    'LUNES '
 );</t>
  </si>
  <si>
    <t>INSERT INTO horario_curso_materia (horario_curso_materia.FK_CUR_mat,horario_curso_materia.FK_HOR,horario_curso_materia.DIA) VALUES (  (SELECT curso_materia.ID_CUR_MAT FROM curso_materia WHERE curso_materia.CUPOF='733452' ) ,
    (SELECT horario.ID_HOR FROM horario WHERE horario.modulo='1 ' and horario.turno='M ' ),
    'MARTES '
 );</t>
  </si>
  <si>
    <t>INSERT INTO horario_curso_materia (horario_curso_materia.FK_CUR_mat,horario_curso_materia.FK_HOR,horario_curso_materia.DIA) VALUES (  (SELECT curso_materia.ID_CUR_MAT FROM curso_materia WHERE curso_materia.CUPOF='2683140' ) ,
    (SELECT horario.ID_HOR FROM horario WHERE horario.modulo='1 ' and horario.turno='M ' ),
    'MIERCOLES '
 );</t>
  </si>
  <si>
    <t>INSERT INTO horario_curso_materia (horario_curso_materia.FK_CUR_mat,horario_curso_materia.FK_HOR,horario_curso_materia.DIA) VALUES (  (SELECT curso_materia.ID_CUR_MAT FROM curso_materia WHERE curso_materia.CUPOF='2673083' ) ,
    (SELECT horario.ID_HOR FROM horario WHERE horario.modulo='1 ' and horario.turno='T ' ),
    'MIERCOLES '
 );</t>
  </si>
  <si>
    <t>INSERT INTO horario_curso_materia (horario_curso_materia.FK_CUR_mat,horario_curso_materia.FK_HOR,horario_curso_materia.DIA) VALUES (  (SELECT curso_materia.ID_CUR_MAT FROM curso_materia WHERE curso_materia.CUPOF='733452' ) ,
    (SELECT horario.ID_HOR FROM horario WHERE horario.modulo='1 ' and horario.turno='M ' ),
    'VIERNES '
 );</t>
  </si>
  <si>
    <t>INSERT INTO horario_curso_materia (horario_curso_materia.FK_CUR_mat,horario_curso_materia.FK_HOR,horario_curso_materia.DIA) VALUES (  (SELECT curso_materia.ID_CUR_MAT FROM curso_materia WHERE curso_materia.CUPOF='816361' ) ,
    (SELECT horario.ID_HOR FROM horario WHERE horario.modulo='1 ' and horario.turno='T ' ),
    'VIERNES '
 );</t>
  </si>
  <si>
    <t>INSERT INTO horario_curso_materia (horario_curso_materia.FK_CUR_mat,horario_curso_materia.FK_HOR,horario_curso_materia.DIA) VALUES (  (SELECT curso_materia.ID_CUR_MAT FROM curso_materia WHERE curso_materia.CUPOF='2683142' ) ,
    (SELECT horario.ID_HOR FROM horario WHERE horario.modulo='2 ' and horario.turno='M ' ),
    'JUEVES '
 );</t>
  </si>
  <si>
    <t>INSERT INTO horario_curso_materia (horario_curso_materia.FK_CUR_mat,horario_curso_materia.FK_HOR,horario_curso_materia.DIA) VALUES (  (SELECT curso_materia.ID_CUR_MAT FROM curso_materia WHERE curso_materia.CUPOF='2673084' ) ,
    (SELECT horario.ID_HOR FROM horario WHERE horario.modulo='2 ' and horario.turno='T ' ),
    'JUEVES '
 );</t>
  </si>
  <si>
    <t>INSERT INTO horario_curso_materia (horario_curso_materia.FK_CUR_mat,horario_curso_materia.FK_HOR,horario_curso_materia.DIA) VALUES (  (SELECT curso_materia.ID_CUR_MAT FROM curso_materia WHERE curso_materia.CUPOF='733464' ) ,
    (SELECT horario.ID_HOR FROM horario WHERE horario.modulo='2 ' and horario.turno='M ' ),
    'LUNES '
 );</t>
  </si>
  <si>
    <t>INSERT INTO horario_curso_materia (horario_curso_materia.FK_CUR_mat,horario_curso_materia.FK_HOR,horario_curso_materia.DIA) VALUES (  (SELECT curso_materia.ID_CUR_MAT FROM curso_materia WHERE curso_materia.CUPOF='2673076' ) ,
    (SELECT horario.ID_HOR FROM horario WHERE horario.modulo='2 ' and horario.turno='T ' ),
    'LUNES '
 );</t>
  </si>
  <si>
    <t>INSERT INTO horario_curso_materia (horario_curso_materia.FK_CUR_mat,horario_curso_materia.FK_HOR,horario_curso_materia.DIA) VALUES (  (SELECT curso_materia.ID_CUR_MAT FROM curso_materia WHERE curso_materia.CUPOF='2673082' ) ,
    (SELECT horario.ID_HOR FROM horario WHERE horario.modulo='2 ' and horario.turno='T ' ),
    'LUNES '
 );</t>
  </si>
  <si>
    <t>INSERT INTO horario_curso_materia (horario_curso_materia.FK_CUR_mat,horario_curso_materia.FK_HOR,horario_curso_materia.DIA) VALUES (  (SELECT curso_materia.ID_CUR_MAT FROM curso_materia WHERE curso_materia.CUPOF='733452' ) ,
    (SELECT horario.ID_HOR FROM horario WHERE horario.modulo='2 ' and horario.turno='M ' ),
    'MARTES '
 );</t>
  </si>
  <si>
    <t>INSERT INTO horario_curso_materia (horario_curso_materia.FK_CUR_mat,horario_curso_materia.FK_HOR,horario_curso_materia.DIA) VALUES (  (SELECT curso_materia.ID_CUR_MAT FROM curso_materia WHERE curso_materia.CUPOF='2683140' ) ,
    (SELECT horario.ID_HOR FROM horario WHERE horario.modulo='2 ' and horario.turno='M ' ),
    'MIERCOLES '
 );</t>
  </si>
  <si>
    <t>INSERT INTO horario_curso_materia (horario_curso_materia.FK_CUR_mat,horario_curso_materia.FK_HOR,horario_curso_materia.DIA) VALUES (  (SELECT curso_materia.ID_CUR_MAT FROM curso_materia WHERE curso_materia.CUPOF='2673083' ) ,
    (SELECT horario.ID_HOR FROM horario WHERE horario.modulo='2 ' and horario.turno='T ' ),
    'MIERCOLES '
 );</t>
  </si>
  <si>
    <t>INSERT INTO horario_curso_materia (horario_curso_materia.FK_CUR_mat,horario_curso_materia.FK_HOR,horario_curso_materia.DIA) VALUES (  (SELECT curso_materia.ID_CUR_MAT FROM curso_materia WHERE curso_materia.CUPOF='733452' ) ,
    (SELECT horario.ID_HOR FROM horario WHERE horario.modulo='2 ' and horario.turno='M ' ),
    'VIERNES '
 );</t>
  </si>
  <si>
    <t>INSERT INTO horario_curso_materia (horario_curso_materia.FK_CUR_mat,horario_curso_materia.FK_HOR,horario_curso_materia.DIA) VALUES (  (SELECT curso_materia.ID_CUR_MAT FROM curso_materia WHERE curso_materia.CUPOF='816361' ) ,
    (SELECT horario.ID_HOR FROM horario WHERE horario.modulo='2 ' and horario.turno='T ' ),
    'VIERNES '
 );</t>
  </si>
  <si>
    <t>INSERT INTO horario_curso_materia (horario_curso_materia.FK_CUR_mat,horario_curso_materia.FK_HOR,horario_curso_materia.DIA) VALUES (  (SELECT curso_materia.ID_CUR_MAT FROM curso_materia WHERE curso_materia.CUPOF='733446' ) ,
    (SELECT horario.ID_HOR FROM horario WHERE horario.modulo='3 ' and horario.turno='M ' ),
    'JUEVES '
 );</t>
  </si>
  <si>
    <t>INSERT INTO horario_curso_materia (horario_curso_materia.FK_CUR_mat,horario_curso_materia.FK_HOR,horario_curso_materia.DIA) VALUES (  (SELECT curso_materia.ID_CUR_MAT FROM curso_materia WHERE curso_materia.CUPOF='2673079' ) ,
    (SELECT horario.ID_HOR FROM horario WHERE horario.modulo='3 ' and horario.turno='T ' ),
    'JUEVES '
 );</t>
  </si>
  <si>
    <t>INSERT INTO horario_curso_materia (horario_curso_materia.FK_CUR_mat,horario_curso_materia.FK_HOR,horario_curso_materia.DIA) VALUES (  (SELECT curso_materia.ID_CUR_MAT FROM curso_materia WHERE curso_materia.CUPOF='2683140' ) ,
    (SELECT horario.ID_HOR FROM horario WHERE horario.modulo='3 ' and horario.turno='M ' ),
    'LUNES '
 );</t>
  </si>
  <si>
    <t>INSERT INTO horario_curso_materia (horario_curso_materia.FK_CUR_mat,horario_curso_materia.FK_HOR,horario_curso_materia.DIA) VALUES (  (SELECT curso_materia.ID_CUR_MAT FROM curso_materia WHERE curso_materia.CUPOF='2673072' ) ,
    (SELECT horario.ID_HOR FROM horario WHERE horario.modulo='3 ' and horario.turno='T ' ),
    'LUNES '
 );</t>
  </si>
  <si>
    <t>INSERT INTO horario_curso_materia (horario_curso_materia.FK_CUR_mat,horario_curso_materia.FK_HOR,horario_curso_materia.DIA) VALUES (  (SELECT curso_materia.ID_CUR_MAT FROM curso_materia WHERE curso_materia.CUPOF='733507' ) ,
    (SELECT horario.ID_HOR FROM horario WHERE horario.modulo='3 ' and horario.turno='M ' ),
    'MARTES '
 );</t>
  </si>
  <si>
    <t>INSERT INTO horario_curso_materia (horario_curso_materia.FK_CUR_mat,horario_curso_materia.FK_HOR,horario_curso_materia.DIA) VALUES (  (SELECT curso_materia.ID_CUR_MAT FROM curso_materia WHERE curso_materia.CUPOF='733446' ) ,
    (SELECT horario.ID_HOR FROM horario WHERE horario.modulo='3 ' and horario.turno='M ' ),
    'MIERCOLES '
 );</t>
  </si>
  <si>
    <t>INSERT INTO horario_curso_materia (horario_curso_materia.FK_CUR_mat,horario_curso_materia.FK_HOR,horario_curso_materia.DIA) VALUES (  (SELECT curso_materia.ID_CUR_MAT FROM curso_materia WHERE curso_materia.CUPOF='733699' ) ,
    (SELECT horario.ID_HOR FROM horario WHERE horario.modulo='3 ' and horario.turno='M ' ),
    'VIERNES '
 );</t>
  </si>
  <si>
    <t>INSERT INTO horario_curso_materia (horario_curso_materia.FK_CUR_mat,horario_curso_materia.FK_HOR,horario_curso_materia.DIA) VALUES (  (SELECT curso_materia.ID_CUR_MAT FROM curso_materia WHERE curso_materia.CUPOF='733446' ) ,
    (SELECT horario.ID_HOR FROM horario WHERE horario.modulo='4 ' and horario.turno='M ' ),
    'JUEVES '
 );</t>
  </si>
  <si>
    <t>INSERT INTO horario_curso_materia (horario_curso_materia.FK_CUR_mat,horario_curso_materia.FK_HOR,horario_curso_materia.DIA) VALUES (  (SELECT curso_materia.ID_CUR_MAT FROM curso_materia WHERE curso_materia.CUPOF='2673079' ) ,
    (SELECT horario.ID_HOR FROM horario WHERE horario.modulo='4 ' and horario.turno='T ' ),
    'JUEVES '
 );</t>
  </si>
  <si>
    <t>INSERT INTO horario_curso_materia (horario_curso_materia.FK_CUR_mat,horario_curso_materia.FK_HOR,horario_curso_materia.DIA) VALUES (  (SELECT curso_materia.ID_CUR_MAT FROM curso_materia WHERE curso_materia.CUPOF='2683140' ) ,
    (SELECT horario.ID_HOR FROM horario WHERE horario.modulo='4 ' and horario.turno='M ' ),
    'LUNES '
 );</t>
  </si>
  <si>
    <t>INSERT INTO horario_curso_materia (horario_curso_materia.FK_CUR_mat,horario_curso_materia.FK_HOR,horario_curso_materia.DIA) VALUES (  (SELECT curso_materia.ID_CUR_MAT FROM curso_materia WHERE curso_materia.CUPOF='2673072' ) ,
    (SELECT horario.ID_HOR FROM horario WHERE horario.modulo='4 ' and horario.turno='T ' ),
    'LUNES '
 );</t>
  </si>
  <si>
    <t>INSERT INTO horario_curso_materia (horario_curso_materia.FK_CUR_mat,horario_curso_materia.FK_HOR,horario_curso_materia.DIA) VALUES (  (SELECT curso_materia.ID_CUR_MAT FROM curso_materia WHERE curso_materia.CUPOF='733507' ) ,
    (SELECT horario.ID_HOR FROM horario WHERE horario.modulo='4 ' and horario.turno='M ' ),
    'MARTES '
 );</t>
  </si>
  <si>
    <t>INSERT INTO horario_curso_materia (horario_curso_materia.FK_CUR_mat,horario_curso_materia.FK_HOR,horario_curso_materia.DIA) VALUES (  (SELECT curso_materia.ID_CUR_MAT FROM curso_materia WHERE curso_materia.CUPOF='733446' ) ,
    (SELECT horario.ID_HOR FROM horario WHERE horario.modulo='4 ' and horario.turno='M ' ),
    'MIERCOLES '
 );</t>
  </si>
  <si>
    <t>INSERT INTO horario_curso_materia (horario_curso_materia.FK_CUR_mat,horario_curso_materia.FK_HOR,horario_curso_materia.DIA) VALUES (  (SELECT curso_materia.ID_CUR_MAT FROM curso_materia WHERE curso_materia.CUPOF='733699' ) ,
    (SELECT horario.ID_HOR FROM horario WHERE horario.modulo='4 ' and horario.turno='M ' ),
    'VIERNES '
 );</t>
  </si>
  <si>
    <t>INSERT INTO horario_curso_materia (horario_curso_materia.FK_CUR_mat,horario_curso_materia.FK_HOR,horario_curso_materia.DIA) VALUES (  (SELECT curso_materia.ID_CUR_MAT FROM curso_materia WHERE curso_materia.CUPOF='733507' ) ,
    (SELECT horario.ID_HOR FROM horario WHERE horario.modulo='5 ' and horario.turno='M ' ),
    'LUNES '
 );</t>
  </si>
  <si>
    <t>INSERT INTO horario_curso_materia (horario_curso_materia.FK_CUR_mat,horario_curso_materia.FK_HOR,horario_curso_materia.DIA) VALUES (  (SELECT curso_materia.ID_CUR_MAT FROM curso_materia WHERE curso_materia.CUPOF='733507' ) ,
    (SELECT horario.ID_HOR FROM horario WHERE horario.modulo='5 ' and horario.turno='M ' ),
    'MIERCOLES '
 );</t>
  </si>
  <si>
    <t>INSERT INTO horario_curso_materia (horario_curso_materia.FK_CUR_mat,horario_curso_materia.FK_HOR,horario_curso_materia.DIA) VALUES (  (SELECT curso_materia.ID_CUR_MAT FROM curso_materia WHERE curso_materia.CUPOF='2683136' ) ,
    (SELECT horario.ID_HOR FROM horario WHERE horario.modulo='1 ' and horario.turno='M ' ),
    'JUEVES '
 );</t>
  </si>
  <si>
    <t>INSERT INTO horario_curso_materia (horario_curso_materia.FK_CUR_mat,horario_curso_materia.FK_HOR,horario_curso_materia.DIA) VALUES (  (SELECT curso_materia.ID_CUR_MAT FROM curso_materia WHERE curso_materia.CUPOF='1492411' ) ,
    (SELECT horario.ID_HOR FROM horario WHERE horario.modulo='1 ' and horario.turno='T ' ),
    'JUEVES '
 );</t>
  </si>
  <si>
    <t>INSERT INTO horario_curso_materia (horario_curso_materia.FK_CUR_mat,horario_curso_materia.FK_HOR,horario_curso_materia.DIA) VALUES (  (SELECT curso_materia.ID_CUR_MAT FROM curso_materia WHERE curso_materia.CUPOF='1493353' ) ,
    (SELECT horario.ID_HOR FROM horario WHERE horario.modulo='3 ' and horario.turno='M ' ),
    'MARTES '
 );</t>
  </si>
  <si>
    <t>INSERT INTO horario_curso_materia (horario_curso_materia.FK_CUR_mat,horario_curso_materia.FK_HOR,horario_curso_materia.DIA) VALUES (  (SELECT curso_materia.ID_CUR_MAT FROM curso_materia WHERE curso_materia.CUPOF='1492411' ) ,
    (SELECT horario.ID_HOR FROM horario WHERE horario.modulo='1 ' and horario.turno='T ' ),
    'LUNES '
 );</t>
  </si>
  <si>
    <t>INSERT INTO horario_curso_materia (horario_curso_materia.FK_CUR_mat,horario_curso_materia.FK_HOR,horario_curso_materia.DIA) VALUES (  (SELECT curso_materia.ID_CUR_MAT FROM curso_materia WHERE curso_materia.CUPOF='1493343' ) ,
    (SELECT horario.ID_HOR FROM horario WHERE horario.modulo='1 ' and horario.turno='T ' ),
    'MARTES '
 );</t>
  </si>
  <si>
    <t>INSERT INTO horario_curso_materia (horario_curso_materia.FK_CUR_mat,horario_curso_materia.FK_HOR,horario_curso_materia.DIA) VALUES (  (SELECT curso_materia.ID_CUR_MAT FROM curso_materia WHERE curso_materia.CUPOF='1493345' ) ,
    (SELECT horario.ID_HOR FROM horario WHERE horario.modulo='1 ' and horario.turno='M ' ),
    'MIERCOLES '
 );</t>
  </si>
  <si>
    <t>INSERT INTO horario_curso_materia (horario_curso_materia.FK_CUR_mat,horario_curso_materia.FK_HOR,horario_curso_materia.DIA) VALUES (  (SELECT curso_materia.ID_CUR_MAT FROM curso_materia WHERE curso_materia.CUPOF='1493339' ) ,
    (SELECT horario.ID_HOR FROM horario WHERE horario.modulo='1 ' and horario.turno='T ' ),
    'MIERCOLES '
 );</t>
  </si>
  <si>
    <t>INSERT INTO horario_curso_materia (horario_curso_materia.FK_CUR_mat,horario_curso_materia.FK_HOR,horario_curso_materia.DIA) VALUES (  (SELECT curso_materia.ID_CUR_MAT FROM curso_materia WHERE curso_materia.CUPOF='149335' ) ,
    (SELECT horario.ID_HOR FROM horario WHERE horario.modulo='1 ' and horario.turno='T ' ),
    'VIERNES '
 );</t>
  </si>
  <si>
    <t>INSERT INTO horario_curso_materia (horario_curso_materia.FK_CUR_mat,horario_curso_materia.FK_HOR,horario_curso_materia.DIA) VALUES (  (SELECT curso_materia.ID_CUR_MAT FROM curso_materia WHERE curso_materia.CUPOF='2683136' ) ,
    (SELECT horario.ID_HOR FROM horario WHERE horario.modulo='2 ' and horario.turno='M ' ),
    'JUEVES '
 );</t>
  </si>
  <si>
    <t>INSERT INTO horario_curso_materia (horario_curso_materia.FK_CUR_mat,horario_curso_materia.FK_HOR,horario_curso_materia.DIA) VALUES (  (SELECT curso_materia.ID_CUR_MAT FROM curso_materia WHERE curso_materia.CUPOF='1492411' ) ,
    (SELECT horario.ID_HOR FROM horario WHERE horario.modulo='2 ' and horario.turno='T ' ),
    'JUEVES '
 );</t>
  </si>
  <si>
    <t>INSERT INTO horario_curso_materia (horario_curso_materia.FK_CUR_mat,horario_curso_materia.FK_HOR,horario_curso_materia.DIA) VALUES (  (SELECT curso_materia.ID_CUR_MAT FROM curso_materia WHERE curso_materia.CUPOF='1493353' ) ,
    (SELECT horario.ID_HOR FROM horario WHERE horario.modulo='4 ' and horario.turno='M ' ),
    'MARTES '
 );</t>
  </si>
  <si>
    <t>INSERT INTO horario_curso_materia (horario_curso_materia.FK_CUR_mat,horario_curso_materia.FK_HOR,horario_curso_materia.DIA) VALUES (  (SELECT curso_materia.ID_CUR_MAT FROM curso_materia WHERE curso_materia.CUPOF='1492411' ) ,
    (SELECT horario.ID_HOR FROM horario WHERE horario.modulo='2 ' and horario.turno='T ' ),
    'LUNES '
 );</t>
  </si>
  <si>
    <t>INSERT INTO horario_curso_materia (horario_curso_materia.FK_CUR_mat,horario_curso_materia.FK_HOR,horario_curso_materia.DIA) VALUES (  (SELECT curso_materia.ID_CUR_MAT FROM curso_materia WHERE curso_materia.CUPOF='1493343' ) ,
    (SELECT horario.ID_HOR FROM horario WHERE horario.modulo='2 ' and horario.turno='T ' ),
    'MARTES '
 );</t>
  </si>
  <si>
    <t>INSERT INTO horario_curso_materia (horario_curso_materia.FK_CUR_mat,horario_curso_materia.FK_HOR,horario_curso_materia.DIA) VALUES (  (SELECT curso_materia.ID_CUR_MAT FROM curso_materia WHERE curso_materia.CUPOF='1493345' ) ,
    (SELECT horario.ID_HOR FROM horario WHERE horario.modulo='2 ' and horario.turno='M ' ),
    'MIERCOLES '
 );</t>
  </si>
  <si>
    <t>INSERT INTO horario_curso_materia (horario_curso_materia.FK_CUR_mat,horario_curso_materia.FK_HOR,horario_curso_materia.DIA) VALUES (  (SELECT curso_materia.ID_CUR_MAT FROM curso_materia WHERE curso_materia.CUPOF='1493339' ) ,
    (SELECT horario.ID_HOR FROM horario WHERE horario.modulo='2 ' and horario.turno='T ' ),
    'MIERCOLES '
 );</t>
  </si>
  <si>
    <t>INSERT INTO horario_curso_materia (horario_curso_materia.FK_CUR_mat,horario_curso_materia.FK_HOR,horario_curso_materia.DIA) VALUES (  (SELECT curso_materia.ID_CUR_MAT FROM curso_materia WHERE curso_materia.CUPOF='149335' ) ,
    (SELECT horario.ID_HOR FROM horario WHERE horario.modulo='2 ' and horario.turno='T ' ),
    'VIERNES '
 );</t>
  </si>
  <si>
    <t>INSERT INTO horario_curso_materia (horario_curso_materia.FK_CUR_mat,horario_curso_materia.FK_HOR,horario_curso_materia.DIA) VALUES (  (SELECT curso_materia.ID_CUR_MAT FROM curso_materia WHERE curso_materia.CUPOF='1493350' ) ,
    (SELECT horario.ID_HOR FROM horario WHERE horario.modulo='3 ' and horario.turno='M ' ),
    'JUEVES '
 );</t>
  </si>
  <si>
    <t>INSERT INTO horario_curso_materia (horario_curso_materia.FK_CUR_mat,horario_curso_materia.FK_HOR,horario_curso_materia.DIA) VALUES (  (SELECT curso_materia.ID_CUR_MAT FROM curso_materia WHERE curso_materia.CUPOF='1493343' ) ,
    (SELECT horario.ID_HOR FROM horario WHERE horario.modulo='3 ' and horario.turno='T ' ),
    'JUEVES '
 );</t>
  </si>
  <si>
    <t>INSERT INTO horario_curso_materia (horario_curso_materia.FK_CUR_mat,horario_curso_materia.FK_HOR,horario_curso_materia.DIA) VALUES (  (SELECT curso_materia.ID_CUR_MAT FROM curso_materia WHERE curso_materia.CUPOF='1493342' ) ,
    (SELECT horario.ID_HOR FROM horario WHERE horario.modulo='3 ' and horario.turno='T ' ),
    'LUNES '
 );</t>
  </si>
  <si>
    <t>INSERT INTO horario_curso_materia (horario_curso_materia.FK_CUR_mat,horario_curso_materia.FK_HOR,horario_curso_materia.DIA) VALUES (  (SELECT curso_materia.ID_CUR_MAT FROM curso_materia WHERE curso_materia.CUPOF='2683137' ) ,
    (SELECT horario.ID_HOR FROM horario WHERE horario.modulo='3 ' and horario.turno='M ' ),
    'MARTES '
 );</t>
  </si>
  <si>
    <t>INSERT INTO horario_curso_materia (horario_curso_materia.FK_CUR_mat,horario_curso_materia.FK_HOR,horario_curso_materia.DIA) VALUES (  (SELECT curso_materia.ID_CUR_MAT FROM curso_materia WHERE curso_materia.CUPOF='1493338' ) ,
    (SELECT horario.ID_HOR FROM horario WHERE horario.modulo='3 ' and horario.turno='T ' ),
    'MARTES '
 );</t>
  </si>
  <si>
    <t>INSERT INTO horario_curso_materia (horario_curso_materia.FK_CUR_mat,horario_curso_materia.FK_HOR,horario_curso_materia.DIA) VALUES (  (SELECT curso_materia.ID_CUR_MAT FROM curso_materia WHERE curso_materia.CUPOF='2683138' ) ,
    (SELECT horario.ID_HOR FROM horario WHERE horario.modulo='3 ' and horario.turno='M ' ),
    'MIERCOLES '
 );</t>
  </si>
  <si>
    <t>INSERT INTO horario_curso_materia (horario_curso_materia.FK_CUR_mat,horario_curso_materia.FK_HOR,horario_curso_materia.DIA) VALUES (  (SELECT curso_materia.ID_CUR_MAT FROM curso_materia WHERE curso_materia.CUPOF='1493338' ) ,
    (SELECT horario.ID_HOR FROM horario WHERE horario.modulo='3 ' and horario.turno='T ' ),
    'MIERCOLES '
 );</t>
  </si>
  <si>
    <t>INSERT INTO horario_curso_materia (horario_curso_materia.FK_CUR_mat,horario_curso_materia.FK_HOR,horario_curso_materia.DIA) VALUES (  (SELECT curso_materia.ID_CUR_MAT FROM curso_materia WHERE curso_materia.CUPOF='1493340' ) ,
    (SELECT horario.ID_HOR FROM horario WHERE horario.modulo='3 ' and horario.turno='M ' ),
    'VIERNES '
 );</t>
  </si>
  <si>
    <t>INSERT INTO horario_curso_materia (horario_curso_materia.FK_CUR_mat,horario_curso_materia.FK_HOR,horario_curso_materia.DIA) VALUES (  (SELECT curso_materia.ID_CUR_MAT FROM curso_materia WHERE curso_materia.CUPOF='839179' ) ,
    (SELECT horario.ID_HOR FROM horario WHERE horario.modulo='3 ' and horario.turno='T ' ),
    'VIERNES '
 );</t>
  </si>
  <si>
    <t>INSERT INTO horario_curso_materia (horario_curso_materia.FK_CUR_mat,horario_curso_materia.FK_HOR,horario_curso_materia.DIA) VALUES (  (SELECT curso_materia.ID_CUR_MAT FROM curso_materia WHERE curso_materia.CUPOF='1493350' ) ,
    (SELECT horario.ID_HOR FROM horario WHERE horario.modulo='4 ' and horario.turno='M ' ),
    'JUEVES '
 );</t>
  </si>
  <si>
    <t>INSERT INTO horario_curso_materia (horario_curso_materia.FK_CUR_mat,horario_curso_materia.FK_HOR,horario_curso_materia.DIA) VALUES (  (SELECT curso_materia.ID_CUR_MAT FROM curso_materia WHERE curso_materia.CUPOF='1493343' ) ,
    (SELECT horario.ID_HOR FROM horario WHERE horario.modulo='4 ' and horario.turno='T ' ),
    'JUEVES '
 );</t>
  </si>
  <si>
    <t>INSERT INTO horario_curso_materia (horario_curso_materia.FK_CUR_mat,horario_curso_materia.FK_HOR,horario_curso_materia.DIA) VALUES (  (SELECT curso_materia.ID_CUR_MAT FROM curso_materia WHERE curso_materia.CUPOF='1493342' ) ,
    (SELECT horario.ID_HOR FROM horario WHERE horario.modulo='4 ' and horario.turno='T ' ),
    'LUNES '
 );</t>
  </si>
  <si>
    <t>INSERT INTO horario_curso_materia (horario_curso_materia.FK_CUR_mat,horario_curso_materia.FK_HOR,horario_curso_materia.DIA) VALUES (  (SELECT curso_materia.ID_CUR_MAT FROM curso_materia WHERE curso_materia.CUPOF='2683137' ) ,
    (SELECT horario.ID_HOR FROM horario WHERE horario.modulo='4 ' and horario.turno='M ' ),
    'MARTES '
 );</t>
  </si>
  <si>
    <t>INSERT INTO horario_curso_materia (horario_curso_materia.FK_CUR_mat,horario_curso_materia.FK_HOR,horario_curso_materia.DIA) VALUES (  (SELECT curso_materia.ID_CUR_MAT FROM curso_materia WHERE curso_materia.CUPOF='1493338' ) ,
    (SELECT horario.ID_HOR FROM horario WHERE horario.modulo='4 ' and horario.turno='T ' ),
    'MARTES '
 );</t>
  </si>
  <si>
    <t>INSERT INTO horario_curso_materia (horario_curso_materia.FK_CUR_mat,horario_curso_materia.FK_HOR,horario_curso_materia.DIA) VALUES (  (SELECT curso_materia.ID_CUR_MAT FROM curso_materia WHERE curso_materia.CUPOF='2683138' ) ,
    (SELECT horario.ID_HOR FROM horario WHERE horario.modulo='4 ' and horario.turno='M ' ),
    'MIERCOLES '
 );</t>
  </si>
  <si>
    <t>INSERT INTO horario_curso_materia (horario_curso_materia.FK_CUR_mat,horario_curso_materia.FK_HOR,horario_curso_materia.DIA) VALUES (  (SELECT curso_materia.ID_CUR_MAT FROM curso_materia WHERE curso_materia.CUPOF='1493338' ) ,
    (SELECT horario.ID_HOR FROM horario WHERE horario.modulo='4 ' and horario.turno='T ' ),
    'MIERCOLES '
 );</t>
  </si>
  <si>
    <t>INSERT INTO horario_curso_materia (horario_curso_materia.FK_CUR_mat,horario_curso_materia.FK_HOR,horario_curso_materia.DIA) VALUES (  (SELECT curso_materia.ID_CUR_MAT FROM curso_materia WHERE curso_materia.CUPOF='1493340' ) ,
    (SELECT horario.ID_HOR FROM horario WHERE horario.modulo='4 ' and horario.turno='M ' ),
    'VIERNES '
 );</t>
  </si>
  <si>
    <t>INSERT INTO horario_curso_materia (horario_curso_materia.FK_CUR_mat,horario_curso_materia.FK_HOR,horario_curso_materia.DIA) VALUES (  (SELECT curso_materia.ID_CUR_MAT FROM curso_materia WHERE curso_materia.CUPOF='839179' ) ,
    (SELECT horario.ID_HOR FROM horario WHERE horario.modulo='4 ' and horario.turno='T ' ),
    'VIERNES '
 );</t>
  </si>
  <si>
    <t>INSERT INTO horario_curso_materia (horario_curso_materia.FK_CUR_mat,horario_curso_materia.FK_HOR,horario_curso_materia.DIA) VALUES (  (SELECT curso_materia.ID_CUR_MAT FROM curso_materia WHERE curso_materia.CUPOF='1493342' ) ,
    (SELECT horario.ID_HOR FROM horario WHERE horario.modulo='5 ' and horario.turno='T ' ),
    'LUNES '
 );</t>
  </si>
  <si>
    <t>INSERT INTO horario_curso_materia (horario_curso_materia.FK_CUR_mat,horario_curso_materia.FK_HOR,horario_curso_materia.DIA) VALUES (  (SELECT curso_materia.ID_CUR_MAT FROM curso_materia WHERE curso_materia.CUPOF='1493342' ) ,
    (SELECT horario.ID_HOR FROM horario WHERE horario.modulo='5 ' and horario.turno='T ' ),
    'MIERCOLES '
 );</t>
  </si>
  <si>
    <t>INSERT INTO horario_curso_materia (horario_curso_materia.FK_CUR_mat,horario_curso_materia.FK_HOR,horario_curso_materia.DIA) VALUES (  (SELECT curso_materia.ID_CUR_MAT FROM curso_materia WHERE curso_materia.CUPOF='2232490' ) ,
    (SELECT horario.ID_HOR FROM horario WHERE horario.modulo='1 ' and horario.turno='M ' ),
    'JUEVES '
 );</t>
  </si>
  <si>
    <t>INSERT INTO horario_curso_materia (horario_curso_materia.FK_CUR_mat,horario_curso_materia.FK_HOR,horario_curso_materia.DIA) VALUES (  (SELECT curso_materia.ID_CUR_MAT FROM curso_materia WHERE curso_materia.CUPOF='2232501' ) ,
    (SELECT horario.ID_HOR FROM horario WHERE horario.modulo='1 ' and horario.turno='M ' ),
    'JUEVES '
 );</t>
  </si>
  <si>
    <t>INSERT INTO horario_curso_materia (horario_curso_materia.FK_CUR_mat,horario_curso_materia.FK_HOR,horario_curso_materia.DIA) VALUES (  (SELECT curso_materia.ID_CUR_MAT FROM curso_materia WHERE curso_materia.CUPOF='2232486' ) ,
    (SELECT horario.ID_HOR FROM horario WHERE horario.modulo='1 ' and horario.turno='T ' ),
    'JUEVES '
 );</t>
  </si>
  <si>
    <t>INSERT INTO horario_curso_materia (horario_curso_materia.FK_CUR_mat,horario_curso_materia.FK_HOR,horario_curso_materia.DIA) VALUES (  (SELECT curso_materia.ID_CUR_MAT FROM curso_materia WHERE curso_materia.CUPOF='2232494' ) ,
    (SELECT horario.ID_HOR FROM horario WHERE horario.modulo='1 ' and horario.turno='M ' ),
    'LUNES '
 );</t>
  </si>
  <si>
    <t>INSERT INTO horario_curso_materia (horario_curso_materia.FK_CUR_mat,horario_curso_materia.FK_HOR,horario_curso_materia.DIA) VALUES (  (SELECT curso_materia.ID_CUR_MAT FROM curso_materia WHERE curso_materia.CUPOF='2232484' ) ,
    (SELECT horario.ID_HOR FROM horario WHERE horario.modulo='1 ' and horario.turno='T ' ),
    'LUNES '
 );</t>
  </si>
  <si>
    <t>INSERT INTO horario_curso_materia (horario_curso_materia.FK_CUR_mat,horario_curso_materia.FK_HOR,horario_curso_materia.DIA) VALUES (  (SELECT curso_materia.ID_CUR_MAT FROM curso_materia WHERE curso_materia.CUPOF='2232483' ) ,
    (SELECT horario.ID_HOR FROM horario WHERE horario.modulo='1 ' and horario.turno='M ' ),
    'MIERCOLES '
 );</t>
  </si>
  <si>
    <t>INSERT INTO horario_curso_materia (horario_curso_materia.FK_CUR_mat,horario_curso_materia.FK_HOR,horario_curso_materia.DIA) VALUES (  (SELECT curso_materia.ID_CUR_MAT FROM curso_materia WHERE curso_materia.CUPOF='2232487' ) ,
    (SELECT horario.ID_HOR FROM horario WHERE horario.modulo='1 ' and horario.turno='T ' ),
    'MIERCOLES '
 );</t>
  </si>
  <si>
    <t>INSERT INTO horario_curso_materia (horario_curso_materia.FK_CUR_mat,horario_curso_materia.FK_HOR,horario_curso_materia.DIA) VALUES (  (SELECT curso_materia.ID_CUR_MAT FROM curso_materia WHERE curso_materia.CUPOF='2232486' ) ,
    (SELECT horario.ID_HOR FROM horario WHERE horario.modulo='1 ' and horario.turno='T ' ),
    'VIERNES '
 );</t>
  </si>
  <si>
    <t>INSERT INTO horario_curso_materia (horario_curso_materia.FK_CUR_mat,horario_curso_materia.FK_HOR,horario_curso_materia.DIA) VALUES (  (SELECT curso_materia.ID_CUR_MAT FROM curso_materia WHERE curso_materia.CUPOF='2232490' ) ,
    (SELECT horario.ID_HOR FROM horario WHERE horario.modulo='2 ' and horario.turno='M ' ),
    'JUEVES '
 );</t>
  </si>
  <si>
    <t>INSERT INTO horario_curso_materia (horario_curso_materia.FK_CUR_mat,horario_curso_materia.FK_HOR,horario_curso_materia.DIA) VALUES (  (SELECT curso_materia.ID_CUR_MAT FROM curso_materia WHERE curso_materia.CUPOF='2232501' ) ,
    (SELECT horario.ID_HOR FROM horario WHERE horario.modulo='2 ' and horario.turno='M ' ),
    'JUEVES '
 );</t>
  </si>
  <si>
    <t>INSERT INTO horario_curso_materia (horario_curso_materia.FK_CUR_mat,horario_curso_materia.FK_HOR,horario_curso_materia.DIA) VALUES (  (SELECT curso_materia.ID_CUR_MAT FROM curso_materia WHERE curso_materia.CUPOF='2232486' ) ,
    (SELECT horario.ID_HOR FROM horario WHERE horario.modulo='2 ' and horario.turno='T ' ),
    'JUEVES '
 );</t>
  </si>
  <si>
    <t>INSERT INTO horario_curso_materia (horario_curso_materia.FK_CUR_mat,horario_curso_materia.FK_HOR,horario_curso_materia.DIA) VALUES (  (SELECT curso_materia.ID_CUR_MAT FROM curso_materia WHERE curso_materia.CUPOF='2232494' ) ,
    (SELECT horario.ID_HOR FROM horario WHERE horario.modulo='2 ' and horario.turno='M ' ),
    'LUNES '
 );</t>
  </si>
  <si>
    <t>INSERT INTO horario_curso_materia (horario_curso_materia.FK_CUR_mat,horario_curso_materia.FK_HOR,horario_curso_materia.DIA) VALUES (  (SELECT curso_materia.ID_CUR_MAT FROM curso_materia WHERE curso_materia.CUPOF='2232484' ) ,
    (SELECT horario.ID_HOR FROM horario WHERE horario.modulo='2 ' and horario.turno='T ' ),
    'LUNES '
 );</t>
  </si>
  <si>
    <t>INSERT INTO horario_curso_materia (horario_curso_materia.FK_CUR_mat,horario_curso_materia.FK_HOR,horario_curso_materia.DIA) VALUES (  (SELECT curso_materia.ID_CUR_MAT FROM curso_materia WHERE curso_materia.CUPOF='2232483' ) ,
    (SELECT horario.ID_HOR FROM horario WHERE horario.modulo='2 ' and horario.turno='M ' ),
    'MIERCOLES '
 );</t>
  </si>
  <si>
    <t>INSERT INTO horario_curso_materia (horario_curso_materia.FK_CUR_mat,horario_curso_materia.FK_HOR,horario_curso_materia.DIA) VALUES (  (SELECT curso_materia.ID_CUR_MAT FROM curso_materia WHERE curso_materia.CUPOF='2232487' ) ,
    (SELECT horario.ID_HOR FROM horario WHERE horario.modulo='2 ' and horario.turno='T ' ),
    'MIERCOLES '
 );</t>
  </si>
  <si>
    <t>INSERT INTO horario_curso_materia (horario_curso_materia.FK_CUR_mat,horario_curso_materia.FK_HOR,horario_curso_materia.DIA) VALUES (  (SELECT curso_materia.ID_CUR_MAT FROM curso_materia WHERE curso_materia.CUPOF='2232486' ) ,
    (SELECT horario.ID_HOR FROM horario WHERE horario.modulo='2 ' and horario.turno='T ' ),
    'VIERNES '
 );</t>
  </si>
  <si>
    <t>INSERT INTO horario_curso_materia (horario_curso_materia.FK_CUR_mat,horario_curso_materia.FK_HOR,horario_curso_materia.DIA) VALUES (  (SELECT curso_materia.ID_CUR_MAT FROM curso_materia WHERE curso_materia.CUPOF='2232499' ) ,
    (SELECT horario.ID_HOR FROM horario WHERE horario.modulo='3 ' and horario.turno='M ' ),
    'JUEVES '
 );</t>
  </si>
  <si>
    <t>INSERT INTO horario_curso_materia (horario_curso_materia.FK_CUR_mat,horario_curso_materia.FK_HOR,horario_curso_materia.DIA) VALUES (  (SELECT curso_materia.ID_CUR_MAT FROM curso_materia WHERE curso_materia.CUPOF='2232491' ) ,
    (SELECT horario.ID_HOR FROM horario WHERE horario.modulo='3 ' and horario.turno='M ' ),
    'JUEVES '
 );</t>
  </si>
  <si>
    <t>INSERT INTO horario_curso_materia (horario_curso_materia.FK_CUR_mat,horario_curso_materia.FK_HOR,horario_curso_materia.DIA) VALUES (  (SELECT curso_materia.ID_CUR_MAT FROM curso_materia WHERE curso_materia.CUPOF='2232479' ) ,
    (SELECT horario.ID_HOR FROM horario WHERE horario.modulo='3 ' and horario.turno='T ' ),
    'JUEVES '
 );</t>
  </si>
  <si>
    <t>INSERT INTO horario_curso_materia (horario_curso_materia.FK_CUR_mat,horario_curso_materia.FK_HOR,horario_curso_materia.DIA) VALUES (  (SELECT curso_materia.ID_CUR_MAT FROM curso_materia WHERE curso_materia.CUPOF='2232497' ) ,
    (SELECT horario.ID_HOR FROM horario WHERE horario.modulo='3 ' and horario.turno='M ' ),
    'LUNES '
 );</t>
  </si>
  <si>
    <t>INSERT INTO horario_curso_materia (horario_curso_materia.FK_CUR_mat,horario_curso_materia.FK_HOR,horario_curso_materia.DIA) VALUES (  (SELECT curso_materia.ID_CUR_MAT FROM curso_materia WHERE curso_materia.CUPOF='2232480' ) ,
    (SELECT horario.ID_HOR FROM horario WHERE horario.modulo='3 ' and horario.turno='T ' ),
    'LUNES '
 );</t>
  </si>
  <si>
    <t>INSERT INTO horario_curso_materia (horario_curso_materia.FK_CUR_mat,horario_curso_materia.FK_HOR,horario_curso_materia.DIA) VALUES (  (SELECT curso_materia.ID_CUR_MAT FROM curso_materia WHERE curso_materia.CUPOF='2232480' ) ,
    (SELECT horario.ID_HOR FROM horario WHERE horario.modulo='3 ' and horario.turno='T ' ),
    'MARTES '
 );</t>
  </si>
  <si>
    <t>INSERT INTO horario_curso_materia (horario_curso_materia.FK_CUR_mat,horario_curso_materia.FK_HOR,horario_curso_materia.DIA) VALUES (  (SELECT curso_materia.ID_CUR_MAT FROM curso_materia WHERE curso_materia.CUPOF='2232485' ) ,
    (SELECT horario.ID_HOR FROM horario WHERE horario.modulo='3 ' and horario.turno='T ' ),
    'MIERCOLES '
 );</t>
  </si>
  <si>
    <t>INSERT INTO horario_curso_materia (horario_curso_materia.FK_CUR_mat,horario_curso_materia.FK_HOR,horario_curso_materia.DIA) VALUES (  (SELECT curso_materia.ID_CUR_MAT FROM curso_materia WHERE curso_materia.CUPOF='2232485' ) ,
    (SELECT horario.ID_HOR FROM horario WHERE horario.modulo='3 ' and horario.turno='T ' ),
    'VIERNES '
 );</t>
  </si>
  <si>
    <t>INSERT INTO horario_curso_materia (horario_curso_materia.FK_CUR_mat,horario_curso_materia.FK_HOR,horario_curso_materia.DIA) VALUES (  (SELECT curso_materia.ID_CUR_MAT FROM curso_materia WHERE curso_materia.CUPOF='2232499' ) ,
    (SELECT horario.ID_HOR FROM horario WHERE horario.modulo='4 ' and horario.turno='M ' ),
    'JUEVES '
 );</t>
  </si>
  <si>
    <t>INSERT INTO horario_curso_materia (horario_curso_materia.FK_CUR_mat,horario_curso_materia.FK_HOR,horario_curso_materia.DIA) VALUES (  (SELECT curso_materia.ID_CUR_MAT FROM curso_materia WHERE curso_materia.CUPOF='2232491' ) ,
    (SELECT horario.ID_HOR FROM horario WHERE horario.modulo='4 ' and horario.turno='M ' ),
    'JUEVES '
 );</t>
  </si>
  <si>
    <t>INSERT INTO horario_curso_materia (horario_curso_materia.FK_CUR_mat,horario_curso_materia.FK_HOR,horario_curso_materia.DIA) VALUES (  (SELECT curso_materia.ID_CUR_MAT FROM curso_materia WHERE curso_materia.CUPOF='2232479' ) ,
    (SELECT horario.ID_HOR FROM horario WHERE horario.modulo='4 ' and horario.turno='T ' ),
    'JUEVES '
 );</t>
  </si>
  <si>
    <t>INSERT INTO horario_curso_materia (horario_curso_materia.FK_CUR_mat,horario_curso_materia.FK_HOR,horario_curso_materia.DIA) VALUES (  (SELECT curso_materia.ID_CUR_MAT FROM curso_materia WHERE curso_materia.CUPOF='2232497' ) ,
    (SELECT horario.ID_HOR FROM horario WHERE horario.modulo='4 ' and horario.turno='M ' ),
    'LUNES '
 );</t>
  </si>
  <si>
    <t>INSERT INTO horario_curso_materia (horario_curso_materia.FK_CUR_mat,horario_curso_materia.FK_HOR,horario_curso_materia.DIA) VALUES (  (SELECT curso_materia.ID_CUR_MAT FROM curso_materia WHERE curso_materia.CUPOF='2232480' ) ,
    (SELECT horario.ID_HOR FROM horario WHERE horario.modulo='4 ' and horario.turno='T ' ),
    'LUNES '
 );</t>
  </si>
  <si>
    <t>INSERT INTO horario_curso_materia (horario_curso_materia.FK_CUR_mat,horario_curso_materia.FK_HOR,horario_curso_materia.DIA) VALUES (  (SELECT curso_materia.ID_CUR_MAT FROM curso_materia WHERE curso_materia.CUPOF='2232480' ) ,
    (SELECT horario.ID_HOR FROM horario WHERE horario.modulo='4 ' and horario.turno='T ' ),
    'MARTES '
 );</t>
  </si>
  <si>
    <t>INSERT INTO horario_curso_materia (horario_curso_materia.FK_CUR_mat,horario_curso_materia.FK_HOR,horario_curso_materia.DIA) VALUES (  (SELECT curso_materia.ID_CUR_MAT FROM curso_materia WHERE curso_materia.CUPOF='2232485' ) ,
    (SELECT horario.ID_HOR FROM horario WHERE horario.modulo='4 ' and horario.turno='T ' ),
    'MIERCOLES '
 );</t>
  </si>
  <si>
    <t>INSERT INTO horario_curso_materia (horario_curso_materia.FK_CUR_mat,horario_curso_materia.FK_HOR,horario_curso_materia.DIA) VALUES (  (SELECT curso_materia.ID_CUR_MAT FROM curso_materia WHERE curso_materia.CUPOF='2232485' ) ,
    (SELECT horario.ID_HOR FROM horario WHERE horario.modulo='4 ' and horario.turno='T ' ),
    'VIERNES '
 );</t>
  </si>
  <si>
    <t>INSERT INTO horario_curso_materia (horario_curso_materia.FK_CUR_mat,horario_curso_materia.FK_HOR,horario_curso_materia.DIA) VALUES (  (SELECT curso_materia.ID_CUR_MAT FROM curso_materia WHERE curso_materia.CUPOF='2232479' ) ,
    (SELECT horario.ID_HOR FROM horario WHERE horario.modulo='prehora ' and horario.turno='T ' ),
    'MARTES '
 );</t>
  </si>
  <si>
    <t>INSERT INTO horario_curso_materia (horario_curso_materia.FK_CUR_mat,horario_curso_materia.FK_HOR,horario_curso_materia.DIA) VALUES (  (SELECT curso_materia.ID_CUR_MAT FROM curso_materia WHERE curso_materia.CUPOF='2232479' ) ,
    (SELECT horario.ID_HOR FROM horario WHERE horario.modulo='5 ' and horario.turno='T ' ),
    'JUEVES '
 );</t>
  </si>
  <si>
    <t>INSERT INTO horario_curso_materia (horario_curso_materia.FK_CUR_mat,horario_curso_materia.FK_HOR,horario_curso_materia.DIA) VALUES (  (SELECT curso_materia.ID_CUR_MAT FROM curso_materia WHERE curso_materia.CUPOF='31174482' ) ,
    (SELECT horario.ID_HOR FROM horario WHERE horario.modulo='1 ' and horario.turno='M ' ),
    'JUEVES '
 );</t>
  </si>
  <si>
    <t>INSERT INTO horario_curso_materia (horario_curso_materia.FK_CUR_mat,horario_curso_materia.FK_HOR,horario_curso_materia.DIA) VALUES (  (SELECT curso_materia.ID_CUR_MAT FROM curso_materia WHERE curso_materia.CUPOF='2683132' ) ,
    (SELECT horario.ID_HOR FROM horario WHERE horario.modulo='1 ' and horario.turno='T ' ),
    'JUEVES '
 );</t>
  </si>
  <si>
    <t>INSERT INTO horario_curso_materia (horario_curso_materia.FK_CUR_mat,horario_curso_materia.FK_HOR,horario_curso_materia.DIA) VALUES (  (SELECT curso_materia.ID_CUR_MAT FROM curso_materia WHERE curso_materia.CUPOF='733468' ) ,
    (SELECT horario.ID_HOR FROM horario WHERE horario.modulo='1 ' and horario.turno='M ' ),
    'LUNES '
 );</t>
  </si>
  <si>
    <t>INSERT INTO horario_curso_materia (horario_curso_materia.FK_CUR_mat,horario_curso_materia.FK_HOR,horario_curso_materia.DIA) VALUES (  (SELECT curso_materia.ID_CUR_MAT FROM curso_materia WHERE curso_materia.CUPOF='2683128' ) ,
    (SELECT horario.ID_HOR FROM horario WHERE horario.modulo='1 ' and horario.turno='T ' ),
    'LUNES '
 );</t>
  </si>
  <si>
    <t>INSERT INTO horario_curso_materia (horario_curso_materia.FK_CUR_mat,horario_curso_materia.FK_HOR,horario_curso_materia.DIA) VALUES (  (SELECT curso_materia.ID_CUR_MAT FROM curso_materia WHERE curso_materia.CUPOF='733470' ) ,
    (SELECT horario.ID_HOR FROM horario WHERE horario.modulo='1 ' and horario.turno='M ' ),
    'MARTES '
 );</t>
  </si>
  <si>
    <t>INSERT INTO horario_curso_materia (horario_curso_materia.FK_CUR_mat,horario_curso_materia.FK_HOR,horario_curso_materia.DIA) VALUES (  (SELECT curso_materia.ID_CUR_MAT FROM curso_materia WHERE curso_materia.CUPOF='1642703' ) ,
    (SELECT horario.ID_HOR FROM horario WHERE horario.modulo='1 ' and horario.turno='M ' ),
    'MIERCOLES '
 );</t>
  </si>
  <si>
    <t>INSERT INTO horario_curso_materia (horario_curso_materia.FK_CUR_mat,horario_curso_materia.FK_HOR,horario_curso_materia.DIA) VALUES (  (SELECT curso_materia.ID_CUR_MAT FROM curso_materia WHERE curso_materia.CUPOF='2683126' ) ,
    (SELECT horario.ID_HOR FROM horario WHERE horario.modulo='1 ' and horario.turno='T ' ),
    'MIERCOLES '
 );</t>
  </si>
  <si>
    <t>INSERT INTO horario_curso_materia (horario_curso_materia.FK_CUR_mat,horario_curso_materia.FK_HOR,horario_curso_materia.DIA) VALUES (  (SELECT curso_materia.ID_CUR_MAT FROM curso_materia WHERE curso_materia.CUPOF='2683131' ) ,
    (SELECT horario.ID_HOR FROM horario WHERE horario.modulo='1 ' and horario.turno='T ' ),
    'MIERCOLES '
 );</t>
  </si>
  <si>
    <t>INSERT INTO horario_curso_materia (horario_curso_materia.FK_CUR_mat,horario_curso_materia.FK_HOR,horario_curso_materia.DIA) VALUES (  (SELECT curso_materia.ID_CUR_MAT FROM curso_materia WHERE curso_materia.CUPOF='733470' ) ,
    (SELECT horario.ID_HOR FROM horario WHERE horario.modulo='1 ' and horario.turno='M ' ),
    'VIERNES '
 );</t>
  </si>
  <si>
    <t>INSERT INTO horario_curso_materia (horario_curso_materia.FK_CUR_mat,horario_curso_materia.FK_HOR,horario_curso_materia.DIA) VALUES (  (SELECT curso_materia.ID_CUR_MAT FROM curso_materia WHERE curso_materia.CUPOF='2683127' ) ,
    (SELECT horario.ID_HOR FROM horario WHERE horario.modulo='1 ' and horario.turno='T ' ),
    'VIERNES '
 );</t>
  </si>
  <si>
    <t>INSERT INTO horario_curso_materia (horario_curso_materia.FK_CUR_mat,horario_curso_materia.FK_HOR,horario_curso_materia.DIA) VALUES (  (SELECT curso_materia.ID_CUR_MAT FROM curso_materia WHERE curso_materia.CUPOF='31174482' ) ,
    (SELECT horario.ID_HOR FROM horario WHERE horario.modulo='2 ' and horario.turno='M ' ),
    'JUEVES '
 );</t>
  </si>
  <si>
    <t>INSERT INTO horario_curso_materia (horario_curso_materia.FK_CUR_mat,horario_curso_materia.FK_HOR,horario_curso_materia.DIA) VALUES (  (SELECT curso_materia.ID_CUR_MAT FROM curso_materia WHERE curso_materia.CUPOF='2683132' ) ,
    (SELECT horario.ID_HOR FROM horario WHERE horario.modulo='2 ' and horario.turno='T ' ),
    'JUEVES '
 );</t>
  </si>
  <si>
    <t>INSERT INTO horario_curso_materia (horario_curso_materia.FK_CUR_mat,horario_curso_materia.FK_HOR,horario_curso_materia.DIA) VALUES (  (SELECT curso_materia.ID_CUR_MAT FROM curso_materia WHERE curso_materia.CUPOF='733468' ) ,
    (SELECT horario.ID_HOR FROM horario WHERE horario.modulo='2 ' and horario.turno='M ' ),
    'LUNES '
 );</t>
  </si>
  <si>
    <t>INSERT INTO horario_curso_materia (horario_curso_materia.FK_CUR_mat,horario_curso_materia.FK_HOR,horario_curso_materia.DIA) VALUES (  (SELECT curso_materia.ID_CUR_MAT FROM curso_materia WHERE curso_materia.CUPOF='2683128' ) ,
    (SELECT horario.ID_HOR FROM horario WHERE horario.modulo='2 ' and horario.turno='T ' ),
    'LUNES '
 );</t>
  </si>
  <si>
    <t>INSERT INTO horario_curso_materia (horario_curso_materia.FK_CUR_mat,horario_curso_materia.FK_HOR,horario_curso_materia.DIA) VALUES (  (SELECT curso_materia.ID_CUR_MAT FROM curso_materia WHERE curso_materia.CUPOF='733470' ) ,
    (SELECT horario.ID_HOR FROM horario WHERE horario.modulo='2 ' and horario.turno='M ' ),
    'MARTES '
 );</t>
  </si>
  <si>
    <t>INSERT INTO horario_curso_materia (horario_curso_materia.FK_CUR_mat,horario_curso_materia.FK_HOR,horario_curso_materia.DIA) VALUES (  (SELECT curso_materia.ID_CUR_MAT FROM curso_materia WHERE curso_materia.CUPOF='1642703' ) ,
    (SELECT horario.ID_HOR FROM horario WHERE horario.modulo='2 ' and horario.turno='M ' ),
    'MIERCOLES '
 );</t>
  </si>
  <si>
    <t>INSERT INTO horario_curso_materia (horario_curso_materia.FK_CUR_mat,horario_curso_materia.FK_HOR,horario_curso_materia.DIA) VALUES (  (SELECT curso_materia.ID_CUR_MAT FROM curso_materia WHERE curso_materia.CUPOF='2683126' ) ,
    (SELECT horario.ID_HOR FROM horario WHERE horario.modulo='2 ' and horario.turno='T ' ),
    'MIERCOLES '
 );</t>
  </si>
  <si>
    <t>INSERT INTO horario_curso_materia (horario_curso_materia.FK_CUR_mat,horario_curso_materia.FK_HOR,horario_curso_materia.DIA) VALUES (  (SELECT curso_materia.ID_CUR_MAT FROM curso_materia WHERE curso_materia.CUPOF='2683131' ) ,
    (SELECT horario.ID_HOR FROM horario WHERE horario.modulo='2 ' and horario.turno='T ' ),
    'MIERCOLES '
 );</t>
  </si>
  <si>
    <t>INSERT INTO horario_curso_materia (horario_curso_materia.FK_CUR_mat,horario_curso_materia.FK_HOR,horario_curso_materia.DIA) VALUES (  (SELECT curso_materia.ID_CUR_MAT FROM curso_materia WHERE curso_materia.CUPOF='733470' ) ,
    (SELECT horario.ID_HOR FROM horario WHERE horario.modulo='2 ' and horario.turno='M ' ),
    'VIERNES '
 );</t>
  </si>
  <si>
    <t>INSERT INTO horario_curso_materia (horario_curso_materia.FK_CUR_mat,horario_curso_materia.FK_HOR,horario_curso_materia.DIA) VALUES (  (SELECT curso_materia.ID_CUR_MAT FROM curso_materia WHERE curso_materia.CUPOF='2683127' ) ,
    (SELECT horario.ID_HOR FROM horario WHERE horario.modulo='2 ' and horario.turno='T ' ),
    'VIERNES '
 );</t>
  </si>
  <si>
    <t>INSERT INTO horario_curso_materia (horario_curso_materia.FK_CUR_mat,horario_curso_materia.FK_HOR,horario_curso_materia.DIA) VALUES (  (SELECT curso_materia.ID_CUR_MAT FROM curso_materia WHERE curso_materia.CUPOF='733468' ) ,
    (SELECT horario.ID_HOR FROM horario WHERE horario.modulo='3 ' and horario.turno='M ' ),
    'JUEVES '
 );</t>
  </si>
  <si>
    <t>INSERT INTO horario_curso_materia (horario_curso_materia.FK_CUR_mat,horario_curso_materia.FK_HOR,horario_curso_materia.DIA) VALUES (  (SELECT curso_materia.ID_CUR_MAT FROM curso_materia WHERE curso_materia.CUPOF='733561' ) ,
    (SELECT horario.ID_HOR FROM horario WHERE horario.modulo='3 ' and horario.turno='M ' ),
    'LUNES '
 );</t>
  </si>
  <si>
    <t>INSERT INTO horario_curso_materia (horario_curso_materia.FK_CUR_mat,horario_curso_materia.FK_HOR,horario_curso_materia.DIA) VALUES (  (SELECT curso_materia.ID_CUR_MAT FROM curso_materia WHERE curso_materia.CUPOF='2683128' ) ,
    (SELECT horario.ID_HOR FROM horario WHERE horario.modulo='3 ' and horario.turno='T ' ),
    'LUNES '
 );</t>
  </si>
  <si>
    <t>INSERT INTO horario_curso_materia (horario_curso_materia.FK_CUR_mat,horario_curso_materia.FK_HOR,horario_curso_materia.DIA) VALUES (  (SELECT curso_materia.ID_CUR_MAT FROM curso_materia WHERE curso_materia.CUPOF='1642762' ) ,
    (SELECT horario.ID_HOR FROM horario WHERE horario.modulo='3 ' and horario.turno='M ' ),
    'MARTES '
 );</t>
  </si>
  <si>
    <t>INSERT INTO horario_curso_materia (horario_curso_materia.FK_CUR_mat,horario_curso_materia.FK_HOR,horario_curso_materia.DIA) VALUES (  (SELECT curso_materia.ID_CUR_MAT FROM curso_materia WHERE curso_materia.CUPOF='733460' ) ,
    (SELECT horario.ID_HOR FROM horario WHERE horario.modulo='3 ' and horario.turno='T ' ),
    'MARTES '
 );</t>
  </si>
  <si>
    <t>INSERT INTO horario_curso_materia (horario_curso_materia.FK_CUR_mat,horario_curso_materia.FK_HOR,horario_curso_materia.DIA) VALUES (  (SELECT curso_materia.ID_CUR_MAT FROM curso_materia WHERE curso_materia.CUPOF='1642764' ) ,
    (SELECT horario.ID_HOR FROM horario WHERE horario.modulo='3 ' and horario.turno='M ' ),
    'MIERCOLES '
 );</t>
  </si>
  <si>
    <t>INSERT INTO horario_curso_materia (horario_curso_materia.FK_CUR_mat,horario_curso_materia.FK_HOR,horario_curso_materia.DIA) VALUES (  (SELECT curso_materia.ID_CUR_MAT FROM curso_materia WHERE curso_materia.CUPOF='2683128' ) ,
    (SELECT horario.ID_HOR FROM horario WHERE horario.modulo='3 ' and horario.turno='T ' ),
    'MIERCOLES '
 );</t>
  </si>
  <si>
    <t>INSERT INTO horario_curso_materia (horario_curso_materia.FK_CUR_mat,horario_curso_materia.FK_HOR,horario_curso_materia.DIA) VALUES (  (SELECT curso_materia.ID_CUR_MAT FROM curso_materia WHERE curso_materia.CUPOF='2683132' ) ,
    (SELECT horario.ID_HOR FROM horario WHERE horario.modulo='3 ' and horario.turno='T ' ),
    'MIERCOLES '
 );</t>
  </si>
  <si>
    <t>INSERT INTO horario_curso_materia (horario_curso_materia.FK_CUR_mat,horario_curso_materia.FK_HOR,horario_curso_materia.DIA) VALUES (  (SELECT curso_materia.ID_CUR_MAT FROM curso_materia WHERE curso_materia.CUPOF='733585' ) ,
    (SELECT horario.ID_HOR FROM horario WHERE horario.modulo='3 ' and horario.turno='M ' ),
    'VIERNES '
 );</t>
  </si>
  <si>
    <t>INSERT INTO horario_curso_materia (horario_curso_materia.FK_CUR_mat,horario_curso_materia.FK_HOR,horario_curso_materia.DIA) VALUES (  (SELECT curso_materia.ID_CUR_MAT FROM curso_materia WHERE curso_materia.CUPOF='2683129' ) ,
    (SELECT horario.ID_HOR FROM horario WHERE horario.modulo='3 ' and horario.turno='T ' ),
    'VIERNES '
 );</t>
  </si>
  <si>
    <t>INSERT INTO horario_curso_materia (horario_curso_materia.FK_CUR_mat,horario_curso_materia.FK_HOR,horario_curso_materia.DIA) VALUES (  (SELECT curso_materia.ID_CUR_MAT FROM curso_materia WHERE curso_materia.CUPOF='733468' ) ,
    (SELECT horario.ID_HOR FROM horario WHERE horario.modulo='4 ' and horario.turno='M ' ),
    'JUEVES '
 );</t>
  </si>
  <si>
    <t>INSERT INTO horario_curso_materia (horario_curso_materia.FK_CUR_mat,horario_curso_materia.FK_HOR,horario_curso_materia.DIA) VALUES (  (SELECT curso_materia.ID_CUR_MAT FROM curso_materia WHERE curso_materia.CUPOF='733561' ) ,
    (SELECT horario.ID_HOR FROM horario WHERE horario.modulo='4 ' and horario.turno='M ' ),
    'LUNES '
 );</t>
  </si>
  <si>
    <t>INSERT INTO horario_curso_materia (horario_curso_materia.FK_CUR_mat,horario_curso_materia.FK_HOR,horario_curso_materia.DIA) VALUES (  (SELECT curso_materia.ID_CUR_MAT FROM curso_materia WHERE curso_materia.CUPOF='1642762' ) ,
    (SELECT horario.ID_HOR FROM horario WHERE horario.modulo='4 ' and horario.turno='M ' ),
    'MARTES '
 );</t>
  </si>
  <si>
    <t>INSERT INTO horario_curso_materia (horario_curso_materia.FK_CUR_mat,horario_curso_materia.FK_HOR,horario_curso_materia.DIA) VALUES (  (SELECT curso_materia.ID_CUR_MAT FROM curso_materia WHERE curso_materia.CUPOF='733460' ) ,
    (SELECT horario.ID_HOR FROM horario WHERE horario.modulo='4 ' and horario.turno='T ' ),
    'MARTES '
 );</t>
  </si>
  <si>
    <t>INSERT INTO horario_curso_materia (horario_curso_materia.FK_CUR_mat,horario_curso_materia.FK_HOR,horario_curso_materia.DIA) VALUES (  (SELECT curso_materia.ID_CUR_MAT FROM curso_materia WHERE curso_materia.CUPOF='1642764' ) ,
    (SELECT horario.ID_HOR FROM horario WHERE horario.modulo='4 ' and horario.turno='M ' ),
    'MIERCOLES '
 );</t>
  </si>
  <si>
    <t>INSERT INTO horario_curso_materia (horario_curso_materia.FK_CUR_mat,horario_curso_materia.FK_HOR,horario_curso_materia.DIA) VALUES (  (SELECT curso_materia.ID_CUR_MAT FROM curso_materia WHERE curso_materia.CUPOF='2683132' ) ,
    (SELECT horario.ID_HOR FROM horario WHERE horario.modulo='4 ' and horario.turno='T ' ),
    'MIERCOLES '
 );</t>
  </si>
  <si>
    <t>INSERT INTO horario_curso_materia (horario_curso_materia.FK_CUR_mat,horario_curso_materia.FK_HOR,horario_curso_materia.DIA) VALUES (  (SELECT curso_materia.ID_CUR_MAT FROM curso_materia WHERE curso_materia.CUPOF='733585' ) ,
    (SELECT horario.ID_HOR FROM horario WHERE horario.modulo='4 ' and horario.turno='M ' ),
    'VIERNES '
 );</t>
  </si>
  <si>
    <t>INSERT INTO horario_curso_materia (horario_curso_materia.FK_CUR_mat,horario_curso_materia.FK_HOR,horario_curso_materia.DIA) VALUES (  (SELECT curso_materia.ID_CUR_MAT FROM curso_materia WHERE curso_materia.CUPOF='2683129' ) ,
    (SELECT horario.ID_HOR FROM horario WHERE horario.modulo='4 ' and horario.turno='T ' ),
    'VIERNES '
 );</t>
  </si>
  <si>
    <t>INSERT INTO horario_curso_materia (horario_curso_materia.FK_CUR_mat,horario_curso_materia.FK_HOR,horario_curso_materia.DIA) VALUES (  (SELECT curso_materia.ID_CUR_MAT FROM curso_materia WHERE curso_materia.CUPOF='2683134' ) ,
    (SELECT horario.ID_HOR FROM horario WHERE horario.modulo='5 ' and horario.turno='M ' ),
    'LUNES '
 );</t>
  </si>
  <si>
    <t>INSERT INTO horario_curso_materia (horario_curso_materia.FK_CUR_mat,horario_curso_materia.FK_HOR,horario_curso_materia.DIA) VALUES (  (SELECT curso_materia.ID_CUR_MAT FROM curso_materia WHERE curso_materia.CUPOF='2683134' ) ,
    (SELECT horario.ID_HOR FROM horario WHERE horario.modulo='5 ' and horario.turno='M ' ),
    'VIERNES '
 );</t>
  </si>
  <si>
    <t>INSERT INTO horario_curso_materia (horario_curso_materia.FK_CUR_mat,horario_curso_materia.FK_HOR,horario_curso_materia.DIA) VALUES (  (SELECT curso_materia.ID_CUR_MAT FROM curso_materia WHERE curso_materia.CUPOF='2673406' ) ,
    (SELECT horario.ID_HOR FROM horario WHERE horario.modulo='1 ' and horario.turno='M ' ),
    'JUEVES '
 );</t>
  </si>
  <si>
    <t>INSERT INTO horario_curso_materia (horario_curso_materia.FK_CUR_mat,horario_curso_materia.FK_HOR,horario_curso_materia.DIA) VALUES (  (SELECT curso_materia.ID_CUR_MAT FROM curso_materia WHERE curso_materia.CUPOF='733691' ) ,
    (SELECT horario.ID_HOR FROM horario WHERE horario.modulo='1 ' and horario.turno='T ' ),
    'JUEVES '
 );</t>
  </si>
  <si>
    <t>INSERT INTO horario_curso_materia (horario_curso_materia.FK_CUR_mat,horario_curso_materia.FK_HOR,horario_curso_materia.DIA) VALUES (  (SELECT curso_materia.ID_CUR_MAT FROM curso_materia WHERE curso_materia.CUPOF='2673403' ) ,
    (SELECT horario.ID_HOR FROM horario WHERE horario.modulo='1 ' and horario.turno='M ' ),
    'LUNES '
 );</t>
  </si>
  <si>
    <t>INSERT INTO horario_curso_materia (horario_curso_materia.FK_CUR_mat,horario_curso_materia.FK_HOR,horario_curso_materia.DIA) VALUES (  (SELECT curso_materia.ID_CUR_MAT FROM curso_materia WHERE curso_materia.CUPOF='1644154' ) ,
    (SELECT horario.ID_HOR FROM horario WHERE horario.modulo='1 ' and horario.turno='T ' ),
    'LUNES '
 );</t>
  </si>
  <si>
    <t>INSERT INTO horario_curso_materia (horario_curso_materia.FK_CUR_mat,horario_curso_materia.FK_HOR,horario_curso_materia.DIA) VALUES (  (SELECT curso_materia.ID_CUR_MAT FROM curso_materia WHERE curso_materia.CUPOF='733701' ) ,
    (SELECT horario.ID_HOR FROM horario WHERE horario.modulo='1 ' and horario.turno='M ' ),
    'MARTES '
 );</t>
  </si>
  <si>
    <t>INSERT INTO horario_curso_materia (horario_curso_materia.FK_CUR_mat,horario_curso_materia.FK_HOR,horario_curso_materia.DIA) VALUES (  (SELECT curso_materia.ID_CUR_MAT FROM curso_materia WHERE curso_materia.CUPOF='968803' ) ,
    (SELECT horario.ID_HOR FROM horario WHERE horario.modulo='1 ' and horario.turno='T ' ),
    'MARTES '
 );</t>
  </si>
  <si>
    <t>INSERT INTO horario_curso_materia (horario_curso_materia.FK_CUR_mat,horario_curso_materia.FK_HOR,horario_curso_materia.DIA) VALUES (  (SELECT curso_materia.ID_CUR_MAT FROM curso_materia WHERE curso_materia.CUPOF='2673404' ) ,
    (SELECT horario.ID_HOR FROM horario WHERE horario.modulo='1 ' and horario.turno='M ' ),
    'MIERCOLES '
 );</t>
  </si>
  <si>
    <t>INSERT INTO horario_curso_materia (horario_curso_materia.FK_CUR_mat,horario_curso_materia.FK_HOR,horario_curso_materia.DIA) VALUES (  (SELECT curso_materia.ID_CUR_MAT FROM curso_materia WHERE curso_materia.CUPOF='1644155' ) ,
    (SELECT horario.ID_HOR FROM horario WHERE horario.modulo='1 ' and horario.turno='T ' ),
    'MIERCOLES '
 );</t>
  </si>
  <si>
    <t>INSERT INTO horario_curso_materia (horario_curso_materia.FK_CUR_mat,horario_curso_materia.FK_HOR,horario_curso_materia.DIA) VALUES (  (SELECT curso_materia.ID_CUR_MAT FROM curso_materia WHERE curso_materia.CUPOF='1644151' ) ,
    (SELECT horario.ID_HOR FROM horario WHERE horario.modulo='1 ' and horario.turno='T ' ),
    'VIERNES '
 );</t>
  </si>
  <si>
    <t>INSERT INTO horario_curso_materia (horario_curso_materia.FK_CUR_mat,horario_curso_materia.FK_HOR,horario_curso_materia.DIA) VALUES (  (SELECT curso_materia.ID_CUR_MAT FROM curso_materia WHERE curso_materia.CUPOF='2673406' ) ,
    (SELECT horario.ID_HOR FROM horario WHERE horario.modulo='2 ' and horario.turno='M ' ),
    'JUEVES '
 );</t>
  </si>
  <si>
    <t>INSERT INTO horario_curso_materia (horario_curso_materia.FK_CUR_mat,horario_curso_materia.FK_HOR,horario_curso_materia.DIA) VALUES (  (SELECT curso_materia.ID_CUR_MAT FROM curso_materia WHERE curso_materia.CUPOF='733691' ) ,
    (SELECT horario.ID_HOR FROM horario WHERE horario.modulo='2 ' and horario.turno='T ' ),
    'JUEVES '
 );</t>
  </si>
  <si>
    <t>INSERT INTO horario_curso_materia (horario_curso_materia.FK_CUR_mat,horario_curso_materia.FK_HOR,horario_curso_materia.DIA) VALUES (  (SELECT curso_materia.ID_CUR_MAT FROM curso_materia WHERE curso_materia.CUPOF='2673403' ) ,
    (SELECT horario.ID_HOR FROM horario WHERE horario.modulo='2 ' and horario.turno='M ' ),
    'LUNES '
 );</t>
  </si>
  <si>
    <t>INSERT INTO horario_curso_materia (horario_curso_materia.FK_CUR_mat,horario_curso_materia.FK_HOR,horario_curso_materia.DIA) VALUES (  (SELECT curso_materia.ID_CUR_MAT FROM curso_materia WHERE curso_materia.CUPOF='1644154' ) ,
    (SELECT horario.ID_HOR FROM horario WHERE horario.modulo='2 ' and horario.turno='T ' ),
    'LUNES '
 );</t>
  </si>
  <si>
    <t>INSERT INTO horario_curso_materia (horario_curso_materia.FK_CUR_mat,horario_curso_materia.FK_HOR,horario_curso_materia.DIA) VALUES (  (SELECT curso_materia.ID_CUR_MAT FROM curso_materia WHERE curso_materia.CUPOF='733701' ) ,
    (SELECT horario.ID_HOR FROM horario WHERE horario.modulo='2 ' and horario.turno='M ' ),
    'MARTES '
 );</t>
  </si>
  <si>
    <t>INSERT INTO horario_curso_materia (horario_curso_materia.FK_CUR_mat,horario_curso_materia.FK_HOR,horario_curso_materia.DIA) VALUES (  (SELECT curso_materia.ID_CUR_MAT FROM curso_materia WHERE curso_materia.CUPOF='968803' ) ,
    (SELECT horario.ID_HOR FROM horario WHERE horario.modulo='2 ' and horario.turno='T ' ),
    'MARTES '
 );</t>
  </si>
  <si>
    <t>INSERT INTO horario_curso_materia (horario_curso_materia.FK_CUR_mat,horario_curso_materia.FK_HOR,horario_curso_materia.DIA) VALUES (  (SELECT curso_materia.ID_CUR_MAT FROM curso_materia WHERE curso_materia.CUPOF='2673404' ) ,
    (SELECT horario.ID_HOR FROM horario WHERE horario.modulo='2 ' and horario.turno='M ' ),
    'MIERCOLES '
 );</t>
  </si>
  <si>
    <t>INSERT INTO horario_curso_materia (horario_curso_materia.FK_CUR_mat,horario_curso_materia.FK_HOR,horario_curso_materia.DIA) VALUES (  (SELECT curso_materia.ID_CUR_MAT FROM curso_materia WHERE curso_materia.CUPOF='1644155' ) ,
    (SELECT horario.ID_HOR FROM horario WHERE horario.modulo='2 ' and horario.turno='T ' ),
    'MIERCOLES '
 );</t>
  </si>
  <si>
    <t>INSERT INTO horario_curso_materia (horario_curso_materia.FK_CUR_mat,horario_curso_materia.FK_HOR,horario_curso_materia.DIA) VALUES (  (SELECT curso_materia.ID_CUR_MAT FROM curso_materia WHERE curso_materia.CUPOF='1644151' ) ,
    (SELECT horario.ID_HOR FROM horario WHERE horario.modulo='2 ' and horario.turno='T ' ),
    'VIERNES '
 );</t>
  </si>
  <si>
    <t>INSERT INTO horario_curso_materia (horario_curso_materia.FK_CUR_mat,horario_curso_materia.FK_HOR,horario_curso_materia.DIA) VALUES (  (SELECT curso_materia.ID_CUR_MAT FROM curso_materia WHERE curso_materia.CUPOF='2673406' ) ,
    (SELECT horario.ID_HOR FROM horario WHERE horario.modulo='3 ' and horario.turno='M ' ),
    'JUEVES '
 );</t>
  </si>
  <si>
    <t>INSERT INTO horario_curso_materia (horario_curso_materia.FK_CUR_mat,horario_curso_materia.FK_HOR,horario_curso_materia.DIA) VALUES (  (SELECT curso_materia.ID_CUR_MAT FROM curso_materia WHERE curso_materia.CUPOF='733450' ) ,
    (SELECT horario.ID_HOR FROM horario WHERE horario.modulo='3 ' and horario.turno='T ' ),
    'JUEVES '
 );</t>
  </si>
  <si>
    <t>INSERT INTO horario_curso_materia (horario_curso_materia.FK_CUR_mat,horario_curso_materia.FK_HOR,horario_curso_materia.DIA) VALUES (  (SELECT curso_materia.ID_CUR_MAT FROM curso_materia WHERE curso_materia.CUPOF='2673403' ) ,
    (SELECT horario.ID_HOR FROM horario WHERE horario.modulo='3 ' and horario.turno='M ' ),
    'LUNES '
 );</t>
  </si>
  <si>
    <t>INSERT INTO horario_curso_materia (horario_curso_materia.FK_CUR_mat,horario_curso_materia.FK_HOR,horario_curso_materia.DIA) VALUES (  (SELECT curso_materia.ID_CUR_MAT FROM curso_materia WHERE curso_materia.CUPOF='789737' ) ,
    (SELECT horario.ID_HOR FROM horario WHERE horario.modulo='3 ' and horario.turno='T ' ),
    'LUNES '
 );</t>
  </si>
  <si>
    <t>INSERT INTO horario_curso_materia (horario_curso_materia.FK_CUR_mat,horario_curso_materia.FK_HOR,horario_curso_materia.DIA) VALUES (  (SELECT curso_materia.ID_CUR_MAT FROM curso_materia WHERE curso_materia.CUPOF='2673402' ) ,
    (SELECT horario.ID_HOR FROM horario WHERE horario.modulo='3 ' and horario.turno='M ' ),
    'MARTES '
 );</t>
  </si>
  <si>
    <t>INSERT INTO horario_curso_materia (horario_curso_materia.FK_CUR_mat,horario_curso_materia.FK_HOR,horario_curso_materia.DIA) VALUES (  (SELECT curso_materia.ID_CUR_MAT FROM curso_materia WHERE curso_materia.CUPOF='789737' ) ,
    (SELECT horario.ID_HOR FROM horario WHERE horario.modulo='3 ' and horario.turno='T ' ),
    'MARTES '
 );</t>
  </si>
  <si>
    <t>INSERT INTO horario_curso_materia (horario_curso_materia.FK_CUR_mat,horario_curso_materia.FK_HOR,horario_curso_materia.DIA) VALUES (  (SELECT curso_materia.ID_CUR_MAT FROM curso_materia WHERE curso_materia.CUPOF='2673400' ) ,
    (SELECT horario.ID_HOR FROM horario WHERE horario.modulo='3 ' and horario.turno='M ' ),
    'MIERCOLES '
 );</t>
  </si>
  <si>
    <t>INSERT INTO horario_curso_materia (horario_curso_materia.FK_CUR_mat,horario_curso_materia.FK_HOR,horario_curso_materia.DIA) VALUES (  (SELECT curso_materia.ID_CUR_MAT FROM curso_materia WHERE curso_materia.CUPOF='2673405' ) ,
    (SELECT horario.ID_HOR FROM horario WHERE horario.modulo='3 ' and horario.turno='M ' ),
    'MIERCOLES '
 );</t>
  </si>
  <si>
    <t>INSERT INTO horario_curso_materia (horario_curso_materia.FK_CUR_mat,horario_curso_materia.FK_HOR,horario_curso_materia.DIA) VALUES (  (SELECT curso_materia.ID_CUR_MAT FROM curso_materia WHERE curso_materia.CUPOF='2174482' ) ,
    (SELECT horario.ID_HOR FROM horario WHERE horario.modulo='3 ' and horario.turno='T ' ),
    'MIERCOLES '
 );</t>
  </si>
  <si>
    <t>INSERT INTO horario_curso_materia (horario_curso_materia.FK_CUR_mat,horario_curso_materia.FK_HOR,horario_curso_materia.DIA) VALUES (  (SELECT curso_materia.ID_CUR_MAT FROM curso_materia WHERE curso_materia.CUPOF='733450' ) ,
    (SELECT horario.ID_HOR FROM horario WHERE horario.modulo='3 ' and horario.turno='T ' ),
    'VIERNES '
 );</t>
  </si>
  <si>
    <t>INSERT INTO horario_curso_materia (horario_curso_materia.FK_CUR_mat,horario_curso_materia.FK_HOR,horario_curso_materia.DIA) VALUES (  (SELECT curso_materia.ID_CUR_MAT FROM curso_materia WHERE curso_materia.CUPOF='2673406' ) ,
    (SELECT horario.ID_HOR FROM horario WHERE horario.modulo='4 ' and horario.turno='M ' ),
    'JUEVES '
 );</t>
  </si>
  <si>
    <t>INSERT INTO horario_curso_materia (horario_curso_materia.FK_CUR_mat,horario_curso_materia.FK_HOR,horario_curso_materia.DIA) VALUES (  (SELECT curso_materia.ID_CUR_MAT FROM curso_materia WHERE curso_materia.CUPOF='733450' ) ,
    (SELECT horario.ID_HOR FROM horario WHERE horario.modulo='4 ' and horario.turno='T ' ),
    'JUEVES '
 );</t>
  </si>
  <si>
    <t>INSERT INTO horario_curso_materia (horario_curso_materia.FK_CUR_mat,horario_curso_materia.FK_HOR,horario_curso_materia.DIA) VALUES (  (SELECT curso_materia.ID_CUR_MAT FROM curso_materia WHERE curso_materia.CUPOF='2673403' ) ,
    (SELECT horario.ID_HOR FROM horario WHERE horario.modulo='4 ' and horario.turno='M ' ),
    'LUNES '
 );</t>
  </si>
  <si>
    <t>INSERT INTO horario_curso_materia (horario_curso_materia.FK_CUR_mat,horario_curso_materia.FK_HOR,horario_curso_materia.DIA) VALUES (  (SELECT curso_materia.ID_CUR_MAT FROM curso_materia WHERE curso_materia.CUPOF='789737' ) ,
    (SELECT horario.ID_HOR FROM horario WHERE horario.modulo='4 ' and horario.turno='T ' ),
    'LUNES '
 );</t>
  </si>
  <si>
    <t>INSERT INTO horario_curso_materia (horario_curso_materia.FK_CUR_mat,horario_curso_materia.FK_HOR,horario_curso_materia.DIA) VALUES (  (SELECT curso_materia.ID_CUR_MAT FROM curso_materia WHERE curso_materia.CUPOF='2673402' ) ,
    (SELECT horario.ID_HOR FROM horario WHERE horario.modulo='4 ' and horario.turno='M ' ),
    'MARTES '
 );</t>
  </si>
  <si>
    <t>INSERT INTO horario_curso_materia (horario_curso_materia.FK_CUR_mat,horario_curso_materia.FK_HOR,horario_curso_materia.DIA) VALUES (  (SELECT curso_materia.ID_CUR_MAT FROM curso_materia WHERE curso_materia.CUPOF='789737' ) ,
    (SELECT horario.ID_HOR FROM horario WHERE horario.modulo='4 ' and horario.turno='T ' ),
    'MARTES '
 );</t>
  </si>
  <si>
    <t>INSERT INTO horario_curso_materia (horario_curso_materia.FK_CUR_mat,horario_curso_materia.FK_HOR,horario_curso_materia.DIA) VALUES (  (SELECT curso_materia.ID_CUR_MAT FROM curso_materia WHERE curso_materia.CUPOF='2673400' ) ,
    (SELECT horario.ID_HOR FROM horario WHERE horario.modulo='4 ' and horario.turno='M ' ),
    'MIERCOLES '
 );</t>
  </si>
  <si>
    <t>INSERT INTO horario_curso_materia (horario_curso_materia.FK_CUR_mat,horario_curso_materia.FK_HOR,horario_curso_materia.DIA) VALUES (  (SELECT curso_materia.ID_CUR_MAT FROM curso_materia WHERE curso_materia.CUPOF='2673405' ) ,
    (SELECT horario.ID_HOR FROM horario WHERE horario.modulo='4 ' and horario.turno='M ' ),
    'MIERCOLES '
 );</t>
  </si>
  <si>
    <t>INSERT INTO horario_curso_materia (horario_curso_materia.FK_CUR_mat,horario_curso_materia.FK_HOR,horario_curso_materia.DIA) VALUES (  (SELECT curso_materia.ID_CUR_MAT FROM curso_materia WHERE curso_materia.CUPOF='2174482' ) ,
    (SELECT horario.ID_HOR FROM horario WHERE horario.modulo='4 ' and horario.turno='T ' ),
    'MIERCOLES '
 );</t>
  </si>
  <si>
    <t>INSERT INTO horario_curso_materia (horario_curso_materia.FK_CUR_mat,horario_curso_materia.FK_HOR,horario_curso_materia.DIA) VALUES (  (SELECT curso_materia.ID_CUR_MAT FROM curso_materia WHERE curso_materia.CUPOF='733450' ) ,
    (SELECT horario.ID_HOR FROM horario WHERE horario.modulo='4 ' and horario.turno='T ' ),
    'VIERNES '
 );</t>
  </si>
  <si>
    <t>INSERT INTO horario_curso_materia (horario_curso_materia.FK_CUR_mat,horario_curso_materia.FK_HOR,horario_curso_materia.DIA) VALUES (  (SELECT curso_materia.ID_CUR_MAT FROM curso_materia WHERE curso_materia.CUPOF='1644152' ) ,
    (SELECT horario.ID_HOR FROM horario WHERE horario.modulo='5 ' and horario.turno='T ' ),
    'JUEVES '
 );</t>
  </si>
  <si>
    <t>INSERT INTO horario_curso_materia (horario_curso_materia.FK_CUR_mat,horario_curso_materia.FK_HOR,horario_curso_materia.DIA) VALUES (  (SELECT curso_materia.ID_CUR_MAT FROM curso_materia WHERE curso_materia.CUPOF='1644152' ) ,
    (SELECT horario.ID_HOR FROM horario WHERE horario.modulo='5 ' and horario.turno='T ' ),
    'MARTES '
 );</t>
  </si>
  <si>
    <t>INSERT INTO horario_curso_materia (horario_curso_materia.FK_CUR_mat,horario_curso_materia.FK_HOR,horario_curso_materia.DIA) VALUES (  (SELECT curso_materia.ID_CUR_MAT FROM curso_materia WHERE curso_materia.CUPOF='807717' ) ,
    (SELECT horario.ID_HOR FROM horario WHERE horario.modulo='1 ' and horario.turno='M ' ),
    'JUEVES '
 );</t>
  </si>
  <si>
    <t>INSERT INTO horario_curso_materia (horario_curso_materia.FK_CUR_mat,horario_curso_materia.FK_HOR,horario_curso_materia.DIA) VALUES (  (SELECT curso_materia.ID_CUR_MAT FROM curso_materia WHERE curso_materia.CUPOF='2673124' ) ,
    (SELECT horario.ID_HOR FROM horario WHERE horario.modulo='3 ' and horario.turno='T ' ),
    'MARTES '
 );</t>
  </si>
  <si>
    <t>INSERT INTO horario_curso_materia (horario_curso_materia.FK_CUR_mat,horario_curso_materia.FK_HOR,horario_curso_materia.DIA) VALUES (  (SELECT curso_materia.ID_CUR_MAT FROM curso_materia WHERE curso_materia.CUPOF='807717' ) ,
    (SELECT horario.ID_HOR FROM horario WHERE horario.modulo='1 ' and horario.turno='M ' ),
    'LUNES '
 );</t>
  </si>
  <si>
    <t>INSERT INTO horario_curso_materia (horario_curso_materia.FK_CUR_mat,horario_curso_materia.FK_HOR,horario_curso_materia.DIA) VALUES (  (SELECT curso_materia.ID_CUR_MAT FROM curso_materia WHERE curso_materia.CUPOF='807724' ) ,
    (SELECT horario.ID_HOR FROM horario WHERE horario.modulo='1 ' and horario.turno='T ' ),
    'VIERNES '
 );</t>
  </si>
  <si>
    <t>INSERT INTO horario_curso_materia (horario_curso_materia.FK_CUR_mat,horario_curso_materia.FK_HOR,horario_curso_materia.DIA) VALUES (  (SELECT curso_materia.ID_CUR_MAT FROM curso_materia WHERE curso_materia.CUPOF='1644158' ) ,
    (SELECT horario.ID_HOR FROM horario WHERE horario.modulo='1 ' and horario.turno='M ' ),
    'MARTES '
 );</t>
  </si>
  <si>
    <t>INSERT INTO horario_curso_materia (horario_curso_materia.FK_CUR_mat,horario_curso_materia.FK_HOR,horario_curso_materia.DIA) VALUES (  (SELECT curso_materia.ID_CUR_MAT FROM curso_materia WHERE curso_materia.CUPOF='2673119' ) ,
    (SELECT horario.ID_HOR FROM horario WHERE horario.modulo='1 ' and horario.turno='T ' ),
    'MARTES '
 );</t>
  </si>
  <si>
    <t>INSERT INTO horario_curso_materia (horario_curso_materia.FK_CUR_mat,horario_curso_materia.FK_HOR,horario_curso_materia.DIA) VALUES (  (SELECT curso_materia.ID_CUR_MAT FROM curso_materia WHERE curso_materia.CUPOF='1644159' ) ,
    (SELECT horario.ID_HOR FROM horario WHERE horario.modulo='1 ' and horario.turno='M ' ),
    'MIERCOLES '
 );</t>
  </si>
  <si>
    <t>INSERT INTO horario_curso_materia (horario_curso_materia.FK_CUR_mat,horario_curso_materia.FK_HOR,horario_curso_materia.DIA) VALUES (  (SELECT curso_materia.ID_CUR_MAT FROM curso_materia WHERE curso_materia.CUPOF='2673121' ) ,
    (SELECT horario.ID_HOR FROM horario WHERE horario.modulo='1 ' and horario.turno='T ' ),
    'MIERCOLES '
 );</t>
  </si>
  <si>
    <t>INSERT INTO horario_curso_materia (horario_curso_materia.FK_CUR_mat,horario_curso_materia.FK_HOR,horario_curso_materia.DIA) VALUES (  (SELECT curso_materia.ID_CUR_MAT FROM curso_materia WHERE curso_materia.CUPOF='2672126' ) ,
    (SELECT horario.ID_HOR FROM horario WHERE horario.modulo='1 ' and horario.turno='T ' ),
    'MIERCOLES '
 );</t>
  </si>
  <si>
    <t>INSERT INTO horario_curso_materia (horario_curso_materia.FK_CUR_mat,horario_curso_materia.FK_HOR,horario_curso_materia.DIA) VALUES (  (SELECT curso_materia.ID_CUR_MAT FROM curso_materia WHERE curso_materia.CUPOF='807720' ) ,
    (SELECT horario.ID_HOR FROM horario WHERE horario.modulo='1 ' and horario.turno='M ' ),
    'VIERNES '
 );</t>
  </si>
  <si>
    <t>INSERT INTO horario_curso_materia (horario_curso_materia.FK_CUR_mat,horario_curso_materia.FK_HOR,horario_curso_materia.DIA) VALUES (  (SELECT curso_materia.ID_CUR_MAT FROM curso_materia WHERE curso_materia.CUPOF='2673123' ) ,
    (SELECT horario.ID_HOR FROM horario WHERE horario.modulo='1 ' and horario.turno='T ' ),
    'VIERNES '
 );</t>
  </si>
  <si>
    <t>INSERT INTO horario_curso_materia (horario_curso_materia.FK_CUR_mat,horario_curso_materia.FK_HOR,horario_curso_materia.DIA) VALUES (  (SELECT curso_materia.ID_CUR_MAT FROM curso_materia WHERE curso_materia.CUPOF='807717' ) ,
    (SELECT horario.ID_HOR FROM horario WHERE horario.modulo='2 ' and horario.turno='M ' ),
    'JUEVES '
 );</t>
  </si>
  <si>
    <t>INSERT INTO horario_curso_materia (horario_curso_materia.FK_CUR_mat,horario_curso_materia.FK_HOR,horario_curso_materia.DIA) VALUES (  (SELECT curso_materia.ID_CUR_MAT FROM curso_materia WHERE curso_materia.CUPOF='2673124' ) ,
    (SELECT horario.ID_HOR FROM horario WHERE horario.modulo='4 ' and horario.turno='T ' ),
    'MARTES '
 );</t>
  </si>
  <si>
    <t>INSERT INTO horario_curso_materia (horario_curso_materia.FK_CUR_mat,horario_curso_materia.FK_HOR,horario_curso_materia.DIA) VALUES (  (SELECT curso_materia.ID_CUR_MAT FROM curso_materia WHERE curso_materia.CUPOF='807717' ) ,
    (SELECT horario.ID_HOR FROM horario WHERE horario.modulo='2 ' and horario.turno='M ' ),
    'LUNES '
 );</t>
  </si>
  <si>
    <t>INSERT INTO horario_curso_materia (horario_curso_materia.FK_CUR_mat,horario_curso_materia.FK_HOR,horario_curso_materia.DIA) VALUES (  (SELECT curso_materia.ID_CUR_MAT FROM curso_materia WHERE curso_materia.CUPOF='807724' ) ,
    (SELECT horario.ID_HOR FROM horario WHERE horario.modulo='2 ' and horario.turno='T ' ),
    'VIERNES '
 );</t>
  </si>
  <si>
    <t>INSERT INTO horario_curso_materia (horario_curso_materia.FK_CUR_mat,horario_curso_materia.FK_HOR,horario_curso_materia.DIA) VALUES (  (SELECT curso_materia.ID_CUR_MAT FROM curso_materia WHERE curso_materia.CUPOF='1644158' ) ,
    (SELECT horario.ID_HOR FROM horario WHERE horario.modulo='2 ' and horario.turno='M ' ),
    'MARTES '
 );</t>
  </si>
  <si>
    <t>INSERT INTO horario_curso_materia (horario_curso_materia.FK_CUR_mat,horario_curso_materia.FK_HOR,horario_curso_materia.DIA) VALUES (  (SELECT curso_materia.ID_CUR_MAT FROM curso_materia WHERE curso_materia.CUPOF='2673119' ) ,
    (SELECT horario.ID_HOR FROM horario WHERE horario.modulo='2 ' and horario.turno='T ' ),
    'MARTES '
 );</t>
  </si>
  <si>
    <t>INSERT INTO horario_curso_materia (horario_curso_materia.FK_CUR_mat,horario_curso_materia.FK_HOR,horario_curso_materia.DIA) VALUES (  (SELECT curso_materia.ID_CUR_MAT FROM curso_materia WHERE curso_materia.CUPOF='1644159' ) ,
    (SELECT horario.ID_HOR FROM horario WHERE horario.modulo='2 ' and horario.turno='M ' ),
    'MIERCOLES '
 );</t>
  </si>
  <si>
    <t>INSERT INTO horario_curso_materia (horario_curso_materia.FK_CUR_mat,horario_curso_materia.FK_HOR,horario_curso_materia.DIA) VALUES (  (SELECT curso_materia.ID_CUR_MAT FROM curso_materia WHERE curso_materia.CUPOF='2673121' ) ,
    (SELECT horario.ID_HOR FROM horario WHERE horario.modulo='2 ' and horario.turno='T ' ),
    'MIERCOLES '
 );</t>
  </si>
  <si>
    <t>INSERT INTO horario_curso_materia (horario_curso_materia.FK_CUR_mat,horario_curso_materia.FK_HOR,horario_curso_materia.DIA) VALUES (  (SELECT curso_materia.ID_CUR_MAT FROM curso_materia WHERE curso_materia.CUPOF='2672126' ) ,
    (SELECT horario.ID_HOR FROM horario WHERE horario.modulo='2 ' and horario.turno='T ' ),
    'MIERCOLES '
 );</t>
  </si>
  <si>
    <t>INSERT INTO horario_curso_materia (horario_curso_materia.FK_CUR_mat,horario_curso_materia.FK_HOR,horario_curso_materia.DIA) VALUES (  (SELECT curso_materia.ID_CUR_MAT FROM curso_materia WHERE curso_materia.CUPOF='807720' ) ,
    (SELECT horario.ID_HOR FROM horario WHERE horario.modulo='2 ' and horario.turno='M ' ),
    'VIERNES '
 );</t>
  </si>
  <si>
    <t>INSERT INTO horario_curso_materia (horario_curso_materia.FK_CUR_mat,horario_curso_materia.FK_HOR,horario_curso_materia.DIA) VALUES (  (SELECT curso_materia.ID_CUR_MAT FROM curso_materia WHERE curso_materia.CUPOF='2673123' ) ,
    (SELECT horario.ID_HOR FROM horario WHERE horario.modulo='2 ' and horario.turno='T ' ),
    'VIERNES '
 );</t>
  </si>
  <si>
    <t>INSERT INTO horario_curso_materia (horario_curso_materia.FK_CUR_mat,horario_curso_materia.FK_HOR,horario_curso_materia.DIA) VALUES (  (SELECT curso_materia.ID_CUR_MAT FROM curso_materia WHERE curso_materia.CUPOF='1228009' ) ,
    (SELECT horario.ID_HOR FROM horario WHERE horario.modulo='3 ' and horario.turno='M ' ),
    'JUEVES '
 );</t>
  </si>
  <si>
    <t>INSERT INTO horario_curso_materia (horario_curso_materia.FK_CUR_mat,horario_curso_materia.FK_HOR,horario_curso_materia.DIA) VALUES (  (SELECT curso_materia.ID_CUR_MAT FROM curso_materia WHERE curso_materia.CUPOF='2673121' ) ,
    (SELECT horario.ID_HOR FROM horario WHERE horario.modulo='3 ' and horario.turno='T ' ),
    'JUEVES '
 );</t>
  </si>
  <si>
    <t>INSERT INTO horario_curso_materia (horario_curso_materia.FK_CUR_mat,horario_curso_materia.FK_HOR,horario_curso_materia.DIA) VALUES (  (SELECT curso_materia.ID_CUR_MAT FROM curso_materia WHERE curso_materia.CUPOF='807715' ) ,
    (SELECT horario.ID_HOR FROM horario WHERE horario.modulo='3 ' and horario.turno='M ' ),
    'LUNES '
 );</t>
  </si>
  <si>
    <t>INSERT INTO horario_curso_materia (horario_curso_materia.FK_CUR_mat,horario_curso_materia.FK_HOR,horario_curso_materia.DIA) VALUES (  (SELECT curso_materia.ID_CUR_MAT FROM curso_materia WHERE curso_materia.CUPOF='1644157' ) ,
    (SELECT horario.ID_HOR FROM horario WHERE horario.modulo='3 ' and horario.turno='M ' ),
    'MARTES '
 );</t>
  </si>
  <si>
    <t>INSERT INTO horario_curso_materia (horario_curso_materia.FK_CUR_mat,horario_curso_materia.FK_HOR,horario_curso_materia.DIA) VALUES (  (SELECT curso_materia.ID_CUR_MAT FROM curso_materia WHERE curso_materia.CUPOF='807722' ) ,
    (SELECT horario.ID_HOR FROM horario WHERE horario.modulo='3 ' and horario.turno='M ' ),
    'MIERCOLES '
 );</t>
  </si>
  <si>
    <t>INSERT INTO horario_curso_materia (horario_curso_materia.FK_CUR_mat,horario_curso_materia.FK_HOR,horario_curso_materia.DIA) VALUES (  (SELECT curso_materia.ID_CUR_MAT FROM curso_materia WHERE curso_materia.CUPOF='2673117' ) ,
    (SELECT horario.ID_HOR FROM horario WHERE horario.modulo='3 ' and horario.turno='T ' ),
    'MIERCOLES '
 );</t>
  </si>
  <si>
    <t>INSERT INTO horario_curso_materia (horario_curso_materia.FK_CUR_mat,horario_curso_materia.FK_HOR,horario_curso_materia.DIA) VALUES (  (SELECT curso_materia.ID_CUR_MAT FROM curso_materia WHERE curso_materia.CUPOF='2672126' ) ,
    (SELECT horario.ID_HOR FROM horario WHERE horario.modulo='3 ' and horario.turno='T ' ),
    'MIERCOLES '
 );</t>
  </si>
  <si>
    <t>INSERT INTO horario_curso_materia (horario_curso_materia.FK_CUR_mat,horario_curso_materia.FK_HOR,horario_curso_materia.DIA) VALUES (  (SELECT curso_materia.ID_CUR_MAT FROM curso_materia WHERE curso_materia.CUPOF='807715' ) ,
    (SELECT horario.ID_HOR FROM horario WHERE horario.modulo='3 ' and horario.turno='M ' ),
    'VIERNES '
 );</t>
  </si>
  <si>
    <t>INSERT INTO horario_curso_materia (horario_curso_materia.FK_CUR_mat,horario_curso_materia.FK_HOR,horario_curso_materia.DIA) VALUES (  (SELECT curso_materia.ID_CUR_MAT FROM curso_materia WHERE curso_materia.CUPOF='1228009' ) ,
    (SELECT horario.ID_HOR FROM horario WHERE horario.modulo='4 ' and horario.turno='M ' ),
    'JUEVES '
 );</t>
  </si>
  <si>
    <t>INSERT INTO horario_curso_materia (horario_curso_materia.FK_CUR_mat,horario_curso_materia.FK_HOR,horario_curso_materia.DIA) VALUES (  (SELECT curso_materia.ID_CUR_MAT FROM curso_materia WHERE curso_materia.CUPOF='2673121' ) ,
    (SELECT horario.ID_HOR FROM horario WHERE horario.modulo='4 ' and horario.turno='T ' ),
    'JUEVES '
 );</t>
  </si>
  <si>
    <t>INSERT INTO horario_curso_materia (horario_curso_materia.FK_CUR_mat,horario_curso_materia.FK_HOR,horario_curso_materia.DIA) VALUES (  (SELECT curso_materia.ID_CUR_MAT FROM curso_materia WHERE curso_materia.CUPOF='807715' ) ,
    (SELECT horario.ID_HOR FROM horario WHERE horario.modulo='4 ' and horario.turno='M ' ),
    'LUNES '
 );</t>
  </si>
  <si>
    <t>INSERT INTO horario_curso_materia (horario_curso_materia.FK_CUR_mat,horario_curso_materia.FK_HOR,horario_curso_materia.DIA) VALUES (  (SELECT curso_materia.ID_CUR_MAT FROM curso_materia WHERE curso_materia.CUPOF='1644157' ) ,
    (SELECT horario.ID_HOR FROM horario WHERE horario.modulo='4 ' and horario.turno='M ' ),
    'MARTES '
 );</t>
  </si>
  <si>
    <t>INSERT INTO horario_curso_materia (horario_curso_materia.FK_CUR_mat,horario_curso_materia.FK_HOR,horario_curso_materia.DIA) VALUES (  (SELECT curso_materia.ID_CUR_MAT FROM curso_materia WHERE curso_materia.CUPOF='807722' ) ,
    (SELECT horario.ID_HOR FROM horario WHERE horario.modulo='4 ' and horario.turno='M ' ),
    'MIERCOLES '
 );</t>
  </si>
  <si>
    <t>INSERT INTO horario_curso_materia (horario_curso_materia.FK_CUR_mat,horario_curso_materia.FK_HOR,horario_curso_materia.DIA) VALUES (  (SELECT curso_materia.ID_CUR_MAT FROM curso_materia WHERE curso_materia.CUPOF='2673117' ) ,
    (SELECT horario.ID_HOR FROM horario WHERE horario.modulo='4 ' and horario.turno='T ' ),
    'MIERCOLES '
 );</t>
  </si>
  <si>
    <t>INSERT INTO horario_curso_materia (horario_curso_materia.FK_CUR_mat,horario_curso_materia.FK_HOR,horario_curso_materia.DIA) VALUES (  (SELECT curso_materia.ID_CUR_MAT FROM curso_materia WHERE curso_materia.CUPOF='2672126' ) ,
    (SELECT horario.ID_HOR FROM horario WHERE horario.modulo='4 ' and horario.turno='T ' ),
    'MIERCOLES '
 );</t>
  </si>
  <si>
    <t>INSERT INTO horario_curso_materia (horario_curso_materia.FK_CUR_mat,horario_curso_materia.FK_HOR,horario_curso_materia.DIA) VALUES (  (SELECT curso_materia.ID_CUR_MAT FROM curso_materia WHERE curso_materia.CUPOF='807715' ) ,
    (SELECT horario.ID_HOR FROM horario WHERE horario.modulo='4 ' and horario.turno='M ' ),
    'VIERNES '
 );</t>
  </si>
  <si>
    <t>INSERT INTO horario_curso_materia (horario_curso_materia.FK_CUR_mat,horario_curso_materia.FK_HOR,horario_curso_materia.DIA) VALUES (  (SELECT curso_materia.ID_CUR_MAT FROM curso_materia WHERE curso_materia.CUPOF='2683123' ) ,
    (SELECT horario.ID_HOR FROM horario WHERE horario.modulo='5 ' and horario.turno='M ' ),
    'JUEVES '
 );</t>
  </si>
  <si>
    <t>INSERT INTO horario_curso_materia (horario_curso_materia.FK_CUR_mat,horario_curso_materia.FK_HOR,horario_curso_materia.DIA) VALUES (  (SELECT curso_materia.ID_CUR_MAT FROM curso_materia WHERE curso_materia.CUPOF='2683123' ) ,
    (SELECT horario.ID_HOR FROM horario WHERE horario.modulo='5 ' and horario.turno='M ' ),
    'LUNES '
 );</t>
  </si>
  <si>
    <t>INSERT INTO horario_curso_materia (horario_curso_materia.FK_CUR_mat,horario_curso_materia.FK_HOR,horario_curso_materia.DIA) VALUES (  (SELECT curso_materia.ID_CUR_MAT FROM curso_materia WHERE curso_materia.CUPOF='1642683' ) ,
    (SELECT horario.ID_HOR FROM horario WHERE horario.modulo='1 ' and horario.turno='M ' ),
    'JUEVES '
 );</t>
  </si>
  <si>
    <t>INSERT INTO horario_curso_materia (horario_curso_materia.FK_CUR_mat,horario_curso_materia.FK_HOR,horario_curso_materia.DIA) VALUES (  (SELECT curso_materia.ID_CUR_MAT FROM curso_materia WHERE curso_materia.CUPOF='1642674' ) ,
    (SELECT horario.ID_HOR FROM horario WHERE horario.modulo='1 ' and horario.turno='T ' ),
    'JUEVES '
 );</t>
  </si>
  <si>
    <t>INSERT INTO horario_curso_materia (horario_curso_materia.FK_CUR_mat,horario_curso_materia.FK_HOR,horario_curso_materia.DIA) VALUES (  (SELECT curso_materia.ID_CUR_MAT FROM curso_materia WHERE curso_materia.CUPOF='1642679' ) ,
    (SELECT horario.ID_HOR FROM horario WHERE horario.modulo='1 ' and horario.turno='T ' ),
    'LUNES '
 );</t>
  </si>
  <si>
    <t>INSERT INTO horario_curso_materia (horario_curso_materia.FK_CUR_mat,horario_curso_materia.FK_HOR,horario_curso_materia.DIA) VALUES (  (SELECT curso_materia.ID_CUR_MAT FROM curso_materia WHERE curso_materia.CUPOF='2673423' ) ,
    (SELECT horario.ID_HOR FROM horario WHERE horario.modulo='1 ' and horario.turno='M ' ),
    'MARTES '
 );</t>
  </si>
  <si>
    <t>INSERT INTO horario_curso_materia (horario_curso_materia.FK_CUR_mat,horario_curso_materia.FK_HOR,horario_curso_materia.DIA) VALUES (  (SELECT curso_materia.ID_CUR_MAT FROM curso_materia WHERE curso_materia.CUPOF='2673429' ) ,
    (SELECT horario.ID_HOR FROM horario WHERE horario.modulo='1 ' and horario.turno='M ' ),
    'MARTES '
 );</t>
  </si>
  <si>
    <t>INSERT INTO horario_curso_materia (horario_curso_materia.FK_CUR_mat,horario_curso_materia.FK_HOR,horario_curso_materia.DIA) VALUES (  (SELECT curso_materia.ID_CUR_MAT FROM curso_materia WHERE curso_materia.CUPOF='1642684' ) ,
    (SELECT horario.ID_HOR FROM horario WHERE horario.modulo='1 ' and horario.turno='T ' ),
    'MARTES '
 );</t>
  </si>
  <si>
    <t>INSERT INTO horario_curso_materia (horario_curso_materia.FK_CUR_mat,horario_curso_materia.FK_HOR,horario_curso_materia.DIA) VALUES (  (SELECT curso_materia.ID_CUR_MAT FROM curso_materia WHERE curso_materia.CUPOF='2673421' ) ,
    (SELECT horario.ID_HOR FROM horario WHERE horario.modulo='1 ' and horario.turno='M ' ),
    'MIERCOLES '
 );</t>
  </si>
  <si>
    <t>INSERT INTO horario_curso_materia (horario_curso_materia.FK_CUR_mat,horario_curso_materia.FK_HOR,horario_curso_materia.DIA) VALUES (  (SELECT curso_materia.ID_CUR_MAT FROM curso_materia WHERE curso_materia.CUPOF='1642681' ) ,
    (SELECT horario.ID_HOR FROM horario WHERE horario.modulo='1 ' and horario.turno='T ' ),
    'MIERCOLES '
 );</t>
  </si>
  <si>
    <t>INSERT INTO horario_curso_materia (horario_curso_materia.FK_CUR_mat,horario_curso_materia.FK_HOR,horario_curso_materia.DIA) VALUES (  (SELECT curso_materia.ID_CUR_MAT FROM curso_materia WHERE curso_materia.CUPOF='2673425' ) ,
    (SELECT horario.ID_HOR FROM horario WHERE horario.modulo='1 ' and horario.turno='M ' ),
    'VIERNES '
 );</t>
  </si>
  <si>
    <t>INSERT INTO horario_curso_materia (horario_curso_materia.FK_CUR_mat,horario_curso_materia.FK_HOR,horario_curso_materia.DIA) VALUES (  (SELECT curso_materia.ID_CUR_MAT FROM curso_materia WHERE curso_materia.CUPOF='1642672' ) ,
    (SELECT horario.ID_HOR FROM horario WHERE horario.modulo='1 ' and horario.turno='T ' ),
    'VIERNES '
 );</t>
  </si>
  <si>
    <t>INSERT INTO horario_curso_materia (horario_curso_materia.FK_CUR_mat,horario_curso_materia.FK_HOR,horario_curso_materia.DIA) VALUES (  (SELECT curso_materia.ID_CUR_MAT FROM curso_materia WHERE curso_materia.CUPOF='1642683' ) ,
    (SELECT horario.ID_HOR FROM horario WHERE horario.modulo='2 ' and horario.turno='M ' ),
    'JUEVES '
 );</t>
  </si>
  <si>
    <t>INSERT INTO horario_curso_materia (horario_curso_materia.FK_CUR_mat,horario_curso_materia.FK_HOR,horario_curso_materia.DIA) VALUES (  (SELECT curso_materia.ID_CUR_MAT FROM curso_materia WHERE curso_materia.CUPOF='1642674' ) ,
    (SELECT horario.ID_HOR FROM horario WHERE horario.modulo='2 ' and horario.turno='T ' ),
    'JUEVES '
 );</t>
  </si>
  <si>
    <t>INSERT INTO horario_curso_materia (horario_curso_materia.FK_CUR_mat,horario_curso_materia.FK_HOR,horario_curso_materia.DIA) VALUES (  (SELECT curso_materia.ID_CUR_MAT FROM curso_materia WHERE curso_materia.CUPOF='1642679' ) ,
    (SELECT horario.ID_HOR FROM horario WHERE horario.modulo='2 ' and horario.turno='T ' ),
    'LUNES '
 );</t>
  </si>
  <si>
    <t>INSERT INTO horario_curso_materia (horario_curso_materia.FK_CUR_mat,horario_curso_materia.FK_HOR,horario_curso_materia.DIA) VALUES (  (SELECT curso_materia.ID_CUR_MAT FROM curso_materia WHERE curso_materia.CUPOF='2673423' ) ,
    (SELECT horario.ID_HOR FROM horario WHERE horario.modulo='2 ' and horario.turno='M ' ),
    'MARTES '
 );</t>
  </si>
  <si>
    <t>INSERT INTO horario_curso_materia (horario_curso_materia.FK_CUR_mat,horario_curso_materia.FK_HOR,horario_curso_materia.DIA) VALUES (  (SELECT curso_materia.ID_CUR_MAT FROM curso_materia WHERE curso_materia.CUPOF='2673429' ) ,
    (SELECT horario.ID_HOR FROM horario WHERE horario.modulo='2 ' and horario.turno='M ' ),
    'MARTES '
 );</t>
  </si>
  <si>
    <t>INSERT INTO horario_curso_materia (horario_curso_materia.FK_CUR_mat,horario_curso_materia.FK_HOR,horario_curso_materia.DIA) VALUES (  (SELECT curso_materia.ID_CUR_MAT FROM curso_materia WHERE curso_materia.CUPOF='1642684' ) ,
    (SELECT horario.ID_HOR FROM horario WHERE horario.modulo='2 ' and horario.turno='T ' ),
    'MARTES '
 );</t>
  </si>
  <si>
    <t>INSERT INTO horario_curso_materia (horario_curso_materia.FK_CUR_mat,horario_curso_materia.FK_HOR,horario_curso_materia.DIA) VALUES (  (SELECT curso_materia.ID_CUR_MAT FROM curso_materia WHERE curso_materia.CUPOF='2673421' ) ,
    (SELECT horario.ID_HOR FROM horario WHERE horario.modulo='2 ' and horario.turno='M ' ),
    'MIERCOLES '
 );</t>
  </si>
  <si>
    <t>INSERT INTO horario_curso_materia (horario_curso_materia.FK_CUR_mat,horario_curso_materia.FK_HOR,horario_curso_materia.DIA) VALUES (  (SELECT curso_materia.ID_CUR_MAT FROM curso_materia WHERE curso_materia.CUPOF='1642681' ) ,
    (SELECT horario.ID_HOR FROM horario WHERE horario.modulo='2 ' and horario.turno='T ' ),
    'MIERCOLES '
 );</t>
  </si>
  <si>
    <t>INSERT INTO horario_curso_materia (horario_curso_materia.FK_CUR_mat,horario_curso_materia.FK_HOR,horario_curso_materia.DIA) VALUES (  (SELECT curso_materia.ID_CUR_MAT FROM curso_materia WHERE curso_materia.CUPOF='2673425' ) ,
    (SELECT horario.ID_HOR FROM horario WHERE horario.modulo='2 ' and horario.turno='M ' ),
    'VIERNES '
 );</t>
  </si>
  <si>
    <t>INSERT INTO horario_curso_materia (horario_curso_materia.FK_CUR_mat,horario_curso_materia.FK_HOR,horario_curso_materia.DIA) VALUES (  (SELECT curso_materia.ID_CUR_MAT FROM curso_materia WHERE curso_materia.CUPOF='1642672' ) ,
    (SELECT horario.ID_HOR FROM horario WHERE horario.modulo='2 ' and horario.turno='T ' ),
    'VIERNES '
 );</t>
  </si>
  <si>
    <t>INSERT INTO horario_curso_materia (horario_curso_materia.FK_CUR_mat,horario_curso_materia.FK_HOR,horario_curso_materia.DIA) VALUES (  (SELECT curso_materia.ID_CUR_MAT FROM curso_materia WHERE curso_materia.CUPOF='2673427' ) ,
    (SELECT horario.ID_HOR FROM horario WHERE horario.modulo='3 ' and horario.turno='M ' ),
    'MIERCOLES '
 );</t>
  </si>
  <si>
    <t>INSERT INTO horario_curso_materia (horario_curso_materia.FK_CUR_mat,horario_curso_materia.FK_HOR,horario_curso_materia.DIA) VALUES (  (SELECT curso_materia.ID_CUR_MAT FROM curso_materia WHERE curso_materia.CUPOF='1642672' ) ,
    (SELECT horario.ID_HOR FROM horario WHERE horario.modulo='3 ' and horario.turno='T ' ),
    'JUEVES '
 );</t>
  </si>
  <si>
    <t>INSERT INTO horario_curso_materia (horario_curso_materia.FK_CUR_mat,horario_curso_materia.FK_HOR,horario_curso_materia.DIA) VALUES (  (SELECT curso_materia.ID_CUR_MAT FROM curso_materia WHERE curso_materia.CUPOF='1642678' ) ,
    (SELECT horario.ID_HOR FROM horario WHERE horario.modulo='3 ' and horario.turno='T ' ),
    'LUNES '
 );</t>
  </si>
  <si>
    <t>INSERT INTO horario_curso_materia (horario_curso_materia.FK_CUR_mat,horario_curso_materia.FK_HOR,horario_curso_materia.DIA) VALUES (  (SELECT curso_materia.ID_CUR_MAT FROM curso_materia WHERE curso_materia.CUPOF='2673429' ) ,
    (SELECT horario.ID_HOR FROM horario WHERE horario.modulo='3 ' and horario.turno='M ' ),
    'MARTES '
 );</t>
  </si>
  <si>
    <t>INSERT INTO horario_curso_materia (horario_curso_materia.FK_CUR_mat,horario_curso_materia.FK_HOR,horario_curso_materia.DIA) VALUES (  (SELECT curso_materia.ID_CUR_MAT FROM curso_materia WHERE curso_materia.CUPOF='1642680' ) ,
    (SELECT horario.ID_HOR FROM horario WHERE horario.modulo='3 ' and horario.turno='T ' ),
    'MARTES '
 );</t>
  </si>
  <si>
    <t>INSERT INTO horario_curso_materia (horario_curso_materia.FK_CUR_mat,horario_curso_materia.FK_HOR,horario_curso_materia.DIA) VALUES (  (SELECT curso_materia.ID_CUR_MAT FROM curso_materia WHERE curso_materia.CUPOF='2673428' ) ,
    (SELECT horario.ID_HOR FROM horario WHERE horario.modulo='1 ' and horario.turno='M ' ),
    'LUNES '
 );</t>
  </si>
  <si>
    <t>INSERT INTO horario_curso_materia (horario_curso_materia.FK_CUR_mat,horario_curso_materia.FK_HOR,horario_curso_materia.DIA) VALUES (  (SELECT curso_materia.ID_CUR_MAT FROM curso_materia WHERE curso_materia.CUPOF='1642675' ) ,
    (SELECT horario.ID_HOR FROM horario WHERE horario.modulo='3 ' and horario.turno='T ' ),
    'MIERCOLES '
 );</t>
  </si>
  <si>
    <t>INSERT INTO horario_curso_materia (horario_curso_materia.FK_CUR_mat,horario_curso_materia.FK_HOR,horario_curso_materia.DIA) VALUES (  (SELECT curso_materia.ID_CUR_MAT FROM curso_materia WHERE curso_materia.CUPOF='2673425' ) ,
    (SELECT horario.ID_HOR FROM horario WHERE horario.modulo='3 ' and horario.turno='M ' ),
    'VIERNES '
 );</t>
  </si>
  <si>
    <t>INSERT INTO horario_curso_materia (horario_curso_materia.FK_CUR_mat,horario_curso_materia.FK_HOR,horario_curso_materia.DIA) VALUES (  (SELECT curso_materia.ID_CUR_MAT FROM curso_materia WHERE curso_materia.CUPOF='1642673' ) ,
    (SELECT horario.ID_HOR FROM horario WHERE horario.modulo='3 ' and horario.turno='T ' ),
    'VIERNES '
 );</t>
  </si>
  <si>
    <t>INSERT INTO horario_curso_materia (horario_curso_materia.FK_CUR_mat,horario_curso_materia.FK_HOR,horario_curso_materia.DIA) VALUES (  (SELECT curso_materia.ID_CUR_MAT FROM curso_materia WHERE curso_materia.CUPOF='2673427' ) ,
    (SELECT horario.ID_HOR FROM horario WHERE horario.modulo='4 ' and horario.turno='M ' ),
    'MIERCOLES '
 );</t>
  </si>
  <si>
    <t>INSERT INTO horario_curso_materia (horario_curso_materia.FK_CUR_mat,horario_curso_materia.FK_HOR,horario_curso_materia.DIA) VALUES (  (SELECT curso_materia.ID_CUR_MAT FROM curso_materia WHERE curso_materia.CUPOF='1642672' ) ,
    (SELECT horario.ID_HOR FROM horario WHERE horario.modulo='4 ' and horario.turno='T ' ),
    'JUEVES '
 );</t>
  </si>
  <si>
    <t>INSERT INTO horario_curso_materia (horario_curso_materia.FK_CUR_mat,horario_curso_materia.FK_HOR,horario_curso_materia.DIA) VALUES (  (SELECT curso_materia.ID_CUR_MAT FROM curso_materia WHERE curso_materia.CUPOF='1642678' ) ,
    (SELECT horario.ID_HOR FROM horario WHERE horario.modulo='4 ' and horario.turno='T ' ),
    'LUNES '
 );</t>
  </si>
  <si>
    <t>INSERT INTO horario_curso_materia (horario_curso_materia.FK_CUR_mat,horario_curso_materia.FK_HOR,horario_curso_materia.DIA) VALUES (  (SELECT curso_materia.ID_CUR_MAT FROM curso_materia WHERE curso_materia.CUPOF='2673429' ) ,
    (SELECT horario.ID_HOR FROM horario WHERE horario.modulo='4 ' and horario.turno='M ' ),
    'MARTES '
 );</t>
  </si>
  <si>
    <t>INSERT INTO horario_curso_materia (horario_curso_materia.FK_CUR_mat,horario_curso_materia.FK_HOR,horario_curso_materia.DIA) VALUES (  (SELECT curso_materia.ID_CUR_MAT FROM curso_materia WHERE curso_materia.CUPOF='1642680' ) ,
    (SELECT horario.ID_HOR FROM horario WHERE horario.modulo='4 ' and horario.turno='T ' ),
    'MARTES '
 );</t>
  </si>
  <si>
    <t>INSERT INTO horario_curso_materia (horario_curso_materia.FK_CUR_mat,horario_curso_materia.FK_HOR,horario_curso_materia.DIA) VALUES (  (SELECT curso_materia.ID_CUR_MAT FROM curso_materia WHERE curso_materia.CUPOF='2673428' ) ,
    (SELECT horario.ID_HOR FROM horario WHERE horario.modulo='2 ' and horario.turno='M ' ),
    'LUNES '
 );</t>
  </si>
  <si>
    <t>INSERT INTO horario_curso_materia (horario_curso_materia.FK_CUR_mat,horario_curso_materia.FK_HOR,horario_curso_materia.DIA) VALUES (  (SELECT curso_materia.ID_CUR_MAT FROM curso_materia WHERE curso_materia.CUPOF='1642675' ) ,
    (SELECT horario.ID_HOR FROM horario WHERE horario.modulo='4 ' and horario.turno='T ' ),
    'MIERCOLES '
 );</t>
  </si>
  <si>
    <t>INSERT INTO horario_curso_materia (horario_curso_materia.FK_CUR_mat,horario_curso_materia.FK_HOR,horario_curso_materia.DIA) VALUES (  (SELECT curso_materia.ID_CUR_MAT FROM curso_materia WHERE curso_materia.CUPOF='2673425' ) ,
    (SELECT horario.ID_HOR FROM horario WHERE horario.modulo='4 ' and horario.turno='M ' ),
    'VIERNES '
 );</t>
  </si>
  <si>
    <t>INSERT INTO horario_curso_materia (horario_curso_materia.FK_CUR_mat,horario_curso_materia.FK_HOR,horario_curso_materia.DIA) VALUES (  (SELECT curso_materia.ID_CUR_MAT FROM curso_materia WHERE curso_materia.CUPOF='1642673' ) ,
    (SELECT horario.ID_HOR FROM horario WHERE horario.modulo='4 ' and horario.turno='T ' ),
    'VIERNES '
 );</t>
  </si>
  <si>
    <t>INSERT INTO horario_curso_materia (horario_curso_materia.FK_CUR_mat,horario_curso_materia.FK_HOR,horario_curso_materia.DIA) VALUES (  (SELECT curso_materia.ID_CUR_MAT FROM curso_materia WHERE curso_materia.CUPOF='1642674' ) ,
    (SELECT horario.ID_HOR FROM horario WHERE horario.modulo='prehora ' and horario.turno='T ' ),
    'LUNES '
 );</t>
  </si>
  <si>
    <t>INSERT INTO horario_curso_materia (horario_curso_materia.FK_CUR_mat,horario_curso_materia.FK_HOR,horario_curso_materia.DIA) VALUES (  (SELECT curso_materia.ID_CUR_MAT FROM curso_materia WHERE curso_materia.CUPOF='1642674' ) ,
    (SELECT horario.ID_HOR FROM horario WHERE horario.modulo='prehora ' and horario.turno='T ' ),
    'MIERCOLES '
 );</t>
  </si>
  <si>
    <t>INSERT INTO horario_curso_materia (horario_curso_materia.FK_CUR_mat,horario_curso_materia.FK_HOR,horario_curso_materia.DIA) VALUES (  (SELECT curso_materia.ID_CUR_MAT FROM curso_materia WHERE curso_materia.CUPOF='1920684' ) ,
    (SELECT horario.ID_HOR FROM horario WHERE horario.modulo='1 ' and horario.turno='M ' ),
    'JUEVES '
 );</t>
  </si>
  <si>
    <t>INSERT INTO horario_curso_materia (horario_curso_materia.FK_CUR_mat,horario_curso_materia.FK_HOR,horario_curso_materia.DIA) VALUES (  (SELECT curso_materia.ID_CUR_MAT FROM curso_materia WHERE curso_materia.CUPOF='1920688' ) ,
    (SELECT horario.ID_HOR FROM horario WHERE horario.modulo='1 ' and horario.turno='M ' ),
    'LUNES '
 );</t>
  </si>
  <si>
    <t>INSERT INTO horario_curso_materia (horario_curso_materia.FK_CUR_mat,horario_curso_materia.FK_HOR,horario_curso_materia.DIA) VALUES (  (SELECT curso_materia.ID_CUR_MAT FROM curso_materia WHERE curso_materia.CUPOF='1920696' ) ,
    (SELECT horario.ID_HOR FROM horario WHERE horario.modulo='1 ' and horario.turno='T ' ),
    'LUNES '
 );</t>
  </si>
  <si>
    <t>INSERT INTO horario_curso_materia (horario_curso_materia.FK_CUR_mat,horario_curso_materia.FK_HOR,horario_curso_materia.DIA) VALUES (  (SELECT curso_materia.ID_CUR_MAT FROM curso_materia WHERE curso_materia.CUPOF='1920681' ) ,
    (SELECT horario.ID_HOR FROM horario WHERE horario.modulo='1 ' and horario.turno='M ' ),
    'MARTES '
 );</t>
  </si>
  <si>
    <t>INSERT INTO horario_curso_materia (horario_curso_materia.FK_CUR_mat,horario_curso_materia.FK_HOR,horario_curso_materia.DIA) VALUES (  (SELECT curso_materia.ID_CUR_MAT FROM curso_materia WHERE curso_materia.CUPOF='1920693' ) ,
    (SELECT horario.ID_HOR FROM horario WHERE horario.modulo='1 ' and horario.turno='T ' ),
    'MARTES '
 );</t>
  </si>
  <si>
    <t>INSERT INTO horario_curso_materia (horario_curso_materia.FK_CUR_mat,horario_curso_materia.FK_HOR,horario_curso_materia.DIA) VALUES (  (SELECT curso_materia.ID_CUR_MAT FROM curso_materia WHERE curso_materia.CUPOF='1920700' ) ,
    (SELECT horario.ID_HOR FROM horario WHERE horario.modulo='1 ' and horario.turno='T ' ),
    'MARTES '
 );</t>
  </si>
  <si>
    <t>INSERT INTO horario_curso_materia (horario_curso_materia.FK_CUR_mat,horario_curso_materia.FK_HOR,horario_curso_materia.DIA) VALUES (  (SELECT curso_materia.ID_CUR_MAT FROM curso_materia WHERE curso_materia.CUPOF='1920690' ) ,
    (SELECT horario.ID_HOR FROM horario WHERE horario.modulo='1 ' and horario.turno='M ' ),
    'MIERCOLES '
 );</t>
  </si>
  <si>
    <t>INSERT INTO horario_curso_materia (horario_curso_materia.FK_CUR_mat,horario_curso_materia.FK_HOR,horario_curso_materia.DIA) VALUES (  (SELECT curso_materia.ID_CUR_MAT FROM curso_materia WHERE curso_materia.CUPOF='1920674' ) ,
    (SELECT horario.ID_HOR FROM horario WHERE horario.modulo='1 ' and horario.turno='M ' ),
    'VIERNES '
 );</t>
  </si>
  <si>
    <t>INSERT INTO horario_curso_materia (horario_curso_materia.FK_CUR_mat,horario_curso_materia.FK_HOR,horario_curso_materia.DIA) VALUES (  (SELECT curso_materia.ID_CUR_MAT FROM curso_materia WHERE curso_materia.CUPOF='1920702' ) ,
    (SELECT horario.ID_HOR FROM horario WHERE horario.modulo='1 ' and horario.turno='T ' ),
    'VIERNES '
 );</t>
  </si>
  <si>
    <t>INSERT INTO horario_curso_materia (horario_curso_materia.FK_CUR_mat,horario_curso_materia.FK_HOR,horario_curso_materia.DIA) VALUES (  (SELECT curso_materia.ID_CUR_MAT FROM curso_materia WHERE curso_materia.CUPOF='1920684' ) ,
    (SELECT horario.ID_HOR FROM horario WHERE horario.modulo='2 ' and horario.turno='M ' ),
    'JUEVES '
 );</t>
  </si>
  <si>
    <t>INSERT INTO horario_curso_materia (horario_curso_materia.FK_CUR_mat,horario_curso_materia.FK_HOR,horario_curso_materia.DIA) VALUES (  (SELECT curso_materia.ID_CUR_MAT FROM curso_materia WHERE curso_materia.CUPOF='1920688' ) ,
    (SELECT horario.ID_HOR FROM horario WHERE horario.modulo='2 ' and horario.turno='M ' ),
    'LUNES '
 );</t>
  </si>
  <si>
    <t>INSERT INTO horario_curso_materia (horario_curso_materia.FK_CUR_mat,horario_curso_materia.FK_HOR,horario_curso_materia.DIA) VALUES (  (SELECT curso_materia.ID_CUR_MAT FROM curso_materia WHERE curso_materia.CUPOF='1920696' ) ,
    (SELECT horario.ID_HOR FROM horario WHERE horario.modulo='2 ' and horario.turno='T ' ),
    'LUNES '
 );</t>
  </si>
  <si>
    <t>INSERT INTO horario_curso_materia (horario_curso_materia.FK_CUR_mat,horario_curso_materia.FK_HOR,horario_curso_materia.DIA) VALUES (  (SELECT curso_materia.ID_CUR_MAT FROM curso_materia WHERE curso_materia.CUPOF='1920681' ) ,
    (SELECT horario.ID_HOR FROM horario WHERE horario.modulo='2 ' and horario.turno='M ' ),
    'MARTES '
 );</t>
  </si>
  <si>
    <t>INSERT INTO horario_curso_materia (horario_curso_materia.FK_CUR_mat,horario_curso_materia.FK_HOR,horario_curso_materia.DIA) VALUES (  (SELECT curso_materia.ID_CUR_MAT FROM curso_materia WHERE curso_materia.CUPOF='1920693' ) ,
    (SELECT horario.ID_HOR FROM horario WHERE horario.modulo='2 ' and horario.turno='T ' ),
    'MARTES '
 );</t>
  </si>
  <si>
    <t>INSERT INTO horario_curso_materia (horario_curso_materia.FK_CUR_mat,horario_curso_materia.FK_HOR,horario_curso_materia.DIA) VALUES (  (SELECT curso_materia.ID_CUR_MAT FROM curso_materia WHERE curso_materia.CUPOF='1920700' ) ,
    (SELECT horario.ID_HOR FROM horario WHERE horario.modulo='2 ' and horario.turno='T ' ),
    'MARTES '
 );</t>
  </si>
  <si>
    <t>INSERT INTO horario_curso_materia (horario_curso_materia.FK_CUR_mat,horario_curso_materia.FK_HOR,horario_curso_materia.DIA) VALUES (  (SELECT curso_materia.ID_CUR_MAT FROM curso_materia WHERE curso_materia.CUPOF='1920690' ) ,
    (SELECT horario.ID_HOR FROM horario WHERE horario.modulo='2 ' and horario.turno='M ' ),
    'MIERCOLES '
 );</t>
  </si>
  <si>
    <t>INSERT INTO horario_curso_materia (horario_curso_materia.FK_CUR_mat,horario_curso_materia.FK_HOR,horario_curso_materia.DIA) VALUES (  (SELECT curso_materia.ID_CUR_MAT FROM curso_materia WHERE curso_materia.CUPOF='1920674' ) ,
    (SELECT horario.ID_HOR FROM horario WHERE horario.modulo='2 ' and horario.turno='M ' ),
    'VIERNES '
 );</t>
  </si>
  <si>
    <t>INSERT INTO horario_curso_materia (horario_curso_materia.FK_CUR_mat,horario_curso_materia.FK_HOR,horario_curso_materia.DIA) VALUES (  (SELECT curso_materia.ID_CUR_MAT FROM curso_materia WHERE curso_materia.CUPOF='1920702' ) ,
    (SELECT horario.ID_HOR FROM horario WHERE horario.modulo='2 ' and horario.turno='T ' ),
    'VIERNES '
 );</t>
  </si>
  <si>
    <t>INSERT INTO horario_curso_materia (horario_curso_materia.FK_CUR_mat,horario_curso_materia.FK_HOR,horario_curso_materia.DIA) VALUES (  (SELECT curso_materia.ID_CUR_MAT FROM curso_materia WHERE curso_materia.CUPOF='1920692' ) ,
    (SELECT horario.ID_HOR FROM horario WHERE horario.modulo='3 ' and horario.turno='M ' ),
    'JUEVES '
 );</t>
  </si>
  <si>
    <t>INSERT INTO horario_curso_materia (horario_curso_materia.FK_CUR_mat,horario_curso_materia.FK_HOR,horario_curso_materia.DIA) VALUES (  (SELECT curso_materia.ID_CUR_MAT FROM curso_materia WHERE curso_materia.CUPOF='1920683' ) ,
    (SELECT horario.ID_HOR FROM horario WHERE horario.modulo='3 ' and horario.turno='T ' ),
    'JUEVES '
 );</t>
  </si>
  <si>
    <t>INSERT INTO horario_curso_materia (horario_curso_materia.FK_CUR_mat,horario_curso_materia.FK_HOR,horario_curso_materia.DIA) VALUES (  (SELECT curso_materia.ID_CUR_MAT FROM curso_materia WHERE curso_materia.CUPOF='1920692' ) ,
    (SELECT horario.ID_HOR FROM horario WHERE horario.modulo='3 ' and horario.turno='M ' ),
    'LUNES '
 );</t>
  </si>
  <si>
    <t>INSERT INTO horario_curso_materia (horario_curso_materia.FK_CUR_mat,horario_curso_materia.FK_HOR,horario_curso_materia.DIA) VALUES (  (SELECT curso_materia.ID_CUR_MAT FROM curso_materia WHERE curso_materia.CUPOF='1920696' ) ,
    (SELECT horario.ID_HOR FROM horario WHERE horario.modulo='3 ' and horario.turno='T ' ),
    'LUNES '
 );</t>
  </si>
  <si>
    <t>INSERT INTO horario_curso_materia (horario_curso_materia.FK_CUR_mat,horario_curso_materia.FK_HOR,horario_curso_materia.DIA) VALUES (  (SELECT curso_materia.ID_CUR_MAT FROM curso_materia WHERE curso_materia.CUPOF='1174482' ) ,
    (SELECT horario.ID_HOR FROM horario WHERE horario.modulo='3 ' and horario.turno='M ' ),
    'MARTES '
 );</t>
  </si>
  <si>
    <t>INSERT INTO horario_curso_materia (horario_curso_materia.FK_CUR_mat,horario_curso_materia.FK_HOR,horario_curso_materia.DIA) VALUES (  (SELECT curso_materia.ID_CUR_MAT FROM curso_materia WHERE curso_materia.CUPOF='1920700' ) ,
    (SELECT horario.ID_HOR FROM horario WHERE horario.modulo='3 ' and horario.turno='T ' ),
    'MARTES '
 );</t>
  </si>
  <si>
    <t>INSERT INTO horario_curso_materia (horario_curso_materia.FK_CUR_mat,horario_curso_materia.FK_HOR,horario_curso_materia.DIA) VALUES (  (SELECT curso_materia.ID_CUR_MAT FROM curso_materia WHERE curso_materia.CUPOF='1920686' ) ,
    (SELECT horario.ID_HOR FROM horario WHERE horario.modulo='3 ' and horario.turno='M ' ),
    'MIERCOLES '
 );</t>
  </si>
  <si>
    <t>INSERT INTO horario_curso_materia (horario_curso_materia.FK_CUR_mat,horario_curso_materia.FK_HOR,horario_curso_materia.DIA) VALUES (  (SELECT curso_materia.ID_CUR_MAT FROM curso_materia WHERE curso_materia.CUPOF='1920704' ) ,
    (SELECT horario.ID_HOR FROM horario WHERE horario.modulo='3 ' and horario.turno='T ' ),
    'MIERCOLES '
 );</t>
  </si>
  <si>
    <t>INSERT INTO horario_curso_materia (horario_curso_materia.FK_CUR_mat,horario_curso_materia.FK_HOR,horario_curso_materia.DIA) VALUES (  (SELECT curso_materia.ID_CUR_MAT FROM curso_materia WHERE curso_materia.CUPOF='1920690' ) ,
    (SELECT horario.ID_HOR FROM horario WHERE horario.modulo='3 ' and horario.turno='M ' ),
    'VIERNES '
 );</t>
  </si>
  <si>
    <t>INSERT INTO horario_curso_materia (horario_curso_materia.FK_CUR_mat,horario_curso_materia.FK_HOR,horario_curso_materia.DIA) VALUES (  (SELECT curso_materia.ID_CUR_MAT FROM curso_materia WHERE curso_materia.CUPOF='1920695' ) ,
    (SELECT horario.ID_HOR FROM horario WHERE horario.modulo='3 ' and horario.turno='T ' ),
    'VIERNES '
 );</t>
  </si>
  <si>
    <t>INSERT INTO horario_curso_materia (horario_curso_materia.FK_CUR_mat,horario_curso_materia.FK_HOR,horario_curso_materia.DIA) VALUES (  (SELECT curso_materia.ID_CUR_MAT FROM curso_materia WHERE curso_materia.CUPOF='1920692' ) ,
    (SELECT horario.ID_HOR FROM horario WHERE horario.modulo='4 ' and horario.turno='M ' ),
    'JUEVES '
 );</t>
  </si>
  <si>
    <t>INSERT INTO horario_curso_materia (horario_curso_materia.FK_CUR_mat,horario_curso_materia.FK_HOR,horario_curso_materia.DIA) VALUES (  (SELECT curso_materia.ID_CUR_MAT FROM curso_materia WHERE curso_materia.CUPOF='1920683' ) ,
    (SELECT horario.ID_HOR FROM horario WHERE horario.modulo='4 ' and horario.turno='T ' ),
    'JUEVES '
 );</t>
  </si>
  <si>
    <t>INSERT INTO horario_curso_materia (horario_curso_materia.FK_CUR_mat,horario_curso_materia.FK_HOR,horario_curso_materia.DIA) VALUES (  (SELECT curso_materia.ID_CUR_MAT FROM curso_materia WHERE curso_materia.CUPOF='1920692' ) ,
    (SELECT horario.ID_HOR FROM horario WHERE horario.modulo='4 ' and horario.turno='M ' ),
    'LUNES '
 );</t>
  </si>
  <si>
    <t>INSERT INTO horario_curso_materia (horario_curso_materia.FK_CUR_mat,horario_curso_materia.FK_HOR,horario_curso_materia.DIA) VALUES (  (SELECT curso_materia.ID_CUR_MAT FROM curso_materia WHERE curso_materia.CUPOF='1920696' ) ,
    (SELECT horario.ID_HOR FROM horario WHERE horario.modulo='4 ' and horario.turno='T ' ),
    'LUNES '
 );</t>
  </si>
  <si>
    <t>INSERT INTO horario_curso_materia (horario_curso_materia.FK_CUR_mat,horario_curso_materia.FK_HOR,horario_curso_materia.DIA) VALUES (  (SELECT curso_materia.ID_CUR_MAT FROM curso_materia WHERE curso_materia.CUPOF='1174482' ) ,
    (SELECT horario.ID_HOR FROM horario WHERE horario.modulo='4 ' and horario.turno='M ' ),
    'MARTES '
 );</t>
  </si>
  <si>
    <t>INSERT INTO horario_curso_materia (horario_curso_materia.FK_CUR_mat,horario_curso_materia.FK_HOR,horario_curso_materia.DIA) VALUES (  (SELECT curso_materia.ID_CUR_MAT FROM curso_materia WHERE curso_materia.CUPOF='1920700' ) ,
    (SELECT horario.ID_HOR FROM horario WHERE horario.modulo='4 ' and horario.turno='T ' ),
    'MARTES '
 );</t>
  </si>
  <si>
    <t>INSERT INTO horario_curso_materia (horario_curso_materia.FK_CUR_mat,horario_curso_materia.FK_HOR,horario_curso_materia.DIA) VALUES (  (SELECT curso_materia.ID_CUR_MAT FROM curso_materia WHERE curso_materia.CUPOF='1920686' ) ,
    (SELECT horario.ID_HOR FROM horario WHERE horario.modulo='4 ' and horario.turno='M ' ),
    'MIERCOLES '
 );</t>
  </si>
  <si>
    <t>INSERT INTO horario_curso_materia (horario_curso_materia.FK_CUR_mat,horario_curso_materia.FK_HOR,horario_curso_materia.DIA) VALUES (  (SELECT curso_materia.ID_CUR_MAT FROM curso_materia WHERE curso_materia.CUPOF='1920704' ) ,
    (SELECT horario.ID_HOR FROM horario WHERE horario.modulo='4 ' and horario.turno='T ' ),
    'MIERCOLES '
 );</t>
  </si>
  <si>
    <t>INSERT INTO horario_curso_materia (horario_curso_materia.FK_CUR_mat,horario_curso_materia.FK_HOR,horario_curso_materia.DIA) VALUES (  (SELECT curso_materia.ID_CUR_MAT FROM curso_materia WHERE curso_materia.CUPOF='1920690' ) ,
    (SELECT horario.ID_HOR FROM horario WHERE horario.modulo='4 ' and horario.turno='M ' ),
    'VIERNES '
 );</t>
  </si>
  <si>
    <t>INSERT INTO horario_curso_materia (horario_curso_materia.FK_CUR_mat,horario_curso_materia.FK_HOR,horario_curso_materia.DIA) VALUES (  (SELECT curso_materia.ID_CUR_MAT FROM curso_materia WHERE curso_materia.CUPOF='1920695' ) ,
    (SELECT horario.ID_HOR FROM horario WHERE horario.modulo='4 ' and horario.turno='T ' ),
    'VIERNES '
 );</t>
  </si>
  <si>
    <t>INSERT INTO horario_curso_materia (horario_curso_materia.FK_CUR_mat,horario_curso_materia.FK_HOR,horario_curso_materia.DIA) VALUES (  (SELECT curso_materia.ID_CUR_MAT FROM curso_materia WHERE curso_materia.CUPOF='1920689' ) ,
    (SELECT horario.ID_HOR FROM horario WHERE horario.modulo='5 ' and horario.turno='M ' ),
    'MARTES '
 );</t>
  </si>
  <si>
    <t>INSERT INTO horario_curso_materia (horario_curso_materia.FK_CUR_mat,horario_curso_materia.FK_HOR,horario_curso_materia.DIA) VALUES (  (SELECT curso_materia.ID_CUR_MAT FROM curso_materia WHERE curso_materia.CUPOF='1920689' ) ,
    (SELECT horario.ID_HOR FROM horario WHERE horario.modulo='5 ' and horario.turno='M ' ),
    'VIERNES '
 );</t>
  </si>
  <si>
    <t>INSERT INTO horario_curso_materia (horario_curso_materia.FK_CUR_mat,horario_curso_materia.FK_HOR,horario_curso_materia.DIA) VALUES (  (SELECT curso_materia.ID_CUR_MAT FROM curso_materia WHERE curso_materia.CUPOF='733471' ) ,
    (SELECT horario.ID_HOR FROM horario WHERE horario.modulo='1 ' and horario.turno='M ' ),
    'JUEVES '
 );</t>
  </si>
  <si>
    <t>INSERT INTO horario_curso_materia (horario_curso_materia.FK_CUR_mat,horario_curso_materia.FK_HOR,horario_curso_materia.DIA) VALUES (  (SELECT curso_materia.ID_CUR_MAT FROM curso_materia WHERE curso_materia.CUPOF='2682845' ) ,
    (SELECT horario.ID_HOR FROM horario WHERE horario.modulo='1 ' and horario.turno='T ' ),
    'JUEVES '
 );</t>
  </si>
  <si>
    <t>INSERT INTO horario_curso_materia (horario_curso_materia.FK_CUR_mat,horario_curso_materia.FK_HOR,horario_curso_materia.DIA) VALUES (  (SELECT curso_materia.ID_CUR_MAT FROM curso_materia WHERE curso_materia.CUPOF='2682850' ) ,
    (SELECT horario.ID_HOR FROM horario WHERE horario.modulo='1 ' and horario.turno='T ' ),
    'JUEVES '
 );</t>
  </si>
  <si>
    <t>INSERT INTO horario_curso_materia (horario_curso_materia.FK_CUR_mat,horario_curso_materia.FK_HOR,horario_curso_materia.DIA) VALUES (  (SELECT curso_materia.ID_CUR_MAT FROM curso_materia WHERE curso_materia.CUPOF='733560' ) ,
    (SELECT horario.ID_HOR FROM horario WHERE horario.modulo='1 ' and horario.turno='M ' ),
    'LUNES '
 );</t>
  </si>
  <si>
    <t>INSERT INTO horario_curso_materia (horario_curso_materia.FK_CUR_mat,horario_curso_materia.FK_HOR,horario_curso_materia.DIA) VALUES (  (SELECT curso_materia.ID_CUR_MAT FROM curso_materia WHERE curso_materia.CUPOF='2682844' ) ,
    (SELECT horario.ID_HOR FROM horario WHERE horario.modulo='1 ' and horario.turno='T ' ),
    'LUNES '
 );</t>
  </si>
  <si>
    <t>INSERT INTO horario_curso_materia (horario_curso_materia.FK_CUR_mat,horario_curso_materia.FK_HOR,horario_curso_materia.DIA) VALUES (  (SELECT curso_materia.ID_CUR_MAT FROM curso_materia WHERE curso_materia.CUPOF='1644170' ) ,
    (SELECT horario.ID_HOR FROM horario WHERE horario.modulo='1 ' and horario.turno='M ' ),
    'MARTES '
 );</t>
  </si>
  <si>
    <t>INSERT INTO horario_curso_materia (horario_curso_materia.FK_CUR_mat,horario_curso_materia.FK_HOR,horario_curso_materia.DIA) VALUES (  (SELECT curso_materia.ID_CUR_MAT FROM curso_materia WHERE curso_materia.CUPOF='2682852' ) ,
    (SELECT horario.ID_HOR FROM horario WHERE horario.modulo='1 ' and horario.turno='T ' ),
    'MARTES '
 );</t>
  </si>
  <si>
    <t>INSERT INTO horario_curso_materia (horario_curso_materia.FK_CUR_mat,horario_curso_materia.FK_HOR,horario_curso_materia.DIA) VALUES (  (SELECT curso_materia.ID_CUR_MAT FROM curso_materia WHERE curso_materia.CUPOF='1644167' ) ,
    (SELECT horario.ID_HOR FROM horario WHERE horario.modulo='1 ' and horario.turno='M ' ),
    'MIERCOLES '
 );</t>
  </si>
  <si>
    <t>INSERT INTO horario_curso_materia (horario_curso_materia.FK_CUR_mat,horario_curso_materia.FK_HOR,horario_curso_materia.DIA) VALUES (  (SELECT curso_materia.ID_CUR_MAT FROM curso_materia WHERE curso_materia.CUPOF='2682848' ) ,
    (SELECT horario.ID_HOR FROM horario WHERE horario.modulo='1 ' and horario.turno='T ' ),
    'MIERCOLES '
 );</t>
  </si>
  <si>
    <t>INSERT INTO horario_curso_materia (horario_curso_materia.FK_CUR_mat,horario_curso_materia.FK_HOR,horario_curso_materia.DIA) VALUES (  (SELECT curso_materia.ID_CUR_MAT FROM curso_materia WHERE curso_materia.CUPOF='733584' ) ,
    (SELECT horario.ID_HOR FROM horario WHERE horario.modulo='1 ' and horario.turno='M ' ),
    'VIERNES '
 );</t>
  </si>
  <si>
    <t>INSERT INTO horario_curso_materia (horario_curso_materia.FK_CUR_mat,horario_curso_materia.FK_HOR,horario_curso_materia.DIA) VALUES (  (SELECT curso_materia.ID_CUR_MAT FROM curso_materia WHERE curso_materia.CUPOF='733471' ) ,
    (SELECT horario.ID_HOR FROM horario WHERE horario.modulo='2 ' and horario.turno='M ' ),
    'JUEVES '
 );</t>
  </si>
  <si>
    <t>INSERT INTO horario_curso_materia (horario_curso_materia.FK_CUR_mat,horario_curso_materia.FK_HOR,horario_curso_materia.DIA) VALUES (  (SELECT curso_materia.ID_CUR_MAT FROM curso_materia WHERE curso_materia.CUPOF='2682845' ) ,
    (SELECT horario.ID_HOR FROM horario WHERE horario.modulo='2 ' and horario.turno='T ' ),
    'JUEVES '
 );</t>
  </si>
  <si>
    <t>INSERT INTO horario_curso_materia (horario_curso_materia.FK_CUR_mat,horario_curso_materia.FK_HOR,horario_curso_materia.DIA) VALUES (  (SELECT curso_materia.ID_CUR_MAT FROM curso_materia WHERE curso_materia.CUPOF='2682850' ) ,
    (SELECT horario.ID_HOR FROM horario WHERE horario.modulo='2 ' and horario.turno='T ' ),
    'JUEVES '
 );</t>
  </si>
  <si>
    <t>INSERT INTO horario_curso_materia (horario_curso_materia.FK_CUR_mat,horario_curso_materia.FK_HOR,horario_curso_materia.DIA) VALUES (  (SELECT curso_materia.ID_CUR_MAT FROM curso_materia WHERE curso_materia.CUPOF='733560' ) ,
    (SELECT horario.ID_HOR FROM horario WHERE horario.modulo='2 ' and horario.turno='M ' ),
    'LUNES '
 );</t>
  </si>
  <si>
    <t>INSERT INTO horario_curso_materia (horario_curso_materia.FK_CUR_mat,horario_curso_materia.FK_HOR,horario_curso_materia.DIA) VALUES (  (SELECT curso_materia.ID_CUR_MAT FROM curso_materia WHERE curso_materia.CUPOF='2682844' ) ,
    (SELECT horario.ID_HOR FROM horario WHERE horario.modulo='2 ' and horario.turno='T ' ),
    'LUNES '
 );</t>
  </si>
  <si>
    <t>INSERT INTO horario_curso_materia (horario_curso_materia.FK_CUR_mat,horario_curso_materia.FK_HOR,horario_curso_materia.DIA) VALUES (  (SELECT curso_materia.ID_CUR_MAT FROM curso_materia WHERE curso_materia.CUPOF='1644170' ) ,
    (SELECT horario.ID_HOR FROM horario WHERE horario.modulo='2 ' and horario.turno='M ' ),
    'MARTES '
 );</t>
  </si>
  <si>
    <t>INSERT INTO horario_curso_materia (horario_curso_materia.FK_CUR_mat,horario_curso_materia.FK_HOR,horario_curso_materia.DIA) VALUES (  (SELECT curso_materia.ID_CUR_MAT FROM curso_materia WHERE curso_materia.CUPOF='2682852' ) ,
    (SELECT horario.ID_HOR FROM horario WHERE horario.modulo='2 ' and horario.turno='T ' ),
    'MARTES '
 );</t>
  </si>
  <si>
    <t>INSERT INTO horario_curso_materia (horario_curso_materia.FK_CUR_mat,horario_curso_materia.FK_HOR,horario_curso_materia.DIA) VALUES (  (SELECT curso_materia.ID_CUR_MAT FROM curso_materia WHERE curso_materia.CUPOF='1644167' ) ,
    (SELECT horario.ID_HOR FROM horario WHERE horario.modulo='2 ' and horario.turno='M ' ),
    'MIERCOLES '
 );</t>
  </si>
  <si>
    <t>INSERT INTO horario_curso_materia (horario_curso_materia.FK_CUR_mat,horario_curso_materia.FK_HOR,horario_curso_materia.DIA) VALUES (  (SELECT curso_materia.ID_CUR_MAT FROM curso_materia WHERE curso_materia.CUPOF='2682848' ) ,
    (SELECT horario.ID_HOR FROM horario WHERE horario.modulo='2 ' and horario.turno='T ' ),
    'MIERCOLES '
 );</t>
  </si>
  <si>
    <t>INSERT INTO horario_curso_materia (horario_curso_materia.FK_CUR_mat,horario_curso_materia.FK_HOR,horario_curso_materia.DIA) VALUES (  (SELECT curso_materia.ID_CUR_MAT FROM curso_materia WHERE curso_materia.CUPOF='733584' ) ,
    (SELECT horario.ID_HOR FROM horario WHERE horario.modulo='2 ' and horario.turno='M ' ),
    'VIERNES '
 );</t>
  </si>
  <si>
    <t>INSERT INTO horario_curso_materia (horario_curso_materia.FK_CUR_mat,horario_curso_materia.FK_HOR,horario_curso_materia.DIA) VALUES (  (SELECT curso_materia.ID_CUR_MAT FROM curso_materia WHERE curso_materia.CUPOF='1104261' ) ,
    (SELECT horario.ID_HOR FROM horario WHERE horario.modulo='3 ' and horario.turno='M ' ),
    'JUEVES '
 );</t>
  </si>
  <si>
    <t>INSERT INTO horario_curso_materia (horario_curso_materia.FK_CUR_mat,horario_curso_materia.FK_HOR,horario_curso_materia.DIA) VALUES (  (SELECT curso_materia.ID_CUR_MAT FROM curso_materia WHERE curso_materia.CUPOF='2682850' ) ,
    (SELECT horario.ID_HOR FROM horario WHERE horario.modulo='3 ' and horario.turno='T ' ),
    'JUEVES '
 );</t>
  </si>
  <si>
    <t>INSERT INTO horario_curso_materia (horario_curso_materia.FK_CUR_mat,horario_curso_materia.FK_HOR,horario_curso_materia.DIA) VALUES (  (SELECT curso_materia.ID_CUR_MAT FROM curso_materia WHERE curso_materia.CUPOF='1644172' ) ,
    (SELECT horario.ID_HOR FROM horario WHERE horario.modulo='3 ' and horario.turno='M ' ),
    'LUNES '
 );</t>
  </si>
  <si>
    <t>INSERT INTO horario_curso_materia (horario_curso_materia.FK_CUR_mat,horario_curso_materia.FK_HOR,horario_curso_materia.DIA) VALUES (  (SELECT curso_materia.ID_CUR_MAT FROM curso_materia WHERE curso_materia.CUPOF='2682844' ) ,
    (SELECT horario.ID_HOR FROM horario WHERE horario.modulo='3 ' and horario.turno='T ' ),
    'LUNES '
 );</t>
  </si>
  <si>
    <t>INSERT INTO horario_curso_materia (horario_curso_materia.FK_CUR_mat,horario_curso_materia.FK_HOR,horario_curso_materia.DIA) VALUES (  (SELECT curso_materia.ID_CUR_MAT FROM curso_materia WHERE curso_materia.CUPOF='1644174' ) ,
    (SELECT horario.ID_HOR FROM horario WHERE horario.modulo='3 ' and horario.turno='M ' ),
    'MARTES '
 );</t>
  </si>
  <si>
    <t>INSERT INTO horario_curso_materia (horario_curso_materia.FK_CUR_mat,horario_curso_materia.FK_HOR,horario_curso_materia.DIA) VALUES (  (SELECT curso_materia.ID_CUR_MAT FROM curso_materia WHERE curso_materia.CUPOF='1104261' ) ,
    (SELECT horario.ID_HOR FROM horario WHERE horario.modulo='3 ' and horario.turno='M ' ),
    'MIERCOLES '
 );</t>
  </si>
  <si>
    <t>INSERT INTO horario_curso_materia (horario_curso_materia.FK_CUR_mat,horario_curso_materia.FK_HOR,horario_curso_materia.DIA) VALUES (  (SELECT curso_materia.ID_CUR_MAT FROM curso_materia WHERE curso_materia.CUPOF='2682842' ) ,
    (SELECT horario.ID_HOR FROM horario WHERE horario.modulo='3 ' and horario.turno='T ' ),
    'MIERCOLES '
 );</t>
  </si>
  <si>
    <t>INSERT INTO horario_curso_materia (horario_curso_materia.FK_CUR_mat,horario_curso_materia.FK_HOR,horario_curso_materia.DIA) VALUES (  (SELECT curso_materia.ID_CUR_MAT FROM curso_materia WHERE curso_materia.CUPOF='733471' ) ,
    (SELECT horario.ID_HOR FROM horario WHERE horario.modulo='3 ' and horario.turno='M ' ),
    'VIERNES '
 );</t>
  </si>
  <si>
    <t>INSERT INTO horario_curso_materia (horario_curso_materia.FK_CUR_mat,horario_curso_materia.FK_HOR,horario_curso_materia.DIA) VALUES (  (SELECT curso_materia.ID_CUR_MAT FROM curso_materia WHERE curso_materia.CUPOF='1104261' ) ,
    (SELECT horario.ID_HOR FROM horario WHERE horario.modulo='4 ' and horario.turno='M ' ),
    'JUEVES '
 );</t>
  </si>
  <si>
    <t>INSERT INTO horario_curso_materia (horario_curso_materia.FK_CUR_mat,horario_curso_materia.FK_HOR,horario_curso_materia.DIA) VALUES (  (SELECT curso_materia.ID_CUR_MAT FROM curso_materia WHERE curso_materia.CUPOF='2682850' ) ,
    (SELECT horario.ID_HOR FROM horario WHERE horario.modulo='4 ' and horario.turno='T ' ),
    'JUEVES '
 );</t>
  </si>
  <si>
    <t>INSERT INTO horario_curso_materia (horario_curso_materia.FK_CUR_mat,horario_curso_materia.FK_HOR,horario_curso_materia.DIA) VALUES (  (SELECT curso_materia.ID_CUR_MAT FROM curso_materia WHERE curso_materia.CUPOF='1644172' ) ,
    (SELECT horario.ID_HOR FROM horario WHERE horario.modulo='4 ' and horario.turno='M ' ),
    'LUNES '
 );</t>
  </si>
  <si>
    <t>INSERT INTO horario_curso_materia (horario_curso_materia.FK_CUR_mat,horario_curso_materia.FK_HOR,horario_curso_materia.DIA) VALUES (  (SELECT curso_materia.ID_CUR_MAT FROM curso_materia WHERE curso_materia.CUPOF='2682844' ) ,
    (SELECT horario.ID_HOR FROM horario WHERE horario.modulo='4 ' and horario.turno='T ' ),
    'LUNES '
 );</t>
  </si>
  <si>
    <t>INSERT INTO horario_curso_materia (horario_curso_materia.FK_CUR_mat,horario_curso_materia.FK_HOR,horario_curso_materia.DIA) VALUES (  (SELECT curso_materia.ID_CUR_MAT FROM curso_materia WHERE curso_materia.CUPOF='1644174' ) ,
    (SELECT horario.ID_HOR FROM horario WHERE horario.modulo='4 ' and horario.turno='M ' ),
    'MARTES '
 );</t>
  </si>
  <si>
    <t>INSERT INTO horario_curso_materia (horario_curso_materia.FK_CUR_mat,horario_curso_materia.FK_HOR,horario_curso_materia.DIA) VALUES (  (SELECT curso_materia.ID_CUR_MAT FROM curso_materia WHERE curso_materia.CUPOF='1104261' ) ,
    (SELECT horario.ID_HOR FROM horario WHERE horario.modulo='4 ' and horario.turno='M ' ),
    'MIERCOLES '
 );</t>
  </si>
  <si>
    <t>INSERT INTO horario_curso_materia (horario_curso_materia.FK_CUR_mat,horario_curso_materia.FK_HOR,horario_curso_materia.DIA) VALUES (  (SELECT curso_materia.ID_CUR_MAT FROM curso_materia WHERE curso_materia.CUPOF='2682842' ) ,
    (SELECT horario.ID_HOR FROM horario WHERE horario.modulo='4 ' and horario.turno='T ' ),
    'MIERCOLES '
 );</t>
  </si>
  <si>
    <t>INSERT INTO horario_curso_materia (horario_curso_materia.FK_CUR_mat,horario_curso_materia.FK_HOR,horario_curso_materia.DIA) VALUES (  (SELECT curso_materia.ID_CUR_MAT FROM curso_materia WHERE curso_materia.CUPOF='733471' ) ,
    (SELECT horario.ID_HOR FROM horario WHERE horario.modulo='4 ' and horario.turno='M ' ),
    'VIERNES '
 );</t>
  </si>
  <si>
    <t>INSERT INTO horario_curso_materia (horario_curso_materia.FK_CUR_mat,horario_curso_materia.FK_HOR,horario_curso_materia.DIA) VALUES (  (SELECT curso_materia.ID_CUR_MAT FROM curso_materia WHERE curso_materia.CUPOF='733533' ) ,
    (SELECT horario.ID_HOR FROM horario WHERE horario.modulo='5 ' and horario.turno='M ' ),
    'LUNES '
 );</t>
  </si>
  <si>
    <t>INSERT INTO horario_curso_materia (horario_curso_materia.FK_CUR_mat,horario_curso_materia.FK_HOR,horario_curso_materia.DIA) VALUES (  (SELECT curso_materia.ID_CUR_MAT FROM curso_materia WHERE curso_materia.CUPOF='789589' ) ,
    (SELECT horario.ID_HOR FROM horario WHERE horario.modulo='5 ' and horario.turno='M ' ),
    'MARTES '
 );</t>
  </si>
  <si>
    <t>INSERT INTO horario_curso_materia (horario_curso_materia.FK_CUR_mat,horario_curso_materia.FK_HOR,horario_curso_materia.DIA) VALUES (  (SELECT curso_materia.ID_CUR_MAT FROM curso_materia WHERE curso_materia.CUPOF='733533' ) ,
    (SELECT horario.ID_HOR FROM horario WHERE horario.modulo='5 ' and horario.turno='M ' ),
    'MIERCOLES '
 );</t>
  </si>
  <si>
    <t>INSERT INTO horario_curso_materia (horario_curso_materia.FK_CUR_mat,horario_curso_materia.FK_HOR,horario_curso_materia.DIA) VALUES (  (SELECT curso_materia.ID_CUR_MAT FROM curso_materia WHERE curso_materia.CUPOF='789589' ) ,
    (SELECT horario.ID_HOR FROM horario WHERE horario.modulo='5 ' and horario.turno='M ' ),
    'VIERNES '
 );</t>
  </si>
  <si>
    <t>INSERT INTO horario_curso_materia (horario_curso_materia.FK_CUR_mat,horario_curso_materia.FK_HOR,horario_curso_materia.DIA) VALUES (  (SELECT curso_materia.ID_CUR_MAT FROM curso_materia WHERE curso_materia.CUPOF='733459' ) ,
    (SELECT horario.ID_HOR FROM horario WHERE horario.modulo='1 ' and horario.turno='M ' ),
    'JUEVES '
 );</t>
  </si>
  <si>
    <t>INSERT INTO horario_curso_materia (horario_curso_materia.FK_CUR_mat,horario_curso_materia.FK_HOR,horario_curso_materia.DIA) VALUES (  (SELECT curso_materia.ID_CUR_MAT FROM curso_materia WHERE curso_materia.CUPOF='733447' ) ,
    (SELECT horario.ID_HOR FROM horario WHERE horario.modulo='1 ' and horario.turno='T ' ),
    'JUEVES '
 );</t>
  </si>
  <si>
    <t>INSERT INTO horario_curso_materia (horario_curso_materia.FK_CUR_mat,horario_curso_materia.FK_HOR,horario_curso_materia.DIA) VALUES (  (SELECT curso_materia.ID_CUR_MAT FROM curso_materia WHERE curso_materia.CUPOF='2682796' ) ,
    (SELECT horario.ID_HOR FROM horario WHERE horario.modulo='1 ' and horario.turno='V ' ),
    'JUEVES '
 );</t>
  </si>
  <si>
    <t>INSERT INTO horario_curso_materia (horario_curso_materia.FK_CUR_mat,horario_curso_materia.FK_HOR,horario_curso_materia.DIA) VALUES (  (SELECT curso_materia.ID_CUR_MAT FROM curso_materia WHERE curso_materia.CUPOF='2682793' ) ,
    (SELECT horario.ID_HOR FROM horario WHERE horario.modulo='1 ' and horario.turno='M ' ),
    'LUNES '
 );</t>
  </si>
  <si>
    <t>INSERT INTO horario_curso_materia (horario_curso_materia.FK_CUR_mat,horario_curso_materia.FK_HOR,horario_curso_materia.DIA) VALUES (  (SELECT curso_materia.ID_CUR_MAT FROM curso_materia WHERE curso_materia.CUPOF='789744' ) ,
    (SELECT horario.ID_HOR FROM horario WHERE horario.modulo='1 ' and horario.turno='T ' ),
    'LUNES '
 );</t>
  </si>
  <si>
    <t>INSERT INTO horario_curso_materia (horario_curso_materia.FK_CUR_mat,horario_curso_materia.FK_HOR,horario_curso_materia.DIA) VALUES (  (SELECT curso_materia.ID_CUR_MAT FROM curso_materia WHERE curso_materia.CUPOF='2682794' ) ,
    (SELECT horario.ID_HOR FROM horario WHERE horario.modulo='1 ' and horario.turno='M ' ),
    'MARTES '
 );</t>
  </si>
  <si>
    <t>INSERT INTO horario_curso_materia (horario_curso_materia.FK_CUR_mat,horario_curso_materia.FK_HOR,horario_curso_materia.DIA) VALUES (  (SELECT curso_materia.ID_CUR_MAT FROM curso_materia WHERE curso_materia.CUPOF='1644177' ) ,
    (SELECT horario.ID_HOR FROM horario WHERE horario.modulo='1 ' and horario.turno='T ' ),
    'MARTES '
 );</t>
  </si>
  <si>
    <t>INSERT INTO horario_curso_materia (horario_curso_materia.FK_CUR_mat,horario_curso_materia.FK_HOR,horario_curso_materia.DIA) VALUES (  (SELECT curso_materia.ID_CUR_MAT FROM curso_materia WHERE curso_materia.CUPOF='789744' ) ,
    (SELECT horario.ID_HOR FROM horario WHERE horario.modulo='1 ' and horario.turno='T ' ),
    'MIERCOLES '
 );</t>
  </si>
  <si>
    <t>INSERT INTO horario_curso_materia (horario_curso_materia.FK_CUR_mat,horario_curso_materia.FK_HOR,horario_curso_materia.DIA) VALUES (  (SELECT curso_materia.ID_CUR_MAT FROM curso_materia WHERE curso_materia.CUPOF='2682790' ) ,
    (SELECT horario.ID_HOR FROM horario WHERE horario.modulo='1 ' and horario.turno='M ' ),
    'VIERNES '
 );</t>
  </si>
  <si>
    <t>INSERT INTO horario_curso_materia (horario_curso_materia.FK_CUR_mat,horario_curso_materia.FK_HOR,horario_curso_materia.DIA) VALUES (  (SELECT curso_materia.ID_CUR_MAT FROM curso_materia WHERE curso_materia.CUPOF='2682798' ) ,
    (SELECT horario.ID_HOR FROM horario WHERE horario.modulo='1 ' and horario.turno='M ' ),
    'VIERNES '
 );</t>
  </si>
  <si>
    <t>INSERT INTO horario_curso_materia (horario_curso_materia.FK_CUR_mat,horario_curso_materia.FK_HOR,horario_curso_materia.DIA) VALUES (  (SELECT curso_materia.ID_CUR_MAT FROM curso_materia WHERE curso_materia.CUPOF='733447' ) ,
    (SELECT horario.ID_HOR FROM horario WHERE horario.modulo='1 ' and horario.turno='T ' ),
    'VIERNES '
 );</t>
  </si>
  <si>
    <t>INSERT INTO horario_curso_materia (horario_curso_materia.FK_CUR_mat,horario_curso_materia.FK_HOR,horario_curso_materia.DIA) VALUES (  (SELECT curso_materia.ID_CUR_MAT FROM curso_materia WHERE curso_materia.CUPOF='2682791' ) ,
    (SELECT horario.ID_HOR FROM horario WHERE horario.modulo='1 ' and horario.turno='V ' ),
    'VIERNES '
 );</t>
  </si>
  <si>
    <t>INSERT INTO horario_curso_materia (horario_curso_materia.FK_CUR_mat,horario_curso_materia.FK_HOR,horario_curso_materia.DIA) VALUES (  (SELECT curso_materia.ID_CUR_MAT FROM curso_materia WHERE curso_materia.CUPOF='733459' ) ,
    (SELECT horario.ID_HOR FROM horario WHERE horario.modulo='2 ' and horario.turno='M ' ),
    'JUEVES '
 );</t>
  </si>
  <si>
    <t>INSERT INTO horario_curso_materia (horario_curso_materia.FK_CUR_mat,horario_curso_materia.FK_HOR,horario_curso_materia.DIA) VALUES (  (SELECT curso_materia.ID_CUR_MAT FROM curso_materia WHERE curso_materia.CUPOF='733447' ) ,
    (SELECT horario.ID_HOR FROM horario WHERE horario.modulo='2 ' and horario.turno='T ' ),
    'JUEVES '
 );</t>
  </si>
  <si>
    <t>INSERT INTO horario_curso_materia (horario_curso_materia.FK_CUR_mat,horario_curso_materia.FK_HOR,horario_curso_materia.DIA) VALUES (  (SELECT curso_materia.ID_CUR_MAT FROM curso_materia WHERE curso_materia.CUPOF='2682796' ) ,
    (SELECT horario.ID_HOR FROM horario WHERE horario.modulo='2 ' and horario.turno='V ' ),
    'JUEVES '
 );</t>
  </si>
  <si>
    <t>INSERT INTO horario_curso_materia (horario_curso_materia.FK_CUR_mat,horario_curso_materia.FK_HOR,horario_curso_materia.DIA) VALUES (  (SELECT curso_materia.ID_CUR_MAT FROM curso_materia WHERE curso_materia.CUPOF='2682793' ) ,
    (SELECT horario.ID_HOR FROM horario WHERE horario.modulo='2 ' and horario.turno='M ' ),
    'LUNES '
 );</t>
  </si>
  <si>
    <t>INSERT INTO horario_curso_materia (horario_curso_materia.FK_CUR_mat,horario_curso_materia.FK_HOR,horario_curso_materia.DIA) VALUES (  (SELECT curso_materia.ID_CUR_MAT FROM curso_materia WHERE curso_materia.CUPOF='789744' ) ,
    (SELECT horario.ID_HOR FROM horario WHERE horario.modulo='2 ' and horario.turno='T ' ),
    'LUNES '
 );</t>
  </si>
  <si>
    <t>INSERT INTO horario_curso_materia (horario_curso_materia.FK_CUR_mat,horario_curso_materia.FK_HOR,horario_curso_materia.DIA) VALUES (  (SELECT curso_materia.ID_CUR_MAT FROM curso_materia WHERE curso_materia.CUPOF='2682794' ) ,
    (SELECT horario.ID_HOR FROM horario WHERE horario.modulo='2 ' and horario.turno='M ' ),
    'MARTES '
 );</t>
  </si>
  <si>
    <t>INSERT INTO horario_curso_materia (horario_curso_materia.FK_CUR_mat,horario_curso_materia.FK_HOR,horario_curso_materia.DIA) VALUES (  (SELECT curso_materia.ID_CUR_MAT FROM curso_materia WHERE curso_materia.CUPOF='1644177' ) ,
    (SELECT horario.ID_HOR FROM horario WHERE horario.modulo='2 ' and horario.turno='T ' ),
    'MARTES '
 );</t>
  </si>
  <si>
    <t>INSERT INTO horario_curso_materia (horario_curso_materia.FK_CUR_mat,horario_curso_materia.FK_HOR,horario_curso_materia.DIA) VALUES (  (SELECT curso_materia.ID_CUR_MAT FROM curso_materia WHERE curso_materia.CUPOF='789744' ) ,
    (SELECT horario.ID_HOR FROM horario WHERE horario.modulo='2 ' and horario.turno='T ' ),
    'MIERCOLES '
 );</t>
  </si>
  <si>
    <t>INSERT INTO horario_curso_materia (horario_curso_materia.FK_CUR_mat,horario_curso_materia.FK_HOR,horario_curso_materia.DIA) VALUES (  (SELECT curso_materia.ID_CUR_MAT FROM curso_materia WHERE curso_materia.CUPOF='2682790' ) ,
    (SELECT horario.ID_HOR FROM horario WHERE horario.modulo='2 ' and horario.turno='M ' ),
    'VIERNES '
 );</t>
  </si>
  <si>
    <t>INSERT INTO horario_curso_materia (horario_curso_materia.FK_CUR_mat,horario_curso_materia.FK_HOR,horario_curso_materia.DIA) VALUES (  (SELECT curso_materia.ID_CUR_MAT FROM curso_materia WHERE curso_materia.CUPOF='2682798' ) ,
    (SELECT horario.ID_HOR FROM horario WHERE horario.modulo='2 ' and horario.turno='M ' ),
    'VIERNES '
 );</t>
  </si>
  <si>
    <t>INSERT INTO horario_curso_materia (horario_curso_materia.FK_CUR_mat,horario_curso_materia.FK_HOR,horario_curso_materia.DIA) VALUES (  (SELECT curso_materia.ID_CUR_MAT FROM curso_materia WHERE curso_materia.CUPOF='733447' ) ,
    (SELECT horario.ID_HOR FROM horario WHERE horario.modulo='2 ' and horario.turno='T ' ),
    'VIERNES '
 );</t>
  </si>
  <si>
    <t>INSERT INTO horario_curso_materia (horario_curso_materia.FK_CUR_mat,horario_curso_materia.FK_HOR,horario_curso_materia.DIA) VALUES (  (SELECT curso_materia.ID_CUR_MAT FROM curso_materia WHERE curso_materia.CUPOF='2682791' ) ,
    (SELECT horario.ID_HOR FROM horario WHERE horario.modulo='2 ' and horario.turno='V ' ),
    'VIERNES '
 );</t>
  </si>
  <si>
    <t>INSERT INTO horario_curso_materia (horario_curso_materia.FK_CUR_mat,horario_curso_materia.FK_HOR,horario_curso_materia.DIA) VALUES (  (SELECT curso_materia.ID_CUR_MAT FROM curso_materia WHERE curso_materia.CUPOF='733531' ) ,
    (SELECT horario.ID_HOR FROM horario WHERE horario.modulo='3 ' and horario.turno='T ' ),
    'JUEVES '
 );</t>
  </si>
  <si>
    <t>INSERT INTO horario_curso_materia (horario_curso_materia.FK_CUR_mat,horario_curso_materia.FK_HOR,horario_curso_materia.DIA) VALUES (  (SELECT curso_materia.ID_CUR_MAT FROM curso_materia WHERE curso_materia.CUPOF='2682796' ) ,
    (SELECT horario.ID_HOR FROM horario WHERE horario.modulo='3 ' and horario.turno='V ' ),
    'JUEVES '
 );</t>
  </si>
  <si>
    <t>INSERT INTO horario_curso_materia (horario_curso_materia.FK_CUR_mat,horario_curso_materia.FK_HOR,horario_curso_materia.DIA) VALUES (  (SELECT curso_materia.ID_CUR_MAT FROM curso_materia WHERE curso_materia.CUPOF='1644182' ) ,
    (SELECT horario.ID_HOR FROM horario WHERE horario.modulo='3 ' and horario.turno='T ' ),
    'LUNES '
 );</t>
  </si>
  <si>
    <t>INSERT INTO horario_curso_materia (horario_curso_materia.FK_CUR_mat,horario_curso_materia.FK_HOR,horario_curso_materia.DIA) VALUES (  (SELECT curso_materia.ID_CUR_MAT FROM curso_materia WHERE curso_materia.CUPOF='733451' ) ,
    (SELECT horario.ID_HOR FROM horario WHERE horario.modulo='3 ' and horario.turno='T ' ),
    'MARTES '
 );</t>
  </si>
  <si>
    <t>INSERT INTO horario_curso_materia (horario_curso_materia.FK_CUR_mat,horario_curso_materia.FK_HOR,horario_curso_materia.DIA) VALUES (  (SELECT curso_materia.ID_CUR_MAT FROM curso_materia WHERE curso_materia.CUPOF='1644179' ) ,
    (SELECT horario.ID_HOR FROM horario WHERE horario.modulo='3 ' and horario.turno='T ' ),
    'MIERCOLES '
 );</t>
  </si>
  <si>
    <t>INSERT INTO horario_curso_materia (horario_curso_materia.FK_CUR_mat,horario_curso_materia.FK_HOR,horario_curso_materia.DIA) VALUES (  (SELECT curso_materia.ID_CUR_MAT FROM curso_materia WHERE curso_materia.CUPOF='1644183' ) ,
    (SELECT horario.ID_HOR FROM horario WHERE horario.modulo='3 ' and horario.turno='T ' ),
    'VIERNES '
 );</t>
  </si>
  <si>
    <t>INSERT INTO horario_curso_materia (horario_curso_materia.FK_CUR_mat,horario_curso_materia.FK_HOR,horario_curso_materia.DIA) VALUES (  (SELECT curso_materia.ID_CUR_MAT FROM curso_materia WHERE curso_materia.CUPOF='2682791' ) ,
    (SELECT horario.ID_HOR FROM horario WHERE horario.modulo='3 ' and horario.turno='V ' ),
    'VIERNES '
 );</t>
  </si>
  <si>
    <t>INSERT INTO horario_curso_materia (horario_curso_materia.FK_CUR_mat,horario_curso_materia.FK_HOR,horario_curso_materia.DIA) VALUES (  (SELECT curso_materia.ID_CUR_MAT FROM curso_materia WHERE curso_materia.CUPOF='733531' ) ,
    (SELECT horario.ID_HOR FROM horario WHERE horario.modulo='4 ' and horario.turno='T ' ),
    'JUEVES '
 );</t>
  </si>
  <si>
    <t>INSERT INTO horario_curso_materia (horario_curso_materia.FK_CUR_mat,horario_curso_materia.FK_HOR,horario_curso_materia.DIA) VALUES (  (SELECT curso_materia.ID_CUR_MAT FROM curso_materia WHERE curso_materia.CUPOF='2682796' ) ,
    (SELECT horario.ID_HOR FROM horario WHERE horario.modulo='4 ' and horario.turno='V ' ),
    'JUEVES '
 );</t>
  </si>
  <si>
    <t>INSERT INTO horario_curso_materia (horario_curso_materia.FK_CUR_mat,horario_curso_materia.FK_HOR,horario_curso_materia.DIA) VALUES (  (SELECT curso_materia.ID_CUR_MAT FROM curso_materia WHERE curso_materia.CUPOF='1644182' ) ,
    (SELECT horario.ID_HOR FROM horario WHERE horario.modulo='4 ' and horario.turno='T ' ),
    'LUNES '
 );</t>
  </si>
  <si>
    <t>INSERT INTO horario_curso_materia (horario_curso_materia.FK_CUR_mat,horario_curso_materia.FK_HOR,horario_curso_materia.DIA) VALUES (  (SELECT curso_materia.ID_CUR_MAT FROM curso_materia WHERE curso_materia.CUPOF='733451' ) ,
    (SELECT horario.ID_HOR FROM horario WHERE horario.modulo='4 ' and horario.turno='T ' ),
    'MARTES '
 );</t>
  </si>
  <si>
    <t>INSERT INTO horario_curso_materia (horario_curso_materia.FK_CUR_mat,horario_curso_materia.FK_HOR,horario_curso_materia.DIA) VALUES (  (SELECT curso_materia.ID_CUR_MAT FROM curso_materia WHERE curso_materia.CUPOF='1644179' ) ,
    (SELECT horario.ID_HOR FROM horario WHERE horario.modulo='4 ' and horario.turno='T ' ),
    'MIERCOLES '
 );</t>
  </si>
  <si>
    <t>INSERT INTO horario_curso_materia (horario_curso_materia.FK_CUR_mat,horario_curso_materia.FK_HOR,horario_curso_materia.DIA) VALUES (  (SELECT curso_materia.ID_CUR_MAT FROM curso_materia WHERE curso_materia.CUPOF='1644183' ) ,
    (SELECT horario.ID_HOR FROM horario WHERE horario.modulo='4 ' and horario.turno='T ' ),
    'VIERNES '
 );</t>
  </si>
  <si>
    <t>INSERT INTO horario_curso_materia (horario_curso_materia.FK_CUR_mat,horario_curso_materia.FK_HOR,horario_curso_materia.DIA) VALUES (  (SELECT curso_materia.ID_CUR_MAT FROM curso_materia WHERE curso_materia.CUPOF='2682791' ) ,
    (SELECT horario.ID_HOR FROM horario WHERE horario.modulo='4 ' and horario.turno='V ' ),
    'VIERNES '
 );</t>
  </si>
  <si>
    <t>INSERT INTO horario_curso_materia (horario_curso_materia.FK_CUR_mat,horario_curso_materia.FK_HOR,horario_curso_materia.DIA) VALUES (  (SELECT curso_materia.ID_CUR_MAT FROM curso_materia WHERE curso_materia.CUPOF='733558' ) ,
    (SELECT horario.ID_HOR FROM horario WHERE horario.modulo='5 ' and horario.turno='T ' ),
    'LUNES '
 );</t>
  </si>
  <si>
    <t>INSERT INTO horario_curso_materia (horario_curso_materia.FK_CUR_mat,horario_curso_materia.FK_HOR,horario_curso_materia.DIA) VALUES (  (SELECT curso_materia.ID_CUR_MAT FROM curso_materia WHERE curso_materia.CUPOF='733558' ) ,
    (SELECT horario.ID_HOR FROM horario WHERE horario.modulo='5 ' and horario.turno='T ' ),
    'MARTES '
 );</t>
  </si>
  <si>
    <t>INSERT INTO horario_curso_materia (horario_curso_materia.FK_CUR_mat,horario_curso_materia.FK_HOR,horario_curso_materia.DIA) VALUES (  (SELECT curso_materia.ID_CUR_MAT FROM curso_materia WHERE curso_materia.CUPOF='1913981' ) ,
    (SELECT horario.ID_HOR FROM horario WHERE horario.modulo='1 ' and horario.turno='M ' ),
    'JUEVES '
 );</t>
  </si>
  <si>
    <t>INSERT INTO horario_curso_materia (horario_curso_materia.FK_CUR_mat,horario_curso_materia.FK_HOR,horario_curso_materia.DIA) VALUES (  (SELECT curso_materia.ID_CUR_MAT FROM curso_materia WHERE curso_materia.CUPOF='1913973' ) ,
    (SELECT horario.ID_HOR FROM horario WHERE horario.modulo='1 ' and horario.turno='T ' ),
    'JUEVES '
 );</t>
  </si>
  <si>
    <t>INSERT INTO horario_curso_materia (horario_curso_materia.FK_CUR_mat,horario_curso_materia.FK_HOR,horario_curso_materia.DIA) VALUES (  (SELECT curso_materia.ID_CUR_MAT FROM curso_materia WHERE curso_materia.CUPOF='1913986' ) ,
    (SELECT horario.ID_HOR FROM horario WHERE horario.modulo='1 ' and horario.turno='M ' ),
    'LUNES '
 );</t>
  </si>
  <si>
    <t>INSERT INTO horario_curso_materia (horario_curso_materia.FK_CUR_mat,horario_curso_materia.FK_HOR,horario_curso_materia.DIA) VALUES (  (SELECT curso_materia.ID_CUR_MAT FROM curso_materia WHERE curso_materia.CUPOF='1913994' ) ,
    (SELECT horario.ID_HOR FROM horario WHERE horario.modulo='1 ' and horario.turno='T ' ),
    'LUNES '
 );</t>
  </si>
  <si>
    <t>INSERT INTO horario_curso_materia (horario_curso_materia.FK_CUR_mat,horario_curso_materia.FK_HOR,horario_curso_materia.DIA) VALUES (  (SELECT curso_materia.ID_CUR_MAT FROM curso_materia WHERE curso_materia.CUPOF='1913982' ) ,
    (SELECT horario.ID_HOR FROM horario WHERE horario.modulo='1 ' and horario.turno='M ' ),
    'MARTES '
 );</t>
  </si>
  <si>
    <t>INSERT INTO horario_curso_materia (horario_curso_materia.FK_CUR_mat,horario_curso_materia.FK_HOR,horario_curso_materia.DIA) VALUES (  (SELECT curso_materia.ID_CUR_MAT FROM curso_materia WHERE curso_materia.CUPOF='1913987' ) ,
    (SELECT horario.ID_HOR FROM horario WHERE horario.modulo='1 ' and horario.turno='T ' ),
    'MARTES '
 );</t>
  </si>
  <si>
    <t>INSERT INTO horario_curso_materia (horario_curso_materia.FK_CUR_mat,horario_curso_materia.FK_HOR,horario_curso_materia.DIA) VALUES (  (SELECT curso_materia.ID_CUR_MAT FROM curso_materia WHERE curso_materia.CUPOF='1914002' ) ,
    (SELECT horario.ID_HOR FROM horario WHERE horario.modulo='1 ' and horario.turno='T ' ),
    'MARTES '
 );</t>
  </si>
  <si>
    <t>INSERT INTO horario_curso_materia (horario_curso_materia.FK_CUR_mat,horario_curso_materia.FK_HOR,horario_curso_materia.DIA) VALUES (  (SELECT curso_materia.ID_CUR_MAT FROM curso_materia WHERE curso_materia.CUPOF='1913983' ) ,
    (SELECT horario.ID_HOR FROM horario WHERE horario.modulo='1 ' and horario.turno='M ' ),
    'MIERCOLES '
 );</t>
  </si>
  <si>
    <t>INSERT INTO horario_curso_materia (horario_curso_materia.FK_CUR_mat,horario_curso_materia.FK_HOR,horario_curso_materia.DIA) VALUES (  (SELECT curso_materia.ID_CUR_MAT FROM curso_materia WHERE curso_materia.CUPOF='1913986' ) ,
    (SELECT horario.ID_HOR FROM horario WHERE horario.modulo='1 ' and horario.turno='M ' ),
    'VIERNES '
 );</t>
  </si>
  <si>
    <t>INSERT INTO horario_curso_materia (horario_curso_materia.FK_CUR_mat,horario_curso_materia.FK_HOR,horario_curso_materia.DIA) VALUES (  (SELECT curso_materia.ID_CUR_MAT FROM curso_materia WHERE curso_materia.CUPOF='1913991' ) ,
    (SELECT horario.ID_HOR FROM horario WHERE horario.modulo='1 ' and horario.turno='T ' ),
    'VIERNES '
 );</t>
  </si>
  <si>
    <t>INSERT INTO horario_curso_materia (horario_curso_materia.FK_CUR_mat,horario_curso_materia.FK_HOR,horario_curso_materia.DIA) VALUES (  (SELECT curso_materia.ID_CUR_MAT FROM curso_materia WHERE curso_materia.CUPOF='1914000' ) ,
    (SELECT horario.ID_HOR FROM horario WHERE horario.modulo='1 ' and horario.turno='V ' ),
    'MIERCOLES '
 );</t>
  </si>
  <si>
    <t>INSERT INTO horario_curso_materia (horario_curso_materia.FK_CUR_mat,horario_curso_materia.FK_HOR,horario_curso_materia.DIA) VALUES (  (SELECT curso_materia.ID_CUR_MAT FROM curso_materia WHERE curso_materia.CUPOF='1913981' ) ,
    (SELECT horario.ID_HOR FROM horario WHERE horario.modulo='2 ' and horario.turno='M ' ),
    'JUEVES '
 );</t>
  </si>
  <si>
    <t>INSERT INTO horario_curso_materia (horario_curso_materia.FK_CUR_mat,horario_curso_materia.FK_HOR,horario_curso_materia.DIA) VALUES (  (SELECT curso_materia.ID_CUR_MAT FROM curso_materia WHERE curso_materia.CUPOF='1913973' ) ,
    (SELECT horario.ID_HOR FROM horario WHERE horario.modulo='2 ' and horario.turno='T ' ),
    'JUEVES '
 );</t>
  </si>
  <si>
    <t>INSERT INTO horario_curso_materia (horario_curso_materia.FK_CUR_mat,horario_curso_materia.FK_HOR,horario_curso_materia.DIA) VALUES (  (SELECT curso_materia.ID_CUR_MAT FROM curso_materia WHERE curso_materia.CUPOF='1913986' ) ,
    (SELECT horario.ID_HOR FROM horario WHERE horario.modulo='2 ' and horario.turno='M ' ),
    'LUNES '
 );</t>
  </si>
  <si>
    <t>INSERT INTO horario_curso_materia (horario_curso_materia.FK_CUR_mat,horario_curso_materia.FK_HOR,horario_curso_materia.DIA) VALUES (  (SELECT curso_materia.ID_CUR_MAT FROM curso_materia WHERE curso_materia.CUPOF='1913994' ) ,
    (SELECT horario.ID_HOR FROM horario WHERE horario.modulo='2 ' and horario.turno='T ' ),
    'LUNES '
 );</t>
  </si>
  <si>
    <t>INSERT INTO horario_curso_materia (horario_curso_materia.FK_CUR_mat,horario_curso_materia.FK_HOR,horario_curso_materia.DIA) VALUES (  (SELECT curso_materia.ID_CUR_MAT FROM curso_materia WHERE curso_materia.CUPOF='1913982' ) ,
    (SELECT horario.ID_HOR FROM horario WHERE horario.modulo='2 ' and horario.turno='M ' ),
    'MARTES '
 );</t>
  </si>
  <si>
    <t>INSERT INTO horario_curso_materia (horario_curso_materia.FK_CUR_mat,horario_curso_materia.FK_HOR,horario_curso_materia.DIA) VALUES (  (SELECT curso_materia.ID_CUR_MAT FROM curso_materia WHERE curso_materia.CUPOF='1913987' ) ,
    (SELECT horario.ID_HOR FROM horario WHERE horario.modulo='2 ' and horario.turno='T ' ),
    'MARTES '
 );</t>
  </si>
  <si>
    <t>INSERT INTO horario_curso_materia (horario_curso_materia.FK_CUR_mat,horario_curso_materia.FK_HOR,horario_curso_materia.DIA) VALUES (  (SELECT curso_materia.ID_CUR_MAT FROM curso_materia WHERE curso_materia.CUPOF='1914002' ) ,
    (SELECT horario.ID_HOR FROM horario WHERE horario.modulo='2 ' and horario.turno='T ' ),
    'MARTES '
 );</t>
  </si>
  <si>
    <t>INSERT INTO horario_curso_materia (horario_curso_materia.FK_CUR_mat,horario_curso_materia.FK_HOR,horario_curso_materia.DIA) VALUES (  (SELECT curso_materia.ID_CUR_MAT FROM curso_materia WHERE curso_materia.CUPOF='1913983' ) ,
    (SELECT horario.ID_HOR FROM horario WHERE horario.modulo='2 ' and horario.turno='M ' ),
    'MIERCOLES '
 );</t>
  </si>
  <si>
    <t>INSERT INTO horario_curso_materia (horario_curso_materia.FK_CUR_mat,horario_curso_materia.FK_HOR,horario_curso_materia.DIA) VALUES (  (SELECT curso_materia.ID_CUR_MAT FROM curso_materia WHERE curso_materia.CUPOF='1913986' ) ,
    (SELECT horario.ID_HOR FROM horario WHERE horario.modulo='2 ' and horario.turno='M ' ),
    'VIERNES '
 );</t>
  </si>
  <si>
    <t>INSERT INTO horario_curso_materia (horario_curso_materia.FK_CUR_mat,horario_curso_materia.FK_HOR,horario_curso_materia.DIA) VALUES (  (SELECT curso_materia.ID_CUR_MAT FROM curso_materia WHERE curso_materia.CUPOF='1913991' ) ,
    (SELECT horario.ID_HOR FROM horario WHERE horario.modulo='2 ' and horario.turno='T ' ),
    'VIERNES '
 );</t>
  </si>
  <si>
    <t>INSERT INTO horario_curso_materia (horario_curso_materia.FK_CUR_mat,horario_curso_materia.FK_HOR,horario_curso_materia.DIA) VALUES (  (SELECT curso_materia.ID_CUR_MAT FROM curso_materia WHERE curso_materia.CUPOF='1914000' ) ,
    (SELECT horario.ID_HOR FROM horario WHERE horario.modulo='2 ' and horario.turno='V ' ),
    'MIERCOLES '
 );</t>
  </si>
  <si>
    <t>INSERT INTO horario_curso_materia (horario_curso_materia.FK_CUR_mat,horario_curso_materia.FK_HOR,horario_curso_materia.DIA) VALUES (  (SELECT curso_materia.ID_CUR_MAT FROM curso_materia WHERE curso_materia.CUPOF='1913965' ) ,
    (SELECT horario.ID_HOR FROM horario WHERE horario.modulo='3 ' and horario.turno='M ' ),
    'JUEVES '
 );</t>
  </si>
  <si>
    <t>INSERT INTO horario_curso_materia (horario_curso_materia.FK_CUR_mat,horario_curso_materia.FK_HOR,horario_curso_materia.DIA) VALUES (  (SELECT curso_materia.ID_CUR_MAT FROM curso_materia WHERE curso_materia.CUPOF='1913974' ) ,
    (SELECT horario.ID_HOR FROM horario WHERE horario.modulo='3 ' and horario.turno='M ' ),
    'LUNES '
 );</t>
  </si>
  <si>
    <t>INSERT INTO horario_curso_materia (horario_curso_materia.FK_CUR_mat,horario_curso_materia.FK_HOR,horario_curso_materia.DIA) VALUES (  (SELECT curso_materia.ID_CUR_MAT FROM curso_materia WHERE curso_materia.CUPOF='1913969' ) ,
    (SELECT horario.ID_HOR FROM horario WHERE horario.modulo='3 ' and horario.turno='M ' ),
    'MARTES '
 );</t>
  </si>
  <si>
    <t>INSERT INTO horario_curso_materia (horario_curso_materia.FK_CUR_mat,horario_curso_materia.FK_HOR,horario_curso_materia.DIA) VALUES (  (SELECT curso_materia.ID_CUR_MAT FROM curso_materia WHERE curso_materia.CUPOF='1914002' ) ,
    (SELECT horario.ID_HOR FROM horario WHERE horario.modulo='3 ' and horario.turno='T ' ),
    'MARTES '
 );</t>
  </si>
  <si>
    <t>INSERT INTO horario_curso_materia (horario_curso_materia.FK_CUR_mat,horario_curso_materia.FK_HOR,horario_curso_materia.DIA) VALUES (  (SELECT curso_materia.ID_CUR_MAT FROM curso_materia WHERE curso_materia.CUPOF='1913979' ) ,
    (SELECT horario.ID_HOR FROM horario WHERE horario.modulo='3 ' and horario.turno='M ' ),
    'MIERCOLES '
 );</t>
  </si>
  <si>
    <t>INSERT INTO horario_curso_materia (horario_curso_materia.FK_CUR_mat,horario_curso_materia.FK_HOR,horario_curso_materia.DIA) VALUES (  (SELECT curso_materia.ID_CUR_MAT FROM curso_materia WHERE curso_materia.CUPOF='1913939' ) ,
    (SELECT horario.ID_HOR FROM horario WHERE horario.modulo='3 ' and horario.turno='M ' ),
    'VIERNES '
 );</t>
  </si>
  <si>
    <t>INSERT INTO horario_curso_materia (horario_curso_materia.FK_CUR_mat,horario_curso_materia.FK_HOR,horario_curso_materia.DIA) VALUES (  (SELECT curso_materia.ID_CUR_MAT FROM curso_materia WHERE curso_materia.CUPOF='1913997' ) ,
    (SELECT horario.ID_HOR FROM horario WHERE horario.modulo='3 ' and horario.turno='T ' ),
    'VIERNES '
 );</t>
  </si>
  <si>
    <t>INSERT INTO horario_curso_materia (horario_curso_materia.FK_CUR_mat,horario_curso_materia.FK_HOR,horario_curso_materia.DIA) VALUES (  (SELECT curso_materia.ID_CUR_MAT FROM curso_materia WHERE curso_materia.CUPOF='1914000' ) ,
    (SELECT horario.ID_HOR FROM horario WHERE horario.modulo='3 ' and horario.turno='V ' ),
    'MIERCOLES '
 );</t>
  </si>
  <si>
    <t>INSERT INTO horario_curso_materia (horario_curso_materia.FK_CUR_mat,horario_curso_materia.FK_HOR,horario_curso_materia.DIA) VALUES (  (SELECT curso_materia.ID_CUR_MAT FROM curso_materia WHERE curso_materia.CUPOF='1913965' ) ,
    (SELECT horario.ID_HOR FROM horario WHERE horario.modulo='4 ' and horario.turno='M ' ),
    'JUEVES '
 );</t>
  </si>
  <si>
    <t>INSERT INTO horario_curso_materia (horario_curso_materia.FK_CUR_mat,horario_curso_materia.FK_HOR,horario_curso_materia.DIA) VALUES (  (SELECT curso_materia.ID_CUR_MAT FROM curso_materia WHERE curso_materia.CUPOF='1913974' ) ,
    (SELECT horario.ID_HOR FROM horario WHERE horario.modulo='4 ' and horario.turno='M ' ),
    'LUNES '
 );</t>
  </si>
  <si>
    <t>INSERT INTO horario_curso_materia (horario_curso_materia.FK_CUR_mat,horario_curso_materia.FK_HOR,horario_curso_materia.DIA) VALUES (  (SELECT curso_materia.ID_CUR_MAT FROM curso_materia WHERE curso_materia.CUPOF='1913969' ) ,
    (SELECT horario.ID_HOR FROM horario WHERE horario.modulo='4 ' and horario.turno='M ' ),
    'MARTES '
 );</t>
  </si>
  <si>
    <t>INSERT INTO horario_curso_materia (horario_curso_materia.FK_CUR_mat,horario_curso_materia.FK_HOR,horario_curso_materia.DIA) VALUES (  (SELECT curso_materia.ID_CUR_MAT FROM curso_materia WHERE curso_materia.CUPOF='1914002' ) ,
    (SELECT horario.ID_HOR FROM horario WHERE horario.modulo='4 ' and horario.turno='T ' ),
    'MARTES '
 );</t>
  </si>
  <si>
    <t>INSERT INTO horario_curso_materia (horario_curso_materia.FK_CUR_mat,horario_curso_materia.FK_HOR,horario_curso_materia.DIA) VALUES (  (SELECT curso_materia.ID_CUR_MAT FROM curso_materia WHERE curso_materia.CUPOF='1913979' ) ,
    (SELECT horario.ID_HOR FROM horario WHERE horario.modulo='4 ' and horario.turno='M ' ),
    'MIERCOLES '
 );</t>
  </si>
  <si>
    <t>INSERT INTO horario_curso_materia (horario_curso_materia.FK_CUR_mat,horario_curso_materia.FK_HOR,horario_curso_materia.DIA) VALUES (  (SELECT curso_materia.ID_CUR_MAT FROM curso_materia WHERE curso_materia.CUPOF='1913939' ) ,
    (SELECT horario.ID_HOR FROM horario WHERE horario.modulo='4 ' and horario.turno='M ' ),
    'VIERNES '
 );</t>
  </si>
  <si>
    <t>INSERT INTO horario_curso_materia (horario_curso_materia.FK_CUR_mat,horario_curso_materia.FK_HOR,horario_curso_materia.DIA) VALUES (  (SELECT curso_materia.ID_CUR_MAT FROM curso_materia WHERE curso_materia.CUPOF='1913997' ) ,
    (SELECT horario.ID_HOR FROM horario WHERE horario.modulo='4 ' and horario.turno='T ' ),
    'VIERNES '
 );</t>
  </si>
  <si>
    <t>INSERT INTO horario_curso_materia (horario_curso_materia.FK_CUR_mat,horario_curso_materia.FK_HOR,horario_curso_materia.DIA) VALUES (  (SELECT curso_materia.ID_CUR_MAT FROM curso_materia WHERE curso_materia.CUPOF='1914000' ) ,
    (SELECT horario.ID_HOR FROM horario WHERE horario.modulo='4 ' and horario.turno='V ' ),
    'MIERCOLES '
 );</t>
  </si>
  <si>
    <t>INSERT INTO horario_curso_materia (horario_curso_materia.FK_CUR_mat,horario_curso_materia.FK_HOR,horario_curso_materia.DIA) VALUES (  (SELECT curso_materia.ID_CUR_MAT FROM curso_materia WHERE curso_materia.CUPOF='1913983' ) ,
    (SELECT horario.ID_HOR FROM horario WHERE horario.modulo='5 ' and horario.turno='M ' ),
    'JUEVES '
 );</t>
  </si>
  <si>
    <t>INSERT INTO horario_curso_materia (horario_curso_materia.FK_CUR_mat,horario_curso_materia.FK_HOR,horario_curso_materia.DIA) VALUES (  (SELECT curso_materia.ID_CUR_MAT FROM curso_materia WHERE curso_materia.CUPOF='1913983' ) ,
    (SELECT horario.ID_HOR FROM horario WHERE horario.modulo='5 ' and horario.turno='M ' ),
    'MIERCOLES '
 );</t>
  </si>
  <si>
    <t>INSERT INTO horario_curso_materia (horario_curso_materia.FK_CUR_mat,horario_curso_materia.FK_HOR,horario_curso_materia.DIA) VALUES (  (SELECT curso_materia.ID_CUR_MAT FROM curso_materia WHERE curso_materia.CUPOF='1492042' ) ,
    (SELECT horario.ID_HOR FROM horario WHERE horario.modulo='1 ' and horario.turno='T ' ),
    'JUEVES '
 );</t>
  </si>
  <si>
    <t>INSERT INTO horario_curso_materia (horario_curso_materia.FK_CUR_mat,horario_curso_materia.FK_HOR,horario_curso_materia.DIA) VALUES (  (SELECT curso_materia.ID_CUR_MAT FROM curso_materia WHERE curso_materia.CUPOF='2683087' ) ,
    (SELECT horario.ID_HOR FROM horario WHERE horario.modulo='1 ' and horario.turno='V ' ),
    'JUEVES '
 );</t>
  </si>
  <si>
    <t>INSERT INTO horario_curso_materia (horario_curso_materia.FK_CUR_mat,horario_curso_materia.FK_HOR,horario_curso_materia.DIA) VALUES (  (SELECT curso_materia.ID_CUR_MAT FROM curso_materia WHERE curso_materia.CUPOF='2683084' ) ,
    (SELECT horario.ID_HOR FROM horario WHERE horario.modulo='1 ' and horario.turno='M ' ),
    'LUNES '
 );</t>
  </si>
  <si>
    <t>INSERT INTO horario_curso_materia (horario_curso_materia.FK_CUR_mat,horario_curso_materia.FK_HOR,horario_curso_materia.DIA) VALUES (  (SELECT curso_materia.ID_CUR_MAT FROM curso_materia WHERE curso_materia.CUPOF='1492277' ) ,
    (SELECT horario.ID_HOR FROM horario WHERE horario.modulo='1 ' and horario.turno='T ' ),
    'LUNES '
 );</t>
  </si>
  <si>
    <t>INSERT INTO horario_curso_materia (horario_curso_materia.FK_CUR_mat,horario_curso_materia.FK_HOR,horario_curso_materia.DIA) VALUES (  (SELECT curso_materia.ID_CUR_MAT FROM curso_materia WHERE curso_materia.CUPOF='2683083' ) ,
    (SELECT horario.ID_HOR FROM horario WHERE horario.modulo='1 ' and horario.turno='M ' ),
    'MARTES '
 );</t>
  </si>
  <si>
    <t>INSERT INTO horario_curso_materia (horario_curso_materia.FK_CUR_mat,horario_curso_materia.FK_HOR,horario_curso_materia.DIA) VALUES (  (SELECT curso_materia.ID_CUR_MAT FROM curso_materia WHERE curso_materia.CUPOF='1492035' ) ,
    (SELECT horario.ID_HOR FROM horario WHERE horario.modulo='1 ' and horario.turno='T ' ),
    'MARTES '
 );</t>
  </si>
  <si>
    <t>INSERT INTO horario_curso_materia (horario_curso_materia.FK_CUR_mat,horario_curso_materia.FK_HOR,horario_curso_materia.DIA) VALUES (  (SELECT curso_materia.ID_CUR_MAT FROM curso_materia WHERE curso_materia.CUPOF='2683085' ) ,
    (SELECT horario.ID_HOR FROM horario WHERE horario.modulo='1 ' and horario.turno='M ' ),
    'MIERCOLES '
 );</t>
  </si>
  <si>
    <t>INSERT INTO horario_curso_materia (horario_curso_materia.FK_CUR_mat,horario_curso_materia.FK_HOR,horario_curso_materia.DIA) VALUES (  (SELECT curso_materia.ID_CUR_MAT FROM curso_materia WHERE curso_materia.CUPOF='1492087' ) ,
    (SELECT horario.ID_HOR FROM horario WHERE horario.modulo='1 ' and horario.turno='T ' ),
    'MIERCOLES '
 );</t>
  </si>
  <si>
    <t>INSERT INTO horario_curso_materia (horario_curso_materia.FK_CUR_mat,horario_curso_materia.FK_HOR,horario_curso_materia.DIA) VALUES (  (SELECT curso_materia.ID_CUR_MAT FROM curso_materia WHERE curso_materia.CUPOF='1492069' ) ,
    (SELECT horario.ID_HOR FROM horario WHERE horario.modulo='1 ' and horario.turno='T ' ),
    'VIERNES '
 );</t>
  </si>
  <si>
    <t>INSERT INTO horario_curso_materia (horario_curso_materia.FK_CUR_mat,horario_curso_materia.FK_HOR,horario_curso_materia.DIA) VALUES (  (SELECT curso_materia.ID_CUR_MAT FROM curso_materia WHERE curso_materia.CUPOF='1492042' ) ,
    (SELECT horario.ID_HOR FROM horario WHERE horario.modulo='2 ' and horario.turno='T ' ),
    'JUEVES '
 );</t>
  </si>
  <si>
    <t>INSERT INTO horario_curso_materia (horario_curso_materia.FK_CUR_mat,horario_curso_materia.FK_HOR,horario_curso_materia.DIA) VALUES (  (SELECT curso_materia.ID_CUR_MAT FROM curso_materia WHERE curso_materia.CUPOF='2683087' ) ,
    (SELECT horario.ID_HOR FROM horario WHERE horario.modulo='2 ' and horario.turno='V ' ),
    'JUEVES '
 );</t>
  </si>
  <si>
    <t>INSERT INTO horario_curso_materia (horario_curso_materia.FK_CUR_mat,horario_curso_materia.FK_HOR,horario_curso_materia.DIA) VALUES (  (SELECT curso_materia.ID_CUR_MAT FROM curso_materia WHERE curso_materia.CUPOF='2683084' ) ,
    (SELECT horario.ID_HOR FROM horario WHERE horario.modulo='2 ' and horario.turno='M ' ),
    'LUNES '
 );</t>
  </si>
  <si>
    <t>INSERT INTO horario_curso_materia (horario_curso_materia.FK_CUR_mat,horario_curso_materia.FK_HOR,horario_curso_materia.DIA) VALUES (  (SELECT curso_materia.ID_CUR_MAT FROM curso_materia WHERE curso_materia.CUPOF='1492277' ) ,
    (SELECT horario.ID_HOR FROM horario WHERE horario.modulo='2 ' and horario.turno='T ' ),
    'LUNES '
 );</t>
  </si>
  <si>
    <t>INSERT INTO horario_curso_materia (horario_curso_materia.FK_CUR_mat,horario_curso_materia.FK_HOR,horario_curso_materia.DIA) VALUES (  (SELECT curso_materia.ID_CUR_MAT FROM curso_materia WHERE curso_materia.CUPOF='2683083' ) ,
    (SELECT horario.ID_HOR FROM horario WHERE horario.modulo='2 ' and horario.turno='M ' ),
    'MARTES '
 );</t>
  </si>
  <si>
    <t>INSERT INTO horario_curso_materia (horario_curso_materia.FK_CUR_mat,horario_curso_materia.FK_HOR,horario_curso_materia.DIA) VALUES (  (SELECT curso_materia.ID_CUR_MAT FROM curso_materia WHERE curso_materia.CUPOF='1492035' ) ,
    (SELECT horario.ID_HOR FROM horario WHERE horario.modulo='2 ' and horario.turno='T ' ),
    'MARTES '
 );</t>
  </si>
  <si>
    <t>INSERT INTO horario_curso_materia (horario_curso_materia.FK_CUR_mat,horario_curso_materia.FK_HOR,horario_curso_materia.DIA) VALUES (  (SELECT curso_materia.ID_CUR_MAT FROM curso_materia WHERE curso_materia.CUPOF='2683085' ) ,
    (SELECT horario.ID_HOR FROM horario WHERE horario.modulo='2 ' and horario.turno='M ' ),
    'MIERCOLES '
 );</t>
  </si>
  <si>
    <t>INSERT INTO horario_curso_materia (horario_curso_materia.FK_CUR_mat,horario_curso_materia.FK_HOR,horario_curso_materia.DIA) VALUES (  (SELECT curso_materia.ID_CUR_MAT FROM curso_materia WHERE curso_materia.CUPOF='1492087' ) ,
    (SELECT horario.ID_HOR FROM horario WHERE horario.modulo='2 ' and horario.turno='T ' ),
    'MIERCOLES '
 );</t>
  </si>
  <si>
    <t>INSERT INTO horario_curso_materia (horario_curso_materia.FK_CUR_mat,horario_curso_materia.FK_HOR,horario_curso_materia.DIA) VALUES (  (SELECT curso_materia.ID_CUR_MAT FROM curso_materia WHERE curso_materia.CUPOF='1492069' ) ,
    (SELECT horario.ID_HOR FROM horario WHERE horario.modulo='2 ' and horario.turno='T ' ),
    'VIERNES '
 );</t>
  </si>
  <si>
    <t>INSERT INTO horario_curso_materia (horario_curso_materia.FK_CUR_mat,horario_curso_materia.FK_HOR,horario_curso_materia.DIA) VALUES (  (SELECT curso_materia.ID_CUR_MAT FROM curso_materia WHERE curso_materia.CUPOF='1492005' ) ,
    (SELECT horario.ID_HOR FROM horario WHERE horario.modulo='3 ' and horario.turno='T ' ),
    'JUEVES '
 );</t>
  </si>
  <si>
    <t>INSERT INTO horario_curso_materia (horario_curso_materia.FK_CUR_mat,horario_curso_materia.FK_HOR,horario_curso_materia.DIA) VALUES (  (SELECT curso_materia.ID_CUR_MAT FROM curso_materia WHERE curso_materia.CUPOF='2683087' ) ,
    (SELECT horario.ID_HOR FROM horario WHERE horario.modulo='3 ' and horario.turno='V ' ),
    'JUEVES '
 );</t>
  </si>
  <si>
    <t>INSERT INTO horario_curso_materia (horario_curso_materia.FK_CUR_mat,horario_curso_materia.FK_HOR,horario_curso_materia.DIA) VALUES (  (SELECT curso_materia.ID_CUR_MAT FROM curso_materia WHERE curso_materia.CUPOF='2683084' ) ,
    (SELECT horario.ID_HOR FROM horario WHERE horario.modulo='3 ' and horario.turno='M ' ),
    'LUNES '
 );</t>
  </si>
  <si>
    <t>INSERT INTO horario_curso_materia (horario_curso_materia.FK_CUR_mat,horario_curso_materia.FK_HOR,horario_curso_materia.DIA) VALUES (  (SELECT curso_materia.ID_CUR_MAT FROM curso_materia WHERE curso_materia.CUPOF='2683088' ) ,
    (SELECT horario.ID_HOR FROM horario WHERE horario.modulo='3 ' and horario.turno='M ' ),
    'LUNES '
 );</t>
  </si>
  <si>
    <t>INSERT INTO horario_curso_materia (horario_curso_materia.FK_CUR_mat,horario_curso_materia.FK_HOR,horario_curso_materia.DIA) VALUES (  (SELECT curso_materia.ID_CUR_MAT FROM curso_materia WHERE curso_materia.CUPOF='1492042' ) ,
    (SELECT horario.ID_HOR FROM horario WHERE horario.modulo='3 ' and horario.turno='T ' ),
    'LUNES '
 );</t>
  </si>
  <si>
    <t>INSERT INTO horario_curso_materia (horario_curso_materia.FK_CUR_mat,horario_curso_materia.FK_HOR,horario_curso_materia.DIA) VALUES (  (SELECT curso_materia.ID_CUR_MAT FROM curso_materia WHERE curso_materia.CUPOF='2683086' ) ,
    (SELECT horario.ID_HOR FROM horario WHERE horario.modulo='3 ' and horario.turno='M ' ),
    'MARTES '
 );</t>
  </si>
  <si>
    <t>INSERT INTO horario_curso_materia (horario_curso_materia.FK_CUR_mat,horario_curso_materia.FK_HOR,horario_curso_materia.DIA) VALUES (  (SELECT curso_materia.ID_CUR_MAT FROM curso_materia WHERE curso_materia.CUPOF='1492045' ) ,
    (SELECT horario.ID_HOR FROM horario WHERE horario.modulo='3 ' and horario.turno='T ' ),
    'MARTES '
 );</t>
  </si>
  <si>
    <t>INSERT INTO horario_curso_materia (horario_curso_materia.FK_CUR_mat,horario_curso_materia.FK_HOR,horario_curso_materia.DIA) VALUES (  (SELECT curso_materia.ID_CUR_MAT FROM curso_materia WHERE curso_materia.CUPOF='1492060' ) ,
    (SELECT horario.ID_HOR FROM horario WHERE horario.modulo='3 ' and horario.turno='M ' ),
    'MIERCOLES '
 );</t>
  </si>
  <si>
    <t>INSERT INTO horario_curso_materia (horario_curso_materia.FK_CUR_mat,horario_curso_materia.FK_HOR,horario_curso_materia.DIA) VALUES (  (SELECT curso_materia.ID_CUR_MAT FROM curso_materia WHERE curso_materia.CUPOF='1492270' ) ,
    (SELECT horario.ID_HOR FROM horario WHERE horario.modulo='3 ' and horario.turno='T ' ),
    'MIERCOLES '
 );</t>
  </si>
  <si>
    <t>INSERT INTO horario_curso_materia (horario_curso_materia.FK_CUR_mat,horario_curso_materia.FK_HOR,horario_curso_materia.DIA) VALUES (  (SELECT curso_materia.ID_CUR_MAT FROM curso_materia WHERE curso_materia.CUPOF='1492035' ) ,
    (SELECT horario.ID_HOR FROM horario WHERE horario.modulo='3 ' and horario.turno='T ' ),
    'VIERNES '
 );</t>
  </si>
  <si>
    <t>INSERT INTO horario_curso_materia (horario_curso_materia.FK_CUR_mat,horario_curso_materia.FK_HOR,horario_curso_materia.DIA) VALUES (  (SELECT curso_materia.ID_CUR_MAT FROM curso_materia WHERE curso_materia.CUPOF='1492005' ) ,
    (SELECT horario.ID_HOR FROM horario WHERE horario.modulo='4 ' and horario.turno='T ' ),
    'JUEVES '
 );</t>
  </si>
  <si>
    <t>INSERT INTO horario_curso_materia (horario_curso_materia.FK_CUR_mat,horario_curso_materia.FK_HOR,horario_curso_materia.DIA) VALUES (  (SELECT curso_materia.ID_CUR_MAT FROM curso_materia WHERE curso_materia.CUPOF='2683087' ) ,
    (SELECT horario.ID_HOR FROM horario WHERE horario.modulo='4 ' and horario.turno='V ' ),
    'JUEVES '
 );</t>
  </si>
  <si>
    <t>INSERT INTO horario_curso_materia (horario_curso_materia.FK_CUR_mat,horario_curso_materia.FK_HOR,horario_curso_materia.DIA) VALUES (  (SELECT curso_materia.ID_CUR_MAT FROM curso_materia WHERE curso_materia.CUPOF='2683084' ) ,
    (SELECT horario.ID_HOR FROM horario WHERE horario.modulo='4 ' and horario.turno='M ' ),
    'LUNES '
 );</t>
  </si>
  <si>
    <t>INSERT INTO horario_curso_materia (horario_curso_materia.FK_CUR_mat,horario_curso_materia.FK_HOR,horario_curso_materia.DIA) VALUES (  (SELECT curso_materia.ID_CUR_MAT FROM curso_materia WHERE curso_materia.CUPOF='2683088' ) ,
    (SELECT horario.ID_HOR FROM horario WHERE horario.modulo='4 ' and horario.turno='M ' ),
    'LUNES '
 );</t>
  </si>
  <si>
    <t>INSERT INTO horario_curso_materia (horario_curso_materia.FK_CUR_mat,horario_curso_materia.FK_HOR,horario_curso_materia.DIA) VALUES (  (SELECT curso_materia.ID_CUR_MAT FROM curso_materia WHERE curso_materia.CUPOF='1492042' ) ,
    (SELECT horario.ID_HOR FROM horario WHERE horario.modulo='4 ' and horario.turno='T ' ),
    'LUNES '
 );</t>
  </si>
  <si>
    <t>INSERT INTO horario_curso_materia (horario_curso_materia.FK_CUR_mat,horario_curso_materia.FK_HOR,horario_curso_materia.DIA) VALUES (  (SELECT curso_materia.ID_CUR_MAT FROM curso_materia WHERE curso_materia.CUPOF='2683086' ) ,
    (SELECT horario.ID_HOR FROM horario WHERE horario.modulo='4 ' and horario.turno='M ' ),
    'MARTES '
 );</t>
  </si>
  <si>
    <t>INSERT INTO horario_curso_materia (horario_curso_materia.FK_CUR_mat,horario_curso_materia.FK_HOR,horario_curso_materia.DIA) VALUES (  (SELECT curso_materia.ID_CUR_MAT FROM curso_materia WHERE curso_materia.CUPOF='1492045' ) ,
    (SELECT horario.ID_HOR FROM horario WHERE horario.modulo='4 ' and horario.turno='T ' ),
    'MARTES '
 );</t>
  </si>
  <si>
    <t>INSERT INTO horario_curso_materia (horario_curso_materia.FK_CUR_mat,horario_curso_materia.FK_HOR,horario_curso_materia.DIA) VALUES (  (SELECT curso_materia.ID_CUR_MAT FROM curso_materia WHERE curso_materia.CUPOF='1492060' ) ,
    (SELECT horario.ID_HOR FROM horario WHERE horario.modulo='4 ' and horario.turno='M ' ),
    'MIERCOLES '
 );</t>
  </si>
  <si>
    <t>INSERT INTO horario_curso_materia (horario_curso_materia.FK_CUR_mat,horario_curso_materia.FK_HOR,horario_curso_materia.DIA) VALUES (  (SELECT curso_materia.ID_CUR_MAT FROM curso_materia WHERE curso_materia.CUPOF='1492270' ) ,
    (SELECT horario.ID_HOR FROM horario WHERE horario.modulo='4 ' and horario.turno='T ' ),
    'MIERCOLES '
 );</t>
  </si>
  <si>
    <t>INSERT INTO horario_curso_materia (horario_curso_materia.FK_CUR_mat,horario_curso_materia.FK_HOR,horario_curso_materia.DIA) VALUES (  (SELECT curso_materia.ID_CUR_MAT FROM curso_materia WHERE curso_materia.CUPOF='1492035' ) ,
    (SELECT horario.ID_HOR FROM horario WHERE horario.modulo='4 ' and horario.turno='T ' ),
    'VIERNES '
 );</t>
  </si>
  <si>
    <t>INSERT INTO horario_curso_materia (horario_curso_materia.FK_CUR_mat,horario_curso_materia.FK_HOR,horario_curso_materia.DIA) VALUES (  (SELECT curso_materia.ID_CUR_MAT FROM curso_materia WHERE curso_materia.CUPOF='1492267' ) ,
    (SELECT horario.ID_HOR FROM horario WHERE horario.modulo='prehora ' and horario.turno='T ' ),
    'MARTES '
 );</t>
  </si>
  <si>
    <t>INSERT INTO horario_curso_materia (horario_curso_materia.FK_CUR_mat,horario_curso_materia.FK_HOR,horario_curso_materia.DIA) VALUES (  (SELECT curso_materia.ID_CUR_MAT FROM curso_materia WHERE curso_materia.CUPOF='1492267' ) ,
    (SELECT horario.ID_HOR FROM horario WHERE horario.modulo='prehora ' and horario.turno='T ' ),
    'VIERNES '
 );</t>
  </si>
  <si>
    <t>INSERT INTO horario_curso_materia (horario_curso_materia.FK_CUR_mat,horario_curso_materia.FK_HOR,horario_curso_materia.DIA) VALUES (  (SELECT curso_materia.ID_CUR_MAT FROM curso_materia WHERE curso_materia.CUPOF='2232461' ) ,
    (SELECT horario.ID_HOR FROM horario WHERE horario.modulo='1 ' and horario.turno='M ' ),
    'JUEVES '
 );</t>
  </si>
  <si>
    <t>INSERT INTO horario_curso_materia (horario_curso_materia.FK_CUR_mat,horario_curso_materia.FK_HOR,horario_curso_materia.DIA) VALUES (  (SELECT curso_materia.ID_CUR_MAT FROM curso_materia WHERE curso_materia.CUPOF='2232469' ) ,
    (SELECT horario.ID_HOR FROM horario WHERE horario.modulo='1 ' and horario.turno='M ' ),
    'LUNES '
 );</t>
  </si>
  <si>
    <t>INSERT INTO horario_curso_materia (horario_curso_materia.FK_CUR_mat,horario_curso_materia.FK_HOR,horario_curso_materia.DIA) VALUES (  (SELECT curso_materia.ID_CUR_MAT FROM curso_materia WHERE curso_materia.CUPOF='2232477' ) ,
    (SELECT horario.ID_HOR FROM horario WHERE horario.modulo='1 ' and horario.turno='V ' ),
    'LUNES '
 );</t>
  </si>
  <si>
    <t>INSERT INTO horario_curso_materia (horario_curso_materia.FK_CUR_mat,horario_curso_materia.FK_HOR,horario_curso_materia.DIA) VALUES (  (SELECT curso_materia.ID_CUR_MAT FROM curso_materia WHERE curso_materia.CUPOF='2232468' ) ,
    (SELECT horario.ID_HOR FROM horario WHERE horario.modulo='1 ' and horario.turno='M ' ),
    'MARTES '
 );</t>
  </si>
  <si>
    <t>INSERT INTO horario_curso_materia (horario_curso_materia.FK_CUR_mat,horario_curso_materia.FK_HOR,horario_curso_materia.DIA) VALUES (  (SELECT curso_materia.ID_CUR_MAT FROM curso_materia WHERE curso_materia.CUPOF='2232473' ) ,
    (SELECT horario.ID_HOR FROM horario WHERE horario.modulo='1 ' and horario.turno='V ' ),
    'MARTES '
 );</t>
  </si>
  <si>
    <t>INSERT INTO horario_curso_materia (horario_curso_materia.FK_CUR_mat,horario_curso_materia.FK_HOR,horario_curso_materia.DIA) VALUES (  (SELECT curso_materia.ID_CUR_MAT FROM curso_materia WHERE curso_materia.CUPOF='2232463' ) ,
    (SELECT horario.ID_HOR FROM horario WHERE horario.modulo='1 ' and horario.turno='M ' ),
    'MIERCOLES '
 );</t>
  </si>
  <si>
    <t>INSERT INTO horario_curso_materia (horario_curso_materia.FK_CUR_mat,horario_curso_materia.FK_HOR,horario_curso_materia.DIA) VALUES (  (SELECT curso_materia.ID_CUR_MAT FROM curso_materia WHERE curso_materia.CUPOF='2232464' ) ,
    (SELECT horario.ID_HOR FROM horario WHERE horario.modulo='1 ' and horario.turno='T ' ),
    'MIERCOLES '
 );</t>
  </si>
  <si>
    <t>INSERT INTO horario_curso_materia (horario_curso_materia.FK_CUR_mat,horario_curso_materia.FK_HOR,horario_curso_materia.DIA) VALUES (  (SELECT curso_materia.ID_CUR_MAT FROM curso_materia WHERE curso_materia.CUPOF='2232465' ) ,
    (SELECT horario.ID_HOR FROM horario WHERE horario.modulo='1 ' and horario.turno='M ' ),
    'VIERNES '
 );</t>
  </si>
  <si>
    <t>INSERT INTO horario_curso_materia (horario_curso_materia.FK_CUR_mat,horario_curso_materia.FK_HOR,horario_curso_materia.DIA) VALUES (  (SELECT curso_materia.ID_CUR_MAT FROM curso_materia WHERE curso_materia.CUPOF='2232475' ) ,
    (SELECT horario.ID_HOR FROM horario WHERE horario.modulo='1 ' and horario.turno='T ' ),
    'VIERNES '
 );</t>
  </si>
  <si>
    <t>INSERT INTO horario_curso_materia (horario_curso_materia.FK_CUR_mat,horario_curso_materia.FK_HOR,horario_curso_materia.DIA) VALUES (  (SELECT curso_materia.ID_CUR_MAT FROM curso_materia WHERE curso_materia.CUPOF='2232478' ) ,
    (SELECT horario.ID_HOR FROM horario WHERE horario.modulo='1 ' and horario.turno='T ' ),
    'VIERNES '
 );</t>
  </si>
  <si>
    <t>INSERT INTO horario_curso_materia (horario_curso_materia.FK_CUR_mat,horario_curso_materia.FK_HOR,horario_curso_materia.DIA) VALUES (  (SELECT curso_materia.ID_CUR_MAT FROM curso_materia WHERE curso_materia.CUPOF='2232461' ) ,
    (SELECT horario.ID_HOR FROM horario WHERE horario.modulo='2 ' and horario.turno='M ' ),
    'JUEVES '
 );</t>
  </si>
  <si>
    <t>INSERT INTO horario_curso_materia (horario_curso_materia.FK_CUR_mat,horario_curso_materia.FK_HOR,horario_curso_materia.DIA) VALUES (  (SELECT curso_materia.ID_CUR_MAT FROM curso_materia WHERE curso_materia.CUPOF='2232469' ) ,
    (SELECT horario.ID_HOR FROM horario WHERE horario.modulo='2 ' and horario.turno='M ' ),
    'LUNES '
 );</t>
  </si>
  <si>
    <t>INSERT INTO horario_curso_materia (horario_curso_materia.FK_CUR_mat,horario_curso_materia.FK_HOR,horario_curso_materia.DIA) VALUES (  (SELECT curso_materia.ID_CUR_MAT FROM curso_materia WHERE curso_materia.CUPOF='2232477' ) ,
    (SELECT horario.ID_HOR FROM horario WHERE horario.modulo='2 ' and horario.turno='V ' ),
    'LUNES '
 );</t>
  </si>
  <si>
    <t>INSERT INTO horario_curso_materia (horario_curso_materia.FK_CUR_mat,horario_curso_materia.FK_HOR,horario_curso_materia.DIA) VALUES (  (SELECT curso_materia.ID_CUR_MAT FROM curso_materia WHERE curso_materia.CUPOF='2232468' ) ,
    (SELECT horario.ID_HOR FROM horario WHERE horario.modulo='2 ' and horario.turno='M ' ),
    'MARTES '
 );</t>
  </si>
  <si>
    <t>INSERT INTO horario_curso_materia (horario_curso_materia.FK_CUR_mat,horario_curso_materia.FK_HOR,horario_curso_materia.DIA) VALUES (  (SELECT curso_materia.ID_CUR_MAT FROM curso_materia WHERE curso_materia.CUPOF='2232473' ) ,
    (SELECT horario.ID_HOR FROM horario WHERE horario.modulo='2 ' and horario.turno='V ' ),
    'MARTES '
 );</t>
  </si>
  <si>
    <t>INSERT INTO horario_curso_materia (horario_curso_materia.FK_CUR_mat,horario_curso_materia.FK_HOR,horario_curso_materia.DIA) VALUES (  (SELECT curso_materia.ID_CUR_MAT FROM curso_materia WHERE curso_materia.CUPOF='2232463' ) ,
    (SELECT horario.ID_HOR FROM horario WHERE horario.modulo='2 ' and horario.turno='M ' ),
    'MIERCOLES '
 );</t>
  </si>
  <si>
    <t>INSERT INTO horario_curso_materia (horario_curso_materia.FK_CUR_mat,horario_curso_materia.FK_HOR,horario_curso_materia.DIA) VALUES (  (SELECT curso_materia.ID_CUR_MAT FROM curso_materia WHERE curso_materia.CUPOF='2232464' ) ,
    (SELECT horario.ID_HOR FROM horario WHERE horario.modulo='2 ' and horario.turno='T ' ),
    'MIERCOLES '
 );</t>
  </si>
  <si>
    <t>INSERT INTO horario_curso_materia (horario_curso_materia.FK_CUR_mat,horario_curso_materia.FK_HOR,horario_curso_materia.DIA) VALUES (  (SELECT curso_materia.ID_CUR_MAT FROM curso_materia WHERE curso_materia.CUPOF='2232465' ) ,
    (SELECT horario.ID_HOR FROM horario WHERE horario.modulo='2 ' and horario.turno='M ' ),
    'VIERNES '
 );</t>
  </si>
  <si>
    <t>INSERT INTO horario_curso_materia (horario_curso_materia.FK_CUR_mat,horario_curso_materia.FK_HOR,horario_curso_materia.DIA) VALUES (  (SELECT curso_materia.ID_CUR_MAT FROM curso_materia WHERE curso_materia.CUPOF='2232475' ) ,
    (SELECT horario.ID_HOR FROM horario WHERE horario.modulo='2 ' and horario.turno='T ' ),
    'VIERNES '
 );</t>
  </si>
  <si>
    <t>INSERT INTO horario_curso_materia (horario_curso_materia.FK_CUR_mat,horario_curso_materia.FK_HOR,horario_curso_materia.DIA) VALUES (  (SELECT curso_materia.ID_CUR_MAT FROM curso_materia WHERE curso_materia.CUPOF='2232478' ) ,
    (SELECT horario.ID_HOR FROM horario WHERE horario.modulo='2 ' and horario.turno='T ' ),
    'VIERNES '
 );</t>
  </si>
  <si>
    <t>INSERT INTO horario_curso_materia (horario_curso_materia.FK_CUR_mat,horario_curso_materia.FK_HOR,horario_curso_materia.DIA) VALUES (  (SELECT curso_materia.ID_CUR_MAT FROM curso_materia WHERE curso_materia.CUPOF='2232469' ) ,
    (SELECT horario.ID_HOR FROM horario WHERE horario.modulo='3 ' and horario.turno='M ' ),
    'JUEVES '
 );</t>
  </si>
  <si>
    <t>INSERT INTO horario_curso_materia (horario_curso_materia.FK_CUR_mat,horario_curso_materia.FK_HOR,horario_curso_materia.DIA) VALUES (  (SELECT curso_materia.ID_CUR_MAT FROM curso_materia WHERE curso_materia.CUPOF='2232471' ) ,
    (SELECT horario.ID_HOR FROM horario WHERE horario.modulo='3 ' and horario.turno='T ' ),
    'JUEVES '
 );</t>
  </si>
  <si>
    <t>INSERT INTO horario_curso_materia (horario_curso_materia.FK_CUR_mat,horario_curso_materia.FK_HOR,horario_curso_materia.DIA) VALUES (  (SELECT curso_materia.ID_CUR_MAT FROM curso_materia WHERE curso_materia.CUPOF='2232467' ) ,
    (SELECT horario.ID_HOR FROM horario WHERE horario.modulo='3 ' and horario.turno='M ' ),
    'LUNES '
 );</t>
  </si>
  <si>
    <t>INSERT INTO horario_curso_materia (horario_curso_materia.FK_CUR_mat,horario_curso_materia.FK_HOR,horario_curso_materia.DIA) VALUES (  (SELECT curso_materia.ID_CUR_MAT FROM curso_materia WHERE curso_materia.CUPOF='2232477' ) ,
    (SELECT horario.ID_HOR FROM horario WHERE horario.modulo='3 ' and horario.turno='V ' ),
    'LUNES '
 );</t>
  </si>
  <si>
    <t>INSERT INTO horario_curso_materia (horario_curso_materia.FK_CUR_mat,horario_curso_materia.FK_HOR,horario_curso_materia.DIA) VALUES (  (SELECT curso_materia.ID_CUR_MAT FROM curso_materia WHERE curso_materia.CUPOF='2232466' ) ,
    (SELECT horario.ID_HOR FROM horario WHERE horario.modulo='3 ' and horario.turno='M ' ),
    'MARTES '
 );</t>
  </si>
  <si>
    <t>INSERT INTO horario_curso_materia (horario_curso_materia.FK_CUR_mat,horario_curso_materia.FK_HOR,horario_curso_materia.DIA) VALUES (  (SELECT curso_materia.ID_CUR_MAT FROM curso_materia WHERE curso_materia.CUPOF='2232473' ) ,
    (SELECT horario.ID_HOR FROM horario WHERE horario.modulo='3 ' and horario.turno='V ' ),
    'MARTES '
 );</t>
  </si>
  <si>
    <t>INSERT INTO horario_curso_materia (horario_curso_materia.FK_CUR_mat,horario_curso_materia.FK_HOR,horario_curso_materia.DIA) VALUES (  (SELECT curso_materia.ID_CUR_MAT FROM curso_materia WHERE curso_materia.CUPOF='2232470' ) ,
    (SELECT horario.ID_HOR FROM horario WHERE horario.modulo='3 ' and horario.turno='M ' ),
    'MIERCOLES '
 );</t>
  </si>
  <si>
    <t>INSERT INTO horario_curso_materia (horario_curso_materia.FK_CUR_mat,horario_curso_materia.FK_HOR,horario_curso_materia.DIA) VALUES (  (SELECT curso_materia.ID_CUR_MAT FROM curso_materia WHERE curso_materia.CUPOF='2232470' ) ,
    (SELECT horario.ID_HOR FROM horario WHERE horario.modulo='3 ' and horario.turno='M ' ),
    'VIERNES '
 );</t>
  </si>
  <si>
    <t>INSERT INTO horario_curso_materia (horario_curso_materia.FK_CUR_mat,horario_curso_materia.FK_HOR,horario_curso_materia.DIA) VALUES (  (SELECT curso_materia.ID_CUR_MAT FROM curso_materia WHERE curso_materia.CUPOF='2232472' ) ,
    (SELECT horario.ID_HOR FROM horario WHERE horario.modulo='3 ' and horario.turno='T ' ),
    'VIERNES '
 );</t>
  </si>
  <si>
    <t>INSERT INTO horario_curso_materia (horario_curso_materia.FK_CUR_mat,horario_curso_materia.FK_HOR,horario_curso_materia.DIA) VALUES (  (SELECT curso_materia.ID_CUR_MAT FROM curso_materia WHERE curso_materia.CUPOF='2232469' ) ,
    (SELECT horario.ID_HOR FROM horario WHERE horario.modulo='4 ' and horario.turno='M ' ),
    'JUEVES '
 );</t>
  </si>
  <si>
    <t>INSERT INTO horario_curso_materia (horario_curso_materia.FK_CUR_mat,horario_curso_materia.FK_HOR,horario_curso_materia.DIA) VALUES (  (SELECT curso_materia.ID_CUR_MAT FROM curso_materia WHERE curso_materia.CUPOF='2232471' ) ,
    (SELECT horario.ID_HOR FROM horario WHERE horario.modulo='4 ' and horario.turno='T ' ),
    'JUEVES '
 );</t>
  </si>
  <si>
    <t>INSERT INTO horario_curso_materia (horario_curso_materia.FK_CUR_mat,horario_curso_materia.FK_HOR,horario_curso_materia.DIA) VALUES (  (SELECT curso_materia.ID_CUR_MAT FROM curso_materia WHERE curso_materia.CUPOF='2232467' ) ,
    (SELECT horario.ID_HOR FROM horario WHERE horario.modulo='4 ' and horario.turno='M ' ),
    'LUNES '
 );</t>
  </si>
  <si>
    <t>INSERT INTO horario_curso_materia (horario_curso_materia.FK_CUR_mat,horario_curso_materia.FK_HOR,horario_curso_materia.DIA) VALUES (  (SELECT curso_materia.ID_CUR_MAT FROM curso_materia WHERE curso_materia.CUPOF='2232477' ) ,
    (SELECT horario.ID_HOR FROM horario WHERE horario.modulo='4 ' and horario.turno='V ' ),
    'LUNES '
 );</t>
  </si>
  <si>
    <t>INSERT INTO horario_curso_materia (horario_curso_materia.FK_CUR_mat,horario_curso_materia.FK_HOR,horario_curso_materia.DIA) VALUES (  (SELECT curso_materia.ID_CUR_MAT FROM curso_materia WHERE curso_materia.CUPOF='2232466' ) ,
    (SELECT horario.ID_HOR FROM horario WHERE horario.modulo='4 ' and horario.turno='M ' ),
    'MARTES '
 );</t>
  </si>
  <si>
    <t>INSERT INTO horario_curso_materia (horario_curso_materia.FK_CUR_mat,horario_curso_materia.FK_HOR,horario_curso_materia.DIA) VALUES (  (SELECT curso_materia.ID_CUR_MAT FROM curso_materia WHERE curso_materia.CUPOF='2232473' ) ,
    (SELECT horario.ID_HOR FROM horario WHERE horario.modulo='4 ' and horario.turno='V ' ),
    'MARTES '
 );</t>
  </si>
  <si>
    <t>INSERT INTO horario_curso_materia (horario_curso_materia.FK_CUR_mat,horario_curso_materia.FK_HOR,horario_curso_materia.DIA) VALUES (  (SELECT curso_materia.ID_CUR_MAT FROM curso_materia WHERE curso_materia.CUPOF='2232470' ) ,
    (SELECT horario.ID_HOR FROM horario WHERE horario.modulo='4 ' and horario.turno='M ' ),
    'MIERCOLES '
 );</t>
  </si>
  <si>
    <t>INSERT INTO horario_curso_materia (horario_curso_materia.FK_CUR_mat,horario_curso_materia.FK_HOR,horario_curso_materia.DIA) VALUES (  (SELECT curso_materia.ID_CUR_MAT FROM curso_materia WHERE curso_materia.CUPOF='2232470' ) ,
    (SELECT horario.ID_HOR FROM horario WHERE horario.modulo='4 ' and horario.turno='M ' ),
    'VIERNES '
 );</t>
  </si>
  <si>
    <t>INSERT INTO horario_curso_materia (horario_curso_materia.FK_CUR_mat,horario_curso_materia.FK_HOR,horario_curso_materia.DIA) VALUES (  (SELECT curso_materia.ID_CUR_MAT FROM curso_materia WHERE curso_materia.CUPOF='2232472' ) ,
    (SELECT horario.ID_HOR FROM horario WHERE horario.modulo='4 ' and horario.turno='T ' ),
    'VIERNES '
 );</t>
  </si>
  <si>
    <t>INSERT INTO horario_curso_materia (horario_curso_materia.FK_CUR_mat,horario_curso_materia.FK_HOR,horario_curso_materia.DIA) VALUES (  (SELECT curso_materia.ID_CUR_MAT FROM curso_materia WHERE curso_materia.CUPOF='2232462' ) ,
    (SELECT horario.ID_HOR FROM horario WHERE horario.modulo='5 ' and horario.turno='M ' ),
    'MARTES '
 );</t>
  </si>
  <si>
    <t>INSERT INTO horario_curso_materia (horario_curso_materia.FK_CUR_mat,horario_curso_materia.FK_HOR,horario_curso_materia.DIA) VALUES (  (SELECT curso_materia.ID_CUR_MAT FROM curso_materia WHERE curso_materia.CUPOF='2232462' ) ,
    (SELECT horario.ID_HOR FROM horario WHERE horario.modulo='5 ' and horario.turno='M ' ),
    'MIERCOLES '
 );</t>
  </si>
  <si>
    <t>INSERT INTO horario_curso_materia (horario_curso_materia.FK_CUR_mat,horario_curso_materia.FK_HOR,horario_curso_materia.DIA) VALUES (  (SELECT curso_materia.ID_CUR_MAT FROM curso_materia WHERE curso_materia.CUPOF='1517051' ) ,
    (SELECT horario.ID_HOR FROM horario WHERE horario.modulo='1 ' and horario.turno='M ' ),
    'JUEVES '
 );</t>
  </si>
  <si>
    <t>INSERT INTO horario_curso_materia (horario_curso_materia.FK_CUR_mat,horario_curso_materia.FK_HOR,horario_curso_materia.DIA) VALUES (  (SELECT curso_materia.ID_CUR_MAT FROM curso_materia WHERE curso_materia.CUPOF='733330' ) ,
    (SELECT horario.ID_HOR FROM horario WHERE horario.modulo='1 ' and horario.turno='M ' ),
    'LUNES '
 );</t>
  </si>
  <si>
    <t>INSERT INTO horario_curso_materia (horario_curso_materia.FK_CUR_mat,horario_curso_materia.FK_HOR,horario_curso_materia.DIA) VALUES (  (SELECT curso_materia.ID_CUR_MAT FROM curso_materia WHERE curso_materia.CUPOF='2680045' ) ,
    (SELECT horario.ID_HOR FROM horario WHERE horario.modulo='1 ' and horario.turno='V ' ),
    'LUNES '
 );</t>
  </si>
  <si>
    <t>INSERT INTO horario_curso_materia (horario_curso_materia.FK_CUR_mat,horario_curso_materia.FK_HOR,horario_curso_materia.DIA) VALUES (  (SELECT curso_materia.ID_CUR_MAT FROM curso_materia WHERE curso_materia.CUPOF='2680054' ) ,
    (SELECT horario.ID_HOR FROM horario WHERE horario.modulo='1 ' and horario.turno='V ' ),
    'LUNES '
 );</t>
  </si>
  <si>
    <t>INSERT INTO horario_curso_materia (horario_curso_materia.FK_CUR_mat,horario_curso_materia.FK_HOR,horario_curso_materia.DIA) VALUES (  (SELECT curso_materia.ID_CUR_MAT FROM curso_materia WHERE curso_materia.CUPOF='733575' ) ,
    (SELECT horario.ID_HOR FROM horario WHERE horario.modulo='1 ' and horario.turno='M ' ),
    'MARTES '
 );</t>
  </si>
  <si>
    <t>INSERT INTO horario_curso_materia (horario_curso_materia.FK_CUR_mat,horario_curso_materia.FK_HOR,horario_curso_materia.DIA) VALUES (  (SELECT curso_materia.ID_CUR_MAT FROM curso_materia WHERE curso_materia.CUPOF='2680053' ) ,
    (SELECT horario.ID_HOR FROM horario WHERE horario.modulo='1 ' and horario.turno='T ' ),
    'MARTES '
 );</t>
  </si>
  <si>
    <t>INSERT INTO horario_curso_materia (horario_curso_materia.FK_CUR_mat,horario_curso_materia.FK_HOR,horario_curso_materia.DIA) VALUES (  (SELECT curso_materia.ID_CUR_MAT FROM curso_materia WHERE curso_materia.CUPOF='0' ) ,
    (SELECT horario.ID_HOR FROM horario WHERE horario.modulo=' ' and horario.turno='V ' ),
    ' '
 );</t>
  </si>
  <si>
    <t>INSERT INTO horario_curso_materia (horario_curso_materia.FK_CUR_mat,horario_curso_materia.FK_HOR,horario_curso_materia.DIA) VALUES (  (SELECT curso_materia.ID_CUR_MAT FROM curso_materia WHERE curso_materia.CUPOF='733421' ) ,
    (SELECT horario.ID_HOR FROM horario WHERE horario.modulo='1 ' and horario.turno='M ' ),
    'MIERCOLES '
 );</t>
  </si>
  <si>
    <t>INSERT INTO horario_curso_materia (horario_curso_materia.FK_CUR_mat,horario_curso_materia.FK_HOR,horario_curso_materia.DIA) VALUES (  (SELECT curso_materia.ID_CUR_MAT FROM curso_materia WHERE curso_materia.CUPOF='2680049' ) ,
    (SELECT horario.ID_HOR FROM horario WHERE horario.modulo='1 ' and horario.turno='T ' ),
    'VIERNES '
 );</t>
  </si>
  <si>
    <t>INSERT INTO horario_curso_materia (horario_curso_materia.FK_CUR_mat,horario_curso_materia.FK_HOR,horario_curso_materia.DIA) VALUES (  (SELECT curso_materia.ID_CUR_MAT FROM curso_materia WHERE curso_materia.CUPOF='2680052' ) ,
    (SELECT horario.ID_HOR FROM horario WHERE horario.modulo='1 ' and horario.turno='T ' ),
    'MIERCOLES '
 );</t>
  </si>
  <si>
    <t>INSERT INTO horario_curso_materia (horario_curso_materia.FK_CUR_mat,horario_curso_materia.FK_HOR,horario_curso_materia.DIA) VALUES (  (SELECT curso_materia.ID_CUR_MAT FROM curso_materia WHERE curso_materia.CUPOF='733575' ) ,
    (SELECT horario.ID_HOR FROM horario WHERE horario.modulo='1 ' and horario.turno='M ' ),
    'VIERNES '
 );</t>
  </si>
  <si>
    <t>INSERT INTO horario_curso_materia (horario_curso_materia.FK_CUR_mat,horario_curso_materia.FK_HOR,horario_curso_materia.DIA) VALUES (  (SELECT curso_materia.ID_CUR_MAT FROM curso_materia WHERE curso_materia.CUPOF='2680055' ) ,
    (SELECT horario.ID_HOR FROM horario WHERE horario.modulo='1 ' and horario.turno='T ' ),
    'VIERNES '
 );</t>
  </si>
  <si>
    <t>INSERT INTO horario_curso_materia (horario_curso_materia.FK_CUR_mat,horario_curso_materia.FK_HOR,horario_curso_materia.DIA) VALUES (  (SELECT curso_materia.ID_CUR_MAT FROM curso_materia WHERE curso_materia.CUPOF='2571510' ) ,
    (SELECT horario.ID_HOR FROM horario WHERE horario.modulo=' ' and horario.turno='V ' ),
    ' '
 );</t>
  </si>
  <si>
    <t>INSERT INTO horario_curso_materia (horario_curso_materia.FK_CUR_mat,horario_curso_materia.FK_HOR,horario_curso_materia.DIA) VALUES (  (SELECT curso_materia.ID_CUR_MAT FROM curso_materia WHERE curso_materia.CUPOF='1517051' ) ,
    (SELECT horario.ID_HOR FROM horario WHERE horario.modulo='2 ' and horario.turno='M ' ),
    'JUEVES '
 );</t>
  </si>
  <si>
    <t>INSERT INTO horario_curso_materia (horario_curso_materia.FK_CUR_mat,horario_curso_materia.FK_HOR,horario_curso_materia.DIA) VALUES (  (SELECT curso_materia.ID_CUR_MAT FROM curso_materia WHERE curso_materia.CUPOF='2680043' ) ,
    (SELECT horario.ID_HOR FROM horario WHERE horario.modulo='4 ' and horario.turno='V ' ),
    'LUNES '
 );</t>
  </si>
  <si>
    <t>INSERT INTO horario_curso_materia (horario_curso_materia.FK_CUR_mat,horario_curso_materia.FK_HOR,horario_curso_materia.DIA) VALUES (  (SELECT curso_materia.ID_CUR_MAT FROM curso_materia WHERE curso_materia.CUPOF='733330' ) ,
    (SELECT horario.ID_HOR FROM horario WHERE horario.modulo='2 ' and horario.turno='M ' ),
    'LUNES '
 );</t>
  </si>
  <si>
    <t>INSERT INTO horario_curso_materia (horario_curso_materia.FK_CUR_mat,horario_curso_materia.FK_HOR,horario_curso_materia.DIA) VALUES (  (SELECT curso_materia.ID_CUR_MAT FROM curso_materia WHERE curso_materia.CUPOF='2680045' ) ,
    (SELECT horario.ID_HOR FROM horario WHERE horario.modulo='2 ' and horario.turno='V ' ),
    'LUNES '
 );</t>
  </si>
  <si>
    <t>INSERT INTO horario_curso_materia (horario_curso_materia.FK_CUR_mat,horario_curso_materia.FK_HOR,horario_curso_materia.DIA) VALUES (  (SELECT curso_materia.ID_CUR_MAT FROM curso_materia WHERE curso_materia.CUPOF='2680054' ) ,
    (SELECT horario.ID_HOR FROM horario WHERE horario.modulo='2 ' and horario.turno='V ' ),
    'LUNES '
 );</t>
  </si>
  <si>
    <t>INSERT INTO horario_curso_materia (horario_curso_materia.FK_CUR_mat,horario_curso_materia.FK_HOR,horario_curso_materia.DIA) VALUES (  (SELECT curso_materia.ID_CUR_MAT FROM curso_materia WHERE curso_materia.CUPOF='733575' ) ,
    (SELECT horario.ID_HOR FROM horario WHERE horario.modulo='2 ' and horario.turno='M ' ),
    'MARTES '
 );</t>
  </si>
  <si>
    <t>INSERT INTO horario_curso_materia (horario_curso_materia.FK_CUR_mat,horario_curso_materia.FK_HOR,horario_curso_materia.DIA) VALUES (  (SELECT curso_materia.ID_CUR_MAT FROM curso_materia WHERE curso_materia.CUPOF='2680053' ) ,
    (SELECT horario.ID_HOR FROM horario WHERE horario.modulo='2 ' and horario.turno='T ' ),
    'MARTES '
 );</t>
  </si>
  <si>
    <t>INSERT INTO horario_curso_materia (horario_curso_materia.FK_CUR_mat,horario_curso_materia.FK_HOR,horario_curso_materia.DIA) VALUES (  (SELECT curso_materia.ID_CUR_MAT FROM curso_materia WHERE curso_materia.CUPOF='733421' ) ,
    (SELECT horario.ID_HOR FROM horario WHERE horario.modulo='2 ' and horario.turno='M ' ),
    'MIERCOLES '
 );</t>
  </si>
  <si>
    <t>INSERT INTO horario_curso_materia (horario_curso_materia.FK_CUR_mat,horario_curso_materia.FK_HOR,horario_curso_materia.DIA) VALUES (  (SELECT curso_materia.ID_CUR_MAT FROM curso_materia WHERE curso_materia.CUPOF='2680049' ) ,
    (SELECT horario.ID_HOR FROM horario WHERE horario.modulo='2 ' and horario.turno='T ' ),
    'VIERNES '
 );</t>
  </si>
  <si>
    <t>INSERT INTO horario_curso_materia (horario_curso_materia.FK_CUR_mat,horario_curso_materia.FK_HOR,horario_curso_materia.DIA) VALUES (  (SELECT curso_materia.ID_CUR_MAT FROM curso_materia WHERE curso_materia.CUPOF='2680052' ) ,
    (SELECT horario.ID_HOR FROM horario WHERE horario.modulo='2 ' and horario.turno='T ' ),
    'MIERCOLES '
 );</t>
  </si>
  <si>
    <t>INSERT INTO horario_curso_materia (horario_curso_materia.FK_CUR_mat,horario_curso_materia.FK_HOR,horario_curso_materia.DIA) VALUES (  (SELECT curso_materia.ID_CUR_MAT FROM curso_materia WHERE curso_materia.CUPOF='733575' ) ,
    (SELECT horario.ID_HOR FROM horario WHERE horario.modulo='2 ' and horario.turno='M ' ),
    'VIERNES '
 );</t>
  </si>
  <si>
    <t>INSERT INTO horario_curso_materia (horario_curso_materia.FK_CUR_mat,horario_curso_materia.FK_HOR,horario_curso_materia.DIA) VALUES (  (SELECT curso_materia.ID_CUR_MAT FROM curso_materia WHERE curso_materia.CUPOF='2680055' ) ,
    (SELECT horario.ID_HOR FROM horario WHERE horario.modulo='2 ' and horario.turno='T ' ),
    'VIERNES '
 );</t>
  </si>
  <si>
    <t>INSERT INTO horario_curso_materia (horario_curso_materia.FK_CUR_mat,horario_curso_materia.FK_HOR,horario_curso_materia.DIA) VALUES (  (SELECT curso_materia.ID_CUR_MAT FROM curso_materia WHERE curso_materia.CUPOF='733705' ) ,
    (SELECT horario.ID_HOR FROM horario WHERE horario.modulo='3 ' and horario.turno='M ' ),
    'JUEVES '
 );</t>
  </si>
  <si>
    <t>INSERT INTO horario_curso_materia (horario_curso_materia.FK_CUR_mat,horario_curso_materia.FK_HOR,horario_curso_materia.DIA) VALUES (  (SELECT curso_materia.ID_CUR_MAT FROM curso_materia WHERE curso_materia.CUPOF='2680043' ) ,
    (SELECT horario.ID_HOR FROM horario WHERE horario.modulo='5 ' and horario.turno='V ' ),
    'LUNES '
 );</t>
  </si>
  <si>
    <t>INSERT INTO horario_curso_materia (horario_curso_materia.FK_CUR_mat,horario_curso_materia.FK_HOR,horario_curso_materia.DIA) VALUES (  (SELECT curso_materia.ID_CUR_MAT FROM curso_materia WHERE curso_materia.CUPOF='733437' ) ,
    (SELECT horario.ID_HOR FROM horario WHERE horario.modulo='3 ' and horario.turno='M ' ),
    'LUNES '
 );</t>
  </si>
  <si>
    <t>INSERT INTO horario_curso_materia (horario_curso_materia.FK_CUR_mat,horario_curso_materia.FK_HOR,horario_curso_materia.DIA) VALUES (  (SELECT curso_materia.ID_CUR_MAT FROM curso_materia WHERE curso_materia.CUPOF='2680045' ) ,
    (SELECT horario.ID_HOR FROM horario WHERE horario.modulo='3 ' and horario.turno='V ' ),
    'LUNES '
 );</t>
  </si>
  <si>
    <t>INSERT INTO horario_curso_materia (horario_curso_materia.FK_CUR_mat,horario_curso_materia.FK_HOR,horario_curso_materia.DIA) VALUES (  (SELECT curso_materia.ID_CUR_MAT FROM curso_materia WHERE curso_materia.CUPOF='2680054' ) ,
    (SELECT horario.ID_HOR FROM horario WHERE horario.modulo='3 ' and horario.turno='V ' ),
    'LUNES '
 );</t>
  </si>
  <si>
    <t>INSERT INTO horario_curso_materia (horario_curso_materia.FK_CUR_mat,horario_curso_materia.FK_HOR,horario_curso_materia.DIA) VALUES (  (SELECT curso_materia.ID_CUR_MAT FROM curso_materia WHERE curso_materia.CUPOF='1517072' ) ,
    (SELECT horario.ID_HOR FROM horario WHERE horario.modulo='3 ' and horario.turno='M ' ),
    'MARTES '
 );</t>
  </si>
  <si>
    <t>INSERT INTO horario_curso_materia (horario_curso_materia.FK_CUR_mat,horario_curso_materia.FK_HOR,horario_curso_materia.DIA) VALUES (  (SELECT curso_materia.ID_CUR_MAT FROM curso_materia WHERE curso_materia.CUPOF='2680053' ) ,
    (SELECT horario.ID_HOR FROM horario WHERE horario.modulo='3 ' and horario.turno='T ' ),
    'MARTES '
 );</t>
  </si>
  <si>
    <t>INSERT INTO horario_curso_materia (horario_curso_materia.FK_CUR_mat,horario_curso_materia.FK_HOR,horario_curso_materia.DIA) VALUES (  (SELECT curso_materia.ID_CUR_MAT FROM curso_materia WHERE curso_materia.CUPOF='733716' ) ,
    (SELECT horario.ID_HOR FROM horario WHERE horario.modulo='3 ' and horario.turno='M ' ),
    'MIERCOLES '
 );</t>
  </si>
  <si>
    <t>INSERT INTO horario_curso_materia (horario_curso_materia.FK_CUR_mat,horario_curso_materia.FK_HOR,horario_curso_materia.DIA) VALUES (  (SELECT curso_materia.ID_CUR_MAT FROM curso_materia WHERE curso_materia.CUPOF='2680042' ) ,
    (SELECT horario.ID_HOR FROM horario WHERE horario.modulo='3 ' and horario.turno='T ' ),
    'MIERCOLES '
 );</t>
  </si>
  <si>
    <t>INSERT INTO horario_curso_materia (horario_curso_materia.FK_CUR_mat,horario_curso_materia.FK_HOR,horario_curso_materia.DIA) VALUES (  (SELECT curso_materia.ID_CUR_MAT FROM curso_materia WHERE curso_materia.CUPOF='1643783' ) ,
    (SELECT horario.ID_HOR FROM horario WHERE horario.modulo='3 ' and horario.turno='M ' ),
    'VIERNES '
 );</t>
  </si>
  <si>
    <t>INSERT INTO horario_curso_materia (horario_curso_materia.FK_CUR_mat,horario_curso_materia.FK_HOR,horario_curso_materia.DIA) VALUES (  (SELECT curso_materia.ID_CUR_MAT FROM curso_materia WHERE curso_materia.CUPOF='733409' ) ,
    (SELECT horario.ID_HOR FROM horario WHERE horario.modulo='1 ' and horario.turno='V ' ),
    'MIERCOLES '
 );</t>
  </si>
  <si>
    <t>INSERT INTO horario_curso_materia (horario_curso_materia.FK_CUR_mat,horario_curso_materia.FK_HOR,horario_curso_materia.DIA) VALUES (  (SELECT curso_materia.ID_CUR_MAT FROM curso_materia WHERE curso_materia.CUPOF='733705' ) ,
    (SELECT horario.ID_HOR FROM horario WHERE horario.modulo='4 ' and horario.turno='M ' ),
    'JUEVES '
 );</t>
  </si>
  <si>
    <t>INSERT INTO horario_curso_materia (horario_curso_materia.FK_CUR_mat,horario_curso_materia.FK_HOR,horario_curso_materia.DIA) VALUES (  (SELECT curso_materia.ID_CUR_MAT FROM curso_materia WHERE curso_materia.CUPOF='2680043' ) ,
    (SELECT horario.ID_HOR FROM horario WHERE horario.modulo='4 ' and horario.turno='V ' ),
    'JUEVES '
 );</t>
  </si>
  <si>
    <t>INSERT INTO horario_curso_materia (horario_curso_materia.FK_CUR_mat,horario_curso_materia.FK_HOR,horario_curso_materia.DIA) VALUES (  (SELECT curso_materia.ID_CUR_MAT FROM curso_materia WHERE curso_materia.CUPOF='733437' ) ,
    (SELECT horario.ID_HOR FROM horario WHERE horario.modulo='4 ' and horario.turno='M ' ),
    'LUNES '
 );</t>
  </si>
  <si>
    <t>INSERT INTO horario_curso_materia (horario_curso_materia.FK_CUR_mat,horario_curso_materia.FK_HOR,horario_curso_materia.DIA) VALUES (  (SELECT curso_materia.ID_CUR_MAT FROM curso_materia WHERE curso_materia.CUPOF='2680045' ) ,
    (SELECT horario.ID_HOR FROM horario WHERE horario.modulo='4 ' and horario.turno='V ' ),
    'LUNES '
 );</t>
  </si>
  <si>
    <t>INSERT INTO horario_curso_materia (horario_curso_materia.FK_CUR_mat,horario_curso_materia.FK_HOR,horario_curso_materia.DIA) VALUES (  (SELECT curso_materia.ID_CUR_MAT FROM curso_materia WHERE curso_materia.CUPOF='2680054' ) ,
    (SELECT horario.ID_HOR FROM horario WHERE horario.modulo='4 ' and horario.turno='V ' ),
    'LUNES '
 );</t>
  </si>
  <si>
    <t>INSERT INTO horario_curso_materia (horario_curso_materia.FK_CUR_mat,horario_curso_materia.FK_HOR,horario_curso_materia.DIA) VALUES (  (SELECT curso_materia.ID_CUR_MAT FROM curso_materia WHERE curso_materia.CUPOF='1517072' ) ,
    (SELECT horario.ID_HOR FROM horario WHERE horario.modulo='4 ' and horario.turno='M ' ),
    'MARTES '
 );</t>
  </si>
  <si>
    <t>INSERT INTO horario_curso_materia (horario_curso_materia.FK_CUR_mat,horario_curso_materia.FK_HOR,horario_curso_materia.DIA) VALUES (  (SELECT curso_materia.ID_CUR_MAT FROM curso_materia WHERE curso_materia.CUPOF='2680053' ) ,
    (SELECT horario.ID_HOR FROM horario WHERE horario.modulo='4 ' and horario.turno='T ' ),
    'MARTES '
 );</t>
  </si>
  <si>
    <t>INSERT INTO horario_curso_materia (horario_curso_materia.FK_CUR_mat,horario_curso_materia.FK_HOR,horario_curso_materia.DIA) VALUES (  (SELECT curso_materia.ID_CUR_MAT FROM curso_materia WHERE curso_materia.CUPOF='733716' ) ,
    (SELECT horario.ID_HOR FROM horario WHERE horario.modulo='4 ' and horario.turno='M ' ),
    'MIERCOLES '
 );</t>
  </si>
  <si>
    <t>INSERT INTO horario_curso_materia (horario_curso_materia.FK_CUR_mat,horario_curso_materia.FK_HOR,horario_curso_materia.DIA) VALUES (  (SELECT curso_materia.ID_CUR_MAT FROM curso_materia WHERE curso_materia.CUPOF='2680042' ) ,
    (SELECT horario.ID_HOR FROM horario WHERE horario.modulo='4 ' and horario.turno='T ' ),
    'MIERCOLES '
 );</t>
  </si>
  <si>
    <t>INSERT INTO horario_curso_materia (horario_curso_materia.FK_CUR_mat,horario_curso_materia.FK_HOR,horario_curso_materia.DIA) VALUES (  (SELECT curso_materia.ID_CUR_MAT FROM curso_materia WHERE curso_materia.CUPOF='1643783' ) ,
    (SELECT horario.ID_HOR FROM horario WHERE horario.modulo='4 ' and horario.turno='M ' ),
    'VIERNES '
 );</t>
  </si>
  <si>
    <t>INSERT INTO horario_curso_materia (horario_curso_materia.FK_CUR_mat,horario_curso_materia.FK_HOR,horario_curso_materia.DIA) VALUES (  (SELECT curso_materia.ID_CUR_MAT FROM curso_materia WHERE curso_materia.CUPOF='733409' ) ,
    (SELECT horario.ID_HOR FROM horario WHERE horario.modulo='2 ' and horario.turno='V ' ),
    'MIERCOLES '
 );</t>
  </si>
  <si>
    <t>INSERT INTO horario_curso_materia (horario_curso_materia.FK_CUR_mat,horario_curso_materia.FK_HOR,horario_curso_materia.DIA) VALUES (  (SELECT curso_materia.ID_CUR_MAT FROM curso_materia WHERE curso_materia.CUPOF='2680043' ) ,
    (SELECT horario.ID_HOR FROM horario WHERE horario.modulo='5 ' and horario.turno='V ' ),
    'JUEVES '
 );</t>
  </si>
  <si>
    <t>INSERT INTO horario_curso_materia (horario_curso_materia.FK_CUR_mat,horario_curso_materia.FK_HOR,horario_curso_materia.DIA) VALUES (  (SELECT curso_materia.ID_CUR_MAT FROM curso_materia WHERE curso_materia.CUPOF='733330' ) ,
    (SELECT horario.ID_HOR FROM horario WHERE horario.modulo='5 ' and horario.turno='M ' ),
    'LUNES '
 );</t>
  </si>
  <si>
    <t>INSERT INTO horario_curso_materia (horario_curso_materia.FK_CUR_mat,horario_curso_materia.FK_HOR,horario_curso_materia.DIA) VALUES (  (SELECT curso_materia.ID_CUR_MAT FROM curso_materia WHERE curso_materia.CUPOF='2680162' ) ,
    (SELECT horario.ID_HOR FROM horario WHERE horario.modulo='1 ' and horario.turno='M ' ),
    'JUEVES '
 );</t>
  </si>
  <si>
    <t>INSERT INTO horario_curso_materia (horario_curso_materia.FK_CUR_mat,horario_curso_materia.FK_HOR,horario_curso_materia.DIA) VALUES (  (SELECT curso_materia.ID_CUR_MAT FROM curso_materia WHERE curso_materia.CUPOF='2680169' ) ,
    (SELECT horario.ID_HOR FROM horario WHERE horario.modulo='1 ' and horario.turno='M ' ),
    'JUEVES '
 );</t>
  </si>
  <si>
    <t>INSERT INTO horario_curso_materia (horario_curso_materia.FK_CUR_mat,horario_curso_materia.FK_HOR,horario_curso_materia.DIA) VALUES (  (SELECT curso_materia.ID_CUR_MAT FROM curso_materia WHERE curso_materia.CUPOF='733458' ) ,
    (SELECT horario.ID_HOR FROM horario WHERE horario.modulo='1 ' and horario.turno='T ' ),
    'JUEVES '
 );</t>
  </si>
  <si>
    <t>INSERT INTO horario_curso_materia (horario_curso_materia.FK_CUR_mat,horario_curso_materia.FK_HOR,horario_curso_materia.DIA) VALUES (  (SELECT curso_materia.ID_CUR_MAT FROM curso_materia WHERE curso_materia.CUPOF='0' ) ,
    (SELECT horario.ID_HOR FROM horario WHERE horario.modulo='1 ' and horario.turno='V ' ),
    'JUEVES '
 );</t>
  </si>
  <si>
    <t>INSERT INTO horario_curso_materia (horario_curso_materia.FK_CUR_mat,horario_curso_materia.FK_HOR,horario_curso_materia.DIA) VALUES (  (SELECT curso_materia.ID_CUR_MAT FROM curso_materia WHERE curso_materia.CUPOF='2680168' ) ,
    (SELECT horario.ID_HOR FROM horario WHERE horario.modulo='1 ' and horario.turno='M ' ),
    'LUNES '
 );</t>
  </si>
  <si>
    <t>INSERT INTO horario_curso_materia (horario_curso_materia.FK_CUR_mat,horario_curso_materia.FK_HOR,horario_curso_materia.DIA) VALUES (  (SELECT curso_materia.ID_CUR_MAT FROM curso_materia WHERE curso_materia.CUPOF='733458' ) ,
    (SELECT horario.ID_HOR FROM horario WHERE horario.modulo='1 ' and horario.turno='T ' ),
    'LUNES '
 );</t>
  </si>
  <si>
    <t>INSERT INTO horario_curso_materia (horario_curso_materia.FK_CUR_mat,horario_curso_materia.FK_HOR,horario_curso_materia.DIA) VALUES (  (SELECT curso_materia.ID_CUR_MAT FROM curso_materia WHERE curso_materia.CUPOF='2680161' ) ,
    (SELECT horario.ID_HOR FROM horario WHERE horario.modulo='1 ' and horario.turno='M ' ),
    'MARTES '
 );</t>
  </si>
  <si>
    <t>INSERT INTO horario_curso_materia (horario_curso_materia.FK_CUR_mat,horario_curso_materia.FK_HOR,horario_curso_materia.DIA) VALUES (  (SELECT curso_materia.ID_CUR_MAT FROM curso_materia WHERE curso_materia.CUPOF='733407' ) ,
    (SELECT horario.ID_HOR FROM horario WHERE horario.modulo='1 ' and horario.turno='T ' ),
    'MARTES '
 );</t>
  </si>
  <si>
    <t>INSERT INTO horario_curso_materia (horario_curso_materia.FK_CUR_mat,horario_curso_materia.FK_HOR,horario_curso_materia.DIA) VALUES (  (SELECT curso_materia.ID_CUR_MAT FROM curso_materia WHERE curso_materia.CUPOF='2680163' ) ,
    (SELECT horario.ID_HOR FROM horario WHERE horario.modulo='3 ' and horario.turno='M ' ),
    'VIERNES '
 );</t>
  </si>
  <si>
    <t>INSERT INTO horario_curso_materia (horario_curso_materia.FK_CUR_mat,horario_curso_materia.FK_HOR,horario_curso_materia.DIA) VALUES (  (SELECT curso_materia.ID_CUR_MAT FROM curso_materia WHERE curso_materia.CUPOF='2680167' ) ,
    (SELECT horario.ID_HOR FROM horario WHERE horario.modulo='1 ' and horario.turno='M ' ),
    'MIERCOLES '
 );</t>
  </si>
  <si>
    <t>INSERT INTO horario_curso_materia (horario_curso_materia.FK_CUR_mat,horario_curso_materia.FK_HOR,horario_curso_materia.DIA) VALUES (  (SELECT curso_materia.ID_CUR_MAT FROM curso_materia WHERE curso_materia.CUPOF='2680173' ) ,
    (SELECT horario.ID_HOR FROM horario WHERE horario.modulo='1 ' and horario.turno='T ' ),
    'MIERCOLES '
 );</t>
  </si>
  <si>
    <t>INSERT INTO horario_curso_materia (horario_curso_materia.FK_CUR_mat,horario_curso_materia.FK_HOR,horario_curso_materia.DIA) VALUES (  (SELECT curso_materia.ID_CUR_MAT FROM curso_materia WHERE curso_materia.CUPOF='2680167' ) ,
    (SELECT horario.ID_HOR FROM horario WHERE horario.modulo='1 ' and horario.turno='M ' ),
    'VIERNES '
 );</t>
  </si>
  <si>
    <t>INSERT INTO horario_curso_materia (horario_curso_materia.FK_CUR_mat,horario_curso_materia.FK_HOR,horario_curso_materia.DIA) VALUES (  (SELECT curso_materia.ID_CUR_MAT FROM curso_materia WHERE curso_materia.CUPOF='733622' ) ,
    (SELECT horario.ID_HOR FROM horario WHERE horario.modulo='1 ' and horario.turno='T ' ),
    'VIERNES '
 );</t>
  </si>
  <si>
    <t>INSERT INTO horario_curso_materia (horario_curso_materia.FK_CUR_mat,horario_curso_materia.FK_HOR,horario_curso_materia.DIA) VALUES (  (SELECT curso_materia.ID_CUR_MAT FROM curso_materia WHERE curso_materia.CUPOF='2680162' ) ,
    (SELECT horario.ID_HOR FROM horario WHERE horario.modulo='2 ' and horario.turno='M ' ),
    'JUEVES '
 );</t>
  </si>
  <si>
    <t>INSERT INTO horario_curso_materia (horario_curso_materia.FK_CUR_mat,horario_curso_materia.FK_HOR,horario_curso_materia.DIA) VALUES (  (SELECT curso_materia.ID_CUR_MAT FROM curso_materia WHERE curso_materia.CUPOF='2680169' ) ,
    (SELECT horario.ID_HOR FROM horario WHERE horario.modulo='2 ' and horario.turno='M ' ),
    'JUEVES '
 );</t>
  </si>
  <si>
    <t>INSERT INTO horario_curso_materia (horario_curso_materia.FK_CUR_mat,horario_curso_materia.FK_HOR,horario_curso_materia.DIA) VALUES (  (SELECT curso_materia.ID_CUR_MAT FROM curso_materia WHERE curso_materia.CUPOF='733458' ) ,
    (SELECT horario.ID_HOR FROM horario WHERE horario.modulo='2 ' and horario.turno='T ' ),
    'JUEVES '
 );</t>
  </si>
  <si>
    <t>INSERT INTO horario_curso_materia (horario_curso_materia.FK_CUR_mat,horario_curso_materia.FK_HOR,horario_curso_materia.DIA) VALUES (  (SELECT curso_materia.ID_CUR_MAT FROM curso_materia WHERE curso_materia.CUPOF='0' ) ,
    (SELECT horario.ID_HOR FROM horario WHERE horario.modulo='2 ' and horario.turno='V ' ),
    'JUEVES '
 );</t>
  </si>
  <si>
    <t>INSERT INTO horario_curso_materia (horario_curso_materia.FK_CUR_mat,horario_curso_materia.FK_HOR,horario_curso_materia.DIA) VALUES (  (SELECT curso_materia.ID_CUR_MAT FROM curso_materia WHERE curso_materia.CUPOF='2680168' ) ,
    (SELECT horario.ID_HOR FROM horario WHERE horario.modulo='2 ' and horario.turno='M ' ),
    'LUNES '
 );</t>
  </si>
  <si>
    <t>INSERT INTO horario_curso_materia (horario_curso_materia.FK_CUR_mat,horario_curso_materia.FK_HOR,horario_curso_materia.DIA) VALUES (  (SELECT curso_materia.ID_CUR_MAT FROM curso_materia WHERE curso_materia.CUPOF='733458' ) ,
    (SELECT horario.ID_HOR FROM horario WHERE horario.modulo='2 ' and horario.turno='T ' ),
    'LUNES '
 );</t>
  </si>
  <si>
    <t>INSERT INTO horario_curso_materia (horario_curso_materia.FK_CUR_mat,horario_curso_materia.FK_HOR,horario_curso_materia.DIA) VALUES (  (SELECT curso_materia.ID_CUR_MAT FROM curso_materia WHERE curso_materia.CUPOF='2680161' ) ,
    (SELECT horario.ID_HOR FROM horario WHERE horario.modulo='2 ' and horario.turno='M ' ),
    'MARTES '
 );</t>
  </si>
  <si>
    <t>INSERT INTO horario_curso_materia (horario_curso_materia.FK_CUR_mat,horario_curso_materia.FK_HOR,horario_curso_materia.DIA) VALUES (  (SELECT curso_materia.ID_CUR_MAT FROM curso_materia WHERE curso_materia.CUPOF='733407' ) ,
    (SELECT horario.ID_HOR FROM horario WHERE horario.modulo='2 ' and horario.turno='T ' ),
    'MARTES '
 );</t>
  </si>
  <si>
    <t>INSERT INTO horario_curso_materia (horario_curso_materia.FK_CUR_mat,horario_curso_materia.FK_HOR,horario_curso_materia.DIA) VALUES (  (SELECT curso_materia.ID_CUR_MAT FROM curso_materia WHERE curso_materia.CUPOF='2680163' ) ,
    (SELECT horario.ID_HOR FROM horario WHERE horario.modulo='4 ' and horario.turno='M ' ),
    'VIERNES '
 );</t>
  </si>
  <si>
    <t>INSERT INTO horario_curso_materia (horario_curso_materia.FK_CUR_mat,horario_curso_materia.FK_HOR,horario_curso_materia.DIA) VALUES (  (SELECT curso_materia.ID_CUR_MAT FROM curso_materia WHERE curso_materia.CUPOF='2680167' ) ,
    (SELECT horario.ID_HOR FROM horario WHERE horario.modulo='2 ' and horario.turno='M ' ),
    'MIERCOLES '
 );</t>
  </si>
  <si>
    <t>INSERT INTO horario_curso_materia (horario_curso_materia.FK_CUR_mat,horario_curso_materia.FK_HOR,horario_curso_materia.DIA) VALUES (  (SELECT curso_materia.ID_CUR_MAT FROM curso_materia WHERE curso_materia.CUPOF='2680173' ) ,
    (SELECT horario.ID_HOR FROM horario WHERE horario.modulo='2 ' and horario.turno='T ' ),
    'MIERCOLES '
 );</t>
  </si>
  <si>
    <t>INSERT INTO horario_curso_materia (horario_curso_materia.FK_CUR_mat,horario_curso_materia.FK_HOR,horario_curso_materia.DIA) VALUES (  (SELECT curso_materia.ID_CUR_MAT FROM curso_materia WHERE curso_materia.CUPOF='2680167' ) ,
    (SELECT horario.ID_HOR FROM horario WHERE horario.modulo='2 ' and horario.turno='M ' ),
    'VIERNES '
 );</t>
  </si>
  <si>
    <t>INSERT INTO horario_curso_materia (horario_curso_materia.FK_CUR_mat,horario_curso_materia.FK_HOR,horario_curso_materia.DIA) VALUES (  (SELECT curso_materia.ID_CUR_MAT FROM curso_materia WHERE curso_materia.CUPOF='733622' ) ,
    (SELECT horario.ID_HOR FROM horario WHERE horario.modulo='2 ' and horario.turno='T ' ),
    'VIERNES '
 );</t>
  </si>
  <si>
    <t>INSERT INTO horario_curso_materia (horario_curso_materia.FK_CUR_mat,horario_curso_materia.FK_HOR,horario_curso_materia.DIA) VALUES (  (SELECT curso_materia.ID_CUR_MAT FROM curso_materia WHERE curso_materia.CUPOF='2680162' ) ,
    (SELECT horario.ID_HOR FROM horario WHERE horario.modulo='3 ' and horario.turno='M ' ),
    'JUEVES '
 );</t>
  </si>
  <si>
    <t>INSERT INTO horario_curso_materia (horario_curso_materia.FK_CUR_mat,horario_curso_materia.FK_HOR,horario_curso_materia.DIA) VALUES (  (SELECT curso_materia.ID_CUR_MAT FROM curso_materia WHERE curso_materia.CUPOF='2680165' ) ,
    (SELECT horario.ID_HOR FROM horario WHERE horario.modulo='3 ' and horario.turno='M ' ),
    'JUEVES '
 );</t>
  </si>
  <si>
    <t>INSERT INTO horario_curso_materia (horario_curso_materia.FK_CUR_mat,horario_curso_materia.FK_HOR,horario_curso_materia.DIA) VALUES (  (SELECT curso_materia.ID_CUR_MAT FROM curso_materia WHERE curso_materia.CUPOF='733419' ) ,
    (SELECT horario.ID_HOR FROM horario WHERE horario.modulo='3 ' and horario.turno='T ' ),
    'JUEVES '
 );</t>
  </si>
  <si>
    <t>INSERT INTO horario_curso_materia (horario_curso_materia.FK_CUR_mat,horario_curso_materia.FK_HOR,horario_curso_materia.DIA) VALUES (  (SELECT curso_materia.ID_CUR_MAT FROM curso_materia WHERE curso_materia.CUPOF='0' ) ,
    (SELECT horario.ID_HOR FROM horario WHERE horario.modulo='3 ' and horario.turno='V ' ),
    'JUEVES '
 );</t>
  </si>
  <si>
    <t>INSERT INTO horario_curso_materia (horario_curso_materia.FK_CUR_mat,horario_curso_materia.FK_HOR,horario_curso_materia.DIA) VALUES (  (SELECT curso_materia.ID_CUR_MAT FROM curso_materia WHERE curso_materia.CUPOF='2680168' ) ,
    (SELECT horario.ID_HOR FROM horario WHERE horario.modulo='3 ' and horario.turno='M ' ),
    'LUNES '
 );</t>
  </si>
  <si>
    <t>INSERT INTO horario_curso_materia (horario_curso_materia.FK_CUR_mat,horario_curso_materia.FK_HOR,horario_curso_materia.DIA) VALUES (  (SELECT curso_materia.ID_CUR_MAT FROM curso_materia WHERE curso_materia.CUPOF='733377' ) ,
    (SELECT horario.ID_HOR FROM horario WHERE horario.modulo='3 ' and horario.turno='T ' ),
    'LUNES '
 );</t>
  </si>
  <si>
    <t>INSERT INTO horario_curso_materia (horario_curso_materia.FK_CUR_mat,horario_curso_materia.FK_HOR,horario_curso_materia.DIA) VALUES (  (SELECT curso_materia.ID_CUR_MAT FROM curso_materia WHERE curso_materia.CUPOF='2680161' ) ,
    (SELECT horario.ID_HOR FROM horario WHERE horario.modulo='3 ' and horario.turno='M ' ),
    'MARTES '
 );</t>
  </si>
  <si>
    <t>INSERT INTO horario_curso_materia (horario_curso_materia.FK_CUR_mat,horario_curso_materia.FK_HOR,horario_curso_materia.DIA) VALUES (  (SELECT curso_materia.ID_CUR_MAT FROM curso_materia WHERE curso_materia.CUPOF='1517157' ) ,
    (SELECT horario.ID_HOR FROM horario WHERE horario.modulo='3 ' and horario.turno='T ' ),
    'MARTES '
 );</t>
  </si>
  <si>
    <t>INSERT INTO horario_curso_materia (horario_curso_materia.FK_CUR_mat,horario_curso_materia.FK_HOR,horario_curso_materia.DIA) VALUES (  (SELECT curso_materia.ID_CUR_MAT FROM curso_materia WHERE curso_materia.CUPOF='938354' ) ,
    (SELECT horario.ID_HOR FROM horario WHERE horario.modulo='3 ' and horario.turno='M ' ),
    'MIERCOLES '
 );</t>
  </si>
  <si>
    <t>INSERT INTO horario_curso_materia (horario_curso_materia.FK_CUR_mat,horario_curso_materia.FK_HOR,horario_curso_materia.DIA) VALUES (  (SELECT curso_materia.ID_CUR_MAT FROM curso_materia WHERE curso_materia.CUPOF='1517133' ) ,
    (SELECT horario.ID_HOR FROM horario WHERE horario.modulo='3 ' and horario.turno='T ' ),
    'MIERCOLES '
 );</t>
  </si>
  <si>
    <t>INSERT INTO horario_curso_materia (horario_curso_materia.FK_CUR_mat,horario_curso_materia.FK_HOR,horario_curso_materia.DIA) VALUES (  (SELECT curso_materia.ID_CUR_MAT FROM curso_materia WHERE curso_materia.CUPOF='2680159' ) ,
    (SELECT horario.ID_HOR FROM horario WHERE horario.modulo='1 ' and horario.turno='M ' ),
    'VIERNES '
 );</t>
  </si>
  <si>
    <t>INSERT INTO horario_curso_materia (horario_curso_materia.FK_CUR_mat,horario_curso_materia.FK_HOR,horario_curso_materia.DIA) VALUES (  (SELECT curso_materia.ID_CUR_MAT FROM curso_materia WHERE curso_materia.CUPOF='733408' ) ,
    (SELECT horario.ID_HOR FROM horario WHERE horario.modulo='3 ' and horario.turno='T ' ),
    'VIERNES '
 );</t>
  </si>
  <si>
    <t>INSERT INTO horario_curso_materia (horario_curso_materia.FK_CUR_mat,horario_curso_materia.FK_HOR,horario_curso_materia.DIA) VALUES (  (SELECT curso_materia.ID_CUR_MAT FROM curso_materia WHERE curso_materia.CUPOF='2680162' ) ,
    (SELECT horario.ID_HOR FROM horario WHERE horario.modulo='4 ' and horario.turno='M ' ),
    'JUEVES '
 );</t>
  </si>
  <si>
    <t>INSERT INTO horario_curso_materia (horario_curso_materia.FK_CUR_mat,horario_curso_materia.FK_HOR,horario_curso_materia.DIA) VALUES (  (SELECT curso_materia.ID_CUR_MAT FROM curso_materia WHERE curso_materia.CUPOF='2680165' ) ,
    (SELECT horario.ID_HOR FROM horario WHERE horario.modulo='4 ' and horario.turno='M ' ),
    'JUEVES '
 );</t>
  </si>
  <si>
    <t>INSERT INTO horario_curso_materia (horario_curso_materia.FK_CUR_mat,horario_curso_materia.FK_HOR,horario_curso_materia.DIA) VALUES (  (SELECT curso_materia.ID_CUR_MAT FROM curso_materia WHERE curso_materia.CUPOF='733419' ) ,
    (SELECT horario.ID_HOR FROM horario WHERE horario.modulo='4 ' and horario.turno='T ' ),
    'JUEVES '
 );</t>
  </si>
  <si>
    <t>INSERT INTO horario_curso_materia (horario_curso_materia.FK_CUR_mat,horario_curso_materia.FK_HOR,horario_curso_materia.DIA) VALUES (  (SELECT curso_materia.ID_CUR_MAT FROM curso_materia WHERE curso_materia.CUPOF='0' ) ,
    (SELECT horario.ID_HOR FROM horario WHERE horario.modulo='4 ' and horario.turno='V ' ),
    'JUEVES '
 );</t>
  </si>
  <si>
    <t>INSERT INTO horario_curso_materia (horario_curso_materia.FK_CUR_mat,horario_curso_materia.FK_HOR,horario_curso_materia.DIA) VALUES (  (SELECT curso_materia.ID_CUR_MAT FROM curso_materia WHERE curso_materia.CUPOF='2680168' ) ,
    (SELECT horario.ID_HOR FROM horario WHERE horario.modulo='4 ' and horario.turno='M ' ),
    'LUNES '
 );</t>
  </si>
  <si>
    <t>INSERT INTO horario_curso_materia (horario_curso_materia.FK_CUR_mat,horario_curso_materia.FK_HOR,horario_curso_materia.DIA) VALUES (  (SELECT curso_materia.ID_CUR_MAT FROM curso_materia WHERE curso_materia.CUPOF='733377' ) ,
    (SELECT horario.ID_HOR FROM horario WHERE horario.modulo='4 ' and horario.turno='T ' ),
    'LUNES '
 );</t>
  </si>
  <si>
    <t>INSERT INTO horario_curso_materia (horario_curso_materia.FK_CUR_mat,horario_curso_materia.FK_HOR,horario_curso_materia.DIA) VALUES (  (SELECT curso_materia.ID_CUR_MAT FROM curso_materia WHERE curso_materia.CUPOF='2680161' ) ,
    (SELECT horario.ID_HOR FROM horario WHERE horario.modulo='4 ' and horario.turno='M ' ),
    'MARTES '
 );</t>
  </si>
  <si>
    <t>INSERT INTO horario_curso_materia (horario_curso_materia.FK_CUR_mat,horario_curso_materia.FK_HOR,horario_curso_materia.DIA) VALUES (  (SELECT curso_materia.ID_CUR_MAT FROM curso_materia WHERE curso_materia.CUPOF='1517157' ) ,
    (SELECT horario.ID_HOR FROM horario WHERE horario.modulo='4 ' and horario.turno='T ' ),
    'MARTES '
 );</t>
  </si>
  <si>
    <t>INSERT INTO horario_curso_materia (horario_curso_materia.FK_CUR_mat,horario_curso_materia.FK_HOR,horario_curso_materia.DIA) VALUES (  (SELECT curso_materia.ID_CUR_MAT FROM curso_materia WHERE curso_materia.CUPOF='938354' ) ,
    (SELECT horario.ID_HOR FROM horario WHERE horario.modulo='4 ' and horario.turno='M ' ),
    'MIERCOLES '
 );</t>
  </si>
  <si>
    <t>INSERT INTO horario_curso_materia (horario_curso_materia.FK_CUR_mat,horario_curso_materia.FK_HOR,horario_curso_materia.DIA) VALUES (  (SELECT curso_materia.ID_CUR_MAT FROM curso_materia WHERE curso_materia.CUPOF='1517133' ) ,
    (SELECT horario.ID_HOR FROM horario WHERE horario.modulo='4 ' and horario.turno='T ' ),
    'MIERCOLES '
 );</t>
  </si>
  <si>
    <t>INSERT INTO horario_curso_materia (horario_curso_materia.FK_CUR_mat,horario_curso_materia.FK_HOR,horario_curso_materia.DIA) VALUES (  (SELECT curso_materia.ID_CUR_MAT FROM curso_materia WHERE curso_materia.CUPOF='2680159' ) ,
    (SELECT horario.ID_HOR FROM horario WHERE horario.modulo='2 ' and horario.turno='M ' ),
    'VIERNES '
 );</t>
  </si>
  <si>
    <t>INSERT INTO horario_curso_materia (horario_curso_materia.FK_CUR_mat,horario_curso_materia.FK_HOR,horario_curso_materia.DIA) VALUES (  (SELECT curso_materia.ID_CUR_MAT FROM curso_materia WHERE curso_materia.CUPOF='733408' ) ,
    (SELECT horario.ID_HOR FROM horario WHERE horario.modulo='4 ' and horario.turno='T ' ),
    'VIERNES '
 );</t>
  </si>
  <si>
    <t>INSERT INTO horario_curso_materia (horario_curso_materia.FK_CUR_mat,horario_curso_materia.FK_HOR,horario_curso_materia.DIA) VALUES (  (SELECT curso_materia.ID_CUR_MAT FROM curso_materia WHERE curso_materia.CUPOF='733622' ) ,
    (SELECT horario.ID_HOR FROM horario WHERE horario.modulo='prehora ' and horario.turno='T ' ),
    'JUEVES '
 );</t>
  </si>
  <si>
    <t>INSERT INTO horario_curso_materia (horario_curso_materia.FK_CUR_mat,horario_curso_materia.FK_HOR,horario_curso_materia.DIA) VALUES (  (SELECT curso_materia.ID_CUR_MAT FROM curso_materia WHERE curso_materia.CUPOF='733722' ) ,
    (SELECT horario.ID_HOR FROM horario WHERE horario.modulo='1 ' and horario.turno='M ' ),
    'JUEVES '
 );</t>
  </si>
  <si>
    <t>INSERT INTO horario_curso_materia (horario_curso_materia.FK_CUR_mat,horario_curso_materia.FK_HOR,horario_curso_materia.DIA) VALUES (  (SELECT curso_materia.ID_CUR_MAT FROM curso_materia WHERE curso_materia.CUPOF='2680250' ) ,
    (SELECT horario.ID_HOR FROM horario WHERE horario.modulo='1 ' and horario.turno='T ' ),
    'JUEVES '
 );</t>
  </si>
  <si>
    <t>INSERT INTO horario_curso_materia (horario_curso_materia.FK_CUR_mat,horario_curso_materia.FK_HOR,horario_curso_materia.DIA) VALUES (  (SELECT curso_materia.ID_CUR_MAT FROM curso_materia WHERE curso_materia.CUPOF='2680253' ) ,
    (SELECT horario.ID_HOR FROM horario WHERE horario.modulo='1 ' and horario.turno='T ' ),
    'JUEVES '
 );</t>
  </si>
  <si>
    <t>INSERT INTO horario_curso_materia (horario_curso_materia.FK_CUR_mat,horario_curso_materia.FK_HOR,horario_curso_materia.DIA) VALUES (  (SELECT curso_materia.ID_CUR_MAT FROM curso_materia WHERE curso_materia.CUPOF='733689' ) ,
    (SELECT horario.ID_HOR FROM horario WHERE horario.modulo='1 ' and horario.turno='M ' ),
    'LUNES '
 );</t>
  </si>
  <si>
    <t>INSERT INTO horario_curso_materia (horario_curso_materia.FK_CUR_mat,horario_curso_materia.FK_HOR,horario_curso_materia.DIA) VALUES (  (SELECT curso_materia.ID_CUR_MAT FROM curso_materia WHERE curso_materia.CUPOF='2680252' ) ,
    (SELECT horario.ID_HOR FROM horario WHERE horario.modulo='1 ' and horario.turno='T ' ),
    'LUNES '
 );</t>
  </si>
  <si>
    <t>INSERT INTO horario_curso_materia (horario_curso_materia.FK_CUR_mat,horario_curso_materia.FK_HOR,horario_curso_materia.DIA) VALUES (  (SELECT curso_materia.ID_CUR_MAT FROM curso_materia WHERE curso_materia.CUPOF='733495' ) ,
    (SELECT horario.ID_HOR FROM horario WHERE horario.modulo='1 ' and horario.turno='M ' ),
    'MARTES '
 );</t>
  </si>
  <si>
    <t>INSERT INTO horario_curso_materia (horario_curso_materia.FK_CUR_mat,horario_curso_materia.FK_HOR,horario_curso_materia.DIA) VALUES (  (SELECT curso_materia.ID_CUR_MAT FROM curso_materia WHERE curso_materia.CUPOF='1517229' ) ,
    (SELECT horario.ID_HOR FROM horario WHERE horario.modulo='1 ' and horario.turno='M ' ),
    'MIERCOLES '
 );</t>
  </si>
  <si>
    <t>INSERT INTO horario_curso_materia (horario_curso_materia.FK_CUR_mat,horario_curso_materia.FK_HOR,horario_curso_materia.DIA) VALUES (  (SELECT curso_materia.ID_CUR_MAT FROM curso_materia WHERE curso_materia.CUPOF='2680256' ) ,
    (SELECT horario.ID_HOR FROM horario WHERE horario.modulo='1 ' and horario.turno='T ' ),
    'LUNES '
 );</t>
  </si>
  <si>
    <t>INSERT INTO horario_curso_materia (horario_curso_materia.FK_CUR_mat,horario_curso_materia.FK_HOR,horario_curso_materia.DIA) VALUES (  (SELECT curso_materia.ID_CUR_MAT FROM curso_materia WHERE curso_materia.CUPOF='733563' ) ,
    (SELECT horario.ID_HOR FROM horario WHERE horario.modulo='1 ' and horario.turno='M ' ),
    'VIERNES '
 );</t>
  </si>
  <si>
    <t>INSERT INTO horario_curso_materia (horario_curso_materia.FK_CUR_mat,horario_curso_materia.FK_HOR,horario_curso_materia.DIA) VALUES (  (SELECT curso_materia.ID_CUR_MAT FROM curso_materia WHERE curso_materia.CUPOF='2680251' ) ,
    (SELECT horario.ID_HOR FROM horario WHERE horario.modulo='1 ' and horario.turno='T ' ),
    'VIERNES '
 );</t>
  </si>
  <si>
    <t>INSERT INTO horario_curso_materia (horario_curso_materia.FK_CUR_mat,horario_curso_materia.FK_HOR,horario_curso_materia.DIA) VALUES (  (SELECT curso_materia.ID_CUR_MAT FROM curso_materia WHERE curso_materia.CUPOF='2680256' ) ,
    (SELECT horario.ID_HOR FROM horario WHERE horario.modulo='2 ' and horario.turno='T ' ),
    'LUNES '
 );</t>
  </si>
  <si>
    <t>INSERT INTO horario_curso_materia (horario_curso_materia.FK_CUR_mat,horario_curso_materia.FK_HOR,horario_curso_materia.DIA) VALUES (  (SELECT curso_materia.ID_CUR_MAT FROM curso_materia WHERE curso_materia.CUPOF='733722' ) ,
    (SELECT horario.ID_HOR FROM horario WHERE horario.modulo='2 ' and horario.turno='M ' ),
    'JUEVES '
 );</t>
  </si>
  <si>
    <t>INSERT INTO horario_curso_materia (horario_curso_materia.FK_CUR_mat,horario_curso_materia.FK_HOR,horario_curso_materia.DIA) VALUES (  (SELECT curso_materia.ID_CUR_MAT FROM curso_materia WHERE curso_materia.CUPOF='2680250' ) ,
    (SELECT horario.ID_HOR FROM horario WHERE horario.modulo='2 ' and horario.turno='T ' ),
    'JUEVES '
 );</t>
  </si>
  <si>
    <t>INSERT INTO horario_curso_materia (horario_curso_materia.FK_CUR_mat,horario_curso_materia.FK_HOR,horario_curso_materia.DIA) VALUES (  (SELECT curso_materia.ID_CUR_MAT FROM curso_materia WHERE curso_materia.CUPOF='2680253' ) ,
    (SELECT horario.ID_HOR FROM horario WHERE horario.modulo='2 ' and horario.turno='T ' ),
    'JUEVES '
 );</t>
  </si>
  <si>
    <t>INSERT INTO horario_curso_materia (horario_curso_materia.FK_CUR_mat,horario_curso_materia.FK_HOR,horario_curso_materia.DIA) VALUES (  (SELECT curso_materia.ID_CUR_MAT FROM curso_materia WHERE curso_materia.CUPOF='733689' ) ,
    (SELECT horario.ID_HOR FROM horario WHERE horario.modulo='2 ' and horario.turno='M ' ),
    'LUNES '
 );</t>
  </si>
  <si>
    <t>INSERT INTO horario_curso_materia (horario_curso_materia.FK_CUR_mat,horario_curso_materia.FK_HOR,horario_curso_materia.DIA) VALUES (  (SELECT curso_materia.ID_CUR_MAT FROM curso_materia WHERE curso_materia.CUPOF='2680252' ) ,
    (SELECT horario.ID_HOR FROM horario WHERE horario.modulo='2 ' and horario.turno='T ' ),
    'LUNES '
 );</t>
  </si>
  <si>
    <t>INSERT INTO horario_curso_materia (horario_curso_materia.FK_CUR_mat,horario_curso_materia.FK_HOR,horario_curso_materia.DIA) VALUES (  (SELECT curso_materia.ID_CUR_MAT FROM curso_materia WHERE curso_materia.CUPOF='733495' ) ,
    (SELECT horario.ID_HOR FROM horario WHERE horario.modulo='2 ' and horario.turno='M ' ),
    'MARTES '
 );</t>
  </si>
  <si>
    <t>INSERT INTO horario_curso_materia (horario_curso_materia.FK_CUR_mat,horario_curso_materia.FK_HOR,horario_curso_materia.DIA) VALUES (  (SELECT curso_materia.ID_CUR_MAT FROM curso_materia WHERE curso_materia.CUPOF='1517229' ) ,
    (SELECT horario.ID_HOR FROM horario WHERE horario.modulo='2 ' and horario.turno='M ' ),
    'MIERCOLES '
 );</t>
  </si>
  <si>
    <t>INSERT INTO horario_curso_materia (horario_curso_materia.FK_CUR_mat,horario_curso_materia.FK_HOR,horario_curso_materia.DIA) VALUES (  (SELECT curso_materia.ID_CUR_MAT FROM curso_materia WHERE curso_materia.CUPOF='2680256' ) ,
    (SELECT horario.ID_HOR FROM horario WHERE horario.modulo='3 ' and horario.turno='T ' ),
    'LUNES '
 );</t>
  </si>
  <si>
    <t>INSERT INTO horario_curso_materia (horario_curso_materia.FK_CUR_mat,horario_curso_materia.FK_HOR,horario_curso_materia.DIA) VALUES (  (SELECT curso_materia.ID_CUR_MAT FROM curso_materia WHERE curso_materia.CUPOF='733563' ) ,
    (SELECT horario.ID_HOR FROM horario WHERE horario.modulo='2 ' and horario.turno='M ' ),
    'VIERNES '
 );</t>
  </si>
  <si>
    <t>INSERT INTO horario_curso_materia (horario_curso_materia.FK_CUR_mat,horario_curso_materia.FK_HOR,horario_curso_materia.DIA) VALUES (  (SELECT curso_materia.ID_CUR_MAT FROM curso_materia WHERE curso_materia.CUPOF='2680251' ) ,
    (SELECT horario.ID_HOR FROM horario WHERE horario.modulo='2 ' and horario.turno='T ' ),
    'VIERNES '
 );</t>
  </si>
  <si>
    <t>INSERT INTO horario_curso_materia (horario_curso_materia.FK_CUR_mat,horario_curso_materia.FK_HOR,horario_curso_materia.DIA) VALUES (  (SELECT curso_materia.ID_CUR_MAT FROM curso_materia WHERE curso_materia.CUPOF='2680256' ) ,
    (SELECT horario.ID_HOR FROM horario WHERE horario.modulo='4 ' and horario.turno='T ' ),
    'LUNES '
 );</t>
  </si>
  <si>
    <t>INSERT INTO horario_curso_materia (horario_curso_materia.FK_CUR_mat,horario_curso_materia.FK_HOR,horario_curso_materia.DIA) VALUES (  (SELECT curso_materia.ID_CUR_MAT FROM curso_materia WHERE curso_materia.CUPOF='733519' ) ,
    (SELECT horario.ID_HOR FROM horario WHERE horario.modulo='3 ' and horario.turno='M ' ),
    'JUEVES '
 );</t>
  </si>
  <si>
    <t>INSERT INTO horario_curso_materia (horario_curso_materia.FK_CUR_mat,horario_curso_materia.FK_HOR,horario_curso_materia.DIA) VALUES (  (SELECT curso_materia.ID_CUR_MAT FROM curso_materia WHERE curso_materia.CUPOF='2680250' ) ,
    (SELECT horario.ID_HOR FROM horario WHERE horario.modulo='3 ' and horario.turno='T ' ),
    'JUEVES '
 );</t>
  </si>
  <si>
    <t>INSERT INTO horario_curso_materia (horario_curso_materia.FK_CUR_mat,horario_curso_materia.FK_HOR,horario_curso_materia.DIA) VALUES (  (SELECT curso_materia.ID_CUR_MAT FROM curso_materia WHERE curso_materia.CUPOF='2680253' ) ,
    (SELECT horario.ID_HOR FROM horario WHERE horario.modulo='3 ' and horario.turno='T ' ),
    'JUEVES '
 );</t>
  </si>
  <si>
    <t>INSERT INTO horario_curso_materia (horario_curso_materia.FK_CUR_mat,horario_curso_materia.FK_HOR,horario_curso_materia.DIA) VALUES (  (SELECT curso_materia.ID_CUR_MAT FROM curso_materia WHERE curso_materia.CUPOF='1517221' ) ,
    (SELECT horario.ID_HOR FROM horario WHERE horario.modulo='3 ' and horario.turno='M ' ),
    'LUNES '
 );</t>
  </si>
  <si>
    <t>INSERT INTO horario_curso_materia (horario_curso_materia.FK_CUR_mat,horario_curso_materia.FK_HOR,horario_curso_materia.DIA) VALUES (  (SELECT curso_materia.ID_CUR_MAT FROM curso_materia WHERE curso_materia.CUPOF='2680252' ) ,
    (SELECT horario.ID_HOR FROM horario WHERE horario.modulo='3 ' and horario.turno='T ' ),
    'LUNES '
 );</t>
  </si>
  <si>
    <t>INSERT INTO horario_curso_materia (horario_curso_materia.FK_CUR_mat,horario_curso_materia.FK_HOR,horario_curso_materia.DIA) VALUES (  (SELECT curso_materia.ID_CUR_MAT FROM curso_materia WHERE curso_materia.CUPOF='733522' ) ,
    (SELECT horario.ID_HOR FROM horario WHERE horario.modulo='3 ' and horario.turno='M ' ),
    'MARTES '
 );</t>
  </si>
  <si>
    <t>INSERT INTO horario_curso_materia (horario_curso_materia.FK_CUR_mat,horario_curso_materia.FK_HOR,horario_curso_materia.DIA) VALUES (  (SELECT curso_materia.ID_CUR_MAT FROM curso_materia WHERE curso_materia.CUPOF='789629' ) ,
    (SELECT horario.ID_HOR FROM horario WHERE horario.modulo='3 ' and horario.turno='T ' ),
    'MARTES '
 );</t>
  </si>
  <si>
    <t>INSERT INTO horario_curso_materia (horario_curso_materia.FK_CUR_mat,horario_curso_materia.FK_HOR,horario_curso_materia.DIA) VALUES (  (SELECT curso_materia.ID_CUR_MAT FROM curso_materia WHERE curso_materia.CUPOF='733522' ) ,
    (SELECT horario.ID_HOR FROM horario WHERE horario.modulo='3 ' and horario.turno='M ' ),
    'MIERCOLES '
 );</t>
  </si>
  <si>
    <t>INSERT INTO horario_curso_materia (horario_curso_materia.FK_CUR_mat,horario_curso_materia.FK_HOR,horario_curso_materia.DIA) VALUES (  (SELECT curso_materia.ID_CUR_MAT FROM curso_materia WHERE curso_materia.CUPOF='2680254' ) ,
    (SELECT horario.ID_HOR FROM horario WHERE horario.modulo='3 ' and horario.turno='T ' ),
    'MIERCOLES '
 );</t>
  </si>
  <si>
    <t>INSERT INTO horario_curso_materia (horario_curso_materia.FK_CUR_mat,horario_curso_materia.FK_HOR,horario_curso_materia.DIA) VALUES (  (SELECT curso_materia.ID_CUR_MAT FROM curso_materia WHERE curso_materia.CUPOF='733670' ) ,
    (SELECT horario.ID_HOR FROM horario WHERE horario.modulo='3 ' and horario.turno='M ' ),
    'VIERNES '
 );</t>
  </si>
  <si>
    <t>INSERT INTO horario_curso_materia (horario_curso_materia.FK_CUR_mat,horario_curso_materia.FK_HOR,horario_curso_materia.DIA) VALUES (  (SELECT curso_materia.ID_CUR_MAT FROM curso_materia WHERE curso_materia.CUPOF='2680251' ) ,
    (SELECT horario.ID_HOR FROM horario WHERE horario.modulo='3 ' and horario.turno='T ' ),
    'VIERNES '
 );</t>
  </si>
  <si>
    <t>INSERT INTO horario_curso_materia (horario_curso_materia.FK_CUR_mat,horario_curso_materia.FK_HOR,horario_curso_materia.DIA) VALUES (  (SELECT curso_materia.ID_CUR_MAT FROM curso_materia WHERE curso_materia.CUPOF='2680254' ) ,
    (SELECT horario.ID_HOR FROM horario WHERE horario.modulo='3 ' and horario.turno='T ' ),
    'VIERNES '
 );</t>
  </si>
  <si>
    <t>INSERT INTO horario_curso_materia (horario_curso_materia.FK_CUR_mat,horario_curso_materia.FK_HOR,horario_curso_materia.DIA) VALUES (  (SELECT curso_materia.ID_CUR_MAT FROM curso_materia WHERE curso_materia.CUPOF='733519' ) ,
    (SELECT horario.ID_HOR FROM horario WHERE horario.modulo='4 ' and horario.turno='M ' ),
    'JUEVES '
 );</t>
  </si>
  <si>
    <t>INSERT INTO horario_curso_materia (horario_curso_materia.FK_CUR_mat,horario_curso_materia.FK_HOR,horario_curso_materia.DIA) VALUES (  (SELECT curso_materia.ID_CUR_MAT FROM curso_materia WHERE curso_materia.CUPOF='2680250' ) ,
    (SELECT horario.ID_HOR FROM horario WHERE horario.modulo='4 ' and horario.turno='T ' ),
    'JUEVES '
 );</t>
  </si>
  <si>
    <t>INSERT INTO horario_curso_materia (horario_curso_materia.FK_CUR_mat,horario_curso_materia.FK_HOR,horario_curso_materia.DIA) VALUES (  (SELECT curso_materia.ID_CUR_MAT FROM curso_materia WHERE curso_materia.CUPOF='2680253' ) ,
    (SELECT horario.ID_HOR FROM horario WHERE horario.modulo='4 ' and horario.turno='T ' ),
    'JUEVES '
 );</t>
  </si>
  <si>
    <t>INSERT INTO horario_curso_materia (horario_curso_materia.FK_CUR_mat,horario_curso_materia.FK_HOR,horario_curso_materia.DIA) VALUES (  (SELECT curso_materia.ID_CUR_MAT FROM curso_materia WHERE curso_materia.CUPOF='1517221' ) ,
    (SELECT horario.ID_HOR FROM horario WHERE horario.modulo='4 ' and horario.turno='M ' ),
    'LUNES '
 );</t>
  </si>
  <si>
    <t>INSERT INTO horario_curso_materia (horario_curso_materia.FK_CUR_mat,horario_curso_materia.FK_HOR,horario_curso_materia.DIA) VALUES (  (SELECT curso_materia.ID_CUR_MAT FROM curso_materia WHERE curso_materia.CUPOF='2680252' ) ,
    (SELECT horario.ID_HOR FROM horario WHERE horario.modulo='4 ' and horario.turno='T ' ),
    'LUNES '
 );</t>
  </si>
  <si>
    <t>INSERT INTO horario_curso_materia (horario_curso_materia.FK_CUR_mat,horario_curso_materia.FK_HOR,horario_curso_materia.DIA) VALUES (  (SELECT curso_materia.ID_CUR_MAT FROM curso_materia WHERE curso_materia.CUPOF='733522' ) ,
    (SELECT horario.ID_HOR FROM horario WHERE horario.modulo='4 ' and horario.turno='M ' ),
    'MARTES '
 );</t>
  </si>
  <si>
    <t>INSERT INTO horario_curso_materia (horario_curso_materia.FK_CUR_mat,horario_curso_materia.FK_HOR,horario_curso_materia.DIA) VALUES (  (SELECT curso_materia.ID_CUR_MAT FROM curso_materia WHERE curso_materia.CUPOF='789629' ) ,
    (SELECT horario.ID_HOR FROM horario WHERE horario.modulo='4 ' and horario.turno='T ' ),
    'MARTES '
 );</t>
  </si>
  <si>
    <t>INSERT INTO horario_curso_materia (horario_curso_materia.FK_CUR_mat,horario_curso_materia.FK_HOR,horario_curso_materia.DIA) VALUES (  (SELECT curso_materia.ID_CUR_MAT FROM curso_materia WHERE curso_materia.CUPOF='733522' ) ,
    (SELECT horario.ID_HOR FROM horario WHERE horario.modulo='4 ' and horario.turno='M ' ),
    'MIERCOLES '
 );</t>
  </si>
  <si>
    <t>INSERT INTO horario_curso_materia (horario_curso_materia.FK_CUR_mat,horario_curso_materia.FK_HOR,horario_curso_materia.DIA) VALUES (  (SELECT curso_materia.ID_CUR_MAT FROM curso_materia WHERE curso_materia.CUPOF='2680254' ) ,
    (SELECT horario.ID_HOR FROM horario WHERE horario.modulo='4 ' and horario.turno='T ' ),
    'MIERCOLES '
 );</t>
  </si>
  <si>
    <t>INSERT INTO horario_curso_materia (horario_curso_materia.FK_CUR_mat,horario_curso_materia.FK_HOR,horario_curso_materia.DIA) VALUES (  (SELECT curso_materia.ID_CUR_MAT FROM curso_materia WHERE curso_materia.CUPOF='733670' ) ,
    (SELECT horario.ID_HOR FROM horario WHERE horario.modulo='4 ' and horario.turno='M ' ),
    'VIERNES '
 );</t>
  </si>
  <si>
    <t>INSERT INTO horario_curso_materia (horario_curso_materia.FK_CUR_mat,horario_curso_materia.FK_HOR,horario_curso_materia.DIA) VALUES (  (SELECT curso_materia.ID_CUR_MAT FROM curso_materia WHERE curso_materia.CUPOF='2680251' ) ,
    (SELECT horario.ID_HOR FROM horario WHERE horario.modulo='4 ' and horario.turno='T ' ),
    'VIERNES '
 );</t>
  </si>
  <si>
    <t>INSERT INTO horario_curso_materia (horario_curso_materia.FK_CUR_mat,horario_curso_materia.FK_HOR,horario_curso_materia.DIA) VALUES (  (SELECT curso_materia.ID_CUR_MAT FROM curso_materia WHERE curso_materia.CUPOF='2680254' ) ,
    (SELECT horario.ID_HOR FROM horario WHERE horario.modulo='4 ' and horario.turno='T ' ),
    'VIERNES '
 );</t>
  </si>
  <si>
    <t>INSERT INTO horario_curso_materia (horario_curso_materia.FK_CUR_mat,horario_curso_materia.FK_HOR,horario_curso_materia.DIA) VALUES (  (SELECT curso_materia.ID_CUR_MAT FROM curso_materia WHERE curso_materia.CUPOF='733521' ) ,
    (SELECT horario.ID_HOR FROM horario WHERE horario.modulo='5 ' and horario.turno='M ' ),
    'JUEVES '
 );</t>
  </si>
  <si>
    <t>INSERT INTO horario_curso_materia (horario_curso_materia.FK_CUR_mat,horario_curso_materia.FK_HOR,horario_curso_materia.DIA) VALUES (  (SELECT curso_materia.ID_CUR_MAT FROM curso_materia WHERE curso_materia.CUPOF='733521' ) ,
    (SELECT horario.ID_HOR FROM horario WHERE horario.modulo='5 ' and horario.turno='M ' ),
    'LUNES '
 );</t>
  </si>
  <si>
    <t>INSERT INTO horario_curso_materia (horario_curso_materia.FK_CUR_mat,horario_curso_materia.FK_HOR,horario_curso_materia.DIA) VALUES (  (SELECT curso_materia.ID_CUR_MAT FROM curso_materia WHERE curso_materia.CUPOF='733670' ) ,
    (SELECT horario.ID_HOR FROM horario WHERE horario.modulo='5 ' and horario.turno='M ' ),
    'MIERCOLES '
 );</t>
  </si>
  <si>
    <t>INSERT INTO horario_curso_materia (horario_curso_materia.FK_CUR_mat,horario_curso_materia.FK_HOR,horario_curso_materia.DIA) VALUES (  (SELECT curso_materia.ID_CUR_MAT FROM curso_materia WHERE curso_materia.CUPOF='733568' ) ,
    (SELECT horario.ID_HOR FROM horario WHERE horario.modulo='1 ' and horario.turno='V ' ),
    'JUEVES '
 );</t>
  </si>
  <si>
    <t>INSERT INTO horario_curso_materia (horario_curso_materia.FK_CUR_mat,horario_curso_materia.FK_HOR,horario_curso_materia.DIA) VALUES (  (SELECT curso_materia.ID_CUR_MAT FROM curso_materia WHERE curso_materia.CUPOF='2680556' ) ,
    (SELECT horario.ID_HOR FROM horario WHERE horario.modulo='1 ' and horario.turno='M ' ),
    'LUNES '
 );</t>
  </si>
  <si>
    <t>INSERT INTO horario_curso_materia (horario_curso_materia.FK_CUR_mat,horario_curso_materia.FK_HOR,horario_curso_materia.DIA) VALUES (  (SELECT curso_materia.ID_CUR_MAT FROM curso_materia WHERE curso_materia.CUPOF='733426' ) ,
    (SELECT horario.ID_HOR FROM horario WHERE horario.modulo='1 ' and horario.turno='V ' ),
    'LUNES '
 );</t>
  </si>
  <si>
    <t>INSERT INTO horario_curso_materia (horario_curso_materia.FK_CUR_mat,horario_curso_materia.FK_HOR,horario_curso_materia.DIA) VALUES (  (SELECT curso_materia.ID_CUR_MAT FROM curso_materia WHERE curso_materia.CUPOF='2680557' ) ,
    (SELECT horario.ID_HOR FROM horario WHERE horario.modulo='1 ' and horario.turno='M ' ),
    'MARTES '
 );</t>
  </si>
  <si>
    <t>INSERT INTO horario_curso_materia (horario_curso_materia.FK_CUR_mat,horario_curso_materia.FK_HOR,horario_curso_materia.DIA) VALUES (  (SELECT curso_materia.ID_CUR_MAT FROM curso_materia WHERE curso_materia.CUPOF='2680559' ) ,
    (SELECT horario.ID_HOR FROM horario WHERE horario.modulo='1 ' and horario.turno='M ' ),
    'MARTES '
 );</t>
  </si>
  <si>
    <t>INSERT INTO horario_curso_materia (horario_curso_materia.FK_CUR_mat,horario_curso_materia.FK_HOR,horario_curso_materia.DIA) VALUES (  (SELECT curso_materia.ID_CUR_MAT FROM curso_materia WHERE curso_materia.CUPOF='733423' ) ,
    (SELECT horario.ID_HOR FROM horario WHERE horario.modulo='1 ' and horario.turno='V ' ),
    'MARTES '
 );</t>
  </si>
  <si>
    <t>INSERT INTO horario_curso_materia (horario_curso_materia.FK_CUR_mat,horario_curso_materia.FK_HOR,horario_curso_materia.DIA) VALUES (  (SELECT curso_materia.ID_CUR_MAT FROM curso_materia WHERE curso_materia.CUPOF='2680560' ) ,
    (SELECT horario.ID_HOR FROM horario WHERE horario.modulo='1 ' and horario.turno='M ' ),
    'MIERCOLES '
 );</t>
  </si>
  <si>
    <t>INSERT INTO horario_curso_materia (horario_curso_materia.FK_CUR_mat,horario_curso_materia.FK_HOR,horario_curso_materia.DIA) VALUES (  (SELECT curso_materia.ID_CUR_MAT FROM curso_materia WHERE curso_materia.CUPOF='1517208' ) ,
    (SELECT horario.ID_HOR FROM horario WHERE horario.modulo='1 ' and horario.turno='V ' ),
    'MIERCOLES '
 );</t>
  </si>
  <si>
    <t>INSERT INTO horario_curso_materia (horario_curso_materia.FK_CUR_mat,horario_curso_materia.FK_HOR,horario_curso_materia.DIA) VALUES (  (SELECT curso_materia.ID_CUR_MAT FROM curso_materia WHERE curso_materia.CUPOF='2680558' ) ,
    (SELECT horario.ID_HOR FROM horario WHERE horario.modulo='1 ' and horario.turno='M ' ),
    'VIERNES '
 );</t>
  </si>
  <si>
    <t>INSERT INTO horario_curso_materia (horario_curso_materia.FK_CUR_mat,horario_curso_materia.FK_HOR,horario_curso_materia.DIA) VALUES (  (SELECT curso_materia.ID_CUR_MAT FROM curso_materia WHERE curso_materia.CUPOF='2680561' ) ,
    (SELECT horario.ID_HOR FROM horario WHERE horario.modulo='1 ' and horario.turno='M ' ),
    'VIERNES '
 );</t>
  </si>
  <si>
    <t>INSERT INTO horario_curso_materia (horario_curso_materia.FK_CUR_mat,horario_curso_materia.FK_HOR,horario_curso_materia.DIA) VALUES (  (SELECT curso_materia.ID_CUR_MAT FROM curso_materia WHERE curso_materia.CUPOF='733568' ) ,
    (SELECT horario.ID_HOR FROM horario WHERE horario.modulo='1 ' and horario.turno='V ' ),
    'VIERNES '
 );</t>
  </si>
  <si>
    <t>INSERT INTO horario_curso_materia (horario_curso_materia.FK_CUR_mat,horario_curso_materia.FK_HOR,horario_curso_materia.DIA) VALUES (  (SELECT curso_materia.ID_CUR_MAT FROM curso_materia WHERE curso_materia.CUPOF='733568' ) ,
    (SELECT horario.ID_HOR FROM horario WHERE horario.modulo='2 ' and horario.turno='V ' ),
    'JUEVES '
 );</t>
  </si>
  <si>
    <t>INSERT INTO horario_curso_materia (horario_curso_materia.FK_CUR_mat,horario_curso_materia.FK_HOR,horario_curso_materia.DIA) VALUES (  (SELECT curso_materia.ID_CUR_MAT FROM curso_materia WHERE curso_materia.CUPOF='2680556' ) ,
    (SELECT horario.ID_HOR FROM horario WHERE horario.modulo='2 ' and horario.turno='M ' ),
    'LUNES '
 );</t>
  </si>
  <si>
    <t>INSERT INTO horario_curso_materia (horario_curso_materia.FK_CUR_mat,horario_curso_materia.FK_HOR,horario_curso_materia.DIA) VALUES (  (SELECT curso_materia.ID_CUR_MAT FROM curso_materia WHERE curso_materia.CUPOF='733426' ) ,
    (SELECT horario.ID_HOR FROM horario WHERE horario.modulo='2 ' and horario.turno='V ' ),
    'LUNES '
 );</t>
  </si>
  <si>
    <t>INSERT INTO horario_curso_materia (horario_curso_materia.FK_CUR_mat,horario_curso_materia.FK_HOR,horario_curso_materia.DIA) VALUES (  (SELECT curso_materia.ID_CUR_MAT FROM curso_materia WHERE curso_materia.CUPOF='2680557' ) ,
    (SELECT horario.ID_HOR FROM horario WHERE horario.modulo='2 ' and horario.turno='M ' ),
    'MARTES '
 );</t>
  </si>
  <si>
    <t>INSERT INTO horario_curso_materia (horario_curso_materia.FK_CUR_mat,horario_curso_materia.FK_HOR,horario_curso_materia.DIA) VALUES (  (SELECT curso_materia.ID_CUR_MAT FROM curso_materia WHERE curso_materia.CUPOF='2680559' ) ,
    (SELECT horario.ID_HOR FROM horario WHERE horario.modulo='2 ' and horario.turno='M ' ),
    'MARTES '
 );</t>
  </si>
  <si>
    <t>INSERT INTO horario_curso_materia (horario_curso_materia.FK_CUR_mat,horario_curso_materia.FK_HOR,horario_curso_materia.DIA) VALUES (  (SELECT curso_materia.ID_CUR_MAT FROM curso_materia WHERE curso_materia.CUPOF='733706' ) ,
    (SELECT horario.ID_HOR FROM horario WHERE horario.modulo='2 ' and horario.turno='V ' ),
    'MARTES '
 );</t>
  </si>
  <si>
    <t>INSERT INTO horario_curso_materia (horario_curso_materia.FK_CUR_mat,horario_curso_materia.FK_HOR,horario_curso_materia.DIA) VALUES (  (SELECT curso_materia.ID_CUR_MAT FROM curso_materia WHERE curso_materia.CUPOF='2680560' ) ,
    (SELECT horario.ID_HOR FROM horario WHERE horario.modulo='2 ' and horario.turno='M ' ),
    'MIERCOLES '
 );</t>
  </si>
  <si>
    <t>INSERT INTO horario_curso_materia (horario_curso_materia.FK_CUR_mat,horario_curso_materia.FK_HOR,horario_curso_materia.DIA) VALUES (  (SELECT curso_materia.ID_CUR_MAT FROM curso_materia WHERE curso_materia.CUPOF='1517208' ) ,
    (SELECT horario.ID_HOR FROM horario WHERE horario.modulo='2 ' and horario.turno='V ' ),
    'MIERCOLES '
 );</t>
  </si>
  <si>
    <t>INSERT INTO horario_curso_materia (horario_curso_materia.FK_CUR_mat,horario_curso_materia.FK_HOR,horario_curso_materia.DIA) VALUES (  (SELECT curso_materia.ID_CUR_MAT FROM curso_materia WHERE curso_materia.CUPOF='2680558' ) ,
    (SELECT horario.ID_HOR FROM horario WHERE horario.modulo='2 ' and horario.turno='M ' ),
    'VIERNES '
 );</t>
  </si>
  <si>
    <t>INSERT INTO horario_curso_materia (horario_curso_materia.FK_CUR_mat,horario_curso_materia.FK_HOR,horario_curso_materia.DIA) VALUES (  (SELECT curso_materia.ID_CUR_MAT FROM curso_materia WHERE curso_materia.CUPOF='2680561' ) ,
    (SELECT horario.ID_HOR FROM horario WHERE horario.modulo='2 ' and horario.turno='M ' ),
    'VIERNES '
 );</t>
  </si>
  <si>
    <t>INSERT INTO horario_curso_materia (horario_curso_materia.FK_CUR_mat,horario_curso_materia.FK_HOR,horario_curso_materia.DIA) VALUES (  (SELECT curso_materia.ID_CUR_MAT FROM curso_materia WHERE curso_materia.CUPOF='733568' ) ,
    (SELECT horario.ID_HOR FROM horario WHERE horario.modulo='2 ' and horario.turno='V ' ),
    'VIERNES '
 );</t>
  </si>
  <si>
    <t>INSERT INTO horario_curso_materia (horario_curso_materia.FK_CUR_mat,horario_curso_materia.FK_HOR,horario_curso_materia.DIA) VALUES (  (SELECT curso_materia.ID_CUR_MAT FROM curso_materia WHERE curso_materia.CUPOF='733645' ) ,
    (SELECT horario.ID_HOR FROM horario WHERE horario.modulo='3 ' and horario.turno='M ' ),
    'JUEVES '
 );</t>
  </si>
  <si>
    <t>INSERT INTO horario_curso_materia (horario_curso_materia.FK_CUR_mat,horario_curso_materia.FK_HOR,horario_curso_materia.DIA) VALUES (  (SELECT curso_materia.ID_CUR_MAT FROM curso_materia WHERE curso_materia.CUPOF='789654' ) ,
    (SELECT horario.ID_HOR FROM horario WHERE horario.modulo='3 ' and horario.turno='V ' ),
    'JUEVES '
 );</t>
  </si>
  <si>
    <t>INSERT INTO horario_curso_materia (horario_curso_materia.FK_CUR_mat,horario_curso_materia.FK_HOR,horario_curso_materia.DIA) VALUES (  (SELECT curso_materia.ID_CUR_MAT FROM curso_materia WHERE curso_materia.CUPOF='2680556' ) ,
    (SELECT horario.ID_HOR FROM horario WHERE horario.modulo='3 ' and horario.turno='M ' ),
    'LUNES '
 );</t>
  </si>
  <si>
    <t>INSERT INTO horario_curso_materia (horario_curso_materia.FK_CUR_mat,horario_curso_materia.FK_HOR,horario_curso_materia.DIA) VALUES (  (SELECT curso_materia.ID_CUR_MAT FROM curso_materia WHERE curso_materia.CUPOF='790146' ) ,
    (SELECT horario.ID_HOR FROM horario WHERE horario.modulo='3 ' and horario.turno='V ' ),
    'LUNES '
 );</t>
  </si>
  <si>
    <t>INSERT INTO horario_curso_materia (horario_curso_materia.FK_CUR_mat,horario_curso_materia.FK_HOR,horario_curso_materia.DIA) VALUES (  (SELECT curso_materia.ID_CUR_MAT FROM curso_materia WHERE curso_materia.CUPOF='2680557' ) ,
    (SELECT horario.ID_HOR FROM horario WHERE horario.modulo='3 ' and horario.turno='M ' ),
    'MARTES '
 );</t>
  </si>
  <si>
    <t>INSERT INTO horario_curso_materia (horario_curso_materia.FK_CUR_mat,horario_curso_materia.FK_HOR,horario_curso_materia.DIA) VALUES (  (SELECT curso_materia.ID_CUR_MAT FROM curso_materia WHERE curso_materia.CUPOF='2680559' ) ,
    (SELECT horario.ID_HOR FROM horario WHERE horario.modulo='3 ' and horario.turno='M ' ),
    'MARTES '
 );</t>
  </si>
  <si>
    <t>INSERT INTO horario_curso_materia (horario_curso_materia.FK_CUR_mat,horario_curso_materia.FK_HOR,horario_curso_materia.DIA) VALUES (  (SELECT curso_materia.ID_CUR_MAT FROM curso_materia WHERE curso_materia.CUPOF='733706' ) ,
    (SELECT horario.ID_HOR FROM horario WHERE horario.modulo='3 ' and horario.turno='V ' ),
    'MARTES '
 );</t>
  </si>
  <si>
    <t>INSERT INTO horario_curso_materia (horario_curso_materia.FK_CUR_mat,horario_curso_materia.FK_HOR,horario_curso_materia.DIA) VALUES (  (SELECT curso_materia.ID_CUR_MAT FROM curso_materia WHERE curso_materia.CUPOF='2680560' ) ,
    (SELECT horario.ID_HOR FROM horario WHERE horario.modulo='3 ' and horario.turno='M ' ),
    'MIERCOLES '
 );</t>
  </si>
  <si>
    <t>INSERT INTO horario_curso_materia (horario_curso_materia.FK_CUR_mat,horario_curso_materia.FK_HOR,horario_curso_materia.DIA) VALUES (  (SELECT curso_materia.ID_CUR_MAT FROM curso_materia WHERE curso_materia.CUPOF='1517205' ) ,
    (SELECT horario.ID_HOR FROM horario WHERE horario.modulo='3 ' and horario.turno='V ' ),
    'MIERCOLES '
 );</t>
  </si>
  <si>
    <t>INSERT INTO horario_curso_materia (horario_curso_materia.FK_CUR_mat,horario_curso_materia.FK_HOR,horario_curso_materia.DIA) VALUES (  (SELECT curso_materia.ID_CUR_MAT FROM curso_materia WHERE curso_materia.CUPOF='2680558' ) ,
    (SELECT horario.ID_HOR FROM horario WHERE horario.modulo='3 ' and horario.turno='M ' ),
    'VIERNES '
 );</t>
  </si>
  <si>
    <t>INSERT INTO horario_curso_materia (horario_curso_materia.FK_CUR_mat,horario_curso_materia.FK_HOR,horario_curso_materia.DIA) VALUES (  (SELECT curso_materia.ID_CUR_MAT FROM curso_materia WHERE curso_materia.CUPOF='2680561' ) ,
    (SELECT horario.ID_HOR FROM horario WHERE horario.modulo='3 ' and horario.turno='M ' ),
    'VIERNES '
 );</t>
  </si>
  <si>
    <t>INSERT INTO horario_curso_materia (horario_curso_materia.FK_CUR_mat,horario_curso_materia.FK_HOR,horario_curso_materia.DIA) VALUES (  (SELECT curso_materia.ID_CUR_MAT FROM curso_materia WHERE curso_materia.CUPOF='733703' ) ,
    (SELECT horario.ID_HOR FROM horario WHERE horario.modulo='3 ' and horario.turno='V ' ),
    'VIERNES '
 );</t>
  </si>
  <si>
    <t>INSERT INTO horario_curso_materia (horario_curso_materia.FK_CUR_mat,horario_curso_materia.FK_HOR,horario_curso_materia.DIA) VALUES (  (SELECT curso_materia.ID_CUR_MAT FROM curso_materia WHERE curso_materia.CUPOF='733645' ) ,
    (SELECT horario.ID_HOR FROM horario WHERE horario.modulo='4 ' and horario.turno='M ' ),
    'JUEVES '
 );</t>
  </si>
  <si>
    <t>INSERT INTO horario_curso_materia (horario_curso_materia.FK_CUR_mat,horario_curso_materia.FK_HOR,horario_curso_materia.DIA) VALUES (  (SELECT curso_materia.ID_CUR_MAT FROM curso_materia WHERE curso_materia.CUPOF='789654' ) ,
    (SELECT horario.ID_HOR FROM horario WHERE horario.modulo='4 ' and horario.turno='V ' ),
    'JUEVES '
 );</t>
  </si>
  <si>
    <t>INSERT INTO horario_curso_materia (horario_curso_materia.FK_CUR_mat,horario_curso_materia.FK_HOR,horario_curso_materia.DIA) VALUES (  (SELECT curso_materia.ID_CUR_MAT FROM curso_materia WHERE curso_materia.CUPOF='2680556' ) ,
    (SELECT horario.ID_HOR FROM horario WHERE horario.modulo='4 ' and horario.turno='M ' ),
    'LUNES '
 );</t>
  </si>
  <si>
    <t>INSERT INTO horario_curso_materia (horario_curso_materia.FK_CUR_mat,horario_curso_materia.FK_HOR,horario_curso_materia.DIA) VALUES (  (SELECT curso_materia.ID_CUR_MAT FROM curso_materia WHERE curso_materia.CUPOF='790146' ) ,
    (SELECT horario.ID_HOR FROM horario WHERE horario.modulo='4 ' and horario.turno='V ' ),
    'LUNES '
 );</t>
  </si>
  <si>
    <t>INSERT INTO horario_curso_materia (horario_curso_materia.FK_CUR_mat,horario_curso_materia.FK_HOR,horario_curso_materia.DIA) VALUES (  (SELECT curso_materia.ID_CUR_MAT FROM curso_materia WHERE curso_materia.CUPOF='2680557' ) ,
    (SELECT horario.ID_HOR FROM horario WHERE horario.modulo='4 ' and horario.turno='M ' ),
    'MARTES '
 );</t>
  </si>
  <si>
    <t>INSERT INTO horario_curso_materia (horario_curso_materia.FK_CUR_mat,horario_curso_materia.FK_HOR,horario_curso_materia.DIA) VALUES (  (SELECT curso_materia.ID_CUR_MAT FROM curso_materia WHERE curso_materia.CUPOF='2680559' ) ,
    (SELECT horario.ID_HOR FROM horario WHERE horario.modulo='4 ' and horario.turno='M ' ),
    'MARTES '
 );</t>
  </si>
  <si>
    <t>INSERT INTO horario_curso_materia (horario_curso_materia.FK_CUR_mat,horario_curso_materia.FK_HOR,horario_curso_materia.DIA) VALUES (  (SELECT curso_materia.ID_CUR_MAT FROM curso_materia WHERE curso_materia.CUPOF='733706' ) ,
    (SELECT horario.ID_HOR FROM horario WHERE horario.modulo='4 ' and horario.turno='V ' ),
    'MARTES '
 );</t>
  </si>
  <si>
    <t>INSERT INTO horario_curso_materia (horario_curso_materia.FK_CUR_mat,horario_curso_materia.FK_HOR,horario_curso_materia.DIA) VALUES (  (SELECT curso_materia.ID_CUR_MAT FROM curso_materia WHERE curso_materia.CUPOF='2680560' ) ,
    (SELECT horario.ID_HOR FROM horario WHERE horario.modulo='4 ' and horario.turno='M ' ),
    'MIERCOLES '
 );</t>
  </si>
  <si>
    <t>INSERT INTO horario_curso_materia (horario_curso_materia.FK_CUR_mat,horario_curso_materia.FK_HOR,horario_curso_materia.DIA) VALUES (  (SELECT curso_materia.ID_CUR_MAT FROM curso_materia WHERE curso_materia.CUPOF='1517205' ) ,
    (SELECT horario.ID_HOR FROM horario WHERE horario.modulo='4 ' and horario.turno='V ' ),
    'MIERCOLES '
 );</t>
  </si>
  <si>
    <t>INSERT INTO horario_curso_materia (horario_curso_materia.FK_CUR_mat,horario_curso_materia.FK_HOR,horario_curso_materia.DIA) VALUES (  (SELECT curso_materia.ID_CUR_MAT FROM curso_materia WHERE curso_materia.CUPOF='2680558' ) ,
    (SELECT horario.ID_HOR FROM horario WHERE horario.modulo='4 ' and horario.turno='M ' ),
    'VIERNES '
 );</t>
  </si>
  <si>
    <t>INSERT INTO horario_curso_materia (horario_curso_materia.FK_CUR_mat,horario_curso_materia.FK_HOR,horario_curso_materia.DIA) VALUES (  (SELECT curso_materia.ID_CUR_MAT FROM curso_materia WHERE curso_materia.CUPOF='2680561' ) ,
    (SELECT horario.ID_HOR FROM horario WHERE horario.modulo='4 ' and horario.turno='M ' ),
    'VIERNES '
 );</t>
  </si>
  <si>
    <t>INSERT INTO horario_curso_materia (horario_curso_materia.FK_CUR_mat,horario_curso_materia.FK_HOR,horario_curso_materia.DIA) VALUES (  (SELECT curso_materia.ID_CUR_MAT FROM curso_materia WHERE curso_materia.CUPOF='733703' ) ,
    (SELECT horario.ID_HOR FROM horario WHERE horario.modulo='4 ' and horario.turno='V ' ),
    'VIERNES '
 );</t>
  </si>
  <si>
    <t>INSERT INTO horario_curso_materia (horario_curso_materia.FK_CUR_mat,horario_curso_materia.FK_HOR,horario_curso_materia.DIA) VALUES (  (SELECT curso_materia.ID_CUR_MAT FROM curso_materia WHERE curso_materia.CUPOF='733417' ) ,
    (SELECT horario.ID_HOR FROM horario WHERE horario.modulo='prehora ' and horario.turno='V ' ),
    'JUEVES '
 );</t>
  </si>
  <si>
    <t>INSERT INTO horario_curso_materia (horario_curso_materia.FK_CUR_mat,horario_curso_materia.FK_HOR,horario_curso_materia.DIA) VALUES (  (SELECT curso_materia.ID_CUR_MAT FROM curso_materia WHERE curso_materia.CUPOF='733417' ) ,
    (SELECT horario.ID_HOR FROM horario WHERE horario.modulo='prehora ' and horario.turno='V ' ),
    'LUNES '
 );</t>
  </si>
  <si>
    <t>INSERT INTO horario_curso_materia (horario_curso_materia.FK_CUR_mat,horario_curso_materia.FK_HOR,horario_curso_materia.DIA) VALUES (  (SELECT curso_materia.ID_CUR_MAT FROM curso_materia WHERE curso_materia.CUPOF='733423' ) ,
    (SELECT horario.ID_HOR FROM horario WHERE horario.modulo='prehora ' and horario.turno='V ' ),
    'MARTES '
 );</t>
  </si>
  <si>
    <t>INSERT INTO horario_curso_materia (horario_curso_materia.FK_CUR_mat,horario_curso_materia.FK_HOR,horario_curso_materia.DIA) VALUES (  (SELECT curso_materia.ID_CUR_MAT FROM curso_materia WHERE curso_materia.CUPOF='2680574' ) ,
    (SELECT horario.ID_HOR FROM horario WHERE horario.modulo='1 ' and horario.turno='T ' ),
    'LUNES '
 );</t>
  </si>
  <si>
    <t>INSERT INTO horario_curso_materia (horario_curso_materia.FK_CUR_mat,horario_curso_materia.FK_HOR,horario_curso_materia.DIA) VALUES (  (SELECT curso_materia.ID_CUR_MAT FROM curso_materia WHERE curso_materia.CUPOF='2680578' ) ,
    (SELECT horario.ID_HOR FROM horario WHERE horario.modulo='1 ' and horario.turno='T ' ),
    'JUEVES '
 );</t>
  </si>
  <si>
    <t>INSERT INTO horario_curso_materia (horario_curso_materia.FK_CUR_mat,horario_curso_materia.FK_HOR,horario_curso_materia.DIA) VALUES (  (SELECT curso_materia.ID_CUR_MAT FROM curso_materia WHERE curso_materia.CUPOF='733651' ) ,
    (SELECT horario.ID_HOR FROM horario WHERE horario.modulo='1 ' and horario.turno='V ' ),
    'JUEVES '
 );</t>
  </si>
  <si>
    <t>INSERT INTO horario_curso_materia (horario_curso_materia.FK_CUR_mat,horario_curso_materia.FK_HOR,horario_curso_materia.DIA) VALUES (  (SELECT curso_materia.ID_CUR_MAT FROM curso_materia WHERE curso_materia.CUPOF='2680572' ) ,
    (SELECT horario.ID_HOR FROM horario WHERE horario.modulo='3 ' and horario.turno='M ' ),
    'MIERCOLES '
 );</t>
  </si>
  <si>
    <t>INSERT INTO horario_curso_materia (horario_curso_materia.FK_CUR_mat,horario_curso_materia.FK_HOR,horario_curso_materia.DIA) VALUES (  (SELECT curso_materia.ID_CUR_MAT FROM curso_materia WHERE curso_materia.CUPOF='2680577' ) ,
    (SELECT horario.ID_HOR FROM horario WHERE horario.modulo='1 ' and horario.turno='T ' ),
    'LUNES '
 );</t>
  </si>
  <si>
    <t>INSERT INTO horario_curso_materia (horario_curso_materia.FK_CUR_mat,horario_curso_materia.FK_HOR,horario_curso_materia.DIA) VALUES (  (SELECT curso_materia.ID_CUR_MAT FROM curso_materia WHERE curso_materia.CUPOF='733651' ) ,
    (SELECT horario.ID_HOR FROM horario WHERE horario.modulo='1 ' and horario.turno='V ' ),
    'LUNES '
 );</t>
  </si>
  <si>
    <t>INSERT INTO horario_curso_materia (horario_curso_materia.FK_CUR_mat,horario_curso_materia.FK_HOR,horario_curso_materia.DIA) VALUES (  (SELECT curso_materia.ID_CUR_MAT FROM curso_materia WHERE curso_materia.CUPOF='733402' ) ,
    (SELECT horario.ID_HOR FROM horario WHERE horario.modulo='1 ' and horario.turno='T ' ),
    'MARTES '
 );</t>
  </si>
  <si>
    <t>INSERT INTO horario_curso_materia (horario_curso_materia.FK_CUR_mat,horario_curso_materia.FK_HOR,horario_curso_materia.DIA) VALUES (  (SELECT curso_materia.ID_CUR_MAT FROM curso_materia WHERE curso_materia.CUPOF='733672' ) ,
    (SELECT horario.ID_HOR FROM horario WHERE horario.modulo='1 ' and horario.turno='V ' ),
    'MARTES '
 );</t>
  </si>
  <si>
    <t>INSERT INTO horario_curso_materia (horario_curso_materia.FK_CUR_mat,horario_curso_materia.FK_HOR,horario_curso_materia.DIA) VALUES (  (SELECT curso_materia.ID_CUR_MAT FROM curso_materia WHERE curso_materia.CUPOF='2680575' ) ,
    (SELECT horario.ID_HOR FROM horario WHERE horario.modulo='1 ' and horario.turno='T ' ),
    'MIERCOLES '
 );</t>
  </si>
  <si>
    <t>INSERT INTO horario_curso_materia (horario_curso_materia.FK_CUR_mat,horario_curso_materia.FK_HOR,horario_curso_materia.DIA) VALUES (  (SELECT curso_materia.ID_CUR_MAT FROM curso_materia WHERE curso_materia.CUPOF='733650' ) ,
    (SELECT horario.ID_HOR FROM horario WHERE horario.modulo='1 ' and horario.turno='V ' ),
    'MIERCOLES '
 );</t>
  </si>
  <si>
    <t>INSERT INTO horario_curso_materia (horario_curso_materia.FK_CUR_mat,horario_curso_materia.FK_HOR,horario_curso_materia.DIA) VALUES (  (SELECT curso_materia.ID_CUR_MAT FROM curso_materia WHERE curso_materia.CUPOF='2680573' ) ,
    (SELECT horario.ID_HOR FROM horario WHERE horario.modulo='3 ' and horario.turno='T ' ),
    'MIERCOLES '
 );</t>
  </si>
  <si>
    <t>INSERT INTO horario_curso_materia (horario_curso_materia.FK_CUR_mat,horario_curso_materia.FK_HOR,horario_curso_materia.DIA) VALUES (  (SELECT curso_materia.ID_CUR_MAT FROM curso_materia WHERE curso_materia.CUPOF='2680576' ) ,
    (SELECT horario.ID_HOR FROM horario WHERE horario.modulo='1 ' and horario.turno='M ' ),
    'MIERCOLES '
 );</t>
  </si>
  <si>
    <t>INSERT INTO horario_curso_materia (horario_curso_materia.FK_CUR_mat,horario_curso_materia.FK_HOR,horario_curso_materia.DIA) VALUES (  (SELECT curso_materia.ID_CUR_MAT FROM curso_materia WHERE curso_materia.CUPOF='1643750' ) ,
    (SELECT horario.ID_HOR FROM horario WHERE horario.modulo='1 ' and horario.turno='V ' ),
    'VIERNES '
 );</t>
  </si>
  <si>
    <t>INSERT INTO horario_curso_materia (horario_curso_materia.FK_CUR_mat,horario_curso_materia.FK_HOR,horario_curso_materia.DIA) VALUES (  (SELECT curso_materia.ID_CUR_MAT FROM curso_materia WHERE curso_materia.CUPOF='2680574' ) ,
    (SELECT horario.ID_HOR FROM horario WHERE horario.modulo='2 ' and horario.turno='T ' ),
    'LUNES '
 );</t>
  </si>
  <si>
    <t>INSERT INTO horario_curso_materia (horario_curso_materia.FK_CUR_mat,horario_curso_materia.FK_HOR,horario_curso_materia.DIA) VALUES (  (SELECT curso_materia.ID_CUR_MAT FROM curso_materia WHERE curso_materia.CUPOF='2680578' ) ,
    (SELECT horario.ID_HOR FROM horario WHERE horario.modulo='2 ' and horario.turno='T ' ),
    'JUEVES '
 );</t>
  </si>
  <si>
    <t>INSERT INTO horario_curso_materia (horario_curso_materia.FK_CUR_mat,horario_curso_materia.FK_HOR,horario_curso_materia.DIA) VALUES (  (SELECT curso_materia.ID_CUR_MAT FROM curso_materia WHERE curso_materia.CUPOF='733651' ) ,
    (SELECT horario.ID_HOR FROM horario WHERE horario.modulo='2 ' and horario.turno='V ' ),
    'JUEVES '
 );</t>
  </si>
  <si>
    <t>INSERT INTO horario_curso_materia (horario_curso_materia.FK_CUR_mat,horario_curso_materia.FK_HOR,horario_curso_materia.DIA) VALUES (  (SELECT curso_materia.ID_CUR_MAT FROM curso_materia WHERE curso_materia.CUPOF='2680572' ) ,
    (SELECT horario.ID_HOR FROM horario WHERE horario.modulo='4 ' and horario.turno='M ' ),
    'MIERCOLES '
 );</t>
  </si>
  <si>
    <t>INSERT INTO horario_curso_materia (horario_curso_materia.FK_CUR_mat,horario_curso_materia.FK_HOR,horario_curso_materia.DIA) VALUES (  (SELECT curso_materia.ID_CUR_MAT FROM curso_materia WHERE curso_materia.CUPOF='2680577' ) ,
    (SELECT horario.ID_HOR FROM horario WHERE horario.modulo='2 ' and horario.turno='T ' ),
    'LUNES '
 );</t>
  </si>
  <si>
    <t>INSERT INTO horario_curso_materia (horario_curso_materia.FK_CUR_mat,horario_curso_materia.FK_HOR,horario_curso_materia.DIA) VALUES (  (SELECT curso_materia.ID_CUR_MAT FROM curso_materia WHERE curso_materia.CUPOF='733651' ) ,
    (SELECT horario.ID_HOR FROM horario WHERE horario.modulo='2 ' and horario.turno='V ' ),
    'LUNES '
 );</t>
  </si>
  <si>
    <t>INSERT INTO horario_curso_materia (horario_curso_materia.FK_CUR_mat,horario_curso_materia.FK_HOR,horario_curso_materia.DIA) VALUES (  (SELECT curso_materia.ID_CUR_MAT FROM curso_materia WHERE curso_materia.CUPOF='733402' ) ,
    (SELECT horario.ID_HOR FROM horario WHERE horario.modulo='2 ' and horario.turno='T ' ),
    'MARTES '
 );</t>
  </si>
  <si>
    <t>INSERT INTO horario_curso_materia (horario_curso_materia.FK_CUR_mat,horario_curso_materia.FK_HOR,horario_curso_materia.DIA) VALUES (  (SELECT curso_materia.ID_CUR_MAT FROM curso_materia WHERE curso_materia.CUPOF='733672' ) ,
    (SELECT horario.ID_HOR FROM horario WHERE horario.modulo='2 ' and horario.turno='V ' ),
    'MARTES '
 );</t>
  </si>
  <si>
    <t>INSERT INTO horario_curso_materia (horario_curso_materia.FK_CUR_mat,horario_curso_materia.FK_HOR,horario_curso_materia.DIA) VALUES (  (SELECT curso_materia.ID_CUR_MAT FROM curso_materia WHERE curso_materia.CUPOF='2680575' ) ,
    (SELECT horario.ID_HOR FROM horario WHERE horario.modulo='2 ' and horario.turno='T ' ),
    'MIERCOLES '
 );</t>
  </si>
  <si>
    <t>INSERT INTO horario_curso_materia (horario_curso_materia.FK_CUR_mat,horario_curso_materia.FK_HOR,horario_curso_materia.DIA) VALUES (  (SELECT curso_materia.ID_CUR_MAT FROM curso_materia WHERE curso_materia.CUPOF='733650' ) ,
    (SELECT horario.ID_HOR FROM horario WHERE horario.modulo='2 ' and horario.turno='V ' ),
    'MIERCOLES '
 );</t>
  </si>
  <si>
    <t>INSERT INTO horario_curso_materia (horario_curso_materia.FK_CUR_mat,horario_curso_materia.FK_HOR,horario_curso_materia.DIA) VALUES (  (SELECT curso_materia.ID_CUR_MAT FROM curso_materia WHERE curso_materia.CUPOF='2680573' ) ,
    (SELECT horario.ID_HOR FROM horario WHERE horario.modulo='4 ' and horario.turno='T ' ),
    'MIERCOLES '
 );</t>
  </si>
  <si>
    <t>INSERT INTO horario_curso_materia (horario_curso_materia.FK_CUR_mat,horario_curso_materia.FK_HOR,horario_curso_materia.DIA) VALUES (  (SELECT curso_materia.ID_CUR_MAT FROM curso_materia WHERE curso_materia.CUPOF='2680576' ) ,
    (SELECT horario.ID_HOR FROM horario WHERE horario.modulo='2 ' and horario.turno='M ' ),
    'MIERCOLES '
 );</t>
  </si>
  <si>
    <t>INSERT INTO horario_curso_materia (horario_curso_materia.FK_CUR_mat,horario_curso_materia.FK_HOR,horario_curso_materia.DIA) VALUES (  (SELECT curso_materia.ID_CUR_MAT FROM curso_materia WHERE curso_materia.CUPOF='733570' ) ,
    (SELECT horario.ID_HOR FROM horario WHERE horario.modulo='2 ' and horario.turno='V ' ),
    'VIERNES '
 );</t>
  </si>
  <si>
    <t>INSERT INTO horario_curso_materia (horario_curso_materia.FK_CUR_mat,horario_curso_materia.FK_HOR,horario_curso_materia.DIA) VALUES (  (SELECT curso_materia.ID_CUR_MAT FROM curso_materia WHERE curso_materia.CUPOF='2680574' ) ,
    (SELECT horario.ID_HOR FROM horario WHERE horario.modulo='3 ' and horario.turno='T ' ),
    'LUNES '
 );</t>
  </si>
  <si>
    <t>INSERT INTO horario_curso_materia (horario_curso_materia.FK_CUR_mat,horario_curso_materia.FK_HOR,horario_curso_materia.DIA) VALUES (  (SELECT curso_materia.ID_CUR_MAT FROM curso_materia WHERE curso_materia.CUPOF='2680578' ) ,
    (SELECT horario.ID_HOR FROM horario WHERE horario.modulo='3 ' and horario.turno='T ' ),
    'JUEVES '
 );</t>
  </si>
  <si>
    <t>INSERT INTO horario_curso_materia (horario_curso_materia.FK_CUR_mat,horario_curso_materia.FK_HOR,horario_curso_materia.DIA) VALUES (  (SELECT curso_materia.ID_CUR_MAT FROM curso_materia WHERE curso_materia.CUPOF='1643741' ) ,
    (SELECT horario.ID_HOR FROM horario WHERE horario.modulo='3 ' and horario.turno='V ' ),
    'JUEVES '
 );</t>
  </si>
  <si>
    <t>INSERT INTO horario_curso_materia (horario_curso_materia.FK_CUR_mat,horario_curso_materia.FK_HOR,horario_curso_materia.DIA) VALUES (  (SELECT curso_materia.ID_CUR_MAT FROM curso_materia WHERE curso_materia.CUPOF='2680577' ) ,
    (SELECT horario.ID_HOR FROM horario WHERE horario.modulo='3 ' and horario.turno='T ' ),
    'LUNES '
 );</t>
  </si>
  <si>
    <t>INSERT INTO horario_curso_materia (horario_curso_materia.FK_CUR_mat,horario_curso_materia.FK_HOR,horario_curso_materia.DIA) VALUES (  (SELECT curso_materia.ID_CUR_MAT FROM curso_materia WHERE curso_materia.CUPOF='733603' ) ,
    (SELECT horario.ID_HOR FROM horario WHERE horario.modulo='3 ' and horario.turno='V ' ),
    'LUNES '
 );</t>
  </si>
  <si>
    <t>INSERT INTO horario_curso_materia (horario_curso_materia.FK_CUR_mat,horario_curso_materia.FK_HOR,horario_curso_materia.DIA) VALUES (  (SELECT curso_materia.ID_CUR_MAT FROM curso_materia WHERE curso_materia.CUPOF='2680573' ) ,
    (SELECT horario.ID_HOR FROM horario WHERE horario.modulo='3 ' and horario.turno='T ' ),
    'MARTES '
 );</t>
  </si>
  <si>
    <t>INSERT INTO horario_curso_materia (horario_curso_materia.FK_CUR_mat,horario_curso_materia.FK_HOR,horario_curso_materia.DIA) VALUES (  (SELECT curso_materia.ID_CUR_MAT FROM curso_materia WHERE curso_materia.CUPOF='733570' ) ,
    (SELECT horario.ID_HOR FROM horario WHERE horario.modulo='3 ' and horario.turno='V ' ),
    'MARTES '
 );</t>
  </si>
  <si>
    <t>INSERT INTO horario_curso_materia (horario_curso_materia.FK_CUR_mat,horario_curso_materia.FK_HOR,horario_curso_materia.DIA) VALUES (  (SELECT curso_materia.ID_CUR_MAT FROM curso_materia WHERE curso_materia.CUPOF='2680581' ) ,
    (SELECT horario.ID_HOR FROM horario WHERE horario.modulo='3 ' and horario.turno='T ' ),
    'MIERCOLES '
 );</t>
  </si>
  <si>
    <t>INSERT INTO horario_curso_materia (horario_curso_materia.FK_CUR_mat,horario_curso_materia.FK_HOR,horario_curso_materia.DIA) VALUES (  (SELECT curso_materia.ID_CUR_MAT FROM curso_materia WHERE curso_materia.CUPOF='1643761' ) ,
    (SELECT horario.ID_HOR FROM horario WHERE horario.modulo='3 ' and horario.turno='V ' ),
    'MIERCOLES '
 );</t>
  </si>
  <si>
    <t>INSERT INTO horario_curso_materia (horario_curso_materia.FK_CUR_mat,horario_curso_materia.FK_HOR,horario_curso_materia.DIA) VALUES (  (SELECT curso_materia.ID_CUR_MAT FROM curso_materia WHERE curso_materia.CUPOF='1643761' ) ,
    (SELECT horario.ID_HOR FROM horario WHERE horario.modulo='3 ' and horario.turno='V ' ),
    'VIERNES '
 );</t>
  </si>
  <si>
    <t>INSERT INTO horario_curso_materia (horario_curso_materia.FK_CUR_mat,horario_curso_materia.FK_HOR,horario_curso_materia.DIA) VALUES (  (SELECT curso_materia.ID_CUR_MAT FROM curso_materia WHERE curso_materia.CUPOF='2680574' ) ,
    (SELECT horario.ID_HOR FROM horario WHERE horario.modulo='4 ' and horario.turno='T ' ),
    'LUNES '
 );</t>
  </si>
  <si>
    <t>INSERT INTO horario_curso_materia (horario_curso_materia.FK_CUR_mat,horario_curso_materia.FK_HOR,horario_curso_materia.DIA) VALUES (  (SELECT curso_materia.ID_CUR_MAT FROM curso_materia WHERE curso_materia.CUPOF='2680578' ) ,
    (SELECT horario.ID_HOR FROM horario WHERE horario.modulo='4 ' and horario.turno='T ' ),
    'JUEVES '
 );</t>
  </si>
  <si>
    <t>INSERT INTO horario_curso_materia (horario_curso_materia.FK_CUR_mat,horario_curso_materia.FK_HOR,horario_curso_materia.DIA) VALUES (  (SELECT curso_materia.ID_CUR_MAT FROM curso_materia WHERE curso_materia.CUPOF='1643741' ) ,
    (SELECT horario.ID_HOR FROM horario WHERE horario.modulo='4 ' and horario.turno='V ' ),
    'JUEVES '
 );</t>
  </si>
  <si>
    <t>INSERT INTO horario_curso_materia (horario_curso_materia.FK_CUR_mat,horario_curso_materia.FK_HOR,horario_curso_materia.DIA) VALUES (  (SELECT curso_materia.ID_CUR_MAT FROM curso_materia WHERE curso_materia.CUPOF='2680577' ) ,
    (SELECT horario.ID_HOR FROM horario WHERE horario.modulo='4 ' and horario.turno='T ' ),
    'LUNES '
 );</t>
  </si>
  <si>
    <t>INSERT INTO horario_curso_materia (horario_curso_materia.FK_CUR_mat,horario_curso_materia.FK_HOR,horario_curso_materia.DIA) VALUES (  (SELECT curso_materia.ID_CUR_MAT FROM curso_materia WHERE curso_materia.CUPOF='733603' ) ,
    (SELECT horario.ID_HOR FROM horario WHERE horario.modulo='4 ' and horario.turno='V ' ),
    'LUNES '
 );</t>
  </si>
  <si>
    <t>INSERT INTO horario_curso_materia (horario_curso_materia.FK_CUR_mat,horario_curso_materia.FK_HOR,horario_curso_materia.DIA) VALUES (  (SELECT curso_materia.ID_CUR_MAT FROM curso_materia WHERE curso_materia.CUPOF='2680573' ) ,
    (SELECT horario.ID_HOR FROM horario WHERE horario.modulo='4 ' and horario.turno='T ' ),
    'MARTES '
 );</t>
  </si>
  <si>
    <t>INSERT INTO horario_curso_materia (horario_curso_materia.FK_CUR_mat,horario_curso_materia.FK_HOR,horario_curso_materia.DIA) VALUES (  (SELECT curso_materia.ID_CUR_MAT FROM curso_materia WHERE curso_materia.CUPOF='733570' ) ,
    (SELECT horario.ID_HOR FROM horario WHERE horario.modulo='4 ' and horario.turno='V ' ),
    'MARTES '
 );</t>
  </si>
  <si>
    <t>INSERT INTO horario_curso_materia (horario_curso_materia.FK_CUR_mat,horario_curso_materia.FK_HOR,horario_curso_materia.DIA) VALUES (  (SELECT curso_materia.ID_CUR_MAT FROM curso_materia WHERE curso_materia.CUPOF='2680581' ) ,
    (SELECT horario.ID_HOR FROM horario WHERE horario.modulo='4 ' and horario.turno='T ' ),
    'MIERCOLES '
 );</t>
  </si>
  <si>
    <t>INSERT INTO horario_curso_materia (horario_curso_materia.FK_CUR_mat,horario_curso_materia.FK_HOR,horario_curso_materia.DIA) VALUES (  (SELECT curso_materia.ID_CUR_MAT FROM curso_materia WHERE curso_materia.CUPOF='1643761' ) ,
    (SELECT horario.ID_HOR FROM horario WHERE horario.modulo='4 ' and horario.turno='V ' ),
    'MIERCOLES '
 );</t>
  </si>
  <si>
    <t>INSERT INTO horario_curso_materia (horario_curso_materia.FK_CUR_mat,horario_curso_materia.FK_HOR,horario_curso_materia.DIA) VALUES (  (SELECT curso_materia.ID_CUR_MAT FROM curso_materia WHERE curso_materia.CUPOF='1643761' ) ,
    (SELECT horario.ID_HOR FROM horario WHERE horario.modulo='4 ' and horario.turno='V ' ),
    'VIERNES '
 );</t>
  </si>
  <si>
    <t>INSERT INTO horario_curso_materia (horario_curso_materia.FK_CUR_mat,horario_curso_materia.FK_HOR,horario_curso_materia.DIA) VALUES (  (SELECT curso_materia.ID_CUR_MAT FROM curso_materia WHERE curso_materia.CUPOF='1643750' ) ,
    (SELECT horario.ID_HOR FROM horario WHERE horario.modulo='prehora ' and horario.turno='V ' ),
    'VIERNES '
 );</t>
  </si>
  <si>
    <t>INSERT INTO horario_curso_materia (horario_curso_materia.FK_CUR_mat,horario_curso_materia.FK_HOR,horario_curso_materia.DIA) VALUES (  (SELECT curso_materia.ID_CUR_MAT FROM curso_materia WHERE curso_materia.CUPOF='0' ) ,
    (SELECT horario.ID_HOR FROM horario WHERE horario.modulo=' ' and horario.turno='T ' ),
    ' '
 );</t>
  </si>
  <si>
    <t>INSERT INTO horario_curso_materia (horario_curso_materia.FK_CUR_mat,horario_curso_materia.FK_HOR,horario_curso_materia.DIA) VALUES (  (SELECT curso_materia.ID_CUR_MAT FROM curso_materia WHERE curso_materia.CUPOF='2355564' ) ,
    (SELECT horario.ID_HOR FROM horario WHERE horario.modulo='1 ' and horario.turno='M ' ),
    'JUEVES '
 );</t>
  </si>
  <si>
    <t>INSERT INTO horario_curso_materia (horario_curso_materia.FK_CUR_mat,horario_curso_materia.FK_HOR,horario_curso_materia.DIA) VALUES (  (SELECT curso_materia.ID_CUR_MAT FROM curso_materia WHERE curso_materia.CUPOF='2355572' ) ,
    (SELECT horario.ID_HOR FROM horario WHERE horario.modulo='1 ' and horario.turno='M ' ),
    'JUEVES '
 );</t>
  </si>
  <si>
    <t>INSERT INTO horario_curso_materia (horario_curso_materia.FK_CUR_mat,horario_curso_materia.FK_HOR,horario_curso_materia.DIA) VALUES (  (SELECT curso_materia.ID_CUR_MAT FROM curso_materia WHERE curso_materia.CUPOF='2355546' ) ,
    (SELECT horario.ID_HOR FROM horario WHERE horario.modulo='1 ' and horario.turno='V ' ),
    'JUEVES '
 );</t>
  </si>
  <si>
    <t>INSERT INTO horario_curso_materia (horario_curso_materia.FK_CUR_mat,horario_curso_materia.FK_HOR,horario_curso_materia.DIA) VALUES (  (SELECT curso_materia.ID_CUR_MAT FROM curso_materia WHERE curso_materia.CUPOF='2355548' ) ,
    (SELECT horario.ID_HOR FROM horario WHERE horario.modulo='1 ' and horario.turno='V ' ),
    'LUNES '
 );</t>
  </si>
  <si>
    <t>INSERT INTO horario_curso_materia (horario_curso_materia.FK_CUR_mat,horario_curso_materia.FK_HOR,horario_curso_materia.DIA) VALUES (  (SELECT curso_materia.ID_CUR_MAT FROM curso_materia WHERE curso_materia.CUPOF='2355566' ) ,
    (SELECT horario.ID_HOR FROM horario WHERE horario.modulo='1 ' and horario.turno='M ' ),
    'MARTES '
 );</t>
  </si>
  <si>
    <t>INSERT INTO horario_curso_materia (horario_curso_materia.FK_CUR_mat,horario_curso_materia.FK_HOR,horario_curso_materia.DIA) VALUES (  (SELECT curso_materia.ID_CUR_MAT FROM curso_materia WHERE curso_materia.CUPOF='2355569' ) ,
    (SELECT horario.ID_HOR FROM horario WHERE horario.modulo='1 ' and horario.turno='M ' ),
    'MARTES '
 );</t>
  </si>
  <si>
    <t>INSERT INTO horario_curso_materia (horario_curso_materia.FK_CUR_mat,horario_curso_materia.FK_HOR,horario_curso_materia.DIA) VALUES (  (SELECT curso_materia.ID_CUR_MAT FROM curso_materia WHERE curso_materia.CUPOF='2355532' ) ,
    (SELECT horario.ID_HOR FROM horario WHERE horario.modulo='1 ' and horario.turno='V ' ),
    'MARTES '
 );</t>
  </si>
  <si>
    <t>INSERT INTO horario_curso_materia (horario_curso_materia.FK_CUR_mat,horario_curso_materia.FK_HOR,horario_curso_materia.DIA) VALUES (  (SELECT curso_materia.ID_CUR_MAT FROM curso_materia WHERE curso_materia.CUPOF='2355579' ) ,
    (SELECT horario.ID_HOR FROM horario WHERE horario.modulo='1 ' and horario.turno='M ' ),
    'MIERCOLES '
 );</t>
  </si>
  <si>
    <t>INSERT INTO horario_curso_materia (horario_curso_materia.FK_CUR_mat,horario_curso_materia.FK_HOR,horario_curso_materia.DIA) VALUES (  (SELECT curso_materia.ID_CUR_MAT FROM curso_materia WHERE curso_materia.CUPOF='2355542' ) ,
    (SELECT horario.ID_HOR FROM horario WHERE horario.modulo='1 ' and horario.turno='V ' ),
    'MIERCOLES '
 );</t>
  </si>
  <si>
    <t>INSERT INTO horario_curso_materia (horario_curso_materia.FK_CUR_mat,horario_curso_materia.FK_HOR,horario_curso_materia.DIA) VALUES (  (SELECT curso_materia.ID_CUR_MAT FROM curso_materia WHERE curso_materia.CUPOF='2355560' ) ,
    (SELECT horario.ID_HOR FROM horario WHERE horario.modulo='1 ' and horario.turno='M ' ),
    'VIERNES '
 );</t>
  </si>
  <si>
    <t>INSERT INTO horario_curso_materia (horario_curso_materia.FK_CUR_mat,horario_curso_materia.FK_HOR,horario_curso_materia.DIA) VALUES (  (SELECT curso_materia.ID_CUR_MAT FROM curso_materia WHERE curso_materia.CUPOF='2355524' ) ,
    (SELECT horario.ID_HOR FROM horario WHERE horario.modulo='1 ' and horario.turno='V ' ),
    'VIERNES '
 );</t>
  </si>
  <si>
    <t>INSERT INTO horario_curso_materia (horario_curso_materia.FK_CUR_mat,horario_curso_materia.FK_HOR,horario_curso_materia.DIA) VALUES (  (SELECT curso_materia.ID_CUR_MAT FROM curso_materia WHERE curso_materia.CUPOF='2355564' ) ,
    (SELECT horario.ID_HOR FROM horario WHERE horario.modulo='2 ' and horario.turno='M ' ),
    'JUEVES '
 );</t>
  </si>
  <si>
    <t>INSERT INTO horario_curso_materia (horario_curso_materia.FK_CUR_mat,horario_curso_materia.FK_HOR,horario_curso_materia.DIA) VALUES (  (SELECT curso_materia.ID_CUR_MAT FROM curso_materia WHERE curso_materia.CUPOF='2355572' ) ,
    (SELECT horario.ID_HOR FROM horario WHERE horario.modulo='2 ' and horario.turno='M ' ),
    'JUEVES '
 );</t>
  </si>
  <si>
    <t>INSERT INTO horario_curso_materia (horario_curso_materia.FK_CUR_mat,horario_curso_materia.FK_HOR,horario_curso_materia.DIA) VALUES (  (SELECT curso_materia.ID_CUR_MAT FROM curso_materia WHERE curso_materia.CUPOF='2355546' ) ,
    (SELECT horario.ID_HOR FROM horario WHERE horario.modulo='2 ' and horario.turno='V ' ),
    'JUEVES '
 );</t>
  </si>
  <si>
    <t>INSERT INTO horario_curso_materia (horario_curso_materia.FK_CUR_mat,horario_curso_materia.FK_HOR,horario_curso_materia.DIA) VALUES (  (SELECT curso_materia.ID_CUR_MAT FROM curso_materia WHERE curso_materia.CUPOF='2355548' ) ,
    (SELECT horario.ID_HOR FROM horario WHERE horario.modulo='2 ' and horario.turno='V ' ),
    'LUNES '
 );</t>
  </si>
  <si>
    <t>INSERT INTO horario_curso_materia (horario_curso_materia.FK_CUR_mat,horario_curso_materia.FK_HOR,horario_curso_materia.DIA) VALUES (  (SELECT curso_materia.ID_CUR_MAT FROM curso_materia WHERE curso_materia.CUPOF='2355566' ) ,
    (SELECT horario.ID_HOR FROM horario WHERE horario.modulo='2 ' and horario.turno='M ' ),
    'MARTES '
 );</t>
  </si>
  <si>
    <t>INSERT INTO horario_curso_materia (horario_curso_materia.FK_CUR_mat,horario_curso_materia.FK_HOR,horario_curso_materia.DIA) VALUES (  (SELECT curso_materia.ID_CUR_MAT FROM curso_materia WHERE curso_materia.CUPOF='2355569' ) ,
    (SELECT horario.ID_HOR FROM horario WHERE horario.modulo='2 ' and horario.turno='M ' ),
    'MARTES '
 );</t>
  </si>
  <si>
    <t>INSERT INTO horario_curso_materia (horario_curso_materia.FK_CUR_mat,horario_curso_materia.FK_HOR,horario_curso_materia.DIA) VALUES (  (SELECT curso_materia.ID_CUR_MAT FROM curso_materia WHERE curso_materia.CUPOF='2355527' ) ,
    (SELECT horario.ID_HOR FROM horario WHERE horario.modulo='2 ' and horario.turno='T ' ),
    'MARTES '
 );</t>
  </si>
  <si>
    <t>INSERT INTO horario_curso_materia (horario_curso_materia.FK_CUR_mat,horario_curso_materia.FK_HOR,horario_curso_materia.DIA) VALUES (  (SELECT curso_materia.ID_CUR_MAT FROM curso_materia WHERE curso_materia.CUPOF='2355532' ) ,
    (SELECT horario.ID_HOR FROM horario WHERE horario.modulo='2 ' and horario.turno='V ' ),
    'MARTES '
 );</t>
  </si>
  <si>
    <t>INSERT INTO horario_curso_materia (horario_curso_materia.FK_CUR_mat,horario_curso_materia.FK_HOR,horario_curso_materia.DIA) VALUES (  (SELECT curso_materia.ID_CUR_MAT FROM curso_materia WHERE curso_materia.CUPOF='2355579' ) ,
    (SELECT horario.ID_HOR FROM horario WHERE horario.modulo='2 ' and horario.turno='M ' ),
    'MIERCOLES '
 );</t>
  </si>
  <si>
    <t>INSERT INTO horario_curso_materia (horario_curso_materia.FK_CUR_mat,horario_curso_materia.FK_HOR,horario_curso_materia.DIA) VALUES (  (SELECT curso_materia.ID_CUR_MAT FROM curso_materia WHERE curso_materia.CUPOF='2355542' ) ,
    (SELECT horario.ID_HOR FROM horario WHERE horario.modulo='2 ' and horario.turno='V ' ),
    'MIERCOLES '
 );</t>
  </si>
  <si>
    <t>INSERT INTO horario_curso_materia (horario_curso_materia.FK_CUR_mat,horario_curso_materia.FK_HOR,horario_curso_materia.DIA) VALUES (  (SELECT curso_materia.ID_CUR_MAT FROM curso_materia WHERE curso_materia.CUPOF='2355560' ) ,
    (SELECT horario.ID_HOR FROM horario WHERE horario.modulo='2 ' and horario.turno='M ' ),
    'VIERNES '
 );</t>
  </si>
  <si>
    <t>INSERT INTO horario_curso_materia (horario_curso_materia.FK_CUR_mat,horario_curso_materia.FK_HOR,horario_curso_materia.DIA) VALUES (  (SELECT curso_materia.ID_CUR_MAT FROM curso_materia WHERE curso_materia.CUPOF='2355524' ) ,
    (SELECT horario.ID_HOR FROM horario WHERE horario.modulo='2 ' and horario.turno='V ' ),
    'VIERNES '
 );</t>
  </si>
  <si>
    <t>INSERT INTO horario_curso_materia (horario_curso_materia.FK_CUR_mat,horario_curso_materia.FK_HOR,horario_curso_materia.DIA) VALUES (  (SELECT curso_materia.ID_CUR_MAT FROM curso_materia WHERE curso_materia.CUPOF='2355564' ) ,
    (SELECT horario.ID_HOR FROM horario WHERE horario.modulo='3 ' and horario.turno='M ' ),
    'JUEVES '
 );</t>
  </si>
  <si>
    <t>INSERT INTO horario_curso_materia (horario_curso_materia.FK_CUR_mat,horario_curso_materia.FK_HOR,horario_curso_materia.DIA) VALUES (  (SELECT curso_materia.ID_CUR_MAT FROM curso_materia WHERE curso_materia.CUPOF='2355572' ) ,
    (SELECT horario.ID_HOR FROM horario WHERE horario.modulo='3 ' and horario.turno='M ' ),
    'JUEVES '
 );</t>
  </si>
  <si>
    <t>INSERT INTO horario_curso_materia (horario_curso_materia.FK_CUR_mat,horario_curso_materia.FK_HOR,horario_curso_materia.DIA) VALUES (  (SELECT curso_materia.ID_CUR_MAT FROM curso_materia WHERE curso_materia.CUPOF='2355546' ) ,
    (SELECT horario.ID_HOR FROM horario WHERE horario.modulo='3 ' and horario.turno='V ' ),
    'JUEVES '
 );</t>
  </si>
  <si>
    <t>INSERT INTO horario_curso_materia (horario_curso_materia.FK_CUR_mat,horario_curso_materia.FK_HOR,horario_curso_materia.DIA) VALUES (  (SELECT curso_materia.ID_CUR_MAT FROM curso_materia WHERE curso_materia.CUPOF='2355556' ) ,
    (SELECT horario.ID_HOR FROM horario WHERE horario.modulo='3 ' and horario.turno='M ' ),
    'LUNES '
 );</t>
  </si>
  <si>
    <t>INSERT INTO horario_curso_materia (horario_curso_materia.FK_CUR_mat,horario_curso_materia.FK_HOR,horario_curso_materia.DIA) VALUES (  (SELECT curso_materia.ID_CUR_MAT FROM curso_materia WHERE curso_materia.CUPOF='2355535' ) ,
    (SELECT horario.ID_HOR FROM horario WHERE horario.modulo='3 ' and horario.turno='V ' ),
    'LUNES '
 );</t>
  </si>
  <si>
    <t>INSERT INTO horario_curso_materia (horario_curso_materia.FK_CUR_mat,horario_curso_materia.FK_HOR,horario_curso_materia.DIA) VALUES (  (SELECT curso_materia.ID_CUR_MAT FROM curso_materia WHERE curso_materia.CUPOF='2355566' ) ,
    (SELECT horario.ID_HOR FROM horario WHERE horario.modulo='3 ' and horario.turno='M ' ),
    'MARTES '
 );</t>
  </si>
  <si>
    <t>INSERT INTO horario_curso_materia (horario_curso_materia.FK_CUR_mat,horario_curso_materia.FK_HOR,horario_curso_materia.DIA) VALUES (  (SELECT curso_materia.ID_CUR_MAT FROM curso_materia WHERE curso_materia.CUPOF='2355569' ) ,
    (SELECT horario.ID_HOR FROM horario WHERE horario.modulo='3 ' and horario.turno='M ' ),
    'MARTES '
 );</t>
  </si>
  <si>
    <t>INSERT INTO horario_curso_materia (horario_curso_materia.FK_CUR_mat,horario_curso_materia.FK_HOR,horario_curso_materia.DIA) VALUES (  (SELECT curso_materia.ID_CUR_MAT FROM curso_materia WHERE curso_materia.CUPOF='2355527' ) ,
    (SELECT horario.ID_HOR FROM horario WHERE horario.modulo='3 ' and horario.turno='T ' ),
    'MARTES '
 );</t>
  </si>
  <si>
    <t>INSERT INTO horario_curso_materia (horario_curso_materia.FK_CUR_mat,horario_curso_materia.FK_HOR,horario_curso_materia.DIA) VALUES (  (SELECT curso_materia.ID_CUR_MAT FROM curso_materia WHERE curso_materia.CUPOF='2355520' ) ,
    (SELECT horario.ID_HOR FROM horario WHERE horario.modulo='3 ' and horario.turno='V ' ),
    'MARTES '
 );</t>
  </si>
  <si>
    <t>INSERT INTO horario_curso_materia (horario_curso_materia.FK_CUR_mat,horario_curso_materia.FK_HOR,horario_curso_materia.DIA) VALUES (  (SELECT curso_materia.ID_CUR_MAT FROM curso_materia WHERE curso_materia.CUPOF='2355579' ) ,
    (SELECT horario.ID_HOR FROM horario WHERE horario.modulo='3 ' and horario.turno='M ' ),
    'MIERCOLES '
 );</t>
  </si>
  <si>
    <t>INSERT INTO horario_curso_materia (horario_curso_materia.FK_CUR_mat,horario_curso_materia.FK_HOR,horario_curso_materia.DIA) VALUES (  (SELECT curso_materia.ID_CUR_MAT FROM curso_materia WHERE curso_materia.CUPOF='2355540' ) ,
    (SELECT horario.ID_HOR FROM horario WHERE horario.modulo='3 ' and horario.turno='V ' ),
    'MIERCOLES '
 );</t>
  </si>
  <si>
    <t>INSERT INTO horario_curso_materia (horario_curso_materia.FK_CUR_mat,horario_curso_materia.FK_HOR,horario_curso_materia.DIA) VALUES (  (SELECT curso_materia.ID_CUR_MAT FROM curso_materia WHERE curso_materia.CUPOF='2355560' ) ,
    (SELECT horario.ID_HOR FROM horario WHERE horario.modulo='3 ' and horario.turno='M ' ),
    'VIERNES '
 );</t>
  </si>
  <si>
    <t>INSERT INTO horario_curso_materia (horario_curso_materia.FK_CUR_mat,horario_curso_materia.FK_HOR,horario_curso_materia.DIA) VALUES (  (SELECT curso_materia.ID_CUR_MAT FROM curso_materia WHERE curso_materia.CUPOF='2355568' ) ,
    (SELECT horario.ID_HOR FROM horario WHERE horario.modulo='1 ' and horario.turno='M ' ),
    'VIERNES '
 );</t>
  </si>
  <si>
    <t>INSERT INTO horario_curso_materia (horario_curso_materia.FK_CUR_mat,horario_curso_materia.FK_HOR,horario_curso_materia.DIA) VALUES (  (SELECT curso_materia.ID_CUR_MAT FROM curso_materia WHERE curso_materia.CUPOF='2355542' ) ,
    (SELECT horario.ID_HOR FROM horario WHERE horario.modulo='3 ' and horario.turno='V ' ),
    'VIERNES '
 );</t>
  </si>
  <si>
    <t>INSERT INTO horario_curso_materia (horario_curso_materia.FK_CUR_mat,horario_curso_materia.FK_HOR,horario_curso_materia.DIA) VALUES (  (SELECT curso_materia.ID_CUR_MAT FROM curso_materia WHERE curso_materia.CUPOF='2355564' ) ,
    (SELECT horario.ID_HOR FROM horario WHERE horario.modulo='4 ' and horario.turno='M ' ),
    'JUEVES '
 );</t>
  </si>
  <si>
    <t>INSERT INTO horario_curso_materia (horario_curso_materia.FK_CUR_mat,horario_curso_materia.FK_HOR,horario_curso_materia.DIA) VALUES (  (SELECT curso_materia.ID_CUR_MAT FROM curso_materia WHERE curso_materia.CUPOF='2355572' ) ,
    (SELECT horario.ID_HOR FROM horario WHERE horario.modulo='4 ' and horario.turno='M ' ),
    'JUEVES '
 );</t>
  </si>
  <si>
    <t>INSERT INTO horario_curso_materia (horario_curso_materia.FK_CUR_mat,horario_curso_materia.FK_HOR,horario_curso_materia.DIA) VALUES (  (SELECT curso_materia.ID_CUR_MAT FROM curso_materia WHERE curso_materia.CUPOF='2355556' ) ,
    (SELECT horario.ID_HOR FROM horario WHERE horario.modulo='4 ' and horario.turno='M ' ),
    'LUNES '
 );</t>
  </si>
  <si>
    <t>INSERT INTO horario_curso_materia (horario_curso_materia.FK_CUR_mat,horario_curso_materia.FK_HOR,horario_curso_materia.DIA) VALUES (  (SELECT curso_materia.ID_CUR_MAT FROM curso_materia WHERE curso_materia.CUPOF='2355535' ) ,
    (SELECT horario.ID_HOR FROM horario WHERE horario.modulo='4 ' and horario.turno='V ' ),
    'LUNES '
 );</t>
  </si>
  <si>
    <t>INSERT INTO horario_curso_materia (horario_curso_materia.FK_CUR_mat,horario_curso_materia.FK_HOR,horario_curso_materia.DIA) VALUES (  (SELECT curso_materia.ID_CUR_MAT FROM curso_materia WHERE curso_materia.CUPOF='2355566' ) ,
    (SELECT horario.ID_HOR FROM horario WHERE horario.modulo='4 ' and horario.turno='M ' ),
    'MARTES '
 );</t>
  </si>
  <si>
    <t>INSERT INTO horario_curso_materia (horario_curso_materia.FK_CUR_mat,horario_curso_materia.FK_HOR,horario_curso_materia.DIA) VALUES (  (SELECT curso_materia.ID_CUR_MAT FROM curso_materia WHERE curso_materia.CUPOF='2355569' ) ,
    (SELECT horario.ID_HOR FROM horario WHERE horario.modulo='4 ' and horario.turno='M ' ),
    'MARTES '
 );</t>
  </si>
  <si>
    <t>INSERT INTO horario_curso_materia (horario_curso_materia.FK_CUR_mat,horario_curso_materia.FK_HOR,horario_curso_materia.DIA) VALUES (  (SELECT curso_materia.ID_CUR_MAT FROM curso_materia WHERE curso_materia.CUPOF='2355520' ) ,
    (SELECT horario.ID_HOR FROM horario WHERE horario.modulo='4 ' and horario.turno='V ' ),
    'MARTES '
 );</t>
  </si>
  <si>
    <t>INSERT INTO horario_curso_materia (horario_curso_materia.FK_CUR_mat,horario_curso_materia.FK_HOR,horario_curso_materia.DIA) VALUES (  (SELECT curso_materia.ID_CUR_MAT FROM curso_materia WHERE curso_materia.CUPOF='2355579' ) ,
    (SELECT horario.ID_HOR FROM horario WHERE horario.modulo='4 ' and horario.turno='M ' ),
    'MIERCOLES '
 );</t>
  </si>
  <si>
    <t>INSERT INTO horario_curso_materia (horario_curso_materia.FK_CUR_mat,horario_curso_materia.FK_HOR,horario_curso_materia.DIA) VALUES (  (SELECT curso_materia.ID_CUR_MAT FROM curso_materia WHERE curso_materia.CUPOF='2355540' ) ,
    (SELECT horario.ID_HOR FROM horario WHERE horario.modulo='4 ' and horario.turno='V ' ),
    'MIERCOLES '
 );</t>
  </si>
  <si>
    <t>INSERT INTO horario_curso_materia (horario_curso_materia.FK_CUR_mat,horario_curso_materia.FK_HOR,horario_curso_materia.DIA) VALUES (  (SELECT curso_materia.ID_CUR_MAT FROM curso_materia WHERE curso_materia.CUPOF='2355560' ) ,
    (SELECT horario.ID_HOR FROM horario WHERE horario.modulo='4 ' and horario.turno='M ' ),
    'VIERNES '
 );</t>
  </si>
  <si>
    <t>INSERT INTO horario_curso_materia (horario_curso_materia.FK_CUR_mat,horario_curso_materia.FK_HOR,horario_curso_materia.DIA) VALUES (  (SELECT curso_materia.ID_CUR_MAT FROM curso_materia WHERE curso_materia.CUPOF='2355568' ) ,
    (SELECT horario.ID_HOR FROM horario WHERE horario.modulo='2 ' and horario.turno='M ' ),
    'VIERNES '
 );</t>
  </si>
  <si>
    <t>INSERT INTO horario_curso_materia (horario_curso_materia.FK_CUR_mat,horario_curso_materia.FK_HOR,horario_curso_materia.DIA) VALUES (  (SELECT curso_materia.ID_CUR_MAT FROM curso_materia WHERE curso_materia.CUPOF='2355542' ) ,
    (SELECT horario.ID_HOR FROM horario WHERE horario.modulo='4 ' and horario.turno='V ' ),
    'VIERNES '
 );</t>
  </si>
  <si>
    <t>INSERT INTO horario_curso_materia (horario_curso_materia.FK_CUR_mat,horario_curso_materia.FK_HOR,horario_curso_materia.DIA) VALUES (  (SELECT curso_materia.ID_CUR_MAT FROM curso_materia WHERE curso_materia.CUPOF='2680766' ) ,
    (SELECT horario.ID_HOR FROM horario WHERE horario.modulo='1 ' and horario.turno='V ' ),
    'JUEVES '
 );</t>
  </si>
  <si>
    <t>INSERT INTO horario_curso_materia (horario_curso_materia.FK_CUR_mat,horario_curso_materia.FK_HOR,horario_curso_materia.DIA) VALUES (  (SELECT curso_materia.ID_CUR_MAT FROM curso_materia WHERE curso_materia.CUPOF='2680773' ) ,
    (SELECT horario.ID_HOR FROM horario WHERE horario.modulo='1 ' and horario.turno='V ' ),
    'JUEVES '
 );</t>
  </si>
  <si>
    <t>INSERT INTO horario_curso_materia (horario_curso_materia.FK_CUR_mat,horario_curso_materia.FK_HOR,horario_curso_materia.DIA) VALUES (  (SELECT curso_materia.ID_CUR_MAT FROM curso_materia WHERE curso_materia.CUPOF='2680754' ) ,
    (SELECT horario.ID_HOR FROM horario WHERE horario.modulo='1 ' and horario.turno='M ' ),
    'VIERNES '
 );</t>
  </si>
  <si>
    <t>INSERT INTO horario_curso_materia (horario_curso_materia.FK_CUR_mat,horario_curso_materia.FK_HOR,horario_curso_materia.DIA) VALUES (  (SELECT curso_materia.ID_CUR_MAT FROM curso_materia WHERE curso_materia.CUPOF='2680756' ) ,
    (SELECT horario.ID_HOR FROM horario WHERE horario.modulo='1 ' and horario.turno='T ' ),
    'LUNES '
 );</t>
  </si>
  <si>
    <t>INSERT INTO horario_curso_materia (horario_curso_materia.FK_CUR_mat,horario_curso_materia.FK_HOR,horario_curso_materia.DIA) VALUES (  (SELECT curso_materia.ID_CUR_MAT FROM curso_materia WHERE curso_materia.CUPOF='2680771' ) ,
    (SELECT horario.ID_HOR FROM horario WHERE horario.modulo='1 ' and horario.turno='V ' ),
    'LUNES '
 );</t>
  </si>
  <si>
    <t>INSERT INTO horario_curso_materia (horario_curso_materia.FK_CUR_mat,horario_curso_materia.FK_HOR,horario_curso_materia.DIA) VALUES (  (SELECT curso_materia.ID_CUR_MAT FROM curso_materia WHERE curso_materia.CUPOF='2680752' ) ,
    (SELECT horario.ID_HOR FROM horario WHERE horario.modulo='1 ' and horario.turno='T ' ),
    'MARTES '
 );</t>
  </si>
  <si>
    <t>INSERT INTO horario_curso_materia (horario_curso_materia.FK_CUR_mat,horario_curso_materia.FK_HOR,horario_curso_materia.DIA) VALUES (  (SELECT curso_materia.ID_CUR_MAT FROM curso_materia WHERE curso_materia.CUPOF='2680769' ) ,
    (SELECT horario.ID_HOR FROM horario WHERE horario.modulo='1 ' and horario.turno='M ' ),
    'MARTES '
 );</t>
  </si>
  <si>
    <t>INSERT INTO horario_curso_materia (horario_curso_materia.FK_CUR_mat,horario_curso_materia.FK_HOR,horario_curso_materia.DIA) VALUES (  (SELECT curso_materia.ID_CUR_MAT FROM curso_materia WHERE curso_materia.CUPOF='2680770' ) ,
    (SELECT horario.ID_HOR FROM horario WHERE horario.modulo='3 ' and horario.turno='V ' ),
    'MARTES '
 );</t>
  </si>
  <si>
    <t>INSERT INTO horario_curso_materia (horario_curso_materia.FK_CUR_mat,horario_curso_materia.FK_HOR,horario_curso_materia.DIA) VALUES (  (SELECT curso_materia.ID_CUR_MAT FROM curso_materia WHERE curso_materia.CUPOF='2680761' ) ,
    (SELECT horario.ID_HOR FROM horario WHERE horario.modulo='1 ' and horario.turno='T ' ),
    'MIERCOLES '
 );</t>
  </si>
  <si>
    <t>INSERT INTO horario_curso_materia (horario_curso_materia.FK_CUR_mat,horario_curso_materia.FK_HOR,horario_curso_materia.DIA) VALUES (  (SELECT curso_materia.ID_CUR_MAT FROM curso_materia WHERE curso_materia.CUPOF='2680765' ) ,
    (SELECT horario.ID_HOR FROM horario WHERE horario.modulo='1 ' and horario.turno='V ' ),
    'MIERCOLES '
 );</t>
  </si>
  <si>
    <t>INSERT INTO horario_curso_materia (horario_curso_materia.FK_CUR_mat,horario_curso_materia.FK_HOR,horario_curso_materia.DIA) VALUES (  (SELECT curso_materia.ID_CUR_MAT FROM curso_materia WHERE curso_materia.CUPOF='2680772' ) ,
    (SELECT horario.ID_HOR FROM horario WHERE horario.modulo='1 ' and horario.turno='V ' ),
    'MIERCOLES '
 );</t>
  </si>
  <si>
    <t>INSERT INTO horario_curso_materia (horario_curso_materia.FK_CUR_mat,horario_curso_materia.FK_HOR,horario_curso_materia.DIA) VALUES (  (SELECT curso_materia.ID_CUR_MAT FROM curso_materia WHERE curso_materia.CUPOF='2680751' ) ,
    (SELECT horario.ID_HOR FROM horario WHERE horario.modulo='1 ' and horario.turno='T ' ),
    'JUEVES '
 );</t>
  </si>
  <si>
    <t>INSERT INTO horario_curso_materia (horario_curso_materia.FK_CUR_mat,horario_curso_materia.FK_HOR,horario_curso_materia.DIA) VALUES (  (SELECT curso_materia.ID_CUR_MAT FROM curso_materia WHERE curso_materia.CUPOF='2680767' ) ,
    (SELECT horario.ID_HOR FROM horario WHERE horario.modulo='1 ' and horario.turno='V ' ),
    'VIERNES '
 );</t>
  </si>
  <si>
    <t>INSERT INTO horario_curso_materia (horario_curso_materia.FK_CUR_mat,horario_curso_materia.FK_HOR,horario_curso_materia.DIA) VALUES (  (SELECT curso_materia.ID_CUR_MAT FROM curso_materia WHERE curso_materia.CUPOF='2680766' ) ,
    (SELECT horario.ID_HOR FROM horario WHERE horario.modulo='2 ' and horario.turno='V ' ),
    'JUEVES '
 );</t>
  </si>
  <si>
    <t>INSERT INTO horario_curso_materia (horario_curso_materia.FK_CUR_mat,horario_curso_materia.FK_HOR,horario_curso_materia.DIA) VALUES (  (SELECT curso_materia.ID_CUR_MAT FROM curso_materia WHERE curso_materia.CUPOF='2680773' ) ,
    (SELECT horario.ID_HOR FROM horario WHERE horario.modulo='2 ' and horario.turno='V ' ),
    'JUEVES '
 );</t>
  </si>
  <si>
    <t>INSERT INTO horario_curso_materia (horario_curso_materia.FK_CUR_mat,horario_curso_materia.FK_HOR,horario_curso_materia.DIA) VALUES (  (SELECT curso_materia.ID_CUR_MAT FROM curso_materia WHERE curso_materia.CUPOF='2680754' ) ,
    (SELECT horario.ID_HOR FROM horario WHERE horario.modulo='2 ' and horario.turno='M ' ),
    'VIERNES '
 );</t>
  </si>
  <si>
    <t>INSERT INTO horario_curso_materia (horario_curso_materia.FK_CUR_mat,horario_curso_materia.FK_HOR,horario_curso_materia.DIA) VALUES (  (SELECT curso_materia.ID_CUR_MAT FROM curso_materia WHERE curso_materia.CUPOF='2680756' ) ,
    (SELECT horario.ID_HOR FROM horario WHERE horario.modulo='2 ' and horario.turno='T ' ),
    'LUNES '
 );</t>
  </si>
  <si>
    <t>INSERT INTO horario_curso_materia (horario_curso_materia.FK_CUR_mat,horario_curso_materia.FK_HOR,horario_curso_materia.DIA) VALUES (  (SELECT curso_materia.ID_CUR_MAT FROM curso_materia WHERE curso_materia.CUPOF='2680771' ) ,
    (SELECT horario.ID_HOR FROM horario WHERE horario.modulo='2 ' and horario.turno='V ' ),
    'LUNES '
 );</t>
  </si>
  <si>
    <t>INSERT INTO horario_curso_materia (horario_curso_materia.FK_CUR_mat,horario_curso_materia.FK_HOR,horario_curso_materia.DIA) VALUES (  (SELECT curso_materia.ID_CUR_MAT FROM curso_materia WHERE curso_materia.CUPOF='2680752' ) ,
    (SELECT horario.ID_HOR FROM horario WHERE horario.modulo='2 ' and horario.turno='T ' ),
    'MARTES '
 );</t>
  </si>
  <si>
    <t>INSERT INTO horario_curso_materia (horario_curso_materia.FK_CUR_mat,horario_curso_materia.FK_HOR,horario_curso_materia.DIA) VALUES (  (SELECT curso_materia.ID_CUR_MAT FROM curso_materia WHERE curso_materia.CUPOF='2680769' ) ,
    (SELECT horario.ID_HOR FROM horario WHERE horario.modulo='2 ' and horario.turno='M ' ),
    'MARTES '
 );</t>
  </si>
  <si>
    <t>INSERT INTO horario_curso_materia (horario_curso_materia.FK_CUR_mat,horario_curso_materia.FK_HOR,horario_curso_materia.DIA) VALUES (  (SELECT curso_materia.ID_CUR_MAT FROM curso_materia WHERE curso_materia.CUPOF='2680770' ) ,
    (SELECT horario.ID_HOR FROM horario WHERE horario.modulo='2 ' and horario.turno='V ' ),
    'MARTES '
 );</t>
  </si>
  <si>
    <t>INSERT INTO horario_curso_materia (horario_curso_materia.FK_CUR_mat,horario_curso_materia.FK_HOR,horario_curso_materia.DIA) VALUES (  (SELECT curso_materia.ID_CUR_MAT FROM curso_materia WHERE curso_materia.CUPOF='2680761' ) ,
    (SELECT horario.ID_HOR FROM horario WHERE horario.modulo='2 ' and horario.turno='T ' ),
    'MIERCOLES '
 );</t>
  </si>
  <si>
    <t>INSERT INTO horario_curso_materia (horario_curso_materia.FK_CUR_mat,horario_curso_materia.FK_HOR,horario_curso_materia.DIA) VALUES (  (SELECT curso_materia.ID_CUR_MAT FROM curso_materia WHERE curso_materia.CUPOF='2680765' ) ,
    (SELECT horario.ID_HOR FROM horario WHERE horario.modulo='2 ' and horario.turno='V ' ),
    'MIERCOLES '
 );</t>
  </si>
  <si>
    <t>INSERT INTO horario_curso_materia (horario_curso_materia.FK_CUR_mat,horario_curso_materia.FK_HOR,horario_curso_materia.DIA) VALUES (  (SELECT curso_materia.ID_CUR_MAT FROM curso_materia WHERE curso_materia.CUPOF='2680772' ) ,
    (SELECT horario.ID_HOR FROM horario WHERE horario.modulo='2 ' and horario.turno='V ' ),
    'MIERCOLES '
 );</t>
  </si>
  <si>
    <t>INSERT INTO horario_curso_materia (horario_curso_materia.FK_CUR_mat,horario_curso_materia.FK_HOR,horario_curso_materia.DIA) VALUES (  (SELECT curso_materia.ID_CUR_MAT FROM curso_materia WHERE curso_materia.CUPOF='2680751' ) ,
    (SELECT horario.ID_HOR FROM horario WHERE horario.modulo='2 ' and horario.turno='T ' ),
    'JUEVES '
 );</t>
  </si>
  <si>
    <t>INSERT INTO horario_curso_materia (horario_curso_materia.FK_CUR_mat,horario_curso_materia.FK_HOR,horario_curso_materia.DIA) VALUES (  (SELECT curso_materia.ID_CUR_MAT FROM curso_materia WHERE curso_materia.CUPOF='2680767' ) ,
    (SELECT horario.ID_HOR FROM horario WHERE horario.modulo='2 ' and horario.turno='V ' ),
    'VIERNES '
 );</t>
  </si>
  <si>
    <t>INSERT INTO horario_curso_materia (horario_curso_materia.FK_CUR_mat,horario_curso_materia.FK_HOR,horario_curso_materia.DIA) VALUES (  (SELECT curso_materia.ID_CUR_MAT FROM curso_materia WHERE curso_materia.CUPOF='2680758' ) ,
    (SELECT horario.ID_HOR FROM horario WHERE horario.modulo='3 ' and horario.turno='T ' ),
    'JUEVES '
 );</t>
  </si>
  <si>
    <t>INSERT INTO horario_curso_materia (horario_curso_materia.FK_CUR_mat,horario_curso_materia.FK_HOR,horario_curso_materia.DIA) VALUES (  (SELECT curso_materia.ID_CUR_MAT FROM curso_materia WHERE curso_materia.CUPOF='2680766' ) ,
    (SELECT horario.ID_HOR FROM horario WHERE horario.modulo='3 ' and horario.turno='V ' ),
    'JUEVES '
 );</t>
  </si>
  <si>
    <t>INSERT INTO horario_curso_materia (horario_curso_materia.FK_CUR_mat,horario_curso_materia.FK_HOR,horario_curso_materia.DIA) VALUES (  (SELECT curso_materia.ID_CUR_MAT FROM curso_materia WHERE curso_materia.CUPOF='2680773' ) ,
    (SELECT horario.ID_HOR FROM horario WHERE horario.modulo='3 ' and horario.turno='V ' ),
    'JUEVES '
 );</t>
  </si>
  <si>
    <t>INSERT INTO horario_curso_materia (horario_curso_materia.FK_CUR_mat,horario_curso_materia.FK_HOR,horario_curso_materia.DIA) VALUES (  (SELECT curso_materia.ID_CUR_MAT FROM curso_materia WHERE curso_materia.CUPOF='2680760' ) ,
    (SELECT horario.ID_HOR FROM horario WHERE horario.modulo='3 ' and horario.turno='T ' ),
    'LUNES '
 );</t>
  </si>
  <si>
    <t>INSERT INTO horario_curso_materia (horario_curso_materia.FK_CUR_mat,horario_curso_materia.FK_HOR,horario_curso_materia.DIA) VALUES (  (SELECT curso_materia.ID_CUR_MAT FROM curso_materia WHERE curso_materia.CUPOF='2680771' ) ,
    (SELECT horario.ID_HOR FROM horario WHERE horario.modulo='3 ' and horario.turno='V ' ),
    'LUNES '
 );</t>
  </si>
  <si>
    <t>INSERT INTO horario_curso_materia (horario_curso_materia.FK_CUR_mat,horario_curso_materia.FK_HOR,horario_curso_materia.DIA) VALUES (  (SELECT curso_materia.ID_CUR_MAT FROM curso_materia WHERE curso_materia.CUPOF='2680761' ) ,
    (SELECT horario.ID_HOR FROM horario WHERE horario.modulo='3 ' and horario.turno='T ' ),
    'MARTES '
 );</t>
  </si>
  <si>
    <t>INSERT INTO horario_curso_materia (horario_curso_materia.FK_CUR_mat,horario_curso_materia.FK_HOR,horario_curso_materia.DIA) VALUES (  (SELECT curso_materia.ID_CUR_MAT FROM curso_materia WHERE curso_materia.CUPOF='2680769' ) ,
    (SELECT horario.ID_HOR FROM horario WHERE horario.modulo='3 ' and horario.turno='M ' ),
    'MARTES '
 );</t>
  </si>
  <si>
    <t>INSERT INTO horario_curso_materia (horario_curso_materia.FK_CUR_mat,horario_curso_materia.FK_HOR,horario_curso_materia.DIA) VALUES (  (SELECT curso_materia.ID_CUR_MAT FROM curso_materia WHERE curso_materia.CUPOF='2680762' ) ,
    (SELECT horario.ID_HOR FROM horario WHERE horario.modulo='3 ' and horario.turno='T ' ),
    'MIERCOLES '
 );</t>
  </si>
  <si>
    <t>INSERT INTO horario_curso_materia (horario_curso_materia.FK_CUR_mat,horario_curso_materia.FK_HOR,horario_curso_materia.DIA) VALUES (  (SELECT curso_materia.ID_CUR_MAT FROM curso_materia WHERE curso_materia.CUPOF='2680772' ) ,
    (SELECT horario.ID_HOR FROM horario WHERE horario.modulo='3 ' and horario.turno='V ' ),
    'MIERCOLES '
 );</t>
  </si>
  <si>
    <t>INSERT INTO horario_curso_materia (horario_curso_materia.FK_CUR_mat,horario_curso_materia.FK_HOR,horario_curso_materia.DIA) VALUES (  (SELECT curso_materia.ID_CUR_MAT FROM curso_materia WHERE curso_materia.CUPOF='2680764' ) ,
    (SELECT horario.ID_HOR FROM horario WHERE horario.modulo='3 ' and horario.turno='T ' ),
    'VIERNES '
 );</t>
  </si>
  <si>
    <t>INSERT INTO horario_curso_materia (horario_curso_materia.FK_CUR_mat,horario_curso_materia.FK_HOR,horario_curso_materia.DIA) VALUES (  (SELECT curso_materia.ID_CUR_MAT FROM curso_materia WHERE curso_materia.CUPOF='2680767' ) ,
    (SELECT horario.ID_HOR FROM horario WHERE horario.modulo='3 ' and horario.turno='V ' ),
    'VIERNES '
 );</t>
  </si>
  <si>
    <t>INSERT INTO horario_curso_materia (horario_curso_materia.FK_CUR_mat,horario_curso_materia.FK_HOR,horario_curso_materia.DIA) VALUES (  (SELECT curso_materia.ID_CUR_MAT FROM curso_materia WHERE curso_materia.CUPOF='2680758' ) ,
    (SELECT horario.ID_HOR FROM horario WHERE horario.modulo='4 ' and horario.turno='T ' ),
    'JUEVES '
 );</t>
  </si>
  <si>
    <t>INSERT INTO horario_curso_materia (horario_curso_materia.FK_CUR_mat,horario_curso_materia.FK_HOR,horario_curso_materia.DIA) VALUES (  (SELECT curso_materia.ID_CUR_MAT FROM curso_materia WHERE curso_materia.CUPOF='2680766' ) ,
    (SELECT horario.ID_HOR FROM horario WHERE horario.modulo='4 ' and horario.turno='V ' ),
    'JUEVES '
 );</t>
  </si>
  <si>
    <t>INSERT INTO horario_curso_materia (horario_curso_materia.FK_CUR_mat,horario_curso_materia.FK_HOR,horario_curso_materia.DIA) VALUES (  (SELECT curso_materia.ID_CUR_MAT FROM curso_materia WHERE curso_materia.CUPOF='2680773' ) ,
    (SELECT horario.ID_HOR FROM horario WHERE horario.modulo='4 ' and horario.turno='V ' ),
    'JUEVES '
 );</t>
  </si>
  <si>
    <t>INSERT INTO horario_curso_materia (horario_curso_materia.FK_CUR_mat,horario_curso_materia.FK_HOR,horario_curso_materia.DIA) VALUES (  (SELECT curso_materia.ID_CUR_MAT FROM curso_materia WHERE curso_materia.CUPOF='2680760' ) ,
    (SELECT horario.ID_HOR FROM horario WHERE horario.modulo='4 ' and horario.turno='T ' ),
    'LUNES '
 );</t>
  </si>
  <si>
    <t>INSERT INTO horario_curso_materia (horario_curso_materia.FK_CUR_mat,horario_curso_materia.FK_HOR,horario_curso_materia.DIA) VALUES (  (SELECT curso_materia.ID_CUR_MAT FROM curso_materia WHERE curso_materia.CUPOF='2680771' ) ,
    (SELECT horario.ID_HOR FROM horario WHERE horario.modulo='4 ' and horario.turno='V ' ),
    'LUNES '
 );</t>
  </si>
  <si>
    <t>INSERT INTO horario_curso_materia (horario_curso_materia.FK_CUR_mat,horario_curso_materia.FK_HOR,horario_curso_materia.DIA) VALUES (  (SELECT curso_materia.ID_CUR_MAT FROM curso_materia WHERE curso_materia.CUPOF='2680761' ) ,
    (SELECT horario.ID_HOR FROM horario WHERE horario.modulo='4 ' and horario.turno='T ' ),
    'MARTES '
 );</t>
  </si>
  <si>
    <t>INSERT INTO horario_curso_materia (horario_curso_materia.FK_CUR_mat,horario_curso_materia.FK_HOR,horario_curso_materia.DIA) VALUES (  (SELECT curso_materia.ID_CUR_MAT FROM curso_materia WHERE curso_materia.CUPOF='2680769' ) ,
    (SELECT horario.ID_HOR FROM horario WHERE horario.modulo='4 ' and horario.turno='M ' ),
    'MARTES '
 );</t>
  </si>
  <si>
    <t>INSERT INTO horario_curso_materia (horario_curso_materia.FK_CUR_mat,horario_curso_materia.FK_HOR,horario_curso_materia.DIA) VALUES (  (SELECT curso_materia.ID_CUR_MAT FROM curso_materia WHERE curso_materia.CUPOF='2680762' ) ,
    (SELECT horario.ID_HOR FROM horario WHERE horario.modulo='4 ' and horario.turno='T ' ),
    'MIERCOLES '
 );</t>
  </si>
  <si>
    <t>INSERT INTO horario_curso_materia (horario_curso_materia.FK_CUR_mat,horario_curso_materia.FK_HOR,horario_curso_materia.DIA) VALUES (  (SELECT curso_materia.ID_CUR_MAT FROM curso_materia WHERE curso_materia.CUPOF='2680772' ) ,
    (SELECT horario.ID_HOR FROM horario WHERE horario.modulo='4 ' and horario.turno='V ' ),
    'MIERCOLES '
 );</t>
  </si>
  <si>
    <t>INSERT INTO horario_curso_materia (horario_curso_materia.FK_CUR_mat,horario_curso_materia.FK_HOR,horario_curso_materia.DIA) VALUES (  (SELECT curso_materia.ID_CUR_MAT FROM curso_materia WHERE curso_materia.CUPOF='2680764' ) ,
    (SELECT horario.ID_HOR FROM horario WHERE horario.modulo='4 ' and horario.turno='T ' ),
    'VIERNES '
 );</t>
  </si>
  <si>
    <t>INSERT INTO horario_curso_materia (horario_curso_materia.FK_CUR_mat,horario_curso_materia.FK_HOR,horario_curso_materia.DIA) VALUES (  (SELECT curso_materia.ID_CUR_MAT FROM curso_materia WHERE curso_materia.CUPOF='2680767' ) ,
    (SELECT horario.ID_HOR FROM horario WHERE horario.modulo='4 ' and horario.turno='V ' ),
    'VIERNES '
 );</t>
  </si>
  <si>
    <t>INSERT INTO horario_curso_materia (horario_curso_materia.FK_CUR_mat,horario_curso_materia.FK_HOR,horario_curso_materia.DIA) VALUES (  (SELECT curso_materia.ID_CUR_MAT FROM curso_materia WHERE curso_materia.CUPOF='2680762' ) ,
    (SELECT horario.ID_HOR FROM horario WHERE horario.modulo='prehora ' and horario.turno='T ' ),
    'MIERCOLES '
 );</t>
  </si>
  <si>
    <t>INSERT INTO horario_curso_materia (horario_curso_materia.FK_CUR_mat,horario_curso_materia.FK_HOR,horario_curso_materia.DIA) VALUES (  (SELECT curso_materia.ID_CUR_MAT FROM curso_materia WHERE curso_materia.CUPOF='2543652' ) ,
    (SELECT horario.ID_HOR FROM horario WHERE horario.modulo='1 ' and horario.turno='M ' ),
    'JUEVES '
 );</t>
  </si>
  <si>
    <t>INSERT INTO horario_curso_materia (horario_curso_materia.FK_CUR_mat,horario_curso_materia.FK_HOR,horario_curso_materia.DIA) VALUES (  (SELECT curso_materia.ID_CUR_MAT FROM curso_materia WHERE curso_materia.CUPOF='2543656' ) ,
    (SELECT horario.ID_HOR FROM horario WHERE horario.modulo='1 ' and horario.turno='V ' ),
    'LUNES '
 );</t>
  </si>
  <si>
    <t>INSERT INTO horario_curso_materia (horario_curso_materia.FK_CUR_mat,horario_curso_materia.FK_HOR,horario_curso_materia.DIA) VALUES (  (SELECT curso_materia.ID_CUR_MAT FROM curso_materia WHERE curso_materia.CUPOF='2543664' ) ,
    (SELECT horario.ID_HOR FROM horario WHERE horario.modulo='1 ' and horario.turno='V ' ),
    'VIERNES '
 );</t>
  </si>
  <si>
    <t>INSERT INTO horario_curso_materia (horario_curso_materia.FK_CUR_mat,horario_curso_materia.FK_HOR,horario_curso_materia.DIA) VALUES (  (SELECT curso_materia.ID_CUR_MAT FROM curso_materia WHERE curso_materia.CUPOF='2543652' ) ,
    (SELECT horario.ID_HOR FROM horario WHERE horario.modulo='1 ' and horario.turno='M ' ),
    'LUNES '
 );</t>
  </si>
  <si>
    <t>INSERT INTO horario_curso_materia (horario_curso_materia.FK_CUR_mat,horario_curso_materia.FK_HOR,horario_curso_materia.DIA) VALUES (  (SELECT curso_materia.ID_CUR_MAT FROM curso_materia WHERE curso_materia.CUPOF='2543661' ) ,
    (SELECT horario.ID_HOR FROM horario WHERE horario.modulo='1 ' and horario.turno='V ' ),
    'LUNES '
 );</t>
  </si>
  <si>
    <t>INSERT INTO horario_curso_materia (horario_curso_materia.FK_CUR_mat,horario_curso_materia.FK_HOR,horario_curso_materia.DIA) VALUES (  (SELECT curso_materia.ID_CUR_MAT FROM curso_materia WHERE curso_materia.CUPOF='2543655' ) ,
    (SELECT horario.ID_HOR FROM horario WHERE horario.modulo='3 ' and horario.turno='T ' ),
    'VIERNES '
 );</t>
  </si>
  <si>
    <t>INSERT INTO horario_curso_materia (horario_curso_materia.FK_CUR_mat,horario_curso_materia.FK_HOR,horario_curso_materia.DIA) VALUES (  (SELECT curso_materia.ID_CUR_MAT FROM curso_materia WHERE curso_materia.CUPOF='2543649' ) ,
    (SELECT horario.ID_HOR FROM horario WHERE horario.modulo='1 ' and horario.turno='M ' ),
    'MARTES '
 );</t>
  </si>
  <si>
    <t>INSERT INTO horario_curso_materia (horario_curso_materia.FK_CUR_mat,horario_curso_materia.FK_HOR,horario_curso_materia.DIA) VALUES (  (SELECT curso_materia.ID_CUR_MAT FROM curso_materia WHERE curso_materia.CUPOF='2543654' ) ,
    (SELECT horario.ID_HOR FROM horario WHERE horario.modulo='3 ' and horario.turno='V ' ),
    'MIERCOLES '
 );</t>
  </si>
  <si>
    <t>INSERT INTO horario_curso_materia (horario_curso_materia.FK_CUR_mat,horario_curso_materia.FK_HOR,horario_curso_materia.DIA) VALUES (  (SELECT curso_materia.ID_CUR_MAT FROM curso_materia WHERE curso_materia.CUPOF='2543650' ) ,
    (SELECT horario.ID_HOR FROM horario WHERE horario.modulo='1 ' and horario.turno='M ' ),
    'MIERCOLES '
 );</t>
  </si>
  <si>
    <t>INSERT INTO horario_curso_materia (horario_curso_materia.FK_CUR_mat,horario_curso_materia.FK_HOR,horario_curso_materia.DIA) VALUES (  (SELECT curso_materia.ID_CUR_MAT FROM curso_materia WHERE curso_materia.CUPOF='2543658' ) ,
    (SELECT horario.ID_HOR FROM horario WHERE horario.modulo='1 ' and horario.turno='T ' ),
    'MIERCOLES '
 );</t>
  </si>
  <si>
    <t>INSERT INTO horario_curso_materia (horario_curso_materia.FK_CUR_mat,horario_curso_materia.FK_HOR,horario_curso_materia.DIA) VALUES (  (SELECT curso_materia.ID_CUR_MAT FROM curso_materia WHERE curso_materia.CUPOF='2543620' ) ,
    (SELECT horario.ID_HOR FROM horario WHERE horario.modulo='1 ' and horario.turno='M ' ),
    'VIERNES '
 );</t>
  </si>
  <si>
    <t>INSERT INTO horario_curso_materia (horario_curso_materia.FK_CUR_mat,horario_curso_materia.FK_HOR,horario_curso_materia.DIA) VALUES (  (SELECT curso_materia.ID_CUR_MAT FROM curso_materia WHERE curso_materia.CUPOF='2543652' ) ,
    (SELECT horario.ID_HOR FROM horario WHERE horario.modulo='2 ' and horario.turno='M ' ),
    'JUEVES '
 );</t>
  </si>
  <si>
    <t>INSERT INTO horario_curso_materia (horario_curso_materia.FK_CUR_mat,horario_curso_materia.FK_HOR,horario_curso_materia.DIA) VALUES (  (SELECT curso_materia.ID_CUR_MAT FROM curso_materia WHERE curso_materia.CUPOF='2543656' ) ,
    (SELECT horario.ID_HOR FROM horario WHERE horario.modulo='2 ' and horario.turno='V ' ),
    'LUNES '
 );</t>
  </si>
  <si>
    <t>INSERT INTO horario_curso_materia (horario_curso_materia.FK_CUR_mat,horario_curso_materia.FK_HOR,horario_curso_materia.DIA) VALUES (  (SELECT curso_materia.ID_CUR_MAT FROM curso_materia WHERE curso_materia.CUPOF='2543664' ) ,
    (SELECT horario.ID_HOR FROM horario WHERE horario.modulo='2 ' and horario.turno='V ' ),
    'VIERNES '
 );</t>
  </si>
  <si>
    <t>INSERT INTO horario_curso_materia (horario_curso_materia.FK_CUR_mat,horario_curso_materia.FK_HOR,horario_curso_materia.DIA) VALUES (  (SELECT curso_materia.ID_CUR_MAT FROM curso_materia WHERE curso_materia.CUPOF='2543652' ) ,
    (SELECT horario.ID_HOR FROM horario WHERE horario.modulo='2 ' and horario.turno='M ' ),
    'LUNES '
 );</t>
  </si>
  <si>
    <t>INSERT INTO horario_curso_materia (horario_curso_materia.FK_CUR_mat,horario_curso_materia.FK_HOR,horario_curso_materia.DIA) VALUES (  (SELECT curso_materia.ID_CUR_MAT FROM curso_materia WHERE curso_materia.CUPOF='2543661' ) ,
    (SELECT horario.ID_HOR FROM horario WHERE horario.modulo='2 ' and horario.turno='V ' ),
    'LUNES '
 );</t>
  </si>
  <si>
    <t>INSERT INTO horario_curso_materia (horario_curso_materia.FK_CUR_mat,horario_curso_materia.FK_HOR,horario_curso_materia.DIA) VALUES (  (SELECT curso_materia.ID_CUR_MAT FROM curso_materia WHERE curso_materia.CUPOF='2543655' ) ,
    (SELECT horario.ID_HOR FROM horario WHERE horario.modulo='4 ' and horario.turno='T ' ),
    'VIERNES '
 );</t>
  </si>
  <si>
    <t>INSERT INTO horario_curso_materia (horario_curso_materia.FK_CUR_mat,horario_curso_materia.FK_HOR,horario_curso_materia.DIA) VALUES (  (SELECT curso_materia.ID_CUR_MAT FROM curso_materia WHERE curso_materia.CUPOF='2543649' ) ,
    (SELECT horario.ID_HOR FROM horario WHERE horario.modulo='2 ' and horario.turno='M ' ),
    'MARTES '
 );</t>
  </si>
  <si>
    <t>INSERT INTO horario_curso_materia (horario_curso_materia.FK_CUR_mat,horario_curso_materia.FK_HOR,horario_curso_materia.DIA) VALUES (  (SELECT curso_materia.ID_CUR_MAT FROM curso_materia WHERE curso_materia.CUPOF='2543654' ) ,
    (SELECT horario.ID_HOR FROM horario WHERE horario.modulo='4 ' and horario.turno='V ' ),
    'MIERCOLES '
 );</t>
  </si>
  <si>
    <t>INSERT INTO horario_curso_materia (horario_curso_materia.FK_CUR_mat,horario_curso_materia.FK_HOR,horario_curso_materia.DIA) VALUES (  (SELECT curso_materia.ID_CUR_MAT FROM curso_materia WHERE curso_materia.CUPOF='2543650' ) ,
    (SELECT horario.ID_HOR FROM horario WHERE horario.modulo='2 ' and horario.turno='M ' ),
    'MIERCOLES '
 );</t>
  </si>
  <si>
    <t>INSERT INTO horario_curso_materia (horario_curso_materia.FK_CUR_mat,horario_curso_materia.FK_HOR,horario_curso_materia.DIA) VALUES (  (SELECT curso_materia.ID_CUR_MAT FROM curso_materia WHERE curso_materia.CUPOF='2543658' ) ,
    (SELECT horario.ID_HOR FROM horario WHERE horario.modulo='2 ' and horario.turno='T ' ),
    'MIERCOLES '
 );</t>
  </si>
  <si>
    <t>INSERT INTO horario_curso_materia (horario_curso_materia.FK_CUR_mat,horario_curso_materia.FK_HOR,horario_curso_materia.DIA) VALUES (  (SELECT curso_materia.ID_CUR_MAT FROM curso_materia WHERE curso_materia.CUPOF='2543620' ) ,
    (SELECT horario.ID_HOR FROM horario WHERE horario.modulo='2 ' and horario.turno='M ' ),
    'VIERNES '
 );</t>
  </si>
  <si>
    <t>INSERT INTO horario_curso_materia (horario_curso_materia.FK_CUR_mat,horario_curso_materia.FK_HOR,horario_curso_materia.DIA) VALUES (  (SELECT curso_materia.ID_CUR_MAT FROM curso_materia WHERE curso_materia.CUPOF='2543648' ) ,
    (SELECT horario.ID_HOR FROM horario WHERE horario.modulo='3 ' and horario.turno='M ' ),
    'JUEVES '
 );</t>
  </si>
  <si>
    <t>INSERT INTO horario_curso_materia (horario_curso_materia.FK_CUR_mat,horario_curso_materia.FK_HOR,horario_curso_materia.DIA) VALUES (  (SELECT curso_materia.ID_CUR_MAT FROM curso_materia WHERE curso_materia.CUPOF='2543656' ) ,
    (SELECT horario.ID_HOR FROM horario WHERE horario.modulo='3 ' and horario.turno='V ' ),
    'LUNES '
 );</t>
  </si>
  <si>
    <t>INSERT INTO horario_curso_materia (horario_curso_materia.FK_CUR_mat,horario_curso_materia.FK_HOR,horario_curso_materia.DIA) VALUES (  (SELECT curso_materia.ID_CUR_MAT FROM curso_materia WHERE curso_materia.CUPOF='2543664' ) ,
    (SELECT horario.ID_HOR FROM horario WHERE horario.modulo='3 ' and horario.turno='V ' ),
    'VIERNES '
 );</t>
  </si>
  <si>
    <t>INSERT INTO horario_curso_materia (horario_curso_materia.FK_CUR_mat,horario_curso_materia.FK_HOR,horario_curso_materia.DIA) VALUES (  (SELECT curso_materia.ID_CUR_MAT FROM curso_materia WHERE curso_materia.CUPOF='2543607' ) ,
    (SELECT horario.ID_HOR FROM horario WHERE horario.modulo='3 ' and horario.turno='M ' ),
    'LUNES '
 );</t>
  </si>
  <si>
    <t>INSERT INTO horario_curso_materia (horario_curso_materia.FK_CUR_mat,horario_curso_materia.FK_HOR,horario_curso_materia.DIA) VALUES (  (SELECT curso_materia.ID_CUR_MAT FROM curso_materia WHERE curso_materia.CUPOF='2543661' ) ,
    (SELECT horario.ID_HOR FROM horario WHERE horario.modulo='3 ' and horario.turno='V ' ),
    'LUNES '
 );</t>
  </si>
  <si>
    <t>INSERT INTO horario_curso_materia (horario_curso_materia.FK_CUR_mat,horario_curso_materia.FK_HOR,horario_curso_materia.DIA) VALUES (  (SELECT curso_materia.ID_CUR_MAT FROM curso_materia WHERE curso_materia.CUPOF='2543655' ) ,
    (SELECT horario.ID_HOR FROM horario WHERE horario.modulo='1 ' and horario.turno='T ' ),
    'VIERNES '
 );</t>
  </si>
  <si>
    <t>INSERT INTO horario_curso_materia (horario_curso_materia.FK_CUR_mat,horario_curso_materia.FK_HOR,horario_curso_materia.DIA) VALUES (  (SELECT curso_materia.ID_CUR_MAT FROM curso_materia WHERE curso_materia.CUPOF='2571507' ) ,
    (SELECT horario.ID_HOR FROM horario WHERE horario.modulo='3 ' and horario.turno='M ' ),
    'MARTES '
 );</t>
  </si>
  <si>
    <t>INSERT INTO horario_curso_materia (horario_curso_materia.FK_CUR_mat,horario_curso_materia.FK_HOR,horario_curso_materia.DIA) VALUES (  (SELECT curso_materia.ID_CUR_MAT FROM curso_materia WHERE curso_materia.CUPOF='2543659' ) ,
    (SELECT horario.ID_HOR FROM horario WHERE horario.modulo='3 ' and horario.turno='T ' ),
    'MARTES '
 );</t>
  </si>
  <si>
    <t>INSERT INTO horario_curso_materia (horario_curso_materia.FK_CUR_mat,horario_curso_materia.FK_HOR,horario_curso_materia.DIA) VALUES (  (SELECT curso_materia.ID_CUR_MAT FROM curso_materia WHERE curso_materia.CUPOF='2571508' ) ,
    (SELECT horario.ID_HOR FROM horario WHERE horario.modulo='3 ' and horario.turno='M ' ),
    'MIERCOLES '
 );</t>
  </si>
  <si>
    <t>INSERT INTO horario_curso_materia (horario_curso_materia.FK_CUR_mat,horario_curso_materia.FK_HOR,horario_curso_materia.DIA) VALUES (  (SELECT curso_materia.ID_CUR_MAT FROM curso_materia WHERE curso_materia.CUPOF='2543665' ) ,
    (SELECT horario.ID_HOR FROM horario WHERE horario.modulo='1 ' and horario.turno='V ' ),
    'MIERCOLES '
 );</t>
  </si>
  <si>
    <t>INSERT INTO horario_curso_materia (horario_curso_materia.FK_CUR_mat,horario_curso_materia.FK_HOR,horario_curso_materia.DIA) VALUES (  (SELECT curso_materia.ID_CUR_MAT FROM curso_materia WHERE curso_materia.CUPOF='2571508' ) ,
    (SELECT horario.ID_HOR FROM horario WHERE horario.modulo='3 ' and horario.turno='M ' ),
    'VIERNES '
 );</t>
  </si>
  <si>
    <t>INSERT INTO horario_curso_materia (horario_curso_materia.FK_CUR_mat,horario_curso_materia.FK_HOR,horario_curso_materia.DIA) VALUES (  (SELECT curso_materia.ID_CUR_MAT FROM curso_materia WHERE curso_materia.CUPOF='2543648' ) ,
    (SELECT horario.ID_HOR FROM horario WHERE horario.modulo='4 ' and horario.turno='M ' ),
    'JUEVES '
 );</t>
  </si>
  <si>
    <t>INSERT INTO horario_curso_materia (horario_curso_materia.FK_CUR_mat,horario_curso_materia.FK_HOR,horario_curso_materia.DIA) VALUES (  (SELECT curso_materia.ID_CUR_MAT FROM curso_materia WHERE curso_materia.CUPOF='2543656' ) ,
    (SELECT horario.ID_HOR FROM horario WHERE horario.modulo='4 ' and horario.turno='V ' ),
    'LUNES '
 );</t>
  </si>
  <si>
    <t>INSERT INTO horario_curso_materia (horario_curso_materia.FK_CUR_mat,horario_curso_materia.FK_HOR,horario_curso_materia.DIA) VALUES (  (SELECT curso_materia.ID_CUR_MAT FROM curso_materia WHERE curso_materia.CUPOF='2543664' ) ,
    (SELECT horario.ID_HOR FROM horario WHERE horario.modulo='4 ' and horario.turno='V ' ),
    'VIERNES '
 );</t>
  </si>
  <si>
    <t>INSERT INTO horario_curso_materia (horario_curso_materia.FK_CUR_mat,horario_curso_materia.FK_HOR,horario_curso_materia.DIA) VALUES (  (SELECT curso_materia.ID_CUR_MAT FROM curso_materia WHERE curso_materia.CUPOF='2543607' ) ,
    (SELECT horario.ID_HOR FROM horario WHERE horario.modulo='4 ' and horario.turno='M ' ),
    'LUNES '
 );</t>
  </si>
  <si>
    <t>INSERT INTO horario_curso_materia (horario_curso_materia.FK_CUR_mat,horario_curso_materia.FK_HOR,horario_curso_materia.DIA) VALUES (  (SELECT curso_materia.ID_CUR_MAT FROM curso_materia WHERE curso_materia.CUPOF='2543661' ) ,
    (SELECT horario.ID_HOR FROM horario WHERE horario.modulo='4 ' and horario.turno='V ' ),
    'LUNES '
 );</t>
  </si>
  <si>
    <t>INSERT INTO horario_curso_materia (horario_curso_materia.FK_CUR_mat,horario_curso_materia.FK_HOR,horario_curso_materia.DIA) VALUES (  (SELECT curso_materia.ID_CUR_MAT FROM curso_materia WHERE curso_materia.CUPOF='2543655' ) ,
    (SELECT horario.ID_HOR FROM horario WHERE horario.modulo='2 ' and horario.turno='T ' ),
    'VIERNES '
 );</t>
  </si>
  <si>
    <t>INSERT INTO horario_curso_materia (horario_curso_materia.FK_CUR_mat,horario_curso_materia.FK_HOR,horario_curso_materia.DIA) VALUES (  (SELECT curso_materia.ID_CUR_MAT FROM curso_materia WHERE curso_materia.CUPOF='2571507' ) ,
    (SELECT horario.ID_HOR FROM horario WHERE horario.modulo='4 ' and horario.turno='M ' ),
    'MARTES '
 );</t>
  </si>
  <si>
    <t>INSERT INTO horario_curso_materia (horario_curso_materia.FK_CUR_mat,horario_curso_materia.FK_HOR,horario_curso_materia.DIA) VALUES (  (SELECT curso_materia.ID_CUR_MAT FROM curso_materia WHERE curso_materia.CUPOF='2543659' ) ,
    (SELECT horario.ID_HOR FROM horario WHERE horario.modulo='4 ' and horario.turno='T ' ),
    'MARTES '
 );</t>
  </si>
  <si>
    <t>INSERT INTO horario_curso_materia (horario_curso_materia.FK_CUR_mat,horario_curso_materia.FK_HOR,horario_curso_materia.DIA) VALUES (  (SELECT curso_materia.ID_CUR_MAT FROM curso_materia WHERE curso_materia.CUPOF='2571508' ) ,
    (SELECT horario.ID_HOR FROM horario WHERE horario.modulo='4 ' and horario.turno='M ' ),
    'MIERCOLES '
 );</t>
  </si>
  <si>
    <t>INSERT INTO horario_curso_materia (horario_curso_materia.FK_CUR_mat,horario_curso_materia.FK_HOR,horario_curso_materia.DIA) VALUES (  (SELECT curso_materia.ID_CUR_MAT FROM curso_materia WHERE curso_materia.CUPOF='2543665' ) ,
    (SELECT horario.ID_HOR FROM horario WHERE horario.modulo='2 ' and horario.turno='V ' ),
    'MIERCOLES '
 );</t>
  </si>
  <si>
    <t>INSERT INTO horario_curso_materia (horario_curso_materia.FK_CUR_mat,horario_curso_materia.FK_HOR,horario_curso_materia.DIA) VALUES (  (SELECT curso_materia.ID_CUR_MAT FROM curso_materia WHERE curso_materia.CUPOF='2571508' ) ,
    (SELECT horario.ID_HOR FROM horario WHERE horario.modulo='4 ' and horario.turno='M ' ),
    'VIERNES '
 );</t>
  </si>
  <si>
    <t>INSERT INTO horario_curso_materia (horario_curso_materia.FK_CUR_mat,horario_curso_materia.FK_HOR,horario_curso_materia.DIA) VALUES (  (SELECT curso_materia.ID_CUR_MAT FROM curso_materia WHERE curso_materia.CUPOF='2571507' ) ,
    (SELECT horario.ID_HOR FROM horario WHERE horario.modulo='5 ' and horario.turno='M ' ),
    'MARTES '
 );</t>
  </si>
  <si>
    <t>INSERT INTO horario_curso_materia (horario_curso_materia.FK_CUR_mat,horario_curso_materia.FK_HOR,horario_curso_materia.DIA) VALUES (  (SELECT curso_materia.ID_CUR_MAT FROM curso_materia WHERE curso_materia.CUPOF='2543646' ) ,
    (SELECT horario.ID_HOR FROM horario WHERE horario.modulo='5 ' and horario.turno='M ' ),
    'MIERCOLES '
 );</t>
  </si>
  <si>
    <t>INSERT INTO horario_curso_materia (horario_curso_materia.FK_CUR_mat,horario_curso_materia.FK_HOR,horario_curso_materia.DIA) VALUES (  (SELECT curso_materia.ID_CUR_MAT FROM curso_materia WHERE curso_materia.CUPOF='2543646' ) ,
    (SELECT horario.ID_HOR FROM horario WHERE horario.modulo='5 ' and horario.turno='M ' ),
    'VIERNES '
 );</t>
  </si>
  <si>
    <t>INSERT INTO horario_curso_materia (horario_curso_materia.FK_CUR_mat,horario_curso_materia.FK_HOR,horario_curso_materia.DIA) VALUES (  (SELECT curso_materia.ID_CUR_MAT FROM curso_materia WHERE curso_materia.CUPOF='733375' ) ,
    (SELECT horario.ID_HOR FROM horario WHERE horario.modulo='1 ' and horario.turno='V ' ),
    'JUEVES '
 );</t>
  </si>
  <si>
    <t>INSERT INTO horario_curso_materia (horario_curso_materia.FK_CUR_mat,horario_curso_materia.FK_HOR,horario_curso_materia.DIA) VALUES (  (SELECT curso_materia.ID_CUR_MAT FROM curso_materia WHERE curso_materia.CUPOF='2680845' ) ,
    (SELECT horario.ID_HOR FROM horario WHERE horario.modulo='1 ' and horario.turno='T ' ),
    'LUNES '
 );</t>
  </si>
  <si>
    <t>INSERT INTO horario_curso_materia (horario_curso_materia.FK_CUR_mat,horario_curso_materia.FK_HOR,horario_curso_materia.DIA) VALUES (  (SELECT curso_materia.ID_CUR_MAT FROM curso_materia WHERE curso_materia.CUPOF='2680833' ) ,
    (SELECT horario.ID_HOR FROM horario WHERE horario.modulo='1 ' and horario.turno='V ' ),
    'LUNES '
 );</t>
  </si>
  <si>
    <t>INSERT INTO horario_curso_materia (horario_curso_materia.FK_CUR_mat,horario_curso_materia.FK_HOR,horario_curso_materia.DIA) VALUES (  (SELECT curso_materia.ID_CUR_MAT FROM curso_materia WHERE curso_materia.CUPOF='2680836' ) ,
    (SELECT horario.ID_HOR FROM horario WHERE horario.modulo='1 ' and horario.turno='T ' ),
    'LUNES '
 );</t>
  </si>
  <si>
    <t>INSERT INTO horario_curso_materia (horario_curso_materia.FK_CUR_mat,horario_curso_materia.FK_HOR,horario_curso_materia.DIA) VALUES (  (SELECT curso_materia.ID_CUR_MAT FROM curso_materia WHERE curso_materia.CUPOF='2680838' ) ,
    (SELECT horario.ID_HOR FROM horario WHERE horario.modulo='1 ' and horario.turno='T ' ),
    'MARTES '
 );</t>
  </si>
  <si>
    <t>INSERT INTO horario_curso_materia (horario_curso_materia.FK_CUR_mat,horario_curso_materia.FK_HOR,horario_curso_materia.DIA) VALUES (  (SELECT curso_materia.ID_CUR_MAT FROM curso_materia WHERE curso_materia.CUPOF='2680830' ) ,
    (SELECT horario.ID_HOR FROM horario WHERE horario.modulo='1 ' and horario.turno='V ' ),
    'MARTES '
 );</t>
  </si>
  <si>
    <t>INSERT INTO horario_curso_materia (horario_curso_materia.FK_CUR_mat,horario_curso_materia.FK_HOR,horario_curso_materia.DIA) VALUES (  (SELECT curso_materia.ID_CUR_MAT FROM curso_materia WHERE curso_materia.CUPOF='1180198' ) ,
    (SELECT horario.ID_HOR FROM horario WHERE horario.modulo='1 ' and horario.turno='T ' ),
    'MIERCOLES '
 );</t>
  </si>
  <si>
    <t>INSERT INTO horario_curso_materia (horario_curso_materia.FK_CUR_mat,horario_curso_materia.FK_HOR,horario_curso_materia.DIA) VALUES (  (SELECT curso_materia.ID_CUR_MAT FROM curso_materia WHERE curso_materia.CUPOF='733394' ) ,
    (SELECT horario.ID_HOR FROM horario WHERE horario.modulo='3 ' and horario.turno='V ' ),
    'MIERCOLES '
 );</t>
  </si>
  <si>
    <t>INSERT INTO horario_curso_materia (horario_curso_materia.FK_CUR_mat,horario_curso_materia.FK_HOR,horario_curso_materia.DIA) VALUES (  (SELECT curso_materia.ID_CUR_MAT FROM curso_materia WHERE curso_materia.CUPOF='2680848' ) ,
    (SELECT horario.ID_HOR FROM horario WHERE horario.modulo='1 ' and horario.turno='T ' ),
    'MARTES '
 );</t>
  </si>
  <si>
    <t>INSERT INTO horario_curso_materia (horario_curso_materia.FK_CUR_mat,horario_curso_materia.FK_HOR,horario_curso_materia.DIA) VALUES (  (SELECT curso_materia.ID_CUR_MAT FROM curso_materia WHERE curso_materia.CUPOF='2680835' ) ,
    (SELECT horario.ID_HOR FROM horario WHERE horario.modulo='1 ' and horario.turno='T ' ),
    'VIERNES '
 );</t>
  </si>
  <si>
    <t>INSERT INTO horario_curso_materia (horario_curso_materia.FK_CUR_mat,horario_curso_materia.FK_HOR,horario_curso_materia.DIA) VALUES (  (SELECT curso_materia.ID_CUR_MAT FROM curso_materia WHERE curso_materia.CUPOF='2680830' ) ,
    (SELECT horario.ID_HOR FROM horario WHERE horario.modulo='1 ' and horario.turno='V ' ),
    'VIERNES '
 );</t>
  </si>
  <si>
    <t>INSERT INTO horario_curso_materia (horario_curso_materia.FK_CUR_mat,horario_curso_materia.FK_HOR,horario_curso_materia.DIA) VALUES (  (SELECT curso_materia.ID_CUR_MAT FROM curso_materia WHERE curso_materia.CUPOF='733383' ) ,
    (SELECT horario.ID_HOR FROM horario WHERE horario.modulo='prehora ' and horario.turno='V ' ),
    'JUEVES '
 );</t>
  </si>
  <si>
    <t>INSERT INTO horario_curso_materia (horario_curso_materia.FK_CUR_mat,horario_curso_materia.FK_HOR,horario_curso_materia.DIA) VALUES (  (SELECT curso_materia.ID_CUR_MAT FROM curso_materia WHERE curso_materia.CUPOF='733375' ) ,
    (SELECT horario.ID_HOR FROM horario WHERE horario.modulo='2 ' and horario.turno='V ' ),
    'JUEVES '
 );</t>
  </si>
  <si>
    <t>INSERT INTO horario_curso_materia (horario_curso_materia.FK_CUR_mat,horario_curso_materia.FK_HOR,horario_curso_materia.DIA) VALUES (  (SELECT curso_materia.ID_CUR_MAT FROM curso_materia WHERE curso_materia.CUPOF='733383' ) ,
    (SELECT horario.ID_HOR FROM horario WHERE horario.modulo='4 ' and horario.turno='V ' ),
    'LUNES '
 );</t>
  </si>
  <si>
    <t>INSERT INTO horario_curso_materia (horario_curso_materia.FK_CUR_mat,horario_curso_materia.FK_HOR,horario_curso_materia.DIA) VALUES (  (SELECT curso_materia.ID_CUR_MAT FROM curso_materia WHERE curso_materia.CUPOF='2680845' ) ,
    (SELECT horario.ID_HOR FROM horario WHERE horario.modulo='2 ' and horario.turno='T ' ),
    'LUNES '
 );</t>
  </si>
  <si>
    <t>INSERT INTO horario_curso_materia (horario_curso_materia.FK_CUR_mat,horario_curso_materia.FK_HOR,horario_curso_materia.DIA) VALUES (  (SELECT curso_materia.ID_CUR_MAT FROM curso_materia WHERE curso_materia.CUPOF='2680833' ) ,
    (SELECT horario.ID_HOR FROM horario WHERE horario.modulo='2 ' and horario.turno='V ' ),
    'LUNES '
 );</t>
  </si>
  <si>
    <t>INSERT INTO horario_curso_materia (horario_curso_materia.FK_CUR_mat,horario_curso_materia.FK_HOR,horario_curso_materia.DIA) VALUES (  (SELECT curso_materia.ID_CUR_MAT FROM curso_materia WHERE curso_materia.CUPOF='2680836' ) ,
    (SELECT horario.ID_HOR FROM horario WHERE horario.modulo='2 ' and horario.turno='T ' ),
    'LUNES '
 );</t>
  </si>
  <si>
    <t>INSERT INTO horario_curso_materia (horario_curso_materia.FK_CUR_mat,horario_curso_materia.FK_HOR,horario_curso_materia.DIA) VALUES (  (SELECT curso_materia.ID_CUR_MAT FROM curso_materia WHERE curso_materia.CUPOF='2680838' ) ,
    (SELECT horario.ID_HOR FROM horario WHERE horario.modulo='2 ' and horario.turno='T ' ),
    'MARTES '
 );</t>
  </si>
  <si>
    <t>INSERT INTO horario_curso_materia (horario_curso_materia.FK_CUR_mat,horario_curso_materia.FK_HOR,horario_curso_materia.DIA) VALUES (  (SELECT curso_materia.ID_CUR_MAT FROM curso_materia WHERE curso_materia.CUPOF='2680830' ) ,
    (SELECT horario.ID_HOR FROM horario WHERE horario.modulo='2 ' and horario.turno='V ' ),
    'MARTES '
 );</t>
  </si>
  <si>
    <t>INSERT INTO horario_curso_materia (horario_curso_materia.FK_CUR_mat,horario_curso_materia.FK_HOR,horario_curso_materia.DIA) VALUES (  (SELECT curso_materia.ID_CUR_MAT FROM curso_materia WHERE curso_materia.CUPOF='1180198' ) ,
    (SELECT horario.ID_HOR FROM horario WHERE horario.modulo='2 ' and horario.turno='T ' ),
    'MIERCOLES '
 );</t>
  </si>
  <si>
    <t>INSERT INTO horario_curso_materia (horario_curso_materia.FK_CUR_mat,horario_curso_materia.FK_HOR,horario_curso_materia.DIA) VALUES (  (SELECT curso_materia.ID_CUR_MAT FROM curso_materia WHERE curso_materia.CUPOF='733394' ) ,
    (SELECT horario.ID_HOR FROM horario WHERE horario.modulo='4 ' and horario.turno='V ' ),
    'MIERCOLES '
 );</t>
  </si>
  <si>
    <t>INSERT INTO horario_curso_materia (horario_curso_materia.FK_CUR_mat,horario_curso_materia.FK_HOR,horario_curso_materia.DIA) VALUES (  (SELECT curso_materia.ID_CUR_MAT FROM curso_materia WHERE curso_materia.CUPOF='2680848' ) ,
    (SELECT horario.ID_HOR FROM horario WHERE horario.modulo='2 ' and horario.turno='T ' ),
    'MARTES '
 );</t>
  </si>
  <si>
    <t>INSERT INTO horario_curso_materia (horario_curso_materia.FK_CUR_mat,horario_curso_materia.FK_HOR,horario_curso_materia.DIA) VALUES (  (SELECT curso_materia.ID_CUR_MAT FROM curso_materia WHERE curso_materia.CUPOF='2680835' ) ,
    (SELECT horario.ID_HOR FROM horario WHERE horario.modulo='2 ' and horario.turno='T ' ),
    'VIERNES '
 );</t>
  </si>
  <si>
    <t>INSERT INTO horario_curso_materia (horario_curso_materia.FK_CUR_mat,horario_curso_materia.FK_HOR,horario_curso_materia.DIA) VALUES (  (SELECT curso_materia.ID_CUR_MAT FROM curso_materia WHERE curso_materia.CUPOF='2680830' ) ,
    (SELECT horario.ID_HOR FROM horario WHERE horario.modulo='2 ' and horario.turno='V ' ),
    'VIERNES '
 );</t>
  </si>
  <si>
    <t>INSERT INTO horario_curso_materia (horario_curso_materia.FK_CUR_mat,horario_curso_materia.FK_HOR,horario_curso_materia.DIA) VALUES (  (SELECT curso_materia.ID_CUR_MAT FROM curso_materia WHERE curso_materia.CUPOF='733438' ) ,
    (SELECT horario.ID_HOR FROM horario WHERE horario.modulo='3 ' and horario.turno='V ' ),
    'JUEVES '
 );</t>
  </si>
  <si>
    <t>INSERT INTO horario_curso_materia (horario_curso_materia.FK_CUR_mat,horario_curso_materia.FK_HOR,horario_curso_materia.DIA) VALUES (  (SELECT curso_materia.ID_CUR_MAT FROM curso_materia WHERE curso_materia.CUPOF='733383' ) ,
    (SELECT horario.ID_HOR FROM horario WHERE horario.modulo='3 ' and horario.turno='V ' ),
    'LUNES '
 );</t>
  </si>
  <si>
    <t>INSERT INTO horario_curso_materia (horario_curso_materia.FK_CUR_mat,horario_curso_materia.FK_HOR,horario_curso_materia.DIA) VALUES (  (SELECT curso_materia.ID_CUR_MAT FROM curso_materia WHERE curso_materia.CUPOF='2680845' ) ,
    (SELECT horario.ID_HOR FROM horario WHERE horario.modulo='3 ' and horario.turno='T ' ),
    'LUNES '
 );</t>
  </si>
  <si>
    <t>INSERT INTO horario_curso_materia (horario_curso_materia.FK_CUR_mat,horario_curso_materia.FK_HOR,horario_curso_materia.DIA) VALUES (  (SELECT curso_materia.ID_CUR_MAT FROM curso_materia WHERE curso_materia.CUPOF='2680836' ) ,
    (SELECT horario.ID_HOR FROM horario WHERE horario.modulo='3 ' and horario.turno='T ' ),
    'LUNES '
 );</t>
  </si>
  <si>
    <t>INSERT INTO horario_curso_materia (horario_curso_materia.FK_CUR_mat,horario_curso_materia.FK_HOR,horario_curso_materia.DIA) VALUES (  (SELECT curso_materia.ID_CUR_MAT FROM curso_materia WHERE curso_materia.CUPOF='2680838' ) ,
    (SELECT horario.ID_HOR FROM horario WHERE horario.modulo='3 ' and horario.turno='T ' ),
    'MARTES '
 );</t>
  </si>
  <si>
    <t>INSERT INTO horario_curso_materia (horario_curso_materia.FK_CUR_mat,horario_curso_materia.FK_HOR,horario_curso_materia.DIA) VALUES (  (SELECT curso_materia.ID_CUR_MAT FROM curso_materia WHERE curso_materia.CUPOF='733731' ) ,
    (SELECT horario.ID_HOR FROM horario WHERE horario.modulo='3 ' and horario.turno='V ' ),
    'MARTES '
 );</t>
  </si>
  <si>
    <t>INSERT INTO horario_curso_materia (horario_curso_materia.FK_CUR_mat,horario_curso_materia.FK_HOR,horario_curso_materia.DIA) VALUES (  (SELECT curso_materia.ID_CUR_MAT FROM curso_materia WHERE curso_materia.CUPOF='2680853' ) ,
    (SELECT horario.ID_HOR FROM horario WHERE horario.modulo='3 ' and horario.turno='T ' ),
    'MIERCOLES '
 );</t>
  </si>
  <si>
    <t>INSERT INTO horario_curso_materia (horario_curso_materia.FK_CUR_mat,horario_curso_materia.FK_HOR,horario_curso_materia.DIA) VALUES (  (SELECT curso_materia.ID_CUR_MAT FROM curso_materia WHERE curso_materia.CUPOF='733732' ) ,
    (SELECT horario.ID_HOR FROM horario WHERE horario.modulo='1 ' and horario.turno='V ' ),
    'MIERCOLES '
 );</t>
  </si>
  <si>
    <t>INSERT INTO horario_curso_materia (horario_curso_materia.FK_CUR_mat,horario_curso_materia.FK_HOR,horario_curso_materia.DIA) VALUES (  (SELECT curso_materia.ID_CUR_MAT FROM curso_materia WHERE curso_materia.CUPOF='2680848' ) ,
    (SELECT horario.ID_HOR FROM horario WHERE horario.modulo='3 ' and horario.turno='T ' ),
    'MARTES '
 );</t>
  </si>
  <si>
    <t>INSERT INTO horario_curso_materia (horario_curso_materia.FK_CUR_mat,horario_curso_materia.FK_HOR,horario_curso_materia.DIA) VALUES (  (SELECT curso_materia.ID_CUR_MAT FROM curso_materia WHERE curso_materia.CUPOF='2680842' ) ,
    (SELECT horario.ID_HOR FROM horario WHERE horario.modulo='3 ' and horario.turno='M ' ),
    'VIERNES '
 );</t>
  </si>
  <si>
    <t>INSERT INTO horario_curso_materia (horario_curso_materia.FK_CUR_mat,horario_curso_materia.FK_HOR,horario_curso_materia.DIA) VALUES (  (SELECT curso_materia.ID_CUR_MAT FROM curso_materia WHERE curso_materia.CUPOF='2680843' ) ,
    (SELECT horario.ID_HOR FROM horario WHERE horario.modulo='3 ' and horario.turno='T ' ),
    'VIERNES '
 );</t>
  </si>
  <si>
    <t>INSERT INTO horario_curso_materia (horario_curso_materia.FK_CUR_mat,horario_curso_materia.FK_HOR,horario_curso_materia.DIA) VALUES (  (SELECT curso_materia.ID_CUR_MAT FROM curso_materia WHERE curso_materia.CUPOF='2680832' ) ,
    (SELECT horario.ID_HOR FROM horario WHERE horario.modulo='3 ' and horario.turno='V ' ),
    'VIERNES '
 );</t>
  </si>
  <si>
    <t>INSERT INTO horario_curso_materia (horario_curso_materia.FK_CUR_mat,horario_curso_materia.FK_HOR,horario_curso_materia.DIA) VALUES (  (SELECT curso_materia.ID_CUR_MAT FROM curso_materia WHERE curso_materia.CUPOF='733438' ) ,
    (SELECT horario.ID_HOR FROM horario WHERE horario.modulo='4 ' and horario.turno='V ' ),
    'JUEVES '
 );</t>
  </si>
  <si>
    <t>INSERT INTO horario_curso_materia (horario_curso_materia.FK_CUR_mat,horario_curso_materia.FK_HOR,horario_curso_materia.DIA) VALUES (  (SELECT curso_materia.ID_CUR_MAT FROM curso_materia WHERE curso_materia.CUPOF='2680845' ) ,
    (SELECT horario.ID_HOR FROM horario WHERE horario.modulo='4 ' and horario.turno='T ' ),
    'LUNES '
 );</t>
  </si>
  <si>
    <t>INSERT INTO horario_curso_materia (horario_curso_materia.FK_CUR_mat,horario_curso_materia.FK_HOR,horario_curso_materia.DIA) VALUES (  (SELECT curso_materia.ID_CUR_MAT FROM curso_materia WHERE curso_materia.CUPOF='2680836' ) ,
    (SELECT horario.ID_HOR FROM horario WHERE horario.modulo='4 ' and horario.turno='T ' ),
    'LUNES '
 );</t>
  </si>
  <si>
    <t>INSERT INTO horario_curso_materia (horario_curso_materia.FK_CUR_mat,horario_curso_materia.FK_HOR,horario_curso_materia.DIA) VALUES (  (SELECT curso_materia.ID_CUR_MAT FROM curso_materia WHERE curso_materia.CUPOF='2680838' ) ,
    (SELECT horario.ID_HOR FROM horario WHERE horario.modulo='4 ' and horario.turno='T ' ),
    'MARTES '
 );</t>
  </si>
  <si>
    <t>INSERT INTO horario_curso_materia (horario_curso_materia.FK_CUR_mat,horario_curso_materia.FK_HOR,horario_curso_materia.DIA) VALUES (  (SELECT curso_materia.ID_CUR_MAT FROM curso_materia WHERE curso_materia.CUPOF='733731' ) ,
    (SELECT horario.ID_HOR FROM horario WHERE horario.modulo='4 ' and horario.turno='V ' ),
    'MARTES '
 );</t>
  </si>
  <si>
    <t>INSERT INTO horario_curso_materia (horario_curso_materia.FK_CUR_mat,horario_curso_materia.FK_HOR,horario_curso_materia.DIA) VALUES (  (SELECT curso_materia.ID_CUR_MAT FROM curso_materia WHERE curso_materia.CUPOF='2680853' ) ,
    (SELECT horario.ID_HOR FROM horario WHERE horario.modulo='4 ' and horario.turno='T ' ),
    'MIERCOLES '
 );</t>
  </si>
  <si>
    <t>INSERT INTO horario_curso_materia (horario_curso_materia.FK_CUR_mat,horario_curso_materia.FK_HOR,horario_curso_materia.DIA) VALUES (  (SELECT curso_materia.ID_CUR_MAT FROM curso_materia WHERE curso_materia.CUPOF='733732' ) ,
    (SELECT horario.ID_HOR FROM horario WHERE horario.modulo='4 ' and horario.turno='V ' ),
    'MIERCOLES '
 );</t>
  </si>
  <si>
    <t>INSERT INTO horario_curso_materia (horario_curso_materia.FK_CUR_mat,horario_curso_materia.FK_HOR,horario_curso_materia.DIA) VALUES (  (SELECT curso_materia.ID_CUR_MAT FROM curso_materia WHERE curso_materia.CUPOF='2680848' ) ,
    (SELECT horario.ID_HOR FROM horario WHERE horario.modulo='4 ' and horario.turno='T ' ),
    'MARTES '
 );</t>
  </si>
  <si>
    <t>INSERT INTO horario_curso_materia (horario_curso_materia.FK_CUR_mat,horario_curso_materia.FK_HOR,horario_curso_materia.DIA) VALUES (  (SELECT curso_materia.ID_CUR_MAT FROM curso_materia WHERE curso_materia.CUPOF='2680842' ) ,
    (SELECT horario.ID_HOR FROM horario WHERE horario.modulo='4 ' and horario.turno='M ' ),
    'VIERNES '
 );</t>
  </si>
  <si>
    <t>INSERT INTO horario_curso_materia (horario_curso_materia.FK_CUR_mat,horario_curso_materia.FK_HOR,horario_curso_materia.DIA) VALUES (  (SELECT curso_materia.ID_CUR_MAT FROM curso_materia WHERE curso_materia.CUPOF='2680843' ) ,
    (SELECT horario.ID_HOR FROM horario WHERE horario.modulo='4 ' and horario.turno='T ' ),
    'VIERNES '
 );</t>
  </si>
  <si>
    <t>INSERT INTO horario_curso_materia (horario_curso_materia.FK_CUR_mat,horario_curso_materia.FK_HOR,horario_curso_materia.DIA) VALUES (  (SELECT curso_materia.ID_CUR_MAT FROM curso_materia WHERE curso_materia.CUPOF='2680832' ) ,
    (SELECT horario.ID_HOR FROM horario WHERE horario.modulo='2 ' and horario.turno='V ' ),
    'VIERNES '
 );</t>
  </si>
  <si>
    <t>INSERT INTO horario_curso_materia (horario_curso_materia.FK_CUR_mat,horario_curso_materia.FK_HOR,horario_curso_materia.DIA) VALUES (  (SELECT curso_materia.ID_CUR_MAT FROM curso_materia WHERE curso_materia.CUPOF='2681845' ) ,
    (SELECT horario.ID_HOR FROM horario WHERE horario.modulo='1 ' and horario.turno='M ' ),
    'JUEVES '
 );</t>
  </si>
  <si>
    <t>INSERT INTO horario_curso_materia (horario_curso_materia.FK_CUR_mat,horario_curso_materia.FK_HOR,horario_curso_materia.DIA) VALUES (  (SELECT curso_materia.ID_CUR_MAT FROM curso_materia WHERE curso_materia.CUPOF='2681860' ) ,
    (SELECT horario.ID_HOR FROM horario WHERE horario.modulo='1 ' and horario.turno='M ' ),
    'JUEVES '
 );</t>
  </si>
  <si>
    <t>INSERT INTO horario_curso_materia (horario_curso_materia.FK_CUR_mat,horario_curso_materia.FK_HOR,horario_curso_materia.DIA) VALUES (  (SELECT curso_materia.ID_CUR_MAT FROM curso_materia WHERE curso_materia.CUPOF='2681836' ) ,
    (SELECT horario.ID_HOR FROM horario WHERE horario.modulo='1 ' and horario.turno='V ' ),
    'JUEVES '
 );</t>
  </si>
  <si>
    <t>INSERT INTO horario_curso_materia (horario_curso_materia.FK_CUR_mat,horario_curso_materia.FK_HOR,horario_curso_materia.DIA) VALUES (  (SELECT curso_materia.ID_CUR_MAT FROM curso_materia WHERE curso_materia.CUPOF='2681854' ) ,
    (SELECT horario.ID_HOR FROM horario WHERE horario.modulo='3 ' and horario.turno='M ' ),
    'VIERNES '
 );</t>
  </si>
  <si>
    <t>INSERT INTO horario_curso_materia (horario_curso_materia.FK_CUR_mat,horario_curso_materia.FK_HOR,horario_curso_materia.DIA) VALUES (  (SELECT curso_materia.ID_CUR_MAT FROM curso_materia WHERE curso_materia.CUPOF='2681831' ) ,
    (SELECT horario.ID_HOR FROM horario WHERE horario.modulo='1 ' and horario.turno='V ' ),
    'LUNES '
 );</t>
  </si>
  <si>
    <t>INSERT INTO horario_curso_materia (horario_curso_materia.FK_CUR_mat,horario_curso_materia.FK_HOR,horario_curso_materia.DIA) VALUES (  (SELECT curso_materia.ID_CUR_MAT FROM curso_materia WHERE curso_materia.CUPOF='2681844' ) ,
    (SELECT horario.ID_HOR FROM horario WHERE horario.modulo='1 ' and horario.turno='M ' ),
    'MARTES '
 );</t>
  </si>
  <si>
    <t>INSERT INTO horario_curso_materia (horario_curso_materia.FK_CUR_mat,horario_curso_materia.FK_HOR,horario_curso_materia.DIA) VALUES (  (SELECT curso_materia.ID_CUR_MAT FROM curso_materia WHERE curso_materia.CUPOF='2681873' ) ,
    (SELECT horario.ID_HOR FROM horario WHERE horario.modulo='1 ' and horario.turno='M ' ),
    'MARTES '
 );</t>
  </si>
  <si>
    <t>INSERT INTO horario_curso_materia (horario_curso_materia.FK_CUR_mat,horario_curso_materia.FK_HOR,horario_curso_materia.DIA) VALUES (  (SELECT curso_materia.ID_CUR_MAT FROM curso_materia WHERE curso_materia.CUPOF='2681828' ) ,
    (SELECT horario.ID_HOR FROM horario WHERE horario.modulo='1 ' and horario.turno='V ' ),
    'MARTES '
 );</t>
  </si>
  <si>
    <t>INSERT INTO horario_curso_materia (horario_curso_materia.FK_CUR_mat,horario_curso_materia.FK_HOR,horario_curso_materia.DIA) VALUES (  (SELECT curso_materia.ID_CUR_MAT FROM curso_materia WHERE curso_materia.CUPOF='2681860' ) ,
    (SELECT horario.ID_HOR FROM horario WHERE horario.modulo='3 ' and horario.turno='M ' ),
    'JUEVES '
 );</t>
  </si>
  <si>
    <t>INSERT INTO horario_curso_materia (horario_curso_materia.FK_CUR_mat,horario_curso_materia.FK_HOR,horario_curso_materia.DIA) VALUES (  (SELECT curso_materia.ID_CUR_MAT FROM curso_materia WHERE curso_materia.CUPOF='2681834' ) ,
    (SELECT horario.ID_HOR FROM horario WHERE horario.modulo='1 ' and horario.turno='V ' ),
    'MIERCOLES '
 );</t>
  </si>
  <si>
    <t>INSERT INTO horario_curso_materia (horario_curso_materia.FK_CUR_mat,horario_curso_materia.FK_HOR,horario_curso_materia.DIA) VALUES (  (SELECT curso_materia.ID_CUR_MAT FROM curso_materia WHERE curso_materia.CUPOF='2681841' ) ,
    (SELECT horario.ID_HOR FROM horario WHERE horario.modulo='1 ' and horario.turno='T ' ),
    'MARTES '
 );</t>
  </si>
  <si>
    <t>INSERT INTO horario_curso_materia (horario_curso_materia.FK_CUR_mat,horario_curso_materia.FK_HOR,horario_curso_materia.DIA) VALUES (  (SELECT curso_materia.ID_CUR_MAT FROM curso_materia WHERE curso_materia.CUPOF='2681867' ) ,
    (SELECT horario.ID_HOR FROM horario WHERE horario.modulo='1 ' and horario.turno='M ' ),
    'MIERCOLES '
 );</t>
  </si>
  <si>
    <t>INSERT INTO horario_curso_materia (horario_curso_materia.FK_CUR_mat,horario_curso_materia.FK_HOR,horario_curso_materia.DIA) VALUES (  (SELECT curso_materia.ID_CUR_MAT FROM curso_materia WHERE curso_materia.CUPOF='2681816' ) ,
    (SELECT horario.ID_HOR FROM horario WHERE horario.modulo='1 ' and horario.turno='T ' ),
    'VIERNES '
 );</t>
  </si>
  <si>
    <t>INSERT INTO horario_curso_materia (horario_curso_materia.FK_CUR_mat,horario_curso_materia.FK_HOR,horario_curso_materia.DIA) VALUES (  (SELECT curso_materia.ID_CUR_MAT FROM curso_materia WHERE curso_materia.CUPOF='2681845' ) ,
    (SELECT horario.ID_HOR FROM horario WHERE horario.modulo='2 ' and horario.turno='M ' ),
    'JUEVES '
 );</t>
  </si>
  <si>
    <t>INSERT INTO horario_curso_materia (horario_curso_materia.FK_CUR_mat,horario_curso_materia.FK_HOR,horario_curso_materia.DIA) VALUES (  (SELECT curso_materia.ID_CUR_MAT FROM curso_materia WHERE curso_materia.CUPOF='2681860' ) ,
    (SELECT horario.ID_HOR FROM horario WHERE horario.modulo='2 ' and horario.turno='M ' ),
    'JUEVES '
 );</t>
  </si>
  <si>
    <t>INSERT INTO horario_curso_materia (horario_curso_materia.FK_CUR_mat,horario_curso_materia.FK_HOR,horario_curso_materia.DIA) VALUES (  (SELECT curso_materia.ID_CUR_MAT FROM curso_materia WHERE curso_materia.CUPOF='2681836' ) ,
    (SELECT horario.ID_HOR FROM horario WHERE horario.modulo='2 ' and horario.turno='V ' ),
    'JUEVES '
 );</t>
  </si>
  <si>
    <t>INSERT INTO horario_curso_materia (horario_curso_materia.FK_CUR_mat,horario_curso_materia.FK_HOR,horario_curso_materia.DIA) VALUES (  (SELECT curso_materia.ID_CUR_MAT FROM curso_materia WHERE curso_materia.CUPOF='2681854' ) ,
    (SELECT horario.ID_HOR FROM horario WHERE horario.modulo='4 ' and horario.turno='M ' ),
    'VIERNES '
 );</t>
  </si>
  <si>
    <t>INSERT INTO horario_curso_materia (horario_curso_materia.FK_CUR_mat,horario_curso_materia.FK_HOR,horario_curso_materia.DIA) VALUES (  (SELECT curso_materia.ID_CUR_MAT FROM curso_materia WHERE curso_materia.CUPOF='2681831' ) ,
    (SELECT horario.ID_HOR FROM horario WHERE horario.modulo='2 ' and horario.turno='V ' ),
    'LUNES '
 );</t>
  </si>
  <si>
    <t>INSERT INTO horario_curso_materia (horario_curso_materia.FK_CUR_mat,horario_curso_materia.FK_HOR,horario_curso_materia.DIA) VALUES (  (SELECT curso_materia.ID_CUR_MAT FROM curso_materia WHERE curso_materia.CUPOF='2681844' ) ,
    (SELECT horario.ID_HOR FROM horario WHERE horario.modulo='2 ' and horario.turno='M ' ),
    'MARTES '
 );</t>
  </si>
  <si>
    <t>INSERT INTO horario_curso_materia (horario_curso_materia.FK_CUR_mat,horario_curso_materia.FK_HOR,horario_curso_materia.DIA) VALUES (  (SELECT curso_materia.ID_CUR_MAT FROM curso_materia WHERE curso_materia.CUPOF='2681873' ) ,
    (SELECT horario.ID_HOR FROM horario WHERE horario.modulo='2 ' and horario.turno='M ' ),
    'MARTES '
 );</t>
  </si>
  <si>
    <t>INSERT INTO horario_curso_materia (horario_curso_materia.FK_CUR_mat,horario_curso_materia.FK_HOR,horario_curso_materia.DIA) VALUES (  (SELECT curso_materia.ID_CUR_MAT FROM curso_materia WHERE curso_materia.CUPOF='2681828' ) ,
    (SELECT horario.ID_HOR FROM horario WHERE horario.modulo='2 ' and horario.turno='V ' ),
    'MARTES '
 );</t>
  </si>
  <si>
    <t>INSERT INTO horario_curso_materia (horario_curso_materia.FK_CUR_mat,horario_curso_materia.FK_HOR,horario_curso_materia.DIA) VALUES (  (SELECT curso_materia.ID_CUR_MAT FROM curso_materia WHERE curso_materia.CUPOF='2681860' ) ,
    (SELECT horario.ID_HOR FROM horario WHERE horario.modulo='4 ' and horario.turno='M ' ),
    'JUEVES '
 );</t>
  </si>
  <si>
    <t>INSERT INTO horario_curso_materia (horario_curso_materia.FK_CUR_mat,horario_curso_materia.FK_HOR,horario_curso_materia.DIA) VALUES (  (SELECT curso_materia.ID_CUR_MAT FROM curso_materia WHERE curso_materia.CUPOF='2681834' ) ,
    (SELECT horario.ID_HOR FROM horario WHERE horario.modulo='2 ' and horario.turno='V ' ),
    'MIERCOLES '
 );</t>
  </si>
  <si>
    <t>INSERT INTO horario_curso_materia (horario_curso_materia.FK_CUR_mat,horario_curso_materia.FK_HOR,horario_curso_materia.DIA) VALUES (  (SELECT curso_materia.ID_CUR_MAT FROM curso_materia WHERE curso_materia.CUPOF='2681841' ) ,
    (SELECT horario.ID_HOR FROM horario WHERE horario.modulo='2 ' and horario.turno='T ' ),
    'MARTES '
 );</t>
  </si>
  <si>
    <t>INSERT INTO horario_curso_materia (horario_curso_materia.FK_CUR_mat,horario_curso_materia.FK_HOR,horario_curso_materia.DIA) VALUES (  (SELECT curso_materia.ID_CUR_MAT FROM curso_materia WHERE curso_materia.CUPOF='2681867' ) ,
    (SELECT horario.ID_HOR FROM horario WHERE horario.modulo='2 ' and horario.turno='M ' ),
    'MIERCOLES '
 );</t>
  </si>
  <si>
    <t>INSERT INTO horario_curso_materia (horario_curso_materia.FK_CUR_mat,horario_curso_materia.FK_HOR,horario_curso_materia.DIA) VALUES (  (SELECT curso_materia.ID_CUR_MAT FROM curso_materia WHERE curso_materia.CUPOF='2681816' ) ,
    (SELECT horario.ID_HOR FROM horario WHERE horario.modulo='2 ' and horario.turno='V ' ),
    'VIERNES '
 );</t>
  </si>
  <si>
    <t>INSERT INTO horario_curso_materia (horario_curso_materia.FK_CUR_mat,horario_curso_materia.FK_HOR,horario_curso_materia.DIA) VALUES (  (SELECT curso_materia.ID_CUR_MAT FROM curso_materia WHERE curso_materia.CUPOF='2681845' ) ,
    (SELECT horario.ID_HOR FROM horario WHERE horario.modulo='3 ' and horario.turno='M ' ),
    'JUEVES '
 );</t>
  </si>
  <si>
    <t>INSERT INTO horario_curso_materia (horario_curso_materia.FK_CUR_mat,horario_curso_materia.FK_HOR,horario_curso_materia.DIA) VALUES (  (SELECT curso_materia.ID_CUR_MAT FROM curso_materia WHERE curso_materia.CUPOF='2681836' ) ,
    (SELECT horario.ID_HOR FROM horario WHERE horario.modulo='3 ' and horario.turno='V ' ),
    'JUEVES '
 );</t>
  </si>
  <si>
    <t>INSERT INTO horario_curso_materia (horario_curso_materia.FK_CUR_mat,horario_curso_materia.FK_HOR,horario_curso_materia.DIA) VALUES (  (SELECT curso_materia.ID_CUR_MAT FROM curso_materia WHERE curso_materia.CUPOF='2681823' ) ,
    (SELECT horario.ID_HOR FROM horario WHERE horario.modulo='1 ' and horario.turno='M ' ),
    'LUNES '
 );</t>
  </si>
  <si>
    <t>INSERT INTO horario_curso_materia (horario_curso_materia.FK_CUR_mat,horario_curso_materia.FK_HOR,horario_curso_materia.DIA) VALUES (  (SELECT curso_materia.ID_CUR_MAT FROM curso_materia WHERE curso_materia.CUPOF='2681840' ) ,
    (SELECT horario.ID_HOR FROM horario WHERE horario.modulo='3 ' and horario.turno='V ' ),
    'LUNES '
 );</t>
  </si>
  <si>
    <t>INSERT INTO horario_curso_materia (horario_curso_materia.FK_CUR_mat,horario_curso_materia.FK_HOR,horario_curso_materia.DIA) VALUES (  (SELECT curso_materia.ID_CUR_MAT FROM curso_materia WHERE curso_materia.CUPOF='2681844' ) ,
    (SELECT horario.ID_HOR FROM horario WHERE horario.modulo='3 ' and horario.turno='M ' ),
    'LUNES '
 );</t>
  </si>
  <si>
    <t>INSERT INTO horario_curso_materia (horario_curso_materia.FK_CUR_mat,horario_curso_materia.FK_HOR,horario_curso_materia.DIA) VALUES (  (SELECT curso_materia.ID_CUR_MAT FROM curso_materia WHERE curso_materia.CUPOF='2681857' ) ,
    (SELECT horario.ID_HOR FROM horario WHERE horario.modulo='3 ' and horario.turno='M ' ),
    'MARTES '
 );</t>
  </si>
  <si>
    <t>INSERT INTO horario_curso_materia (horario_curso_materia.FK_CUR_mat,horario_curso_materia.FK_HOR,horario_curso_materia.DIA) VALUES (  (SELECT curso_materia.ID_CUR_MAT FROM curso_materia WHERE curso_materia.CUPOF='2681822' ) ,
    (SELECT horario.ID_HOR FROM horario WHERE horario.modulo='3 ' and horario.turno='V ' ),
    'MARTES '
 );</t>
  </si>
  <si>
    <t>INSERT INTO horario_curso_materia (horario_curso_materia.FK_CUR_mat,horario_curso_materia.FK_HOR,horario_curso_materia.DIA) VALUES (  (SELECT curso_materia.ID_CUR_MAT FROM curso_materia WHERE curso_materia.CUPOF='2681824' ) ,
    (SELECT horario.ID_HOR FROM horario WHERE horario.modulo='3 ' and horario.turno='V ' ),
    'MIERCOLES '
 );</t>
  </si>
  <si>
    <t>INSERT INTO horario_curso_materia (horario_curso_materia.FK_CUR_mat,horario_curso_materia.FK_HOR,horario_curso_materia.DIA) VALUES (  (SELECT curso_materia.ID_CUR_MAT FROM curso_materia WHERE curso_materia.CUPOF='2681867' ) ,
    (SELECT horario.ID_HOR FROM horario WHERE horario.modulo='3 ' and horario.turno='M ' ),
    'MIERCOLES '
 );</t>
  </si>
  <si>
    <t>INSERT INTO horario_curso_materia (horario_curso_materia.FK_CUR_mat,horario_curso_materia.FK_HOR,horario_curso_materia.DIA) VALUES (  (SELECT curso_materia.ID_CUR_MAT FROM curso_materia WHERE curso_materia.CUPOF='2681838' ) ,
    (SELECT horario.ID_HOR FROM horario WHERE horario.modulo='3 ' and horario.turno='V ' ),
    'VIERNES '
 );</t>
  </si>
  <si>
    <t>INSERT INTO horario_curso_materia (horario_curso_materia.FK_CUR_mat,horario_curso_materia.FK_HOR,horario_curso_materia.DIA) VALUES (  (SELECT curso_materia.ID_CUR_MAT FROM curso_materia WHERE curso_materia.CUPOF='2681845' ) ,
    (SELECT horario.ID_HOR FROM horario WHERE horario.modulo='4 ' and horario.turno='M ' ),
    'JUEVES '
 );</t>
  </si>
  <si>
    <t>INSERT INTO horario_curso_materia (horario_curso_materia.FK_CUR_mat,horario_curso_materia.FK_HOR,horario_curso_materia.DIA) VALUES (  (SELECT curso_materia.ID_CUR_MAT FROM curso_materia WHERE curso_materia.CUPOF='2681834' ) ,
    (SELECT horario.ID_HOR FROM horario WHERE horario.modulo='4 ' and horario.turno='V ' ),
    'JUEVES '
 );</t>
  </si>
  <si>
    <t>INSERT INTO horario_curso_materia (horario_curso_materia.FK_CUR_mat,horario_curso_materia.FK_HOR,horario_curso_materia.DIA) VALUES (  (SELECT curso_materia.ID_CUR_MAT FROM curso_materia WHERE curso_materia.CUPOF='2681823' ) ,
    (SELECT horario.ID_HOR FROM horario WHERE horario.modulo='2 ' and horario.turno='M ' ),
    'LUNES '
 );</t>
  </si>
  <si>
    <t>INSERT INTO horario_curso_materia (horario_curso_materia.FK_CUR_mat,horario_curso_materia.FK_HOR,horario_curso_materia.DIA) VALUES (  (SELECT curso_materia.ID_CUR_MAT FROM curso_materia WHERE curso_materia.CUPOF='2681840' ) ,
    (SELECT horario.ID_HOR FROM horario WHERE horario.modulo='4 ' and horario.turno='V ' ),
    'LUNES '
 );</t>
  </si>
  <si>
    <t>INSERT INTO horario_curso_materia (horario_curso_materia.FK_CUR_mat,horario_curso_materia.FK_HOR,horario_curso_materia.DIA) VALUES (  (SELECT curso_materia.ID_CUR_MAT FROM curso_materia WHERE curso_materia.CUPOF='2681844' ) ,
    (SELECT horario.ID_HOR FROM horario WHERE horario.modulo='4 ' and horario.turno='M ' ),
    'LUNES '
 );</t>
  </si>
  <si>
    <t>INSERT INTO horario_curso_materia (horario_curso_materia.FK_CUR_mat,horario_curso_materia.FK_HOR,horario_curso_materia.DIA) VALUES (  (SELECT curso_materia.ID_CUR_MAT FROM curso_materia WHERE curso_materia.CUPOF='2681857' ) ,
    (SELECT horario.ID_HOR FROM horario WHERE horario.modulo='4 ' and horario.turno='M ' ),
    'MARTES '
 );</t>
  </si>
  <si>
    <t>INSERT INTO horario_curso_materia (horario_curso_materia.FK_CUR_mat,horario_curso_materia.FK_HOR,horario_curso_materia.DIA) VALUES (  (SELECT curso_materia.ID_CUR_MAT FROM curso_materia WHERE curso_materia.CUPOF='2681822' ) ,
    (SELECT horario.ID_HOR FROM horario WHERE horario.modulo='4 ' and horario.turno='V ' ),
    'MARTES '
 );</t>
  </si>
  <si>
    <t>INSERT INTO horario_curso_materia (horario_curso_materia.FK_CUR_mat,horario_curso_materia.FK_HOR,horario_curso_materia.DIA) VALUES (  (SELECT curso_materia.ID_CUR_MAT FROM curso_materia WHERE curso_materia.CUPOF='2681824' ) ,
    (SELECT horario.ID_HOR FROM horario WHERE horario.modulo='4 ' and horario.turno='V ' ),
    'MIERCOLES '
 );</t>
  </si>
  <si>
    <t>INSERT INTO horario_curso_materia (horario_curso_materia.FK_CUR_mat,horario_curso_materia.FK_HOR,horario_curso_materia.DIA) VALUES (  (SELECT curso_materia.ID_CUR_MAT FROM curso_materia WHERE curso_materia.CUPOF='2681867' ) ,
    (SELECT horario.ID_HOR FROM horario WHERE horario.modulo='4 ' and horario.turno='M ' ),
    'MIERCOLES '
 );</t>
  </si>
  <si>
    <t>INSERT INTO horario_curso_materia (horario_curso_materia.FK_CUR_mat,horario_curso_materia.FK_HOR,horario_curso_materia.DIA) VALUES (  (SELECT curso_materia.ID_CUR_MAT FROM curso_materia WHERE curso_materia.CUPOF='2681838' ) ,
    (SELECT horario.ID_HOR FROM horario WHERE horario.modulo='4 ' and horario.turno='V ' ),
    'VIERNES '
 );</t>
  </si>
  <si>
    <t>INSERT INTO horario_curso_materia (horario_curso_materia.FK_CUR_mat,horario_curso_materia.FK_HOR,horario_curso_materia.DIA) VALUES (  (SELECT curso_materia.ID_CUR_MAT FROM curso_materia WHERE curso_materia.CUPOF='2681838' ) ,
    (SELECT horario.ID_HOR FROM horario WHERE horario.modulo='prehora ' and horario.turno='V ' ),
    'VIERNES '
 );</t>
  </si>
  <si>
    <t>INSERT INTO horario_curso_materia (horario_curso_materia.FK_CUR_mat,horario_curso_materia.FK_HOR,horario_curso_materia.DIA) VALUES (  (SELECT curso_materia.ID_CUR_MAT FROM curso_materia WHERE curso_materia.CUPOF='2625794' ) ,
    (SELECT horario.ID_HOR FROM horario WHERE horario.modulo='1 ' and horario.turno='M ' ),
    'JUEVES '
 );</t>
  </si>
  <si>
    <t>INSERT INTO horario_curso_materia (horario_curso_materia.FK_CUR_mat,horario_curso_materia.FK_HOR,horario_curso_materia.DIA) VALUES (  (SELECT curso_materia.ID_CUR_MAT FROM curso_materia WHERE curso_materia.CUPOF='2625837' ) ,
    (SELECT horario.ID_HOR FROM horario WHERE horario.modulo='1 ' and horario.turno='V ' ),
    'JUEVES '
 );</t>
  </si>
  <si>
    <t>INSERT INTO horario_curso_materia (horario_curso_materia.FK_CUR_mat,horario_curso_materia.FK_HOR,horario_curso_materia.DIA) VALUES (  (SELECT curso_materia.ID_CUR_MAT FROM curso_materia WHERE curso_materia.CUPOF='2625867' ) ,
    (SELECT horario.ID_HOR FROM horario WHERE horario.modulo='1 ' and horario.turno='V ' ),
    'JUEVES '
 );</t>
  </si>
  <si>
    <t>INSERT INTO horario_curso_materia (horario_curso_materia.FK_CUR_mat,horario_curso_materia.FK_HOR,horario_curso_materia.DIA) VALUES (  (SELECT curso_materia.ID_CUR_MAT FROM curso_materia WHERE curso_materia.CUPOF='2625787' ) ,
    (SELECT horario.ID_HOR FROM horario WHERE horario.modulo='3 ' and horario.turno='M ' ),
    'MIERCOLES '
 );</t>
  </si>
  <si>
    <t>INSERT INTO horario_curso_materia (horario_curso_materia.FK_CUR_mat,horario_curso_materia.FK_HOR,horario_curso_materia.DIA) VALUES (  (SELECT curso_materia.ID_CUR_MAT FROM curso_materia WHERE curso_materia.CUPOF='2625811' ) ,
    (SELECT horario.ID_HOR FROM horario WHERE horario.modulo='1 ' and horario.turno='M ' ),
    'MARTES '
 );</t>
  </si>
  <si>
    <t>INSERT INTO horario_curso_materia (horario_curso_materia.FK_CUR_mat,horario_curso_materia.FK_HOR,horario_curso_materia.DIA) VALUES (  (SELECT curso_materia.ID_CUR_MAT FROM curso_materia WHERE curso_materia.CUPOF='2625846' ) ,
    (SELECT horario.ID_HOR FROM horario WHERE horario.modulo='1 ' and horario.turno='V ' ),
    'MARTES '
 );</t>
  </si>
  <si>
    <t>INSERT INTO horario_curso_materia (horario_curso_materia.FK_CUR_mat,horario_curso_materia.FK_HOR,horario_curso_materia.DIA) VALUES (  (SELECT curso_materia.ID_CUR_MAT FROM curso_materia WHERE curso_materia.CUPOF='2625846' ) ,
    (SELECT horario.ID_HOR FROM horario WHERE horario.modulo='2 ' and horario.turno='V ' ),
    'MARTES '
 );</t>
  </si>
  <si>
    <t>INSERT INTO horario_curso_materia (horario_curso_materia.FK_CUR_mat,horario_curso_materia.FK_HOR,horario_curso_materia.DIA) VALUES (  (SELECT curso_materia.ID_CUR_MAT FROM curso_materia WHERE curso_materia.CUPOF='2625763' ) ,
    (SELECT horario.ID_HOR FROM horario WHERE horario.modulo='1 ' and horario.turno='M ' ),
    'MIERCOLES '
 );</t>
  </si>
  <si>
    <t>INSERT INTO horario_curso_materia (horario_curso_materia.FK_CUR_mat,horario_curso_materia.FK_HOR,horario_curso_materia.DIA) VALUES (  (SELECT curso_materia.ID_CUR_MAT FROM curso_materia WHERE curso_materia.CUPOF='2625831' ) ,
    (SELECT horario.ID_HOR FROM horario WHERE horario.modulo='1 ' and horario.turno='V ' ),
    'MIERCOLES '
 );</t>
  </si>
  <si>
    <t>INSERT INTO horario_curso_materia (horario_curso_materia.FK_CUR_mat,horario_curso_materia.FK_HOR,horario_curso_materia.DIA) VALUES (  (SELECT curso_materia.ID_CUR_MAT FROM curso_materia WHERE curso_materia.CUPOF='2625861' ) ,
    (SELECT horario.ID_HOR FROM horario WHERE horario.modulo='1 ' and horario.turno='V ' ),
    'MIERCOLES '
 );</t>
  </si>
  <si>
    <t>INSERT INTO horario_curso_materia (horario_curso_materia.FK_CUR_mat,horario_curso_materia.FK_HOR,horario_curso_materia.DIA) VALUES (  (SELECT curso_materia.ID_CUR_MAT FROM curso_materia WHERE curso_materia.CUPOF='2625823' ) ,
    (SELECT horario.ID_HOR FROM horario WHERE horario.modulo='1 ' and horario.turno='M ' ),
    'VIERNES '
 );</t>
  </si>
  <si>
    <t>INSERT INTO horario_curso_materia (horario_curso_materia.FK_CUR_mat,horario_curso_materia.FK_HOR,horario_curso_materia.DIA) VALUES (  (SELECT curso_materia.ID_CUR_MAT FROM curso_materia WHERE curso_materia.CUPOF='2625254' ) ,
    (SELECT horario.ID_HOR FROM horario WHERE horario.modulo='1 ' and horario.turno='T ' ),
    'VIERNES '
 );</t>
  </si>
  <si>
    <t>INSERT INTO horario_curso_materia (horario_curso_materia.FK_CUR_mat,horario_curso_materia.FK_HOR,horario_curso_materia.DIA) VALUES (  (SELECT curso_materia.ID_CUR_MAT FROM curso_materia WHERE curso_materia.CUPOF='2625876' ) ,
    (SELECT horario.ID_HOR FROM horario WHERE horario.modulo=' ' and horario.turno='V ' ),
    ' '
 );</t>
  </si>
  <si>
    <t>INSERT INTO horario_curso_materia (horario_curso_materia.FK_CUR_mat,horario_curso_materia.FK_HOR,horario_curso_materia.DIA) VALUES (  (SELECT curso_materia.ID_CUR_MAT FROM curso_materia WHERE curso_materia.CUPOF='2625769' ) ,
    (SELECT horario.ID_HOR FROM horario WHERE horario.modulo='1 ' and horario.turno='T ' ),
    'MIERCOLES '
 );</t>
  </si>
  <si>
    <t>INSERT INTO horario_curso_materia (horario_curso_materia.FK_CUR_mat,horario_curso_materia.FK_HOR,horario_curso_materia.DIA) VALUES (  (SELECT curso_materia.ID_CUR_MAT FROM curso_materia WHERE curso_materia.CUPOF='2625794' ) ,
    (SELECT horario.ID_HOR FROM horario WHERE horario.modulo='2 ' and horario.turno='M ' ),
    'JUEVES '
 );</t>
  </si>
  <si>
    <t>INSERT INTO horario_curso_materia (horario_curso_materia.FK_CUR_mat,horario_curso_materia.FK_HOR,horario_curso_materia.DIA) VALUES (  (SELECT curso_materia.ID_CUR_MAT FROM curso_materia WHERE curso_materia.CUPOF='2625837' ) ,
    (SELECT horario.ID_HOR FROM horario WHERE horario.modulo='2 ' and horario.turno='V ' ),
    'JUEVES '
 );</t>
  </si>
  <si>
    <t>INSERT INTO horario_curso_materia (horario_curso_materia.FK_CUR_mat,horario_curso_materia.FK_HOR,horario_curso_materia.DIA) VALUES (  (SELECT curso_materia.ID_CUR_MAT FROM curso_materia WHERE curso_materia.CUPOF='2625867' ) ,
    (SELECT horario.ID_HOR FROM horario WHERE horario.modulo='2 ' and horario.turno='V ' ),
    'JUEVES '
 );</t>
  </si>
  <si>
    <t>INSERT INTO horario_curso_materia (horario_curso_materia.FK_CUR_mat,horario_curso_materia.FK_HOR,horario_curso_materia.DIA) VALUES (  (SELECT curso_materia.ID_CUR_MAT FROM curso_materia WHERE curso_materia.CUPOF='2625787' ) ,
    (SELECT horario.ID_HOR FROM horario WHERE horario.modulo='4 ' and horario.turno='M ' ),
    'MIERCOLES '
 );</t>
  </si>
  <si>
    <t>INSERT INTO horario_curso_materia (horario_curso_materia.FK_CUR_mat,horario_curso_materia.FK_HOR,horario_curso_materia.DIA) VALUES (  (SELECT curso_materia.ID_CUR_MAT FROM curso_materia WHERE curso_materia.CUPOF='2625811' ) ,
    (SELECT horario.ID_HOR FROM horario WHERE horario.modulo='2 ' and horario.turno='M ' ),
    'MARTES '
 );</t>
  </si>
  <si>
    <t>INSERT INTO horario_curso_materia (horario_curso_materia.FK_CUR_mat,horario_curso_materia.FK_HOR,horario_curso_materia.DIA) VALUES (  (SELECT curso_materia.ID_CUR_MAT FROM curso_materia WHERE curso_materia.CUPOF='2625846' ) ,
    (SELECT horario.ID_HOR FROM horario WHERE horario.modulo='3 ' and horario.turno='V ' ),
    'MARTES '
 );</t>
  </si>
  <si>
    <t>INSERT INTO horario_curso_materia (horario_curso_materia.FK_CUR_mat,horario_curso_materia.FK_HOR,horario_curso_materia.DIA) VALUES (  (SELECT curso_materia.ID_CUR_MAT FROM curso_materia WHERE curso_materia.CUPOF='2625846' ) ,
    (SELECT horario.ID_HOR FROM horario WHERE horario.modulo='4 ' and horario.turno='V ' ),
    'MARTES '
 );</t>
  </si>
  <si>
    <t>INSERT INTO horario_curso_materia (horario_curso_materia.FK_CUR_mat,horario_curso_materia.FK_HOR,horario_curso_materia.DIA) VALUES (  (SELECT curso_materia.ID_CUR_MAT FROM curso_materia WHERE curso_materia.CUPOF='2625763' ) ,
    (SELECT horario.ID_HOR FROM horario WHERE horario.modulo='2 ' and horario.turno='M ' ),
    'MIERCOLES '
 );</t>
  </si>
  <si>
    <t>INSERT INTO horario_curso_materia (horario_curso_materia.FK_CUR_mat,horario_curso_materia.FK_HOR,horario_curso_materia.DIA) VALUES (  (SELECT curso_materia.ID_CUR_MAT FROM curso_materia WHERE curso_materia.CUPOF='2625831' ) ,
    (SELECT horario.ID_HOR FROM horario WHERE horario.modulo='2 ' and horario.turno='V ' ),
    'MIERCOLES '
 );</t>
  </si>
  <si>
    <t>INSERT INTO horario_curso_materia (horario_curso_materia.FK_CUR_mat,horario_curso_materia.FK_HOR,horario_curso_materia.DIA) VALUES (  (SELECT curso_materia.ID_CUR_MAT FROM curso_materia WHERE curso_materia.CUPOF='2625861' ) ,
    (SELECT horario.ID_HOR FROM horario WHERE horario.modulo='2 ' and horario.turno='V ' ),
    'MIERCOLES '
 );</t>
  </si>
  <si>
    <t>INSERT INTO horario_curso_materia (horario_curso_materia.FK_CUR_mat,horario_curso_materia.FK_HOR,horario_curso_materia.DIA) VALUES (  (SELECT curso_materia.ID_CUR_MAT FROM curso_materia WHERE curso_materia.CUPOF='2625823' ) ,
    (SELECT horario.ID_HOR FROM horario WHERE horario.modulo='2 ' and horario.turno='M ' ),
    'VIERNES '
 );</t>
  </si>
  <si>
    <t>INSERT INTO horario_curso_materia (horario_curso_materia.FK_CUR_mat,horario_curso_materia.FK_HOR,horario_curso_materia.DIA) VALUES (  (SELECT curso_materia.ID_CUR_MAT FROM curso_materia WHERE curso_materia.CUPOF='2625254' ) ,
    (SELECT horario.ID_HOR FROM horario WHERE horario.modulo='2 ' and horario.turno='T ' ),
    'VIERNES '
 );</t>
  </si>
  <si>
    <t>INSERT INTO horario_curso_materia (horario_curso_materia.FK_CUR_mat,horario_curso_materia.FK_HOR,horario_curso_materia.DIA) VALUES (  (SELECT curso_materia.ID_CUR_MAT FROM curso_materia WHERE curso_materia.CUPOF='2625769' ) ,
    (SELECT horario.ID_HOR FROM horario WHERE horario.modulo='2 ' and horario.turno='T ' ),
    'MIERCOLES '
 );</t>
  </si>
  <si>
    <t>INSERT INTO horario_curso_materia (horario_curso_materia.FK_CUR_mat,horario_curso_materia.FK_HOR,horario_curso_materia.DIA) VALUES (  (SELECT curso_materia.ID_CUR_MAT FROM curso_materia WHERE curso_materia.CUPOF='2625816' ) ,
    (SELECT horario.ID_HOR FROM horario WHERE horario.modulo='3 ' and horario.turno='M ' ),
    'JUEVES '
 );</t>
  </si>
  <si>
    <t>INSERT INTO horario_curso_materia (horario_curso_materia.FK_CUR_mat,horario_curso_materia.FK_HOR,horario_curso_materia.DIA) VALUES (  (SELECT curso_materia.ID_CUR_MAT FROM curso_materia WHERE curso_materia.CUPOF='2625837' ) ,
    (SELECT horario.ID_HOR FROM horario WHERE horario.modulo='3 ' and horario.turno='V ' ),
    'JUEVES '
 );</t>
  </si>
  <si>
    <t>INSERT INTO horario_curso_materia (horario_curso_materia.FK_CUR_mat,horario_curso_materia.FK_HOR,horario_curso_materia.DIA) VALUES (  (SELECT curso_materia.ID_CUR_MAT FROM curso_materia WHERE curso_materia.CUPOF='2625867' ) ,
    (SELECT horario.ID_HOR FROM horario WHERE horario.modulo='3 ' and horario.turno='V ' ),
    'JUEVES '
 );</t>
  </si>
  <si>
    <t>INSERT INTO horario_curso_materia (horario_curso_materia.FK_CUR_mat,horario_curso_materia.FK_HOR,horario_curso_materia.DIA) VALUES (  (SELECT curso_materia.ID_CUR_MAT FROM curso_materia WHERE curso_materia.CUPOF='2625739' ) ,
    (SELECT horario.ID_HOR FROM horario WHERE horario.modulo='3 ' and horario.turno='M ' ),
    'LUNES '
 );</t>
  </si>
  <si>
    <t>INSERT INTO horario_curso_materia (horario_curso_materia.FK_CUR_mat,horario_curso_materia.FK_HOR,horario_curso_materia.DIA) VALUES (  (SELECT curso_materia.ID_CUR_MAT FROM curso_materia WHERE curso_materia.CUPOF='2625804' ) ,
    (SELECT horario.ID_HOR FROM horario WHERE horario.modulo='3 ' and horario.turno='M ' ),
    'MARTES '
 );</t>
  </si>
  <si>
    <t>INSERT INTO horario_curso_materia (horario_curso_materia.FK_CUR_mat,horario_curso_materia.FK_HOR,horario_curso_materia.DIA) VALUES (  (SELECT curso_materia.ID_CUR_MAT FROM curso_materia WHERE curso_materia.CUPOF='2625874' ) ,
    (SELECT horario.ID_HOR FROM horario WHERE horario.modulo='1 ' and horario.turno='V ' ),
    'MARTES '
 );</t>
  </si>
  <si>
    <t>INSERT INTO horario_curso_materia (horario_curso_materia.FK_CUR_mat,horario_curso_materia.FK_HOR,horario_curso_materia.DIA) VALUES (  (SELECT curso_materia.ID_CUR_MAT FROM curso_materia WHERE curso_materia.CUPOF='2625874' ) ,
    (SELECT horario.ID_HOR FROM horario WHERE horario.modulo='2 ' and horario.turno='V ' ),
    'MARTES '
 );</t>
  </si>
  <si>
    <t>INSERT INTO horario_curso_materia (horario_curso_materia.FK_CUR_mat,horario_curso_materia.FK_HOR,horario_curso_materia.DIA) VALUES (  (SELECT curso_materia.ID_CUR_MAT FROM curso_materia WHERE curso_materia.CUPOF='2625811' ) ,
    (SELECT horario.ID_HOR FROM horario WHERE horario.modulo='1 ' and horario.turno='M ' ),
    'LUNES '
 );</t>
  </si>
  <si>
    <t>INSERT INTO horario_curso_materia (horario_curso_materia.FK_CUR_mat,horario_curso_materia.FK_HOR,horario_curso_materia.DIA) VALUES (  (SELECT curso_materia.ID_CUR_MAT FROM curso_materia WHERE curso_materia.CUPOF='2625798' ) ,
    (SELECT horario.ID_HOR FROM horario WHERE horario.modulo='3 ' and horario.turno='M ' ),
    'VIERNES '
 );</t>
  </si>
  <si>
    <t>INSERT INTO horario_curso_materia (horario_curso_materia.FK_CUR_mat,horario_curso_materia.FK_HOR,horario_curso_materia.DIA) VALUES (  (SELECT curso_materia.ID_CUR_MAT FROM curso_materia WHERE curso_materia.CUPOF='2625254' ) ,
    (SELECT horario.ID_HOR FROM horario WHERE horario.modulo='3 ' and horario.turno='T ' ),
    'VIERNES '
 );</t>
  </si>
  <si>
    <t>INSERT INTO horario_curso_materia (horario_curso_materia.FK_CUR_mat,horario_curso_materia.FK_HOR,horario_curso_materia.DIA) VALUES (  (SELECT curso_materia.ID_CUR_MAT FROM curso_materia WHERE curso_materia.CUPOF='2625816' ) ,
    (SELECT horario.ID_HOR FROM horario WHERE horario.modulo='4 ' and horario.turno='M ' ),
    'JUEVES '
 );</t>
  </si>
  <si>
    <t>INSERT INTO horario_curso_materia (horario_curso_materia.FK_CUR_mat,horario_curso_materia.FK_HOR,horario_curso_materia.DIA) VALUES (  (SELECT curso_materia.ID_CUR_MAT FROM curso_materia WHERE curso_materia.CUPOF='2625837' ) ,
    (SELECT horario.ID_HOR FROM horario WHERE horario.modulo='4 ' and horario.turno='V ' ),
    'JUEVES '
 );</t>
  </si>
  <si>
    <t>INSERT INTO horario_curso_materia (horario_curso_materia.FK_CUR_mat,horario_curso_materia.FK_HOR,horario_curso_materia.DIA) VALUES (  (SELECT curso_materia.ID_CUR_MAT FROM curso_materia WHERE curso_materia.CUPOF='2625867' ) ,
    (SELECT horario.ID_HOR FROM horario WHERE horario.modulo='4 ' and horario.turno='V ' ),
    'JUEVES '
 );</t>
  </si>
  <si>
    <t>INSERT INTO horario_curso_materia (horario_curso_materia.FK_CUR_mat,horario_curso_materia.FK_HOR,horario_curso_materia.DIA) VALUES (  (SELECT curso_materia.ID_CUR_MAT FROM curso_materia WHERE curso_materia.CUPOF='2625739' ) ,
    (SELECT horario.ID_HOR FROM horario WHERE horario.modulo='4 ' and horario.turno='M ' ),
    'LUNES '
 );</t>
  </si>
  <si>
    <t>INSERT INTO horario_curso_materia (horario_curso_materia.FK_CUR_mat,horario_curso_materia.FK_HOR,horario_curso_materia.DIA) VALUES (  (SELECT curso_materia.ID_CUR_MAT FROM curso_materia WHERE curso_materia.CUPOF='2625804' ) ,
    (SELECT horario.ID_HOR FROM horario WHERE horario.modulo='4 ' and horario.turno='M ' ),
    'MARTES '
 );</t>
  </si>
  <si>
    <t>INSERT INTO horario_curso_materia (horario_curso_materia.FK_CUR_mat,horario_curso_materia.FK_HOR,horario_curso_materia.DIA) VALUES (  (SELECT curso_materia.ID_CUR_MAT FROM curso_materia WHERE curso_materia.CUPOF='2625874' ) ,
    (SELECT horario.ID_HOR FROM horario WHERE horario.modulo='3 ' and horario.turno='V ' ),
    'MARTES '
 );</t>
  </si>
  <si>
    <t>INSERT INTO horario_curso_materia (horario_curso_materia.FK_CUR_mat,horario_curso_materia.FK_HOR,horario_curso_materia.DIA) VALUES (  (SELECT curso_materia.ID_CUR_MAT FROM curso_materia WHERE curso_materia.CUPOF='2625874' ) ,
    (SELECT horario.ID_HOR FROM horario WHERE horario.modulo='4 ' and horario.turno='V ' ),
    'MARTES '
 );</t>
  </si>
  <si>
    <t>INSERT INTO horario_curso_materia (horario_curso_materia.FK_CUR_mat,horario_curso_materia.FK_HOR,horario_curso_materia.DIA) VALUES (  (SELECT curso_materia.ID_CUR_MAT FROM curso_materia WHERE curso_materia.CUPOF='2625811' ) ,
    (SELECT horario.ID_HOR FROM horario WHERE horario.modulo='2 ' and horario.turno='M ' ),
    'LUNES '
 );</t>
  </si>
  <si>
    <t>INSERT INTO horario_curso_materia (horario_curso_materia.FK_CUR_mat,horario_curso_materia.FK_HOR,horario_curso_materia.DIA) VALUES (  (SELECT curso_materia.ID_CUR_MAT FROM curso_materia WHERE curso_materia.CUPOF='2625798' ) ,
    (SELECT horario.ID_HOR FROM horario WHERE horario.modulo='4 ' and horario.turno='M ' ),
    'VIERNES '
 );</t>
  </si>
  <si>
    <t>INSERT INTO horario_curso_materia (horario_curso_materia.FK_CUR_mat,horario_curso_materia.FK_HOR,horario_curso_materia.DIA) VALUES (  (SELECT curso_materia.ID_CUR_MAT FROM curso_materia WHERE curso_materia.CUPOF='2625254' ) ,
    (SELECT horario.ID_HOR FROM horario WHERE horario.modulo='4 ' and horario.turno='T ' ),
    'VIERNES '
 );</t>
  </si>
  <si>
    <t>INSERT INTO horario_curso_materia (horario_curso_materia.FK_CUR_mat,horario_curso_materia.FK_HOR,horario_curso_materia.DIA) VALUES (  (SELECT curso_materia.ID_CUR_MAT FROM curso_materia WHERE curso_materia.CUPOF='2625804' ) ,
    (SELECT horario.ID_HOR FROM horario WHERE horario.modulo='5 ' and horario.turno='M ' ),
    'MARTES '
 );</t>
  </si>
  <si>
    <t>INSERT INTO horario_curso_materia (horario_curso_materia.FK_CUR_mat,horario_curso_materia.FK_HOR,horario_curso_materia.DIA) VALUES (  (SELECT curso_materia.ID_CUR_MAT FROM curso_materia WHERE curso_materia.CUPOF='2683103' ) ,
    (SELECT horario.ID_HOR FROM horario WHERE horario.modulo='1 ' and horario.turno='T ' ),
    'JUEVES '
 );</t>
  </si>
  <si>
    <t>INSERT INTO horario_curso_materia (horario_curso_materia.FK_CUR_mat,horario_curso_materia.FK_HOR,horario_curso_materia.DIA) VALUES (  (SELECT curso_materia.ID_CUR_MAT FROM curso_materia WHERE curso_materia.CUPOF='2683112' ) ,
    (SELECT horario.ID_HOR FROM horario WHERE horario.modulo='3 ' and horario.turno='M ' ),
    'MIERCOLES '
 );</t>
  </si>
  <si>
    <t>INSERT INTO horario_curso_materia (horario_curso_materia.FK_CUR_mat,horario_curso_materia.FK_HOR,horario_curso_materia.DIA) VALUES (  (SELECT curso_materia.ID_CUR_MAT FROM curso_materia WHERE curso_materia.CUPOF='2683114' ) ,
    (SELECT horario.ID_HOR FROM horario WHERE horario.modulo='1 ' and horario.turno='V ' ),
    'VIERNES '
 );</t>
  </si>
  <si>
    <t>INSERT INTO horario_curso_materia (horario_curso_materia.FK_CUR_mat,horario_curso_materia.FK_HOR,horario_curso_materia.DIA) VALUES (  (SELECT curso_materia.ID_CUR_MAT FROM curso_materia WHERE curso_materia.CUPOF='2683116' ) ,
    (SELECT horario.ID_HOR FROM horario WHERE horario.modulo='1 ' and horario.turno='M ' ),
    'LUNES '
 );</t>
  </si>
  <si>
    <t>INSERT INTO horario_curso_materia (horario_curso_materia.FK_CUR_mat,horario_curso_materia.FK_HOR,horario_curso_materia.DIA) VALUES (  (SELECT curso_materia.ID_CUR_MAT FROM curso_materia WHERE curso_materia.CUPOF='2683106' ) ,
    (SELECT horario.ID_HOR FROM horario WHERE horario.modulo='1 ' and horario.turno='T ' ),
    'LUNES '
 );</t>
  </si>
  <si>
    <t>INSERT INTO horario_curso_materia (horario_curso_materia.FK_CUR_mat,horario_curso_materia.FK_HOR,horario_curso_materia.DIA) VALUES (  (SELECT curso_materia.ID_CUR_MAT FROM curso_materia WHERE curso_materia.CUPOF='2683108' ) ,
    (SELECT horario.ID_HOR FROM horario WHERE horario.modulo='1 ' and horario.turno='V ' ),
    'LUNES '
 );</t>
  </si>
  <si>
    <t>INSERT INTO horario_curso_materia (horario_curso_materia.FK_CUR_mat,horario_curso_materia.FK_HOR,horario_curso_materia.DIA) VALUES (  (SELECT curso_materia.ID_CUR_MAT FROM curso_materia WHERE curso_materia.CUPOF='2683109' ) ,
    (SELECT horario.ID_HOR FROM horario WHERE horario.modulo='1 ' and horario.turno='T ' ),
    'MARTES '
 );</t>
  </si>
  <si>
    <t>INSERT INTO horario_curso_materia (horario_curso_materia.FK_CUR_mat,horario_curso_materia.FK_HOR,horario_curso_materia.DIA) VALUES (  (SELECT curso_materia.ID_CUR_MAT FROM curso_materia WHERE curso_materia.CUPOF='2683119' ) ,
    (SELECT horario.ID_HOR FROM horario WHERE horario.modulo='1 ' and horario.turno='V ' ),
    'JUEVES '
 );</t>
  </si>
  <si>
    <t>INSERT INTO horario_curso_materia (horario_curso_materia.FK_CUR_mat,horario_curso_materia.FK_HOR,horario_curso_materia.DIA) VALUES (  (SELECT curso_materia.ID_CUR_MAT FROM curso_materia WHERE curso_materia.CUPOF='2683111' ) ,
    (SELECT horario.ID_HOR FROM horario WHERE horario.modulo='1 ' and horario.turno='T ' ),
    'MIERCOLES '
 );</t>
  </si>
  <si>
    <t>INSERT INTO horario_curso_materia (horario_curso_materia.FK_CUR_mat,horario_curso_materia.FK_HOR,horario_curso_materia.DIA) VALUES (  (SELECT curso_materia.ID_CUR_MAT FROM curso_materia WHERE curso_materia.CUPOF='2683113' ) ,
    (SELECT horario.ID_HOR FROM horario WHERE horario.modulo='1 ' and horario.turno='V ' ),
    'JUEVES '
 );</t>
  </si>
  <si>
    <t>INSERT INTO horario_curso_materia (horario_curso_materia.FK_CUR_mat,horario_curso_materia.FK_HOR,horario_curso_materia.DIA) VALUES (  (SELECT curso_materia.ID_CUR_MAT FROM curso_materia WHERE curso_materia.CUPOF='2683121' ) ,
    (SELECT horario.ID_HOR FROM horario WHERE horario.modulo='1 ' and horario.turno='M ' ),
    'VIERNES '
 );</t>
  </si>
  <si>
    <t>INSERT INTO horario_curso_materia (horario_curso_materia.FK_CUR_mat,horario_curso_materia.FK_HOR,horario_curso_materia.DIA) VALUES (  (SELECT curso_materia.ID_CUR_MAT FROM curso_materia WHERE curso_materia.CUPOF='2683105' ) ,
    (SELECT horario.ID_HOR FROM horario WHERE horario.modulo='1 ' and horario.turno='T ' ),
    'VIERNES '
 );</t>
  </si>
  <si>
    <t>INSERT INTO horario_curso_materia (horario_curso_materia.FK_CUR_mat,horario_curso_materia.FK_HOR,horario_curso_materia.DIA) VALUES (  (SELECT curso_materia.ID_CUR_MAT FROM curso_materia WHERE curso_materia.CUPOF='2683114' ) ,
    (SELECT horario.ID_HOR FROM horario WHERE horario.modulo='2 ' and horario.turno='V ' ),
    'VIERNES '
 );</t>
  </si>
  <si>
    <t>INSERT INTO horario_curso_materia (horario_curso_materia.FK_CUR_mat,horario_curso_materia.FK_HOR,horario_curso_materia.DIA) VALUES (  (SELECT curso_materia.ID_CUR_MAT FROM curso_materia WHERE curso_materia.CUPOF='2683118' ) ,
    (SELECT horario.ID_HOR FROM horario WHERE horario.modulo='1 ' and horario.turno='V ' ),
    'VIERNES '
 );</t>
  </si>
  <si>
    <t>INSERT INTO horario_curso_materia (horario_curso_materia.FK_CUR_mat,horario_curso_materia.FK_HOR,horario_curso_materia.DIA) VALUES (  (SELECT curso_materia.ID_CUR_MAT FROM curso_materia WHERE curso_materia.CUPOF='2683103' ) ,
    (SELECT horario.ID_HOR FROM horario WHERE horario.modulo='2 ' and horario.turno='T ' ),
    'JUEVES '
 );</t>
  </si>
  <si>
    <t>INSERT INTO horario_curso_materia (horario_curso_materia.FK_CUR_mat,horario_curso_materia.FK_HOR,horario_curso_materia.DIA) VALUES (  (SELECT curso_materia.ID_CUR_MAT FROM curso_materia WHERE curso_materia.CUPOF='2683112' ) ,
    (SELECT horario.ID_HOR FROM horario WHERE horario.modulo='4 ' and horario.turno='M ' ),
    'MIERCOLES '
 );</t>
  </si>
  <si>
    <t>INSERT INTO horario_curso_materia (horario_curso_materia.FK_CUR_mat,horario_curso_materia.FK_HOR,horario_curso_materia.DIA) VALUES (  (SELECT curso_materia.ID_CUR_MAT FROM curso_materia WHERE curso_materia.CUPOF='2683116' ) ,
    (SELECT horario.ID_HOR FROM horario WHERE horario.modulo='2 ' and horario.turno='M ' ),
    'LUNES '
 );</t>
  </si>
  <si>
    <t>INSERT INTO horario_curso_materia (horario_curso_materia.FK_CUR_mat,horario_curso_materia.FK_HOR,horario_curso_materia.DIA) VALUES (  (SELECT curso_materia.ID_CUR_MAT FROM curso_materia WHERE curso_materia.CUPOF='2683106' ) ,
    (SELECT horario.ID_HOR FROM horario WHERE horario.modulo='2 ' and horario.turno='T ' ),
    'LUNES '
 );</t>
  </si>
  <si>
    <t>INSERT INTO horario_curso_materia (horario_curso_materia.FK_CUR_mat,horario_curso_materia.FK_HOR,horario_curso_materia.DIA) VALUES (  (SELECT curso_materia.ID_CUR_MAT FROM curso_materia WHERE curso_materia.CUPOF='2683108' ) ,
    (SELECT horario.ID_HOR FROM horario WHERE horario.modulo='2 ' and horario.turno='V ' ),
    'LUNES '
 );</t>
  </si>
  <si>
    <t>INSERT INTO horario_curso_materia (horario_curso_materia.FK_CUR_mat,horario_curso_materia.FK_HOR,horario_curso_materia.DIA) VALUES (  (SELECT curso_materia.ID_CUR_MAT FROM curso_materia WHERE curso_materia.CUPOF='2683109' ) ,
    (SELECT horario.ID_HOR FROM horario WHERE horario.modulo='2 ' and horario.turno='T ' ),
    'MARTES '
 );</t>
  </si>
  <si>
    <t>INSERT INTO horario_curso_materia (horario_curso_materia.FK_CUR_mat,horario_curso_materia.FK_HOR,horario_curso_materia.DIA) VALUES (  (SELECT curso_materia.ID_CUR_MAT FROM curso_materia WHERE curso_materia.CUPOF='2683119' ) ,
    (SELECT horario.ID_HOR FROM horario WHERE horario.modulo='2 ' and horario.turno='V ' ),
    'JUEVES '
 );</t>
  </si>
  <si>
    <t>INSERT INTO horario_curso_materia (horario_curso_materia.FK_CUR_mat,horario_curso_materia.FK_HOR,horario_curso_materia.DIA) VALUES (  (SELECT curso_materia.ID_CUR_MAT FROM curso_materia WHERE curso_materia.CUPOF='2683111' ) ,
    (SELECT horario.ID_HOR FROM horario WHERE horario.modulo='2 ' and horario.turno='T ' ),
    'MIERCOLES '
 );</t>
  </si>
  <si>
    <t>INSERT INTO horario_curso_materia (horario_curso_materia.FK_CUR_mat,horario_curso_materia.FK_HOR,horario_curso_materia.DIA) VALUES (  (SELECT curso_materia.ID_CUR_MAT FROM curso_materia WHERE curso_materia.CUPOF='2683113' ) ,
    (SELECT horario.ID_HOR FROM horario WHERE horario.modulo='2 ' and horario.turno='V ' ),
    'JUEVES '
 );</t>
  </si>
  <si>
    <t>INSERT INTO horario_curso_materia (horario_curso_materia.FK_CUR_mat,horario_curso_materia.FK_HOR,horario_curso_materia.DIA) VALUES (  (SELECT curso_materia.ID_CUR_MAT FROM curso_materia WHERE curso_materia.CUPOF='2683114' ) ,
    (SELECT horario.ID_HOR FROM horario WHERE horario.modulo='3 ' and horario.turno='V ' ),
    'VIERNES '
 );</t>
  </si>
  <si>
    <t>INSERT INTO horario_curso_materia (horario_curso_materia.FK_CUR_mat,horario_curso_materia.FK_HOR,horario_curso_materia.DIA) VALUES (  (SELECT curso_materia.ID_CUR_MAT FROM curso_materia WHERE curso_materia.CUPOF='2683121' ) ,
    (SELECT horario.ID_HOR FROM horario WHERE horario.modulo='2 ' and horario.turno='M ' ),
    'VIERNES '
 );</t>
  </si>
  <si>
    <t>INSERT INTO horario_curso_materia (horario_curso_materia.FK_CUR_mat,horario_curso_materia.FK_HOR,horario_curso_materia.DIA) VALUES (  (SELECT curso_materia.ID_CUR_MAT FROM curso_materia WHERE curso_materia.CUPOF='2683105' ) ,
    (SELECT horario.ID_HOR FROM horario WHERE horario.modulo='2 ' and horario.turno='T ' ),
    'VIERNES '
 );</t>
  </si>
  <si>
    <t>INSERT INTO horario_curso_materia (horario_curso_materia.FK_CUR_mat,horario_curso_materia.FK_HOR,horario_curso_materia.DIA) VALUES (  (SELECT curso_materia.ID_CUR_MAT FROM curso_materia WHERE curso_materia.CUPOF='2683114' ) ,
    (SELECT horario.ID_HOR FROM horario WHERE horario.modulo='4 ' and horario.turno='V ' ),
    'VIERNES '
 );</t>
  </si>
  <si>
    <t>INSERT INTO horario_curso_materia (horario_curso_materia.FK_CUR_mat,horario_curso_materia.FK_HOR,horario_curso_materia.DIA) VALUES (  (SELECT curso_materia.ID_CUR_MAT FROM curso_materia WHERE curso_materia.CUPOF='2683118' ) ,
    (SELECT horario.ID_HOR FROM horario WHERE horario.modulo='2 ' and horario.turno='V ' ),
    'VIERNES '
 );</t>
  </si>
  <si>
    <t>INSERT INTO horario_curso_materia (horario_curso_materia.FK_CUR_mat,horario_curso_materia.FK_HOR,horario_curso_materia.DIA) VALUES (  (SELECT curso_materia.ID_CUR_MAT FROM curso_materia WHERE curso_materia.CUPOF='2683110' ) ,
    (SELECT horario.ID_HOR FROM horario WHERE horario.modulo='3 ' and horario.turno='T ' ),
    'JUEVES '
 );</t>
  </si>
  <si>
    <t>INSERT INTO horario_curso_materia (horario_curso_materia.FK_CUR_mat,horario_curso_materia.FK_HOR,horario_curso_materia.DIA) VALUES (  (SELECT curso_materia.ID_CUR_MAT FROM curso_materia WHERE curso_materia.CUPOF='2683116' ) ,
    (SELECT horario.ID_HOR FROM horario WHERE horario.modulo='3 ' and horario.turno='M ' ),
    'LUNES '
 );</t>
  </si>
  <si>
    <t>INSERT INTO horario_curso_materia (horario_curso_materia.FK_CUR_mat,horario_curso_materia.FK_HOR,horario_curso_materia.DIA) VALUES (  (SELECT curso_materia.ID_CUR_MAT FROM curso_materia WHERE curso_materia.CUPOF='2683107' ) ,
    (SELECT horario.ID_HOR FROM horario WHERE horario.modulo='3 ' and horario.turno='T ' ),
    'LUNES '
 );</t>
  </si>
  <si>
    <t>INSERT INTO horario_curso_materia (horario_curso_materia.FK_CUR_mat,horario_curso_materia.FK_HOR,horario_curso_materia.DIA) VALUES (  (SELECT curso_materia.ID_CUR_MAT FROM curso_materia WHERE curso_materia.CUPOF='2683108' ) ,
    (SELECT horario.ID_HOR FROM horario WHERE horario.modulo='3 ' and horario.turno='V ' ),
    'LUNES '
 );</t>
  </si>
  <si>
    <t>INSERT INTO horario_curso_materia (horario_curso_materia.FK_CUR_mat,horario_curso_materia.FK_HOR,horario_curso_materia.DIA) VALUES (  (SELECT curso_materia.ID_CUR_MAT FROM curso_materia WHERE curso_materia.CUPOF='2683109' ) ,
    (SELECT horario.ID_HOR FROM horario WHERE horario.modulo='3 ' and horario.turno='T ' ),
    'MARTES '
 );</t>
  </si>
  <si>
    <t>INSERT INTO horario_curso_materia (horario_curso_materia.FK_CUR_mat,horario_curso_materia.FK_HOR,horario_curso_materia.DIA) VALUES (  (SELECT curso_materia.ID_CUR_MAT FROM curso_materia WHERE curso_materia.CUPOF='2683119' ) ,
    (SELECT horario.ID_HOR FROM horario WHERE horario.modulo='3 ' and horario.turno='V ' ),
    'JUEVES '
 );</t>
  </si>
  <si>
    <t>INSERT INTO horario_curso_materia (horario_curso_materia.FK_CUR_mat,horario_curso_materia.FK_HOR,horario_curso_materia.DIA) VALUES (  (SELECT curso_materia.ID_CUR_MAT FROM curso_materia WHERE curso_materia.CUPOF='2683102' ) ,
    (SELECT horario.ID_HOR FROM horario WHERE horario.modulo='3 ' and horario.turno='T ' ),
    'MIERCOLES '
 );</t>
  </si>
  <si>
    <t>INSERT INTO horario_curso_materia (horario_curso_materia.FK_CUR_mat,horario_curso_materia.FK_HOR,horario_curso_materia.DIA) VALUES (  (SELECT curso_materia.ID_CUR_MAT FROM curso_materia WHERE curso_materia.CUPOF='2683113' ) ,
    (SELECT horario.ID_HOR FROM horario WHERE horario.modulo='3 ' and horario.turno='V ' ),
    'JUEVES '
 );</t>
  </si>
  <si>
    <t>INSERT INTO horario_curso_materia (horario_curso_materia.FK_CUR_mat,horario_curso_materia.FK_HOR,horario_curso_materia.DIA) VALUES (  (SELECT curso_materia.ID_CUR_MAT FROM curso_materia WHERE curso_materia.CUPOF='2683120' ) ,
    (SELECT horario.ID_HOR FROM horario WHERE horario.modulo='3 ' and horario.turno='V ' ),
    'MARTES '
 );</t>
  </si>
  <si>
    <t>INSERT INTO horario_curso_materia (horario_curso_materia.FK_CUR_mat,horario_curso_materia.FK_HOR,horario_curso_materia.DIA) VALUES (  (SELECT curso_materia.ID_CUR_MAT FROM curso_materia WHERE curso_materia.CUPOF='2683121' ) ,
    (SELECT horario.ID_HOR FROM horario WHERE horario.modulo='3 ' and horario.turno='M ' ),
    'VIERNES '
 );</t>
  </si>
  <si>
    <t>INSERT INTO horario_curso_materia (horario_curso_materia.FK_CUR_mat,horario_curso_materia.FK_HOR,horario_curso_materia.DIA) VALUES (  (SELECT curso_materia.ID_CUR_MAT FROM curso_materia WHERE curso_materia.CUPOF='2683104' ) ,
    (SELECT horario.ID_HOR FROM horario WHERE horario.modulo='3 ' and horario.turno='T ' ),
    'VIERNES '
 );</t>
  </si>
  <si>
    <t>INSERT INTO horario_curso_materia (horario_curso_materia.FK_CUR_mat,horario_curso_materia.FK_HOR,horario_curso_materia.DIA) VALUES (  (SELECT curso_materia.ID_CUR_MAT FROM curso_materia WHERE curso_materia.CUPOF='2683120' ) ,
    (SELECT horario.ID_HOR FROM horario WHERE horario.modulo='4 ' and horario.turno='V ' ),
    'MARTES '
 );</t>
  </si>
  <si>
    <t>INSERT INTO horario_curso_materia (horario_curso_materia.FK_CUR_mat,horario_curso_materia.FK_HOR,horario_curso_materia.DIA) VALUES (  (SELECT curso_materia.ID_CUR_MAT FROM curso_materia WHERE curso_materia.CUPOF='2683110' ) ,
    (SELECT horario.ID_HOR FROM horario WHERE horario.modulo='4 ' and horario.turno='T ' ),
    'JUEVES '
 );</t>
  </si>
  <si>
    <t>INSERT INTO horario_curso_materia (horario_curso_materia.FK_CUR_mat,horario_curso_materia.FK_HOR,horario_curso_materia.DIA) VALUES (  (SELECT curso_materia.ID_CUR_MAT FROM curso_materia WHERE curso_materia.CUPOF='2683116' ) ,
    (SELECT horario.ID_HOR FROM horario WHERE horario.modulo='4 ' and horario.turno='M ' ),
    'LUNES '
 );</t>
  </si>
  <si>
    <t>INSERT INTO horario_curso_materia (horario_curso_materia.FK_CUR_mat,horario_curso_materia.FK_HOR,horario_curso_materia.DIA) VALUES (  (SELECT curso_materia.ID_CUR_MAT FROM curso_materia WHERE curso_materia.CUPOF='2683107' ) ,
    (SELECT horario.ID_HOR FROM horario WHERE horario.modulo='4 ' and horario.turno='T ' ),
    'LUNES '
 );</t>
  </si>
  <si>
    <t>INSERT INTO horario_curso_materia (horario_curso_materia.FK_CUR_mat,horario_curso_materia.FK_HOR,horario_curso_materia.DIA) VALUES (  (SELECT curso_materia.ID_CUR_MAT FROM curso_materia WHERE curso_materia.CUPOF='2683109' ) ,
    (SELECT horario.ID_HOR FROM horario WHERE horario.modulo='4 ' and horario.turno='T ' ),
    'MARTES '
 );</t>
  </si>
  <si>
    <t>INSERT INTO horario_curso_materia (horario_curso_materia.FK_CUR_mat,horario_curso_materia.FK_HOR,horario_curso_materia.DIA) VALUES (  (SELECT curso_materia.ID_CUR_MAT FROM curso_materia WHERE curso_materia.CUPOF='2683119' ) ,
    (SELECT horario.ID_HOR FROM horario WHERE horario.modulo='4 ' and horario.turno='V ' ),
    'JUEVES '
 );</t>
  </si>
  <si>
    <t>INSERT INTO horario_curso_materia (horario_curso_materia.FK_CUR_mat,horario_curso_materia.FK_HOR,horario_curso_materia.DIA) VALUES (  (SELECT curso_materia.ID_CUR_MAT FROM curso_materia WHERE curso_materia.CUPOF='2683102' ) ,
    (SELECT horario.ID_HOR FROM horario WHERE horario.modulo='4 ' and horario.turno='T ' ),
    'MIERCOLES '
 );</t>
  </si>
  <si>
    <t>INSERT INTO horario_curso_materia (horario_curso_materia.FK_CUR_mat,horario_curso_materia.FK_HOR,horario_curso_materia.DIA) VALUES (  (SELECT curso_materia.ID_CUR_MAT FROM curso_materia WHERE curso_materia.CUPOF='2683113' ) ,
    (SELECT horario.ID_HOR FROM horario WHERE horario.modulo='4 ' and horario.turno='V ' ),
    'JUEVES '
 );</t>
  </si>
  <si>
    <t>INSERT INTO horario_curso_materia (horario_curso_materia.FK_CUR_mat,horario_curso_materia.FK_HOR,horario_curso_materia.DIA) VALUES (  (SELECT curso_materia.ID_CUR_MAT FROM curso_materia WHERE curso_materia.CUPOF='2683120' ) ,
    (SELECT horario.ID_HOR FROM horario WHERE horario.modulo='3 ' and horario.turno='V ' ),
    'MIERCOLES '
 );</t>
  </si>
  <si>
    <t>INSERT INTO horario_curso_materia (horario_curso_materia.FK_CUR_mat,horario_curso_materia.FK_HOR,horario_curso_materia.DIA) VALUES (  (SELECT curso_materia.ID_CUR_MAT FROM curso_materia WHERE curso_materia.CUPOF='2683121' ) ,
    (SELECT horario.ID_HOR FROM horario WHERE horario.modulo='4 ' and horario.turno='M ' ),
    'VIERNES '
 );</t>
  </si>
  <si>
    <t>INSERT INTO horario_curso_materia (horario_curso_materia.FK_CUR_mat,horario_curso_materia.FK_HOR,horario_curso_materia.DIA) VALUES (  (SELECT curso_materia.ID_CUR_MAT FROM curso_materia WHERE curso_materia.CUPOF='2683104' ) ,
    (SELECT horario.ID_HOR FROM horario WHERE horario.modulo='4 ' and horario.turno='T ' ),
    'VIERNES '
 );</t>
  </si>
  <si>
    <t>INSERT INTO horario_curso_materia (horario_curso_materia.FK_CUR_mat,horario_curso_materia.FK_HOR,horario_curso_materia.DIA) VALUES (  (SELECT curso_materia.ID_CUR_MAT FROM curso_materia WHERE curso_materia.CUPOF='2683120' ) ,
    (SELECT horario.ID_HOR FROM horario WHERE horario.modulo='4 ' and horario.turno='V ' ),
    'MIERCOLES '
 );</t>
  </si>
  <si>
    <t>INSERT INTO horario_curso_materia (horario_curso_materia.FK_CUR_mat,horario_curso_materia.FK_HOR,horario_curso_materia.DIA) VALUES (  (SELECT curso_materia.ID_CUR_MAT FROM curso_materia WHERE curso_materia.CUPOF='1913702' ) ,
    (SELECT horario.ID_HOR FROM horario WHERE horario.modulo='1 ' and horario.turno='T ' ),
    'JUEVES '
 );</t>
  </si>
  <si>
    <t>INSERT INTO horario_curso_materia (horario_curso_materia.FK_CUR_mat,horario_curso_materia.FK_HOR,horario_curso_materia.DIA) VALUES (  (SELECT curso_materia.ID_CUR_MAT FROM curso_materia WHERE curso_materia.CUPOF='1913696' ) ,
    (SELECT horario.ID_HOR FROM horario WHERE horario.modulo='1 ' and horario.turno='V ' ),
    'JUEVES '
 );</t>
  </si>
  <si>
    <t>INSERT INTO horario_curso_materia (horario_curso_materia.FK_CUR_mat,horario_curso_materia.FK_HOR,horario_curso_materia.DIA) VALUES (  (SELECT curso_materia.ID_CUR_MAT FROM curso_materia WHERE curso_materia.CUPOF='1913725' ) ,
    (SELECT horario.ID_HOR FROM horario WHERE horario.modulo='1 ' and horario.turno='T ' ),
    'MARTES '
 );</t>
  </si>
  <si>
    <t>INSERT INTO horario_curso_materia (horario_curso_materia.FK_CUR_mat,horario_curso_materia.FK_HOR,horario_curso_materia.DIA) VALUES (  (SELECT curso_materia.ID_CUR_MAT FROM curso_materia WHERE curso_materia.CUPOF='1913687' ) ,
    (SELECT horario.ID_HOR FROM horario WHERE horario.modulo='1 ' and horario.turno='V ' ),
    'LUNES '
 );</t>
  </si>
  <si>
    <t>INSERT INTO horario_curso_materia (horario_curso_materia.FK_CUR_mat,horario_curso_materia.FK_HOR,horario_curso_materia.DIA) VALUES (  (SELECT curso_materia.ID_CUR_MAT FROM curso_materia WHERE curso_materia.CUPOF='1913695' ) ,
    (SELECT horario.ID_HOR FROM horario WHERE horario.modulo='2 ' and horario.turno='M ' ),
    'LUNES '
 );</t>
  </si>
  <si>
    <t>INSERT INTO horario_curso_materia (horario_curso_materia.FK_CUR_mat,horario_curso_materia.FK_HOR,horario_curso_materia.DIA) VALUES (  (SELECT curso_materia.ID_CUR_MAT FROM curso_materia WHERE curso_materia.CUPOF='1913731' ) ,
    (SELECT horario.ID_HOR FROM horario WHERE horario.modulo='1 ' and horario.turno='M ' ),
    'MIERCOLES '
 );</t>
  </si>
  <si>
    <t>INSERT INTO horario_curso_materia (horario_curso_materia.FK_CUR_mat,horario_curso_materia.FK_HOR,horario_curso_materia.DIA) VALUES (  (SELECT curso_materia.ID_CUR_MAT FROM curso_materia WHERE curso_materia.CUPOF='1913689' ) ,
    (SELECT horario.ID_HOR FROM horario WHERE horario.modulo='1 ' and horario.turno='V ' ),
    'MIERCOLES '
 );</t>
  </si>
  <si>
    <t>INSERT INTO horario_curso_materia (horario_curso_materia.FK_CUR_mat,horario_curso_materia.FK_HOR,horario_curso_materia.DIA) VALUES (  (SELECT curso_materia.ID_CUR_MAT FROM curso_materia WHERE curso_materia.CUPOF='1913707' ) ,
    (SELECT horario.ID_HOR FROM horario WHERE horario.modulo='1 ' and horario.turno='M ' ),
    'VIERNES '
 );</t>
  </si>
  <si>
    <t>INSERT INTO horario_curso_materia (horario_curso_materia.FK_CUR_mat,horario_curso_materia.FK_HOR,horario_curso_materia.DIA) VALUES (  (SELECT curso_materia.ID_CUR_MAT FROM curso_materia WHERE curso_materia.CUPOF='1913712' ) ,
    (SELECT horario.ID_HOR FROM horario WHERE horario.modulo='1 ' and horario.turno='V ' ),
    'VIERNES '
 );</t>
  </si>
  <si>
    <t>INSERT INTO horario_curso_materia (horario_curso_materia.FK_CUR_mat,horario_curso_materia.FK_HOR,horario_curso_materia.DIA) VALUES (  (SELECT curso_materia.ID_CUR_MAT FROM curso_materia WHERE curso_materia.CUPOF='1913702' ) ,
    (SELECT horario.ID_HOR FROM horario WHERE horario.modulo='2 ' and horario.turno='T ' ),
    'JUEVES '
 );</t>
  </si>
  <si>
    <t>INSERT INTO horario_curso_materia (horario_curso_materia.FK_CUR_mat,horario_curso_materia.FK_HOR,horario_curso_materia.DIA) VALUES (  (SELECT curso_materia.ID_CUR_MAT FROM curso_materia WHERE curso_materia.CUPOF='1913696' ) ,
    (SELECT horario.ID_HOR FROM horario WHERE horario.modulo='2 ' and horario.turno='V ' ),
    'JUEVES '
 );</t>
  </si>
  <si>
    <t>INSERT INTO horario_curso_materia (horario_curso_materia.FK_CUR_mat,horario_curso_materia.FK_HOR,horario_curso_materia.DIA) VALUES (  (SELECT curso_materia.ID_CUR_MAT FROM curso_materia WHERE curso_materia.CUPOF='1913725' ) ,
    (SELECT horario.ID_HOR FROM horario WHERE horario.modulo='2 ' and horario.turno='T ' ),
    'MARTES '
 );</t>
  </si>
  <si>
    <t>INSERT INTO horario_curso_materia (horario_curso_materia.FK_CUR_mat,horario_curso_materia.FK_HOR,horario_curso_materia.DIA) VALUES (  (SELECT curso_materia.ID_CUR_MAT FROM curso_materia WHERE curso_materia.CUPOF='1913687' ) ,
    (SELECT horario.ID_HOR FROM horario WHERE horario.modulo='2 ' and horario.turno='V ' ),
    'LUNES '
 );</t>
  </si>
  <si>
    <t>INSERT INTO horario_curso_materia (horario_curso_materia.FK_CUR_mat,horario_curso_materia.FK_HOR,horario_curso_materia.DIA) VALUES (  (SELECT curso_materia.ID_CUR_MAT FROM curso_materia WHERE curso_materia.CUPOF='1913695' ) ,
    (SELECT horario.ID_HOR FROM horario WHERE horario.modulo='3 ' and horario.turno='M ' ),
    'LUNES '
 );</t>
  </si>
  <si>
    <t>INSERT INTO horario_curso_materia (horario_curso_materia.FK_CUR_mat,horario_curso_materia.FK_HOR,horario_curso_materia.DIA) VALUES (  (SELECT curso_materia.ID_CUR_MAT FROM curso_materia WHERE curso_materia.CUPOF='1913731' ) ,
    (SELECT horario.ID_HOR FROM horario WHERE horario.modulo='2 ' and horario.turno='M ' ),
    'MIERCOLES '
 );</t>
  </si>
  <si>
    <t>INSERT INTO horario_curso_materia (horario_curso_materia.FK_CUR_mat,horario_curso_materia.FK_HOR,horario_curso_materia.DIA) VALUES (  (SELECT curso_materia.ID_CUR_MAT FROM curso_materia WHERE curso_materia.CUPOF='1913689' ) ,
    (SELECT horario.ID_HOR FROM horario WHERE horario.modulo='2 ' and horario.turno='V ' ),
    'MIERCOLES '
 );</t>
  </si>
  <si>
    <t>INSERT INTO horario_curso_materia (horario_curso_materia.FK_CUR_mat,horario_curso_materia.FK_HOR,horario_curso_materia.DIA) VALUES (  (SELECT curso_materia.ID_CUR_MAT FROM curso_materia WHERE curso_materia.CUPOF='1913707' ) ,
    (SELECT horario.ID_HOR FROM horario WHERE horario.modulo='2 ' and horario.turno='M ' ),
    'VIERNES '
 );</t>
  </si>
  <si>
    <t>INSERT INTO horario_curso_materia (horario_curso_materia.FK_CUR_mat,horario_curso_materia.FK_HOR,horario_curso_materia.DIA) VALUES (  (SELECT curso_materia.ID_CUR_MAT FROM curso_materia WHERE curso_materia.CUPOF='1913712' ) ,
    (SELECT horario.ID_HOR FROM horario WHERE horario.modulo='2 ' and horario.turno='V ' ),
    'VIERNES '
 );</t>
  </si>
  <si>
    <t>INSERT INTO horario_curso_materia (horario_curso_materia.FK_CUR_mat,horario_curso_materia.FK_HOR,horario_curso_materia.DIA) VALUES (  (SELECT curso_materia.ID_CUR_MAT FROM curso_materia WHERE curso_materia.CUPOF='1913702' ) ,
    (SELECT horario.ID_HOR FROM horario WHERE horario.modulo='3 ' and horario.turno='T ' ),
    'JUEVES '
 );</t>
  </si>
  <si>
    <t>INSERT INTO horario_curso_materia (horario_curso_materia.FK_CUR_mat,horario_curso_materia.FK_HOR,horario_curso_materia.DIA) VALUES (  (SELECT curso_materia.ID_CUR_MAT FROM curso_materia WHERE curso_materia.CUPOF='1913696' ) ,
    (SELECT horario.ID_HOR FROM horario WHERE horario.modulo='3 ' and horario.turno='V ' ),
    'JUEVES '
 );</t>
  </si>
  <si>
    <t>INSERT INTO horario_curso_materia (horario_curso_materia.FK_CUR_mat,horario_curso_materia.FK_HOR,horario_curso_materia.DIA) VALUES (  (SELECT curso_materia.ID_CUR_MAT FROM curso_materia WHERE curso_materia.CUPOF='1913725' ) ,
    (SELECT horario.ID_HOR FROM horario WHERE horario.modulo='3 ' and horario.turno='T ' ),
    'MARTES '
 );</t>
  </si>
  <si>
    <t>INSERT INTO horario_curso_materia (horario_curso_materia.FK_CUR_mat,horario_curso_materia.FK_HOR,horario_curso_materia.DIA) VALUES (  (SELECT curso_materia.ID_CUR_MAT FROM curso_materia WHERE curso_materia.CUPOF='1913695' ) ,
    (SELECT horario.ID_HOR FROM horario WHERE horario.modulo='4 ' and horario.turno='M ' ),
    'LUNES '
 );</t>
  </si>
  <si>
    <t>INSERT INTO horario_curso_materia (horario_curso_materia.FK_CUR_mat,horario_curso_materia.FK_HOR,horario_curso_materia.DIA) VALUES (  (SELECT curso_materia.ID_CUR_MAT FROM curso_materia WHERE curso_materia.CUPOF='1913731' ) ,
    (SELECT horario.ID_HOR FROM horario WHERE horario.modulo='3 ' and horario.turno='M ' ),
    'MIERCOLES '
 );</t>
  </si>
  <si>
    <t>INSERT INTO horario_curso_materia (horario_curso_materia.FK_CUR_mat,horario_curso_materia.FK_HOR,horario_curso_materia.DIA) VALUES (  (SELECT curso_materia.ID_CUR_MAT FROM curso_materia WHERE curso_materia.CUPOF='1913692' ) ,
    (SELECT horario.ID_HOR FROM horario WHERE horario.modulo='3 ' and horario.turno='V ' ),
    'MIERCOLES '
 );</t>
  </si>
  <si>
    <t>INSERT INTO horario_curso_materia (horario_curso_materia.FK_CUR_mat,horario_curso_materia.FK_HOR,horario_curso_materia.DIA) VALUES (  (SELECT curso_materia.ID_CUR_MAT FROM curso_materia WHERE curso_materia.CUPOF='1913707' ) ,
    (SELECT horario.ID_HOR FROM horario WHERE horario.modulo='3 ' and horario.turno='M ' ),
    'VIERNES '
 );</t>
  </si>
  <si>
    <t>INSERT INTO horario_curso_materia (horario_curso_materia.FK_CUR_mat,horario_curso_materia.FK_HOR,horario_curso_materia.DIA) VALUES (  (SELECT curso_materia.ID_CUR_MAT FROM curso_materia WHERE curso_materia.CUPOF='1913712' ) ,
    (SELECT horario.ID_HOR FROM horario WHERE horario.modulo='3 ' and horario.turno='V ' ),
    'VIERNES '
 );</t>
  </si>
  <si>
    <t>INSERT INTO horario_curso_materia (horario_curso_materia.FK_CUR_mat,horario_curso_materia.FK_HOR,horario_curso_materia.DIA) VALUES (  (SELECT curso_materia.ID_CUR_MAT FROM curso_materia WHERE curso_materia.CUPOF='1913702' ) ,
    (SELECT horario.ID_HOR FROM horario WHERE horario.modulo='4 ' and horario.turno='T ' ),
    'JUEVES '
 );</t>
  </si>
  <si>
    <t>INSERT INTO horario_curso_materia (horario_curso_materia.FK_CUR_mat,horario_curso_materia.FK_HOR,horario_curso_materia.DIA) VALUES (  (SELECT curso_materia.ID_CUR_MAT FROM curso_materia WHERE curso_materia.CUPOF='1913696' ) ,
    (SELECT horario.ID_HOR FROM horario WHERE horario.modulo='4 ' and horario.turno='V ' ),
    'JUEVES '
 );</t>
  </si>
  <si>
    <t>INSERT INTO horario_curso_materia (horario_curso_materia.FK_CUR_mat,horario_curso_materia.FK_HOR,horario_curso_materia.DIA) VALUES (  (SELECT curso_materia.ID_CUR_MAT FROM curso_materia WHERE curso_materia.CUPOF='1913725' ) ,
    (SELECT horario.ID_HOR FROM horario WHERE horario.modulo='4 ' and horario.turno='T ' ),
    'MARTES '
 );</t>
  </si>
  <si>
    <t>INSERT INTO horario_curso_materia (horario_curso_materia.FK_CUR_mat,horario_curso_materia.FK_HOR,horario_curso_materia.DIA) VALUES (  (SELECT curso_materia.ID_CUR_MAT FROM curso_materia WHERE curso_materia.CUPOF='1913731' ) ,
    (SELECT horario.ID_HOR FROM horario WHERE horario.modulo='4 ' and horario.turno='M ' ),
    'MIERCOLES '
 );</t>
  </si>
  <si>
    <t>INSERT INTO horario_curso_materia (horario_curso_materia.FK_CUR_mat,horario_curso_materia.FK_HOR,horario_curso_materia.DIA) VALUES (  (SELECT curso_materia.ID_CUR_MAT FROM curso_materia WHERE curso_materia.CUPOF='1913692' ) ,
    (SELECT horario.ID_HOR FROM horario WHERE horario.modulo='4 ' and horario.turno='V ' ),
    'MIERCOLES '
 );</t>
  </si>
  <si>
    <t>INSERT INTO horario_curso_materia (horario_curso_materia.FK_CUR_mat,horario_curso_materia.FK_HOR,horario_curso_materia.DIA) VALUES (  (SELECT curso_materia.ID_CUR_MAT FROM curso_materia WHERE curso_materia.CUPOF='1913707' ) ,
    (SELECT horario.ID_HOR FROM horario WHERE horario.modulo='4 ' and horario.turno='M ' ),
    'VIERNES '
 );</t>
  </si>
  <si>
    <t>INSERT INTO horario_curso_materia (horario_curso_materia.FK_CUR_mat,horario_curso_materia.FK_HOR,horario_curso_materia.DIA) VALUES (  (SELECT curso_materia.ID_CUR_MAT FROM curso_materia WHERE curso_materia.CUPOF='1913712' ) ,
    (SELECT horario.ID_HOR FROM horario WHERE horario.modulo='4 ' and horario.turno='V ' ),
    'VIERNES '
 );</t>
  </si>
  <si>
    <t>INSERT INTO horario_curso_materia (horario_curso_materia.FK_CUR_mat,horario_curso_materia.FK_HOR,horario_curso_materia.DIA) VALUES (  (SELECT curso_materia.ID_CUR_MAT FROM curso_materia WHERE curso_materia.CUPOF='1913852' ) ,
    (SELECT horario.ID_HOR FROM horario WHERE horario.modulo='1 ' and horario.turno='M ' ),
    'JUEVES '
 );</t>
  </si>
  <si>
    <t>INSERT INTO horario_curso_materia (horario_curso_materia.FK_CUR_mat,horario_curso_materia.FK_HOR,horario_curso_materia.DIA) VALUES (  (SELECT curso_materia.ID_CUR_MAT FROM curso_materia WHERE curso_materia.CUPOF='1913857' ) ,
    (SELECT horario.ID_HOR FROM horario WHERE horario.modulo='1 ' and horario.turno='V ' ),
    'JUEVES '
 );</t>
  </si>
  <si>
    <t>INSERT INTO horario_curso_materia (horario_curso_materia.FK_CUR_mat,horario_curso_materia.FK_HOR,horario_curso_materia.DIA) VALUES (  (SELECT curso_materia.ID_CUR_MAT FROM curso_materia WHERE curso_materia.CUPOF='1913842' ) ,
    (SELECT horario.ID_HOR FROM horario WHERE horario.modulo='1 ' and horario.turno='T ' ),
    'LUNES '
 );</t>
  </si>
  <si>
    <t>INSERT INTO horario_curso_materia (horario_curso_materia.FK_CUR_mat,horario_curso_materia.FK_HOR,horario_curso_materia.DIA) VALUES (  (SELECT curso_materia.ID_CUR_MAT FROM curso_materia WHERE curso_materia.CUPOF='1913848' ) ,
    (SELECT horario.ID_HOR FROM horario WHERE horario.modulo='1 ' and horario.turno='V ' ),
    'LUNES '
 );</t>
  </si>
  <si>
    <t>INSERT INTO horario_curso_materia (horario_curso_materia.FK_CUR_mat,horario_curso_materia.FK_HOR,horario_curso_materia.DIA) VALUES (  (SELECT curso_materia.ID_CUR_MAT FROM curso_materia WHERE curso_materia.CUPOF='1913864' ) ,
    (SELECT horario.ID_HOR FROM horario WHERE horario.modulo='1 ' and horario.turno='T ' ),
    'MARTES '
 );</t>
  </si>
  <si>
    <t>INSERT INTO horario_curso_materia (horario_curso_materia.FK_CUR_mat,horario_curso_materia.FK_HOR,horario_curso_materia.DIA) VALUES (  (SELECT curso_materia.ID_CUR_MAT FROM curso_materia WHERE curso_materia.CUPOF='1913836' ) ,
    (SELECT horario.ID_HOR FROM horario WHERE horario.modulo='1 ' and horario.turno='T ' ),
    'MIERCOLES '
 );</t>
  </si>
  <si>
    <t>INSERT INTO horario_curso_materia (horario_curso_materia.FK_CUR_mat,horario_curso_materia.FK_HOR,horario_curso_materia.DIA) VALUES (  (SELECT curso_materia.ID_CUR_MAT FROM curso_materia WHERE curso_materia.CUPOF='1913831' ) ,
    (SELECT horario.ID_HOR FROM horario WHERE horario.modulo='1 ' and horario.turno='V ' ),
    'VIERNES '
 );</t>
  </si>
  <si>
    <t>INSERT INTO horario_curso_materia (horario_curso_materia.FK_CUR_mat,horario_curso_materia.FK_HOR,horario_curso_materia.DIA) VALUES (  (SELECT curso_materia.ID_CUR_MAT FROM curso_materia WHERE curso_materia.CUPOF='1913852' ) ,
    (SELECT horario.ID_HOR FROM horario WHERE horario.modulo='2 ' and horario.turno='M ' ),
    'JUEVES '
 );</t>
  </si>
  <si>
    <t>INSERT INTO horario_curso_materia (horario_curso_materia.FK_CUR_mat,horario_curso_materia.FK_HOR,horario_curso_materia.DIA) VALUES (  (SELECT curso_materia.ID_CUR_MAT FROM curso_materia WHERE curso_materia.CUPOF='1913857' ) ,
    (SELECT horario.ID_HOR FROM horario WHERE horario.modulo='2 ' and horario.turno='V ' ),
    'JUEVES '
 );</t>
  </si>
  <si>
    <t>INSERT INTO horario_curso_materia (horario_curso_materia.FK_CUR_mat,horario_curso_materia.FK_HOR,horario_curso_materia.DIA) VALUES (  (SELECT curso_materia.ID_CUR_MAT FROM curso_materia WHERE curso_materia.CUPOF='1913842' ) ,
    (SELECT horario.ID_HOR FROM horario WHERE horario.modulo='2 ' and horario.turno='T ' ),
    'LUNES '
 );</t>
  </si>
  <si>
    <t>INSERT INTO horario_curso_materia (horario_curso_materia.FK_CUR_mat,horario_curso_materia.FK_HOR,horario_curso_materia.DIA) VALUES (  (SELECT curso_materia.ID_CUR_MAT FROM curso_materia WHERE curso_materia.CUPOF='1913862' ) ,
    (SELECT horario.ID_HOR FROM horario WHERE horario.modulo='2 ' and horario.turno='V ' ),
    'LUNES '
 );</t>
  </si>
  <si>
    <t>INSERT INTO horario_curso_materia (horario_curso_materia.FK_CUR_mat,horario_curso_materia.FK_HOR,horario_curso_materia.DIA) VALUES (  (SELECT curso_materia.ID_CUR_MAT FROM curso_materia WHERE curso_materia.CUPOF='1913848' ) ,
    (SELECT horario.ID_HOR FROM horario WHERE horario.modulo='2 ' and horario.turno='V ' ),
    'LUNES '
 );</t>
  </si>
  <si>
    <t>INSERT INTO horario_curso_materia (horario_curso_materia.FK_CUR_mat,horario_curso_materia.FK_HOR,horario_curso_materia.DIA) VALUES (  (SELECT curso_materia.ID_CUR_MAT FROM curso_materia WHERE curso_materia.CUPOF='1913864' ) ,
    (SELECT horario.ID_HOR FROM horario WHERE horario.modulo='2 ' and horario.turno='T ' ),
    'MARTES '
 );</t>
  </si>
  <si>
    <t>INSERT INTO horario_curso_materia (horario_curso_materia.FK_CUR_mat,horario_curso_materia.FK_HOR,horario_curso_materia.DIA) VALUES (  (SELECT curso_materia.ID_CUR_MAT FROM curso_materia WHERE curso_materia.CUPOF='1913836' ) ,
    (SELECT horario.ID_HOR FROM horario WHERE horario.modulo='2 ' and horario.turno='T ' ),
    'MIERCOLES '
 );</t>
  </si>
  <si>
    <t>INSERT INTO horario_curso_materia (horario_curso_materia.FK_CUR_mat,horario_curso_materia.FK_HOR,horario_curso_materia.DIA) VALUES (  (SELECT curso_materia.ID_CUR_MAT FROM curso_materia WHERE curso_materia.CUPOF='1913839' ) ,
    (SELECT horario.ID_HOR FROM horario WHERE horario.modulo='2 ' and horario.turno='V ' ),
    'MIERCOLES '
 );</t>
  </si>
  <si>
    <t>INSERT INTO horario_curso_materia (horario_curso_materia.FK_CUR_mat,horario_curso_materia.FK_HOR,horario_curso_materia.DIA) VALUES (  (SELECT curso_materia.ID_CUR_MAT FROM curso_materia WHERE curso_materia.CUPOF='1913831' ) ,
    (SELECT horario.ID_HOR FROM horario WHERE horario.modulo='2 ' and horario.turno='V ' ),
    'VIERNES '
 );</t>
  </si>
  <si>
    <t>INSERT INTO horario_curso_materia (horario_curso_materia.FK_CUR_mat,horario_curso_materia.FK_HOR,horario_curso_materia.DIA) VALUES (  (SELECT curso_materia.ID_CUR_MAT FROM curso_materia WHERE curso_materia.CUPOF='1913852' ) ,
    (SELECT horario.ID_HOR FROM horario WHERE horario.modulo='3 ' and horario.turno='M ' ),
    'JUEVES '
 );</t>
  </si>
  <si>
    <t>INSERT INTO horario_curso_materia (horario_curso_materia.FK_CUR_mat,horario_curso_materia.FK_HOR,horario_curso_materia.DIA) VALUES (  (SELECT curso_materia.ID_CUR_MAT FROM curso_materia WHERE curso_materia.CUPOF='1913857' ) ,
    (SELECT horario.ID_HOR FROM horario WHERE horario.modulo='3 ' and horario.turno='V ' ),
    'JUEVES '
 );</t>
  </si>
  <si>
    <t>INSERT INTO horario_curso_materia (horario_curso_materia.FK_CUR_mat,horario_curso_materia.FK_HOR,horario_curso_materia.DIA) VALUES (  (SELECT curso_materia.ID_CUR_MAT FROM curso_materia WHERE curso_materia.CUPOF='1913842' ) ,
    (SELECT horario.ID_HOR FROM horario WHERE horario.modulo='3 ' and horario.turno='T ' ),
    'LUNES '
 );</t>
  </si>
  <si>
    <t>INSERT INTO horario_curso_materia (horario_curso_materia.FK_CUR_mat,horario_curso_materia.FK_HOR,horario_curso_materia.DIA) VALUES (  (SELECT curso_materia.ID_CUR_MAT FROM curso_materia WHERE curso_materia.CUPOF='1913862' ) ,
    (SELECT horario.ID_HOR FROM horario WHERE horario.modulo='3 ' and horario.turno='V ' ),
    'LUNES '
 );</t>
  </si>
  <si>
    <t>INSERT INTO horario_curso_materia (horario_curso_materia.FK_CUR_mat,horario_curso_materia.FK_HOR,horario_curso_materia.DIA) VALUES (  (SELECT curso_materia.ID_CUR_MAT FROM curso_materia WHERE curso_materia.CUPOF='1913848' ) ,
    (SELECT horario.ID_HOR FROM horario WHERE horario.modulo='3 ' and horario.turno='V ' ),
    'LUNES '
 );</t>
  </si>
  <si>
    <t>INSERT INTO horario_curso_materia (horario_curso_materia.FK_CUR_mat,horario_curso_materia.FK_HOR,horario_curso_materia.DIA) VALUES (  (SELECT curso_materia.ID_CUR_MAT FROM curso_materia WHERE curso_materia.CUPOF='1913864' ) ,
    (SELECT horario.ID_HOR FROM horario WHERE horario.modulo='3 ' and horario.turno='T ' ),
    'MARTES '
 );</t>
  </si>
  <si>
    <t>INSERT INTO horario_curso_materia (horario_curso_materia.FK_CUR_mat,horario_curso_materia.FK_HOR,horario_curso_materia.DIA) VALUES (  (SELECT curso_materia.ID_CUR_MAT FROM curso_materia WHERE curso_materia.CUPOF='1913836' ) ,
    (SELECT horario.ID_HOR FROM horario WHERE horario.modulo='3 ' and horario.turno='T ' ),
    'MIERCOLES '
 );</t>
  </si>
  <si>
    <t>INSERT INTO horario_curso_materia (horario_curso_materia.FK_CUR_mat,horario_curso_materia.FK_HOR,horario_curso_materia.DIA) VALUES (  (SELECT curso_materia.ID_CUR_MAT FROM curso_materia WHERE curso_materia.CUPOF='1913839' ) ,
    (SELECT horario.ID_HOR FROM horario WHERE horario.modulo='3 ' and horario.turno='V ' ),
    'MIERCOLES '
 );</t>
  </si>
  <si>
    <t>INSERT INTO horario_curso_materia (horario_curso_materia.FK_CUR_mat,horario_curso_materia.FK_HOR,horario_curso_materia.DIA) VALUES (  (SELECT curso_materia.ID_CUR_MAT FROM curso_materia WHERE curso_materia.CUPOF='1913829' ) ,
    (SELECT horario.ID_HOR FROM horario WHERE horario.modulo='3 ' and horario.turno='T ' ),
    'JUEVES '
 );</t>
  </si>
  <si>
    <t>INSERT INTO horario_curso_materia (horario_curso_materia.FK_CUR_mat,horario_curso_materia.FK_HOR,horario_curso_materia.DIA) VALUES (  (SELECT curso_materia.ID_CUR_MAT FROM curso_materia WHERE curso_materia.CUPOF='1913831' ) ,
    (SELECT horario.ID_HOR FROM horario WHERE horario.modulo='3 ' and horario.turno='V ' ),
    'VIERNES '
 );</t>
  </si>
  <si>
    <t>INSERT INTO horario_curso_materia (horario_curso_materia.FK_CUR_mat,horario_curso_materia.FK_HOR,horario_curso_materia.DIA) VALUES (  (SELECT curso_materia.ID_CUR_MAT FROM curso_materia WHERE curso_materia.CUPOF='1913852' ) ,
    (SELECT horario.ID_HOR FROM horario WHERE horario.modulo='4 ' and horario.turno='M ' ),
    'JUEVES '
 );</t>
  </si>
  <si>
    <t>INSERT INTO horario_curso_materia (horario_curso_materia.FK_CUR_mat,horario_curso_materia.FK_HOR,horario_curso_materia.DIA) VALUES (  (SELECT curso_materia.ID_CUR_MAT FROM curso_materia WHERE curso_materia.CUPOF='1913857' ) ,
    (SELECT horario.ID_HOR FROM horario WHERE horario.modulo='4 ' and horario.turno='V ' ),
    'JUEVES '
 );</t>
  </si>
  <si>
    <t>INSERT INTO horario_curso_materia (horario_curso_materia.FK_CUR_mat,horario_curso_materia.FK_HOR,horario_curso_materia.DIA) VALUES (  (SELECT curso_materia.ID_CUR_MAT FROM curso_materia WHERE curso_materia.CUPOF='1913842' ) ,
    (SELECT horario.ID_HOR FROM horario WHERE horario.modulo='4 ' and horario.turno='T ' ),
    'LUNES '
 );</t>
  </si>
  <si>
    <t>INSERT INTO horario_curso_materia (horario_curso_materia.FK_CUR_mat,horario_curso_materia.FK_HOR,horario_curso_materia.DIA) VALUES (  (SELECT curso_materia.ID_CUR_MAT FROM curso_materia WHERE curso_materia.CUPOF='1913862' ) ,
    (SELECT horario.ID_HOR FROM horario WHERE horario.modulo='4 ' and horario.turno='V ' ),
    'LUNES '
 );</t>
  </si>
  <si>
    <t>INSERT INTO horario_curso_materia (horario_curso_materia.FK_CUR_mat,horario_curso_materia.FK_HOR,horario_curso_materia.DIA) VALUES (  (SELECT curso_materia.ID_CUR_MAT FROM curso_materia WHERE curso_materia.CUPOF='1913848' ) ,
    (SELECT horario.ID_HOR FROM horario WHERE horario.modulo='4 ' and horario.turno='V ' ),
    'LUNES '
 );</t>
  </si>
  <si>
    <t>INSERT INTO horario_curso_materia (horario_curso_materia.FK_CUR_mat,horario_curso_materia.FK_HOR,horario_curso_materia.DIA) VALUES (  (SELECT curso_materia.ID_CUR_MAT FROM curso_materia WHERE curso_materia.CUPOF='1913864' ) ,
    (SELECT horario.ID_HOR FROM horario WHERE horario.modulo='4 ' and horario.turno='T ' ),
    'MARTES '
 );</t>
  </si>
  <si>
    <t>INSERT INTO horario_curso_materia (horario_curso_materia.FK_CUR_mat,horario_curso_materia.FK_HOR,horario_curso_materia.DIA) VALUES (  (SELECT curso_materia.ID_CUR_MAT FROM curso_materia WHERE curso_materia.CUPOF='1913836' ) ,
    (SELECT horario.ID_HOR FROM horario WHERE horario.modulo='4 ' and horario.turno='T ' ),
    'MIERCOLES '
 );</t>
  </si>
  <si>
    <t>INSERT INTO horario_curso_materia (horario_curso_materia.FK_CUR_mat,horario_curso_materia.FK_HOR,horario_curso_materia.DIA) VALUES (  (SELECT curso_materia.ID_CUR_MAT FROM curso_materia WHERE curso_materia.CUPOF='1913829' ) ,
    (SELECT horario.ID_HOR FROM horario WHERE horario.modulo='4 ' and horario.turno='T ' ),
    'JUEVES '
 );</t>
  </si>
  <si>
    <t>INSERT INTO horario_curso_materia (horario_curso_materia.FK_CUR_mat,horario_curso_materia.FK_HOR,horario_curso_materia.DIA) VALUES (  (SELECT curso_materia.ID_CUR_MAT FROM curso_materia WHERE curso_materia.CUPOF='1913831' ) ,
    (SELECT horario.ID_HOR FROM horario WHERE horario.modulo='4 ' and horario.turno='V ' ),
    'VIERNES '
 );</t>
  </si>
  <si>
    <t>INSERT INTO horario_curso_materia (horario_curso_materia.FK_CUR_mat,horario_curso_materia.FK_HOR,horario_curso_materia.DIA) VALUES (  (SELECT curso_materia.ID_CUR_MAT FROM curso_materia WHERE curso_materia.CUPOF='1913862' ) ,
    (SELECT horario.ID_HOR FROM horario WHERE horario.modulo='5 ' and horario.turno='M ' ),
    'LUNES '
 );</t>
  </si>
  <si>
    <t>INSERT INTO horario_curso_materia (horario_curso_materia.FK_CUR_mat,horario_curso_materia.FK_HOR,horario_curso_materia.DIA) VALUES (  (SELECT curso_materia.ID_CUR_MAT FROM curso_materia WHERE curso_materia.CUPOF='2232482' ) ,
    (SELECT horario.ID_HOR FROM horario WHERE horario.modulo='1 ' and horario.turno='T ' ),
    'MARTES '
 );</t>
  </si>
  <si>
    <t>INSERT INTO horario_curso_materia (horario_curso_materia.FK_CUR_mat,horario_curso_materia.FK_HOR,horario_curso_materia.DIA) VALUES (  (SELECT curso_materia.ID_CUR_MAT FROM curso_materia WHERE curso_materia.CUPOF='2232482' ) ,
    (SELECT horario.ID_HOR FROM horario WHERE horario.modulo='2 ' and horario.turno='T ' ),
    'MARTES '
 );</t>
  </si>
  <si>
    <t>INSERT INTO horario_curso_materia (horario_curso_materia.FK_CUR_mat,horario_curso_materia.FK_HOR,horario_curso_materia.DIA,horario_curso_materia.tipo_turno) VALUES (  (SELECT curso_materia.ID_CUR_MAT FROM curso_materia WHERE curso_materia.CUPOF='</t>
  </si>
  <si>
    <t xml:space="preserve"> ' ),'</t>
  </si>
  <si>
    <t xml:space="preserve"> ' , '</t>
  </si>
  <si>
    <t xml:space="preserve"> ' );</t>
  </si>
  <si>
    <t>2Ma</t>
  </si>
  <si>
    <t xml:space="preserve"> CONTRATURNO</t>
  </si>
  <si>
    <t>robotica</t>
  </si>
  <si>
    <t>carpinteria</t>
  </si>
  <si>
    <t>ROBOTICA</t>
  </si>
  <si>
    <t>ALULA 4</t>
  </si>
  <si>
    <t>superpuesto</t>
  </si>
  <si>
    <t>7°3°7IEVPRO</t>
  </si>
  <si>
    <t>7°3°7IMOSIS</t>
  </si>
  <si>
    <t>7°3°7317IPDISC</t>
  </si>
  <si>
    <t>7°3°7IPPDLO</t>
  </si>
  <si>
    <t>7°3°7327IPDISC</t>
  </si>
  <si>
    <t>7°3°7317IIMRSC</t>
  </si>
  <si>
    <t>7°3°7327IIMRSC</t>
  </si>
  <si>
    <t>7°3°7327IIMRRI</t>
  </si>
  <si>
    <t>7°3°7317IIMRRI</t>
  </si>
  <si>
    <t>7°3°7IBADAT</t>
  </si>
  <si>
    <t>mañana</t>
  </si>
  <si>
    <t>7°3°</t>
  </si>
  <si>
    <t>aula 3</t>
  </si>
  <si>
    <t>PREHORALU</t>
  </si>
  <si>
    <t>5lu</t>
  </si>
  <si>
    <t>5mi</t>
  </si>
  <si>
    <t>A</t>
  </si>
  <si>
    <t>PREHORAJU</t>
  </si>
  <si>
    <t>vESPERTINO</t>
  </si>
  <si>
    <t>Prehorami</t>
  </si>
  <si>
    <t>3juTAULA 4</t>
  </si>
  <si>
    <t>4juTAULA 4</t>
  </si>
  <si>
    <t>3VITCARPINTERIA</t>
  </si>
  <si>
    <t>3°5°3513TPT3VI</t>
  </si>
  <si>
    <t>3</t>
  </si>
  <si>
    <t>T</t>
  </si>
  <si>
    <t>INSERT INTO horario_curso_materia (horario_curso_materia.FK_CUR_mat,horario_curso_materia.FK_HOR,horario_curso_materia.DIA,horario_curso_materia.tipo_turno) VALUES (  (SELECT curso_materia.ID_CUR_MAT FROM curso_materia WHERE curso_materia.CUPOF='2232475' ) ,
    (SELECT horario.ID_HOR FROM horario WHERE horario.modulo='3 ' and horario.turno='T ' ),'VIERNES ' , 'CONTRATURNO ' );</t>
  </si>
  <si>
    <t>4VITCARPINTERIA</t>
  </si>
  <si>
    <t>4</t>
  </si>
  <si>
    <t>INSERT INTO horario_curso_materia (horario_curso_materia.FK_CUR_mat,horario_curso_materia.FK_HOR,horario_curso_materia.DIA,horario_curso_materia.tipo_turno) VALUES (  (SELECT curso_materia.ID_CUR_MAT FROM curso_materia WHERE curso_materia.CUPOF='2232475' ) ,
    (SELECT horario.ID_HOR FROM horario WHERE horario.modulo='4 ' and horario.turno='T ' ),'VIERNES ' , 'CONTRATURNO ' );</t>
  </si>
  <si>
    <t>3°5°3523TPT3</t>
  </si>
  <si>
    <t>prehorAVI</t>
  </si>
  <si>
    <t>PHEHORAJU</t>
  </si>
  <si>
    <t>PHORAMI</t>
  </si>
  <si>
    <t>5°4°2VIMAÑANA0</t>
  </si>
  <si>
    <t>2VIMPATIO</t>
  </si>
  <si>
    <t>2°2°2viMAÑANA0</t>
  </si>
  <si>
    <t>2viMPATIO</t>
  </si>
  <si>
    <t>2°2°2EFIvi</t>
  </si>
  <si>
    <t>3°2°2VIMAÑANA322</t>
  </si>
  <si>
    <t>2VIMCARPINTERIA</t>
  </si>
  <si>
    <t>1°4°2VIMAÑANA141</t>
  </si>
  <si>
    <t>1°4°1411TPTVI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</si>
</sst>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Arial"/>
      <family val="2"/>
    </font>
    <font>
      <u/>
      <sz val="10"/>
      <name val="Arial"/>
      <family val="2"/>
    </font>
    <font>
      <u/>
      <sz val="8"/>
      <name val="Arial"/>
      <family val="2"/>
    </font>
    <font>
      <u/>
      <sz val="11"/>
      <color theme="1"/>
      <name val="Calibri"/>
      <family val="2"/>
      <scheme val="minor"/>
    </font>
    <font>
      <b/>
      <sz val="8"/>
      <name val="Verdana"/>
      <family val="2"/>
    </font>
    <font>
      <sz val="10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BD4B4"/>
        <bgColor indexed="64"/>
      </patternFill>
    </fill>
    <fill>
      <patternFill patternType="solid">
        <fgColor theme="2" tint="-9.9978637043366805E-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1" fillId="0" borderId="4" xfId="0" applyFont="1" applyBorder="1"/>
    <xf numFmtId="0" fontId="0" fillId="0" borderId="4" xfId="0" applyBorder="1"/>
    <xf numFmtId="0" fontId="1" fillId="2" borderId="4" xfId="0" applyFont="1" applyFill="1" applyBorder="1"/>
    <xf numFmtId="0" fontId="0" fillId="0" borderId="4" xfId="0" applyBorder="1" applyAlignment="1">
      <alignment horizontal="center" vertical="center"/>
    </xf>
    <xf numFmtId="0" fontId="1" fillId="3" borderId="4" xfId="0" applyFont="1" applyFill="1" applyBorder="1"/>
    <xf numFmtId="0" fontId="1" fillId="4" borderId="4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5" borderId="4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horizontal="left" indent="3"/>
    </xf>
    <xf numFmtId="0" fontId="0" fillId="0" borderId="0" xfId="0" applyAlignment="1">
      <alignment horizontal="right" indent="3"/>
    </xf>
    <xf numFmtId="0" fontId="0" fillId="0" borderId="0" xfId="0" applyAlignment="1">
      <alignment horizontal="right" indent="2"/>
    </xf>
    <xf numFmtId="0" fontId="0" fillId="2" borderId="0" xfId="0" applyFill="1"/>
    <xf numFmtId="0" fontId="0" fillId="2" borderId="4" xfId="0" applyFill="1" applyBorder="1" applyAlignment="1">
      <alignment horizontal="center" vertical="center"/>
    </xf>
    <xf numFmtId="0" fontId="1" fillId="6" borderId="4" xfId="0" applyFont="1" applyFill="1" applyBorder="1"/>
    <xf numFmtId="0" fontId="0" fillId="4" borderId="0" xfId="0" applyFill="1"/>
    <xf numFmtId="0" fontId="1" fillId="0" borderId="0" xfId="0" applyFont="1"/>
    <xf numFmtId="0" fontId="0" fillId="3" borderId="4" xfId="0" applyFill="1" applyBorder="1"/>
    <xf numFmtId="0" fontId="0" fillId="3" borderId="4" xfId="0" applyFill="1" applyBorder="1" applyAlignment="1">
      <alignment horizontal="center" vertical="center"/>
    </xf>
    <xf numFmtId="0" fontId="0" fillId="2" borderId="4" xfId="0" applyFill="1" applyBorder="1"/>
    <xf numFmtId="0" fontId="2" fillId="0" borderId="4" xfId="0" applyFont="1" applyBorder="1" applyAlignment="1">
      <alignment horizontal="center" vertical="center"/>
    </xf>
    <xf numFmtId="16" fontId="0" fillId="0" borderId="4" xfId="0" applyNumberFormat="1" applyBorder="1"/>
    <xf numFmtId="0" fontId="0" fillId="0" borderId="5" xfId="0" applyBorder="1"/>
    <xf numFmtId="0" fontId="0" fillId="0" borderId="7" xfId="0" applyBorder="1"/>
    <xf numFmtId="0" fontId="1" fillId="0" borderId="8" xfId="0" applyFont="1" applyBorder="1"/>
    <xf numFmtId="0" fontId="0" fillId="0" borderId="8" xfId="0" applyBorder="1" applyAlignment="1">
      <alignment horizontal="center" vertical="center"/>
    </xf>
    <xf numFmtId="0" fontId="0" fillId="0" borderId="8" xfId="0" applyBorder="1"/>
    <xf numFmtId="0" fontId="1" fillId="0" borderId="10" xfId="0" applyFont="1" applyBorder="1"/>
    <xf numFmtId="0" fontId="2" fillId="0" borderId="11" xfId="0" applyFont="1" applyBorder="1"/>
    <xf numFmtId="0" fontId="2" fillId="0" borderId="1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16" fontId="0" fillId="0" borderId="6" xfId="0" applyNumberFormat="1" applyBorder="1"/>
    <xf numFmtId="0" fontId="0" fillId="0" borderId="11" xfId="0" applyBorder="1"/>
    <xf numFmtId="0" fontId="6" fillId="5" borderId="4" xfId="0" applyFont="1" applyFill="1" applyBorder="1"/>
    <xf numFmtId="0" fontId="8" fillId="0" borderId="4" xfId="0" applyFont="1" applyBorder="1"/>
    <xf numFmtId="0" fontId="0" fillId="2" borderId="4" xfId="0" applyFill="1" applyBorder="1" applyAlignment="1">
      <alignment horizontal="left" vertical="top"/>
    </xf>
    <xf numFmtId="0" fontId="0" fillId="0" borderId="0" xfId="0" quotePrefix="1"/>
    <xf numFmtId="49" fontId="0" fillId="0" borderId="0" xfId="0" quotePrefix="1" applyNumberFormat="1"/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0" fillId="0" borderId="0" xfId="0" quotePrefix="1" applyAlignment="1">
      <alignment wrapText="1"/>
    </xf>
    <xf numFmtId="0" fontId="0" fillId="7" borderId="0" xfId="0" applyFill="1"/>
    <xf numFmtId="0" fontId="0" fillId="7" borderId="0" xfId="0" applyFill="1" applyAlignment="1">
      <alignment wrapText="1"/>
    </xf>
    <xf numFmtId="0" fontId="1" fillId="8" borderId="4" xfId="0" applyFont="1" applyFill="1" applyBorder="1"/>
    <xf numFmtId="0" fontId="0" fillId="8" borderId="4" xfId="0" applyFill="1" applyBorder="1"/>
    <xf numFmtId="0" fontId="0" fillId="8" borderId="4" xfId="0" applyFill="1" applyBorder="1" applyAlignment="1">
      <alignment horizontal="center" vertical="center"/>
    </xf>
    <xf numFmtId="0" fontId="1" fillId="0" borderId="4" xfId="0" applyFont="1" applyBorder="1" applyAlignment="1">
      <alignment horizontal="left" vertical="top"/>
    </xf>
    <xf numFmtId="0" fontId="1" fillId="5" borderId="4" xfId="0" applyFont="1" applyFill="1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2" borderId="0" xfId="0" applyFill="1" applyAlignment="1">
      <alignment horizontal="left" vertical="top" wrapText="1"/>
    </xf>
    <xf numFmtId="0" fontId="0" fillId="0" borderId="0" xfId="0" quotePrefix="1" applyAlignment="1">
      <alignment horizontal="left" vertical="top" wrapText="1"/>
    </xf>
    <xf numFmtId="0" fontId="1" fillId="10" borderId="4" xfId="0" applyFont="1" applyFill="1" applyBorder="1"/>
    <xf numFmtId="0" fontId="2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8" borderId="4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1" fillId="10" borderId="4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9" fillId="9" borderId="4" xfId="0" applyFont="1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4" xfId="0" applyBorder="1" applyAlignment="1">
      <alignment horizontal="center" vertical="top"/>
    </xf>
    <xf numFmtId="0" fontId="2" fillId="0" borderId="4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8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left"/>
    </xf>
    <xf numFmtId="0" fontId="0" fillId="2" borderId="4" xfId="0" applyFill="1" applyBorder="1" applyAlignment="1">
      <alignment horizontal="left"/>
    </xf>
    <xf numFmtId="0" fontId="0" fillId="8" borderId="4" xfId="0" applyFill="1" applyBorder="1" applyAlignment="1">
      <alignment horizontal="left"/>
    </xf>
    <xf numFmtId="0" fontId="2" fillId="0" borderId="4" xfId="0" applyFont="1" applyBorder="1" applyAlignment="1">
      <alignment horizontal="left"/>
    </xf>
  </cellXfs>
  <cellStyles count="1">
    <cellStyle name="Normal" xfId="0" builtinId="0"/>
  </cellStyles>
  <dxfs count="42">
    <dxf>
      <alignment horizontal="left" indent="2" readingOrder="0"/>
    </dxf>
    <dxf>
      <alignment horizontal="right" readingOrder="0"/>
    </dxf>
    <dxf>
      <alignment horizontal="left" indent="2" readingOrder="0"/>
    </dxf>
    <dxf>
      <alignment horizontal="right" readingOrder="0"/>
    </dxf>
    <dxf>
      <alignment horizontal="left" indent="2" readingOrder="0"/>
    </dxf>
    <dxf>
      <alignment horizontal="right" readingOrder="0"/>
    </dxf>
    <dxf>
      <alignment horizontal="left" indent="2" readingOrder="0"/>
    </dxf>
    <dxf>
      <alignment horizontal="right" readingOrder="0"/>
    </dxf>
    <dxf>
      <alignment horizontal="left" indent="2" readingOrder="0"/>
    </dxf>
    <dxf>
      <alignment horizontal="right" readingOrder="0"/>
    </dxf>
    <dxf>
      <alignment horizontal="left" indent="2" readingOrder="0"/>
    </dxf>
    <dxf>
      <alignment horizontal="right" readingOrder="0"/>
    </dxf>
    <dxf>
      <alignment horizontal="left" indent="2" readingOrder="0"/>
    </dxf>
    <dxf>
      <alignment horizontal="right" readingOrder="0"/>
    </dxf>
    <dxf>
      <alignment horizontal="left" indent="2" readingOrder="0"/>
    </dxf>
    <dxf>
      <alignment horizontal="right" readingOrder="0"/>
    </dxf>
    <dxf>
      <alignment horizontal="left" indent="2" readingOrder="0"/>
    </dxf>
    <dxf>
      <alignment horizontal="right" readingOrder="0"/>
    </dxf>
    <dxf>
      <alignment horizontal="left" indent="2" readingOrder="0"/>
    </dxf>
    <dxf>
      <alignment horizontal="right" readingOrder="0"/>
    </dxf>
    <dxf>
      <alignment horizontal="left" indent="2" readingOrder="0"/>
    </dxf>
    <dxf>
      <alignment horizontal="right" readingOrder="0"/>
    </dxf>
    <dxf>
      <alignment horizontal="left" indent="2" readingOrder="0"/>
    </dxf>
    <dxf>
      <alignment horizontal="right" readingOrder="0"/>
    </dxf>
    <dxf>
      <alignment horizontal="left" indent="2" readingOrder="0"/>
    </dxf>
    <dxf>
      <alignment horizontal="right" readingOrder="0"/>
    </dxf>
    <dxf>
      <alignment horizontal="left" indent="2" readingOrder="0"/>
    </dxf>
    <dxf>
      <alignment horizontal="right" readingOrder="0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 tint="-0.34998626667073579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RJA004-%20listado%20de%20Cursos_Materia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DETALLE BAJA"/>
      <sheetName val="RECLAMO DIGE"/>
      <sheetName val="Hoja2"/>
    </sheetNames>
    <sheetDataSet>
      <sheetData sheetId="0">
        <row r="1">
          <cell r="A1" t="str">
            <v>codigo</v>
          </cell>
          <cell r="B1" t="str">
            <v>año</v>
          </cell>
          <cell r="C1" t="str">
            <v>comision</v>
          </cell>
          <cell r="D1" t="str">
            <v>cod_mat</v>
          </cell>
          <cell r="E1" t="str">
            <v>cupof</v>
          </cell>
          <cell r="F1" t="str">
            <v>materia</v>
          </cell>
          <cell r="G1" t="str">
            <v>cuit_t</v>
          </cell>
          <cell r="H1" t="str">
            <v>f_ingreso_t</v>
          </cell>
          <cell r="I1" t="str">
            <v>titular</v>
          </cell>
          <cell r="J1" t="str">
            <v>cuit_p</v>
          </cell>
          <cell r="K1" t="str">
            <v>provisional</v>
          </cell>
          <cell r="L1" t="str">
            <v>cuit_s</v>
          </cell>
          <cell r="M1" t="str">
            <v>suplente</v>
          </cell>
          <cell r="N1" t="str">
            <v>T_Docente_fac</v>
          </cell>
          <cell r="O1" t="str">
            <v>Docente_Frente a curso</v>
          </cell>
          <cell r="P1" t="str">
            <v>firma</v>
          </cell>
        </row>
        <row r="2">
          <cell r="A2" t="str">
            <v>1°1°1NAT</v>
          </cell>
          <cell r="B2" t="str">
            <v>1°1°</v>
          </cell>
          <cell r="C2"/>
          <cell r="D2" t="str">
            <v>1NAT</v>
          </cell>
          <cell r="E2">
            <v>733442</v>
          </cell>
          <cell r="F2" t="str">
            <v>CIENCIAS NATURALES</v>
          </cell>
          <cell r="G2" t="str">
            <v>23- 17.283.799-9</v>
          </cell>
          <cell r="H2" t="str">
            <v xml:space="preserve"> (MAD 2020)</v>
          </cell>
          <cell r="I2" t="str">
            <v xml:space="preserve">OLIVIERI NESTOR            </v>
          </cell>
          <cell r="J2"/>
          <cell r="K2"/>
          <cell r="L2" t="str">
            <v xml:space="preserve"> </v>
          </cell>
          <cell r="M2" t="str">
            <v xml:space="preserve"> </v>
          </cell>
          <cell r="N2" t="str">
            <v>TITULAR</v>
          </cell>
          <cell r="O2" t="str">
            <v xml:space="preserve">OLIVIERI NESTOR            </v>
          </cell>
          <cell r="P2" t="str">
            <v xml:space="preserve"> </v>
          </cell>
        </row>
        <row r="3">
          <cell r="A3" t="str">
            <v>1°1°1SOC</v>
          </cell>
          <cell r="B3" t="str">
            <v>1°1°</v>
          </cell>
          <cell r="C3"/>
          <cell r="D3" t="str">
            <v>1SOC</v>
          </cell>
          <cell r="E3">
            <v>733445</v>
          </cell>
          <cell r="F3" t="str">
            <v>CIENCIAS SOCIALES</v>
          </cell>
          <cell r="G3" t="str">
            <v xml:space="preserve"> 20- 23.054.587-2</v>
          </cell>
          <cell r="H3"/>
          <cell r="I3" t="str">
            <v>PEREYRA, DANIEL</v>
          </cell>
          <cell r="J3"/>
          <cell r="K3"/>
          <cell r="L3" t="str">
            <v xml:space="preserve"> </v>
          </cell>
          <cell r="M3" t="str">
            <v xml:space="preserve"> </v>
          </cell>
          <cell r="N3" t="str">
            <v>TITULAR</v>
          </cell>
          <cell r="O3" t="str">
            <v>PEREYRA, DANIEL</v>
          </cell>
          <cell r="P3" t="str">
            <v xml:space="preserve"> </v>
          </cell>
        </row>
        <row r="4">
          <cell r="A4" t="str">
            <v>1°1°1ART</v>
          </cell>
          <cell r="B4" t="str">
            <v>1°1°</v>
          </cell>
          <cell r="C4"/>
          <cell r="D4" t="str">
            <v>1ART</v>
          </cell>
          <cell r="E4">
            <v>733478</v>
          </cell>
          <cell r="F4" t="str">
            <v>EDUCACION ARTISTICA (PLASTICA)</v>
          </cell>
          <cell r="G4" t="str">
            <v xml:space="preserve"> 23-18.436.423-9</v>
          </cell>
          <cell r="H4" t="str">
            <v xml:space="preserve"> </v>
          </cell>
          <cell r="I4" t="str">
            <v xml:space="preserve">ALFARO DANIEL                  </v>
          </cell>
          <cell r="J4"/>
          <cell r="K4"/>
          <cell r="L4">
            <v>0</v>
          </cell>
          <cell r="M4" t="str">
            <v xml:space="preserve">DESIMONI, JESICA                       </v>
          </cell>
          <cell r="N4" t="str">
            <v>SUPLENTE</v>
          </cell>
          <cell r="O4" t="str">
            <v xml:space="preserve">DESIMONI, JESICA                       </v>
          </cell>
          <cell r="P4" t="str">
            <v xml:space="preserve"> </v>
          </cell>
        </row>
        <row r="5">
          <cell r="A5" t="str">
            <v>1°1°1EFI</v>
          </cell>
          <cell r="B5" t="str">
            <v>1°1°</v>
          </cell>
          <cell r="C5"/>
          <cell r="D5" t="str">
            <v>1EFI</v>
          </cell>
          <cell r="E5">
            <v>891873</v>
          </cell>
          <cell r="F5" t="str">
            <v>EDUCACIÓN FISICA</v>
          </cell>
          <cell r="G5" t="str">
            <v>20-20.422.900-8</v>
          </cell>
          <cell r="H5"/>
          <cell r="I5" t="str">
            <v xml:space="preserve">SANCHEZ CARLOS        </v>
          </cell>
          <cell r="J5"/>
          <cell r="K5"/>
          <cell r="L5" t="str">
            <v xml:space="preserve"> </v>
          </cell>
          <cell r="M5" t="str">
            <v xml:space="preserve"> </v>
          </cell>
          <cell r="N5" t="str">
            <v>TITULAR</v>
          </cell>
          <cell r="O5" t="str">
            <v xml:space="preserve">SANCHEZ CARLOS        </v>
          </cell>
          <cell r="P5" t="str">
            <v xml:space="preserve"> </v>
          </cell>
        </row>
        <row r="6">
          <cell r="A6" t="str">
            <v>1°1°1ING</v>
          </cell>
          <cell r="B6" t="str">
            <v>1°1°</v>
          </cell>
          <cell r="C6"/>
          <cell r="D6" t="str">
            <v>1ING</v>
          </cell>
          <cell r="E6">
            <v>733462</v>
          </cell>
          <cell r="F6" t="str">
            <v>INGLÉS</v>
          </cell>
          <cell r="G6" t="str">
            <v>23-30.492.767-4</v>
          </cell>
          <cell r="H6"/>
          <cell r="I6" t="str">
            <v xml:space="preserve">LEGUIZAMO  ANA </v>
          </cell>
          <cell r="J6"/>
          <cell r="K6"/>
          <cell r="L6" t="str">
            <v xml:space="preserve"> </v>
          </cell>
          <cell r="M6" t="str">
            <v xml:space="preserve"> </v>
          </cell>
          <cell r="N6" t="str">
            <v>TITULAR</v>
          </cell>
          <cell r="O6" t="str">
            <v xml:space="preserve">LEGUIZAMO  ANA </v>
          </cell>
          <cell r="P6" t="str">
            <v xml:space="preserve"> </v>
          </cell>
        </row>
        <row r="7">
          <cell r="A7" t="str">
            <v>1°1°1MAT</v>
          </cell>
          <cell r="B7" t="str">
            <v>1°1°</v>
          </cell>
          <cell r="C7"/>
          <cell r="D7" t="str">
            <v>1MAT</v>
          </cell>
          <cell r="E7">
            <v>733472</v>
          </cell>
          <cell r="F7" t="str">
            <v>MATEMATICA</v>
          </cell>
          <cell r="G7" t="str">
            <v xml:space="preserve"> 27-27.383.267-5 </v>
          </cell>
          <cell r="H7"/>
          <cell r="I7" t="str">
            <v xml:space="preserve">GONZALEZ M EUGENIA </v>
          </cell>
          <cell r="J7"/>
          <cell r="K7"/>
          <cell r="L7" t="str">
            <v xml:space="preserve"> </v>
          </cell>
          <cell r="M7" t="str">
            <v xml:space="preserve"> </v>
          </cell>
          <cell r="N7" t="str">
            <v>TITULAR</v>
          </cell>
          <cell r="O7" t="str">
            <v xml:space="preserve">GONZALEZ M EUGENIA </v>
          </cell>
          <cell r="P7" t="str">
            <v xml:space="preserve"> </v>
          </cell>
        </row>
        <row r="8">
          <cell r="A8" t="str">
            <v>1°1°1LEN</v>
          </cell>
          <cell r="B8" t="str">
            <v>1°1°</v>
          </cell>
          <cell r="C8"/>
          <cell r="D8" t="str">
            <v>1LEN</v>
          </cell>
          <cell r="E8">
            <v>733465</v>
          </cell>
          <cell r="F8" t="str">
            <v>PRACTICA DEL LENGUAJE</v>
          </cell>
          <cell r="G8" t="str">
            <v>23-22.170.640-4</v>
          </cell>
          <cell r="H8">
            <v>44621</v>
          </cell>
          <cell r="I8" t="str">
            <v>ZURITA REINA</v>
          </cell>
          <cell r="J8"/>
          <cell r="K8"/>
          <cell r="L8" t="str">
            <v xml:space="preserve"> </v>
          </cell>
          <cell r="M8" t="str">
            <v xml:space="preserve"> </v>
          </cell>
          <cell r="N8" t="str">
            <v>TITULAR</v>
          </cell>
          <cell r="O8" t="str">
            <v>ZURITA REINA</v>
          </cell>
          <cell r="P8" t="str">
            <v xml:space="preserve"> </v>
          </cell>
        </row>
        <row r="9">
          <cell r="A9" t="str">
            <v>1°1°1CCD</v>
          </cell>
          <cell r="B9" t="str">
            <v>1°1°</v>
          </cell>
          <cell r="C9"/>
          <cell r="D9" t="str">
            <v>1CCD</v>
          </cell>
          <cell r="E9">
            <v>992715</v>
          </cell>
          <cell r="F9" t="str">
            <v>CONSTRUCCION DE LA CIUDADANIA</v>
          </cell>
          <cell r="G9" t="str">
            <v>27-23.075.433-8</v>
          </cell>
          <cell r="H9"/>
          <cell r="I9" t="str">
            <v xml:space="preserve">HERRERA CARMEN                     </v>
          </cell>
          <cell r="J9"/>
          <cell r="K9"/>
          <cell r="L9">
            <v>0</v>
          </cell>
          <cell r="M9" t="str">
            <v>MEDINA</v>
          </cell>
          <cell r="N9" t="str">
            <v>SUPLENTE</v>
          </cell>
          <cell r="O9" t="str">
            <v>MEDINA</v>
          </cell>
          <cell r="P9" t="str">
            <v xml:space="preserve"> </v>
          </cell>
        </row>
        <row r="10">
          <cell r="A10" t="str">
            <v>1°1°1111TLT</v>
          </cell>
          <cell r="B10" t="str">
            <v>1°1°</v>
          </cell>
          <cell r="C10">
            <v>111</v>
          </cell>
          <cell r="D10" t="str">
            <v>1TLT</v>
          </cell>
          <cell r="E10">
            <v>2673007</v>
          </cell>
          <cell r="F10" t="str">
            <v>LENGUAJES TECNOLOGICOS</v>
          </cell>
          <cell r="G10"/>
          <cell r="H10"/>
          <cell r="I10"/>
          <cell r="J10" t="str">
            <v>20-24.731.140-9</v>
          </cell>
          <cell r="K10" t="str">
            <v>LEYES RICARDO</v>
          </cell>
          <cell r="L10" t="str">
            <v xml:space="preserve"> </v>
          </cell>
          <cell r="M10" t="str">
            <v xml:space="preserve"> </v>
          </cell>
          <cell r="N10" t="str">
            <v>PROVISIONAL</v>
          </cell>
          <cell r="O10" t="str">
            <v>LEYES RICARDO</v>
          </cell>
          <cell r="P10" t="str">
            <v xml:space="preserve"> </v>
          </cell>
        </row>
        <row r="11">
          <cell r="A11" t="str">
            <v>1°1°1111TST</v>
          </cell>
          <cell r="B11" t="str">
            <v>1°1°</v>
          </cell>
          <cell r="C11">
            <v>111</v>
          </cell>
          <cell r="D11" t="str">
            <v>1TST</v>
          </cell>
          <cell r="E11">
            <v>2673010</v>
          </cell>
          <cell r="F11" t="str">
            <v>SISTEMAS TECNOLOGICOS</v>
          </cell>
          <cell r="G11"/>
          <cell r="H11"/>
          <cell r="I11"/>
          <cell r="J11"/>
          <cell r="K11" t="str">
            <v>VERA LORENA</v>
          </cell>
          <cell r="L11" t="str">
            <v xml:space="preserve"> </v>
          </cell>
          <cell r="M11" t="str">
            <v xml:space="preserve"> </v>
          </cell>
          <cell r="N11" t="str">
            <v>PROVISIONAL</v>
          </cell>
          <cell r="O11" t="str">
            <v>VERA LORENA</v>
          </cell>
          <cell r="P11" t="str">
            <v xml:space="preserve"> </v>
          </cell>
        </row>
        <row r="12">
          <cell r="A12" t="str">
            <v>1°1°1111TPT</v>
          </cell>
          <cell r="B12" t="str">
            <v>1°1°</v>
          </cell>
          <cell r="C12">
            <v>111</v>
          </cell>
          <cell r="D12" t="str">
            <v>1TPT</v>
          </cell>
          <cell r="E12">
            <v>2673013</v>
          </cell>
          <cell r="F12" t="str">
            <v>PROCEDIMIENTOS TECNICOS</v>
          </cell>
          <cell r="G12" t="str">
            <v xml:space="preserve"> </v>
          </cell>
          <cell r="H12" t="str">
            <v>MASIVA</v>
          </cell>
          <cell r="I12" t="str">
            <v xml:space="preserve">GUTIERREZ FERNANDO </v>
          </cell>
          <cell r="J12"/>
          <cell r="K12"/>
          <cell r="L12">
            <v>20445049736</v>
          </cell>
          <cell r="M12" t="str">
            <v>LUCAS NICOLÁS ARGÜELLO</v>
          </cell>
          <cell r="N12" t="str">
            <v>SUPLENTE</v>
          </cell>
          <cell r="O12" t="str">
            <v>LUCAS NICOLÁS ARGÜELLO</v>
          </cell>
          <cell r="P12" t="str">
            <v xml:space="preserve"> </v>
          </cell>
        </row>
        <row r="13">
          <cell r="A13" t="str">
            <v>1°1°1121TLT</v>
          </cell>
          <cell r="B13" t="str">
            <v>1°1°</v>
          </cell>
          <cell r="C13">
            <v>112</v>
          </cell>
          <cell r="D13" t="str">
            <v>1TLT</v>
          </cell>
          <cell r="E13">
            <v>2673015</v>
          </cell>
          <cell r="F13" t="str">
            <v>LENGUAJES TECNOLOGICOS</v>
          </cell>
          <cell r="G13"/>
          <cell r="H13"/>
          <cell r="I13"/>
          <cell r="J13"/>
          <cell r="K13" t="str">
            <v>LEYES RICARDO</v>
          </cell>
          <cell r="L13" t="str">
            <v xml:space="preserve"> </v>
          </cell>
          <cell r="M13" t="str">
            <v xml:space="preserve"> </v>
          </cell>
          <cell r="N13" t="str">
            <v>PROVISIONAL</v>
          </cell>
          <cell r="O13" t="str">
            <v>LEYES RICARDO</v>
          </cell>
          <cell r="P13" t="str">
            <v xml:space="preserve"> </v>
          </cell>
        </row>
        <row r="14">
          <cell r="A14" t="str">
            <v>1°1°1121TST</v>
          </cell>
          <cell r="B14" t="str">
            <v>1°1°</v>
          </cell>
          <cell r="C14">
            <v>112</v>
          </cell>
          <cell r="D14" t="str">
            <v>1TST</v>
          </cell>
          <cell r="E14">
            <v>2673016</v>
          </cell>
          <cell r="F14" t="str">
            <v>SISTEMAS TECNOLOGICOS</v>
          </cell>
          <cell r="G14"/>
          <cell r="H14"/>
          <cell r="I14"/>
          <cell r="J14" t="str">
            <v xml:space="preserve"> 20-22.230.438-6</v>
          </cell>
          <cell r="K14" t="str">
            <v xml:space="preserve">RODRIGUEZ RAUL         </v>
          </cell>
          <cell r="L14" t="str">
            <v xml:space="preserve"> </v>
          </cell>
          <cell r="M14" t="str">
            <v xml:space="preserve"> </v>
          </cell>
          <cell r="N14" t="str">
            <v>PROVISIONAL</v>
          </cell>
          <cell r="O14" t="str">
            <v xml:space="preserve">RODRIGUEZ RAUL         </v>
          </cell>
          <cell r="P14" t="str">
            <v xml:space="preserve"> </v>
          </cell>
        </row>
        <row r="15">
          <cell r="A15" t="str">
            <v>1°1°1121TPT</v>
          </cell>
          <cell r="B15" t="str">
            <v>1°1°</v>
          </cell>
          <cell r="C15">
            <v>112</v>
          </cell>
          <cell r="D15" t="str">
            <v>1TPT</v>
          </cell>
          <cell r="E15">
            <v>2673017</v>
          </cell>
          <cell r="F15" t="str">
            <v>PROCEDIMIENTOS TECNICOS</v>
          </cell>
          <cell r="G15"/>
          <cell r="H15"/>
          <cell r="I15"/>
          <cell r="J15" t="str">
            <v>20-21.103.894-3</v>
          </cell>
          <cell r="K15" t="str">
            <v xml:space="preserve">LEYES RICARDO              </v>
          </cell>
          <cell r="L15" t="str">
            <v xml:space="preserve"> </v>
          </cell>
          <cell r="M15" t="str">
            <v xml:space="preserve"> </v>
          </cell>
          <cell r="N15" t="str">
            <v>PROVISIONAL</v>
          </cell>
          <cell r="O15" t="str">
            <v xml:space="preserve">LEYES RICARDO              </v>
          </cell>
          <cell r="P15" t="str">
            <v xml:space="preserve"> </v>
          </cell>
        </row>
        <row r="16">
          <cell r="A16" t="str">
            <v>1°2°1NAT</v>
          </cell>
          <cell r="B16" t="str">
            <v>1°2°</v>
          </cell>
          <cell r="C16"/>
          <cell r="D16" t="str">
            <v>1NAT</v>
          </cell>
          <cell r="E16">
            <v>733711</v>
          </cell>
          <cell r="F16" t="str">
            <v>CIENCIAS NATURALES</v>
          </cell>
          <cell r="G16" t="str">
            <v>20-23.884.637-5</v>
          </cell>
          <cell r="H16"/>
          <cell r="I16" t="str">
            <v xml:space="preserve">ESPINDOLA SERGIO                          </v>
          </cell>
          <cell r="J16"/>
          <cell r="K16"/>
          <cell r="L16" t="str">
            <v xml:space="preserve"> </v>
          </cell>
          <cell r="M16" t="str">
            <v xml:space="preserve"> </v>
          </cell>
          <cell r="N16" t="str">
            <v>TITULAR</v>
          </cell>
          <cell r="O16" t="str">
            <v xml:space="preserve">ESPINDOLA SERGIO                          </v>
          </cell>
          <cell r="P16" t="str">
            <v xml:space="preserve"> </v>
          </cell>
        </row>
        <row r="17">
          <cell r="A17" t="str">
            <v>1°2°1SOC</v>
          </cell>
          <cell r="B17" t="str">
            <v>1°2°</v>
          </cell>
          <cell r="C17"/>
          <cell r="D17" t="str">
            <v>1SOC</v>
          </cell>
          <cell r="E17">
            <v>2683145</v>
          </cell>
          <cell r="F17" t="str">
            <v>CIENCIAS SOCIALES</v>
          </cell>
          <cell r="G17"/>
          <cell r="H17"/>
          <cell r="I17" t="str">
            <v xml:space="preserve">LOPEZ MARINA  </v>
          </cell>
          <cell r="J17"/>
          <cell r="K17"/>
          <cell r="L17" t="str">
            <v xml:space="preserve"> </v>
          </cell>
          <cell r="M17" t="str">
            <v xml:space="preserve"> </v>
          </cell>
          <cell r="N17" t="str">
            <v>TITULAR</v>
          </cell>
          <cell r="O17" t="str">
            <v xml:space="preserve">LOPEZ MARINA  </v>
          </cell>
          <cell r="P17" t="str">
            <v xml:space="preserve"> </v>
          </cell>
        </row>
        <row r="18">
          <cell r="A18" t="str">
            <v>1°2°1ART</v>
          </cell>
          <cell r="B18" t="str">
            <v>1°2°</v>
          </cell>
          <cell r="C18"/>
          <cell r="D18" t="str">
            <v>1ART</v>
          </cell>
          <cell r="E18">
            <v>733441</v>
          </cell>
          <cell r="F18" t="str">
            <v>EDUCACION ARTISTICA (PLASTICA)</v>
          </cell>
          <cell r="G18" t="str">
            <v>20-28.490.610-2</v>
          </cell>
          <cell r="H18"/>
          <cell r="I18" t="str">
            <v xml:space="preserve">FIGUEROA CARLOS </v>
          </cell>
          <cell r="J18"/>
          <cell r="K18"/>
          <cell r="L18" t="str">
            <v xml:space="preserve"> </v>
          </cell>
          <cell r="M18" t="str">
            <v xml:space="preserve"> </v>
          </cell>
          <cell r="N18" t="str">
            <v>TITULAR</v>
          </cell>
          <cell r="O18" t="str">
            <v xml:space="preserve">FIGUEROA CARLOS </v>
          </cell>
          <cell r="P18" t="str">
            <v xml:space="preserve"> </v>
          </cell>
        </row>
        <row r="19">
          <cell r="A19" t="str">
            <v>1°2°1EFI</v>
          </cell>
          <cell r="B19" t="str">
            <v>1°2°</v>
          </cell>
          <cell r="C19"/>
          <cell r="D19" t="str">
            <v>1EFI</v>
          </cell>
          <cell r="E19">
            <v>839180</v>
          </cell>
          <cell r="F19" t="str">
            <v>EDUCACIÓN FISICA</v>
          </cell>
          <cell r="G19" t="str">
            <v xml:space="preserve"> 20-28.490.610-2</v>
          </cell>
          <cell r="H19"/>
          <cell r="I19" t="str">
            <v xml:space="preserve">DE LA FUENTE F.        </v>
          </cell>
          <cell r="J19"/>
          <cell r="K19"/>
          <cell r="L19" t="str">
            <v xml:space="preserve"> </v>
          </cell>
          <cell r="M19" t="str">
            <v xml:space="preserve"> </v>
          </cell>
          <cell r="N19" t="str">
            <v>TITULAR</v>
          </cell>
          <cell r="O19" t="str">
            <v xml:space="preserve">DE LA FUENTE F.        </v>
          </cell>
          <cell r="P19" t="str">
            <v xml:space="preserve"> </v>
          </cell>
        </row>
        <row r="20">
          <cell r="A20" t="str">
            <v>1°2°1ING</v>
          </cell>
          <cell r="B20" t="str">
            <v>1°2°</v>
          </cell>
          <cell r="C20"/>
          <cell r="D20" t="str">
            <v>1ING</v>
          </cell>
          <cell r="E20">
            <v>891876</v>
          </cell>
          <cell r="F20" t="str">
            <v>INGLÉS</v>
          </cell>
          <cell r="G20" t="str">
            <v>27-29.433.432-2</v>
          </cell>
          <cell r="H20" t="str">
            <v xml:space="preserve"> (VIENE DE 1°5°)</v>
          </cell>
          <cell r="I20" t="str">
            <v xml:space="preserve">ARCE KARINA </v>
          </cell>
          <cell r="J20"/>
          <cell r="K20"/>
          <cell r="L20" t="str">
            <v xml:space="preserve"> </v>
          </cell>
          <cell r="M20" t="str">
            <v xml:space="preserve"> </v>
          </cell>
          <cell r="N20" t="str">
            <v>TITULAR</v>
          </cell>
          <cell r="O20" t="str">
            <v xml:space="preserve">ARCE KARINA </v>
          </cell>
          <cell r="P20" t="str">
            <v xml:space="preserve"> </v>
          </cell>
        </row>
        <row r="21">
          <cell r="A21" t="str">
            <v>1°2°1MAT</v>
          </cell>
          <cell r="B21" t="str">
            <v>1°2°</v>
          </cell>
          <cell r="C21"/>
          <cell r="D21" t="str">
            <v>1MAT</v>
          </cell>
          <cell r="E21">
            <v>789732</v>
          </cell>
          <cell r="F21" t="str">
            <v>MATEMATICA</v>
          </cell>
          <cell r="G21"/>
          <cell r="H21"/>
          <cell r="I21" t="str">
            <v xml:space="preserve">OVEJERO, JAVIER </v>
          </cell>
          <cell r="J21"/>
          <cell r="K21"/>
          <cell r="L21" t="str">
            <v xml:space="preserve"> </v>
          </cell>
          <cell r="M21" t="str">
            <v xml:space="preserve"> </v>
          </cell>
          <cell r="N21" t="str">
            <v>TITULAR</v>
          </cell>
          <cell r="O21" t="str">
            <v xml:space="preserve">OVEJERO, JAVIER </v>
          </cell>
          <cell r="P21" t="str">
            <v xml:space="preserve"> </v>
          </cell>
        </row>
        <row r="22">
          <cell r="A22" t="str">
            <v>1°2°1LEN</v>
          </cell>
          <cell r="B22" t="str">
            <v>1°2°</v>
          </cell>
          <cell r="C22"/>
          <cell r="D22" t="str">
            <v>1LEN</v>
          </cell>
          <cell r="E22">
            <v>733448</v>
          </cell>
          <cell r="F22" t="str">
            <v>PRACTICA DEL LENGUAJE</v>
          </cell>
          <cell r="G22"/>
          <cell r="H22"/>
          <cell r="I22" t="str">
            <v xml:space="preserve">CAÑETE, JOHANA  </v>
          </cell>
          <cell r="J22"/>
          <cell r="K22"/>
          <cell r="L22" t="str">
            <v xml:space="preserve"> </v>
          </cell>
          <cell r="M22" t="str">
            <v xml:space="preserve"> </v>
          </cell>
          <cell r="N22" t="str">
            <v>TITULAR</v>
          </cell>
          <cell r="O22" t="str">
            <v xml:space="preserve">CAÑETE, JOHANA  </v>
          </cell>
          <cell r="P22" t="str">
            <v xml:space="preserve"> </v>
          </cell>
        </row>
        <row r="23">
          <cell r="A23" t="str">
            <v>1°2°1CCD</v>
          </cell>
          <cell r="B23" t="str">
            <v>1°2°</v>
          </cell>
          <cell r="C23"/>
          <cell r="D23" t="str">
            <v>1CCD</v>
          </cell>
          <cell r="E23">
            <v>839178</v>
          </cell>
          <cell r="F23" t="str">
            <v>CONSTRUCCION DE LA CIUDADANIA</v>
          </cell>
          <cell r="G23" t="str">
            <v xml:space="preserve"> 20-25.521.976-7</v>
          </cell>
          <cell r="H23"/>
          <cell r="I23" t="str">
            <v xml:space="preserve">CHAMORRO CRISTIAN </v>
          </cell>
          <cell r="J23"/>
          <cell r="K23"/>
          <cell r="L23" t="str">
            <v xml:space="preserve"> </v>
          </cell>
          <cell r="M23" t="str">
            <v xml:space="preserve"> </v>
          </cell>
          <cell r="N23" t="str">
            <v>TITULAR</v>
          </cell>
          <cell r="O23" t="str">
            <v xml:space="preserve">CHAMORRO CRISTIAN </v>
          </cell>
          <cell r="P23" t="str">
            <v xml:space="preserve"> </v>
          </cell>
        </row>
        <row r="24">
          <cell r="A24" t="str">
            <v>1°2°1211TLT</v>
          </cell>
          <cell r="B24" t="str">
            <v>1°2°</v>
          </cell>
          <cell r="C24">
            <v>121</v>
          </cell>
          <cell r="D24" t="str">
            <v>1TLT</v>
          </cell>
          <cell r="E24">
            <v>2673023</v>
          </cell>
          <cell r="F24" t="str">
            <v>LENGUAJES TECNOLOGICOS</v>
          </cell>
          <cell r="G24"/>
          <cell r="H24"/>
          <cell r="I24"/>
          <cell r="J24">
            <v>27289218209</v>
          </cell>
          <cell r="K24" t="str">
            <v>VALLBONA MIRNA SOLEDAD</v>
          </cell>
          <cell r="L24" t="str">
            <v xml:space="preserve"> </v>
          </cell>
          <cell r="M24" t="str">
            <v xml:space="preserve"> </v>
          </cell>
          <cell r="N24" t="str">
            <v>PROVISIONAL</v>
          </cell>
          <cell r="O24" t="str">
            <v>VALLBONA MIRNA SOLEDAD</v>
          </cell>
          <cell r="P24" t="str">
            <v xml:space="preserve"> </v>
          </cell>
        </row>
        <row r="25">
          <cell r="A25" t="str">
            <v>1°2°1211TST</v>
          </cell>
          <cell r="B25" t="str">
            <v>1°2°</v>
          </cell>
          <cell r="C25">
            <v>121</v>
          </cell>
          <cell r="D25" t="str">
            <v>1TST</v>
          </cell>
          <cell r="E25">
            <v>2673025</v>
          </cell>
          <cell r="F25" t="str">
            <v>SISTEMAS TECNOLOGICOS</v>
          </cell>
          <cell r="G25"/>
          <cell r="H25"/>
          <cell r="I25"/>
          <cell r="J25" t="str">
            <v xml:space="preserve"> 20-28.191.299-3</v>
          </cell>
          <cell r="K25" t="str">
            <v xml:space="preserve">ETCHEVERRY MARTIN                            </v>
          </cell>
          <cell r="L25" t="str">
            <v xml:space="preserve"> </v>
          </cell>
          <cell r="M25" t="str">
            <v xml:space="preserve"> </v>
          </cell>
          <cell r="N25" t="str">
            <v>PROVISIONAL</v>
          </cell>
          <cell r="O25" t="str">
            <v xml:space="preserve">ETCHEVERRY MARTIN                            </v>
          </cell>
          <cell r="P25" t="str">
            <v xml:space="preserve"> </v>
          </cell>
        </row>
        <row r="26">
          <cell r="A26" t="str">
            <v>1°2°1211TPT</v>
          </cell>
          <cell r="B26" t="str">
            <v>1°2°</v>
          </cell>
          <cell r="C26">
            <v>121</v>
          </cell>
          <cell r="D26" t="str">
            <v>1TPT</v>
          </cell>
          <cell r="E26">
            <v>2673026</v>
          </cell>
          <cell r="F26" t="str">
            <v>PROCEDIMIENTOS TECNICOS</v>
          </cell>
          <cell r="G26"/>
          <cell r="H26"/>
          <cell r="I26"/>
          <cell r="J26" t="str">
            <v>20-28.191.299-3</v>
          </cell>
          <cell r="K26" t="str">
            <v xml:space="preserve">ETCHEVERRY MARTIN                            </v>
          </cell>
          <cell r="L26" t="str">
            <v xml:space="preserve"> </v>
          </cell>
          <cell r="M26" t="str">
            <v xml:space="preserve"> </v>
          </cell>
          <cell r="N26" t="str">
            <v>PROVISIONAL</v>
          </cell>
          <cell r="O26" t="str">
            <v xml:space="preserve">ETCHEVERRY MARTIN                            </v>
          </cell>
          <cell r="P26" t="str">
            <v xml:space="preserve"> </v>
          </cell>
        </row>
        <row r="27">
          <cell r="A27" t="str">
            <v>1°2°1221TLT</v>
          </cell>
          <cell r="B27" t="str">
            <v>1°2°</v>
          </cell>
          <cell r="C27">
            <v>122</v>
          </cell>
          <cell r="D27" t="str">
            <v>1TLT</v>
          </cell>
          <cell r="E27">
            <v>2673027</v>
          </cell>
          <cell r="F27" t="str">
            <v>LENGUAJES TECNOLOGICOS</v>
          </cell>
          <cell r="G27"/>
          <cell r="H27"/>
          <cell r="I27"/>
          <cell r="J27" t="str">
            <v>27-11.864.641-5</v>
          </cell>
          <cell r="K27" t="str">
            <v>VALLBONA MIRNA SOLEDAD                   27289218209</v>
          </cell>
          <cell r="L27" t="str">
            <v xml:space="preserve"> </v>
          </cell>
          <cell r="M27" t="str">
            <v xml:space="preserve"> </v>
          </cell>
          <cell r="N27" t="str">
            <v>PROVISIONAL</v>
          </cell>
          <cell r="O27" t="str">
            <v>VALLBONA MIRNA SOLEDAD                   27289218209</v>
          </cell>
          <cell r="P27" t="str">
            <v xml:space="preserve"> </v>
          </cell>
        </row>
        <row r="28">
          <cell r="A28" t="str">
            <v>1°2°1221TST</v>
          </cell>
          <cell r="B28" t="str">
            <v>1°2°</v>
          </cell>
          <cell r="C28">
            <v>122</v>
          </cell>
          <cell r="D28" t="str">
            <v>1TST</v>
          </cell>
          <cell r="E28">
            <v>2673028</v>
          </cell>
          <cell r="F28" t="str">
            <v>SISTEMAS TECNOLOGICOS</v>
          </cell>
          <cell r="G28"/>
          <cell r="H28"/>
          <cell r="I28"/>
          <cell r="J28"/>
          <cell r="K28" t="str">
            <v xml:space="preserve">ESCALADA ARNALDO     </v>
          </cell>
          <cell r="L28" t="str">
            <v xml:space="preserve"> </v>
          </cell>
          <cell r="M28" t="str">
            <v xml:space="preserve"> </v>
          </cell>
          <cell r="N28" t="str">
            <v>PROVISIONAL</v>
          </cell>
          <cell r="O28" t="str">
            <v xml:space="preserve">ESCALADA ARNALDO     </v>
          </cell>
          <cell r="P28" t="str">
            <v xml:space="preserve"> </v>
          </cell>
        </row>
        <row r="29">
          <cell r="A29" t="str">
            <v>1°2°1221TPT</v>
          </cell>
          <cell r="B29" t="str">
            <v>1°2°</v>
          </cell>
          <cell r="C29">
            <v>122</v>
          </cell>
          <cell r="D29" t="str">
            <v>1TPT</v>
          </cell>
          <cell r="E29">
            <v>2673029</v>
          </cell>
          <cell r="F29" t="str">
            <v>PROCEDIMIENTOS TECNICOS</v>
          </cell>
          <cell r="G29"/>
          <cell r="H29"/>
          <cell r="I29"/>
          <cell r="J29" t="str">
            <v>20-28.191.299-3</v>
          </cell>
          <cell r="K29" t="str">
            <v xml:space="preserve">ETCHEVERRY MARTIN                            </v>
          </cell>
          <cell r="L29" t="str">
            <v xml:space="preserve"> </v>
          </cell>
          <cell r="M29" t="str">
            <v xml:space="preserve"> </v>
          </cell>
          <cell r="N29" t="str">
            <v>PROVISIONAL</v>
          </cell>
          <cell r="O29" t="str">
            <v xml:space="preserve">ETCHEVERRY MARTIN                            </v>
          </cell>
          <cell r="P29" t="str">
            <v xml:space="preserve"> </v>
          </cell>
        </row>
        <row r="30">
          <cell r="A30" t="str">
            <v>1°3°1NAT</v>
          </cell>
          <cell r="B30" t="str">
            <v>1°3°</v>
          </cell>
          <cell r="C30"/>
          <cell r="D30" t="str">
            <v>1NAT</v>
          </cell>
          <cell r="E30">
            <v>2683140</v>
          </cell>
          <cell r="F30" t="str">
            <v>CIENCIAS NATURALES</v>
          </cell>
          <cell r="G30" t="str">
            <v xml:space="preserve">  27-23.480.647-0  </v>
          </cell>
          <cell r="H30" t="str">
            <v xml:space="preserve">  (dest def 2019)</v>
          </cell>
          <cell r="I30" t="str">
            <v>FARIAS CLAUDIA ANTONIA</v>
          </cell>
          <cell r="J30"/>
          <cell r="K30"/>
          <cell r="L30" t="str">
            <v xml:space="preserve"> </v>
          </cell>
          <cell r="M30" t="str">
            <v xml:space="preserve"> </v>
          </cell>
          <cell r="N30" t="str">
            <v>TITULAR</v>
          </cell>
          <cell r="O30" t="str">
            <v>FARIAS CLAUDIA ANTONIA</v>
          </cell>
          <cell r="P30" t="str">
            <v xml:space="preserve"> </v>
          </cell>
        </row>
        <row r="31">
          <cell r="A31" t="str">
            <v>1°3°1SOC</v>
          </cell>
          <cell r="B31" t="str">
            <v>1°3°</v>
          </cell>
          <cell r="C31"/>
          <cell r="D31" t="str">
            <v>1SOC</v>
          </cell>
          <cell r="E31">
            <v>733446</v>
          </cell>
          <cell r="F31" t="str">
            <v>CIENCIAS SOCIALES</v>
          </cell>
          <cell r="G31" t="str">
            <v>23-18.284.913-0</v>
          </cell>
          <cell r="H31"/>
          <cell r="I31" t="str">
            <v xml:space="preserve">TORRES LUIS                    </v>
          </cell>
          <cell r="J31"/>
          <cell r="K31"/>
          <cell r="L31" t="str">
            <v xml:space="preserve"> </v>
          </cell>
          <cell r="M31" t="str">
            <v xml:space="preserve"> </v>
          </cell>
          <cell r="N31" t="str">
            <v>TITULAR</v>
          </cell>
          <cell r="O31" t="str">
            <v xml:space="preserve">TORRES LUIS                    </v>
          </cell>
          <cell r="P31" t="str">
            <v xml:space="preserve"> </v>
          </cell>
        </row>
        <row r="32">
          <cell r="A32" t="str">
            <v>1°3°1ART</v>
          </cell>
          <cell r="B32" t="str">
            <v>1°3°</v>
          </cell>
          <cell r="C32"/>
          <cell r="D32" t="str">
            <v>1ART</v>
          </cell>
          <cell r="E32">
            <v>733699</v>
          </cell>
          <cell r="F32" t="str">
            <v>EDUCACION ARTISTICA (PLASTICA)</v>
          </cell>
          <cell r="G32"/>
          <cell r="H32"/>
          <cell r="I32" t="str">
            <v>CHAWET MATIAS</v>
          </cell>
          <cell r="J32"/>
          <cell r="K32"/>
          <cell r="L32" t="str">
            <v xml:space="preserve"> </v>
          </cell>
          <cell r="M32" t="str">
            <v xml:space="preserve"> </v>
          </cell>
          <cell r="N32" t="str">
            <v>TITULAR</v>
          </cell>
          <cell r="O32" t="str">
            <v>CHAWET MATIAS</v>
          </cell>
          <cell r="P32" t="str">
            <v xml:space="preserve"> </v>
          </cell>
        </row>
        <row r="33">
          <cell r="A33" t="str">
            <v>1°3°1EFI</v>
          </cell>
          <cell r="B33" t="str">
            <v>1°3°</v>
          </cell>
          <cell r="C33"/>
          <cell r="D33" t="str">
            <v>1EFI</v>
          </cell>
          <cell r="E33">
            <v>816361</v>
          </cell>
          <cell r="F33" t="str">
            <v>EDUCACIÓN FISICA</v>
          </cell>
          <cell r="G33"/>
          <cell r="H33"/>
          <cell r="I33"/>
          <cell r="J33"/>
          <cell r="K33" t="str">
            <v>LUDUEÑA NELSON           20-29.569.203-1</v>
          </cell>
          <cell r="L33" t="str">
            <v xml:space="preserve"> </v>
          </cell>
          <cell r="M33" t="str">
            <v xml:space="preserve"> </v>
          </cell>
          <cell r="N33" t="str">
            <v>PROVISIONAL</v>
          </cell>
          <cell r="O33" t="str">
            <v>LUDUEÑA NELSON           20-29.569.203-1</v>
          </cell>
          <cell r="P33" t="str">
            <v xml:space="preserve"> </v>
          </cell>
        </row>
        <row r="34">
          <cell r="A34" t="str">
            <v>1°3°1ING</v>
          </cell>
          <cell r="B34" t="str">
            <v>1°3°</v>
          </cell>
          <cell r="C34"/>
          <cell r="D34" t="str">
            <v>1ING</v>
          </cell>
          <cell r="E34">
            <v>733464</v>
          </cell>
          <cell r="F34" t="str">
            <v>INGLÉS</v>
          </cell>
          <cell r="G34"/>
          <cell r="H34"/>
          <cell r="I34"/>
          <cell r="J34">
            <v>30181613</v>
          </cell>
          <cell r="K34" t="str">
            <v>RAMIREZ GISELE</v>
          </cell>
          <cell r="L34" t="str">
            <v xml:space="preserve"> </v>
          </cell>
          <cell r="M34" t="str">
            <v xml:space="preserve"> </v>
          </cell>
          <cell r="N34" t="str">
            <v>PROVISIONAL</v>
          </cell>
          <cell r="O34" t="str">
            <v>RAMIREZ GISELE</v>
          </cell>
          <cell r="P34" t="str">
            <v xml:space="preserve"> </v>
          </cell>
        </row>
        <row r="35">
          <cell r="A35" t="str">
            <v>1°3°1MAT</v>
          </cell>
          <cell r="B35" t="str">
            <v>1°3°</v>
          </cell>
          <cell r="C35"/>
          <cell r="D35" t="str">
            <v>1MAT</v>
          </cell>
          <cell r="E35">
            <v>733452</v>
          </cell>
          <cell r="F35" t="str">
            <v>MATEMATICA</v>
          </cell>
          <cell r="G35" t="str">
            <v xml:space="preserve"> 20-23,884,637-5 </v>
          </cell>
          <cell r="H35" t="str">
            <v xml:space="preserve"> MAD 2020</v>
          </cell>
          <cell r="I35" t="str">
            <v xml:space="preserve">ESPINDOLA SERGIO                          </v>
          </cell>
          <cell r="J35"/>
          <cell r="K35"/>
          <cell r="L35" t="str">
            <v xml:space="preserve"> </v>
          </cell>
          <cell r="M35" t="str">
            <v xml:space="preserve"> </v>
          </cell>
          <cell r="N35" t="str">
            <v>TITULAR</v>
          </cell>
          <cell r="O35" t="str">
            <v xml:space="preserve">ESPINDOLA SERGIO                          </v>
          </cell>
          <cell r="P35" t="str">
            <v xml:space="preserve"> </v>
          </cell>
        </row>
        <row r="36">
          <cell r="A36" t="str">
            <v>1°3°1LEN</v>
          </cell>
          <cell r="B36" t="str">
            <v>1°3°</v>
          </cell>
          <cell r="C36"/>
          <cell r="D36" t="str">
            <v>1LEN</v>
          </cell>
          <cell r="E36">
            <v>733507</v>
          </cell>
          <cell r="F36" t="str">
            <v>PRACTICA DEL LENGUAJE</v>
          </cell>
          <cell r="G36">
            <v>13642940</v>
          </cell>
          <cell r="H36" t="str">
            <v>MAD 2020</v>
          </cell>
          <cell r="I36" t="str">
            <v xml:space="preserve">CARESTIA, NOEMI </v>
          </cell>
          <cell r="J36"/>
          <cell r="K36"/>
          <cell r="L36" t="str">
            <v xml:space="preserve"> </v>
          </cell>
          <cell r="M36" t="str">
            <v xml:space="preserve"> </v>
          </cell>
          <cell r="N36" t="str">
            <v>TITULAR</v>
          </cell>
          <cell r="O36" t="str">
            <v xml:space="preserve">CARESTIA, NOEMI </v>
          </cell>
          <cell r="P36" t="str">
            <v xml:space="preserve"> </v>
          </cell>
        </row>
        <row r="37">
          <cell r="A37" t="str">
            <v>1°3°1CCD</v>
          </cell>
          <cell r="B37" t="str">
            <v>1°3°</v>
          </cell>
          <cell r="C37"/>
          <cell r="D37" t="str">
            <v>1CCD</v>
          </cell>
          <cell r="E37">
            <v>2683142</v>
          </cell>
          <cell r="F37" t="str">
            <v>CONSTRUCCION DE LA CIUDADANIA</v>
          </cell>
          <cell r="G37" t="str">
            <v xml:space="preserve"> 27-23.075.433-8</v>
          </cell>
          <cell r="H37"/>
          <cell r="I37" t="str">
            <v xml:space="preserve">HERRERA CARMEN                    </v>
          </cell>
          <cell r="J37"/>
          <cell r="K37"/>
          <cell r="L37" t="str">
            <v xml:space="preserve"> </v>
          </cell>
          <cell r="M37" t="str">
            <v xml:space="preserve"> </v>
          </cell>
          <cell r="N37" t="str">
            <v>TITULAR</v>
          </cell>
          <cell r="O37" t="str">
            <v xml:space="preserve">HERRERA CARMEN                    </v>
          </cell>
          <cell r="P37" t="str">
            <v xml:space="preserve"> </v>
          </cell>
        </row>
        <row r="38">
          <cell r="A38" t="str">
            <v>1°3°1311TLT</v>
          </cell>
          <cell r="B38" t="str">
            <v>1°3°</v>
          </cell>
          <cell r="C38">
            <v>131</v>
          </cell>
          <cell r="D38" t="str">
            <v>1TLT</v>
          </cell>
          <cell r="E38">
            <v>2673072</v>
          </cell>
          <cell r="F38" t="str">
            <v>LENGUAJES TECNOLOGICOS</v>
          </cell>
          <cell r="G38"/>
          <cell r="H38"/>
          <cell r="I38"/>
          <cell r="J38" t="str">
            <v xml:space="preserve"> 27-11.864.641-5</v>
          </cell>
          <cell r="K38" t="str">
            <v>BELIZAN</v>
          </cell>
          <cell r="L38" t="str">
            <v xml:space="preserve"> </v>
          </cell>
          <cell r="M38" t="str">
            <v xml:space="preserve"> </v>
          </cell>
          <cell r="N38" t="str">
            <v>PROVISIONAL</v>
          </cell>
          <cell r="O38" t="str">
            <v>BELIZAN</v>
          </cell>
          <cell r="P38" t="str">
            <v xml:space="preserve"> </v>
          </cell>
        </row>
        <row r="39">
          <cell r="A39" t="str">
            <v>1°3°1311TST</v>
          </cell>
          <cell r="B39" t="str">
            <v>1°3°</v>
          </cell>
          <cell r="C39">
            <v>131</v>
          </cell>
          <cell r="D39" t="str">
            <v>1TST</v>
          </cell>
          <cell r="E39">
            <v>2673076</v>
          </cell>
          <cell r="F39" t="str">
            <v>SISTEMAS TECNOLOGICOS</v>
          </cell>
          <cell r="G39">
            <v>16354054</v>
          </cell>
          <cell r="H39" t="str">
            <v>(MASIVA)</v>
          </cell>
          <cell r="I39"/>
          <cell r="J39" t="str">
            <v xml:space="preserve">  CUIT  27373875584</v>
          </cell>
          <cell r="K39" t="str">
            <v>CASTILLO MARISOL ANABEL</v>
          </cell>
          <cell r="L39" t="str">
            <v xml:space="preserve"> </v>
          </cell>
          <cell r="M39" t="str">
            <v xml:space="preserve"> </v>
          </cell>
          <cell r="N39" t="str">
            <v>PROVISIONAL</v>
          </cell>
          <cell r="O39" t="str">
            <v>CASTILLO MARISOL ANABEL</v>
          </cell>
          <cell r="P39" t="str">
            <v xml:space="preserve"> </v>
          </cell>
        </row>
        <row r="40">
          <cell r="A40" t="str">
            <v>1°3°1311TPT</v>
          </cell>
          <cell r="B40" t="str">
            <v>1°3°</v>
          </cell>
          <cell r="C40">
            <v>131</v>
          </cell>
          <cell r="D40" t="str">
            <v>1TPT</v>
          </cell>
          <cell r="E40">
            <v>2673079</v>
          </cell>
          <cell r="F40" t="str">
            <v>PROCEDIMIENTOS TECNICOS</v>
          </cell>
          <cell r="G40" t="str">
            <v xml:space="preserve"> 20-25.859.440-2</v>
          </cell>
          <cell r="H40" t="str">
            <v xml:space="preserve"> (MASIVA)</v>
          </cell>
          <cell r="I40" t="str">
            <v xml:space="preserve">GUTIERREZ FERNANDO           </v>
          </cell>
          <cell r="J40"/>
          <cell r="K40"/>
          <cell r="L40">
            <v>0</v>
          </cell>
          <cell r="M40" t="str">
            <v xml:space="preserve"> ESPINDOLA SERGIO DANIEL</v>
          </cell>
          <cell r="N40" t="str">
            <v>SUPLENTE</v>
          </cell>
          <cell r="O40" t="str">
            <v xml:space="preserve"> ESPINDOLA SERGIO DANIEL</v>
          </cell>
          <cell r="P40" t="str">
            <v xml:space="preserve"> </v>
          </cell>
        </row>
        <row r="41">
          <cell r="A41" t="str">
            <v>1°3°1321TLT</v>
          </cell>
          <cell r="B41" t="str">
            <v>1°3°</v>
          </cell>
          <cell r="C41">
            <v>132</v>
          </cell>
          <cell r="D41" t="str">
            <v>1TLT</v>
          </cell>
          <cell r="E41">
            <v>2673082</v>
          </cell>
          <cell r="F41" t="str">
            <v>LENGUAJES TECNOLOGICOS</v>
          </cell>
          <cell r="G41"/>
          <cell r="H41"/>
          <cell r="I41"/>
          <cell r="J41" t="str">
            <v xml:space="preserve"> 27- 11.864.641-5</v>
          </cell>
          <cell r="K41" t="str">
            <v>BELIZAN</v>
          </cell>
          <cell r="L41" t="str">
            <v xml:space="preserve"> </v>
          </cell>
          <cell r="M41" t="str">
            <v xml:space="preserve"> </v>
          </cell>
          <cell r="N41" t="str">
            <v>PROVISIONAL</v>
          </cell>
          <cell r="O41" t="str">
            <v>BELIZAN</v>
          </cell>
          <cell r="P41" t="str">
            <v xml:space="preserve"> </v>
          </cell>
        </row>
        <row r="42">
          <cell r="A42" t="str">
            <v>1°3°1321TST</v>
          </cell>
          <cell r="B42" t="str">
            <v>1°3°</v>
          </cell>
          <cell r="C42">
            <v>132</v>
          </cell>
          <cell r="D42" t="str">
            <v>1TST</v>
          </cell>
          <cell r="E42">
            <v>2673083</v>
          </cell>
          <cell r="F42" t="str">
            <v>SISTEMAS TECNOLOGICOS</v>
          </cell>
          <cell r="G42" t="str">
            <v xml:space="preserve"> 27-20.912.758-5 </v>
          </cell>
          <cell r="H42" t="str">
            <v>(1 MOD)</v>
          </cell>
          <cell r="I42"/>
          <cell r="J42" t="str">
            <v>23- 22.948.231-9</v>
          </cell>
          <cell r="K42" t="str">
            <v>LUZURIAGA ANGEL</v>
          </cell>
          <cell r="L42">
            <v>0</v>
          </cell>
          <cell r="M42" t="str">
            <v>GUTIERREZ NICOLAS</v>
          </cell>
          <cell r="N42" t="str">
            <v>SUPLENTE</v>
          </cell>
          <cell r="O42" t="str">
            <v>GUTIERREZ NICOLAS</v>
          </cell>
          <cell r="P42" t="str">
            <v xml:space="preserve"> </v>
          </cell>
        </row>
        <row r="43">
          <cell r="A43" t="str">
            <v>1°3°1321TPT</v>
          </cell>
          <cell r="B43" t="str">
            <v>1°3°</v>
          </cell>
          <cell r="C43">
            <v>132</v>
          </cell>
          <cell r="D43" t="str">
            <v>1TPT</v>
          </cell>
          <cell r="E43">
            <v>2673084</v>
          </cell>
          <cell r="F43" t="str">
            <v>PROCEDIMIENTOS TECNICOS</v>
          </cell>
          <cell r="G43" t="str">
            <v>20-25.859.440-2</v>
          </cell>
          <cell r="H43" t="str">
            <v xml:space="preserve"> (MASIVA)</v>
          </cell>
          <cell r="I43" t="str">
            <v xml:space="preserve">GUTIERREZ FERNANDO              </v>
          </cell>
          <cell r="J43"/>
          <cell r="K43"/>
          <cell r="L43">
            <v>0</v>
          </cell>
          <cell r="M43" t="str">
            <v>GENARO ARIEL AVILA SANTILLAN</v>
          </cell>
          <cell r="N43" t="str">
            <v>SUPLENTE</v>
          </cell>
          <cell r="O43" t="str">
            <v>GENARO ARIEL AVILA SANTILLAN</v>
          </cell>
          <cell r="P43" t="str">
            <v xml:space="preserve"> </v>
          </cell>
        </row>
        <row r="44">
          <cell r="A44" t="str">
            <v>1°4°1NAT</v>
          </cell>
          <cell r="B44" t="str">
            <v>1°4°</v>
          </cell>
          <cell r="C44"/>
          <cell r="D44" t="str">
            <v>1NAT</v>
          </cell>
          <cell r="E44">
            <v>1493342</v>
          </cell>
          <cell r="F44" t="str">
            <v>CIENCIAS NATURALES</v>
          </cell>
          <cell r="G44" t="str">
            <v>27-29.590.966-4</v>
          </cell>
          <cell r="H44"/>
          <cell r="I44" t="str">
            <v xml:space="preserve">DA CHILE IGLESIAS V                 </v>
          </cell>
          <cell r="J44"/>
          <cell r="K44"/>
          <cell r="L44" t="str">
            <v xml:space="preserve"> </v>
          </cell>
          <cell r="M44" t="str">
            <v xml:space="preserve"> </v>
          </cell>
          <cell r="N44" t="str">
            <v>TITULAR</v>
          </cell>
          <cell r="O44" t="str">
            <v xml:space="preserve">DA CHILE IGLESIAS V                 </v>
          </cell>
          <cell r="P44" t="str">
            <v xml:space="preserve"> </v>
          </cell>
        </row>
        <row r="45">
          <cell r="A45" t="str">
            <v>1°4°1SOC</v>
          </cell>
          <cell r="B45" t="str">
            <v>1°4°</v>
          </cell>
          <cell r="C45"/>
          <cell r="D45" t="str">
            <v>1SOC</v>
          </cell>
          <cell r="E45">
            <v>1493343</v>
          </cell>
          <cell r="F45" t="str">
            <v>CIENCIAS SOCIALES</v>
          </cell>
          <cell r="G45" t="str">
            <v>27- 20.842.169-2</v>
          </cell>
          <cell r="H45"/>
          <cell r="I45" t="str">
            <v xml:space="preserve">GERSTER MYRIAN                 </v>
          </cell>
          <cell r="J45"/>
          <cell r="K45"/>
          <cell r="L45" t="str">
            <v xml:space="preserve"> </v>
          </cell>
          <cell r="M45" t="str">
            <v xml:space="preserve"> </v>
          </cell>
          <cell r="N45" t="str">
            <v>TITULAR</v>
          </cell>
          <cell r="O45" t="str">
            <v xml:space="preserve">GERSTER MYRIAN                 </v>
          </cell>
          <cell r="P45" t="str">
            <v xml:space="preserve"> </v>
          </cell>
        </row>
        <row r="46">
          <cell r="A46" t="str">
            <v>1°4°1ART</v>
          </cell>
          <cell r="B46" t="str">
            <v>1°4°</v>
          </cell>
          <cell r="C46"/>
          <cell r="D46" t="str">
            <v>1ART</v>
          </cell>
          <cell r="E46">
            <v>1493339</v>
          </cell>
          <cell r="F46" t="str">
            <v>EDUCACION ARTISTICA (PLASTICA)</v>
          </cell>
          <cell r="G46"/>
          <cell r="H46"/>
          <cell r="I46" t="str">
            <v>CHAVVET, MATIAS</v>
          </cell>
          <cell r="J46"/>
          <cell r="K46"/>
          <cell r="L46" t="str">
            <v xml:space="preserve"> </v>
          </cell>
          <cell r="M46" t="str">
            <v xml:space="preserve"> </v>
          </cell>
          <cell r="N46" t="str">
            <v>TITULAR</v>
          </cell>
          <cell r="O46" t="str">
            <v>CHAVVET, MATIAS</v>
          </cell>
          <cell r="P46" t="str">
            <v xml:space="preserve"> </v>
          </cell>
        </row>
        <row r="47">
          <cell r="A47" t="str">
            <v>1°4°1EFI</v>
          </cell>
          <cell r="B47" t="str">
            <v>1°4°</v>
          </cell>
          <cell r="C47"/>
          <cell r="D47" t="str">
            <v>1EFI</v>
          </cell>
          <cell r="E47">
            <v>1493340</v>
          </cell>
          <cell r="F47" t="str">
            <v>EDUCACIÓN FISICA</v>
          </cell>
          <cell r="G47" t="str">
            <v>20-29.569.203-1</v>
          </cell>
          <cell r="H47"/>
          <cell r="I47" t="str">
            <v xml:space="preserve">DE LA FUENTE F.                         </v>
          </cell>
          <cell r="J47"/>
          <cell r="K47"/>
          <cell r="L47" t="str">
            <v xml:space="preserve"> </v>
          </cell>
          <cell r="M47" t="str">
            <v xml:space="preserve"> </v>
          </cell>
          <cell r="N47" t="str">
            <v>TITULAR</v>
          </cell>
          <cell r="O47" t="str">
            <v xml:space="preserve">DE LA FUENTE F.                         </v>
          </cell>
          <cell r="P47" t="str">
            <v xml:space="preserve"> </v>
          </cell>
        </row>
        <row r="48">
          <cell r="A48" t="str">
            <v>1°4°1ING</v>
          </cell>
          <cell r="B48" t="str">
            <v>1°4°</v>
          </cell>
          <cell r="C48"/>
          <cell r="D48" t="str">
            <v>1ING</v>
          </cell>
          <cell r="E48">
            <v>149335</v>
          </cell>
          <cell r="F48" t="str">
            <v>INGLÉS</v>
          </cell>
          <cell r="G48" t="str">
            <v>27-26.117.162-2</v>
          </cell>
          <cell r="H48"/>
          <cell r="I48" t="str">
            <v>SARRIA, ANDREA</v>
          </cell>
          <cell r="J48"/>
          <cell r="K48"/>
          <cell r="L48" t="str">
            <v>23-30.492.767-4</v>
          </cell>
          <cell r="M48" t="str">
            <v xml:space="preserve">LEGUIZAMO ANA   </v>
          </cell>
          <cell r="N48" t="str">
            <v>SUPLENTE</v>
          </cell>
          <cell r="O48" t="str">
            <v xml:space="preserve">LEGUIZAMO ANA   </v>
          </cell>
          <cell r="P48" t="str">
            <v xml:space="preserve"> </v>
          </cell>
        </row>
        <row r="49">
          <cell r="A49" t="str">
            <v>1°4°1MAT</v>
          </cell>
          <cell r="B49" t="str">
            <v>1°4°</v>
          </cell>
          <cell r="C49"/>
          <cell r="D49" t="str">
            <v>1MAT</v>
          </cell>
          <cell r="E49">
            <v>1493338</v>
          </cell>
          <cell r="F49" t="str">
            <v>MATEMATICA</v>
          </cell>
          <cell r="G49" t="str">
            <v xml:space="preserve"> 20-25.658.952-5 </v>
          </cell>
          <cell r="H49" t="str">
            <v xml:space="preserve"> DEFINITIVO 2020 </v>
          </cell>
          <cell r="I49" t="str">
            <v xml:space="preserve">OVEJERO, JAVIER               </v>
          </cell>
          <cell r="J49"/>
          <cell r="K49"/>
          <cell r="L49" t="str">
            <v xml:space="preserve"> </v>
          </cell>
          <cell r="M49" t="str">
            <v xml:space="preserve"> </v>
          </cell>
          <cell r="N49" t="str">
            <v>TITULAR</v>
          </cell>
          <cell r="O49" t="str">
            <v xml:space="preserve">OVEJERO, JAVIER               </v>
          </cell>
          <cell r="P49" t="str">
            <v xml:space="preserve"> </v>
          </cell>
        </row>
        <row r="50">
          <cell r="A50" t="str">
            <v>1°4°1LEN</v>
          </cell>
          <cell r="B50" t="str">
            <v>1°4°</v>
          </cell>
          <cell r="C50"/>
          <cell r="D50" t="str">
            <v>1LEN</v>
          </cell>
          <cell r="E50">
            <v>1492411</v>
          </cell>
          <cell r="F50" t="str">
            <v>PRACTICA DEL LENGUAJE</v>
          </cell>
          <cell r="G50">
            <v>13642940</v>
          </cell>
          <cell r="H50" t="str">
            <v xml:space="preserve"> ENTRA POR MAD 2020</v>
          </cell>
          <cell r="I50" t="str">
            <v xml:space="preserve">CARESTIA, NOEMI </v>
          </cell>
          <cell r="J50"/>
          <cell r="K50"/>
          <cell r="L50" t="str">
            <v xml:space="preserve"> </v>
          </cell>
          <cell r="M50" t="str">
            <v xml:space="preserve"> </v>
          </cell>
          <cell r="N50" t="str">
            <v>TITULAR</v>
          </cell>
          <cell r="O50" t="str">
            <v xml:space="preserve">CARESTIA, NOEMI </v>
          </cell>
          <cell r="P50" t="str">
            <v xml:space="preserve"> </v>
          </cell>
        </row>
        <row r="51">
          <cell r="A51" t="str">
            <v>1°4°1CCD</v>
          </cell>
          <cell r="B51" t="str">
            <v>1°4°</v>
          </cell>
          <cell r="C51"/>
          <cell r="D51" t="str">
            <v>1CCD</v>
          </cell>
          <cell r="E51">
            <v>839179</v>
          </cell>
          <cell r="F51" t="str">
            <v>CONSTRUCCION DE LA CIUDADANIA</v>
          </cell>
          <cell r="G51" t="str">
            <v xml:space="preserve">   20-28.324.944-2</v>
          </cell>
          <cell r="H51"/>
          <cell r="I51" t="str">
            <v xml:space="preserve">MOLINA, WALTER                </v>
          </cell>
          <cell r="J51"/>
          <cell r="K51"/>
          <cell r="L51">
            <v>0</v>
          </cell>
          <cell r="M51" t="str">
            <v>KUSNIER CUPAIOLO</v>
          </cell>
          <cell r="N51" t="str">
            <v>SUPLENTE</v>
          </cell>
          <cell r="O51" t="str">
            <v>KUSNIER CUPAIOLO</v>
          </cell>
          <cell r="P51" t="str">
            <v xml:space="preserve"> </v>
          </cell>
        </row>
        <row r="52">
          <cell r="A52" t="str">
            <v>1°4°1411TLT</v>
          </cell>
          <cell r="B52" t="str">
            <v>1°4°</v>
          </cell>
          <cell r="C52">
            <v>141</v>
          </cell>
          <cell r="D52" t="str">
            <v>1TLT</v>
          </cell>
          <cell r="E52">
            <v>1493350</v>
          </cell>
          <cell r="F52" t="str">
            <v>LENGUAJES TECNOLOGICOS</v>
          </cell>
          <cell r="G52"/>
          <cell r="H52"/>
          <cell r="I52"/>
          <cell r="J52" t="str">
            <v xml:space="preserve"> 20-23.537.987-3</v>
          </cell>
          <cell r="K52" t="str">
            <v xml:space="preserve">ACEVEDO ALCIDES            </v>
          </cell>
          <cell r="L52">
            <v>0</v>
          </cell>
          <cell r="M52" t="str">
            <v xml:space="preserve">VERA LORENA </v>
          </cell>
          <cell r="N52" t="str">
            <v>SUPLENTE</v>
          </cell>
          <cell r="O52" t="str">
            <v xml:space="preserve">VERA LORENA </v>
          </cell>
          <cell r="P52" t="str">
            <v xml:space="preserve"> </v>
          </cell>
        </row>
        <row r="53">
          <cell r="A53" t="str">
            <v>1°4°1411TST</v>
          </cell>
          <cell r="B53" t="str">
            <v>1°4°</v>
          </cell>
          <cell r="C53">
            <v>141</v>
          </cell>
          <cell r="D53" t="str">
            <v>1TST</v>
          </cell>
          <cell r="E53">
            <v>1493353</v>
          </cell>
          <cell r="F53" t="str">
            <v>SISTEMAS TECNOLOGICOS</v>
          </cell>
          <cell r="G53"/>
          <cell r="H53"/>
          <cell r="I53"/>
          <cell r="J53"/>
          <cell r="K53" t="str">
            <v>ETCHEVERRY MARTIN</v>
          </cell>
          <cell r="L53" t="str">
            <v xml:space="preserve"> </v>
          </cell>
          <cell r="M53" t="str">
            <v xml:space="preserve"> </v>
          </cell>
          <cell r="N53" t="str">
            <v>PROVISIONAL</v>
          </cell>
          <cell r="O53" t="str">
            <v>ETCHEVERRY MARTIN</v>
          </cell>
          <cell r="P53" t="str">
            <v xml:space="preserve"> </v>
          </cell>
        </row>
        <row r="54">
          <cell r="A54" t="str">
            <v>1°4°1411TPT</v>
          </cell>
          <cell r="B54" t="str">
            <v>1°4°</v>
          </cell>
          <cell r="C54">
            <v>141</v>
          </cell>
          <cell r="D54" t="str">
            <v>1TPT</v>
          </cell>
          <cell r="E54">
            <v>1493345</v>
          </cell>
          <cell r="F54" t="str">
            <v>PROCEDIMIENTOS TECNICOS</v>
          </cell>
          <cell r="G54" t="str">
            <v xml:space="preserve">   20-23.884.637-5</v>
          </cell>
          <cell r="H54"/>
          <cell r="I54" t="str">
            <v xml:space="preserve">ESPINDOLA SERGIO                          </v>
          </cell>
          <cell r="J54"/>
          <cell r="K54"/>
          <cell r="L54" t="str">
            <v xml:space="preserve"> </v>
          </cell>
          <cell r="M54" t="str">
            <v xml:space="preserve"> </v>
          </cell>
          <cell r="N54" t="str">
            <v>TITULAR</v>
          </cell>
          <cell r="O54" t="str">
            <v xml:space="preserve">ESPINDOLA SERGIO                          </v>
          </cell>
          <cell r="P54" t="str">
            <v xml:space="preserve"> </v>
          </cell>
        </row>
        <row r="55">
          <cell r="A55" t="str">
            <v>1°4°1421TLT</v>
          </cell>
          <cell r="B55" t="str">
            <v>1°4°</v>
          </cell>
          <cell r="C55">
            <v>142</v>
          </cell>
          <cell r="D55" t="str">
            <v>1TLT</v>
          </cell>
          <cell r="E55">
            <v>2683136</v>
          </cell>
          <cell r="F55" t="str">
            <v>LENGUAJES TECNOLOGICOS</v>
          </cell>
          <cell r="G55"/>
          <cell r="H55"/>
          <cell r="I55"/>
          <cell r="J55" t="str">
            <v>20-23.537.987-3</v>
          </cell>
          <cell r="K55" t="str">
            <v xml:space="preserve">ACEVEDO ALCIDES                </v>
          </cell>
          <cell r="L55" t="str">
            <v>VERA LORENA</v>
          </cell>
          <cell r="M55" t="str">
            <v>VERA LORENA</v>
          </cell>
          <cell r="N55" t="str">
            <v>SUPLENTE</v>
          </cell>
          <cell r="O55" t="str">
            <v>VERA LORENA</v>
          </cell>
          <cell r="P55" t="str">
            <v xml:space="preserve"> </v>
          </cell>
        </row>
        <row r="56">
          <cell r="A56" t="str">
            <v>1°4°1421TST</v>
          </cell>
          <cell r="B56" t="str">
            <v>1°4°</v>
          </cell>
          <cell r="C56">
            <v>142</v>
          </cell>
          <cell r="D56" t="str">
            <v>1TST</v>
          </cell>
          <cell r="E56">
            <v>2683137</v>
          </cell>
          <cell r="F56" t="str">
            <v>SISTEMAS TECNOLOGICOS</v>
          </cell>
          <cell r="G56" t="str">
            <v xml:space="preserve"> 20-25.454.930-5 </v>
          </cell>
          <cell r="H56" t="str">
            <v>(MASIVO)</v>
          </cell>
          <cell r="I56" t="str">
            <v xml:space="preserve">CORDOBA ALEJANDRO              </v>
          </cell>
          <cell r="J56"/>
          <cell r="K56"/>
          <cell r="L56">
            <v>0</v>
          </cell>
          <cell r="M56" t="str">
            <v xml:space="preserve">ESCALADA ARNALDO     </v>
          </cell>
          <cell r="N56" t="str">
            <v>SUPLENTE</v>
          </cell>
          <cell r="O56" t="str">
            <v xml:space="preserve">ESCALADA ARNALDO     </v>
          </cell>
          <cell r="P56" t="str">
            <v xml:space="preserve"> </v>
          </cell>
        </row>
        <row r="57">
          <cell r="A57" t="str">
            <v>1°4°1421TPT</v>
          </cell>
          <cell r="B57" t="str">
            <v>1°4°</v>
          </cell>
          <cell r="C57">
            <v>142</v>
          </cell>
          <cell r="D57" t="str">
            <v>1TPT</v>
          </cell>
          <cell r="E57">
            <v>2683138</v>
          </cell>
          <cell r="F57" t="str">
            <v>PROCEDIMIENTOS TECNICOS</v>
          </cell>
          <cell r="G57" t="str">
            <v>20-23.884.637-5 (1 MOD)</v>
          </cell>
          <cell r="H57"/>
          <cell r="I57" t="str">
            <v xml:space="preserve">ESPINDOLA SERGIO                          </v>
          </cell>
          <cell r="J57" t="str">
            <v xml:space="preserve">  20-23.884.637-5                     (1 MOD)</v>
          </cell>
          <cell r="K57" t="str">
            <v xml:space="preserve">ESPINDOLA SERGIO                          </v>
          </cell>
          <cell r="L57" t="str">
            <v xml:space="preserve"> </v>
          </cell>
          <cell r="M57" t="str">
            <v xml:space="preserve"> </v>
          </cell>
          <cell r="N57" t="str">
            <v>PROVISIONAL</v>
          </cell>
          <cell r="O57" t="str">
            <v xml:space="preserve">ESPINDOLA SERGIO                          </v>
          </cell>
          <cell r="P57" t="str">
            <v xml:space="preserve"> </v>
          </cell>
        </row>
        <row r="58">
          <cell r="A58" t="str">
            <v>1°6°1NAT</v>
          </cell>
          <cell r="B58" t="str">
            <v>1°6°</v>
          </cell>
          <cell r="C58"/>
          <cell r="D58" t="str">
            <v>1NAT</v>
          </cell>
          <cell r="E58">
            <v>2232479</v>
          </cell>
          <cell r="F58" t="str">
            <v>CIENCIAS NATURALES</v>
          </cell>
          <cell r="G58"/>
          <cell r="H58"/>
          <cell r="I58" t="str">
            <v>COLAZO VIRGINIA</v>
          </cell>
          <cell r="J58"/>
          <cell r="K58"/>
          <cell r="L58" t="str">
            <v xml:space="preserve"> </v>
          </cell>
          <cell r="M58" t="str">
            <v xml:space="preserve"> </v>
          </cell>
          <cell r="N58" t="str">
            <v>TITULAR</v>
          </cell>
          <cell r="O58" t="str">
            <v>COLAZO VIRGINIA</v>
          </cell>
          <cell r="P58" t="str">
            <v xml:space="preserve"> </v>
          </cell>
        </row>
        <row r="59">
          <cell r="A59" t="str">
            <v>1°6°1SOC</v>
          </cell>
          <cell r="B59" t="str">
            <v>1°6°</v>
          </cell>
          <cell r="C59"/>
          <cell r="D59" t="str">
            <v>1SOC</v>
          </cell>
          <cell r="E59">
            <v>2232480</v>
          </cell>
          <cell r="F59" t="str">
            <v>CIENCIAS SOCIALES</v>
          </cell>
          <cell r="G59" t="str">
            <v xml:space="preserve"> 20-14.317.370-5</v>
          </cell>
          <cell r="H59"/>
          <cell r="I59" t="str">
            <v xml:space="preserve">GERSTER MYRIAN                 </v>
          </cell>
          <cell r="J59"/>
          <cell r="K59"/>
          <cell r="L59" t="str">
            <v xml:space="preserve"> </v>
          </cell>
          <cell r="M59" t="str">
            <v xml:space="preserve"> </v>
          </cell>
          <cell r="N59" t="str">
            <v>TITULAR</v>
          </cell>
          <cell r="O59" t="str">
            <v xml:space="preserve">GERSTER MYRIAN                 </v>
          </cell>
          <cell r="P59" t="str">
            <v xml:space="preserve"> </v>
          </cell>
        </row>
        <row r="60">
          <cell r="A60" t="str">
            <v>1°6°1ART</v>
          </cell>
          <cell r="B60" t="str">
            <v>1°6°</v>
          </cell>
          <cell r="C60"/>
          <cell r="D60" t="str">
            <v>1ART</v>
          </cell>
          <cell r="E60">
            <v>2232482</v>
          </cell>
          <cell r="F60" t="str">
            <v>EDUCACION ARTISTICA (PLASTICA)</v>
          </cell>
          <cell r="G60" t="str">
            <v xml:space="preserve">      27-27.476.782-6</v>
          </cell>
          <cell r="H60"/>
          <cell r="I60"/>
          <cell r="J60"/>
          <cell r="K60"/>
          <cell r="L60" t="str">
            <v xml:space="preserve"> </v>
          </cell>
          <cell r="M60" t="str">
            <v xml:space="preserve"> </v>
          </cell>
          <cell r="N60" t="str">
            <v>TITULAR</v>
          </cell>
          <cell r="O60">
            <v>0</v>
          </cell>
          <cell r="P60" t="str">
            <v xml:space="preserve"> </v>
          </cell>
        </row>
        <row r="61">
          <cell r="A61" t="str">
            <v>1°6°1EFI</v>
          </cell>
          <cell r="B61" t="str">
            <v>1°6°</v>
          </cell>
          <cell r="C61"/>
          <cell r="D61" t="str">
            <v>1EFI</v>
          </cell>
          <cell r="E61">
            <v>2232483</v>
          </cell>
          <cell r="F61" t="str">
            <v>EDUCACIÓN FISICA</v>
          </cell>
          <cell r="G61" t="str">
            <v xml:space="preserve"> 27- 22.558.777-4</v>
          </cell>
          <cell r="H61">
            <v>26024974</v>
          </cell>
          <cell r="I61" t="str">
            <v>FUENTE, DIEGO</v>
          </cell>
          <cell r="J61"/>
          <cell r="K61"/>
          <cell r="L61" t="str">
            <v xml:space="preserve"> </v>
          </cell>
          <cell r="M61" t="str">
            <v xml:space="preserve"> </v>
          </cell>
          <cell r="N61" t="str">
            <v>TITULAR</v>
          </cell>
          <cell r="O61" t="str">
            <v>FUENTE, DIEGO</v>
          </cell>
          <cell r="P61" t="str">
            <v xml:space="preserve"> </v>
          </cell>
        </row>
        <row r="62">
          <cell r="A62" t="str">
            <v>1°6°1ING</v>
          </cell>
          <cell r="B62" t="str">
            <v>1°6°</v>
          </cell>
          <cell r="C62"/>
          <cell r="D62" t="str">
            <v>1ING</v>
          </cell>
          <cell r="E62">
            <v>2232484</v>
          </cell>
          <cell r="F62" t="str">
            <v>INGLÉS</v>
          </cell>
          <cell r="G62" t="str">
            <v>27-29.433.432-2</v>
          </cell>
          <cell r="H62" t="str">
            <v xml:space="preserve"> (acrec 2018)</v>
          </cell>
          <cell r="I62" t="str">
            <v xml:space="preserve">ARCE KARINA </v>
          </cell>
          <cell r="J62"/>
          <cell r="K62"/>
          <cell r="L62" t="str">
            <v xml:space="preserve"> </v>
          </cell>
          <cell r="M62" t="str">
            <v xml:space="preserve"> </v>
          </cell>
          <cell r="N62" t="str">
            <v>TITULAR</v>
          </cell>
          <cell r="O62" t="str">
            <v xml:space="preserve">ARCE KARINA </v>
          </cell>
          <cell r="P62" t="str">
            <v xml:space="preserve"> </v>
          </cell>
        </row>
        <row r="63">
          <cell r="A63" t="str">
            <v>1°6°1MAT</v>
          </cell>
          <cell r="B63" t="str">
            <v>1°6°</v>
          </cell>
          <cell r="C63"/>
          <cell r="D63" t="str">
            <v>1MAT</v>
          </cell>
          <cell r="E63">
            <v>2232485</v>
          </cell>
          <cell r="F63" t="str">
            <v>MATEMATICA</v>
          </cell>
          <cell r="G63" t="str">
            <v xml:space="preserve"> 27-21.485.515-7</v>
          </cell>
          <cell r="H63"/>
          <cell r="I63" t="str">
            <v>FERNANDA, RODRIGUEZ</v>
          </cell>
          <cell r="J63"/>
          <cell r="K63"/>
          <cell r="L63" t="str">
            <v xml:space="preserve"> </v>
          </cell>
          <cell r="M63" t="str">
            <v xml:space="preserve"> </v>
          </cell>
          <cell r="N63" t="str">
            <v>TITULAR</v>
          </cell>
          <cell r="O63" t="str">
            <v>FERNANDA, RODRIGUEZ</v>
          </cell>
          <cell r="P63" t="str">
            <v xml:space="preserve"> </v>
          </cell>
        </row>
        <row r="64">
          <cell r="A64" t="str">
            <v>1°6°1LEN</v>
          </cell>
          <cell r="B64" t="str">
            <v>1°6°</v>
          </cell>
          <cell r="C64"/>
          <cell r="D64" t="str">
            <v>1LEN</v>
          </cell>
          <cell r="E64">
            <v>2232486</v>
          </cell>
          <cell r="F64" t="str">
            <v>PRACTICA DEL LENGUAJE</v>
          </cell>
          <cell r="G64">
            <v>34631207</v>
          </cell>
          <cell r="H64" t="str">
            <v xml:space="preserve"> DEFINITIVO 2020</v>
          </cell>
          <cell r="I64" t="str">
            <v xml:space="preserve">SIERRA DEBORA  </v>
          </cell>
          <cell r="J64"/>
          <cell r="K64"/>
          <cell r="L64" t="str">
            <v xml:space="preserve"> </v>
          </cell>
          <cell r="M64" t="str">
            <v xml:space="preserve"> </v>
          </cell>
          <cell r="N64" t="str">
            <v>TITULAR</v>
          </cell>
          <cell r="O64" t="str">
            <v xml:space="preserve">SIERRA DEBORA  </v>
          </cell>
          <cell r="P64" t="str">
            <v xml:space="preserve"> </v>
          </cell>
        </row>
        <row r="65">
          <cell r="A65" t="str">
            <v>1°6°1CCD</v>
          </cell>
          <cell r="B65" t="str">
            <v>1°6°</v>
          </cell>
          <cell r="C65"/>
          <cell r="D65" t="str">
            <v>1CCD</v>
          </cell>
          <cell r="E65">
            <v>2232487</v>
          </cell>
          <cell r="F65" t="str">
            <v>CONSTRUCCION DE LA CIUDADANIA</v>
          </cell>
          <cell r="G65" t="str">
            <v xml:space="preserve">   20-16.354.440-8 </v>
          </cell>
          <cell r="H65"/>
          <cell r="I65" t="str">
            <v xml:space="preserve">CABEZAS, ORTIZ  DANIEL                                </v>
          </cell>
          <cell r="J65"/>
          <cell r="K65"/>
          <cell r="L65">
            <v>0</v>
          </cell>
          <cell r="M65" t="str">
            <v>CORSO NAHUEL</v>
          </cell>
          <cell r="N65" t="str">
            <v>SUPLENTE</v>
          </cell>
          <cell r="O65" t="str">
            <v>CORSO NAHUEL</v>
          </cell>
          <cell r="P65" t="str">
            <v xml:space="preserve"> </v>
          </cell>
        </row>
        <row r="66">
          <cell r="A66" t="str">
            <v>1°6°1611TLT</v>
          </cell>
          <cell r="B66" t="str">
            <v>1°6°</v>
          </cell>
          <cell r="C66">
            <v>161</v>
          </cell>
          <cell r="D66" t="str">
            <v>1TLT</v>
          </cell>
          <cell r="E66">
            <v>2232490</v>
          </cell>
          <cell r="F66" t="str">
            <v>LENGUAJES TECNOLOGICOS</v>
          </cell>
          <cell r="G66"/>
          <cell r="H66"/>
          <cell r="I66"/>
          <cell r="J66" t="str">
            <v>20-28.186.910-9</v>
          </cell>
          <cell r="K66" t="str">
            <v xml:space="preserve">ESCALADA ARNALDO     </v>
          </cell>
          <cell r="L66" t="str">
            <v xml:space="preserve"> </v>
          </cell>
          <cell r="M66" t="str">
            <v xml:space="preserve"> </v>
          </cell>
          <cell r="N66" t="str">
            <v>PROVISIONAL</v>
          </cell>
          <cell r="O66" t="str">
            <v xml:space="preserve">ESCALADA ARNALDO     </v>
          </cell>
          <cell r="P66" t="str">
            <v xml:space="preserve"> </v>
          </cell>
        </row>
        <row r="67">
          <cell r="A67" t="str">
            <v>1°6°1611TST</v>
          </cell>
          <cell r="B67" t="str">
            <v>1°6°</v>
          </cell>
          <cell r="C67">
            <v>161</v>
          </cell>
          <cell r="D67" t="str">
            <v>1TST</v>
          </cell>
          <cell r="E67">
            <v>2232494</v>
          </cell>
          <cell r="F67" t="str">
            <v>SISTEMAS TECNOLOGICOS</v>
          </cell>
          <cell r="G67"/>
          <cell r="H67"/>
          <cell r="I67"/>
          <cell r="J67" t="str">
            <v>20-28.186.910-9</v>
          </cell>
          <cell r="K67" t="str">
            <v xml:space="preserve">ESCALADA ARNALDO     </v>
          </cell>
          <cell r="L67" t="str">
            <v xml:space="preserve"> </v>
          </cell>
          <cell r="M67" t="str">
            <v xml:space="preserve"> </v>
          </cell>
          <cell r="N67" t="str">
            <v>PROVISIONAL</v>
          </cell>
          <cell r="O67" t="str">
            <v xml:space="preserve">ESCALADA ARNALDO     </v>
          </cell>
          <cell r="P67" t="str">
            <v xml:space="preserve"> </v>
          </cell>
        </row>
        <row r="68">
          <cell r="A68" t="str">
            <v>1°6°1611TPT</v>
          </cell>
          <cell r="B68" t="str">
            <v>1°6°</v>
          </cell>
          <cell r="C68">
            <v>161</v>
          </cell>
          <cell r="D68" t="str">
            <v>1TPT</v>
          </cell>
          <cell r="E68">
            <v>2232499</v>
          </cell>
          <cell r="F68" t="str">
            <v>PROCEDIMIENTOS TECNICOS</v>
          </cell>
          <cell r="G68"/>
          <cell r="H68"/>
          <cell r="I68"/>
          <cell r="J68"/>
          <cell r="K68" t="str">
            <v>FISTER</v>
          </cell>
          <cell r="L68"/>
          <cell r="M68"/>
          <cell r="N68" t="str">
            <v>SUPLENTE</v>
          </cell>
          <cell r="O68">
            <v>0</v>
          </cell>
          <cell r="P68" t="str">
            <v xml:space="preserve"> </v>
          </cell>
        </row>
        <row r="69">
          <cell r="A69" t="str">
            <v>1°6°1621TLT</v>
          </cell>
          <cell r="B69" t="str">
            <v>1°6°</v>
          </cell>
          <cell r="C69">
            <v>162</v>
          </cell>
          <cell r="D69" t="str">
            <v>1TLT</v>
          </cell>
          <cell r="E69">
            <v>2232491</v>
          </cell>
          <cell r="F69" t="str">
            <v>LENGUAJES TECNOLOGICOS</v>
          </cell>
          <cell r="G69"/>
          <cell r="H69"/>
          <cell r="I69"/>
          <cell r="J69" t="str">
            <v>20-28.186.910-9</v>
          </cell>
          <cell r="K69" t="str">
            <v xml:space="preserve">ESCALADA ARNALDO     </v>
          </cell>
          <cell r="L69" t="str">
            <v xml:space="preserve"> </v>
          </cell>
          <cell r="M69" t="str">
            <v xml:space="preserve"> </v>
          </cell>
          <cell r="N69" t="str">
            <v>PROVISIONAL</v>
          </cell>
          <cell r="O69" t="str">
            <v xml:space="preserve">ESCALADA ARNALDO     </v>
          </cell>
          <cell r="P69" t="str">
            <v xml:space="preserve"> </v>
          </cell>
        </row>
        <row r="70">
          <cell r="A70" t="str">
            <v>1°6°1621TST</v>
          </cell>
          <cell r="B70" t="str">
            <v>1°6°</v>
          </cell>
          <cell r="C70">
            <v>162</v>
          </cell>
          <cell r="D70" t="str">
            <v>1TST</v>
          </cell>
          <cell r="E70">
            <v>2232497</v>
          </cell>
          <cell r="F70" t="str">
            <v>SISTEMAS TECNOLOGICOS</v>
          </cell>
          <cell r="G70"/>
          <cell r="H70"/>
          <cell r="I70"/>
          <cell r="J70" t="str">
            <v xml:space="preserve"> 23-24.294.162-4</v>
          </cell>
          <cell r="K70" t="str">
            <v>CASTILLO SOFIA</v>
          </cell>
          <cell r="L70"/>
          <cell r="M70"/>
          <cell r="N70" t="str">
            <v>SUPLENTE</v>
          </cell>
          <cell r="O70" t="str">
            <v xml:space="preserve">ESCALADA ARNALDO     </v>
          </cell>
          <cell r="P70" t="str">
            <v xml:space="preserve"> </v>
          </cell>
        </row>
        <row r="71">
          <cell r="A71" t="str">
            <v>1°6°1621TPT</v>
          </cell>
          <cell r="B71" t="str">
            <v>1°6°</v>
          </cell>
          <cell r="C71">
            <v>162</v>
          </cell>
          <cell r="D71" t="str">
            <v>1TPT</v>
          </cell>
          <cell r="E71">
            <v>2232501</v>
          </cell>
          <cell r="F71" t="str">
            <v>PROCEDIMIENTOS TECNICOS</v>
          </cell>
          <cell r="G71"/>
          <cell r="H71"/>
          <cell r="I71"/>
          <cell r="J71" t="str">
            <v xml:space="preserve">   20-23.639.282-2</v>
          </cell>
          <cell r="K71" t="str">
            <v xml:space="preserve">PAZ DANIEL                     </v>
          </cell>
          <cell r="L71">
            <v>0</v>
          </cell>
          <cell r="M71" t="str">
            <v xml:space="preserve">LOPEZ. JOTHAN </v>
          </cell>
          <cell r="N71" t="str">
            <v>SUPLENTE</v>
          </cell>
          <cell r="O71" t="str">
            <v xml:space="preserve">LOPEZ. JOTHAN </v>
          </cell>
          <cell r="P71" t="str">
            <v xml:space="preserve"> </v>
          </cell>
        </row>
        <row r="72">
          <cell r="A72" t="str">
            <v>2°1°2BIO</v>
          </cell>
          <cell r="B72" t="str">
            <v>2°1°</v>
          </cell>
          <cell r="C72"/>
          <cell r="D72" t="str">
            <v>2BIO</v>
          </cell>
          <cell r="E72">
            <v>1642764</v>
          </cell>
          <cell r="F72" t="str">
            <v>BIOLOGIA</v>
          </cell>
          <cell r="G72">
            <v>23480647</v>
          </cell>
          <cell r="H72"/>
          <cell r="I72" t="str">
            <v xml:space="preserve">TORRES CLAUDIA                                 27-29.251.861-2  </v>
          </cell>
          <cell r="J72"/>
          <cell r="K72"/>
          <cell r="L72">
            <v>0</v>
          </cell>
          <cell r="M72" t="str">
            <v>FARIAS CLAUDIA</v>
          </cell>
          <cell r="N72" t="str">
            <v>SUPLENTE</v>
          </cell>
          <cell r="O72" t="str">
            <v>FARIAS CLAUDIA</v>
          </cell>
          <cell r="P72" t="str">
            <v xml:space="preserve"> </v>
          </cell>
        </row>
        <row r="73">
          <cell r="A73" t="str">
            <v>2°1°2CCD</v>
          </cell>
          <cell r="B73" t="str">
            <v>2°1°</v>
          </cell>
          <cell r="C73"/>
          <cell r="D73" t="str">
            <v>2CCD</v>
          </cell>
          <cell r="E73">
            <v>2683134</v>
          </cell>
          <cell r="F73" t="str">
            <v>CONSTRUCCION DE LA CIUDADANIA</v>
          </cell>
          <cell r="G73" t="str">
            <v xml:space="preserve">  27-25.153.700-9</v>
          </cell>
          <cell r="H73"/>
          <cell r="I73" t="str">
            <v xml:space="preserve">AMAYA SILVIA                        </v>
          </cell>
          <cell r="J73"/>
          <cell r="K73"/>
          <cell r="L73">
            <v>27310342306</v>
          </cell>
          <cell r="M73" t="str">
            <v>LEDO VIVIANA SOLEDAD</v>
          </cell>
          <cell r="N73" t="str">
            <v>SUPLENTE</v>
          </cell>
          <cell r="O73" t="str">
            <v>LEDO VIVIANA SOLEDAD</v>
          </cell>
          <cell r="P73" t="str">
            <v xml:space="preserve"> </v>
          </cell>
        </row>
        <row r="74">
          <cell r="A74" t="str">
            <v>2°1°2ART</v>
          </cell>
          <cell r="B74" t="str">
            <v>2°1°</v>
          </cell>
          <cell r="C74"/>
          <cell r="D74" t="str">
            <v>2ART</v>
          </cell>
          <cell r="E74">
            <v>733585</v>
          </cell>
          <cell r="F74" t="str">
            <v>EDUCACION ARTISTICA (PLASTICA)</v>
          </cell>
          <cell r="G74"/>
          <cell r="H74"/>
          <cell r="I74"/>
          <cell r="J74"/>
          <cell r="K74" t="str">
            <v>SEGGIARO GISELA PAMELA  27324520711</v>
          </cell>
          <cell r="L74" t="str">
            <v xml:space="preserve"> </v>
          </cell>
          <cell r="M74" t="str">
            <v xml:space="preserve"> </v>
          </cell>
          <cell r="N74" t="str">
            <v>PROVISIONAL</v>
          </cell>
          <cell r="O74" t="str">
            <v>SEGGIARO GISELA PAMELA  27324520711</v>
          </cell>
          <cell r="P74" t="str">
            <v xml:space="preserve"> </v>
          </cell>
        </row>
        <row r="75">
          <cell r="A75" t="str">
            <v>2°1°2EFI</v>
          </cell>
          <cell r="B75" t="str">
            <v>2°1°</v>
          </cell>
          <cell r="C75"/>
          <cell r="D75" t="str">
            <v>2EFI</v>
          </cell>
          <cell r="E75">
            <v>733460</v>
          </cell>
          <cell r="F75" t="str">
            <v>EDUCACIÓN FISICA</v>
          </cell>
          <cell r="G75" t="str">
            <v xml:space="preserve">20-29.569.203-1 </v>
          </cell>
          <cell r="H75" t="str">
            <v>ACRECENTAMIENTO 2020</v>
          </cell>
          <cell r="I75" t="str">
            <v>LUDUEÑA NELSON            ACRECENTAMIENTO 2020</v>
          </cell>
          <cell r="J75"/>
          <cell r="K75"/>
          <cell r="L75" t="str">
            <v xml:space="preserve"> </v>
          </cell>
          <cell r="M75" t="str">
            <v xml:space="preserve"> </v>
          </cell>
          <cell r="N75" t="str">
            <v>TITULAR</v>
          </cell>
          <cell r="O75" t="str">
            <v>LUDUEÑA NELSON            ACRECENTAMIENTO 2020</v>
          </cell>
          <cell r="P75" t="str">
            <v xml:space="preserve"> </v>
          </cell>
        </row>
        <row r="76">
          <cell r="A76" t="str">
            <v>2°1°2FI/QUI</v>
          </cell>
          <cell r="B76" t="str">
            <v>2°1°</v>
          </cell>
          <cell r="C76"/>
          <cell r="D76" t="str">
            <v>2FI/QUI</v>
          </cell>
          <cell r="E76">
            <v>1642762</v>
          </cell>
          <cell r="F76" t="str">
            <v>FISICO-QUIMICA</v>
          </cell>
          <cell r="G76" t="str">
            <v xml:space="preserve">         20-23.884.637-5</v>
          </cell>
          <cell r="H76"/>
          <cell r="I76" t="str">
            <v xml:space="preserve">ESPINDOLA SERGIO                        </v>
          </cell>
          <cell r="J76"/>
          <cell r="K76"/>
          <cell r="L76" t="str">
            <v xml:space="preserve"> </v>
          </cell>
          <cell r="M76" t="str">
            <v xml:space="preserve"> </v>
          </cell>
          <cell r="N76" t="str">
            <v>TITULAR</v>
          </cell>
          <cell r="O76" t="str">
            <v xml:space="preserve">ESPINDOLA SERGIO                        </v>
          </cell>
          <cell r="P76" t="str">
            <v xml:space="preserve"> </v>
          </cell>
        </row>
        <row r="77">
          <cell r="A77" t="str">
            <v>2°1°2GEO</v>
          </cell>
          <cell r="B77" t="str">
            <v>2°1°</v>
          </cell>
          <cell r="C77"/>
          <cell r="D77" t="str">
            <v>2GEO</v>
          </cell>
          <cell r="E77">
            <v>31174482</v>
          </cell>
          <cell r="F77" t="str">
            <v>GEOGRAFIA</v>
          </cell>
          <cell r="G77"/>
          <cell r="H77"/>
          <cell r="I77"/>
          <cell r="J77">
            <v>27289018420</v>
          </cell>
          <cell r="K77" t="str">
            <v>OSTRIZ GISELA JORGELINA</v>
          </cell>
          <cell r="L77" t="str">
            <v xml:space="preserve"> </v>
          </cell>
          <cell r="M77" t="str">
            <v xml:space="preserve"> </v>
          </cell>
          <cell r="N77" t="str">
            <v>PROVISIONAL</v>
          </cell>
          <cell r="O77" t="str">
            <v>OSTRIZ GISELA JORGELINA</v>
          </cell>
          <cell r="P77" t="str">
            <v xml:space="preserve"> </v>
          </cell>
        </row>
        <row r="78">
          <cell r="A78" t="str">
            <v>2°1°2HIS</v>
          </cell>
          <cell r="B78" t="str">
            <v>2°1°</v>
          </cell>
          <cell r="C78"/>
          <cell r="D78" t="str">
            <v>2HIS</v>
          </cell>
          <cell r="E78">
            <v>1642703</v>
          </cell>
          <cell r="F78" t="str">
            <v>HISTORIA</v>
          </cell>
          <cell r="G78" t="str">
            <v xml:space="preserve"> 20-18.284.913-9</v>
          </cell>
          <cell r="H78"/>
          <cell r="I78" t="str">
            <v xml:space="preserve">TORRES LUIS                    </v>
          </cell>
          <cell r="J78"/>
          <cell r="K78"/>
          <cell r="L78" t="str">
            <v xml:space="preserve"> </v>
          </cell>
          <cell r="M78" t="str">
            <v xml:space="preserve"> </v>
          </cell>
          <cell r="N78" t="str">
            <v>TITULAR</v>
          </cell>
          <cell r="O78" t="str">
            <v xml:space="preserve">TORRES LUIS                    </v>
          </cell>
          <cell r="P78" t="str">
            <v xml:space="preserve"> </v>
          </cell>
        </row>
        <row r="79">
          <cell r="A79" t="str">
            <v>2°1°2ING</v>
          </cell>
          <cell r="B79" t="str">
            <v>2°1°</v>
          </cell>
          <cell r="C79"/>
          <cell r="D79" t="str">
            <v>2ING</v>
          </cell>
          <cell r="E79">
            <v>733561</v>
          </cell>
          <cell r="F79" t="str">
            <v>INGLÉS</v>
          </cell>
          <cell r="G79" t="str">
            <v xml:space="preserve"> 27-28.305.130-2</v>
          </cell>
          <cell r="H79"/>
          <cell r="I79" t="str">
            <v xml:space="preserve">BONELLI PAMELA                                </v>
          </cell>
          <cell r="J79"/>
          <cell r="K79"/>
          <cell r="L79" t="str">
            <v xml:space="preserve"> </v>
          </cell>
          <cell r="M79" t="str">
            <v xml:space="preserve"> </v>
          </cell>
          <cell r="N79" t="str">
            <v>TITULAR</v>
          </cell>
          <cell r="O79" t="str">
            <v xml:space="preserve">BONELLI PAMELA                                </v>
          </cell>
          <cell r="P79" t="str">
            <v xml:space="preserve"> </v>
          </cell>
        </row>
        <row r="80">
          <cell r="A80" t="str">
            <v>2°1°2MAT</v>
          </cell>
          <cell r="B80" t="str">
            <v>2°1°</v>
          </cell>
          <cell r="C80"/>
          <cell r="D80" t="str">
            <v>2MAT</v>
          </cell>
          <cell r="E80">
            <v>733468</v>
          </cell>
          <cell r="F80" t="str">
            <v>MATEMATICA</v>
          </cell>
          <cell r="G80"/>
          <cell r="H80">
            <v>44621</v>
          </cell>
          <cell r="I80" t="str">
            <v>GARCIA. C.</v>
          </cell>
          <cell r="J80"/>
          <cell r="K80"/>
          <cell r="L80" t="str">
            <v xml:space="preserve"> </v>
          </cell>
          <cell r="M80" t="str">
            <v xml:space="preserve"> </v>
          </cell>
          <cell r="N80" t="str">
            <v>TITULAR</v>
          </cell>
          <cell r="O80" t="str">
            <v>GARCIA. C.</v>
          </cell>
          <cell r="P80" t="str">
            <v xml:space="preserve"> </v>
          </cell>
        </row>
        <row r="81">
          <cell r="A81" t="str">
            <v>2°1°2PLG</v>
          </cell>
          <cell r="B81" t="str">
            <v>2°1°</v>
          </cell>
          <cell r="C81"/>
          <cell r="D81" t="str">
            <v>2PLG</v>
          </cell>
          <cell r="E81">
            <v>733470</v>
          </cell>
          <cell r="F81" t="str">
            <v>PRACTICA DEL LENGUAJE</v>
          </cell>
          <cell r="G81" t="str">
            <v xml:space="preserve">  27-26.803.143-7</v>
          </cell>
          <cell r="H81" t="str">
            <v>,   INT 2025</v>
          </cell>
          <cell r="I81" t="str">
            <v>CAÑETE YOHANA</v>
          </cell>
          <cell r="J81"/>
          <cell r="K81"/>
          <cell r="L81" t="str">
            <v xml:space="preserve"> </v>
          </cell>
          <cell r="M81" t="str">
            <v xml:space="preserve"> </v>
          </cell>
          <cell r="N81" t="str">
            <v>TITULAR</v>
          </cell>
          <cell r="O81" t="str">
            <v>CAÑETE YOHANA</v>
          </cell>
          <cell r="P81" t="str">
            <v xml:space="preserve"> </v>
          </cell>
        </row>
        <row r="82">
          <cell r="A82" t="str">
            <v>2°1°2112TLT2</v>
          </cell>
          <cell r="B82" t="str">
            <v>2°1°</v>
          </cell>
          <cell r="C82">
            <v>211</v>
          </cell>
          <cell r="D82" t="str">
            <v>2TLT2</v>
          </cell>
          <cell r="E82">
            <v>2683126</v>
          </cell>
          <cell r="F82" t="str">
            <v>LENGUAJES TECNOLOGICOS</v>
          </cell>
          <cell r="G82" t="str">
            <v>27- 11.864.641-5</v>
          </cell>
          <cell r="H82" t="str">
            <v xml:space="preserve"> (MASIVA)</v>
          </cell>
          <cell r="I82"/>
          <cell r="J82" t="str">
            <v>20-23.639.282-2</v>
          </cell>
          <cell r="K82" t="str">
            <v>PAZ DANIEL</v>
          </cell>
          <cell r="L82">
            <v>20426267994</v>
          </cell>
          <cell r="M82" t="str">
            <v xml:space="preserve">MARCELO ELIAN GONZÁLEZ BALDERRAMA  </v>
          </cell>
          <cell r="N82" t="str">
            <v>SUPLENTE</v>
          </cell>
          <cell r="O82" t="str">
            <v xml:space="preserve">MARCELO ELIAN GONZÁLEZ BALDERRAMA  </v>
          </cell>
          <cell r="P82" t="str">
            <v xml:space="preserve"> </v>
          </cell>
        </row>
        <row r="83">
          <cell r="A83" t="str">
            <v>2°1°2112TST2</v>
          </cell>
          <cell r="B83" t="str">
            <v>2°1°</v>
          </cell>
          <cell r="C83">
            <v>211</v>
          </cell>
          <cell r="D83" t="str">
            <v>2TST2</v>
          </cell>
          <cell r="E83">
            <v>2683127</v>
          </cell>
          <cell r="F83" t="str">
            <v>SISTEMAS TECNOLOGICOS</v>
          </cell>
          <cell r="G83"/>
          <cell r="H83"/>
          <cell r="I83"/>
          <cell r="J83" t="str">
            <v xml:space="preserve">   20-32982114-6</v>
          </cell>
          <cell r="K83" t="str">
            <v xml:space="preserve">CRUZ DAVID   </v>
          </cell>
          <cell r="L83" t="str">
            <v xml:space="preserve"> </v>
          </cell>
          <cell r="M83" t="str">
            <v xml:space="preserve"> </v>
          </cell>
          <cell r="N83" t="str">
            <v>PROVISIONAL</v>
          </cell>
          <cell r="O83" t="str">
            <v xml:space="preserve">CRUZ DAVID   </v>
          </cell>
          <cell r="P83" t="str">
            <v xml:space="preserve"> </v>
          </cell>
        </row>
        <row r="84">
          <cell r="A84" t="str">
            <v>2°1°2112TPT2</v>
          </cell>
          <cell r="B84" t="str">
            <v>2°1°</v>
          </cell>
          <cell r="C84">
            <v>211</v>
          </cell>
          <cell r="D84" t="str">
            <v>2TPT2</v>
          </cell>
          <cell r="E84">
            <v>2683128</v>
          </cell>
          <cell r="F84" t="str">
            <v>PROCEDIMIENTOS TECNICOS</v>
          </cell>
          <cell r="G84"/>
          <cell r="H84"/>
          <cell r="I84"/>
          <cell r="J84" t="str">
            <v xml:space="preserve">  20-22.230.438-6</v>
          </cell>
          <cell r="K84" t="str">
            <v xml:space="preserve">RODRIGUEZ RAUL                            </v>
          </cell>
          <cell r="L84" t="str">
            <v xml:space="preserve"> </v>
          </cell>
          <cell r="M84" t="str">
            <v xml:space="preserve"> </v>
          </cell>
          <cell r="N84" t="str">
            <v>PROVISIONAL</v>
          </cell>
          <cell r="O84" t="str">
            <v xml:space="preserve">RODRIGUEZ RAUL                            </v>
          </cell>
          <cell r="P84" t="str">
            <v xml:space="preserve"> </v>
          </cell>
        </row>
        <row r="85">
          <cell r="A85" t="str">
            <v>2°1°2122TLT2</v>
          </cell>
          <cell r="B85" t="str">
            <v>2°1°</v>
          </cell>
          <cell r="C85">
            <v>212</v>
          </cell>
          <cell r="D85" t="str">
            <v>2TLT2</v>
          </cell>
          <cell r="E85">
            <v>2683129</v>
          </cell>
          <cell r="F85" t="str">
            <v>LENGUAJES TECNOLOGICOS</v>
          </cell>
          <cell r="G85" t="str">
            <v xml:space="preserve"> 27-11.864.641-5 </v>
          </cell>
          <cell r="H85" t="str">
            <v>(MASIVA)</v>
          </cell>
          <cell r="I85"/>
          <cell r="J85"/>
          <cell r="K85" t="str">
            <v xml:space="preserve">VERA LORENA                        </v>
          </cell>
          <cell r="L85" t="str">
            <v xml:space="preserve"> </v>
          </cell>
          <cell r="M85" t="str">
            <v xml:space="preserve"> </v>
          </cell>
          <cell r="N85" t="str">
            <v>PROVISIONAL</v>
          </cell>
          <cell r="O85" t="str">
            <v xml:space="preserve">VERA LORENA                        </v>
          </cell>
          <cell r="P85" t="str">
            <v xml:space="preserve"> </v>
          </cell>
        </row>
        <row r="86">
          <cell r="A86" t="str">
            <v>2°1°2122TST2</v>
          </cell>
          <cell r="B86" t="str">
            <v>2°1°</v>
          </cell>
          <cell r="C86">
            <v>212</v>
          </cell>
          <cell r="D86" t="str">
            <v>2TST2</v>
          </cell>
          <cell r="E86">
            <v>2683131</v>
          </cell>
          <cell r="F86" t="str">
            <v>SISTEMAS TECNOLOGICOS</v>
          </cell>
          <cell r="G86"/>
          <cell r="H86"/>
          <cell r="I86"/>
          <cell r="J86"/>
          <cell r="K86" t="str">
            <v xml:space="preserve">VERA LORENA                        </v>
          </cell>
          <cell r="L86"/>
          <cell r="M86" t="str">
            <v xml:space="preserve"> </v>
          </cell>
          <cell r="N86" t="str">
            <v>PROVISIONAL</v>
          </cell>
          <cell r="O86" t="str">
            <v xml:space="preserve">VERA LORENA                        </v>
          </cell>
          <cell r="P86" t="str">
            <v xml:space="preserve"> </v>
          </cell>
        </row>
        <row r="87">
          <cell r="A87" t="str">
            <v>2°1°2122TPT2</v>
          </cell>
          <cell r="B87" t="str">
            <v>2°1°</v>
          </cell>
          <cell r="C87">
            <v>212</v>
          </cell>
          <cell r="D87" t="str">
            <v>2TPT2</v>
          </cell>
          <cell r="E87">
            <v>2683132</v>
          </cell>
          <cell r="F87" t="str">
            <v>PROCEDIMIENTOS TECNICOS</v>
          </cell>
          <cell r="G87" t="str">
            <v>20-25.521.976-7</v>
          </cell>
          <cell r="H87" t="str">
            <v xml:space="preserve"> (MASIVA)</v>
          </cell>
          <cell r="I87" t="str">
            <v xml:space="preserve">CHAMORRO CRISTIAN                        </v>
          </cell>
          <cell r="J87"/>
          <cell r="K87"/>
          <cell r="L87" t="str">
            <v xml:space="preserve"> </v>
          </cell>
          <cell r="M87" t="str">
            <v xml:space="preserve"> </v>
          </cell>
          <cell r="N87" t="str">
            <v>TITULAR</v>
          </cell>
          <cell r="O87" t="str">
            <v xml:space="preserve">CHAMORRO CRISTIAN                        </v>
          </cell>
          <cell r="P87" t="str">
            <v xml:space="preserve"> </v>
          </cell>
        </row>
        <row r="88">
          <cell r="A88" t="str">
            <v>2°2°2BIO</v>
          </cell>
          <cell r="B88" t="str">
            <v>2°2°</v>
          </cell>
          <cell r="C88"/>
          <cell r="D88" t="str">
            <v>2BIO</v>
          </cell>
          <cell r="E88">
            <v>1644155</v>
          </cell>
          <cell r="F88" t="str">
            <v>BIOLOGIA</v>
          </cell>
          <cell r="G88" t="str">
            <v>27-29.251.861-2</v>
          </cell>
          <cell r="H88"/>
          <cell r="I88" t="str">
            <v xml:space="preserve">TORRES CLAUDIA             </v>
          </cell>
          <cell r="J88"/>
          <cell r="K88"/>
          <cell r="L88">
            <v>27274090400</v>
          </cell>
          <cell r="M88" t="str">
            <v xml:space="preserve"> ARIAS YANINA</v>
          </cell>
          <cell r="N88" t="str">
            <v>SUPLENTE</v>
          </cell>
          <cell r="O88" t="str">
            <v xml:space="preserve"> ARIAS YANINA</v>
          </cell>
          <cell r="P88" t="str">
            <v xml:space="preserve"> </v>
          </cell>
        </row>
        <row r="89">
          <cell r="A89" t="str">
            <v>2°2°2CCD</v>
          </cell>
          <cell r="B89" t="str">
            <v>2°2°</v>
          </cell>
          <cell r="C89"/>
          <cell r="D89" t="str">
            <v>2CCD</v>
          </cell>
          <cell r="E89">
            <v>2174482</v>
          </cell>
          <cell r="F89" t="str">
            <v>CONSTRUCCION DE LA CIUDADANIA</v>
          </cell>
          <cell r="G89" t="str">
            <v xml:space="preserve">  27-23.075.433-8  </v>
          </cell>
          <cell r="H89" t="str">
            <v>(MAD 2020)</v>
          </cell>
          <cell r="I89" t="str">
            <v xml:space="preserve">HERRERA CARMEN                   </v>
          </cell>
          <cell r="J89"/>
          <cell r="K89"/>
          <cell r="L89" t="str">
            <v xml:space="preserve"> </v>
          </cell>
          <cell r="M89" t="str">
            <v xml:space="preserve"> </v>
          </cell>
          <cell r="N89" t="str">
            <v>TITULAR</v>
          </cell>
          <cell r="O89" t="str">
            <v xml:space="preserve">HERRERA CARMEN                   </v>
          </cell>
          <cell r="P89" t="str">
            <v xml:space="preserve"> </v>
          </cell>
        </row>
        <row r="90">
          <cell r="A90" t="str">
            <v>2°2°2ART</v>
          </cell>
          <cell r="B90" t="str">
            <v>2°2°</v>
          </cell>
          <cell r="C90"/>
          <cell r="D90" t="str">
            <v>2ART</v>
          </cell>
          <cell r="E90">
            <v>733691</v>
          </cell>
          <cell r="F90" t="str">
            <v>EDUCACION ARTISTICA (PLASTICA)</v>
          </cell>
          <cell r="G90" t="str">
            <v xml:space="preserve">       27-27.476.782-6</v>
          </cell>
          <cell r="H90"/>
          <cell r="I90" t="str">
            <v>MELGAREJO, PAULA</v>
          </cell>
          <cell r="J90"/>
          <cell r="K90"/>
          <cell r="L90" t="str">
            <v xml:space="preserve"> </v>
          </cell>
          <cell r="M90" t="str">
            <v xml:space="preserve"> </v>
          </cell>
          <cell r="N90" t="str">
            <v>TITULAR</v>
          </cell>
          <cell r="O90" t="str">
            <v>MELGAREJO, PAULA</v>
          </cell>
          <cell r="P90" t="str">
            <v xml:space="preserve"> </v>
          </cell>
        </row>
        <row r="91">
          <cell r="A91" t="str">
            <v>2°2°2EFI</v>
          </cell>
          <cell r="B91" t="str">
            <v>2°2°</v>
          </cell>
          <cell r="C91"/>
          <cell r="D91" t="str">
            <v>2EFI</v>
          </cell>
          <cell r="E91">
            <v>733701</v>
          </cell>
          <cell r="F91" t="str">
            <v>EDUCACIÓN FISICA</v>
          </cell>
          <cell r="G91" t="str">
            <v>20-20.776.115-0</v>
          </cell>
          <cell r="H91"/>
          <cell r="I91" t="str">
            <v xml:space="preserve">LUDUEÑA NELSON           </v>
          </cell>
          <cell r="J91"/>
          <cell r="K91"/>
          <cell r="L91" t="str">
            <v xml:space="preserve"> </v>
          </cell>
          <cell r="M91" t="str">
            <v xml:space="preserve"> </v>
          </cell>
          <cell r="N91" t="str">
            <v>TITULAR</v>
          </cell>
          <cell r="O91" t="str">
            <v xml:space="preserve">LUDUEÑA NELSON           </v>
          </cell>
          <cell r="P91" t="str">
            <v xml:space="preserve"> </v>
          </cell>
        </row>
        <row r="92">
          <cell r="A92" t="str">
            <v>2°2°2FI/QUI</v>
          </cell>
          <cell r="B92" t="str">
            <v>2°2°</v>
          </cell>
          <cell r="C92"/>
          <cell r="D92" t="str">
            <v>2FI/QUI</v>
          </cell>
          <cell r="E92">
            <v>1644154</v>
          </cell>
          <cell r="F92" t="str">
            <v>FISICO-QUIMICA</v>
          </cell>
          <cell r="G92" t="str">
            <v>27-28.329.165-6</v>
          </cell>
          <cell r="H92"/>
          <cell r="I92" t="str">
            <v xml:space="preserve">AGUIRRE VALERIA                            </v>
          </cell>
          <cell r="J92"/>
          <cell r="K92"/>
          <cell r="L92" t="str">
            <v xml:space="preserve"> </v>
          </cell>
          <cell r="M92" t="str">
            <v xml:space="preserve"> </v>
          </cell>
          <cell r="N92" t="str">
            <v>TITULAR</v>
          </cell>
          <cell r="O92" t="str">
            <v xml:space="preserve">AGUIRRE VALERIA                            </v>
          </cell>
          <cell r="P92" t="str">
            <v xml:space="preserve"> </v>
          </cell>
        </row>
        <row r="93">
          <cell r="A93" t="str">
            <v>2°2°2GEO</v>
          </cell>
          <cell r="B93" t="str">
            <v>2°2°</v>
          </cell>
          <cell r="C93"/>
          <cell r="D93" t="str">
            <v>2GEO</v>
          </cell>
          <cell r="E93">
            <v>1644151</v>
          </cell>
          <cell r="F93" t="str">
            <v>GEOGRAFIA</v>
          </cell>
          <cell r="G93"/>
          <cell r="H93"/>
          <cell r="I93"/>
          <cell r="J93" t="str">
            <v>23-25.384.927-4</v>
          </cell>
          <cell r="K93" t="str">
            <v>AYALA VICORIA</v>
          </cell>
          <cell r="L93" t="str">
            <v xml:space="preserve"> </v>
          </cell>
          <cell r="M93" t="str">
            <v xml:space="preserve"> </v>
          </cell>
          <cell r="N93" t="str">
            <v>PROVISIONAL</v>
          </cell>
          <cell r="O93" t="str">
            <v>AYALA VICORIA</v>
          </cell>
          <cell r="P93" t="str">
            <v xml:space="preserve"> </v>
          </cell>
        </row>
        <row r="94">
          <cell r="A94" t="str">
            <v>2°2°2HIS</v>
          </cell>
          <cell r="B94" t="str">
            <v>2°2°</v>
          </cell>
          <cell r="C94"/>
          <cell r="D94" t="str">
            <v>2HIS</v>
          </cell>
          <cell r="E94">
            <v>1644152</v>
          </cell>
          <cell r="F94" t="str">
            <v>HISTORIA</v>
          </cell>
          <cell r="G94" t="str">
            <v>27-20.786.164-8</v>
          </cell>
          <cell r="H94"/>
          <cell r="I94" t="str">
            <v xml:space="preserve">JUAREZ NORMA </v>
          </cell>
          <cell r="J94"/>
          <cell r="K94"/>
          <cell r="L94" t="str">
            <v xml:space="preserve"> </v>
          </cell>
          <cell r="M94" t="str">
            <v xml:space="preserve"> </v>
          </cell>
          <cell r="N94" t="str">
            <v>TITULAR</v>
          </cell>
          <cell r="O94" t="str">
            <v xml:space="preserve">JUAREZ NORMA </v>
          </cell>
          <cell r="P94" t="str">
            <v xml:space="preserve"> </v>
          </cell>
        </row>
        <row r="95">
          <cell r="A95" t="str">
            <v>2°2°2ING</v>
          </cell>
          <cell r="B95" t="str">
            <v>2°2°</v>
          </cell>
          <cell r="C95"/>
          <cell r="D95" t="str">
            <v>2ING</v>
          </cell>
          <cell r="E95">
            <v>968803</v>
          </cell>
          <cell r="F95" t="str">
            <v>INGLÉS</v>
          </cell>
          <cell r="G95" t="str">
            <v xml:space="preserve">20-25.658.952-5  interino 2020 </v>
          </cell>
          <cell r="H95"/>
          <cell r="I95" t="str">
            <v>RAMIREZ GISELE</v>
          </cell>
          <cell r="J95"/>
          <cell r="K95"/>
          <cell r="L95" t="str">
            <v xml:space="preserve"> </v>
          </cell>
          <cell r="M95" t="str">
            <v xml:space="preserve"> </v>
          </cell>
          <cell r="N95" t="str">
            <v>TITULAR</v>
          </cell>
          <cell r="O95" t="str">
            <v>RAMIREZ GISELE</v>
          </cell>
          <cell r="P95" t="str">
            <v xml:space="preserve"> </v>
          </cell>
        </row>
        <row r="96">
          <cell r="A96" t="str">
            <v>2°2°2MAT</v>
          </cell>
          <cell r="B96" t="str">
            <v>2°2°</v>
          </cell>
          <cell r="C96"/>
          <cell r="D96" t="str">
            <v>2MAT</v>
          </cell>
          <cell r="E96">
            <v>789737</v>
          </cell>
          <cell r="F96" t="str">
            <v>MATEMATICA</v>
          </cell>
          <cell r="G96" t="str">
            <v xml:space="preserve"> 27-21.485.515-7</v>
          </cell>
          <cell r="H96"/>
          <cell r="I96" t="str">
            <v>VARCHETTA, GABRIEL</v>
          </cell>
          <cell r="J96"/>
          <cell r="K96"/>
          <cell r="L96" t="str">
            <v xml:space="preserve"> </v>
          </cell>
          <cell r="M96" t="str">
            <v xml:space="preserve"> </v>
          </cell>
          <cell r="N96" t="str">
            <v>TITULAR</v>
          </cell>
          <cell r="O96" t="str">
            <v>VARCHETTA, GABRIEL</v>
          </cell>
          <cell r="P96" t="str">
            <v xml:space="preserve"> </v>
          </cell>
        </row>
        <row r="97">
          <cell r="A97" t="str">
            <v>2°2°2PLG</v>
          </cell>
          <cell r="B97" t="str">
            <v>2°2°</v>
          </cell>
          <cell r="C97"/>
          <cell r="D97" t="str">
            <v>2PLG</v>
          </cell>
          <cell r="E97">
            <v>733450</v>
          </cell>
          <cell r="F97" t="str">
            <v>PRACTICA DEL LENGUAJE</v>
          </cell>
          <cell r="G97" t="str">
            <v>27-26.115.648-8</v>
          </cell>
          <cell r="H97"/>
          <cell r="I97" t="str">
            <v xml:space="preserve">GONZALEZ DANIELA                                 </v>
          </cell>
          <cell r="J97"/>
          <cell r="K97"/>
          <cell r="L97" t="str">
            <v xml:space="preserve"> </v>
          </cell>
          <cell r="M97" t="str">
            <v xml:space="preserve"> </v>
          </cell>
          <cell r="N97" t="str">
            <v>TITULAR</v>
          </cell>
          <cell r="O97" t="str">
            <v xml:space="preserve">GONZALEZ DANIELA                                 </v>
          </cell>
          <cell r="P97" t="str">
            <v xml:space="preserve"> </v>
          </cell>
        </row>
        <row r="98">
          <cell r="A98" t="str">
            <v>2°2°2212TLT2</v>
          </cell>
          <cell r="B98" t="str">
            <v>2°2°</v>
          </cell>
          <cell r="C98">
            <v>221</v>
          </cell>
          <cell r="D98" t="str">
            <v>2TLT2</v>
          </cell>
          <cell r="E98">
            <v>2673400</v>
          </cell>
          <cell r="F98" t="str">
            <v>LENGUAJES TECNOLOGICOS</v>
          </cell>
          <cell r="G98" t="str">
            <v xml:space="preserve">27-11.864.641-5 </v>
          </cell>
          <cell r="H98" t="str">
            <v>(MASIVA)</v>
          </cell>
          <cell r="I98" t="str">
            <v xml:space="preserve">RIVAROLA NORMA                            </v>
          </cell>
          <cell r="J98"/>
          <cell r="K98"/>
          <cell r="L98" t="str">
            <v xml:space="preserve"> </v>
          </cell>
          <cell r="M98" t="str">
            <v xml:space="preserve"> </v>
          </cell>
          <cell r="N98" t="str">
            <v>TITULAR</v>
          </cell>
          <cell r="O98" t="str">
            <v xml:space="preserve">RIVAROLA NORMA                            </v>
          </cell>
          <cell r="P98" t="str">
            <v xml:space="preserve"> </v>
          </cell>
        </row>
        <row r="99">
          <cell r="A99" t="str">
            <v>2°2°2212TST2</v>
          </cell>
          <cell r="B99" t="str">
            <v>2°2°</v>
          </cell>
          <cell r="C99">
            <v>221</v>
          </cell>
          <cell r="D99" t="str">
            <v>2TST2</v>
          </cell>
          <cell r="E99">
            <v>2673402</v>
          </cell>
          <cell r="F99" t="str">
            <v>SISTEMAS TECNOLOGICOS</v>
          </cell>
          <cell r="G99" t="str">
            <v xml:space="preserve">27-26.174.351-0 </v>
          </cell>
          <cell r="H99" t="str">
            <v xml:space="preserve"> (MASIVA)</v>
          </cell>
          <cell r="I99" t="str">
            <v xml:space="preserve">GOMEZ ANALIA                                     </v>
          </cell>
          <cell r="J99"/>
          <cell r="K99"/>
          <cell r="L99" t="str">
            <v xml:space="preserve"> </v>
          </cell>
          <cell r="M99" t="str">
            <v xml:space="preserve"> </v>
          </cell>
          <cell r="N99" t="str">
            <v>TITULAR</v>
          </cell>
          <cell r="O99" t="str">
            <v xml:space="preserve">GOMEZ ANALIA                                     </v>
          </cell>
          <cell r="P99" t="str">
            <v xml:space="preserve"> </v>
          </cell>
        </row>
        <row r="100">
          <cell r="A100" t="str">
            <v>2°2°2212TPT2</v>
          </cell>
          <cell r="B100" t="str">
            <v>2°2°</v>
          </cell>
          <cell r="C100">
            <v>221</v>
          </cell>
          <cell r="D100" t="str">
            <v>2TPT2</v>
          </cell>
          <cell r="E100">
            <v>2673403</v>
          </cell>
          <cell r="F100" t="str">
            <v>PROCEDIMIENTOS TECNICOS</v>
          </cell>
          <cell r="G100"/>
          <cell r="H100"/>
          <cell r="I100"/>
          <cell r="J100"/>
          <cell r="K100" t="str">
            <v>CRUZ DAVID</v>
          </cell>
          <cell r="L100" t="str">
            <v xml:space="preserve"> </v>
          </cell>
          <cell r="M100" t="str">
            <v xml:space="preserve"> </v>
          </cell>
          <cell r="N100" t="str">
            <v>PROVISIONAL</v>
          </cell>
          <cell r="O100" t="str">
            <v>CRUZ DAVID</v>
          </cell>
          <cell r="P100" t="str">
            <v xml:space="preserve"> </v>
          </cell>
        </row>
        <row r="101">
          <cell r="A101" t="str">
            <v>2°2°2222TLT2</v>
          </cell>
          <cell r="B101" t="str">
            <v>2°2°</v>
          </cell>
          <cell r="C101">
            <v>222</v>
          </cell>
          <cell r="D101" t="str">
            <v>2TLT2</v>
          </cell>
          <cell r="E101">
            <v>2673404</v>
          </cell>
          <cell r="F101" t="str">
            <v>LENGUAJES TECNOLOGICOS</v>
          </cell>
          <cell r="G101" t="str">
            <v xml:space="preserve">27-11.864.641-5       </v>
          </cell>
          <cell r="H101" t="str">
            <v xml:space="preserve">    (MASIVA)</v>
          </cell>
          <cell r="I101" t="str">
            <v xml:space="preserve">RIVAROLA NORMA              </v>
          </cell>
          <cell r="J101"/>
          <cell r="K101"/>
          <cell r="L101" t="str">
            <v xml:space="preserve"> </v>
          </cell>
          <cell r="M101" t="str">
            <v xml:space="preserve"> </v>
          </cell>
          <cell r="N101" t="str">
            <v>TITULAR</v>
          </cell>
          <cell r="O101" t="str">
            <v xml:space="preserve">RIVAROLA NORMA              </v>
          </cell>
          <cell r="P101" t="str">
            <v xml:space="preserve"> </v>
          </cell>
        </row>
        <row r="102">
          <cell r="A102" t="str">
            <v>2°2°2222TST2</v>
          </cell>
          <cell r="B102" t="str">
            <v>2°2°</v>
          </cell>
          <cell r="C102">
            <v>222</v>
          </cell>
          <cell r="D102" t="str">
            <v>2TST2</v>
          </cell>
          <cell r="E102">
            <v>2673405</v>
          </cell>
          <cell r="F102" t="str">
            <v>SISTEMAS TECNOLOGICOS</v>
          </cell>
          <cell r="G102"/>
          <cell r="H102"/>
          <cell r="I102"/>
          <cell r="J102"/>
          <cell r="K102" t="str">
            <v>RODRIGUEZ PABLO</v>
          </cell>
          <cell r="L102"/>
          <cell r="M102" t="str">
            <v xml:space="preserve"> </v>
          </cell>
          <cell r="N102" t="str">
            <v>PROVISIONAL</v>
          </cell>
          <cell r="O102" t="str">
            <v>RODRIGUEZ PABLO</v>
          </cell>
          <cell r="P102" t="str">
            <v xml:space="preserve"> </v>
          </cell>
        </row>
        <row r="103">
          <cell r="A103" t="str">
            <v>2°2°2222TPT2</v>
          </cell>
          <cell r="B103" t="str">
            <v>2°2°</v>
          </cell>
          <cell r="C103">
            <v>222</v>
          </cell>
          <cell r="D103" t="str">
            <v>2TPT2</v>
          </cell>
          <cell r="E103">
            <v>2673406</v>
          </cell>
          <cell r="F103" t="str">
            <v>PROCEDIMIENTOS TECNICOS</v>
          </cell>
          <cell r="G103"/>
          <cell r="H103"/>
          <cell r="I103"/>
          <cell r="J103" t="str">
            <v xml:space="preserve">     20-28.191.299-3</v>
          </cell>
          <cell r="K103" t="str">
            <v xml:space="preserve">ETCHEVERRY MARTIN                            </v>
          </cell>
          <cell r="L103" t="str">
            <v xml:space="preserve"> </v>
          </cell>
          <cell r="M103" t="str">
            <v xml:space="preserve"> </v>
          </cell>
          <cell r="N103" t="str">
            <v>PROVISIONAL</v>
          </cell>
          <cell r="O103" t="str">
            <v xml:space="preserve">ETCHEVERRY MARTIN                            </v>
          </cell>
          <cell r="P103" t="str">
            <v xml:space="preserve"> </v>
          </cell>
        </row>
        <row r="104">
          <cell r="A104" t="str">
            <v>2°3°2BIO</v>
          </cell>
          <cell r="B104" t="str">
            <v>2°3°</v>
          </cell>
          <cell r="C104"/>
          <cell r="D104" t="str">
            <v>2BIO</v>
          </cell>
          <cell r="E104">
            <v>1644159</v>
          </cell>
          <cell r="F104" t="str">
            <v>BIOLOGIA</v>
          </cell>
          <cell r="G104" t="str">
            <v xml:space="preserve"> 27-29.251.861-2</v>
          </cell>
          <cell r="H104"/>
          <cell r="I104" t="str">
            <v xml:space="preserve">TORRES CLAUDIA  </v>
          </cell>
          <cell r="J104"/>
          <cell r="K104"/>
          <cell r="L104">
            <v>20329816665</v>
          </cell>
          <cell r="M104" t="str">
            <v>PERALTA LOURDES MARIA EUGE</v>
          </cell>
          <cell r="N104" t="str">
            <v>SUPLENTE</v>
          </cell>
          <cell r="O104" t="str">
            <v>PERALTA LOURDES MARIA EUGE</v>
          </cell>
          <cell r="P104" t="str">
            <v xml:space="preserve"> </v>
          </cell>
        </row>
        <row r="105">
          <cell r="A105" t="str">
            <v>2°3°2CCD</v>
          </cell>
          <cell r="B105" t="str">
            <v>2°3°</v>
          </cell>
          <cell r="C105"/>
          <cell r="D105" t="str">
            <v>2CCD</v>
          </cell>
          <cell r="E105">
            <v>2683123</v>
          </cell>
          <cell r="F105" t="str">
            <v>CONSTRUCCION DE LA CIUDADANIA</v>
          </cell>
          <cell r="G105"/>
          <cell r="H105"/>
          <cell r="I105" t="str">
            <v>HERRERA CARMEN</v>
          </cell>
          <cell r="J105"/>
          <cell r="K105"/>
          <cell r="L105">
            <v>0</v>
          </cell>
          <cell r="M105" t="str">
            <v>ARCE MIRTA</v>
          </cell>
          <cell r="N105" t="str">
            <v>SUPLENTE</v>
          </cell>
          <cell r="O105" t="str">
            <v>ARCE MIRTA</v>
          </cell>
          <cell r="P105" t="str">
            <v xml:space="preserve"> </v>
          </cell>
        </row>
        <row r="106">
          <cell r="A106" t="str">
            <v>2°3°2ART</v>
          </cell>
          <cell r="B106" t="str">
            <v>2°3°</v>
          </cell>
          <cell r="C106"/>
          <cell r="D106" t="str">
            <v>2ART</v>
          </cell>
          <cell r="E106">
            <v>807722</v>
          </cell>
          <cell r="F106" t="str">
            <v>EDUCACION ARTISTICA (PLASTICA)</v>
          </cell>
          <cell r="G106"/>
          <cell r="H106"/>
          <cell r="I106"/>
          <cell r="J106">
            <v>27272953819</v>
          </cell>
          <cell r="K106" t="str">
            <v xml:space="preserve">PEREYRA, GISELA VANESA  </v>
          </cell>
          <cell r="L106" t="str">
            <v xml:space="preserve"> </v>
          </cell>
          <cell r="M106" t="str">
            <v xml:space="preserve"> </v>
          </cell>
          <cell r="N106" t="str">
            <v>PROVISIONAL</v>
          </cell>
          <cell r="O106" t="str">
            <v xml:space="preserve">PEREYRA, GISELA VANESA  </v>
          </cell>
          <cell r="P106" t="str">
            <v xml:space="preserve"> </v>
          </cell>
        </row>
        <row r="107">
          <cell r="A107" t="str">
            <v>2°3°2EFI</v>
          </cell>
          <cell r="B107" t="str">
            <v>2°3°</v>
          </cell>
          <cell r="C107"/>
          <cell r="D107" t="str">
            <v>2EFI</v>
          </cell>
          <cell r="E107">
            <v>807724</v>
          </cell>
          <cell r="F107" t="str">
            <v>EDUCACIÓN FISICA</v>
          </cell>
          <cell r="G107">
            <v>2725153709</v>
          </cell>
          <cell r="H107" t="str">
            <v xml:space="preserve">  (MAD 2020)</v>
          </cell>
          <cell r="I107" t="str">
            <v xml:space="preserve">AMAYA SILVIA </v>
          </cell>
          <cell r="J107"/>
          <cell r="K107"/>
          <cell r="L107" t="str">
            <v xml:space="preserve"> </v>
          </cell>
          <cell r="M107" t="str">
            <v xml:space="preserve"> </v>
          </cell>
          <cell r="N107" t="str">
            <v>TITULAR</v>
          </cell>
          <cell r="O107" t="str">
            <v xml:space="preserve">AMAYA SILVIA </v>
          </cell>
          <cell r="P107" t="str">
            <v xml:space="preserve"> </v>
          </cell>
        </row>
        <row r="108">
          <cell r="A108" t="str">
            <v>2°3°2FI/QUI</v>
          </cell>
          <cell r="B108" t="str">
            <v>2°3°</v>
          </cell>
          <cell r="C108"/>
          <cell r="D108" t="str">
            <v>2FI/QUI</v>
          </cell>
          <cell r="E108">
            <v>1644158</v>
          </cell>
          <cell r="F108" t="str">
            <v>FISICO-QUIMICA</v>
          </cell>
          <cell r="G108" t="str">
            <v>27-25.663.450-9</v>
          </cell>
          <cell r="H108"/>
          <cell r="I108" t="str">
            <v xml:space="preserve">ESCALADA SILVANA </v>
          </cell>
          <cell r="J108"/>
          <cell r="K108"/>
          <cell r="L108">
            <v>27309231800</v>
          </cell>
          <cell r="M108" t="str">
            <v xml:space="preserve">PEREYRA MARISA ALEJANDR </v>
          </cell>
          <cell r="N108" t="str">
            <v>SUPLENTE</v>
          </cell>
          <cell r="O108" t="str">
            <v xml:space="preserve">PEREYRA MARISA ALEJANDR </v>
          </cell>
          <cell r="P108" t="str">
            <v xml:space="preserve"> </v>
          </cell>
        </row>
        <row r="109">
          <cell r="A109" t="str">
            <v>2°3°2GEO</v>
          </cell>
          <cell r="B109" t="str">
            <v>2°3°</v>
          </cell>
          <cell r="C109"/>
          <cell r="D109" t="str">
            <v>2GEO</v>
          </cell>
          <cell r="E109">
            <v>1228009</v>
          </cell>
          <cell r="F109" t="str">
            <v>GEOGRAFIA</v>
          </cell>
          <cell r="G109" t="str">
            <v xml:space="preserve"> 20-24.636.852-0</v>
          </cell>
          <cell r="H109"/>
          <cell r="I109" t="str">
            <v>ROJAS SOLEDAD</v>
          </cell>
          <cell r="J109"/>
          <cell r="K109"/>
          <cell r="L109" t="str">
            <v xml:space="preserve"> </v>
          </cell>
          <cell r="M109" t="str">
            <v xml:space="preserve"> </v>
          </cell>
          <cell r="N109" t="str">
            <v>TITULAR</v>
          </cell>
          <cell r="O109" t="str">
            <v>ROJAS SOLEDAD</v>
          </cell>
          <cell r="P109" t="str">
            <v xml:space="preserve"> </v>
          </cell>
        </row>
        <row r="110">
          <cell r="A110" t="str">
            <v>2°3°2HIS</v>
          </cell>
          <cell r="B110" t="str">
            <v>2°3°</v>
          </cell>
          <cell r="C110"/>
          <cell r="D110" t="str">
            <v>2HIS</v>
          </cell>
          <cell r="E110">
            <v>1644157</v>
          </cell>
          <cell r="F110" t="str">
            <v>HISTORIA</v>
          </cell>
          <cell r="G110" t="str">
            <v xml:space="preserve"> 27-20.786.164-8 </v>
          </cell>
          <cell r="H110" t="str">
            <v>MAD 2025</v>
          </cell>
          <cell r="I110" t="str">
            <v>JUAREZ NORMA</v>
          </cell>
          <cell r="J110"/>
          <cell r="K110"/>
          <cell r="L110" t="str">
            <v xml:space="preserve"> </v>
          </cell>
          <cell r="M110" t="str">
            <v xml:space="preserve"> </v>
          </cell>
          <cell r="N110" t="str">
            <v>TITULAR</v>
          </cell>
          <cell r="O110" t="str">
            <v>JUAREZ NORMA</v>
          </cell>
          <cell r="P110" t="str">
            <v xml:space="preserve"> </v>
          </cell>
        </row>
        <row r="111">
          <cell r="A111" t="str">
            <v>2°3°2ING</v>
          </cell>
          <cell r="B111" t="str">
            <v>2°3°</v>
          </cell>
          <cell r="C111"/>
          <cell r="D111" t="str">
            <v>2ING</v>
          </cell>
          <cell r="E111">
            <v>807720</v>
          </cell>
          <cell r="F111" t="str">
            <v>INGLÉS</v>
          </cell>
          <cell r="G111"/>
          <cell r="H111"/>
          <cell r="I111" t="str">
            <v>RAMIREZ GISELE</v>
          </cell>
          <cell r="J111"/>
          <cell r="K111"/>
          <cell r="L111" t="str">
            <v xml:space="preserve"> </v>
          </cell>
          <cell r="M111" t="str">
            <v xml:space="preserve"> </v>
          </cell>
          <cell r="N111" t="str">
            <v>TITULAR</v>
          </cell>
          <cell r="O111" t="str">
            <v>RAMIREZ GISELE</v>
          </cell>
          <cell r="P111" t="str">
            <v xml:space="preserve"> </v>
          </cell>
        </row>
        <row r="112">
          <cell r="A112" t="str">
            <v>2°3°2MAT</v>
          </cell>
          <cell r="B112" t="str">
            <v>2°3°</v>
          </cell>
          <cell r="C112"/>
          <cell r="D112" t="str">
            <v>2MAT</v>
          </cell>
          <cell r="E112">
            <v>807717</v>
          </cell>
          <cell r="F112" t="str">
            <v>MATEMATICA</v>
          </cell>
          <cell r="G112" t="str">
            <v xml:space="preserve"> 23-22.948.231-9</v>
          </cell>
          <cell r="H112" t="str">
            <v xml:space="preserve"> (MAD 2018)</v>
          </cell>
          <cell r="I112" t="str">
            <v xml:space="preserve">LUZURIAGA ANGEL </v>
          </cell>
          <cell r="J112"/>
          <cell r="K112"/>
          <cell r="L112" t="str">
            <v>23-25.384.927-4</v>
          </cell>
          <cell r="M112" t="str">
            <v>ALARCON, MARIA</v>
          </cell>
          <cell r="N112" t="str">
            <v>SUPLENTE</v>
          </cell>
          <cell r="O112" t="str">
            <v>ALARCON, MARIA</v>
          </cell>
          <cell r="P112" t="str">
            <v xml:space="preserve"> </v>
          </cell>
        </row>
        <row r="113">
          <cell r="A113" t="str">
            <v>2°3°2PLG</v>
          </cell>
          <cell r="B113" t="str">
            <v>2°3°</v>
          </cell>
          <cell r="C113"/>
          <cell r="D113" t="str">
            <v>2PLG</v>
          </cell>
          <cell r="E113">
            <v>807715</v>
          </cell>
          <cell r="F113" t="str">
            <v>PRACTICA DEL LENGUAJE</v>
          </cell>
          <cell r="G113" t="str">
            <v>27-28.121.620-7</v>
          </cell>
          <cell r="H113"/>
          <cell r="I113" t="str">
            <v>VELAZQUEZ VALERIA</v>
          </cell>
          <cell r="J113"/>
          <cell r="K113"/>
          <cell r="L113" t="str">
            <v xml:space="preserve"> </v>
          </cell>
          <cell r="M113" t="str">
            <v xml:space="preserve"> </v>
          </cell>
          <cell r="N113" t="str">
            <v>TITULAR</v>
          </cell>
          <cell r="O113" t="str">
            <v>VELAZQUEZ VALERIA</v>
          </cell>
          <cell r="P113" t="str">
            <v xml:space="preserve"> </v>
          </cell>
        </row>
        <row r="114">
          <cell r="A114" t="str">
            <v>2°3°2312TLT2</v>
          </cell>
          <cell r="B114" t="str">
            <v>2°3°</v>
          </cell>
          <cell r="C114">
            <v>231</v>
          </cell>
          <cell r="D114" t="str">
            <v>2TLT2</v>
          </cell>
          <cell r="E114">
            <v>2673117</v>
          </cell>
          <cell r="F114" t="str">
            <v>LENGUAJES TECNOLOGICOS</v>
          </cell>
          <cell r="G114" t="str">
            <v xml:space="preserve"> 27-11.864.641-5</v>
          </cell>
          <cell r="H114" t="str">
            <v xml:space="preserve"> (MASIVA)</v>
          </cell>
          <cell r="I114"/>
          <cell r="J114"/>
          <cell r="K114" t="str">
            <v>CRUZ JESUS NAZARENO 20256926157</v>
          </cell>
          <cell r="L114" t="str">
            <v xml:space="preserve"> </v>
          </cell>
          <cell r="M114" t="str">
            <v xml:space="preserve"> </v>
          </cell>
          <cell r="N114" t="str">
            <v>PROVISIONAL</v>
          </cell>
          <cell r="O114" t="str">
            <v>CRUZ JESUS NAZARENO 20256926157</v>
          </cell>
          <cell r="P114" t="str">
            <v xml:space="preserve"> </v>
          </cell>
        </row>
        <row r="115">
          <cell r="A115" t="str">
            <v>2°3°2312TST2</v>
          </cell>
          <cell r="B115" t="str">
            <v>2°3°</v>
          </cell>
          <cell r="C115">
            <v>231</v>
          </cell>
          <cell r="D115" t="str">
            <v>2TST2</v>
          </cell>
          <cell r="E115">
            <v>2673119</v>
          </cell>
          <cell r="F115" t="str">
            <v>SISTEMAS TECNOLOGICOS</v>
          </cell>
          <cell r="G115" t="str">
            <v xml:space="preserve"> 27-26.174.351-0   </v>
          </cell>
          <cell r="H115" t="str">
            <v xml:space="preserve">       (MASIVA)</v>
          </cell>
          <cell r="I115" t="str">
            <v xml:space="preserve">GOMEZ ANALIA </v>
          </cell>
          <cell r="J115"/>
          <cell r="K115"/>
          <cell r="L115" t="str">
            <v xml:space="preserve"> </v>
          </cell>
          <cell r="M115" t="str">
            <v xml:space="preserve"> </v>
          </cell>
          <cell r="N115" t="str">
            <v>TITULAR</v>
          </cell>
          <cell r="O115" t="str">
            <v xml:space="preserve">GOMEZ ANALIA </v>
          </cell>
          <cell r="P115" t="str">
            <v xml:space="preserve"> </v>
          </cell>
        </row>
        <row r="116">
          <cell r="A116" t="str">
            <v>2°3°2312TPT2</v>
          </cell>
          <cell r="B116" t="str">
            <v>2°3°</v>
          </cell>
          <cell r="C116">
            <v>231</v>
          </cell>
          <cell r="D116" t="str">
            <v>2TPT2</v>
          </cell>
          <cell r="E116">
            <v>2673121</v>
          </cell>
          <cell r="F116" t="str">
            <v>PROCEDIMIENTOS TECNICOS</v>
          </cell>
          <cell r="G116" t="str">
            <v>20-25.521.976-7</v>
          </cell>
          <cell r="H116" t="str">
            <v xml:space="preserve"> (MASIVA)</v>
          </cell>
          <cell r="I116" t="str">
            <v>CHAMORRO CRISTIAN</v>
          </cell>
          <cell r="J116"/>
          <cell r="K116"/>
          <cell r="L116" t="str">
            <v xml:space="preserve"> </v>
          </cell>
          <cell r="M116" t="str">
            <v xml:space="preserve"> </v>
          </cell>
          <cell r="N116" t="str">
            <v>TITULAR</v>
          </cell>
          <cell r="O116" t="str">
            <v>CHAMORRO CRISTIAN</v>
          </cell>
          <cell r="P116" t="str">
            <v xml:space="preserve"> </v>
          </cell>
        </row>
        <row r="117">
          <cell r="A117" t="str">
            <v>2°3°2322TLT2</v>
          </cell>
          <cell r="B117" t="str">
            <v>2°3°</v>
          </cell>
          <cell r="C117">
            <v>232</v>
          </cell>
          <cell r="D117" t="str">
            <v>2TLT2</v>
          </cell>
          <cell r="E117">
            <v>2673123</v>
          </cell>
          <cell r="F117" t="str">
            <v>LENGUAJES TECNOLOGICOS</v>
          </cell>
          <cell r="G117" t="str">
            <v xml:space="preserve"> 27-11.864.641-5</v>
          </cell>
          <cell r="H117" t="str">
            <v>(MASIVA)</v>
          </cell>
          <cell r="I117"/>
          <cell r="J117">
            <v>27373875584</v>
          </cell>
          <cell r="K117" t="str">
            <v xml:space="preserve">CASTILLO MARISOL ANABEL </v>
          </cell>
          <cell r="L117" t="str">
            <v xml:space="preserve"> </v>
          </cell>
          <cell r="M117" t="str">
            <v xml:space="preserve"> </v>
          </cell>
          <cell r="N117" t="str">
            <v>PROVISIONAL</v>
          </cell>
          <cell r="O117" t="str">
            <v xml:space="preserve">CASTILLO MARISOL ANABEL </v>
          </cell>
          <cell r="P117" t="str">
            <v xml:space="preserve"> </v>
          </cell>
        </row>
        <row r="118">
          <cell r="A118" t="str">
            <v>2°3°2322TST2</v>
          </cell>
          <cell r="B118" t="str">
            <v>2°3°</v>
          </cell>
          <cell r="C118">
            <v>232</v>
          </cell>
          <cell r="D118" t="str">
            <v>2TST2</v>
          </cell>
          <cell r="E118">
            <v>2673124</v>
          </cell>
          <cell r="F118" t="str">
            <v>SISTEMAS TECNOLOGICOS</v>
          </cell>
          <cell r="G118"/>
          <cell r="H118"/>
          <cell r="I118"/>
          <cell r="J118" t="str">
            <v xml:space="preserve"> 27-26.174.351-0</v>
          </cell>
          <cell r="K118" t="str">
            <v>GOMEZ ANALIA</v>
          </cell>
          <cell r="L118" t="str">
            <v xml:space="preserve"> </v>
          </cell>
          <cell r="M118" t="str">
            <v xml:space="preserve"> </v>
          </cell>
          <cell r="N118" t="str">
            <v>PROVISIONAL</v>
          </cell>
          <cell r="O118" t="str">
            <v>GOMEZ ANALIA</v>
          </cell>
          <cell r="P118" t="str">
            <v xml:space="preserve"> </v>
          </cell>
        </row>
        <row r="119">
          <cell r="A119" t="str">
            <v>2°3°2322TPT2</v>
          </cell>
          <cell r="B119" t="str">
            <v>2°3°</v>
          </cell>
          <cell r="C119">
            <v>232</v>
          </cell>
          <cell r="D119" t="str">
            <v>2TPT2</v>
          </cell>
          <cell r="E119">
            <v>2672126</v>
          </cell>
          <cell r="F119" t="str">
            <v>PROCEDIMIENTOS TECNICOS</v>
          </cell>
          <cell r="G119" t="str">
            <v xml:space="preserve">27-26.500.191-8 </v>
          </cell>
          <cell r="H119" t="str">
            <v>(MASIVA)</v>
          </cell>
          <cell r="I119" t="str">
            <v xml:space="preserve">GOMEZ NANCY  </v>
          </cell>
          <cell r="J119"/>
          <cell r="K119"/>
          <cell r="L119">
            <v>20238846375</v>
          </cell>
          <cell r="M119" t="str">
            <v>BECERRO GUSTAVO ALEJANDRO</v>
          </cell>
          <cell r="N119" t="str">
            <v>SUPLENTE</v>
          </cell>
          <cell r="O119" t="str">
            <v>BECERRO GUSTAVO ALEJANDRO</v>
          </cell>
          <cell r="P119" t="str">
            <v xml:space="preserve"> </v>
          </cell>
        </row>
        <row r="120">
          <cell r="A120" t="str">
            <v>2°4°2BIO</v>
          </cell>
          <cell r="B120" t="str">
            <v>2°4°</v>
          </cell>
          <cell r="C120"/>
          <cell r="D120" t="str">
            <v>2BIO</v>
          </cell>
          <cell r="E120">
            <v>1642680</v>
          </cell>
          <cell r="F120" t="str">
            <v>BIOLOGIA</v>
          </cell>
          <cell r="G120"/>
          <cell r="H120"/>
          <cell r="I120" t="str">
            <v>BARRIONUEVO MARIANELA</v>
          </cell>
          <cell r="J120"/>
          <cell r="K120"/>
          <cell r="L120" t="str">
            <v xml:space="preserve"> </v>
          </cell>
          <cell r="M120" t="str">
            <v xml:space="preserve"> </v>
          </cell>
          <cell r="N120" t="str">
            <v>TITULAR</v>
          </cell>
          <cell r="O120" t="str">
            <v>BARRIONUEVO MARIANELA</v>
          </cell>
          <cell r="P120" t="str">
            <v xml:space="preserve"> </v>
          </cell>
        </row>
        <row r="121">
          <cell r="A121" t="str">
            <v>2°4°2CCD</v>
          </cell>
          <cell r="B121" t="str">
            <v>2°4°</v>
          </cell>
          <cell r="C121"/>
          <cell r="D121" t="str">
            <v>2CCD</v>
          </cell>
          <cell r="E121">
            <v>1642681</v>
          </cell>
          <cell r="F121" t="str">
            <v>CONSTRUCCION DE LA CIUDADANIA</v>
          </cell>
          <cell r="G121" t="str">
            <v xml:space="preserve"> 27-25.153.700-9</v>
          </cell>
          <cell r="H121"/>
          <cell r="I121" t="str">
            <v>AMAYA SILVIA</v>
          </cell>
          <cell r="J121"/>
          <cell r="K121"/>
          <cell r="L121" t="str">
            <v xml:space="preserve"> </v>
          </cell>
          <cell r="M121" t="str">
            <v xml:space="preserve"> </v>
          </cell>
          <cell r="N121" t="str">
            <v>TITULAR</v>
          </cell>
          <cell r="O121" t="str">
            <v>AMAYA SILVIA</v>
          </cell>
          <cell r="P121" t="str">
            <v xml:space="preserve"> </v>
          </cell>
        </row>
        <row r="122">
          <cell r="A122" t="str">
            <v>2°4°2ART</v>
          </cell>
          <cell r="B122" t="str">
            <v>2°4°</v>
          </cell>
          <cell r="C122"/>
          <cell r="D122" t="str">
            <v>2ART</v>
          </cell>
          <cell r="E122">
            <v>1642684</v>
          </cell>
          <cell r="F122" t="str">
            <v>EDUCACION ARTISTICA (PLASTICA)</v>
          </cell>
          <cell r="G122"/>
          <cell r="H122"/>
          <cell r="I122"/>
          <cell r="J122" t="str">
            <v>20-28.438.827-6</v>
          </cell>
          <cell r="K122" t="str">
            <v xml:space="preserve">QUEVEDO OMAR </v>
          </cell>
          <cell r="L122" t="str">
            <v xml:space="preserve"> </v>
          </cell>
          <cell r="M122" t="str">
            <v xml:space="preserve"> </v>
          </cell>
          <cell r="N122" t="str">
            <v>PROVISIONAL</v>
          </cell>
          <cell r="O122" t="str">
            <v xml:space="preserve">QUEVEDO OMAR </v>
          </cell>
          <cell r="P122" t="str">
            <v xml:space="preserve"> </v>
          </cell>
        </row>
        <row r="123">
          <cell r="A123" t="str">
            <v>2°4°2EFI</v>
          </cell>
          <cell r="B123" t="str">
            <v>2°4°</v>
          </cell>
          <cell r="C123"/>
          <cell r="D123" t="str">
            <v>2EFI</v>
          </cell>
          <cell r="E123">
            <v>1642683</v>
          </cell>
          <cell r="F123" t="str">
            <v>EDUCACIÓN FISICA</v>
          </cell>
          <cell r="G123" t="str">
            <v>20-20.422.900-8</v>
          </cell>
          <cell r="H123"/>
          <cell r="I123" t="str">
            <v>SANCHEZ CARLOS</v>
          </cell>
          <cell r="J123"/>
          <cell r="K123"/>
          <cell r="L123" t="str">
            <v xml:space="preserve"> </v>
          </cell>
          <cell r="M123" t="str">
            <v xml:space="preserve"> </v>
          </cell>
          <cell r="N123" t="str">
            <v>TITULAR</v>
          </cell>
          <cell r="O123" t="str">
            <v>SANCHEZ CARLOS</v>
          </cell>
          <cell r="P123" t="str">
            <v xml:space="preserve"> </v>
          </cell>
        </row>
        <row r="124">
          <cell r="A124" t="str">
            <v>2°4°2FI/QUI</v>
          </cell>
          <cell r="B124" t="str">
            <v>2°4°</v>
          </cell>
          <cell r="C124"/>
          <cell r="D124" t="str">
            <v>2FI/QUI</v>
          </cell>
          <cell r="E124">
            <v>1642679</v>
          </cell>
          <cell r="F124" t="str">
            <v>FISICO-QUIMICA</v>
          </cell>
          <cell r="G124" t="str">
            <v>27-29.590.966-4</v>
          </cell>
          <cell r="H124"/>
          <cell r="I124" t="str">
            <v xml:space="preserve">DA CHILE IGLESIAS V                 </v>
          </cell>
          <cell r="J124"/>
          <cell r="K124"/>
          <cell r="L124" t="str">
            <v xml:space="preserve"> </v>
          </cell>
          <cell r="M124" t="str">
            <v xml:space="preserve"> </v>
          </cell>
          <cell r="N124" t="str">
            <v>TITULAR</v>
          </cell>
          <cell r="O124" t="str">
            <v xml:space="preserve">DA CHILE IGLESIAS V                 </v>
          </cell>
          <cell r="P124" t="str">
            <v xml:space="preserve"> </v>
          </cell>
        </row>
        <row r="125">
          <cell r="A125" t="str">
            <v>2°4°2GEO</v>
          </cell>
          <cell r="B125" t="str">
            <v>2°4°</v>
          </cell>
          <cell r="C125"/>
          <cell r="D125" t="str">
            <v>2GEO</v>
          </cell>
          <cell r="E125">
            <v>1642675</v>
          </cell>
          <cell r="F125" t="str">
            <v>GEOGRAFIA</v>
          </cell>
          <cell r="G125" t="str">
            <v>20-24.636.852-0</v>
          </cell>
          <cell r="H125"/>
          <cell r="I125"/>
          <cell r="J125">
            <v>27289018420</v>
          </cell>
          <cell r="K125" t="str">
            <v>OSTRIZ GISELA JORGELINA</v>
          </cell>
          <cell r="L125" t="str">
            <v xml:space="preserve"> </v>
          </cell>
          <cell r="M125" t="str">
            <v xml:space="preserve"> </v>
          </cell>
          <cell r="N125" t="str">
            <v>PROVISIONAL</v>
          </cell>
          <cell r="O125" t="str">
            <v>OSTRIZ GISELA JORGELINA</v>
          </cell>
          <cell r="P125" t="str">
            <v xml:space="preserve"> </v>
          </cell>
        </row>
        <row r="126">
          <cell r="A126" t="str">
            <v>2°4°2HIS</v>
          </cell>
          <cell r="B126" t="str">
            <v>2°4°</v>
          </cell>
          <cell r="C126"/>
          <cell r="D126" t="str">
            <v>2HIS</v>
          </cell>
          <cell r="E126">
            <v>1642678</v>
          </cell>
          <cell r="F126" t="str">
            <v>HISTORIA</v>
          </cell>
          <cell r="G126" t="str">
            <v xml:space="preserve">20-18.284.913-9 </v>
          </cell>
          <cell r="H126" t="str">
            <v xml:space="preserve"> MAD 2018</v>
          </cell>
          <cell r="I126" t="str">
            <v xml:space="preserve">TORRES LUIS                    </v>
          </cell>
          <cell r="J126"/>
          <cell r="K126"/>
          <cell r="L126" t="str">
            <v xml:space="preserve"> </v>
          </cell>
          <cell r="M126" t="str">
            <v xml:space="preserve"> </v>
          </cell>
          <cell r="N126" t="str">
            <v>TITULAR</v>
          </cell>
          <cell r="O126" t="str">
            <v xml:space="preserve">TORRES LUIS                    </v>
          </cell>
          <cell r="P126" t="str">
            <v xml:space="preserve"> </v>
          </cell>
        </row>
        <row r="127">
          <cell r="A127" t="str">
            <v>2°4°2ING</v>
          </cell>
          <cell r="B127" t="str">
            <v>2°4°</v>
          </cell>
          <cell r="C127"/>
          <cell r="D127" t="str">
            <v>2ING</v>
          </cell>
          <cell r="E127">
            <v>1642673</v>
          </cell>
          <cell r="F127" t="str">
            <v>INGLÉS</v>
          </cell>
          <cell r="G127" t="str">
            <v xml:space="preserve"> 27-26.157.162-2</v>
          </cell>
          <cell r="H127"/>
          <cell r="I127" t="str">
            <v>SARRIA, ANDREA</v>
          </cell>
          <cell r="J127"/>
          <cell r="K127"/>
          <cell r="L127">
            <v>27321538849</v>
          </cell>
          <cell r="M127" t="str">
            <v xml:space="preserve">GOMEZ HERNANDEZ MARIANA   27275092180 </v>
          </cell>
          <cell r="N127" t="str">
            <v>SUPLENTE</v>
          </cell>
          <cell r="O127" t="str">
            <v xml:space="preserve">GOMEZ HERNANDEZ MARIANA   27275092180 </v>
          </cell>
          <cell r="P127" t="str">
            <v xml:space="preserve"> </v>
          </cell>
        </row>
        <row r="128">
          <cell r="A128" t="str">
            <v>2°4°2MAT</v>
          </cell>
          <cell r="B128" t="str">
            <v>2°4°</v>
          </cell>
          <cell r="C128"/>
          <cell r="D128" t="str">
            <v>2MAT</v>
          </cell>
          <cell r="E128">
            <v>1642674</v>
          </cell>
          <cell r="F128" t="str">
            <v>MATEMATICA</v>
          </cell>
          <cell r="G128"/>
          <cell r="H128"/>
          <cell r="I128"/>
          <cell r="J128"/>
          <cell r="K128" t="str">
            <v>FERRARIS OJEDA JULIETA</v>
          </cell>
          <cell r="L128"/>
          <cell r="M128" t="str">
            <v xml:space="preserve"> </v>
          </cell>
          <cell r="N128" t="str">
            <v>PROVISIONAL</v>
          </cell>
          <cell r="O128" t="str">
            <v>FERRARIS OJEDA JULIETA</v>
          </cell>
          <cell r="P128" t="str">
            <v xml:space="preserve"> </v>
          </cell>
        </row>
        <row r="129">
          <cell r="A129" t="str">
            <v>2°4°2PLG</v>
          </cell>
          <cell r="B129" t="str">
            <v>2°4°</v>
          </cell>
          <cell r="C129"/>
          <cell r="D129" t="str">
            <v>2PLG</v>
          </cell>
          <cell r="E129">
            <v>1642672</v>
          </cell>
          <cell r="F129" t="str">
            <v>PRACTICA DEL LENGUAJE</v>
          </cell>
          <cell r="G129" t="str">
            <v>27-17.521.161-1</v>
          </cell>
          <cell r="H129"/>
          <cell r="I129" t="str">
            <v>ARANDA NELIDA</v>
          </cell>
          <cell r="J129"/>
          <cell r="K129"/>
          <cell r="L129" t="str">
            <v xml:space="preserve"> </v>
          </cell>
          <cell r="M129" t="str">
            <v xml:space="preserve"> </v>
          </cell>
          <cell r="N129" t="str">
            <v>TITULAR</v>
          </cell>
          <cell r="O129" t="str">
            <v>ARANDA NELIDA</v>
          </cell>
          <cell r="P129" t="str">
            <v xml:space="preserve"> </v>
          </cell>
        </row>
        <row r="130">
          <cell r="A130" t="str">
            <v>2°4°2412TLT2</v>
          </cell>
          <cell r="B130" t="str">
            <v>2°4°</v>
          </cell>
          <cell r="C130">
            <v>241</v>
          </cell>
          <cell r="D130" t="str">
            <v>2TLT2</v>
          </cell>
          <cell r="E130">
            <v>2673421</v>
          </cell>
          <cell r="F130" t="str">
            <v>LENGUAJES TECNOLOGICOS</v>
          </cell>
          <cell r="G130"/>
          <cell r="H130"/>
          <cell r="I130"/>
          <cell r="J130" t="str">
            <v xml:space="preserve"> 20-16.220.206-6</v>
          </cell>
          <cell r="K130" t="str">
            <v>FISTER, VICTOR</v>
          </cell>
          <cell r="L130" t="str">
            <v xml:space="preserve"> </v>
          </cell>
          <cell r="M130" t="str">
            <v xml:space="preserve"> </v>
          </cell>
          <cell r="N130" t="str">
            <v>PROVISIONAL</v>
          </cell>
          <cell r="O130" t="str">
            <v>FISTER, VICTOR</v>
          </cell>
          <cell r="P130" t="str">
            <v xml:space="preserve"> </v>
          </cell>
        </row>
        <row r="131">
          <cell r="A131" t="str">
            <v>2°4°2412TST2</v>
          </cell>
          <cell r="B131" t="str">
            <v>2°4°</v>
          </cell>
          <cell r="C131">
            <v>241</v>
          </cell>
          <cell r="D131" t="str">
            <v>2TST2</v>
          </cell>
          <cell r="E131">
            <v>2673423</v>
          </cell>
          <cell r="F131" t="str">
            <v>SISTEMAS TECNOLOGICOS</v>
          </cell>
          <cell r="G131"/>
          <cell r="H131"/>
          <cell r="I131"/>
          <cell r="J131" t="str">
            <v>23-24.294.162-4</v>
          </cell>
          <cell r="K131" t="str">
            <v xml:space="preserve">AVILA </v>
          </cell>
          <cell r="L131" t="str">
            <v xml:space="preserve"> </v>
          </cell>
          <cell r="M131" t="str">
            <v xml:space="preserve"> </v>
          </cell>
          <cell r="N131" t="str">
            <v>PROVISIONAL</v>
          </cell>
          <cell r="O131" t="str">
            <v xml:space="preserve">AVILA </v>
          </cell>
          <cell r="P131" t="str">
            <v xml:space="preserve"> </v>
          </cell>
        </row>
        <row r="132">
          <cell r="A132" t="str">
            <v>2°4°2412TPT2</v>
          </cell>
          <cell r="B132" t="str">
            <v>2°4°</v>
          </cell>
          <cell r="C132">
            <v>241</v>
          </cell>
          <cell r="D132" t="str">
            <v>2TPT2</v>
          </cell>
          <cell r="E132">
            <v>2673425</v>
          </cell>
          <cell r="F132" t="str">
            <v>PROCEDIMIENTOS TECNICOS</v>
          </cell>
          <cell r="G132" t="str">
            <v xml:space="preserve"> 20-24.490.541-3 </v>
          </cell>
          <cell r="H132" t="str">
            <v>(3 MOD)</v>
          </cell>
          <cell r="I132" t="str">
            <v>PAZ ALBERTO</v>
          </cell>
          <cell r="J132" t="str">
            <v>20-24.490.541-3               (1MOD)</v>
          </cell>
          <cell r="K132" t="str">
            <v xml:space="preserve">PAZ ALBERTO </v>
          </cell>
          <cell r="L132">
            <v>0</v>
          </cell>
          <cell r="M132" t="str">
            <v>CRUZ DAVID</v>
          </cell>
          <cell r="N132" t="str">
            <v>SUPLENTE</v>
          </cell>
          <cell r="O132" t="str">
            <v>CRUZ DAVID</v>
          </cell>
          <cell r="P132" t="str">
            <v xml:space="preserve"> </v>
          </cell>
        </row>
        <row r="133">
          <cell r="A133" t="str">
            <v>2°4°2422TLT2</v>
          </cell>
          <cell r="B133" t="str">
            <v>2°4°</v>
          </cell>
          <cell r="C133">
            <v>242</v>
          </cell>
          <cell r="D133" t="str">
            <v>2TLT2</v>
          </cell>
          <cell r="E133">
            <v>2673427</v>
          </cell>
          <cell r="F133" t="str">
            <v>LENGUAJES TECNOLOGICOS</v>
          </cell>
          <cell r="G133" t="str">
            <v xml:space="preserve"> 20-24.490.541-3</v>
          </cell>
          <cell r="H133"/>
          <cell r="I133" t="str">
            <v>PAZ ALBERTO</v>
          </cell>
          <cell r="J133"/>
          <cell r="K133"/>
          <cell r="L133" t="str">
            <v xml:space="preserve"> 20-21.103.894-3</v>
          </cell>
          <cell r="M133" t="str">
            <v xml:space="preserve">LEYES RICARDO  </v>
          </cell>
          <cell r="N133" t="str">
            <v>SUPLENTE</v>
          </cell>
          <cell r="O133" t="str">
            <v xml:space="preserve">LEYES RICARDO  </v>
          </cell>
          <cell r="P133" t="str">
            <v xml:space="preserve"> </v>
          </cell>
        </row>
        <row r="134">
          <cell r="A134" t="str">
            <v>2°4°2422TST2</v>
          </cell>
          <cell r="B134" t="str">
            <v>2°4°</v>
          </cell>
          <cell r="C134">
            <v>242</v>
          </cell>
          <cell r="D134" t="str">
            <v>2TST2</v>
          </cell>
          <cell r="E134">
            <v>2673428</v>
          </cell>
          <cell r="F134" t="str">
            <v>SISTEMAS TECNOLOGICOS</v>
          </cell>
          <cell r="G134"/>
          <cell r="H134"/>
          <cell r="I134"/>
          <cell r="J134" t="str">
            <v>20-28.191.299-3</v>
          </cell>
          <cell r="K134" t="str">
            <v xml:space="preserve">ETCHEVERRY MARTIN  </v>
          </cell>
          <cell r="L134" t="str">
            <v xml:space="preserve"> </v>
          </cell>
          <cell r="M134" t="str">
            <v xml:space="preserve"> </v>
          </cell>
          <cell r="N134" t="str">
            <v>PROVISIONAL</v>
          </cell>
          <cell r="O134" t="str">
            <v xml:space="preserve">ETCHEVERRY MARTIN  </v>
          </cell>
          <cell r="P134" t="str">
            <v xml:space="preserve"> </v>
          </cell>
        </row>
        <row r="135">
          <cell r="A135" t="str">
            <v>2°4°2422TPT2</v>
          </cell>
          <cell r="B135" t="str">
            <v>2°4°</v>
          </cell>
          <cell r="C135">
            <v>242</v>
          </cell>
          <cell r="D135" t="str">
            <v>2TPT2</v>
          </cell>
          <cell r="E135">
            <v>2673429</v>
          </cell>
          <cell r="F135" t="str">
            <v>PROCEDIMIENTOS TECNICOS</v>
          </cell>
          <cell r="G135"/>
          <cell r="H135"/>
          <cell r="I135"/>
          <cell r="J135" t="str">
            <v xml:space="preserve"> 20-24.490.541-3</v>
          </cell>
          <cell r="K135" t="str">
            <v>PAZ ALBERTO</v>
          </cell>
          <cell r="L135">
            <v>0</v>
          </cell>
          <cell r="M135" t="str">
            <v>CRUZ DAVID</v>
          </cell>
          <cell r="N135" t="str">
            <v>SUPLENTE</v>
          </cell>
          <cell r="O135" t="str">
            <v>CRUZ DAVID</v>
          </cell>
          <cell r="P135" t="str">
            <v xml:space="preserve"> </v>
          </cell>
        </row>
        <row r="136">
          <cell r="A136" t="str">
            <v>2°5°2BIO</v>
          </cell>
          <cell r="B136" t="str">
            <v>2°5°</v>
          </cell>
          <cell r="C136"/>
          <cell r="D136" t="str">
            <v>2BIO</v>
          </cell>
          <cell r="E136">
            <v>1920674</v>
          </cell>
          <cell r="F136" t="str">
            <v>BIOLOGIA</v>
          </cell>
          <cell r="G136">
            <v>23480647</v>
          </cell>
          <cell r="H136"/>
          <cell r="I136" t="str">
            <v>FARIAS CLAUDIA ANTONIA</v>
          </cell>
          <cell r="J136"/>
          <cell r="K136"/>
          <cell r="L136" t="str">
            <v xml:space="preserve"> </v>
          </cell>
          <cell r="M136" t="str">
            <v xml:space="preserve"> </v>
          </cell>
          <cell r="N136" t="str">
            <v>TITULAR</v>
          </cell>
          <cell r="O136" t="str">
            <v>FARIAS CLAUDIA ANTONIA</v>
          </cell>
          <cell r="P136" t="str">
            <v xml:space="preserve"> </v>
          </cell>
        </row>
        <row r="137">
          <cell r="A137" t="str">
            <v>2°5°2CCD</v>
          </cell>
          <cell r="B137" t="str">
            <v>2°5°</v>
          </cell>
          <cell r="C137"/>
          <cell r="D137" t="str">
            <v>2CCD</v>
          </cell>
          <cell r="E137">
            <v>1174482</v>
          </cell>
          <cell r="F137" t="str">
            <v>CONSTRUCCION DE LA CIUDADANIA</v>
          </cell>
          <cell r="G137" t="str">
            <v>27-25.153.700-9</v>
          </cell>
          <cell r="H137"/>
          <cell r="I137" t="str">
            <v xml:space="preserve">AMAYA SILVIA </v>
          </cell>
          <cell r="J137"/>
          <cell r="K137"/>
          <cell r="L137" t="str">
            <v xml:space="preserve"> </v>
          </cell>
          <cell r="M137" t="str">
            <v xml:space="preserve"> </v>
          </cell>
          <cell r="N137" t="str">
            <v>TITULAR</v>
          </cell>
          <cell r="O137" t="str">
            <v xml:space="preserve">AMAYA SILVIA </v>
          </cell>
          <cell r="P137" t="str">
            <v xml:space="preserve"> </v>
          </cell>
        </row>
        <row r="138">
          <cell r="A138" t="str">
            <v>2°5°2ART</v>
          </cell>
          <cell r="B138" t="str">
            <v>2°5°</v>
          </cell>
          <cell r="C138"/>
          <cell r="D138" t="str">
            <v>2ART</v>
          </cell>
          <cell r="E138">
            <v>1920681</v>
          </cell>
          <cell r="F138" t="str">
            <v>EDUCACION ARTISTICA (PLASTICA)</v>
          </cell>
          <cell r="G138">
            <v>24680551</v>
          </cell>
          <cell r="H138" t="str">
            <v xml:space="preserve"> (MAD 2018)</v>
          </cell>
          <cell r="I138" t="str">
            <v xml:space="preserve">ISSETTA LORENA </v>
          </cell>
          <cell r="J138"/>
          <cell r="K138"/>
          <cell r="L138" t="str">
            <v xml:space="preserve"> </v>
          </cell>
          <cell r="M138" t="str">
            <v xml:space="preserve"> </v>
          </cell>
          <cell r="N138" t="str">
            <v>TITULAR</v>
          </cell>
          <cell r="O138" t="str">
            <v xml:space="preserve">ISSETTA LORENA </v>
          </cell>
          <cell r="P138" t="str">
            <v xml:space="preserve"> </v>
          </cell>
        </row>
        <row r="139">
          <cell r="A139" t="str">
            <v>2°5°2EFI</v>
          </cell>
          <cell r="B139" t="str">
            <v>2°5°</v>
          </cell>
          <cell r="C139"/>
          <cell r="D139" t="str">
            <v>2EFI</v>
          </cell>
          <cell r="E139">
            <v>1920683</v>
          </cell>
          <cell r="F139" t="str">
            <v>EDUCACIÓN FISICA</v>
          </cell>
          <cell r="G139" t="str">
            <v xml:space="preserve"> 20-18.152.596-8</v>
          </cell>
          <cell r="H139"/>
          <cell r="I139" t="str">
            <v xml:space="preserve">GUERRERO DANIEL </v>
          </cell>
          <cell r="J139"/>
          <cell r="K139"/>
          <cell r="L139" t="str">
            <v xml:space="preserve"> </v>
          </cell>
          <cell r="M139" t="str">
            <v xml:space="preserve"> </v>
          </cell>
          <cell r="N139" t="str">
            <v>TITULAR</v>
          </cell>
          <cell r="O139" t="str">
            <v xml:space="preserve">GUERRERO DANIEL </v>
          </cell>
          <cell r="P139" t="str">
            <v xml:space="preserve"> </v>
          </cell>
        </row>
        <row r="140">
          <cell r="A140" t="str">
            <v>2°5°2FI/QUI</v>
          </cell>
          <cell r="B140" t="str">
            <v>2°5°</v>
          </cell>
          <cell r="C140"/>
          <cell r="D140" t="str">
            <v>2FI/QUI</v>
          </cell>
          <cell r="E140">
            <v>1920684</v>
          </cell>
          <cell r="F140" t="str">
            <v>FISICO-QUIMICA</v>
          </cell>
          <cell r="G140" t="str">
            <v xml:space="preserve"> 27-27.713.867-6</v>
          </cell>
          <cell r="H140"/>
          <cell r="I140" t="str">
            <v>GIOIA VERONICA</v>
          </cell>
          <cell r="J140"/>
          <cell r="K140"/>
          <cell r="L140">
            <v>0</v>
          </cell>
          <cell r="M140" t="str">
            <v>MARTINEZ, CARLA</v>
          </cell>
          <cell r="N140" t="str">
            <v>SUPLENTE</v>
          </cell>
          <cell r="O140" t="str">
            <v>MARTINEZ, CARLA</v>
          </cell>
          <cell r="P140" t="str">
            <v xml:space="preserve"> </v>
          </cell>
        </row>
        <row r="141">
          <cell r="A141" t="str">
            <v>2°5°2GEO</v>
          </cell>
          <cell r="B141" t="str">
            <v>2°5°</v>
          </cell>
          <cell r="C141"/>
          <cell r="D141" t="str">
            <v>2GEO</v>
          </cell>
          <cell r="E141">
            <v>1920686</v>
          </cell>
          <cell r="F141" t="str">
            <v>GEOGRAFIA</v>
          </cell>
          <cell r="G141" t="str">
            <v>20-24.636.852-0</v>
          </cell>
          <cell r="H141"/>
          <cell r="I141" t="str">
            <v>ANTONELLO, FERNANDO</v>
          </cell>
          <cell r="J141"/>
          <cell r="K141"/>
          <cell r="L141" t="str">
            <v xml:space="preserve"> </v>
          </cell>
          <cell r="M141" t="str">
            <v xml:space="preserve"> </v>
          </cell>
          <cell r="N141" t="str">
            <v>TITULAR</v>
          </cell>
          <cell r="O141" t="str">
            <v>ANTONELLO, FERNANDO</v>
          </cell>
          <cell r="P141" t="str">
            <v xml:space="preserve"> </v>
          </cell>
        </row>
        <row r="142">
          <cell r="A142" t="str">
            <v>2°5°2HIS</v>
          </cell>
          <cell r="B142" t="str">
            <v>2°5°</v>
          </cell>
          <cell r="C142"/>
          <cell r="D142" t="str">
            <v>2HIS</v>
          </cell>
          <cell r="E142">
            <v>1920688</v>
          </cell>
          <cell r="F142" t="str">
            <v>HISTORIA</v>
          </cell>
          <cell r="G142" t="str">
            <v>27-29117553-3</v>
          </cell>
          <cell r="H142"/>
          <cell r="I142" t="str">
            <v>LOPEZ NARINA</v>
          </cell>
          <cell r="J142"/>
          <cell r="K142"/>
          <cell r="L142" t="str">
            <v xml:space="preserve"> </v>
          </cell>
          <cell r="M142" t="str">
            <v xml:space="preserve"> </v>
          </cell>
          <cell r="N142" t="str">
            <v>TITULAR</v>
          </cell>
          <cell r="O142" t="str">
            <v>LOPEZ NARINA</v>
          </cell>
          <cell r="P142" t="str">
            <v xml:space="preserve"> </v>
          </cell>
        </row>
        <row r="143">
          <cell r="A143" t="str">
            <v>2°5°2ING</v>
          </cell>
          <cell r="B143" t="str">
            <v>2°5°</v>
          </cell>
          <cell r="C143"/>
          <cell r="D143" t="str">
            <v>2ING</v>
          </cell>
          <cell r="E143">
            <v>1920689</v>
          </cell>
          <cell r="F143" t="str">
            <v>INGLÉS</v>
          </cell>
          <cell r="G143"/>
          <cell r="H143" t="str">
            <v>27-26.117.162-2</v>
          </cell>
          <cell r="I143" t="str">
            <v>SARRIA, ANDREA</v>
          </cell>
          <cell r="J143"/>
          <cell r="K143"/>
          <cell r="L143">
            <v>0</v>
          </cell>
          <cell r="M143" t="str">
            <v xml:space="preserve"> MONTOYA SONIA ISABEL</v>
          </cell>
          <cell r="N143" t="str">
            <v>SUPLENTE</v>
          </cell>
          <cell r="O143" t="str">
            <v xml:space="preserve"> MONTOYA SONIA ISABEL</v>
          </cell>
          <cell r="P143" t="str">
            <v xml:space="preserve"> </v>
          </cell>
        </row>
        <row r="144">
          <cell r="A144" t="str">
            <v>2°5°2MAT</v>
          </cell>
          <cell r="B144" t="str">
            <v>2°5°</v>
          </cell>
          <cell r="C144"/>
          <cell r="D144" t="str">
            <v>2MAT</v>
          </cell>
          <cell r="E144">
            <v>1920690</v>
          </cell>
          <cell r="F144" t="str">
            <v>MATEMATICA</v>
          </cell>
          <cell r="G144"/>
          <cell r="H144"/>
          <cell r="I144"/>
          <cell r="J144">
            <v>27164343125</v>
          </cell>
          <cell r="K144" t="str">
            <v xml:space="preserve">CENTURION SILVIA BEATRIZ   </v>
          </cell>
          <cell r="L144" t="str">
            <v xml:space="preserve"> </v>
          </cell>
          <cell r="M144" t="str">
            <v xml:space="preserve"> </v>
          </cell>
          <cell r="N144" t="str">
            <v>PROVISIONAL</v>
          </cell>
          <cell r="O144" t="str">
            <v xml:space="preserve">CENTURION SILVIA BEATRIZ   </v>
          </cell>
          <cell r="P144" t="str">
            <v xml:space="preserve"> </v>
          </cell>
        </row>
        <row r="145">
          <cell r="A145" t="str">
            <v>2°5°2PLG</v>
          </cell>
          <cell r="B145" t="str">
            <v>2°5°</v>
          </cell>
          <cell r="C145"/>
          <cell r="D145" t="str">
            <v>2PLG</v>
          </cell>
          <cell r="E145">
            <v>1920692</v>
          </cell>
          <cell r="F145" t="str">
            <v>PRACTICA DEL LENGUAJE</v>
          </cell>
          <cell r="G145" t="str">
            <v xml:space="preserve"> 27-20.842.136-6</v>
          </cell>
          <cell r="H145"/>
          <cell r="I145" t="str">
            <v xml:space="preserve">MEDINA, CLAUDIA B  </v>
          </cell>
          <cell r="J145"/>
          <cell r="K145"/>
          <cell r="L145" t="str">
            <v xml:space="preserve"> </v>
          </cell>
          <cell r="M145" t="str">
            <v xml:space="preserve"> </v>
          </cell>
          <cell r="N145" t="str">
            <v>TITULAR</v>
          </cell>
          <cell r="O145" t="str">
            <v xml:space="preserve">MEDINA, CLAUDIA B  </v>
          </cell>
          <cell r="P145" t="str">
            <v xml:space="preserve"> </v>
          </cell>
        </row>
        <row r="146">
          <cell r="A146" t="str">
            <v>2°5°2512TLT2</v>
          </cell>
          <cell r="B146" t="str">
            <v>2°5°</v>
          </cell>
          <cell r="C146">
            <v>251</v>
          </cell>
          <cell r="D146" t="str">
            <v>2TLT2</v>
          </cell>
          <cell r="E146">
            <v>1920693</v>
          </cell>
          <cell r="F146" t="str">
            <v>LENGUAJES TECNOLOGICOS</v>
          </cell>
          <cell r="G146">
            <v>23288016569</v>
          </cell>
          <cell r="H146"/>
          <cell r="I146" t="str">
            <v>BELIZAN JUAN</v>
          </cell>
          <cell r="J146"/>
          <cell r="K146"/>
          <cell r="L146" t="str">
            <v xml:space="preserve"> </v>
          </cell>
          <cell r="M146" t="str">
            <v xml:space="preserve"> </v>
          </cell>
          <cell r="N146" t="str">
            <v>TITULAR</v>
          </cell>
          <cell r="O146" t="str">
            <v>BELIZAN JUAN</v>
          </cell>
          <cell r="P146" t="str">
            <v xml:space="preserve"> </v>
          </cell>
        </row>
        <row r="147">
          <cell r="A147" t="str">
            <v>2°5°2512TST2</v>
          </cell>
          <cell r="B147" t="str">
            <v>2°5°</v>
          </cell>
          <cell r="C147">
            <v>251</v>
          </cell>
          <cell r="D147" t="str">
            <v>2TST2</v>
          </cell>
          <cell r="E147">
            <v>1920702</v>
          </cell>
          <cell r="F147" t="str">
            <v>SISTEMAS TECNOLOGICOS</v>
          </cell>
          <cell r="G147"/>
          <cell r="H147"/>
          <cell r="I147"/>
          <cell r="J147"/>
          <cell r="K147" t="str">
            <v>LOPEZ MARCELO</v>
          </cell>
          <cell r="L147">
            <v>23458981299</v>
          </cell>
          <cell r="M147" t="str">
            <v xml:space="preserve"> PAZ ALEX GABRIEL</v>
          </cell>
          <cell r="N147" t="str">
            <v>SUPLENTE</v>
          </cell>
          <cell r="O147" t="str">
            <v xml:space="preserve"> PAZ ALEX GABRIEL</v>
          </cell>
          <cell r="P147" t="str">
            <v xml:space="preserve"> </v>
          </cell>
        </row>
        <row r="148">
          <cell r="A148" t="str">
            <v>2°5°2512TPT2</v>
          </cell>
          <cell r="B148" t="str">
            <v>2°5°</v>
          </cell>
          <cell r="C148">
            <v>251</v>
          </cell>
          <cell r="D148" t="str">
            <v>2TPT2</v>
          </cell>
          <cell r="E148">
            <v>1920696</v>
          </cell>
          <cell r="F148" t="str">
            <v>PROCEDIMIENTOS TECNICOS</v>
          </cell>
          <cell r="G148"/>
          <cell r="H148"/>
          <cell r="I148"/>
          <cell r="J148"/>
          <cell r="K148" t="str">
            <v>MONTENEGRO JUILIO</v>
          </cell>
          <cell r="L148" t="str">
            <v xml:space="preserve"> </v>
          </cell>
          <cell r="M148" t="str">
            <v xml:space="preserve"> </v>
          </cell>
          <cell r="N148" t="str">
            <v>PROVISIONAL</v>
          </cell>
          <cell r="O148" t="str">
            <v>MONTENEGRO JUILIO</v>
          </cell>
          <cell r="P148" t="str">
            <v xml:space="preserve"> </v>
          </cell>
        </row>
        <row r="149">
          <cell r="A149" t="str">
            <v>2°5°2522TLT2</v>
          </cell>
          <cell r="B149" t="str">
            <v>2°5°</v>
          </cell>
          <cell r="C149">
            <v>252</v>
          </cell>
          <cell r="D149" t="str">
            <v>2TLT2</v>
          </cell>
          <cell r="E149">
            <v>1920695</v>
          </cell>
          <cell r="F149" t="str">
            <v>LENGUAJES TECNOLOGICOS</v>
          </cell>
          <cell r="G149">
            <v>23288016569</v>
          </cell>
          <cell r="H149"/>
          <cell r="I149" t="str">
            <v>BELIZAN JUAN</v>
          </cell>
          <cell r="J149"/>
          <cell r="K149"/>
          <cell r="L149" t="str">
            <v xml:space="preserve"> </v>
          </cell>
          <cell r="M149" t="str">
            <v xml:space="preserve"> </v>
          </cell>
          <cell r="N149" t="str">
            <v>TITULAR</v>
          </cell>
          <cell r="O149" t="str">
            <v>BELIZAN JUAN</v>
          </cell>
          <cell r="P149" t="str">
            <v xml:space="preserve"> </v>
          </cell>
        </row>
        <row r="150">
          <cell r="A150" t="str">
            <v>2°5°2522TST2</v>
          </cell>
          <cell r="B150" t="str">
            <v>2°5°</v>
          </cell>
          <cell r="C150">
            <v>252</v>
          </cell>
          <cell r="D150" t="str">
            <v>2TST2</v>
          </cell>
          <cell r="E150">
            <v>1920704</v>
          </cell>
          <cell r="F150" t="str">
            <v>SISTEMAS TECNOLOGICOS</v>
          </cell>
          <cell r="G150"/>
          <cell r="H150"/>
          <cell r="I150"/>
          <cell r="J150"/>
          <cell r="K150" t="str">
            <v>LOIS  EDUARDO</v>
          </cell>
          <cell r="L150" t="str">
            <v xml:space="preserve"> </v>
          </cell>
          <cell r="M150" t="str">
            <v xml:space="preserve"> </v>
          </cell>
          <cell r="N150" t="str">
            <v>PROVISIONAL</v>
          </cell>
          <cell r="O150" t="str">
            <v>LOIS  EDUARDO</v>
          </cell>
          <cell r="P150" t="str">
            <v xml:space="preserve"> </v>
          </cell>
        </row>
        <row r="151">
          <cell r="A151" t="str">
            <v>2°5°2522TPT2</v>
          </cell>
          <cell r="B151" t="str">
            <v>2°5°</v>
          </cell>
          <cell r="C151">
            <v>252</v>
          </cell>
          <cell r="D151" t="str">
            <v>2TPT2</v>
          </cell>
          <cell r="E151">
            <v>1920700</v>
          </cell>
          <cell r="F151" t="str">
            <v>PROCEDIMIENTOS TECNICOS</v>
          </cell>
          <cell r="G151" t="str">
            <v xml:space="preserve"> 24-16.354.054-2</v>
          </cell>
          <cell r="H151" t="str">
            <v xml:space="preserve"> (MASIVA)</v>
          </cell>
          <cell r="I151"/>
          <cell r="J151"/>
          <cell r="K151" t="str">
            <v>CRUZ DAVID</v>
          </cell>
          <cell r="L151" t="str">
            <v xml:space="preserve"> </v>
          </cell>
          <cell r="M151" t="str">
            <v xml:space="preserve"> </v>
          </cell>
          <cell r="N151" t="str">
            <v>PROVISIONAL</v>
          </cell>
          <cell r="O151" t="str">
            <v>CRUZ DAVID</v>
          </cell>
          <cell r="P151" t="str">
            <v xml:space="preserve"> </v>
          </cell>
        </row>
        <row r="152">
          <cell r="A152" t="str">
            <v>3°1°3BIO</v>
          </cell>
          <cell r="B152" t="str">
            <v>3°1°</v>
          </cell>
          <cell r="C152"/>
          <cell r="D152" t="str">
            <v>3BIO</v>
          </cell>
          <cell r="E152">
            <v>1644174</v>
          </cell>
          <cell r="F152" t="str">
            <v>BIOLOGIA</v>
          </cell>
          <cell r="G152">
            <v>23480647</v>
          </cell>
          <cell r="H152"/>
          <cell r="I152" t="str">
            <v xml:space="preserve">FARIAS CLAUDIA ANTONIA </v>
          </cell>
          <cell r="J152"/>
          <cell r="K152"/>
          <cell r="L152" t="str">
            <v xml:space="preserve"> </v>
          </cell>
          <cell r="M152" t="str">
            <v xml:space="preserve"> </v>
          </cell>
          <cell r="N152" t="str">
            <v>TITULAR</v>
          </cell>
          <cell r="O152" t="str">
            <v xml:space="preserve">FARIAS CLAUDIA ANTONIA </v>
          </cell>
          <cell r="P152" t="str">
            <v xml:space="preserve"> </v>
          </cell>
        </row>
        <row r="153">
          <cell r="A153" t="str">
            <v>3°1°3CCD</v>
          </cell>
          <cell r="B153" t="str">
            <v>3°1°</v>
          </cell>
          <cell r="C153"/>
          <cell r="D153" t="str">
            <v>3CCD</v>
          </cell>
          <cell r="E153">
            <v>789589</v>
          </cell>
          <cell r="F153" t="str">
            <v>CONSTRUCCION DE LA CIUDADANIA</v>
          </cell>
          <cell r="G153" t="str">
            <v xml:space="preserve"> 20-30.035.771-8</v>
          </cell>
          <cell r="H153"/>
          <cell r="I153" t="str">
            <v xml:space="preserve">TORRES GABRIEL </v>
          </cell>
          <cell r="J153"/>
          <cell r="K153"/>
          <cell r="L153" t="str">
            <v xml:space="preserve"> </v>
          </cell>
          <cell r="M153" t="str">
            <v xml:space="preserve"> </v>
          </cell>
          <cell r="N153" t="str">
            <v>TITULAR</v>
          </cell>
          <cell r="O153" t="str">
            <v xml:space="preserve">TORRES GABRIEL </v>
          </cell>
          <cell r="P153" t="str">
            <v xml:space="preserve"> </v>
          </cell>
        </row>
        <row r="154">
          <cell r="A154" t="str">
            <v>3°1°3ART</v>
          </cell>
          <cell r="B154" t="str">
            <v>3°1°</v>
          </cell>
          <cell r="C154"/>
          <cell r="D154" t="str">
            <v>3ART</v>
          </cell>
          <cell r="E154">
            <v>733584</v>
          </cell>
          <cell r="F154" t="str">
            <v>EDUCACION ARTISTICA (PLASTICA)</v>
          </cell>
          <cell r="G154" t="str">
            <v xml:space="preserve"> 27-24.680.551-8</v>
          </cell>
          <cell r="H154"/>
          <cell r="I154"/>
          <cell r="J154"/>
          <cell r="K154" t="str">
            <v xml:space="preserve">TAPIA EVANGELINA EMILCE  </v>
          </cell>
          <cell r="L154" t="str">
            <v xml:space="preserve"> </v>
          </cell>
          <cell r="M154" t="str">
            <v xml:space="preserve"> </v>
          </cell>
          <cell r="N154" t="str">
            <v>PROVISIONAL</v>
          </cell>
          <cell r="O154" t="str">
            <v xml:space="preserve">TAPIA EVANGELINA EMILCE  </v>
          </cell>
          <cell r="P154" t="str">
            <v xml:space="preserve"> </v>
          </cell>
        </row>
        <row r="155">
          <cell r="A155" t="str">
            <v>3°1°3EFI</v>
          </cell>
          <cell r="B155" t="str">
            <v>3°1°</v>
          </cell>
          <cell r="C155"/>
          <cell r="D155" t="str">
            <v>3EFI</v>
          </cell>
          <cell r="E155">
            <v>733533</v>
          </cell>
          <cell r="F155" t="str">
            <v>EDUCACIÓN FISICA</v>
          </cell>
          <cell r="G155" t="str">
            <v xml:space="preserve"> 20-20.422.900-8</v>
          </cell>
          <cell r="H155"/>
          <cell r="I155" t="str">
            <v xml:space="preserve">SANCHEZ CARLOS </v>
          </cell>
          <cell r="J155"/>
          <cell r="K155"/>
          <cell r="L155" t="str">
            <v xml:space="preserve"> </v>
          </cell>
          <cell r="M155" t="str">
            <v xml:space="preserve"> </v>
          </cell>
          <cell r="N155" t="str">
            <v>TITULAR</v>
          </cell>
          <cell r="O155" t="str">
            <v xml:space="preserve">SANCHEZ CARLOS </v>
          </cell>
          <cell r="P155" t="str">
            <v xml:space="preserve"> </v>
          </cell>
        </row>
        <row r="156">
          <cell r="A156" t="str">
            <v>3°1°3FI/QUI</v>
          </cell>
          <cell r="B156" t="str">
            <v>3°1°</v>
          </cell>
          <cell r="C156"/>
          <cell r="D156" t="str">
            <v>3FI/QUI</v>
          </cell>
          <cell r="E156">
            <v>1644172</v>
          </cell>
          <cell r="F156" t="str">
            <v>FISICO-QUIMICA</v>
          </cell>
          <cell r="G156" t="str">
            <v xml:space="preserve"> 20-23.884.637-5</v>
          </cell>
          <cell r="H156"/>
          <cell r="I156" t="str">
            <v xml:space="preserve">ESPINDOLA SERGIO                          </v>
          </cell>
          <cell r="J156"/>
          <cell r="K156"/>
          <cell r="L156" t="str">
            <v xml:space="preserve"> </v>
          </cell>
          <cell r="M156" t="str">
            <v xml:space="preserve"> </v>
          </cell>
          <cell r="N156" t="str">
            <v>TITULAR</v>
          </cell>
          <cell r="O156" t="str">
            <v xml:space="preserve">ESPINDOLA SERGIO                          </v>
          </cell>
          <cell r="P156" t="str">
            <v xml:space="preserve"> </v>
          </cell>
        </row>
        <row r="157">
          <cell r="A157" t="str">
            <v>3°1°3GEO</v>
          </cell>
          <cell r="B157" t="str">
            <v>3°1°</v>
          </cell>
          <cell r="C157"/>
          <cell r="D157" t="str">
            <v>3GEO</v>
          </cell>
          <cell r="E157">
            <v>1644167</v>
          </cell>
          <cell r="F157" t="str">
            <v>GEOGRAFIA</v>
          </cell>
          <cell r="G157" t="str">
            <v>20-24.636.854-0</v>
          </cell>
          <cell r="H157"/>
          <cell r="I157"/>
          <cell r="J157">
            <v>27353496129</v>
          </cell>
          <cell r="K157" t="str">
            <v>BLANCO NOGUEIRAS MICAELA E</v>
          </cell>
          <cell r="L157" t="str">
            <v xml:space="preserve"> </v>
          </cell>
          <cell r="M157" t="str">
            <v xml:space="preserve"> </v>
          </cell>
          <cell r="N157" t="str">
            <v>PROVISIONAL</v>
          </cell>
          <cell r="O157" t="str">
            <v>BLANCO NOGUEIRAS MICAELA E</v>
          </cell>
          <cell r="P157" t="str">
            <v xml:space="preserve"> </v>
          </cell>
        </row>
        <row r="158">
          <cell r="A158" t="str">
            <v>3°1°3HIS</v>
          </cell>
          <cell r="B158" t="str">
            <v>3°1°</v>
          </cell>
          <cell r="C158"/>
          <cell r="D158" t="str">
            <v>3HIS</v>
          </cell>
          <cell r="E158">
            <v>1644170</v>
          </cell>
          <cell r="F158" t="str">
            <v>HISTORIA</v>
          </cell>
          <cell r="G158" t="str">
            <v>27-29.099.130-6</v>
          </cell>
          <cell r="H158" t="str">
            <v>MAD 2025</v>
          </cell>
          <cell r="I158" t="str">
            <v>JUAREZ NORMA</v>
          </cell>
          <cell r="J158"/>
          <cell r="K158"/>
          <cell r="L158" t="str">
            <v xml:space="preserve"> </v>
          </cell>
          <cell r="M158" t="str">
            <v xml:space="preserve"> </v>
          </cell>
          <cell r="N158" t="str">
            <v>TITULAR</v>
          </cell>
          <cell r="O158" t="str">
            <v>JUAREZ NORMA</v>
          </cell>
          <cell r="P158" t="str">
            <v xml:space="preserve"> </v>
          </cell>
        </row>
        <row r="159">
          <cell r="A159" t="str">
            <v>3°1°3ING</v>
          </cell>
          <cell r="B159" t="str">
            <v>3°1°</v>
          </cell>
          <cell r="C159"/>
          <cell r="D159" t="str">
            <v>3ING</v>
          </cell>
          <cell r="E159">
            <v>733560</v>
          </cell>
          <cell r="F159" t="str">
            <v>INGLÉS</v>
          </cell>
          <cell r="G159" t="str">
            <v xml:space="preserve"> 27-28.305.130-2</v>
          </cell>
          <cell r="H159"/>
          <cell r="I159" t="str">
            <v xml:space="preserve">BONELLI PAMELA   </v>
          </cell>
          <cell r="J159"/>
          <cell r="K159"/>
          <cell r="L159" t="str">
            <v xml:space="preserve"> </v>
          </cell>
          <cell r="M159" t="str">
            <v xml:space="preserve"> </v>
          </cell>
          <cell r="N159" t="str">
            <v>TITULAR</v>
          </cell>
          <cell r="O159" t="str">
            <v xml:space="preserve">BONELLI PAMELA   </v>
          </cell>
          <cell r="P159" t="str">
            <v xml:space="preserve"> </v>
          </cell>
        </row>
        <row r="160">
          <cell r="A160" t="str">
            <v>3°1°3MAT</v>
          </cell>
          <cell r="B160" t="str">
            <v>3°1°</v>
          </cell>
          <cell r="C160"/>
          <cell r="D160" t="str">
            <v>3MAT</v>
          </cell>
          <cell r="E160">
            <v>1104261</v>
          </cell>
          <cell r="F160" t="str">
            <v>MATEMATICA</v>
          </cell>
          <cell r="G160" t="str">
            <v xml:space="preserve"> 27-31.927.798-1</v>
          </cell>
          <cell r="H160" t="str">
            <v>(mad 2019)</v>
          </cell>
          <cell r="I160" t="str">
            <v xml:space="preserve">MARTINEZ, GISELA       </v>
          </cell>
          <cell r="J160"/>
          <cell r="K160"/>
          <cell r="L160" t="str">
            <v xml:space="preserve"> </v>
          </cell>
          <cell r="M160" t="str">
            <v xml:space="preserve"> </v>
          </cell>
          <cell r="N160" t="str">
            <v>TITULAR</v>
          </cell>
          <cell r="O160" t="str">
            <v xml:space="preserve">MARTINEZ, GISELA       </v>
          </cell>
          <cell r="P160" t="str">
            <v xml:space="preserve"> </v>
          </cell>
        </row>
        <row r="161">
          <cell r="A161" t="str">
            <v>3°1°3PLG</v>
          </cell>
          <cell r="B161" t="str">
            <v>3°1°</v>
          </cell>
          <cell r="C161"/>
          <cell r="D161" t="str">
            <v>3PLG</v>
          </cell>
          <cell r="E161">
            <v>733471</v>
          </cell>
          <cell r="F161" t="str">
            <v>PRACTICA DEL LENGUAJE</v>
          </cell>
          <cell r="G161" t="str">
            <v>27-26.803.173-7</v>
          </cell>
          <cell r="H161" t="str">
            <v>INTERINO 2025</v>
          </cell>
          <cell r="I161" t="str">
            <v>ROSSI, MARIA FERNANDA  27221013714</v>
          </cell>
          <cell r="J161"/>
          <cell r="K161"/>
          <cell r="L161" t="str">
            <v xml:space="preserve"> </v>
          </cell>
          <cell r="M161" t="str">
            <v xml:space="preserve"> </v>
          </cell>
          <cell r="N161" t="str">
            <v>TITULAR</v>
          </cell>
          <cell r="O161" t="str">
            <v>ROSSI, MARIA FERNANDA  27221013714</v>
          </cell>
          <cell r="P161" t="str">
            <v xml:space="preserve"> </v>
          </cell>
        </row>
        <row r="162">
          <cell r="A162" t="str">
            <v>3°1°3113TLT3</v>
          </cell>
          <cell r="B162" t="str">
            <v>3°1°</v>
          </cell>
          <cell r="C162">
            <v>311</v>
          </cell>
          <cell r="D162" t="str">
            <v>3TLT3</v>
          </cell>
          <cell r="E162">
            <v>2682842</v>
          </cell>
          <cell r="F162" t="str">
            <v>LENGUAJES TECNOLOGICOS</v>
          </cell>
          <cell r="G162"/>
          <cell r="H162"/>
          <cell r="I162"/>
          <cell r="J162" t="str">
            <v>20-25.859 440-2</v>
          </cell>
          <cell r="K162" t="str">
            <v xml:space="preserve">GUTIERREZ FERNANDO  </v>
          </cell>
          <cell r="L162">
            <v>20445049736</v>
          </cell>
          <cell r="M162" t="str">
            <v xml:space="preserve"> OSORIO FRANCO PATRICIO</v>
          </cell>
          <cell r="N162" t="str">
            <v>SUPLENTE</v>
          </cell>
          <cell r="O162" t="str">
            <v xml:space="preserve"> OSORIO FRANCO PATRICIO</v>
          </cell>
          <cell r="P162" t="str">
            <v xml:space="preserve"> </v>
          </cell>
        </row>
        <row r="163">
          <cell r="A163" t="str">
            <v>3°1°3113TST3</v>
          </cell>
          <cell r="B163" t="str">
            <v>3°1°</v>
          </cell>
          <cell r="C163">
            <v>311</v>
          </cell>
          <cell r="D163" t="str">
            <v>3TST3</v>
          </cell>
          <cell r="E163">
            <v>2682844</v>
          </cell>
          <cell r="F163" t="str">
            <v>SISTEMAS TECNOLOGICOS</v>
          </cell>
          <cell r="G163"/>
          <cell r="H163"/>
          <cell r="I163"/>
          <cell r="J163" t="str">
            <v>27-28.844.909-6</v>
          </cell>
          <cell r="K163" t="str">
            <v>ECHAZU FARIAS  ANALIA</v>
          </cell>
          <cell r="L163" t="str">
            <v xml:space="preserve"> </v>
          </cell>
          <cell r="M163" t="str">
            <v xml:space="preserve"> </v>
          </cell>
          <cell r="N163" t="str">
            <v>PROVISIONAL</v>
          </cell>
          <cell r="O163" t="str">
            <v>ECHAZU FARIAS  ANALIA</v>
          </cell>
          <cell r="P163" t="str">
            <v xml:space="preserve"> </v>
          </cell>
        </row>
        <row r="164">
          <cell r="A164" t="str">
            <v>3°1°3113TPT3</v>
          </cell>
          <cell r="B164" t="str">
            <v>3°1°</v>
          </cell>
          <cell r="C164">
            <v>311</v>
          </cell>
          <cell r="D164" t="str">
            <v>3TPT3</v>
          </cell>
          <cell r="E164">
            <v>2682845</v>
          </cell>
          <cell r="F164" t="str">
            <v>PROCEDIMIENTOS TECNICOS</v>
          </cell>
          <cell r="G164"/>
          <cell r="H164"/>
          <cell r="I164"/>
          <cell r="J164" t="str">
            <v>20-23.639.282-2</v>
          </cell>
          <cell r="K164" t="str">
            <v>PAZ DANIEL</v>
          </cell>
          <cell r="L164">
            <v>25749169</v>
          </cell>
          <cell r="M164" t="str">
            <v>CRUZ DAVID FRANCISCO</v>
          </cell>
          <cell r="N164" t="str">
            <v>SUPLENTE</v>
          </cell>
          <cell r="O164" t="str">
            <v>CRUZ DAVID FRANCISCO</v>
          </cell>
          <cell r="P164" t="str">
            <v xml:space="preserve"> </v>
          </cell>
        </row>
        <row r="165">
          <cell r="A165" t="str">
            <v>3°1°3123TLT3</v>
          </cell>
          <cell r="B165" t="str">
            <v>3°1°</v>
          </cell>
          <cell r="C165">
            <v>312</v>
          </cell>
          <cell r="D165" t="str">
            <v>3TLT3</v>
          </cell>
          <cell r="E165">
            <v>2682848</v>
          </cell>
          <cell r="F165" t="str">
            <v>LENGUAJES TECNOLOGICOS</v>
          </cell>
          <cell r="G165" t="str">
            <v>20-25.859 440-2</v>
          </cell>
          <cell r="H165" t="str">
            <v xml:space="preserve"> (MASIVA)</v>
          </cell>
          <cell r="I165" t="str">
            <v>GUTIERREZ FERNANDO</v>
          </cell>
          <cell r="J165"/>
          <cell r="K165"/>
          <cell r="L165">
            <v>20238846375</v>
          </cell>
          <cell r="M165" t="str">
            <v>ESPINDOLA SERGIO DANIEL</v>
          </cell>
          <cell r="N165" t="str">
            <v>SUPLENTE</v>
          </cell>
          <cell r="O165" t="str">
            <v>ESPINDOLA SERGIO DANIEL</v>
          </cell>
          <cell r="P165" t="str">
            <v xml:space="preserve"> </v>
          </cell>
        </row>
        <row r="166">
          <cell r="A166" t="str">
            <v>3°1°3123TST3</v>
          </cell>
          <cell r="B166" t="str">
            <v>3°1°</v>
          </cell>
          <cell r="C166">
            <v>312</v>
          </cell>
          <cell r="D166" t="str">
            <v>3TST3</v>
          </cell>
          <cell r="E166">
            <v>2682850</v>
          </cell>
          <cell r="F166" t="str">
            <v>SISTEMAS TECNOLOGICOS</v>
          </cell>
          <cell r="G166"/>
          <cell r="H166"/>
          <cell r="I166"/>
          <cell r="J166" t="str">
            <v>23.998.211-6</v>
          </cell>
          <cell r="K166" t="str">
            <v>CAMBULE PEDRO</v>
          </cell>
          <cell r="L166">
            <v>27288817427</v>
          </cell>
          <cell r="M166" t="str">
            <v>MIRTA GABRIELA ZEBALLOS</v>
          </cell>
          <cell r="N166" t="str">
            <v>SUPLENTE</v>
          </cell>
          <cell r="O166" t="str">
            <v>MIRTA GABRIELA ZEBALLOS</v>
          </cell>
          <cell r="P166" t="str">
            <v xml:space="preserve"> </v>
          </cell>
        </row>
        <row r="167">
          <cell r="A167" t="str">
            <v>3°1°3123TPT3</v>
          </cell>
          <cell r="B167" t="str">
            <v>3°1°</v>
          </cell>
          <cell r="C167">
            <v>312</v>
          </cell>
          <cell r="D167" t="str">
            <v>3TPT3</v>
          </cell>
          <cell r="E167">
            <v>2682852</v>
          </cell>
          <cell r="F167" t="str">
            <v>PROCEDIMIENTOS TECNICOS</v>
          </cell>
          <cell r="G167"/>
          <cell r="H167"/>
          <cell r="I167"/>
          <cell r="J167" t="str">
            <v>23.998.211-6</v>
          </cell>
          <cell r="K167" t="str">
            <v>CAMBULE PEDRO</v>
          </cell>
          <cell r="L167" t="str">
            <v xml:space="preserve"> </v>
          </cell>
          <cell r="M167" t="str">
            <v xml:space="preserve"> </v>
          </cell>
          <cell r="N167" t="str">
            <v>PROVISIONAL</v>
          </cell>
          <cell r="O167" t="str">
            <v>CAMBULE PEDRO</v>
          </cell>
          <cell r="P167" t="str">
            <v xml:space="preserve"> </v>
          </cell>
        </row>
        <row r="168">
          <cell r="A168" t="str">
            <v>3°2°3BIO</v>
          </cell>
          <cell r="B168" t="str">
            <v>3°2°</v>
          </cell>
          <cell r="C168"/>
          <cell r="D168" t="str">
            <v>3BIO</v>
          </cell>
          <cell r="E168">
            <v>1644183</v>
          </cell>
          <cell r="F168" t="str">
            <v>BIOLOGIA</v>
          </cell>
          <cell r="G168"/>
          <cell r="H168"/>
          <cell r="I168" t="str">
            <v>ARIAS, YANINA</v>
          </cell>
          <cell r="J168"/>
          <cell r="K168"/>
          <cell r="L168" t="str">
            <v xml:space="preserve"> </v>
          </cell>
          <cell r="M168" t="str">
            <v xml:space="preserve"> </v>
          </cell>
          <cell r="N168" t="str">
            <v>TITULAR</v>
          </cell>
          <cell r="O168" t="str">
            <v>ARIAS, YANINA</v>
          </cell>
          <cell r="P168" t="str">
            <v xml:space="preserve"> </v>
          </cell>
        </row>
        <row r="169">
          <cell r="A169" t="str">
            <v>3°2°3CCD</v>
          </cell>
          <cell r="B169" t="str">
            <v>3°2°</v>
          </cell>
          <cell r="C169"/>
          <cell r="D169" t="str">
            <v>3CCD</v>
          </cell>
          <cell r="E169">
            <v>733451</v>
          </cell>
          <cell r="F169" t="str">
            <v>CONSTRUCCION DE LA CIUDADANIA</v>
          </cell>
          <cell r="G169"/>
          <cell r="H169"/>
          <cell r="I169" t="str">
            <v xml:space="preserve">TORRES GABRIEL </v>
          </cell>
          <cell r="J169"/>
          <cell r="K169"/>
          <cell r="L169" t="str">
            <v xml:space="preserve"> </v>
          </cell>
          <cell r="M169" t="str">
            <v xml:space="preserve"> </v>
          </cell>
          <cell r="N169" t="str">
            <v>TITULAR</v>
          </cell>
          <cell r="O169" t="str">
            <v xml:space="preserve">TORRES GABRIEL </v>
          </cell>
          <cell r="P169" t="str">
            <v xml:space="preserve"> </v>
          </cell>
        </row>
        <row r="170">
          <cell r="A170" t="str">
            <v>3°2°3ART</v>
          </cell>
          <cell r="B170" t="str">
            <v>3°2°</v>
          </cell>
          <cell r="C170"/>
          <cell r="D170" t="str">
            <v>3ART</v>
          </cell>
          <cell r="E170">
            <v>733531</v>
          </cell>
          <cell r="F170" t="str">
            <v>EDUCACION ARTISTICA (PLASTICA)</v>
          </cell>
          <cell r="G170"/>
          <cell r="H170"/>
          <cell r="I170"/>
          <cell r="J170">
            <v>27304278973</v>
          </cell>
          <cell r="K170" t="str">
            <v xml:space="preserve">TAPIA EVANGELINA EMILCE  </v>
          </cell>
          <cell r="L170" t="str">
            <v xml:space="preserve"> </v>
          </cell>
          <cell r="M170" t="str">
            <v xml:space="preserve"> </v>
          </cell>
          <cell r="N170" t="str">
            <v>PROVISIONAL</v>
          </cell>
          <cell r="O170" t="str">
            <v xml:space="preserve">TAPIA EVANGELINA EMILCE  </v>
          </cell>
          <cell r="P170" t="str">
            <v xml:space="preserve"> </v>
          </cell>
        </row>
        <row r="171">
          <cell r="A171" t="str">
            <v>3°2°3EFI</v>
          </cell>
          <cell r="B171" t="str">
            <v>3°2°</v>
          </cell>
          <cell r="C171"/>
          <cell r="D171" t="str">
            <v>3EFI</v>
          </cell>
          <cell r="E171">
            <v>733459</v>
          </cell>
          <cell r="F171" t="str">
            <v>EDUCACIÓN FISICA</v>
          </cell>
          <cell r="G171" t="str">
            <v>20-20.776.115-0</v>
          </cell>
          <cell r="H171"/>
          <cell r="I171" t="str">
            <v>DE LA FUENTE F.</v>
          </cell>
          <cell r="J171"/>
          <cell r="K171"/>
          <cell r="L171" t="str">
            <v xml:space="preserve"> </v>
          </cell>
          <cell r="M171" t="str">
            <v xml:space="preserve"> </v>
          </cell>
          <cell r="N171" t="str">
            <v>TITULAR</v>
          </cell>
          <cell r="O171" t="str">
            <v>DE LA FUENTE F.</v>
          </cell>
          <cell r="P171" t="str">
            <v xml:space="preserve"> </v>
          </cell>
        </row>
        <row r="172">
          <cell r="A172" t="str">
            <v>3°2°3FI/QUI</v>
          </cell>
          <cell r="B172" t="str">
            <v>3°2°</v>
          </cell>
          <cell r="C172"/>
          <cell r="D172" t="str">
            <v>3FI/QUI</v>
          </cell>
          <cell r="E172">
            <v>1644182</v>
          </cell>
          <cell r="F172" t="str">
            <v>FISICO-QUIMICA</v>
          </cell>
          <cell r="G172" t="str">
            <v>27-28.329.165-6</v>
          </cell>
          <cell r="H172"/>
          <cell r="I172" t="str">
            <v xml:space="preserve">AGUIRRE VALERIA </v>
          </cell>
          <cell r="J172"/>
          <cell r="K172"/>
          <cell r="L172" t="str">
            <v xml:space="preserve"> </v>
          </cell>
          <cell r="M172" t="str">
            <v xml:space="preserve"> </v>
          </cell>
          <cell r="N172" t="str">
            <v>TITULAR</v>
          </cell>
          <cell r="O172" t="str">
            <v xml:space="preserve">AGUIRRE VALERIA </v>
          </cell>
          <cell r="P172" t="str">
            <v xml:space="preserve"> </v>
          </cell>
        </row>
        <row r="173">
          <cell r="A173" t="str">
            <v>3°2°3GEO</v>
          </cell>
          <cell r="B173" t="str">
            <v>3°2°</v>
          </cell>
          <cell r="C173"/>
          <cell r="D173" t="str">
            <v>3GEO</v>
          </cell>
          <cell r="E173">
            <v>1644177</v>
          </cell>
          <cell r="F173" t="str">
            <v>GEOGRAFIA</v>
          </cell>
          <cell r="G173" t="str">
            <v>27-29.146.146-3</v>
          </cell>
          <cell r="H173" t="str">
            <v>(MAD 2018-2019)</v>
          </cell>
          <cell r="I173" t="str">
            <v>SOLIS, MARIA</v>
          </cell>
          <cell r="J173"/>
          <cell r="K173"/>
          <cell r="L173">
            <v>23086757</v>
          </cell>
          <cell r="M173" t="str">
            <v>ZAMBRANO GAMBOA JOSHUA</v>
          </cell>
          <cell r="N173" t="str">
            <v>SUPLENTE</v>
          </cell>
          <cell r="O173" t="str">
            <v>ZAMBRANO GAMBOA JOSHUA</v>
          </cell>
          <cell r="P173" t="str">
            <v xml:space="preserve"> </v>
          </cell>
        </row>
        <row r="174">
          <cell r="A174" t="str">
            <v>3°2°3HIS</v>
          </cell>
          <cell r="B174" t="str">
            <v>3°2°</v>
          </cell>
          <cell r="C174"/>
          <cell r="D174" t="str">
            <v>3HIS</v>
          </cell>
          <cell r="E174">
            <v>1644179</v>
          </cell>
          <cell r="F174" t="str">
            <v>HISTORIA</v>
          </cell>
          <cell r="G174" t="str">
            <v xml:space="preserve"> 20-18.284.913-9</v>
          </cell>
          <cell r="H174"/>
          <cell r="I174" t="str">
            <v xml:space="preserve">TORRES LUIS                    </v>
          </cell>
          <cell r="J174"/>
          <cell r="K174"/>
          <cell r="L174" t="str">
            <v xml:space="preserve"> </v>
          </cell>
          <cell r="M174" t="str">
            <v xml:space="preserve"> </v>
          </cell>
          <cell r="N174" t="str">
            <v>TITULAR</v>
          </cell>
          <cell r="O174" t="str">
            <v xml:space="preserve">TORRES LUIS                    </v>
          </cell>
          <cell r="P174" t="str">
            <v xml:space="preserve"> </v>
          </cell>
        </row>
        <row r="175">
          <cell r="A175" t="str">
            <v>3°2°3ING</v>
          </cell>
          <cell r="B175" t="str">
            <v>3°2°</v>
          </cell>
          <cell r="C175"/>
          <cell r="D175" t="str">
            <v>3ING</v>
          </cell>
          <cell r="E175">
            <v>733558</v>
          </cell>
          <cell r="F175" t="str">
            <v>INGLÉS</v>
          </cell>
          <cell r="G175" t="str">
            <v>27-29.433.432-2</v>
          </cell>
          <cell r="H175" t="str">
            <v xml:space="preserve"> ACREC. 2020</v>
          </cell>
          <cell r="I175" t="str">
            <v xml:space="preserve">ARCE KARINA </v>
          </cell>
          <cell r="J175"/>
          <cell r="K175"/>
          <cell r="L175" t="str">
            <v xml:space="preserve"> </v>
          </cell>
          <cell r="M175" t="str">
            <v xml:space="preserve"> </v>
          </cell>
          <cell r="N175" t="str">
            <v>TITULAR</v>
          </cell>
          <cell r="O175" t="str">
            <v xml:space="preserve">ARCE KARINA </v>
          </cell>
          <cell r="P175" t="str">
            <v xml:space="preserve"> </v>
          </cell>
        </row>
        <row r="176">
          <cell r="A176" t="str">
            <v>3°2°3MAT</v>
          </cell>
          <cell r="B176" t="str">
            <v>3°2°</v>
          </cell>
          <cell r="C176"/>
          <cell r="D176" t="str">
            <v>3MAT</v>
          </cell>
          <cell r="E176">
            <v>789744</v>
          </cell>
          <cell r="F176" t="str">
            <v>MATEMATICA</v>
          </cell>
          <cell r="G176" t="str">
            <v>20-37059555-1 INT 2025</v>
          </cell>
          <cell r="H176"/>
          <cell r="I176" t="str">
            <v xml:space="preserve">VARCHETTA, GABRIEL OMAR   </v>
          </cell>
          <cell r="J176"/>
          <cell r="K176"/>
          <cell r="L176" t="str">
            <v xml:space="preserve"> </v>
          </cell>
          <cell r="M176" t="str">
            <v xml:space="preserve"> </v>
          </cell>
          <cell r="N176" t="str">
            <v>TITULAR</v>
          </cell>
          <cell r="O176" t="str">
            <v xml:space="preserve">VARCHETTA, GABRIEL OMAR   </v>
          </cell>
          <cell r="P176" t="str">
            <v xml:space="preserve"> </v>
          </cell>
        </row>
        <row r="177">
          <cell r="A177" t="str">
            <v>3°2°3PLG</v>
          </cell>
          <cell r="B177" t="str">
            <v>3°2°</v>
          </cell>
          <cell r="C177"/>
          <cell r="D177" t="str">
            <v>3PLG</v>
          </cell>
          <cell r="E177">
            <v>733447</v>
          </cell>
          <cell r="F177" t="str">
            <v>PRACTICA DEL LENGUAJE</v>
          </cell>
          <cell r="G177" t="str">
            <v>27- 26.115.648-8</v>
          </cell>
          <cell r="H177"/>
          <cell r="I177" t="str">
            <v>GONZALEZ DANIELA</v>
          </cell>
          <cell r="J177"/>
          <cell r="K177"/>
          <cell r="L177" t="str">
            <v xml:space="preserve"> </v>
          </cell>
          <cell r="M177" t="str">
            <v xml:space="preserve"> </v>
          </cell>
          <cell r="N177" t="str">
            <v>TITULAR</v>
          </cell>
          <cell r="O177" t="str">
            <v>GONZALEZ DANIELA</v>
          </cell>
          <cell r="P177" t="str">
            <v xml:space="preserve"> </v>
          </cell>
        </row>
        <row r="178">
          <cell r="A178" t="str">
            <v>3°2°3213TLT3</v>
          </cell>
          <cell r="B178" t="str">
            <v>3°2°</v>
          </cell>
          <cell r="C178">
            <v>321</v>
          </cell>
          <cell r="D178" t="str">
            <v>3TLT3</v>
          </cell>
          <cell r="E178">
            <v>2682790</v>
          </cell>
          <cell r="F178" t="str">
            <v>LENGUAJES TECNOLOGICOS</v>
          </cell>
          <cell r="G178" t="str">
            <v xml:space="preserve">                 20-28.440.300-3</v>
          </cell>
          <cell r="H178"/>
          <cell r="I178" t="str">
            <v xml:space="preserve">CARDINALE GERMAN </v>
          </cell>
          <cell r="J178"/>
          <cell r="K178"/>
          <cell r="L178" t="str">
            <v xml:space="preserve">27-21.065.864-0 </v>
          </cell>
          <cell r="M178" t="str">
            <v>TITO JUAN MANUEL</v>
          </cell>
          <cell r="N178" t="str">
            <v>SUPLENTE</v>
          </cell>
          <cell r="O178" t="str">
            <v>TITO JUAN MANUEL</v>
          </cell>
          <cell r="P178" t="str">
            <v xml:space="preserve"> </v>
          </cell>
        </row>
        <row r="179">
          <cell r="A179" t="str">
            <v>3°2°3213TST3</v>
          </cell>
          <cell r="B179" t="str">
            <v>3°2°</v>
          </cell>
          <cell r="C179">
            <v>321</v>
          </cell>
          <cell r="D179" t="str">
            <v>3TST3</v>
          </cell>
          <cell r="E179">
            <v>2682791</v>
          </cell>
          <cell r="F179" t="str">
            <v>SISTEMAS TECNOLOGICOS</v>
          </cell>
          <cell r="G179" t="str">
            <v xml:space="preserve"> 27-14.685.999-8 </v>
          </cell>
          <cell r="H179"/>
          <cell r="I179"/>
          <cell r="J179" t="str">
            <v xml:space="preserve"> 20-25692615-7</v>
          </cell>
          <cell r="K179" t="str">
            <v>CRUZ JESUS</v>
          </cell>
          <cell r="L179" t="str">
            <v xml:space="preserve"> </v>
          </cell>
          <cell r="M179" t="str">
            <v xml:space="preserve"> </v>
          </cell>
          <cell r="N179" t="str">
            <v>PROVISIONAL</v>
          </cell>
          <cell r="O179" t="str">
            <v>CRUZ JESUS</v>
          </cell>
          <cell r="P179" t="str">
            <v xml:space="preserve"> </v>
          </cell>
        </row>
        <row r="180">
          <cell r="A180" t="str">
            <v>3°2°3213TPT3</v>
          </cell>
          <cell r="B180" t="str">
            <v>3°2°</v>
          </cell>
          <cell r="C180">
            <v>321</v>
          </cell>
          <cell r="D180" t="str">
            <v>3TPT3</v>
          </cell>
          <cell r="E180">
            <v>2682793</v>
          </cell>
          <cell r="F180" t="str">
            <v>PROCEDIMIENTOS TECNICOS</v>
          </cell>
          <cell r="G180"/>
          <cell r="H180"/>
          <cell r="I180"/>
          <cell r="J180" t="str">
            <v>20-21103894-3</v>
          </cell>
          <cell r="K180" t="str">
            <v>LEYES RICARDO</v>
          </cell>
          <cell r="L180" t="str">
            <v xml:space="preserve"> </v>
          </cell>
          <cell r="M180" t="str">
            <v xml:space="preserve"> </v>
          </cell>
          <cell r="N180" t="str">
            <v>PROVISIONAL</v>
          </cell>
          <cell r="O180" t="str">
            <v>LEYES RICARDO</v>
          </cell>
          <cell r="P180" t="str">
            <v xml:space="preserve"> </v>
          </cell>
        </row>
        <row r="181">
          <cell r="A181" t="str">
            <v>3°2°3223TLT3</v>
          </cell>
          <cell r="B181" t="str">
            <v>3°2°</v>
          </cell>
          <cell r="C181">
            <v>322</v>
          </cell>
          <cell r="D181" t="str">
            <v>3TLT3</v>
          </cell>
          <cell r="E181">
            <v>2682794</v>
          </cell>
          <cell r="F181" t="str">
            <v>LENGUAJES TECNOLOGICOS</v>
          </cell>
          <cell r="G181"/>
          <cell r="H181"/>
          <cell r="I181"/>
          <cell r="J181"/>
          <cell r="K181" t="str">
            <v>TITO JUAN MANUEL</v>
          </cell>
          <cell r="L181" t="str">
            <v xml:space="preserve"> </v>
          </cell>
          <cell r="M181" t="str">
            <v xml:space="preserve"> </v>
          </cell>
          <cell r="N181" t="str">
            <v>PROVISIONAL</v>
          </cell>
          <cell r="O181" t="str">
            <v>TITO JUAN MANUEL</v>
          </cell>
          <cell r="P181" t="str">
            <v xml:space="preserve"> </v>
          </cell>
        </row>
        <row r="182">
          <cell r="A182" t="str">
            <v>3°2°3223TST3</v>
          </cell>
          <cell r="B182" t="str">
            <v>3°2°</v>
          </cell>
          <cell r="C182">
            <v>322</v>
          </cell>
          <cell r="D182" t="str">
            <v>3TST3</v>
          </cell>
          <cell r="E182">
            <v>2682796</v>
          </cell>
          <cell r="F182" t="str">
            <v>SISTEMAS TECNOLOGICOS</v>
          </cell>
          <cell r="G182"/>
          <cell r="H182"/>
          <cell r="I182"/>
          <cell r="J182" t="str">
            <v>20-23.639.282-2</v>
          </cell>
          <cell r="K182" t="str">
            <v>PAZ DANIEL</v>
          </cell>
          <cell r="L182" t="str">
            <v xml:space="preserve"> </v>
          </cell>
          <cell r="M182" t="str">
            <v xml:space="preserve"> </v>
          </cell>
          <cell r="N182" t="str">
            <v>PROVISIONAL</v>
          </cell>
          <cell r="O182" t="str">
            <v>PAZ DANIEL</v>
          </cell>
          <cell r="P182" t="str">
            <v xml:space="preserve"> </v>
          </cell>
        </row>
        <row r="183">
          <cell r="A183" t="str">
            <v>3°2°3223TPT3</v>
          </cell>
          <cell r="B183" t="str">
            <v>3°2°</v>
          </cell>
          <cell r="C183">
            <v>322</v>
          </cell>
          <cell r="D183" t="str">
            <v>3TPT3</v>
          </cell>
          <cell r="E183">
            <v>2682798</v>
          </cell>
          <cell r="F183" t="str">
            <v>PROCEDIMIENTOS TECNICOS</v>
          </cell>
          <cell r="G183"/>
          <cell r="H183"/>
          <cell r="I183"/>
          <cell r="J183" t="str">
            <v xml:space="preserve"> 20-28.191.299-3</v>
          </cell>
          <cell r="K183" t="str">
            <v xml:space="preserve">ETCHEVERRY MARTIN                            </v>
          </cell>
          <cell r="L183" t="str">
            <v xml:space="preserve"> </v>
          </cell>
          <cell r="M183" t="str">
            <v xml:space="preserve"> </v>
          </cell>
          <cell r="N183" t="str">
            <v>PROVISIONAL</v>
          </cell>
          <cell r="O183" t="str">
            <v xml:space="preserve">ETCHEVERRY MARTIN                            </v>
          </cell>
          <cell r="P183" t="str">
            <v xml:space="preserve"> </v>
          </cell>
        </row>
        <row r="184">
          <cell r="A184" t="str">
            <v>3°3°3BIO</v>
          </cell>
          <cell r="B184" t="str">
            <v>3°3°</v>
          </cell>
          <cell r="C184"/>
          <cell r="D184" t="str">
            <v>3BIO</v>
          </cell>
          <cell r="E184">
            <v>1913939</v>
          </cell>
          <cell r="F184" t="str">
            <v>BIOLOGIA</v>
          </cell>
          <cell r="G184" t="str">
            <v>20-32.597.246-8</v>
          </cell>
          <cell r="H184"/>
          <cell r="I184" t="str">
            <v xml:space="preserve">CANCELA GONZALEZ M </v>
          </cell>
          <cell r="J184"/>
          <cell r="K184"/>
          <cell r="L184" t="str">
            <v xml:space="preserve"> </v>
          </cell>
          <cell r="M184" t="str">
            <v xml:space="preserve"> </v>
          </cell>
          <cell r="N184" t="str">
            <v>TITULAR</v>
          </cell>
          <cell r="O184" t="str">
            <v xml:space="preserve">CANCELA GONZALEZ M </v>
          </cell>
          <cell r="P184" t="str">
            <v xml:space="preserve"> </v>
          </cell>
        </row>
        <row r="185">
          <cell r="A185" t="str">
            <v>3°3°3CCD</v>
          </cell>
          <cell r="B185" t="str">
            <v>3°3°</v>
          </cell>
          <cell r="C185"/>
          <cell r="D185" t="str">
            <v>3CCD</v>
          </cell>
          <cell r="E185">
            <v>1913965</v>
          </cell>
          <cell r="F185" t="str">
            <v>CONSTRUCCION DE LA CIUDADANIA</v>
          </cell>
          <cell r="G185" t="str">
            <v>27- 23.075.933-8</v>
          </cell>
          <cell r="H185"/>
          <cell r="I185" t="str">
            <v>HERRERA CARMEN</v>
          </cell>
          <cell r="J185"/>
          <cell r="K185"/>
          <cell r="L185" t="str">
            <v xml:space="preserve"> </v>
          </cell>
          <cell r="M185" t="str">
            <v xml:space="preserve"> </v>
          </cell>
          <cell r="N185" t="str">
            <v>TITULAR</v>
          </cell>
          <cell r="O185" t="str">
            <v>HERRERA CARMEN</v>
          </cell>
          <cell r="P185" t="str">
            <v xml:space="preserve"> </v>
          </cell>
        </row>
        <row r="186">
          <cell r="A186" t="str">
            <v>3°3°3ART</v>
          </cell>
          <cell r="B186" t="str">
            <v>3°3°</v>
          </cell>
          <cell r="C186"/>
          <cell r="D186" t="str">
            <v>3ART</v>
          </cell>
          <cell r="E186">
            <v>1913969</v>
          </cell>
          <cell r="F186" t="str">
            <v>EDUCACION ARTISTICA (PLASTICA)</v>
          </cell>
          <cell r="G186" t="str">
            <v xml:space="preserve"> 27-24.680.551-8                       </v>
          </cell>
          <cell r="H186"/>
          <cell r="I186"/>
          <cell r="J186"/>
          <cell r="K186" t="str">
            <v>PERALTA GISELA</v>
          </cell>
          <cell r="L186" t="str">
            <v xml:space="preserve"> </v>
          </cell>
          <cell r="M186" t="str">
            <v xml:space="preserve"> </v>
          </cell>
          <cell r="N186" t="str">
            <v>PROVISIONAL</v>
          </cell>
          <cell r="O186" t="str">
            <v>PERALTA GISELA</v>
          </cell>
          <cell r="P186" t="str">
            <v xml:space="preserve"> </v>
          </cell>
        </row>
        <row r="187">
          <cell r="A187" t="str">
            <v>3°3°3EFI</v>
          </cell>
          <cell r="B187" t="str">
            <v>3°3°</v>
          </cell>
          <cell r="C187"/>
          <cell r="D187" t="str">
            <v>3EFI</v>
          </cell>
          <cell r="E187">
            <v>1913973</v>
          </cell>
          <cell r="F187" t="str">
            <v>EDUCACIÓN FISICA</v>
          </cell>
          <cell r="G187" t="str">
            <v>20-34020185-0</v>
          </cell>
          <cell r="H187"/>
          <cell r="I187" t="str">
            <v xml:space="preserve">RIOS, LEONARDO  </v>
          </cell>
          <cell r="J187"/>
          <cell r="K187"/>
          <cell r="L187" t="str">
            <v xml:space="preserve"> </v>
          </cell>
          <cell r="M187" t="str">
            <v xml:space="preserve"> </v>
          </cell>
          <cell r="N187" t="str">
            <v>TITULAR</v>
          </cell>
          <cell r="O187" t="str">
            <v xml:space="preserve">RIOS, LEONARDO  </v>
          </cell>
          <cell r="P187" t="str">
            <v xml:space="preserve"> </v>
          </cell>
        </row>
        <row r="188">
          <cell r="A188" t="str">
            <v>3°3°3FI/QUI</v>
          </cell>
          <cell r="B188" t="str">
            <v>3°3°</v>
          </cell>
          <cell r="C188"/>
          <cell r="D188" t="str">
            <v>3FI/QUI</v>
          </cell>
          <cell r="E188">
            <v>1913974</v>
          </cell>
          <cell r="F188" t="str">
            <v>FISICO-QUIMICA</v>
          </cell>
          <cell r="G188" t="str">
            <v>27-27.713.867-6</v>
          </cell>
          <cell r="H188"/>
          <cell r="I188" t="str">
            <v xml:space="preserve">GIOIA VERONICA                             </v>
          </cell>
          <cell r="J188"/>
          <cell r="K188"/>
          <cell r="L188" t="str">
            <v xml:space="preserve"> 27-26.381.174-2</v>
          </cell>
          <cell r="M188" t="str">
            <v>DIEGO UGALDEA</v>
          </cell>
          <cell r="N188" t="str">
            <v>SUPLENTE</v>
          </cell>
          <cell r="O188" t="str">
            <v>DIEGO UGALDEA</v>
          </cell>
          <cell r="P188" t="str">
            <v xml:space="preserve"> </v>
          </cell>
        </row>
        <row r="189">
          <cell r="A189" t="str">
            <v>3°3°3GEO</v>
          </cell>
          <cell r="B189" t="str">
            <v>3°3°</v>
          </cell>
          <cell r="C189"/>
          <cell r="D189" t="str">
            <v>3GEO</v>
          </cell>
          <cell r="E189">
            <v>1913979</v>
          </cell>
          <cell r="F189" t="str">
            <v>GEOGRAFIA</v>
          </cell>
          <cell r="G189" t="str">
            <v>23-28.029.112-9</v>
          </cell>
          <cell r="H189"/>
          <cell r="I189"/>
          <cell r="J189">
            <v>27276906084</v>
          </cell>
          <cell r="K189" t="str">
            <v xml:space="preserve"> ROJAS SOLEDAD</v>
          </cell>
          <cell r="L189" t="str">
            <v xml:space="preserve"> </v>
          </cell>
          <cell r="M189" t="str">
            <v xml:space="preserve"> </v>
          </cell>
          <cell r="N189" t="str">
            <v>PROVISIONAL</v>
          </cell>
          <cell r="O189" t="str">
            <v xml:space="preserve"> ROJAS SOLEDAD</v>
          </cell>
          <cell r="P189" t="str">
            <v xml:space="preserve"> </v>
          </cell>
        </row>
        <row r="190">
          <cell r="A190" t="str">
            <v>3°3°3HIS</v>
          </cell>
          <cell r="B190" t="str">
            <v>3°3°</v>
          </cell>
          <cell r="C190"/>
          <cell r="D190" t="str">
            <v>3HIS</v>
          </cell>
          <cell r="E190">
            <v>1913981</v>
          </cell>
          <cell r="F190" t="str">
            <v>HISTORIA</v>
          </cell>
          <cell r="G190" t="str">
            <v xml:space="preserve"> 20-18.284.913-9 </v>
          </cell>
          <cell r="H190" t="str">
            <v xml:space="preserve">    (Mad 2018)</v>
          </cell>
          <cell r="I190" t="str">
            <v xml:space="preserve">TORRES LUIS                    </v>
          </cell>
          <cell r="J190"/>
          <cell r="K190"/>
          <cell r="L190" t="str">
            <v xml:space="preserve"> </v>
          </cell>
          <cell r="M190" t="str">
            <v xml:space="preserve"> </v>
          </cell>
          <cell r="N190" t="str">
            <v>TITULAR</v>
          </cell>
          <cell r="O190" t="str">
            <v xml:space="preserve">TORRES LUIS                    </v>
          </cell>
          <cell r="P190" t="str">
            <v xml:space="preserve"> </v>
          </cell>
        </row>
        <row r="191">
          <cell r="A191" t="str">
            <v>3°3°3ING</v>
          </cell>
          <cell r="B191" t="str">
            <v>3°3°</v>
          </cell>
          <cell r="C191"/>
          <cell r="D191" t="str">
            <v>3ING</v>
          </cell>
          <cell r="E191">
            <v>1913982</v>
          </cell>
          <cell r="F191" t="str">
            <v>INGLÉS</v>
          </cell>
          <cell r="G191" t="str">
            <v>23-30.492.767 -4</v>
          </cell>
          <cell r="H191" t="str">
            <v>(DESTINO DEFINITIVO 2019)</v>
          </cell>
          <cell r="I191" t="str">
            <v xml:space="preserve">LEGUIZAMON ANA </v>
          </cell>
          <cell r="J191"/>
          <cell r="K191"/>
          <cell r="L191" t="str">
            <v xml:space="preserve"> </v>
          </cell>
          <cell r="M191" t="str">
            <v xml:space="preserve"> </v>
          </cell>
          <cell r="N191" t="str">
            <v>TITULAR</v>
          </cell>
          <cell r="O191" t="str">
            <v xml:space="preserve">LEGUIZAMON ANA </v>
          </cell>
          <cell r="P191" t="str">
            <v xml:space="preserve"> </v>
          </cell>
        </row>
        <row r="192">
          <cell r="A192" t="str">
            <v>3°3°3MAT</v>
          </cell>
          <cell r="B192" t="str">
            <v>3°3°</v>
          </cell>
          <cell r="C192"/>
          <cell r="D192" t="str">
            <v>3MAT</v>
          </cell>
          <cell r="E192">
            <v>1913983</v>
          </cell>
          <cell r="F192" t="str">
            <v>MATEMATICA</v>
          </cell>
          <cell r="G192" t="str">
            <v xml:space="preserve">  20-37059555-1</v>
          </cell>
          <cell r="H192" t="str">
            <v xml:space="preserve"> INT 2025</v>
          </cell>
          <cell r="I192" t="str">
            <v xml:space="preserve">VARCHETTA, GABRIEL OMAR </v>
          </cell>
          <cell r="J192"/>
          <cell r="K192"/>
          <cell r="L192" t="str">
            <v xml:space="preserve"> </v>
          </cell>
          <cell r="M192" t="str">
            <v xml:space="preserve"> </v>
          </cell>
          <cell r="N192" t="str">
            <v>TITULAR</v>
          </cell>
          <cell r="O192" t="str">
            <v xml:space="preserve">VARCHETTA, GABRIEL OMAR </v>
          </cell>
          <cell r="P192" t="str">
            <v xml:space="preserve"> </v>
          </cell>
        </row>
        <row r="193">
          <cell r="A193" t="str">
            <v>3°3°3PLG</v>
          </cell>
          <cell r="B193" t="str">
            <v>3°3°</v>
          </cell>
          <cell r="C193"/>
          <cell r="D193" t="str">
            <v>3PLG</v>
          </cell>
          <cell r="E193">
            <v>1913986</v>
          </cell>
          <cell r="F193" t="str">
            <v>PRACTICA DEL LENGUAJE</v>
          </cell>
          <cell r="G193">
            <v>13642940</v>
          </cell>
          <cell r="H193" t="str">
            <v xml:space="preserve"> ENTRA POR MAD 2020</v>
          </cell>
          <cell r="I193" t="str">
            <v>CARESTIA, NOEMI</v>
          </cell>
          <cell r="J193"/>
          <cell r="K193"/>
          <cell r="L193" t="str">
            <v xml:space="preserve"> </v>
          </cell>
          <cell r="M193" t="str">
            <v xml:space="preserve"> </v>
          </cell>
          <cell r="N193" t="str">
            <v>TITULAR</v>
          </cell>
          <cell r="O193" t="str">
            <v>CARESTIA, NOEMI</v>
          </cell>
          <cell r="P193" t="str">
            <v xml:space="preserve"> </v>
          </cell>
        </row>
        <row r="194">
          <cell r="A194" t="str">
            <v>3°3°3313TLT3</v>
          </cell>
          <cell r="B194" t="str">
            <v>3°3°</v>
          </cell>
          <cell r="C194">
            <v>331</v>
          </cell>
          <cell r="D194" t="str">
            <v>3TLT3</v>
          </cell>
          <cell r="E194">
            <v>1913987</v>
          </cell>
          <cell r="F194" t="str">
            <v>LENGUAJES TECNOLOGICOS</v>
          </cell>
          <cell r="G194" t="str">
            <v xml:space="preserve">20-25.859 440-2 </v>
          </cell>
          <cell r="H194" t="str">
            <v>(MASIVA)</v>
          </cell>
          <cell r="I194" t="str">
            <v xml:space="preserve">GUTIERREZ FERNANDO </v>
          </cell>
          <cell r="J194"/>
          <cell r="K194"/>
          <cell r="L194">
            <v>20445049736</v>
          </cell>
          <cell r="M194" t="str">
            <v>MARCELO ELIAN GONZÁLEZ BALDERRAMA</v>
          </cell>
          <cell r="N194" t="str">
            <v>SUPLENTE</v>
          </cell>
          <cell r="O194" t="str">
            <v>MARCELO ELIAN GONZÁLEZ BALDERRAMA</v>
          </cell>
          <cell r="P194" t="str">
            <v xml:space="preserve"> </v>
          </cell>
        </row>
        <row r="195">
          <cell r="A195" t="str">
            <v>3°3°3313TST3</v>
          </cell>
          <cell r="B195" t="str">
            <v>3°3°</v>
          </cell>
          <cell r="C195">
            <v>331</v>
          </cell>
          <cell r="D195" t="str">
            <v>3TST3</v>
          </cell>
          <cell r="E195">
            <v>1914000</v>
          </cell>
          <cell r="F195" t="str">
            <v>SISTEMAS TECNOLOGICOS</v>
          </cell>
          <cell r="G195"/>
          <cell r="H195"/>
          <cell r="I195"/>
          <cell r="J195" t="str">
            <v xml:space="preserve">  27-23560083-3</v>
          </cell>
          <cell r="K195" t="str">
            <v>DANIEL PAZ</v>
          </cell>
          <cell r="L195" t="str">
            <v xml:space="preserve"> </v>
          </cell>
          <cell r="M195" t="str">
            <v xml:space="preserve"> </v>
          </cell>
          <cell r="N195" t="str">
            <v>PROVISIONAL</v>
          </cell>
          <cell r="O195" t="str">
            <v>DANIEL PAZ</v>
          </cell>
          <cell r="P195" t="str">
            <v xml:space="preserve"> </v>
          </cell>
        </row>
        <row r="196">
          <cell r="A196" t="str">
            <v>3°3°3313TPT3</v>
          </cell>
          <cell r="B196" t="str">
            <v>3°3°</v>
          </cell>
          <cell r="C196">
            <v>331</v>
          </cell>
          <cell r="D196" t="str">
            <v>3TPT3</v>
          </cell>
          <cell r="E196">
            <v>1913994</v>
          </cell>
          <cell r="F196" t="str">
            <v>PROCEDIMIENTOS TECNICOS</v>
          </cell>
          <cell r="G196"/>
          <cell r="H196"/>
          <cell r="I196"/>
          <cell r="J196" t="str">
            <v xml:space="preserve"> 20-25.521.976-7</v>
          </cell>
          <cell r="K196" t="str">
            <v xml:space="preserve">CHAMORRO CRISTIAN </v>
          </cell>
          <cell r="L196" t="str">
            <v xml:space="preserve"> </v>
          </cell>
          <cell r="M196" t="str">
            <v xml:space="preserve"> </v>
          </cell>
          <cell r="N196" t="str">
            <v>PROVISIONAL</v>
          </cell>
          <cell r="O196" t="str">
            <v xml:space="preserve">CHAMORRO CRISTIAN </v>
          </cell>
          <cell r="P196" t="str">
            <v xml:space="preserve"> </v>
          </cell>
        </row>
        <row r="197">
          <cell r="A197" t="str">
            <v>3°3°3323TLT3</v>
          </cell>
          <cell r="B197" t="str">
            <v>3°3°</v>
          </cell>
          <cell r="C197">
            <v>332</v>
          </cell>
          <cell r="D197" t="str">
            <v>3TLT3</v>
          </cell>
          <cell r="E197">
            <v>1913991</v>
          </cell>
          <cell r="F197" t="str">
            <v>LENGUAJES TECNOLOGICOS</v>
          </cell>
          <cell r="G197"/>
          <cell r="H197"/>
          <cell r="I197"/>
          <cell r="J197" t="str">
            <v>20-29.761.228-1</v>
          </cell>
          <cell r="K197" t="str">
            <v xml:space="preserve">PROCHOR PABLO  </v>
          </cell>
          <cell r="L197" t="str">
            <v xml:space="preserve"> </v>
          </cell>
          <cell r="M197" t="str">
            <v xml:space="preserve"> </v>
          </cell>
          <cell r="N197" t="str">
            <v>PROVISIONAL</v>
          </cell>
          <cell r="O197" t="str">
            <v xml:space="preserve">PROCHOR PABLO  </v>
          </cell>
          <cell r="P197" t="str">
            <v xml:space="preserve"> </v>
          </cell>
        </row>
        <row r="198">
          <cell r="A198" t="str">
            <v>3°3°3323TST3</v>
          </cell>
          <cell r="B198" t="str">
            <v>3°3°</v>
          </cell>
          <cell r="C198">
            <v>332</v>
          </cell>
          <cell r="D198" t="str">
            <v>3TST3</v>
          </cell>
          <cell r="E198">
            <v>1914002</v>
          </cell>
          <cell r="F198" t="str">
            <v>SISTEMAS TECNOLOGICOS</v>
          </cell>
          <cell r="G198"/>
          <cell r="H198"/>
          <cell r="I198"/>
          <cell r="J198" t="str">
            <v>20-25.454.930-5</v>
          </cell>
          <cell r="K198" t="str">
            <v>CORDOBA ALEJANDRO</v>
          </cell>
          <cell r="L198" t="str">
            <v xml:space="preserve"> </v>
          </cell>
          <cell r="M198" t="str">
            <v xml:space="preserve"> </v>
          </cell>
          <cell r="N198" t="str">
            <v>PROVISIONAL</v>
          </cell>
          <cell r="O198" t="str">
            <v>CORDOBA ALEJANDRO</v>
          </cell>
          <cell r="P198" t="str">
            <v xml:space="preserve"> </v>
          </cell>
        </row>
        <row r="199">
          <cell r="A199" t="str">
            <v>3°3°3323TPT3</v>
          </cell>
          <cell r="B199" t="str">
            <v>3°3°</v>
          </cell>
          <cell r="C199">
            <v>332</v>
          </cell>
          <cell r="D199" t="str">
            <v>3TPT3</v>
          </cell>
          <cell r="E199">
            <v>1913997</v>
          </cell>
          <cell r="F199" t="str">
            <v>PROCEDIMIENTOS TECNICOS</v>
          </cell>
          <cell r="G199"/>
          <cell r="H199"/>
          <cell r="I199"/>
          <cell r="J199" t="str">
            <v>20-26.307.520-0</v>
          </cell>
          <cell r="K199" t="str">
            <v xml:space="preserve">CASTILLO ANGEL </v>
          </cell>
          <cell r="L199">
            <v>0</v>
          </cell>
          <cell r="M199" t="str">
            <v>CRUZ DAVID</v>
          </cell>
          <cell r="N199" t="str">
            <v>SUPLENTE</v>
          </cell>
          <cell r="O199" t="str">
            <v>CRUZ DAVID</v>
          </cell>
          <cell r="P199" t="str">
            <v xml:space="preserve"> </v>
          </cell>
        </row>
        <row r="200">
          <cell r="A200" t="str">
            <v>3°4°3BIO</v>
          </cell>
          <cell r="B200" t="str">
            <v>3°4°</v>
          </cell>
          <cell r="C200"/>
          <cell r="D200" t="str">
            <v>3BIO</v>
          </cell>
          <cell r="E200">
            <v>1492277</v>
          </cell>
          <cell r="F200" t="str">
            <v>BIOLOGIA</v>
          </cell>
          <cell r="G200">
            <v>27374304084</v>
          </cell>
          <cell r="H200" t="str">
            <v>INT 2025</v>
          </cell>
          <cell r="I200" t="str">
            <v>OLIVIERI, ROMINA DE LOS MILAGR</v>
          </cell>
          <cell r="J200"/>
          <cell r="K200"/>
          <cell r="L200" t="str">
            <v xml:space="preserve"> </v>
          </cell>
          <cell r="M200" t="str">
            <v xml:space="preserve"> </v>
          </cell>
          <cell r="N200" t="str">
            <v>TITULAR</v>
          </cell>
          <cell r="O200" t="str">
            <v>OLIVIERI, ROMINA DE LOS MILAGR</v>
          </cell>
          <cell r="P200" t="str">
            <v xml:space="preserve"> </v>
          </cell>
        </row>
        <row r="201">
          <cell r="A201" t="str">
            <v>3°4°3CCD</v>
          </cell>
          <cell r="B201" t="str">
            <v>3°4°</v>
          </cell>
          <cell r="C201"/>
          <cell r="D201" t="str">
            <v>3CCD</v>
          </cell>
          <cell r="E201">
            <v>1492270</v>
          </cell>
          <cell r="F201" t="str">
            <v>CONSTRUCCION DE LA CIUDADANIA</v>
          </cell>
          <cell r="G201" t="str">
            <v xml:space="preserve"> 27-27.946.097-4</v>
          </cell>
          <cell r="H201" t="str">
            <v xml:space="preserve"> (I MOD)</v>
          </cell>
          <cell r="I201" t="str">
            <v>GORDILLO NORA</v>
          </cell>
          <cell r="J201" t="str">
            <v>27-27.946.097-4    (1 MOD)</v>
          </cell>
          <cell r="K201" t="str">
            <v xml:space="preserve">GORDILLO NORA </v>
          </cell>
          <cell r="L201" t="str">
            <v xml:space="preserve"> </v>
          </cell>
          <cell r="M201" t="str">
            <v xml:space="preserve"> </v>
          </cell>
          <cell r="N201" t="str">
            <v>PROVISIONAL</v>
          </cell>
          <cell r="O201" t="str">
            <v xml:space="preserve">GORDILLO NORA </v>
          </cell>
          <cell r="P201" t="str">
            <v xml:space="preserve"> </v>
          </cell>
        </row>
        <row r="202">
          <cell r="A202" t="str">
            <v>3°4°3ART</v>
          </cell>
          <cell r="B202" t="str">
            <v>3°4°</v>
          </cell>
          <cell r="C202"/>
          <cell r="D202" t="str">
            <v>3ART</v>
          </cell>
          <cell r="E202">
            <v>1492045</v>
          </cell>
          <cell r="F202" t="str">
            <v>EDUCACION ARTISTICA (PLASTICA)</v>
          </cell>
          <cell r="G202">
            <v>25863832</v>
          </cell>
          <cell r="H202" t="str">
            <v>VER</v>
          </cell>
          <cell r="I202" t="str">
            <v>BRENDT YANINA</v>
          </cell>
          <cell r="J202"/>
          <cell r="K202"/>
          <cell r="L202" t="str">
            <v xml:space="preserve"> </v>
          </cell>
          <cell r="M202" t="str">
            <v xml:space="preserve"> </v>
          </cell>
          <cell r="N202" t="str">
            <v>TITULAR</v>
          </cell>
          <cell r="O202" t="str">
            <v>BRENDT YANINA</v>
          </cell>
          <cell r="P202" t="str">
            <v xml:space="preserve"> </v>
          </cell>
        </row>
        <row r="203">
          <cell r="A203" t="str">
            <v>3°4°3EFI</v>
          </cell>
          <cell r="B203" t="str">
            <v>3°4°</v>
          </cell>
          <cell r="C203"/>
          <cell r="D203" t="str">
            <v>3EFI</v>
          </cell>
          <cell r="E203">
            <v>1492060</v>
          </cell>
          <cell r="F203" t="str">
            <v>EDUCACIÓN FISICA</v>
          </cell>
          <cell r="G203" t="str">
            <v>27-22.558.777-4</v>
          </cell>
          <cell r="H203"/>
          <cell r="I203" t="str">
            <v>PERALTA ARIANA INT 2026</v>
          </cell>
          <cell r="J203"/>
          <cell r="K203"/>
          <cell r="L203" t="str">
            <v xml:space="preserve"> </v>
          </cell>
          <cell r="M203" t="str">
            <v xml:space="preserve"> </v>
          </cell>
          <cell r="N203" t="str">
            <v>TITULAR</v>
          </cell>
          <cell r="O203" t="str">
            <v>PERALTA ARIANA INT 2026</v>
          </cell>
          <cell r="P203" t="str">
            <v xml:space="preserve"> </v>
          </cell>
        </row>
        <row r="204">
          <cell r="A204" t="str">
            <v>3°4°3FI/QUI</v>
          </cell>
          <cell r="B204" t="str">
            <v>3°4°</v>
          </cell>
          <cell r="C204"/>
          <cell r="D204" t="str">
            <v>3FI/QUI</v>
          </cell>
          <cell r="E204">
            <v>1492069</v>
          </cell>
          <cell r="F204" t="str">
            <v>FISICO-QUIMICA</v>
          </cell>
          <cell r="G204" t="str">
            <v>20-32692609-5</v>
          </cell>
          <cell r="H204"/>
          <cell r="I204" t="str">
            <v xml:space="preserve">PORQUERES, MATIAS </v>
          </cell>
          <cell r="J204"/>
          <cell r="K204"/>
          <cell r="L204" t="str">
            <v xml:space="preserve"> </v>
          </cell>
          <cell r="M204" t="str">
            <v xml:space="preserve"> </v>
          </cell>
          <cell r="N204" t="str">
            <v>TITULAR</v>
          </cell>
          <cell r="O204" t="str">
            <v xml:space="preserve">PORQUERES, MATIAS </v>
          </cell>
          <cell r="P204" t="str">
            <v xml:space="preserve"> </v>
          </cell>
        </row>
        <row r="205">
          <cell r="A205" t="str">
            <v>3°4°3GEO</v>
          </cell>
          <cell r="B205" t="str">
            <v>3°4°</v>
          </cell>
          <cell r="C205"/>
          <cell r="D205" t="str">
            <v>3GEO</v>
          </cell>
          <cell r="E205">
            <v>1492267</v>
          </cell>
          <cell r="F205" t="str">
            <v>GEOGRAFIA</v>
          </cell>
          <cell r="G205" t="str">
            <v xml:space="preserve"> 27-27.690.6084</v>
          </cell>
          <cell r="H205"/>
          <cell r="I205" t="str">
            <v>ROJAS SOLEDAD</v>
          </cell>
          <cell r="J205"/>
          <cell r="K205"/>
          <cell r="L205" t="str">
            <v xml:space="preserve"> </v>
          </cell>
          <cell r="M205" t="str">
            <v xml:space="preserve"> </v>
          </cell>
          <cell r="N205" t="str">
            <v>TITULAR</v>
          </cell>
          <cell r="O205" t="str">
            <v>ROJAS SOLEDAD</v>
          </cell>
          <cell r="P205" t="str">
            <v xml:space="preserve"> </v>
          </cell>
        </row>
        <row r="206">
          <cell r="A206" t="str">
            <v>3°4°3HIS</v>
          </cell>
          <cell r="B206" t="str">
            <v>3°4°</v>
          </cell>
          <cell r="C206"/>
          <cell r="D206" t="str">
            <v>3HIS</v>
          </cell>
          <cell r="E206">
            <v>1492087</v>
          </cell>
          <cell r="F206" t="str">
            <v>HISTORIA</v>
          </cell>
          <cell r="G206" t="str">
            <v>20-18.284.913-9</v>
          </cell>
          <cell r="H206"/>
          <cell r="I206" t="str">
            <v xml:space="preserve">TORRES LUIS                    </v>
          </cell>
          <cell r="J206"/>
          <cell r="K206"/>
          <cell r="L206" t="str">
            <v xml:space="preserve"> </v>
          </cell>
          <cell r="M206" t="str">
            <v xml:space="preserve"> </v>
          </cell>
          <cell r="N206" t="str">
            <v>TITULAR</v>
          </cell>
          <cell r="O206" t="str">
            <v xml:space="preserve">TORRES LUIS                    </v>
          </cell>
          <cell r="P206" t="str">
            <v xml:space="preserve"> </v>
          </cell>
        </row>
        <row r="207">
          <cell r="A207" t="str">
            <v>3°4°3ING</v>
          </cell>
          <cell r="B207" t="str">
            <v>3°4°</v>
          </cell>
          <cell r="C207"/>
          <cell r="D207" t="str">
            <v>3ING</v>
          </cell>
          <cell r="E207">
            <v>1492005</v>
          </cell>
          <cell r="F207" t="str">
            <v>INGLÉS</v>
          </cell>
          <cell r="G207" t="str">
            <v>27-29.433.432-2</v>
          </cell>
          <cell r="H207"/>
          <cell r="I207" t="str">
            <v xml:space="preserve">ARCE KARINA </v>
          </cell>
          <cell r="J207"/>
          <cell r="K207"/>
          <cell r="L207" t="str">
            <v xml:space="preserve"> </v>
          </cell>
          <cell r="M207" t="str">
            <v xml:space="preserve"> </v>
          </cell>
          <cell r="N207" t="str">
            <v>TITULAR</v>
          </cell>
          <cell r="O207" t="str">
            <v xml:space="preserve">ARCE KARINA </v>
          </cell>
          <cell r="P207" t="str">
            <v xml:space="preserve"> </v>
          </cell>
        </row>
        <row r="208">
          <cell r="A208" t="str">
            <v>3°4°3MAT</v>
          </cell>
          <cell r="B208" t="str">
            <v>3°4°</v>
          </cell>
          <cell r="C208"/>
          <cell r="D208" t="str">
            <v>3MAT</v>
          </cell>
          <cell r="E208">
            <v>1492042</v>
          </cell>
          <cell r="F208" t="str">
            <v>MATEMATICA</v>
          </cell>
          <cell r="G208" t="str">
            <v xml:space="preserve">  27-22.545.368-9</v>
          </cell>
          <cell r="H208" t="str">
            <v>ACREC. 2020</v>
          </cell>
          <cell r="I208" t="str">
            <v xml:space="preserve">GARCIA CLAUDIA </v>
          </cell>
          <cell r="J208"/>
          <cell r="K208"/>
          <cell r="L208" t="str">
            <v xml:space="preserve"> </v>
          </cell>
          <cell r="M208" t="str">
            <v xml:space="preserve"> </v>
          </cell>
          <cell r="N208" t="str">
            <v>TITULAR</v>
          </cell>
          <cell r="O208" t="str">
            <v xml:space="preserve">GARCIA CLAUDIA </v>
          </cell>
          <cell r="P208" t="str">
            <v xml:space="preserve"> </v>
          </cell>
        </row>
        <row r="209">
          <cell r="A209" t="str">
            <v>3°4°3PLG</v>
          </cell>
          <cell r="B209" t="str">
            <v>3°4°</v>
          </cell>
          <cell r="C209"/>
          <cell r="D209" t="str">
            <v>3PLG</v>
          </cell>
          <cell r="E209">
            <v>1492035</v>
          </cell>
          <cell r="F209" t="str">
            <v>PRACTICA DEL LENGUAJE</v>
          </cell>
          <cell r="G209" t="str">
            <v xml:space="preserve"> 27-30.953.102-2</v>
          </cell>
          <cell r="H209"/>
          <cell r="I209" t="str">
            <v xml:space="preserve">SANTILLAN ESTELA </v>
          </cell>
          <cell r="J209"/>
          <cell r="K209"/>
          <cell r="L209" t="str">
            <v xml:space="preserve"> </v>
          </cell>
          <cell r="M209" t="str">
            <v xml:space="preserve"> </v>
          </cell>
          <cell r="N209" t="str">
            <v>TITULAR</v>
          </cell>
          <cell r="O209" t="str">
            <v xml:space="preserve">SANTILLAN ESTELA </v>
          </cell>
          <cell r="P209" t="str">
            <v xml:space="preserve"> </v>
          </cell>
        </row>
        <row r="210">
          <cell r="A210" t="str">
            <v>3°4°3413TLT3</v>
          </cell>
          <cell r="B210" t="str">
            <v>3°4°</v>
          </cell>
          <cell r="C210">
            <v>341</v>
          </cell>
          <cell r="D210" t="str">
            <v>3TLT3</v>
          </cell>
          <cell r="E210">
            <v>2683083</v>
          </cell>
          <cell r="F210" t="str">
            <v>LENGUAJES TECNOLOGICOS</v>
          </cell>
          <cell r="G210" t="str">
            <v>27-11.864.641-5</v>
          </cell>
          <cell r="H210" t="str">
            <v xml:space="preserve"> (MASIVA)</v>
          </cell>
          <cell r="I210"/>
          <cell r="J210">
            <v>20296712281</v>
          </cell>
          <cell r="K210" t="str">
            <v>PROCHOR JUAN PABLO</v>
          </cell>
          <cell r="L210" t="str">
            <v xml:space="preserve"> </v>
          </cell>
          <cell r="M210" t="str">
            <v xml:space="preserve"> </v>
          </cell>
          <cell r="N210" t="str">
            <v>PROVISIONAL</v>
          </cell>
          <cell r="O210" t="str">
            <v>PROCHOR JUAN PABLO</v>
          </cell>
          <cell r="P210" t="str">
            <v xml:space="preserve"> </v>
          </cell>
        </row>
        <row r="211">
          <cell r="A211" t="str">
            <v>3°4°3413TST3</v>
          </cell>
          <cell r="B211" t="str">
            <v>3°4°</v>
          </cell>
          <cell r="C211">
            <v>341</v>
          </cell>
          <cell r="D211" t="str">
            <v>3TST3</v>
          </cell>
          <cell r="E211">
            <v>2683084</v>
          </cell>
          <cell r="F211" t="str">
            <v>SISTEMAS TECNOLOGICOS</v>
          </cell>
          <cell r="G211" t="str">
            <v>27-26.174.351-0</v>
          </cell>
          <cell r="H211" t="str">
            <v xml:space="preserve"> (MASIVA)</v>
          </cell>
          <cell r="I211" t="str">
            <v>GOMEZ ANALIA</v>
          </cell>
          <cell r="J211"/>
          <cell r="K211"/>
          <cell r="L211" t="str">
            <v xml:space="preserve"> </v>
          </cell>
          <cell r="M211" t="str">
            <v xml:space="preserve"> </v>
          </cell>
          <cell r="N211" t="str">
            <v>TITULAR</v>
          </cell>
          <cell r="O211" t="str">
            <v>GOMEZ ANALIA</v>
          </cell>
          <cell r="P211" t="str">
            <v xml:space="preserve"> </v>
          </cell>
        </row>
        <row r="212">
          <cell r="A212" t="str">
            <v>3°4°3413TPT3</v>
          </cell>
          <cell r="B212" t="str">
            <v>3°4°</v>
          </cell>
          <cell r="C212">
            <v>341</v>
          </cell>
          <cell r="D212" t="str">
            <v>3TPT3</v>
          </cell>
          <cell r="E212">
            <v>2683085</v>
          </cell>
          <cell r="F212" t="str">
            <v>PROCEDIMIENTOS TECNICOS</v>
          </cell>
          <cell r="G212"/>
          <cell r="H212"/>
          <cell r="I212"/>
          <cell r="J212"/>
          <cell r="K212" t="str">
            <v>CORDOBA ALEJANDRO                       20-25.454.930-5</v>
          </cell>
          <cell r="L212">
            <v>0</v>
          </cell>
          <cell r="M212" t="str">
            <v>CRUZ DAVID</v>
          </cell>
          <cell r="N212" t="str">
            <v>SUPLENTE</v>
          </cell>
          <cell r="O212" t="str">
            <v>CRUZ DAVID</v>
          </cell>
          <cell r="P212" t="str">
            <v xml:space="preserve"> </v>
          </cell>
        </row>
        <row r="213">
          <cell r="A213" t="str">
            <v>3°4°3423TLT3</v>
          </cell>
          <cell r="B213" t="str">
            <v>3°4°</v>
          </cell>
          <cell r="C213">
            <v>342</v>
          </cell>
          <cell r="D213" t="str">
            <v>3TLT3</v>
          </cell>
          <cell r="E213">
            <v>2683086</v>
          </cell>
          <cell r="F213" t="str">
            <v>LENGUAJES TECNOLOGICOS</v>
          </cell>
          <cell r="G213" t="str">
            <v xml:space="preserve"> 27-11.864.641-5 </v>
          </cell>
          <cell r="H213" t="str">
            <v>(MASIVA)</v>
          </cell>
          <cell r="I213"/>
          <cell r="J213"/>
          <cell r="K213" t="str">
            <v xml:space="preserve">PROCHOR JUAN PABLO   </v>
          </cell>
          <cell r="L213" t="str">
            <v xml:space="preserve"> </v>
          </cell>
          <cell r="M213" t="str">
            <v xml:space="preserve"> </v>
          </cell>
          <cell r="N213" t="str">
            <v>PROVISIONAL</v>
          </cell>
          <cell r="O213" t="str">
            <v xml:space="preserve">PROCHOR JUAN PABLO   </v>
          </cell>
          <cell r="P213" t="str">
            <v xml:space="preserve"> </v>
          </cell>
        </row>
        <row r="214">
          <cell r="A214" t="str">
            <v>3°4°3423TST3</v>
          </cell>
          <cell r="B214" t="str">
            <v>3°4°</v>
          </cell>
          <cell r="C214">
            <v>342</v>
          </cell>
          <cell r="D214" t="str">
            <v>3TST3</v>
          </cell>
          <cell r="E214">
            <v>2683087</v>
          </cell>
          <cell r="F214" t="str">
            <v>SISTEMAS TECNOLOGICOS</v>
          </cell>
          <cell r="G214"/>
          <cell r="H214"/>
          <cell r="I214"/>
          <cell r="J214"/>
          <cell r="K214" t="str">
            <v xml:space="preserve">ROTOLO, LUCIANO </v>
          </cell>
          <cell r="L214"/>
          <cell r="M214" t="str">
            <v xml:space="preserve"> </v>
          </cell>
          <cell r="N214" t="str">
            <v>PROVISIONAL</v>
          </cell>
          <cell r="O214" t="str">
            <v xml:space="preserve">ROTOLO, LUCIANO </v>
          </cell>
          <cell r="P214" t="str">
            <v xml:space="preserve"> </v>
          </cell>
        </row>
        <row r="215">
          <cell r="A215" t="str">
            <v>3°4°3423TPT3</v>
          </cell>
          <cell r="B215" t="str">
            <v>3°4°</v>
          </cell>
          <cell r="C215">
            <v>342</v>
          </cell>
          <cell r="D215" t="str">
            <v>3TPT3</v>
          </cell>
          <cell r="E215">
            <v>2683088</v>
          </cell>
          <cell r="F215" t="str">
            <v>PROCEDIMIENTOS TECNICOS</v>
          </cell>
          <cell r="G215"/>
          <cell r="H215"/>
          <cell r="I215"/>
          <cell r="J215" t="str">
            <v>20-21.103.894-3</v>
          </cell>
          <cell r="K215" t="str">
            <v>LEYES RICARDO</v>
          </cell>
          <cell r="L215" t="str">
            <v xml:space="preserve"> </v>
          </cell>
          <cell r="M215" t="str">
            <v xml:space="preserve"> </v>
          </cell>
          <cell r="N215" t="str">
            <v>PROVISIONAL</v>
          </cell>
          <cell r="O215" t="str">
            <v>LEYES RICARDO</v>
          </cell>
          <cell r="P215" t="str">
            <v xml:space="preserve"> </v>
          </cell>
        </row>
        <row r="216">
          <cell r="A216" t="str">
            <v>3°5°3BIO</v>
          </cell>
          <cell r="B216" t="str">
            <v>3°5°</v>
          </cell>
          <cell r="C216"/>
          <cell r="D216" t="str">
            <v>3BIO</v>
          </cell>
          <cell r="E216">
            <v>2232461</v>
          </cell>
          <cell r="F216" t="str">
            <v>BIOLOGIA</v>
          </cell>
          <cell r="G216" t="str">
            <v xml:space="preserve"> 27-23480647-0</v>
          </cell>
          <cell r="H216"/>
          <cell r="I216" t="str">
            <v>FARIAS CLAUDIA</v>
          </cell>
          <cell r="J216"/>
          <cell r="K216"/>
          <cell r="L216" t="str">
            <v xml:space="preserve"> </v>
          </cell>
          <cell r="M216" t="str">
            <v xml:space="preserve"> </v>
          </cell>
          <cell r="N216" t="str">
            <v>TITULAR</v>
          </cell>
          <cell r="O216" t="str">
            <v>FARIAS CLAUDIA</v>
          </cell>
          <cell r="P216" t="str">
            <v xml:space="preserve"> </v>
          </cell>
        </row>
        <row r="217">
          <cell r="A217" t="str">
            <v>3°5°3CCD</v>
          </cell>
          <cell r="B217" t="str">
            <v>3°5°</v>
          </cell>
          <cell r="C217"/>
          <cell r="D217" t="str">
            <v>3CCD</v>
          </cell>
          <cell r="E217">
            <v>2232462</v>
          </cell>
          <cell r="F217" t="str">
            <v>CONSTRUCCION DE LA CIUDADANIA</v>
          </cell>
          <cell r="G217" t="str">
            <v>27-25.153.700-9</v>
          </cell>
          <cell r="H217"/>
          <cell r="I217" t="str">
            <v xml:space="preserve">AMAYA SILVIA                      </v>
          </cell>
          <cell r="J217"/>
          <cell r="K217"/>
          <cell r="L217" t="str">
            <v xml:space="preserve"> </v>
          </cell>
          <cell r="M217" t="str">
            <v xml:space="preserve"> </v>
          </cell>
          <cell r="N217" t="str">
            <v>TITULAR</v>
          </cell>
          <cell r="O217" t="str">
            <v xml:space="preserve">AMAYA SILVIA                      </v>
          </cell>
          <cell r="P217" t="str">
            <v xml:space="preserve"> </v>
          </cell>
        </row>
        <row r="218">
          <cell r="A218" t="str">
            <v>3°5°3ART</v>
          </cell>
          <cell r="B218" t="str">
            <v>3°5°</v>
          </cell>
          <cell r="C218"/>
          <cell r="D218" t="str">
            <v>3ART</v>
          </cell>
          <cell r="E218">
            <v>2232463</v>
          </cell>
          <cell r="F218" t="str">
            <v>EDUCACION ARTISTICA (PLASTICA)</v>
          </cell>
          <cell r="G218" t="str">
            <v xml:space="preserve"> 27-24.680.551-8 </v>
          </cell>
          <cell r="H218" t="str">
            <v>(MAD 2018)</v>
          </cell>
          <cell r="I218" t="str">
            <v xml:space="preserve">ISSETTA LORENA </v>
          </cell>
          <cell r="J218"/>
          <cell r="K218"/>
          <cell r="L218" t="str">
            <v xml:space="preserve"> </v>
          </cell>
          <cell r="M218" t="str">
            <v xml:space="preserve"> </v>
          </cell>
          <cell r="N218" t="str">
            <v>TITULAR</v>
          </cell>
          <cell r="O218" t="str">
            <v xml:space="preserve">ISSETTA LORENA </v>
          </cell>
          <cell r="P218" t="str">
            <v xml:space="preserve"> </v>
          </cell>
        </row>
        <row r="219">
          <cell r="A219" t="str">
            <v>3°5°3EFI</v>
          </cell>
          <cell r="B219" t="str">
            <v>3°5°</v>
          </cell>
          <cell r="C219"/>
          <cell r="D219" t="str">
            <v>3EFI</v>
          </cell>
          <cell r="E219">
            <v>2232464</v>
          </cell>
          <cell r="F219" t="str">
            <v>EDUCACIÓN FISICA</v>
          </cell>
          <cell r="G219" t="str">
            <v xml:space="preserve"> 20-29.569.203-1</v>
          </cell>
          <cell r="H219"/>
          <cell r="I219" t="str">
            <v xml:space="preserve">LUDUEÑA NELSON </v>
          </cell>
          <cell r="J219"/>
          <cell r="K219"/>
          <cell r="L219" t="str">
            <v xml:space="preserve"> </v>
          </cell>
          <cell r="M219" t="str">
            <v xml:space="preserve"> </v>
          </cell>
          <cell r="N219" t="str">
            <v>TITULAR</v>
          </cell>
          <cell r="O219" t="str">
            <v xml:space="preserve">LUDUEÑA NELSON </v>
          </cell>
          <cell r="P219" t="str">
            <v xml:space="preserve"> </v>
          </cell>
        </row>
        <row r="220">
          <cell r="A220" t="str">
            <v>3°5°3FI/QUI</v>
          </cell>
          <cell r="B220" t="str">
            <v>3°5°</v>
          </cell>
          <cell r="C220"/>
          <cell r="D220" t="str">
            <v>3FI/QUI</v>
          </cell>
          <cell r="E220">
            <v>2232465</v>
          </cell>
          <cell r="F220" t="str">
            <v>FISICO-QUIMICA</v>
          </cell>
          <cell r="G220"/>
          <cell r="H220"/>
          <cell r="I220" t="str">
            <v>MANSILLA ANDRES</v>
          </cell>
          <cell r="J220"/>
          <cell r="K220"/>
          <cell r="L220">
            <v>20256000327</v>
          </cell>
          <cell r="M220" t="str">
            <v>CANTONI PABLO MARTIN</v>
          </cell>
          <cell r="N220" t="str">
            <v>SUPLENTE</v>
          </cell>
          <cell r="O220" t="str">
            <v>CANTONI PABLO MARTIN</v>
          </cell>
          <cell r="P220" t="str">
            <v xml:space="preserve"> </v>
          </cell>
        </row>
        <row r="221">
          <cell r="A221" t="str">
            <v>3°5°3GEO</v>
          </cell>
          <cell r="B221" t="str">
            <v>3°5°</v>
          </cell>
          <cell r="C221"/>
          <cell r="D221" t="str">
            <v>3GEO</v>
          </cell>
          <cell r="E221">
            <v>2232466</v>
          </cell>
          <cell r="F221" t="str">
            <v>GEOGRAFIA</v>
          </cell>
          <cell r="G221" t="str">
            <v>27-29.146.146-3</v>
          </cell>
          <cell r="H221"/>
          <cell r="I221" t="str">
            <v>SOLIS, MARIA</v>
          </cell>
          <cell r="J221"/>
          <cell r="K221"/>
          <cell r="L221">
            <v>0</v>
          </cell>
          <cell r="M221" t="str">
            <v>MOURA FACUNDO</v>
          </cell>
          <cell r="N221" t="str">
            <v>SUPLENTE</v>
          </cell>
          <cell r="O221" t="str">
            <v>MOURA FACUNDO</v>
          </cell>
          <cell r="P221" t="str">
            <v xml:space="preserve"> </v>
          </cell>
        </row>
        <row r="222">
          <cell r="A222" t="str">
            <v>3°5°3HIS</v>
          </cell>
          <cell r="B222" t="str">
            <v>3°5°</v>
          </cell>
          <cell r="C222"/>
          <cell r="D222" t="str">
            <v>3HIS</v>
          </cell>
          <cell r="E222">
            <v>2232467</v>
          </cell>
          <cell r="F222" t="str">
            <v>HISTORIA</v>
          </cell>
          <cell r="G222" t="str">
            <v>20-33.717.826-0</v>
          </cell>
          <cell r="H222"/>
          <cell r="I222" t="str">
            <v xml:space="preserve">LOPEZ MARINA  </v>
          </cell>
          <cell r="J222"/>
          <cell r="K222"/>
          <cell r="L222" t="str">
            <v xml:space="preserve"> </v>
          </cell>
          <cell r="M222" t="str">
            <v xml:space="preserve"> </v>
          </cell>
          <cell r="N222" t="str">
            <v>TITULAR</v>
          </cell>
          <cell r="O222" t="str">
            <v xml:space="preserve">LOPEZ MARINA  </v>
          </cell>
          <cell r="P222" t="str">
            <v xml:space="preserve"> </v>
          </cell>
        </row>
        <row r="223">
          <cell r="A223" t="str">
            <v>3°5°3ING</v>
          </cell>
          <cell r="B223" t="str">
            <v>3°5°</v>
          </cell>
          <cell r="C223"/>
          <cell r="D223" t="str">
            <v>3ING</v>
          </cell>
          <cell r="E223">
            <v>2232468</v>
          </cell>
          <cell r="F223" t="str">
            <v>INGLÉS</v>
          </cell>
          <cell r="G223" t="str">
            <v>27-34631206-3</v>
          </cell>
          <cell r="H223" t="str">
            <v>Des Def 2020</v>
          </cell>
          <cell r="I223" t="str">
            <v>SIERRA YANINA</v>
          </cell>
          <cell r="J223"/>
          <cell r="K223"/>
          <cell r="L223">
            <v>27315554360</v>
          </cell>
          <cell r="M223" t="str">
            <v>LOPEZ LILIANA CUIT 27176913881</v>
          </cell>
          <cell r="N223" t="str">
            <v>SUPLENTE</v>
          </cell>
          <cell r="O223" t="str">
            <v>LOPEZ LILIANA CUIT 27176913881</v>
          </cell>
          <cell r="P223" t="str">
            <v xml:space="preserve"> </v>
          </cell>
        </row>
        <row r="224">
          <cell r="A224" t="str">
            <v>3°5°3MAT</v>
          </cell>
          <cell r="B224" t="str">
            <v>3°5°</v>
          </cell>
          <cell r="C224"/>
          <cell r="D224" t="str">
            <v>3MAT</v>
          </cell>
          <cell r="E224">
            <v>2232469</v>
          </cell>
          <cell r="F224" t="str">
            <v>MATEMATICA</v>
          </cell>
          <cell r="G224" t="str">
            <v xml:space="preserve">23-22.948.231-9 </v>
          </cell>
          <cell r="H224" t="str">
            <v>(MAD 2018)</v>
          </cell>
          <cell r="I224" t="str">
            <v xml:space="preserve">LUZURIAGA ANGEL </v>
          </cell>
          <cell r="J224"/>
          <cell r="K224"/>
          <cell r="L224">
            <v>27443818869</v>
          </cell>
          <cell r="M224" t="str">
            <v xml:space="preserve"> FERRARIS OJEDA JULIETA MAR</v>
          </cell>
          <cell r="N224" t="str">
            <v>SUPLENTE</v>
          </cell>
          <cell r="O224" t="str">
            <v xml:space="preserve"> FERRARIS OJEDA JULIETA MAR</v>
          </cell>
          <cell r="P224" t="str">
            <v xml:space="preserve"> </v>
          </cell>
        </row>
        <row r="225">
          <cell r="A225" t="str">
            <v>3°5°3PLG</v>
          </cell>
          <cell r="B225" t="str">
            <v>3°5°</v>
          </cell>
          <cell r="C225"/>
          <cell r="D225" t="str">
            <v>3PLG</v>
          </cell>
          <cell r="E225">
            <v>2232470</v>
          </cell>
          <cell r="F225" t="str">
            <v>PRACTICA DEL LENGUAJE</v>
          </cell>
          <cell r="G225">
            <v>13642940</v>
          </cell>
          <cell r="H225" t="str">
            <v xml:space="preserve">  Mad 2020</v>
          </cell>
          <cell r="I225" t="str">
            <v xml:space="preserve">CARESTIA, NOEMI </v>
          </cell>
          <cell r="J225"/>
          <cell r="K225"/>
          <cell r="L225" t="str">
            <v xml:space="preserve"> </v>
          </cell>
          <cell r="M225" t="str">
            <v xml:space="preserve"> </v>
          </cell>
          <cell r="N225" t="str">
            <v>TITULAR</v>
          </cell>
          <cell r="O225" t="str">
            <v xml:space="preserve">CARESTIA, NOEMI </v>
          </cell>
          <cell r="P225" t="str">
            <v xml:space="preserve"> </v>
          </cell>
        </row>
        <row r="226">
          <cell r="A226" t="str">
            <v>3°5°3513TLT3</v>
          </cell>
          <cell r="B226" t="str">
            <v>3°5°</v>
          </cell>
          <cell r="C226">
            <v>351</v>
          </cell>
          <cell r="D226" t="str">
            <v>3TLT3</v>
          </cell>
          <cell r="E226">
            <v>2232471</v>
          </cell>
          <cell r="F226" t="str">
            <v>LENGUAJES TECNOLOGICOS</v>
          </cell>
          <cell r="G226"/>
          <cell r="H226"/>
          <cell r="I226"/>
          <cell r="J226">
            <v>20296712281</v>
          </cell>
          <cell r="K226" t="str">
            <v xml:space="preserve">PROCHOR JUAN PABLO   </v>
          </cell>
          <cell r="L226" t="str">
            <v xml:space="preserve"> </v>
          </cell>
          <cell r="M226" t="str">
            <v xml:space="preserve"> </v>
          </cell>
          <cell r="N226" t="str">
            <v>PROVISIONAL</v>
          </cell>
          <cell r="O226" t="str">
            <v xml:space="preserve">PROCHOR JUAN PABLO   </v>
          </cell>
          <cell r="P226" t="str">
            <v xml:space="preserve"> </v>
          </cell>
        </row>
        <row r="227">
          <cell r="A227" t="str">
            <v>3°5°3513TST3</v>
          </cell>
          <cell r="B227" t="str">
            <v>3°5°</v>
          </cell>
          <cell r="C227">
            <v>351</v>
          </cell>
          <cell r="D227" t="str">
            <v>3TST3</v>
          </cell>
          <cell r="E227">
            <v>2232473</v>
          </cell>
          <cell r="F227" t="str">
            <v>SISTEMAS TECNOLOGICOS</v>
          </cell>
          <cell r="G227"/>
          <cell r="H227"/>
          <cell r="I227"/>
          <cell r="J227">
            <v>20256926157</v>
          </cell>
          <cell r="K227" t="str">
            <v>CRUZ JESUS  NAZARENO</v>
          </cell>
          <cell r="L227" t="str">
            <v xml:space="preserve"> </v>
          </cell>
          <cell r="M227" t="str">
            <v xml:space="preserve"> </v>
          </cell>
          <cell r="N227" t="str">
            <v>PROVISIONAL</v>
          </cell>
          <cell r="O227" t="str">
            <v>CRUZ JESUS  NAZARENO</v>
          </cell>
          <cell r="P227" t="str">
            <v xml:space="preserve"> </v>
          </cell>
        </row>
        <row r="228">
          <cell r="A228" t="str">
            <v>3°5°3513TPT3</v>
          </cell>
          <cell r="B228" t="str">
            <v>3°5°</v>
          </cell>
          <cell r="C228">
            <v>351</v>
          </cell>
          <cell r="D228" t="str">
            <v>3TPT3</v>
          </cell>
          <cell r="E228">
            <v>2232475</v>
          </cell>
          <cell r="F228" t="str">
            <v>PROCEDIMIENTOS TECNICOS</v>
          </cell>
          <cell r="G228"/>
          <cell r="H228"/>
          <cell r="I228"/>
          <cell r="J228">
            <v>20256926157</v>
          </cell>
          <cell r="K228" t="str">
            <v xml:space="preserve">CRUZ JESUS NAZARENO </v>
          </cell>
          <cell r="L228" t="str">
            <v xml:space="preserve"> </v>
          </cell>
          <cell r="M228" t="str">
            <v xml:space="preserve"> </v>
          </cell>
          <cell r="N228" t="str">
            <v>PROVISIONAL</v>
          </cell>
          <cell r="O228" t="str">
            <v xml:space="preserve">CRUZ JESUS NAZARENO </v>
          </cell>
          <cell r="P228" t="str">
            <v xml:space="preserve"> </v>
          </cell>
        </row>
        <row r="229">
          <cell r="A229" t="str">
            <v>3°5°3523TLT3</v>
          </cell>
          <cell r="B229" t="str">
            <v>3°5°</v>
          </cell>
          <cell r="C229">
            <v>352</v>
          </cell>
          <cell r="D229" t="str">
            <v>3TLT3</v>
          </cell>
          <cell r="E229">
            <v>2232472</v>
          </cell>
          <cell r="F229" t="str">
            <v>LENGUAJES TECNOLOGICOS</v>
          </cell>
          <cell r="G229"/>
          <cell r="H229"/>
          <cell r="I229"/>
          <cell r="J229">
            <v>20326926095</v>
          </cell>
          <cell r="K229" t="str">
            <v>PORQUERES MATIAS DANIEL</v>
          </cell>
          <cell r="L229" t="str">
            <v xml:space="preserve"> </v>
          </cell>
          <cell r="M229" t="str">
            <v xml:space="preserve"> </v>
          </cell>
          <cell r="N229" t="str">
            <v>PROVISIONAL</v>
          </cell>
          <cell r="O229" t="str">
            <v>PORQUERES MATIAS DANIEL</v>
          </cell>
          <cell r="P229" t="str">
            <v xml:space="preserve"> </v>
          </cell>
        </row>
        <row r="230">
          <cell r="A230" t="str">
            <v>3°5°3523TST3</v>
          </cell>
          <cell r="B230" t="str">
            <v>3°5°</v>
          </cell>
          <cell r="C230">
            <v>352</v>
          </cell>
          <cell r="D230" t="str">
            <v>3TST3</v>
          </cell>
          <cell r="E230">
            <v>2232477</v>
          </cell>
          <cell r="F230" t="str">
            <v>SISTEMAS TECNOLOGICOS</v>
          </cell>
          <cell r="G230"/>
          <cell r="H230"/>
          <cell r="I230"/>
          <cell r="J230"/>
          <cell r="K230" t="str">
            <v>ARNALDO ESCALADA</v>
          </cell>
          <cell r="L230" t="str">
            <v xml:space="preserve"> </v>
          </cell>
          <cell r="M230" t="str">
            <v xml:space="preserve"> </v>
          </cell>
          <cell r="N230" t="str">
            <v>PROVISIONAL</v>
          </cell>
          <cell r="O230" t="str">
            <v>ARNALDO ESCALADA</v>
          </cell>
          <cell r="P230" t="str">
            <v xml:space="preserve"> </v>
          </cell>
        </row>
        <row r="231">
          <cell r="A231" t="str">
            <v>3°5°3523TPT3</v>
          </cell>
          <cell r="B231" t="str">
            <v>3°5°</v>
          </cell>
          <cell r="C231">
            <v>352</v>
          </cell>
          <cell r="D231" t="str">
            <v>3TPT3</v>
          </cell>
          <cell r="E231">
            <v>2232478</v>
          </cell>
          <cell r="F231" t="str">
            <v>PROCEDIMIENTOS TECNICOS</v>
          </cell>
          <cell r="G231"/>
          <cell r="H231"/>
          <cell r="I231"/>
          <cell r="J231" t="str">
            <v>20- 33.444.250-1</v>
          </cell>
          <cell r="K231" t="str">
            <v xml:space="preserve">VIANA MAURO                  </v>
          </cell>
          <cell r="L231" t="str">
            <v xml:space="preserve"> </v>
          </cell>
          <cell r="M231" t="str">
            <v xml:space="preserve"> </v>
          </cell>
          <cell r="N231" t="str">
            <v>PROVISIONAL</v>
          </cell>
          <cell r="O231" t="str">
            <v xml:space="preserve">VIANA MAURO                  </v>
          </cell>
          <cell r="P231" t="str">
            <v xml:space="preserve"> </v>
          </cell>
        </row>
        <row r="232">
          <cell r="A232" t="str">
            <v>4°1°4IQUIS</v>
          </cell>
          <cell r="B232" t="str">
            <v>4°1°</v>
          </cell>
          <cell r="C232"/>
          <cell r="D232" t="str">
            <v>4IQUIS</v>
          </cell>
          <cell r="E232">
            <v>733716</v>
          </cell>
          <cell r="F232" t="str">
            <v>QUIMICA</v>
          </cell>
          <cell r="G232">
            <v>24490856</v>
          </cell>
          <cell r="H232"/>
          <cell r="I232"/>
          <cell r="J232"/>
          <cell r="K232" t="str">
            <v>ESCALADA SILVANA</v>
          </cell>
          <cell r="L232"/>
          <cell r="M232" t="str">
            <v>RODRIGUEZ MERCEDES NATALIA</v>
          </cell>
          <cell r="N232" t="str">
            <v>SUPLENTE</v>
          </cell>
          <cell r="O232" t="str">
            <v>RODRIGUEZ MERCEDES NATALIA</v>
          </cell>
          <cell r="P232" t="str">
            <v xml:space="preserve"> </v>
          </cell>
        </row>
        <row r="233">
          <cell r="A233" t="str">
            <v>4°1°4IMATES</v>
          </cell>
          <cell r="B233" t="str">
            <v>4°1°</v>
          </cell>
          <cell r="C233"/>
          <cell r="D233" t="str">
            <v>4IMATES</v>
          </cell>
          <cell r="E233">
            <v>733575</v>
          </cell>
          <cell r="F233" t="str">
            <v>MATEMATICA</v>
          </cell>
          <cell r="G233"/>
          <cell r="H233"/>
          <cell r="I233"/>
          <cell r="J233"/>
          <cell r="K233" t="str">
            <v>WEBBER JONATHAN</v>
          </cell>
          <cell r="L233" t="str">
            <v xml:space="preserve"> </v>
          </cell>
          <cell r="M233" t="str">
            <v xml:space="preserve"> </v>
          </cell>
          <cell r="N233" t="str">
            <v>PROVISIONAL</v>
          </cell>
          <cell r="O233" t="str">
            <v>WEBBER JONATHAN</v>
          </cell>
          <cell r="P233" t="str">
            <v xml:space="preserve"> </v>
          </cell>
        </row>
        <row r="234">
          <cell r="A234" t="str">
            <v>4°1°4ILITS</v>
          </cell>
          <cell r="B234" t="str">
            <v>4°1°</v>
          </cell>
          <cell r="C234"/>
          <cell r="D234" t="str">
            <v>4ILITS</v>
          </cell>
          <cell r="E234">
            <v>733437</v>
          </cell>
          <cell r="F234" t="str">
            <v>LITERATURA</v>
          </cell>
          <cell r="G234">
            <v>13642940</v>
          </cell>
          <cell r="H234" t="str">
            <v>MAD 2020</v>
          </cell>
          <cell r="I234" t="str">
            <v>CARESTIA, NOEMI</v>
          </cell>
          <cell r="J234"/>
          <cell r="K234"/>
          <cell r="L234" t="str">
            <v xml:space="preserve"> </v>
          </cell>
          <cell r="M234" t="str">
            <v xml:space="preserve"> </v>
          </cell>
          <cell r="N234" t="str">
            <v>TITULAR</v>
          </cell>
          <cell r="O234" t="str">
            <v>CARESTIA, NOEMI</v>
          </cell>
          <cell r="P234" t="str">
            <v xml:space="preserve"> </v>
          </cell>
        </row>
        <row r="235">
          <cell r="A235" t="str">
            <v>4°1°4IINGS</v>
          </cell>
          <cell r="B235" t="str">
            <v>4°1°</v>
          </cell>
          <cell r="C235"/>
          <cell r="D235" t="str">
            <v>4IINGS</v>
          </cell>
          <cell r="E235">
            <v>733705</v>
          </cell>
          <cell r="F235" t="str">
            <v>INGLÉS</v>
          </cell>
          <cell r="G235" t="str">
            <v>23-30.492.767-4</v>
          </cell>
          <cell r="H235"/>
          <cell r="I235" t="str">
            <v xml:space="preserve">LEGUIZAMON ANA </v>
          </cell>
          <cell r="J235"/>
          <cell r="K235"/>
          <cell r="L235" t="str">
            <v xml:space="preserve"> </v>
          </cell>
          <cell r="M235" t="str">
            <v xml:space="preserve"> </v>
          </cell>
          <cell r="N235" t="str">
            <v>TITULAR</v>
          </cell>
          <cell r="O235" t="str">
            <v xml:space="preserve">LEGUIZAMON ANA </v>
          </cell>
          <cell r="P235" t="str">
            <v xml:space="preserve"> </v>
          </cell>
        </row>
        <row r="236">
          <cell r="A236" t="str">
            <v>4°1°4IEFIS</v>
          </cell>
          <cell r="B236" t="str">
            <v>4°1°</v>
          </cell>
          <cell r="C236"/>
          <cell r="D236" t="str">
            <v>4IEFIS</v>
          </cell>
          <cell r="E236">
            <v>733409</v>
          </cell>
          <cell r="F236" t="str">
            <v>EDUCACIÓN FISICA</v>
          </cell>
          <cell r="G236"/>
          <cell r="H236"/>
          <cell r="I236"/>
          <cell r="J236">
            <v>24178917</v>
          </cell>
          <cell r="K236" t="str">
            <v xml:space="preserve">RIOS LEOINARDO </v>
          </cell>
          <cell r="L236" t="str">
            <v xml:space="preserve"> </v>
          </cell>
          <cell r="M236" t="str">
            <v xml:space="preserve"> </v>
          </cell>
          <cell r="N236" t="str">
            <v>PROVISIONAL</v>
          </cell>
          <cell r="O236" t="str">
            <v xml:space="preserve">RIOS LEOINARDO </v>
          </cell>
          <cell r="P236" t="str">
            <v xml:space="preserve"> </v>
          </cell>
        </row>
        <row r="237">
          <cell r="A237" t="str">
            <v>4°1°4IHIS</v>
          </cell>
          <cell r="B237" t="str">
            <v>4°1°</v>
          </cell>
          <cell r="C237"/>
          <cell r="D237" t="str">
            <v>4IHIS</v>
          </cell>
          <cell r="E237">
            <v>733421</v>
          </cell>
          <cell r="F237" t="str">
            <v>HISTORIA</v>
          </cell>
          <cell r="G237" t="str">
            <v xml:space="preserve"> 27-29119153-3</v>
          </cell>
          <cell r="H237"/>
          <cell r="I237" t="str">
            <v xml:space="preserve">LOPEZ MARINA  </v>
          </cell>
          <cell r="J237"/>
          <cell r="K237"/>
          <cell r="L237" t="str">
            <v xml:space="preserve"> </v>
          </cell>
          <cell r="M237" t="str">
            <v xml:space="preserve"> </v>
          </cell>
          <cell r="N237" t="str">
            <v>TITULAR</v>
          </cell>
          <cell r="O237" t="str">
            <v xml:space="preserve">LOPEZ MARINA  </v>
          </cell>
          <cell r="P237" t="str">
            <v xml:space="preserve"> </v>
          </cell>
        </row>
        <row r="238">
          <cell r="A238" t="str">
            <v>4°1°4IGEOS</v>
          </cell>
          <cell r="B238" t="str">
            <v>4°1°</v>
          </cell>
          <cell r="C238"/>
          <cell r="D238" t="str">
            <v>4IGEOS</v>
          </cell>
          <cell r="E238">
            <v>1517072</v>
          </cell>
          <cell r="F238" t="str">
            <v>GEOGRAFIA</v>
          </cell>
          <cell r="G238">
            <v>28053999</v>
          </cell>
          <cell r="H238" t="str">
            <v xml:space="preserve"> viene de 4° 2°</v>
          </cell>
          <cell r="I238" t="str">
            <v>JUAREZ VANESA</v>
          </cell>
          <cell r="J238"/>
          <cell r="K238"/>
          <cell r="L238" t="str">
            <v xml:space="preserve"> </v>
          </cell>
          <cell r="M238" t="str">
            <v xml:space="preserve"> </v>
          </cell>
          <cell r="N238" t="str">
            <v>TITULAR</v>
          </cell>
          <cell r="O238" t="str">
            <v>JUAREZ VANESA</v>
          </cell>
          <cell r="P238" t="str">
            <v xml:space="preserve"> </v>
          </cell>
        </row>
        <row r="239">
          <cell r="A239" t="str">
            <v>4°1°4IFIS</v>
          </cell>
          <cell r="B239" t="str">
            <v>4°1°</v>
          </cell>
          <cell r="C239"/>
          <cell r="D239" t="str">
            <v>4IFIS</v>
          </cell>
          <cell r="E239">
            <v>733330</v>
          </cell>
          <cell r="F239" t="str">
            <v>FISICA</v>
          </cell>
          <cell r="G239"/>
          <cell r="H239"/>
          <cell r="I239" t="str">
            <v xml:space="preserve">ESPINDOLA SERGIO                          </v>
          </cell>
          <cell r="J239"/>
          <cell r="K239"/>
          <cell r="L239" t="str">
            <v xml:space="preserve"> </v>
          </cell>
          <cell r="M239" t="str">
            <v xml:space="preserve"> </v>
          </cell>
          <cell r="N239" t="str">
            <v>TITULAR</v>
          </cell>
          <cell r="O239" t="str">
            <v xml:space="preserve">ESPINDOLA SERGIO                          </v>
          </cell>
          <cell r="P239" t="str">
            <v xml:space="preserve"> </v>
          </cell>
        </row>
        <row r="240">
          <cell r="A240" t="str">
            <v>4°1°4ISADS</v>
          </cell>
          <cell r="B240" t="str">
            <v>4°1°</v>
          </cell>
          <cell r="C240"/>
          <cell r="D240" t="str">
            <v>4ISADS</v>
          </cell>
          <cell r="E240">
            <v>1517051</v>
          </cell>
          <cell r="F240" t="str">
            <v>SALUD Y ADOLESCENCIA</v>
          </cell>
          <cell r="G240">
            <v>28884637</v>
          </cell>
          <cell r="H240"/>
          <cell r="I240" t="str">
            <v xml:space="preserve">CORDOBA PAOLA </v>
          </cell>
          <cell r="J240"/>
          <cell r="K240"/>
          <cell r="L240" t="str">
            <v xml:space="preserve">  27-23.480.647-0  </v>
          </cell>
          <cell r="M240" t="str">
            <v>DIAZ HECTOR</v>
          </cell>
          <cell r="N240" t="str">
            <v>SUPLENTE</v>
          </cell>
          <cell r="O240" t="str">
            <v>DIAZ HECTOR</v>
          </cell>
          <cell r="P240" t="str">
            <v xml:space="preserve"> </v>
          </cell>
        </row>
        <row r="241">
          <cell r="A241" t="str">
            <v>4°1°4ITELE</v>
          </cell>
          <cell r="B241" t="str">
            <v>4°1°</v>
          </cell>
          <cell r="C241"/>
          <cell r="D241" t="str">
            <v>4ITELE</v>
          </cell>
          <cell r="E241">
            <v>1643783</v>
          </cell>
          <cell r="F241" t="str">
            <v>TECNOLOGIAS ELECTRONICAS</v>
          </cell>
          <cell r="G241" t="str">
            <v xml:space="preserve"> 20-24.490.541-3</v>
          </cell>
          <cell r="H241"/>
          <cell r="I241" t="str">
            <v>PAZ ALBERTO</v>
          </cell>
          <cell r="J241"/>
          <cell r="K241"/>
          <cell r="L241">
            <v>23086757</v>
          </cell>
          <cell r="M241" t="str">
            <v>FEDERICO GAUNA</v>
          </cell>
          <cell r="N241" t="str">
            <v>SUPLENTE</v>
          </cell>
          <cell r="O241" t="str">
            <v>FEDERICO GAUNA</v>
          </cell>
          <cell r="P241" t="str">
            <v xml:space="preserve"> </v>
          </cell>
        </row>
        <row r="242">
          <cell r="A242" t="str">
            <v>4°1°4114IFTLP4</v>
          </cell>
          <cell r="B242" t="str">
            <v>4°1°</v>
          </cell>
          <cell r="C242">
            <v>411</v>
          </cell>
          <cell r="D242" t="str">
            <v>4IFTLP4</v>
          </cell>
          <cell r="E242">
            <v>2680042</v>
          </cell>
          <cell r="F242" t="str">
            <v>LAB DE PROGRAM</v>
          </cell>
          <cell r="G242" t="str">
            <v xml:space="preserve"> 27-14.685.999-8 </v>
          </cell>
          <cell r="H242"/>
          <cell r="I242"/>
          <cell r="J242"/>
          <cell r="K242" t="str">
            <v>HERRERA STELLA MARIS</v>
          </cell>
          <cell r="L242" t="str">
            <v xml:space="preserve"> </v>
          </cell>
          <cell r="M242" t="str">
            <v xml:space="preserve"> </v>
          </cell>
          <cell r="N242" t="str">
            <v>PROVISIONAL</v>
          </cell>
          <cell r="O242" t="str">
            <v>HERRERA STELLA MARIS</v>
          </cell>
          <cell r="P242" t="str">
            <v xml:space="preserve"> </v>
          </cell>
        </row>
        <row r="243">
          <cell r="A243" t="str">
            <v>4°1°4114IFTLH4</v>
          </cell>
          <cell r="B243" t="str">
            <v>4°1°</v>
          </cell>
          <cell r="C243">
            <v>411</v>
          </cell>
          <cell r="D243" t="str">
            <v>4IFTLH4</v>
          </cell>
          <cell r="E243">
            <v>2680043</v>
          </cell>
          <cell r="F243" t="str">
            <v>LAB DE HARDWARE</v>
          </cell>
          <cell r="G243">
            <v>24083882</v>
          </cell>
          <cell r="H243" t="str">
            <v>(MASIVA)</v>
          </cell>
          <cell r="I243"/>
          <cell r="J243"/>
          <cell r="K243" t="str">
            <v>HERRERA STELLA 27- 29.873.235-7</v>
          </cell>
          <cell r="L243" t="str">
            <v xml:space="preserve"> </v>
          </cell>
          <cell r="M243" t="str">
            <v xml:space="preserve"> </v>
          </cell>
          <cell r="N243" t="str">
            <v>PROVISIONAL</v>
          </cell>
          <cell r="O243" t="str">
            <v>HERRERA STELLA 27- 29.873.235-7</v>
          </cell>
          <cell r="P243" t="str">
            <v xml:space="preserve"> </v>
          </cell>
        </row>
        <row r="244">
          <cell r="A244" t="str">
            <v>4°1°4114IFTLS4</v>
          </cell>
          <cell r="B244" t="str">
            <v>4°1°</v>
          </cell>
          <cell r="C244">
            <v>411</v>
          </cell>
          <cell r="D244" t="str">
            <v>4IFTLS4</v>
          </cell>
          <cell r="E244">
            <v>2680045</v>
          </cell>
          <cell r="F244" t="str">
            <v xml:space="preserve">LAB DE SIST OPERATIVOS   </v>
          </cell>
          <cell r="G244"/>
          <cell r="H244"/>
          <cell r="I244"/>
          <cell r="J244">
            <v>27280452209</v>
          </cell>
          <cell r="K244" t="str">
            <v xml:space="preserve">AGUIRRE ISABEL  </v>
          </cell>
          <cell r="L244" t="str">
            <v xml:space="preserve"> </v>
          </cell>
          <cell r="M244" t="str">
            <v xml:space="preserve"> </v>
          </cell>
          <cell r="N244" t="str">
            <v>PROVISIONAL</v>
          </cell>
          <cell r="O244" t="str">
            <v xml:space="preserve">AGUIRRE ISABEL  </v>
          </cell>
          <cell r="P244" t="str">
            <v xml:space="preserve"> </v>
          </cell>
        </row>
        <row r="245">
          <cell r="A245" t="str">
            <v>4°1°4114IFTLA4</v>
          </cell>
          <cell r="B245" t="str">
            <v>4°1°</v>
          </cell>
          <cell r="C245">
            <v>411</v>
          </cell>
          <cell r="D245" t="str">
            <v>4IFTLA4</v>
          </cell>
          <cell r="E245">
            <v>2680049</v>
          </cell>
          <cell r="F245" t="str">
            <v>LAB DE APLICACIONES</v>
          </cell>
          <cell r="G245"/>
          <cell r="H245"/>
          <cell r="I245"/>
          <cell r="J245"/>
          <cell r="K245" t="str">
            <v>ORMEÑO CARLOS   20181926644</v>
          </cell>
          <cell r="L245">
            <v>27280452209</v>
          </cell>
          <cell r="M245" t="str">
            <v xml:space="preserve"> AGUIRRE ISABEL ITATI</v>
          </cell>
          <cell r="N245" t="str">
            <v>SUPLENTE</v>
          </cell>
          <cell r="O245" t="str">
            <v xml:space="preserve"> AGUIRRE ISABEL ITATI</v>
          </cell>
          <cell r="P245" t="str">
            <v xml:space="preserve"> </v>
          </cell>
        </row>
        <row r="246">
          <cell r="A246" t="str">
            <v>4°1°4124IFTLP4</v>
          </cell>
          <cell r="B246" t="str">
            <v>4°1°</v>
          </cell>
          <cell r="C246">
            <v>412</v>
          </cell>
          <cell r="D246" t="str">
            <v>4IFTLP4</v>
          </cell>
          <cell r="E246">
            <v>2680052</v>
          </cell>
          <cell r="F246" t="str">
            <v>LAB DE PROGRAM</v>
          </cell>
          <cell r="G246">
            <v>12434199</v>
          </cell>
          <cell r="H246"/>
          <cell r="I246"/>
          <cell r="J246"/>
          <cell r="K246" t="str">
            <v>HERRERA STELLA MARIS</v>
          </cell>
          <cell r="L246" t="str">
            <v xml:space="preserve"> </v>
          </cell>
          <cell r="M246" t="str">
            <v xml:space="preserve"> </v>
          </cell>
          <cell r="N246" t="str">
            <v>PROVISIONAL</v>
          </cell>
          <cell r="O246" t="str">
            <v>HERRERA STELLA MARIS</v>
          </cell>
          <cell r="P246" t="str">
            <v xml:space="preserve"> </v>
          </cell>
        </row>
        <row r="247">
          <cell r="A247" t="str">
            <v>4°1°4124IFTLH4</v>
          </cell>
          <cell r="B247" t="str">
            <v>4°1°</v>
          </cell>
          <cell r="C247">
            <v>412</v>
          </cell>
          <cell r="D247" t="str">
            <v>4IFTLH4</v>
          </cell>
          <cell r="E247">
            <v>2680053</v>
          </cell>
          <cell r="F247" t="str">
            <v>LAB DE HARDWARE</v>
          </cell>
          <cell r="G247" t="str">
            <v>12.434.199 (3 MOD)</v>
          </cell>
          <cell r="H247"/>
          <cell r="I247"/>
          <cell r="J247"/>
          <cell r="K247" t="str">
            <v>GAUNA FEDERICO</v>
          </cell>
          <cell r="L247" t="str">
            <v xml:space="preserve"> </v>
          </cell>
          <cell r="M247" t="str">
            <v xml:space="preserve"> </v>
          </cell>
          <cell r="N247" t="str">
            <v>PROVISIONAL</v>
          </cell>
          <cell r="O247" t="str">
            <v>GAUNA FEDERICO</v>
          </cell>
          <cell r="P247" t="str">
            <v xml:space="preserve"> </v>
          </cell>
        </row>
        <row r="248">
          <cell r="A248" t="str">
            <v>4°1°4124IFTLS4</v>
          </cell>
          <cell r="B248" t="str">
            <v>4°1°</v>
          </cell>
          <cell r="C248">
            <v>412</v>
          </cell>
          <cell r="D248" t="str">
            <v>4IFTLS4</v>
          </cell>
          <cell r="E248">
            <v>2680054</v>
          </cell>
          <cell r="F248" t="str">
            <v xml:space="preserve">LAB DE SIST OPERATIVOS   </v>
          </cell>
          <cell r="G248"/>
          <cell r="H248"/>
          <cell r="I248"/>
          <cell r="J248"/>
          <cell r="K248" t="str">
            <v xml:space="preserve">BARCENILLA, JAVIER </v>
          </cell>
          <cell r="L248" t="str">
            <v xml:space="preserve"> </v>
          </cell>
          <cell r="M248" t="str">
            <v xml:space="preserve"> </v>
          </cell>
          <cell r="N248" t="str">
            <v>PROVISIONAL</v>
          </cell>
          <cell r="O248" t="str">
            <v xml:space="preserve">BARCENILLA, JAVIER </v>
          </cell>
          <cell r="P248" t="str">
            <v xml:space="preserve"> </v>
          </cell>
        </row>
        <row r="249">
          <cell r="A249" t="str">
            <v>4°1°4124IFTLA4</v>
          </cell>
          <cell r="B249" t="str">
            <v>4°1°</v>
          </cell>
          <cell r="C249">
            <v>412</v>
          </cell>
          <cell r="D249" t="str">
            <v>4IFTLA4</v>
          </cell>
          <cell r="E249">
            <v>2680055</v>
          </cell>
          <cell r="F249" t="str">
            <v>LAB DE APLICACIONES</v>
          </cell>
          <cell r="G249" t="str">
            <v>26.134.224 (MASIVA)</v>
          </cell>
          <cell r="H249"/>
          <cell r="I249" t="str">
            <v xml:space="preserve">PROCHOR GLORIA </v>
          </cell>
          <cell r="J249"/>
          <cell r="K249"/>
          <cell r="L249" t="str">
            <v xml:space="preserve"> </v>
          </cell>
          <cell r="M249" t="str">
            <v xml:space="preserve"> </v>
          </cell>
          <cell r="N249" t="str">
            <v>TITULAR</v>
          </cell>
          <cell r="O249" t="str">
            <v xml:space="preserve">PROCHOR GLORIA </v>
          </cell>
          <cell r="P249" t="str">
            <v xml:space="preserve"> </v>
          </cell>
        </row>
        <row r="250">
          <cell r="A250" t="str">
            <v>4°2°4IQUIS</v>
          </cell>
          <cell r="B250" t="str">
            <v>4°2°</v>
          </cell>
          <cell r="C250"/>
          <cell r="D250" t="str">
            <v>4IQUIS</v>
          </cell>
          <cell r="E250">
            <v>733408</v>
          </cell>
          <cell r="F250" t="str">
            <v>QUIMICA</v>
          </cell>
          <cell r="G250"/>
          <cell r="H250"/>
          <cell r="I250"/>
          <cell r="J250">
            <v>29130249</v>
          </cell>
          <cell r="K250" t="str">
            <v xml:space="preserve">COLAZO VIRGINIA </v>
          </cell>
          <cell r="L250">
            <v>20311451163</v>
          </cell>
          <cell r="M250" t="str">
            <v>CASCIANO CLAUDIO RUBEN</v>
          </cell>
          <cell r="N250" t="str">
            <v>SUPLENTE</v>
          </cell>
          <cell r="O250" t="str">
            <v>CASCIANO CLAUDIO RUBEN</v>
          </cell>
          <cell r="P250" t="str">
            <v xml:space="preserve"> </v>
          </cell>
        </row>
        <row r="251">
          <cell r="A251" t="str">
            <v>4°2°4IMATES</v>
          </cell>
          <cell r="B251" t="str">
            <v>4°2°</v>
          </cell>
          <cell r="C251"/>
          <cell r="D251" t="str">
            <v>4IMATES</v>
          </cell>
          <cell r="E251">
            <v>733458</v>
          </cell>
          <cell r="F251" t="str">
            <v>MATEMATICA</v>
          </cell>
          <cell r="G251">
            <v>22545368</v>
          </cell>
          <cell r="H251"/>
          <cell r="I251" t="str">
            <v xml:space="preserve">GARCIA CLAUDIA </v>
          </cell>
          <cell r="J251"/>
          <cell r="K251"/>
          <cell r="L251" t="str">
            <v xml:space="preserve"> </v>
          </cell>
          <cell r="M251" t="str">
            <v xml:space="preserve"> </v>
          </cell>
          <cell r="N251" t="str">
            <v>TITULAR</v>
          </cell>
          <cell r="O251" t="str">
            <v xml:space="preserve">GARCIA CLAUDIA </v>
          </cell>
          <cell r="P251" t="str">
            <v xml:space="preserve"> </v>
          </cell>
        </row>
        <row r="252">
          <cell r="A252" t="str">
            <v>4°2°4ILITS</v>
          </cell>
          <cell r="B252" t="str">
            <v>4°2°</v>
          </cell>
          <cell r="C252"/>
          <cell r="D252" t="str">
            <v>4ILITS</v>
          </cell>
          <cell r="E252">
            <v>733407</v>
          </cell>
          <cell r="F252" t="str">
            <v>LITERATURA</v>
          </cell>
          <cell r="G252" t="str">
            <v xml:space="preserve"> 27-34849943-8  INT</v>
          </cell>
          <cell r="H252"/>
          <cell r="I252" t="str">
            <v>ALONSO, MARIA</v>
          </cell>
          <cell r="J252"/>
          <cell r="K252"/>
          <cell r="L252" t="str">
            <v xml:space="preserve"> </v>
          </cell>
          <cell r="M252" t="str">
            <v xml:space="preserve"> </v>
          </cell>
          <cell r="N252" t="str">
            <v>TITULAR</v>
          </cell>
          <cell r="O252" t="str">
            <v>ALONSO, MARIA</v>
          </cell>
          <cell r="P252" t="str">
            <v xml:space="preserve"> </v>
          </cell>
        </row>
        <row r="253">
          <cell r="A253" t="str">
            <v>4°2°4IINGS</v>
          </cell>
          <cell r="B253" t="str">
            <v>4°2°</v>
          </cell>
          <cell r="C253"/>
          <cell r="D253" t="str">
            <v>4IINGS</v>
          </cell>
          <cell r="E253">
            <v>733377</v>
          </cell>
          <cell r="F253" t="str">
            <v>INGLÉS</v>
          </cell>
          <cell r="G253" t="str">
            <v>27-29.433.432-2</v>
          </cell>
          <cell r="H253" t="str">
            <v xml:space="preserve"> (ACRECENTAMIENTO 2018)</v>
          </cell>
          <cell r="I253" t="str">
            <v xml:space="preserve">ARCE KARINA </v>
          </cell>
          <cell r="J253"/>
          <cell r="K253"/>
          <cell r="L253" t="str">
            <v xml:space="preserve"> </v>
          </cell>
          <cell r="M253" t="str">
            <v xml:space="preserve"> </v>
          </cell>
          <cell r="N253" t="str">
            <v>TITULAR</v>
          </cell>
          <cell r="O253" t="str">
            <v xml:space="preserve">ARCE KARINA </v>
          </cell>
          <cell r="P253" t="str">
            <v xml:space="preserve"> </v>
          </cell>
        </row>
        <row r="254">
          <cell r="A254" t="str">
            <v>4°2°4IEFIS</v>
          </cell>
          <cell r="B254" t="str">
            <v>4°2°</v>
          </cell>
          <cell r="C254"/>
          <cell r="D254" t="str">
            <v>4IEFIS</v>
          </cell>
          <cell r="E254">
            <v>938354</v>
          </cell>
          <cell r="F254" t="str">
            <v>EDUCACIÓN FISICA</v>
          </cell>
          <cell r="G254" t="str">
            <v xml:space="preserve">  20-34020185-0</v>
          </cell>
          <cell r="H254"/>
          <cell r="I254" t="str">
            <v>RIOS, LEONARDO</v>
          </cell>
          <cell r="J254"/>
          <cell r="K254"/>
          <cell r="L254"/>
          <cell r="M254" t="str">
            <v xml:space="preserve"> </v>
          </cell>
          <cell r="N254" t="str">
            <v>TITULAR</v>
          </cell>
          <cell r="O254" t="str">
            <v>RIOS, LEONARDO</v>
          </cell>
          <cell r="P254" t="str">
            <v xml:space="preserve"> </v>
          </cell>
        </row>
        <row r="255">
          <cell r="A255" t="str">
            <v>4°2°4IHIS</v>
          </cell>
          <cell r="B255" t="str">
            <v>4°2°</v>
          </cell>
          <cell r="C255"/>
          <cell r="D255" t="str">
            <v>4IHIS</v>
          </cell>
          <cell r="E255">
            <v>733419</v>
          </cell>
          <cell r="F255" t="str">
            <v>HISTORIA</v>
          </cell>
          <cell r="G255">
            <v>20485618</v>
          </cell>
          <cell r="H255"/>
          <cell r="I255" t="str">
            <v>VIEYRA CARLOS</v>
          </cell>
          <cell r="J255"/>
          <cell r="K255"/>
          <cell r="L255">
            <v>27301808394</v>
          </cell>
          <cell r="M255" t="str">
            <v>GILES NATALIA</v>
          </cell>
          <cell r="N255" t="str">
            <v>SUPLENTE</v>
          </cell>
          <cell r="O255" t="str">
            <v>GILES NATALIA</v>
          </cell>
          <cell r="P255" t="str">
            <v xml:space="preserve"> </v>
          </cell>
        </row>
        <row r="256">
          <cell r="A256" t="str">
            <v>4°2°4IGEOS</v>
          </cell>
          <cell r="B256" t="str">
            <v>4°2°</v>
          </cell>
          <cell r="C256"/>
          <cell r="D256" t="str">
            <v>4IGEOS</v>
          </cell>
          <cell r="E256">
            <v>1517157</v>
          </cell>
          <cell r="F256" t="str">
            <v>GEOGRAFIA</v>
          </cell>
          <cell r="G256" t="str">
            <v xml:space="preserve"> 20-24.636.852-0</v>
          </cell>
          <cell r="H256" t="str">
            <v xml:space="preserve">  MAD 2020</v>
          </cell>
          <cell r="I256"/>
          <cell r="J256">
            <v>27254607474</v>
          </cell>
          <cell r="K256" t="str">
            <v xml:space="preserve">BRAVO MARIA </v>
          </cell>
          <cell r="L256" t="str">
            <v xml:space="preserve"> </v>
          </cell>
          <cell r="M256" t="str">
            <v xml:space="preserve"> </v>
          </cell>
          <cell r="N256" t="str">
            <v>PROVISIONAL</v>
          </cell>
          <cell r="O256" t="str">
            <v xml:space="preserve">BRAVO MARIA </v>
          </cell>
          <cell r="P256" t="str">
            <v xml:space="preserve"> </v>
          </cell>
        </row>
        <row r="257">
          <cell r="A257" t="str">
            <v>4°2°4IFIS</v>
          </cell>
          <cell r="B257" t="str">
            <v>4°2°</v>
          </cell>
          <cell r="C257"/>
          <cell r="D257" t="str">
            <v>4IFIS</v>
          </cell>
          <cell r="E257">
            <v>733622</v>
          </cell>
          <cell r="F257" t="str">
            <v>FISICA</v>
          </cell>
          <cell r="G257"/>
          <cell r="H257"/>
          <cell r="I257"/>
          <cell r="J257"/>
          <cell r="K257" t="str">
            <v>ESPINDOLA, S</v>
          </cell>
          <cell r="L257" t="str">
            <v xml:space="preserve"> </v>
          </cell>
          <cell r="M257" t="str">
            <v xml:space="preserve"> </v>
          </cell>
          <cell r="N257" t="str">
            <v>PROVISIONAL</v>
          </cell>
          <cell r="O257" t="str">
            <v>ESPINDOLA, S</v>
          </cell>
          <cell r="P257" t="str">
            <v xml:space="preserve"> </v>
          </cell>
        </row>
        <row r="258">
          <cell r="A258" t="str">
            <v>4°2°4ISADS</v>
          </cell>
          <cell r="B258" t="str">
            <v>4°2°</v>
          </cell>
          <cell r="C258"/>
          <cell r="D258" t="str">
            <v>4ISADS</v>
          </cell>
          <cell r="E258">
            <v>1517133</v>
          </cell>
          <cell r="F258" t="str">
            <v>SALUD Y ADOLESCENCIA</v>
          </cell>
          <cell r="G258"/>
          <cell r="H258"/>
          <cell r="I258" t="str">
            <v>RODRIGUEZ GUTIERRES, PAOLA</v>
          </cell>
          <cell r="J258"/>
          <cell r="K258"/>
          <cell r="L258" t="str">
            <v xml:space="preserve"> </v>
          </cell>
          <cell r="M258" t="str">
            <v xml:space="preserve"> </v>
          </cell>
          <cell r="N258" t="str">
            <v>TITULAR</v>
          </cell>
          <cell r="O258" t="str">
            <v>RODRIGUEZ GUTIERRES, PAOLA</v>
          </cell>
          <cell r="P258" t="str">
            <v xml:space="preserve"> </v>
          </cell>
        </row>
        <row r="259">
          <cell r="A259" t="str">
            <v>4°2°4ITELE</v>
          </cell>
          <cell r="B259" t="str">
            <v>4°2°</v>
          </cell>
          <cell r="C259"/>
          <cell r="D259" t="str">
            <v>4ITELE</v>
          </cell>
          <cell r="E259">
            <v>2680173</v>
          </cell>
          <cell r="F259" t="str">
            <v>TECNOLOGIAS ELECTRONICAS</v>
          </cell>
          <cell r="G259"/>
          <cell r="H259"/>
          <cell r="I259"/>
          <cell r="J259">
            <v>27464627</v>
          </cell>
          <cell r="K259" t="str">
            <v>BARONI, ROBERTO</v>
          </cell>
          <cell r="L259" t="str">
            <v xml:space="preserve"> </v>
          </cell>
          <cell r="M259" t="str">
            <v xml:space="preserve"> </v>
          </cell>
          <cell r="N259" t="str">
            <v>PROVISIONAL</v>
          </cell>
          <cell r="O259" t="str">
            <v>BARONI, ROBERTO</v>
          </cell>
          <cell r="P259" t="str">
            <v xml:space="preserve"> </v>
          </cell>
        </row>
        <row r="260">
          <cell r="A260" t="str">
            <v>4°2°4214IFTLP4</v>
          </cell>
          <cell r="B260" t="str">
            <v>4°2°</v>
          </cell>
          <cell r="C260">
            <v>421</v>
          </cell>
          <cell r="D260" t="str">
            <v>4IFTLP4</v>
          </cell>
          <cell r="E260">
            <v>2680159</v>
          </cell>
          <cell r="F260" t="str">
            <v>LAB DE PROGRAM</v>
          </cell>
          <cell r="G260" t="str">
            <v xml:space="preserve"> 27-14.685.999-8 </v>
          </cell>
          <cell r="H260"/>
          <cell r="I260"/>
          <cell r="J260"/>
          <cell r="K260" t="str">
            <v>PROCHOR GLORIA</v>
          </cell>
          <cell r="L260" t="str">
            <v xml:space="preserve"> </v>
          </cell>
          <cell r="M260" t="str">
            <v xml:space="preserve"> </v>
          </cell>
          <cell r="N260" t="str">
            <v>PROVISIONAL</v>
          </cell>
          <cell r="O260" t="str">
            <v>PROCHOR GLORIA</v>
          </cell>
          <cell r="P260" t="str">
            <v xml:space="preserve"> </v>
          </cell>
        </row>
        <row r="261">
          <cell r="A261" t="str">
            <v>4°2°4214IFTLH4</v>
          </cell>
          <cell r="B261" t="str">
            <v>4°2°</v>
          </cell>
          <cell r="C261">
            <v>421</v>
          </cell>
          <cell r="D261" t="str">
            <v>4IFTLH4</v>
          </cell>
          <cell r="E261">
            <v>2680161</v>
          </cell>
          <cell r="F261" t="str">
            <v>LAB DE HARDWARE</v>
          </cell>
          <cell r="G261"/>
          <cell r="H261"/>
          <cell r="I261"/>
          <cell r="J261"/>
          <cell r="K261" t="str">
            <v>AGUIRRE ISABEL</v>
          </cell>
          <cell r="L261"/>
          <cell r="M261" t="str">
            <v xml:space="preserve"> </v>
          </cell>
          <cell r="N261" t="str">
            <v>TITULAR</v>
          </cell>
          <cell r="O261" t="str">
            <v>AGUIRRE ISABEL</v>
          </cell>
          <cell r="P261" t="str">
            <v xml:space="preserve"> </v>
          </cell>
        </row>
        <row r="262">
          <cell r="A262" t="str">
            <v>4°2°4214IFTLS4</v>
          </cell>
          <cell r="B262" t="str">
            <v>4°2°</v>
          </cell>
          <cell r="C262">
            <v>421</v>
          </cell>
          <cell r="D262" t="str">
            <v>4IFTLS4</v>
          </cell>
          <cell r="E262">
            <v>2680162</v>
          </cell>
          <cell r="F262" t="str">
            <v xml:space="preserve">LAB DE SIST OPERATIVOS   </v>
          </cell>
          <cell r="G262">
            <v>26174351</v>
          </cell>
          <cell r="H262" t="str">
            <v>(MASIVA)</v>
          </cell>
          <cell r="I262" t="str">
            <v xml:space="preserve">GOMEZ ANALIA </v>
          </cell>
          <cell r="J262"/>
          <cell r="K262"/>
          <cell r="L262" t="str">
            <v xml:space="preserve"> </v>
          </cell>
          <cell r="M262" t="str">
            <v xml:space="preserve"> </v>
          </cell>
          <cell r="N262" t="str">
            <v>TITULAR</v>
          </cell>
          <cell r="O262" t="str">
            <v xml:space="preserve">GOMEZ ANALIA </v>
          </cell>
          <cell r="P262" t="str">
            <v xml:space="preserve"> </v>
          </cell>
        </row>
        <row r="263">
          <cell r="A263" t="str">
            <v>4°2°4214IFTLA4</v>
          </cell>
          <cell r="B263" t="str">
            <v>4°2°</v>
          </cell>
          <cell r="C263">
            <v>421</v>
          </cell>
          <cell r="D263" t="str">
            <v>4IFTLA4</v>
          </cell>
          <cell r="E263">
            <v>2680163</v>
          </cell>
          <cell r="F263" t="str">
            <v>LAB DE APLICACIONES</v>
          </cell>
          <cell r="G263" t="str">
            <v xml:space="preserve"> 27-14.685.999-8 </v>
          </cell>
          <cell r="H263"/>
          <cell r="I263"/>
          <cell r="J263"/>
          <cell r="K263" t="str">
            <v>PROCHOR GLORIA</v>
          </cell>
          <cell r="L263" t="str">
            <v xml:space="preserve"> </v>
          </cell>
          <cell r="M263" t="str">
            <v xml:space="preserve"> </v>
          </cell>
          <cell r="N263" t="str">
            <v>PROVISIONAL</v>
          </cell>
          <cell r="O263" t="str">
            <v>PROCHOR GLORIA</v>
          </cell>
          <cell r="P263" t="str">
            <v xml:space="preserve"> </v>
          </cell>
        </row>
        <row r="264">
          <cell r="A264" t="str">
            <v>4°2°4224IFTLP4</v>
          </cell>
          <cell r="B264" t="str">
            <v>4°2°</v>
          </cell>
          <cell r="C264">
            <v>422</v>
          </cell>
          <cell r="D264" t="str">
            <v>4IFTLP4</v>
          </cell>
          <cell r="E264">
            <v>2680165</v>
          </cell>
          <cell r="F264" t="str">
            <v>LAB DE PROGRAM</v>
          </cell>
          <cell r="G264"/>
          <cell r="H264"/>
          <cell r="I264"/>
          <cell r="J264">
            <v>27298732357</v>
          </cell>
          <cell r="K264" t="str">
            <v xml:space="preserve">HERRERA STELLA MARIS   </v>
          </cell>
          <cell r="L264" t="str">
            <v xml:space="preserve"> </v>
          </cell>
          <cell r="M264" t="str">
            <v xml:space="preserve"> </v>
          </cell>
          <cell r="N264" t="str">
            <v>PROVISIONAL</v>
          </cell>
          <cell r="O264" t="str">
            <v xml:space="preserve">HERRERA STELLA MARIS   </v>
          </cell>
          <cell r="P264" t="str">
            <v xml:space="preserve"> </v>
          </cell>
        </row>
        <row r="265">
          <cell r="A265" t="str">
            <v>4°2°4224IFTLH4</v>
          </cell>
          <cell r="B265" t="str">
            <v>4°2°</v>
          </cell>
          <cell r="C265">
            <v>422</v>
          </cell>
          <cell r="D265" t="str">
            <v>4IFTLH4</v>
          </cell>
          <cell r="E265">
            <v>2680167</v>
          </cell>
          <cell r="F265" t="str">
            <v>LAB DE HARDWARE</v>
          </cell>
          <cell r="G265">
            <v>24083882</v>
          </cell>
          <cell r="H265"/>
          <cell r="I265"/>
          <cell r="J265"/>
          <cell r="K265" t="str">
            <v>HERRERA STELLA MARIS</v>
          </cell>
          <cell r="L265" t="str">
            <v xml:space="preserve"> </v>
          </cell>
          <cell r="M265" t="str">
            <v xml:space="preserve"> </v>
          </cell>
          <cell r="N265" t="str">
            <v>PROVISIONAL</v>
          </cell>
          <cell r="O265" t="str">
            <v>HERRERA STELLA MARIS</v>
          </cell>
          <cell r="P265" t="str">
            <v>CORREGIDO NO COINCIDE CON HORARIO SECRE AVISADO 20/03/23</v>
          </cell>
        </row>
        <row r="266">
          <cell r="A266" t="str">
            <v>4°2°4224IFTLS4</v>
          </cell>
          <cell r="B266" t="str">
            <v>4°2°</v>
          </cell>
          <cell r="C266">
            <v>422</v>
          </cell>
          <cell r="D266" t="str">
            <v>4IFTLS4</v>
          </cell>
          <cell r="E266">
            <v>2680168</v>
          </cell>
          <cell r="F266" t="str">
            <v xml:space="preserve">LAB DE SIST OPERATIVOS   </v>
          </cell>
          <cell r="G266" t="str">
            <v xml:space="preserve"> 27-21.065.864-0</v>
          </cell>
          <cell r="H266"/>
          <cell r="I266"/>
          <cell r="J266"/>
          <cell r="K266" t="str">
            <v>HERRERA LEONEL</v>
          </cell>
          <cell r="L266">
            <v>27280452209</v>
          </cell>
          <cell r="M266" t="str">
            <v>AGUIRRE ISABEL ITATI</v>
          </cell>
          <cell r="N266" t="str">
            <v>SUPLENTE</v>
          </cell>
          <cell r="O266" t="str">
            <v>AGUIRRE ISABEL ITATI</v>
          </cell>
          <cell r="P266" t="str">
            <v xml:space="preserve"> </v>
          </cell>
        </row>
        <row r="267">
          <cell r="A267" t="str">
            <v>4°2°4224IFTLA4</v>
          </cell>
          <cell r="B267" t="str">
            <v>4°2°</v>
          </cell>
          <cell r="C267">
            <v>422</v>
          </cell>
          <cell r="D267" t="str">
            <v>4IFTLA4</v>
          </cell>
          <cell r="E267">
            <v>2680169</v>
          </cell>
          <cell r="F267" t="str">
            <v>LAB DE APLICACIONES</v>
          </cell>
          <cell r="G267"/>
          <cell r="H267"/>
          <cell r="I267"/>
          <cell r="J267">
            <v>24862276</v>
          </cell>
          <cell r="K267" t="str">
            <v>COLINA PATRICIA</v>
          </cell>
          <cell r="L267" t="str">
            <v xml:space="preserve"> 27- 29.873.235-7</v>
          </cell>
          <cell r="M267" t="str">
            <v xml:space="preserve">HERRERA STELLA      </v>
          </cell>
          <cell r="N267" t="str">
            <v>SUPLENTE</v>
          </cell>
          <cell r="O267" t="str">
            <v xml:space="preserve">HERRERA STELLA      </v>
          </cell>
          <cell r="P267" t="str">
            <v xml:space="preserve"> </v>
          </cell>
        </row>
        <row r="268">
          <cell r="A268" t="str">
            <v>4°3°4EQUIS</v>
          </cell>
          <cell r="B268" t="str">
            <v>4°3°</v>
          </cell>
          <cell r="C268"/>
          <cell r="D268" t="str">
            <v>4EQUIS</v>
          </cell>
          <cell r="E268">
            <v>733563</v>
          </cell>
          <cell r="F268" t="str">
            <v>QUIMICA</v>
          </cell>
          <cell r="G268"/>
          <cell r="H268"/>
          <cell r="I268"/>
          <cell r="J268" t="str">
            <v>27-30.923.180-0</v>
          </cell>
          <cell r="K268" t="str">
            <v xml:space="preserve">PEREYRA MARISA </v>
          </cell>
          <cell r="L268" t="str">
            <v xml:space="preserve"> </v>
          </cell>
          <cell r="M268" t="str">
            <v xml:space="preserve"> </v>
          </cell>
          <cell r="N268" t="str">
            <v>PROVISIONAL</v>
          </cell>
          <cell r="O268" t="str">
            <v xml:space="preserve">PEREYRA MARISA </v>
          </cell>
          <cell r="P268" t="str">
            <v xml:space="preserve"> </v>
          </cell>
        </row>
        <row r="269">
          <cell r="A269" t="str">
            <v>4°3°4EMATES</v>
          </cell>
          <cell r="B269" t="str">
            <v>4°3°</v>
          </cell>
          <cell r="C269"/>
          <cell r="D269" t="str">
            <v>4EMATES</v>
          </cell>
          <cell r="E269">
            <v>733522</v>
          </cell>
          <cell r="F269" t="str">
            <v>MATEMATICA</v>
          </cell>
          <cell r="G269"/>
          <cell r="H269"/>
          <cell r="I269"/>
          <cell r="J269"/>
          <cell r="K269" t="str">
            <v>LENCINAS NOELIA</v>
          </cell>
          <cell r="L269" t="str">
            <v xml:space="preserve"> </v>
          </cell>
          <cell r="M269" t="str">
            <v xml:space="preserve"> </v>
          </cell>
          <cell r="N269" t="str">
            <v>PROVISIONAL</v>
          </cell>
          <cell r="O269" t="str">
            <v>LENCINAS NOELIA</v>
          </cell>
          <cell r="P269" t="str">
            <v xml:space="preserve"> </v>
          </cell>
        </row>
        <row r="270">
          <cell r="A270" t="str">
            <v>4°3°4ELITS</v>
          </cell>
          <cell r="B270" t="str">
            <v>4°3°</v>
          </cell>
          <cell r="C270"/>
          <cell r="D270" t="str">
            <v>4ELITS</v>
          </cell>
          <cell r="E270">
            <v>733521</v>
          </cell>
          <cell r="F270" t="str">
            <v>LITERATURA</v>
          </cell>
          <cell r="G270" t="str">
            <v xml:space="preserve">                     27-30.953.102-2</v>
          </cell>
          <cell r="H270"/>
          <cell r="I270" t="str">
            <v xml:space="preserve">SANTILLAN ESTELA   </v>
          </cell>
          <cell r="J270"/>
          <cell r="K270"/>
          <cell r="L270" t="str">
            <v xml:space="preserve"> </v>
          </cell>
          <cell r="M270" t="str">
            <v xml:space="preserve"> </v>
          </cell>
          <cell r="N270" t="str">
            <v>TITULAR</v>
          </cell>
          <cell r="O270" t="str">
            <v xml:space="preserve">SANTILLAN ESTELA   </v>
          </cell>
          <cell r="P270" t="str">
            <v xml:space="preserve"> </v>
          </cell>
        </row>
        <row r="271">
          <cell r="A271" t="str">
            <v>4°3°4EINGS</v>
          </cell>
          <cell r="B271" t="str">
            <v>4°3°</v>
          </cell>
          <cell r="C271"/>
          <cell r="D271" t="str">
            <v>4EINGS</v>
          </cell>
          <cell r="E271">
            <v>733722</v>
          </cell>
          <cell r="F271" t="str">
            <v>INGLÉS</v>
          </cell>
          <cell r="G271" t="str">
            <v>23-30.492.767-4</v>
          </cell>
          <cell r="H271"/>
          <cell r="I271" t="str">
            <v xml:space="preserve">LEGUIZAMO ANA </v>
          </cell>
          <cell r="J271"/>
          <cell r="K271"/>
          <cell r="L271" t="str">
            <v xml:space="preserve"> </v>
          </cell>
          <cell r="M271" t="str">
            <v xml:space="preserve"> </v>
          </cell>
          <cell r="N271" t="str">
            <v>TITULAR</v>
          </cell>
          <cell r="O271" t="str">
            <v xml:space="preserve">LEGUIZAMO ANA </v>
          </cell>
          <cell r="P271" t="str">
            <v xml:space="preserve"> </v>
          </cell>
        </row>
        <row r="272">
          <cell r="A272" t="str">
            <v>4°3°4EEFIS</v>
          </cell>
          <cell r="B272" t="str">
            <v>4°3°</v>
          </cell>
          <cell r="C272"/>
          <cell r="D272" t="str">
            <v>4EEFIS</v>
          </cell>
          <cell r="E272">
            <v>789629</v>
          </cell>
          <cell r="F272" t="str">
            <v>EDUCACIÓN FISICA</v>
          </cell>
          <cell r="G272">
            <v>20422900</v>
          </cell>
          <cell r="H272"/>
          <cell r="I272" t="str">
            <v xml:space="preserve">SANCHEZ CARLOS </v>
          </cell>
          <cell r="J272"/>
          <cell r="K272"/>
          <cell r="L272" t="str">
            <v xml:space="preserve"> </v>
          </cell>
          <cell r="M272" t="str">
            <v xml:space="preserve"> </v>
          </cell>
          <cell r="N272" t="str">
            <v>TITULAR</v>
          </cell>
          <cell r="O272" t="str">
            <v xml:space="preserve">SANCHEZ CARLOS </v>
          </cell>
          <cell r="P272" t="str">
            <v xml:space="preserve"> </v>
          </cell>
        </row>
        <row r="273">
          <cell r="A273" t="str">
            <v>4°3°4EHIS</v>
          </cell>
          <cell r="B273" t="str">
            <v>4°3°</v>
          </cell>
          <cell r="C273"/>
          <cell r="D273" t="str">
            <v>4EHIS</v>
          </cell>
          <cell r="E273">
            <v>733689</v>
          </cell>
          <cell r="F273" t="str">
            <v>HISTORIA</v>
          </cell>
          <cell r="G273" t="str">
            <v xml:space="preserve">  20-25.142.864-7</v>
          </cell>
          <cell r="H273"/>
          <cell r="I273" t="str">
            <v>PALACIOS GUSTAVO</v>
          </cell>
          <cell r="J273"/>
          <cell r="K273"/>
          <cell r="L273" t="str">
            <v xml:space="preserve"> </v>
          </cell>
          <cell r="M273" t="str">
            <v xml:space="preserve"> </v>
          </cell>
          <cell r="N273" t="str">
            <v>TITULAR</v>
          </cell>
          <cell r="O273" t="str">
            <v>PALACIOS GUSTAVO</v>
          </cell>
          <cell r="P273" t="str">
            <v xml:space="preserve"> </v>
          </cell>
        </row>
        <row r="274">
          <cell r="A274" t="str">
            <v>4°3°4EGEOS</v>
          </cell>
          <cell r="B274" t="str">
            <v>4°3°</v>
          </cell>
          <cell r="C274"/>
          <cell r="D274" t="str">
            <v>4EGEOS</v>
          </cell>
          <cell r="E274">
            <v>1517229</v>
          </cell>
          <cell r="F274" t="str">
            <v>GEOGRAFIA</v>
          </cell>
          <cell r="G274">
            <v>27690608</v>
          </cell>
          <cell r="H274"/>
          <cell r="I274" t="str">
            <v xml:space="preserve">ROJAS SOLEDAD </v>
          </cell>
          <cell r="J274"/>
          <cell r="K274"/>
          <cell r="L274" t="str">
            <v xml:space="preserve"> </v>
          </cell>
          <cell r="M274" t="str">
            <v xml:space="preserve"> </v>
          </cell>
          <cell r="N274" t="str">
            <v>TITULAR</v>
          </cell>
          <cell r="O274" t="str">
            <v xml:space="preserve">ROJAS SOLEDAD </v>
          </cell>
          <cell r="P274" t="str">
            <v xml:space="preserve"> </v>
          </cell>
        </row>
        <row r="275">
          <cell r="A275" t="str">
            <v>4°3°4EFIS</v>
          </cell>
          <cell r="B275" t="str">
            <v>4°3°</v>
          </cell>
          <cell r="C275"/>
          <cell r="D275" t="str">
            <v>4EFIS</v>
          </cell>
          <cell r="E275">
            <v>733670</v>
          </cell>
          <cell r="F275" t="str">
            <v>FISICA</v>
          </cell>
          <cell r="G275">
            <v>23884637</v>
          </cell>
          <cell r="H275"/>
          <cell r="I275" t="str">
            <v xml:space="preserve">ESPINDOLA SERGIO                          </v>
          </cell>
          <cell r="J275"/>
          <cell r="K275"/>
          <cell r="L275" t="str">
            <v xml:space="preserve"> </v>
          </cell>
          <cell r="M275" t="str">
            <v xml:space="preserve"> </v>
          </cell>
          <cell r="N275" t="str">
            <v>TITULAR</v>
          </cell>
          <cell r="O275" t="str">
            <v xml:space="preserve">ESPINDOLA SERGIO                          </v>
          </cell>
          <cell r="P275" t="str">
            <v xml:space="preserve"> </v>
          </cell>
        </row>
        <row r="276">
          <cell r="A276" t="str">
            <v>4°3°4ESADS</v>
          </cell>
          <cell r="B276" t="str">
            <v>4°3°</v>
          </cell>
          <cell r="C276"/>
          <cell r="D276" t="str">
            <v>4ESADS</v>
          </cell>
          <cell r="E276">
            <v>1517221</v>
          </cell>
          <cell r="F276" t="str">
            <v>SALUD Y ADOLESCENCIA</v>
          </cell>
          <cell r="G276">
            <v>32597246</v>
          </cell>
          <cell r="H276"/>
          <cell r="I276" t="str">
            <v xml:space="preserve">CANCELA GONZALEZ M </v>
          </cell>
          <cell r="J276"/>
          <cell r="K276"/>
          <cell r="L276" t="str">
            <v xml:space="preserve"> </v>
          </cell>
          <cell r="M276" t="str">
            <v xml:space="preserve"> </v>
          </cell>
          <cell r="N276" t="str">
            <v>TITULAR</v>
          </cell>
          <cell r="O276" t="str">
            <v xml:space="preserve">CANCELA GONZALEZ M </v>
          </cell>
          <cell r="P276" t="str">
            <v xml:space="preserve"> </v>
          </cell>
        </row>
        <row r="277">
          <cell r="A277" t="str">
            <v>4°3°4EFMC</v>
          </cell>
          <cell r="B277" t="str">
            <v>4°3°</v>
          </cell>
          <cell r="C277"/>
          <cell r="D277" t="str">
            <v>4EFMC</v>
          </cell>
          <cell r="E277">
            <v>733495</v>
          </cell>
          <cell r="F277" t="str">
            <v>FUNDAMENTOS DE LOS MODELOS CIRCUITALES</v>
          </cell>
          <cell r="G277"/>
          <cell r="H277"/>
          <cell r="I277"/>
          <cell r="J277" t="str">
            <v>20- 33.444.250-1</v>
          </cell>
          <cell r="K277" t="str">
            <v xml:space="preserve">VIANA MAURO                  </v>
          </cell>
          <cell r="L277" t="str">
            <v xml:space="preserve"> </v>
          </cell>
          <cell r="M277" t="str">
            <v xml:space="preserve"> </v>
          </cell>
          <cell r="N277" t="str">
            <v>PROVISIONAL</v>
          </cell>
          <cell r="O277" t="str">
            <v xml:space="preserve">VIANA MAURO                  </v>
          </cell>
          <cell r="P277" t="str">
            <v xml:space="preserve"> </v>
          </cell>
        </row>
        <row r="278">
          <cell r="A278" t="str">
            <v>4°3°4ETELE</v>
          </cell>
          <cell r="B278" t="str">
            <v>4°3°</v>
          </cell>
          <cell r="C278"/>
          <cell r="D278" t="str">
            <v>4ETELE</v>
          </cell>
          <cell r="E278">
            <v>733519</v>
          </cell>
          <cell r="F278" t="str">
            <v>TECNOLOGIAS ELECTRONICAS</v>
          </cell>
          <cell r="G278">
            <v>24490541</v>
          </cell>
          <cell r="H278"/>
          <cell r="I278" t="str">
            <v>PAZ ALBERTO</v>
          </cell>
          <cell r="J278"/>
          <cell r="K278"/>
          <cell r="L278">
            <v>34250266</v>
          </cell>
          <cell r="M278" t="str">
            <v>ATAMAÑUK, FLORENCIA</v>
          </cell>
          <cell r="N278" t="str">
            <v>SUPLENTE</v>
          </cell>
          <cell r="O278" t="str">
            <v>ATAMAÑUK, FLORENCIA</v>
          </cell>
          <cell r="P278" t="str">
            <v xml:space="preserve"> </v>
          </cell>
        </row>
        <row r="279">
          <cell r="A279" t="str">
            <v>4°3°4314EFTAE4</v>
          </cell>
          <cell r="B279" t="str">
            <v>4°3°</v>
          </cell>
          <cell r="C279">
            <v>431</v>
          </cell>
          <cell r="D279" t="str">
            <v>4EFTAE4</v>
          </cell>
          <cell r="E279">
            <v>2680250</v>
          </cell>
          <cell r="F279" t="str">
            <v xml:space="preserve">APLIC ELECT ANALOG </v>
          </cell>
          <cell r="G279">
            <v>18192893</v>
          </cell>
          <cell r="H279" t="str">
            <v xml:space="preserve"> (MASIVA)</v>
          </cell>
          <cell r="I279"/>
          <cell r="J279"/>
          <cell r="K279" t="str">
            <v>escalada arnaldo</v>
          </cell>
          <cell r="L279" t="str">
            <v xml:space="preserve"> </v>
          </cell>
          <cell r="M279" t="str">
            <v xml:space="preserve"> </v>
          </cell>
          <cell r="N279" t="str">
            <v>PROVISIONAL</v>
          </cell>
          <cell r="O279" t="str">
            <v>escalada arnaldo</v>
          </cell>
          <cell r="P279" t="str">
            <v xml:space="preserve"> </v>
          </cell>
        </row>
        <row r="280">
          <cell r="A280" t="str">
            <v>4°3°4314EFTED4</v>
          </cell>
          <cell r="B280" t="str">
            <v>4°3°</v>
          </cell>
          <cell r="C280">
            <v>431</v>
          </cell>
          <cell r="D280" t="str">
            <v>4EFTED4</v>
          </cell>
          <cell r="E280">
            <v>2680251</v>
          </cell>
          <cell r="F280" t="str">
            <v>APLIC ELECTR DIGITAL</v>
          </cell>
          <cell r="G280"/>
          <cell r="H280"/>
          <cell r="I280"/>
          <cell r="J280">
            <v>22688499</v>
          </cell>
          <cell r="K280" t="str">
            <v>CORDOBA ERNESTO</v>
          </cell>
          <cell r="L280" t="str">
            <v xml:space="preserve"> </v>
          </cell>
          <cell r="M280" t="str">
            <v xml:space="preserve"> </v>
          </cell>
          <cell r="N280" t="str">
            <v>PROVISIONAL</v>
          </cell>
          <cell r="O280" t="str">
            <v>CORDOBA ERNESTO</v>
          </cell>
          <cell r="P280" t="str">
            <v xml:space="preserve"> </v>
          </cell>
        </row>
        <row r="281">
          <cell r="A281" t="str">
            <v>4°3°4314EFTMP4</v>
          </cell>
          <cell r="B281" t="str">
            <v>4°3°</v>
          </cell>
          <cell r="C281">
            <v>431</v>
          </cell>
          <cell r="D281" t="str">
            <v>4EFTMP4</v>
          </cell>
          <cell r="E281">
            <v>2680252</v>
          </cell>
          <cell r="F281" t="str">
            <v xml:space="preserve">MONTAJE DE PROYECTO ELECTRONICOS </v>
          </cell>
          <cell r="G281">
            <v>26024164</v>
          </cell>
          <cell r="H281" t="str">
            <v xml:space="preserve"> (MASIVA)</v>
          </cell>
          <cell r="I281" t="str">
            <v xml:space="preserve">SAUCEDO GUSTAVO </v>
          </cell>
          <cell r="J281"/>
          <cell r="K281"/>
          <cell r="L281" t="str">
            <v xml:space="preserve"> </v>
          </cell>
          <cell r="M281" t="str">
            <v xml:space="preserve"> </v>
          </cell>
          <cell r="N281" t="str">
            <v>TITULAR</v>
          </cell>
          <cell r="O281" t="str">
            <v xml:space="preserve">SAUCEDO GUSTAVO </v>
          </cell>
          <cell r="P281" t="str">
            <v xml:space="preserve"> </v>
          </cell>
        </row>
        <row r="282">
          <cell r="A282" t="str">
            <v>4°3°4324EFTAE4</v>
          </cell>
          <cell r="B282" t="str">
            <v>4°3°</v>
          </cell>
          <cell r="C282">
            <v>432</v>
          </cell>
          <cell r="D282" t="str">
            <v>4EFTAE4</v>
          </cell>
          <cell r="E282">
            <v>2680253</v>
          </cell>
          <cell r="F282" t="str">
            <v xml:space="preserve">APLIC ELECT ANALOG </v>
          </cell>
          <cell r="G282"/>
          <cell r="H282"/>
          <cell r="I282"/>
          <cell r="J282">
            <v>20402521458</v>
          </cell>
          <cell r="K282" t="str">
            <v>GAUNA FEDERICO</v>
          </cell>
          <cell r="L282" t="str">
            <v xml:space="preserve"> </v>
          </cell>
          <cell r="M282" t="str">
            <v xml:space="preserve"> </v>
          </cell>
          <cell r="N282" t="str">
            <v>PROVISIONAL</v>
          </cell>
          <cell r="O282" t="str">
            <v>GAUNA FEDERICO</v>
          </cell>
          <cell r="P282" t="str">
            <v xml:space="preserve"> </v>
          </cell>
        </row>
        <row r="283">
          <cell r="A283" t="str">
            <v>4°3°4324EFTED4</v>
          </cell>
          <cell r="B283" t="str">
            <v>4°3°</v>
          </cell>
          <cell r="C283">
            <v>432</v>
          </cell>
          <cell r="D283" t="str">
            <v>4EFTED4</v>
          </cell>
          <cell r="E283">
            <v>2680254</v>
          </cell>
          <cell r="F283" t="str">
            <v>APLIC ELECTR DIGITAL</v>
          </cell>
          <cell r="G283"/>
          <cell r="H283"/>
          <cell r="I283"/>
          <cell r="J283" t="str">
            <v xml:space="preserve">   20-16.220.206-6</v>
          </cell>
          <cell r="K283" t="str">
            <v>BULACIO ARIEL</v>
          </cell>
          <cell r="L283"/>
          <cell r="M283" t="str">
            <v xml:space="preserve"> </v>
          </cell>
          <cell r="N283" t="str">
            <v>PROVISIONAL</v>
          </cell>
          <cell r="O283" t="str">
            <v>BULACIO ARIEL</v>
          </cell>
          <cell r="P283" t="str">
            <v xml:space="preserve"> </v>
          </cell>
        </row>
        <row r="284">
          <cell r="A284" t="str">
            <v>4°3°4324EFTMP4</v>
          </cell>
          <cell r="B284" t="str">
            <v>4°3°</v>
          </cell>
          <cell r="C284">
            <v>432</v>
          </cell>
          <cell r="D284" t="str">
            <v>4EFTMP4</v>
          </cell>
          <cell r="E284">
            <v>2680256</v>
          </cell>
          <cell r="F284" t="str">
            <v xml:space="preserve">MONTAJE DE PROYECTO ELECTRONICOS </v>
          </cell>
          <cell r="G284">
            <v>18192893</v>
          </cell>
          <cell r="H284" t="str">
            <v xml:space="preserve"> (MASIVA)</v>
          </cell>
          <cell r="I284"/>
          <cell r="J284">
            <v>27353523126</v>
          </cell>
          <cell r="K284" t="str">
            <v>FERREYRA JESICA</v>
          </cell>
          <cell r="L284" t="str">
            <v xml:space="preserve"> </v>
          </cell>
          <cell r="M284" t="str">
            <v xml:space="preserve"> </v>
          </cell>
          <cell r="N284" t="str">
            <v>PROVISIONAL</v>
          </cell>
          <cell r="O284" t="str">
            <v>FERREYRA JESICA</v>
          </cell>
          <cell r="P284" t="str">
            <v xml:space="preserve"> </v>
          </cell>
        </row>
        <row r="285">
          <cell r="A285" t="str">
            <v>4°4°4EQUIS</v>
          </cell>
          <cell r="B285" t="str">
            <v>4°4°</v>
          </cell>
          <cell r="C285"/>
          <cell r="D285" t="str">
            <v>4EQUIS</v>
          </cell>
          <cell r="E285">
            <v>733703</v>
          </cell>
          <cell r="F285" t="str">
            <v>QUIMICA</v>
          </cell>
          <cell r="G285"/>
          <cell r="H285"/>
          <cell r="I285"/>
          <cell r="J285"/>
          <cell r="K285" t="str">
            <v xml:space="preserve">COLAZO VIRGINIA </v>
          </cell>
          <cell r="L285">
            <v>27290413414</v>
          </cell>
          <cell r="M285" t="str">
            <v xml:space="preserve">STEIN PAMELA </v>
          </cell>
          <cell r="N285" t="str">
            <v>SUPLENTE</v>
          </cell>
          <cell r="O285" t="str">
            <v xml:space="preserve">STEIN PAMELA </v>
          </cell>
          <cell r="P285" t="str">
            <v xml:space="preserve"> </v>
          </cell>
        </row>
        <row r="286">
          <cell r="A286" t="str">
            <v>4°4°4EMATES</v>
          </cell>
          <cell r="B286" t="str">
            <v>4°4°</v>
          </cell>
          <cell r="C286"/>
          <cell r="D286" t="str">
            <v>4EMATES</v>
          </cell>
          <cell r="E286">
            <v>733568</v>
          </cell>
          <cell r="F286" t="str">
            <v>MATEMATICA</v>
          </cell>
          <cell r="G286">
            <v>16220206</v>
          </cell>
          <cell r="H286"/>
          <cell r="I286" t="str">
            <v>FISTER VICTOR</v>
          </cell>
          <cell r="J286"/>
          <cell r="K286"/>
          <cell r="L286" t="str">
            <v xml:space="preserve"> </v>
          </cell>
          <cell r="M286" t="str">
            <v xml:space="preserve"> </v>
          </cell>
          <cell r="N286" t="str">
            <v>TITULAR</v>
          </cell>
          <cell r="O286" t="str">
            <v>FISTER VICTOR</v>
          </cell>
          <cell r="P286" t="str">
            <v xml:space="preserve"> </v>
          </cell>
        </row>
        <row r="287">
          <cell r="A287" t="str">
            <v>4°4°4ELITS</v>
          </cell>
          <cell r="B287" t="str">
            <v>4°4°</v>
          </cell>
          <cell r="C287"/>
          <cell r="D287" t="str">
            <v>4ELITS</v>
          </cell>
          <cell r="E287">
            <v>733426</v>
          </cell>
          <cell r="F287" t="str">
            <v>LITERATURA</v>
          </cell>
          <cell r="G287">
            <v>13642940</v>
          </cell>
          <cell r="H287" t="str">
            <v>MAD 2020</v>
          </cell>
          <cell r="I287" t="str">
            <v>CARESTIA, NOEMI</v>
          </cell>
          <cell r="J287"/>
          <cell r="K287"/>
          <cell r="L287" t="str">
            <v xml:space="preserve"> </v>
          </cell>
          <cell r="M287" t="str">
            <v xml:space="preserve"> </v>
          </cell>
          <cell r="N287" t="str">
            <v>TITULAR</v>
          </cell>
          <cell r="O287" t="str">
            <v>CARESTIA, NOEMI</v>
          </cell>
          <cell r="P287" t="str">
            <v xml:space="preserve"> </v>
          </cell>
        </row>
        <row r="288">
          <cell r="A288" t="str">
            <v>4°4°4EINGS</v>
          </cell>
          <cell r="B288" t="str">
            <v>4°4°</v>
          </cell>
          <cell r="C288"/>
          <cell r="D288" t="str">
            <v>4EINGS</v>
          </cell>
          <cell r="E288">
            <v>733417</v>
          </cell>
          <cell r="F288" t="str">
            <v>INGLÉS</v>
          </cell>
          <cell r="G288">
            <v>38178432</v>
          </cell>
          <cell r="H288"/>
          <cell r="I288" t="str">
            <v xml:space="preserve">ARCE KARINA </v>
          </cell>
          <cell r="J288"/>
          <cell r="K288"/>
          <cell r="L288" t="str">
            <v xml:space="preserve"> </v>
          </cell>
          <cell r="M288" t="str">
            <v xml:space="preserve"> </v>
          </cell>
          <cell r="N288" t="str">
            <v>TITULAR</v>
          </cell>
          <cell r="O288" t="str">
            <v xml:space="preserve">ARCE KARINA </v>
          </cell>
          <cell r="P288" t="str">
            <v xml:space="preserve"> </v>
          </cell>
        </row>
        <row r="289">
          <cell r="A289" t="str">
            <v>4°4°4EEFIS</v>
          </cell>
          <cell r="B289" t="str">
            <v>4°4°</v>
          </cell>
          <cell r="C289"/>
          <cell r="D289" t="str">
            <v>4EEFIS</v>
          </cell>
          <cell r="E289">
            <v>733645</v>
          </cell>
          <cell r="F289" t="str">
            <v>EDUCACIÓN FISICA</v>
          </cell>
          <cell r="G289">
            <v>20422900</v>
          </cell>
          <cell r="H289"/>
          <cell r="I289" t="str">
            <v>SANCHEZ CARLOS</v>
          </cell>
          <cell r="J289"/>
          <cell r="K289"/>
          <cell r="L289" t="str">
            <v xml:space="preserve"> </v>
          </cell>
          <cell r="M289" t="str">
            <v xml:space="preserve"> </v>
          </cell>
          <cell r="N289" t="str">
            <v>TITULAR</v>
          </cell>
          <cell r="O289" t="str">
            <v>SANCHEZ CARLOS</v>
          </cell>
          <cell r="P289" t="str">
            <v xml:space="preserve"> </v>
          </cell>
        </row>
        <row r="290">
          <cell r="A290" t="str">
            <v>4°4°4EHIS</v>
          </cell>
          <cell r="B290" t="str">
            <v>4°4°</v>
          </cell>
          <cell r="C290"/>
          <cell r="D290" t="str">
            <v>4EHIS</v>
          </cell>
          <cell r="E290">
            <v>733423</v>
          </cell>
          <cell r="F290" t="str">
            <v>HISTORIA</v>
          </cell>
          <cell r="G290">
            <v>25142864</v>
          </cell>
          <cell r="H290"/>
          <cell r="I290" t="str">
            <v xml:space="preserve">PALACIOS GUSTAVO </v>
          </cell>
          <cell r="J290"/>
          <cell r="K290"/>
          <cell r="L290" t="str">
            <v xml:space="preserve"> </v>
          </cell>
          <cell r="M290" t="str">
            <v xml:space="preserve"> </v>
          </cell>
          <cell r="N290" t="str">
            <v>TITULAR</v>
          </cell>
          <cell r="O290" t="str">
            <v xml:space="preserve">PALACIOS GUSTAVO </v>
          </cell>
          <cell r="P290" t="str">
            <v xml:space="preserve"> </v>
          </cell>
        </row>
        <row r="291">
          <cell r="A291" t="str">
            <v>4°4°4EGEOS</v>
          </cell>
          <cell r="B291" t="str">
            <v>4°4°</v>
          </cell>
          <cell r="C291"/>
          <cell r="D291" t="str">
            <v>4EGEOS</v>
          </cell>
          <cell r="E291">
            <v>1517208</v>
          </cell>
          <cell r="F291" t="str">
            <v>GEOGRAFIA</v>
          </cell>
          <cell r="G291" t="str">
            <v xml:space="preserve"> 20-24.636.852-0</v>
          </cell>
          <cell r="H291"/>
          <cell r="I291"/>
          <cell r="J291">
            <v>27283293144</v>
          </cell>
          <cell r="K291" t="str">
            <v>SEGUEIRA SUSANA SOLEDAD</v>
          </cell>
          <cell r="L291" t="str">
            <v xml:space="preserve"> </v>
          </cell>
          <cell r="M291" t="str">
            <v xml:space="preserve"> </v>
          </cell>
          <cell r="N291" t="str">
            <v>PROVISIONAL</v>
          </cell>
          <cell r="O291" t="str">
            <v>SEGUEIRA SUSANA SOLEDAD</v>
          </cell>
          <cell r="P291" t="str">
            <v xml:space="preserve"> </v>
          </cell>
        </row>
        <row r="292">
          <cell r="A292" t="str">
            <v>4°4°4EFIS</v>
          </cell>
          <cell r="B292" t="str">
            <v>4°4°</v>
          </cell>
          <cell r="C292"/>
          <cell r="D292" t="str">
            <v>4EFIS</v>
          </cell>
          <cell r="E292">
            <v>733706</v>
          </cell>
          <cell r="F292" t="str">
            <v>FISICA</v>
          </cell>
          <cell r="G292" t="str">
            <v xml:space="preserve"> 23-22.948.231-9</v>
          </cell>
          <cell r="H292"/>
          <cell r="I292" t="str">
            <v>LUZURIAGA ANGEL</v>
          </cell>
          <cell r="J292"/>
          <cell r="K292"/>
          <cell r="L292">
            <v>0</v>
          </cell>
          <cell r="M292" t="str">
            <v>PROCHOR JUAN</v>
          </cell>
          <cell r="N292" t="str">
            <v>SUPLENTE</v>
          </cell>
          <cell r="O292" t="str">
            <v>PROCHOR JUAN</v>
          </cell>
          <cell r="P292" t="str">
            <v xml:space="preserve"> </v>
          </cell>
        </row>
        <row r="293">
          <cell r="A293" t="str">
            <v>4°4°4ESADS</v>
          </cell>
          <cell r="B293" t="str">
            <v>4°4°</v>
          </cell>
          <cell r="C293"/>
          <cell r="D293" t="str">
            <v>4ESADS</v>
          </cell>
          <cell r="E293">
            <v>1517205</v>
          </cell>
          <cell r="F293" t="str">
            <v>SALUD Y ADOLESCENCIA</v>
          </cell>
          <cell r="G293">
            <v>28906681</v>
          </cell>
          <cell r="H293"/>
          <cell r="I293" t="str">
            <v xml:space="preserve">CORDOBA PAOLA </v>
          </cell>
          <cell r="J293"/>
          <cell r="K293"/>
          <cell r="L293">
            <v>0</v>
          </cell>
          <cell r="M293" t="str">
            <v>TORRES VANINA</v>
          </cell>
          <cell r="N293" t="str">
            <v>SUPLENTE</v>
          </cell>
          <cell r="O293" t="str">
            <v>TORRES VANINA</v>
          </cell>
          <cell r="P293" t="str">
            <v xml:space="preserve"> </v>
          </cell>
        </row>
        <row r="294">
          <cell r="A294" t="str">
            <v>4°4°4EFMC</v>
          </cell>
          <cell r="B294" t="str">
            <v>4°4°</v>
          </cell>
          <cell r="C294"/>
          <cell r="D294" t="str">
            <v>4EFMC</v>
          </cell>
          <cell r="E294">
            <v>789654</v>
          </cell>
          <cell r="F294" t="str">
            <v>FUNDAMENTOS DE LOS MODELOS CIRCUITALES</v>
          </cell>
          <cell r="G294"/>
          <cell r="H294"/>
          <cell r="I294"/>
          <cell r="J294">
            <v>16220206</v>
          </cell>
          <cell r="K294" t="str">
            <v xml:space="preserve">FISTER VICTOR             </v>
          </cell>
          <cell r="L294" t="str">
            <v xml:space="preserve"> </v>
          </cell>
          <cell r="M294" t="str">
            <v xml:space="preserve"> </v>
          </cell>
          <cell r="N294" t="str">
            <v>PROVISIONAL</v>
          </cell>
          <cell r="O294" t="str">
            <v xml:space="preserve">FISTER VICTOR             </v>
          </cell>
          <cell r="P294" t="str">
            <v xml:space="preserve"> </v>
          </cell>
        </row>
        <row r="295">
          <cell r="A295" t="str">
            <v>4°4°4ETELE</v>
          </cell>
          <cell r="B295" t="str">
            <v>4°4°</v>
          </cell>
          <cell r="C295"/>
          <cell r="D295" t="str">
            <v>4ETELE</v>
          </cell>
          <cell r="E295">
            <v>790146</v>
          </cell>
          <cell r="F295" t="str">
            <v>TECNOLOGIAS ELECTRONICAS</v>
          </cell>
          <cell r="G295"/>
          <cell r="H295"/>
          <cell r="I295"/>
          <cell r="J295">
            <v>23086757</v>
          </cell>
          <cell r="K295" t="str">
            <v>SERENO, LEONEL</v>
          </cell>
          <cell r="L295" t="str">
            <v xml:space="preserve"> </v>
          </cell>
          <cell r="M295" t="str">
            <v xml:space="preserve"> </v>
          </cell>
          <cell r="N295" t="str">
            <v>PROVISIONAL</v>
          </cell>
          <cell r="O295" t="str">
            <v>SERENO, LEONEL</v>
          </cell>
          <cell r="P295" t="str">
            <v xml:space="preserve"> </v>
          </cell>
        </row>
        <row r="296">
          <cell r="A296" t="str">
            <v>4°4°4414EFTAE4</v>
          </cell>
          <cell r="B296" t="str">
            <v>4°4°</v>
          </cell>
          <cell r="C296">
            <v>441</v>
          </cell>
          <cell r="D296" t="str">
            <v>4EFTAE4</v>
          </cell>
          <cell r="E296">
            <v>2680556</v>
          </cell>
          <cell r="F296" t="str">
            <v xml:space="preserve">APLIC ELECT ANALOG </v>
          </cell>
          <cell r="G296"/>
          <cell r="H296"/>
          <cell r="I296"/>
          <cell r="J296">
            <v>30930380</v>
          </cell>
          <cell r="K296" t="str">
            <v xml:space="preserve">VELAZQUEZ GERARDO </v>
          </cell>
          <cell r="L296" t="str">
            <v xml:space="preserve"> </v>
          </cell>
          <cell r="M296" t="str">
            <v xml:space="preserve"> </v>
          </cell>
          <cell r="N296" t="str">
            <v>PROVISIONAL</v>
          </cell>
          <cell r="O296" t="str">
            <v xml:space="preserve">VELAZQUEZ GERARDO </v>
          </cell>
          <cell r="P296" t="str">
            <v xml:space="preserve"> </v>
          </cell>
        </row>
        <row r="297">
          <cell r="A297" t="str">
            <v>4°4°4414EFTED4</v>
          </cell>
          <cell r="B297" t="str">
            <v>4°4°</v>
          </cell>
          <cell r="C297">
            <v>441</v>
          </cell>
          <cell r="D297" t="str">
            <v>4EFTED4</v>
          </cell>
          <cell r="E297">
            <v>2680557</v>
          </cell>
          <cell r="F297" t="str">
            <v>APLIC ELECTR DIGITAL</v>
          </cell>
          <cell r="G297"/>
          <cell r="H297"/>
          <cell r="I297"/>
          <cell r="J297">
            <v>18383726</v>
          </cell>
          <cell r="K297" t="str">
            <v>MARTINEZ, SILVIO</v>
          </cell>
          <cell r="L297" t="str">
            <v xml:space="preserve"> </v>
          </cell>
          <cell r="M297" t="str">
            <v xml:space="preserve"> </v>
          </cell>
          <cell r="N297" t="str">
            <v>PROVISIONAL</v>
          </cell>
          <cell r="O297" t="str">
            <v>MARTINEZ, SILVIO</v>
          </cell>
          <cell r="P297" t="str">
            <v xml:space="preserve"> </v>
          </cell>
        </row>
        <row r="298">
          <cell r="A298" t="str">
            <v>4°4°4414EFTMP4</v>
          </cell>
          <cell r="B298" t="str">
            <v>4°4°</v>
          </cell>
          <cell r="C298">
            <v>441</v>
          </cell>
          <cell r="D298" t="str">
            <v>4EFTMP4</v>
          </cell>
          <cell r="E298">
            <v>2680558</v>
          </cell>
          <cell r="F298" t="str">
            <v xml:space="preserve">MONTAJE DE PROYECTO ELECTRONICOS </v>
          </cell>
          <cell r="G298"/>
          <cell r="H298"/>
          <cell r="I298"/>
          <cell r="J298">
            <v>34777466</v>
          </cell>
          <cell r="K298" t="str">
            <v xml:space="preserve">QUINTANA RAMON </v>
          </cell>
          <cell r="L298" t="str">
            <v xml:space="preserve"> </v>
          </cell>
          <cell r="M298" t="str">
            <v xml:space="preserve"> </v>
          </cell>
          <cell r="N298" t="str">
            <v>PROVISIONAL</v>
          </cell>
          <cell r="O298" t="str">
            <v xml:space="preserve">QUINTANA RAMON </v>
          </cell>
          <cell r="P298" t="str">
            <v xml:space="preserve"> </v>
          </cell>
        </row>
        <row r="299">
          <cell r="A299" t="str">
            <v>4°4°4424EFTAE4</v>
          </cell>
          <cell r="B299" t="str">
            <v>4°4°</v>
          </cell>
          <cell r="C299">
            <v>442</v>
          </cell>
          <cell r="D299" t="str">
            <v>4EFTAE4</v>
          </cell>
          <cell r="E299">
            <v>2680559</v>
          </cell>
          <cell r="F299" t="str">
            <v xml:space="preserve">APLIC ELECT ANALOG </v>
          </cell>
          <cell r="G299"/>
          <cell r="H299"/>
          <cell r="I299"/>
          <cell r="J299">
            <v>20281869109</v>
          </cell>
          <cell r="K299" t="str">
            <v>ARNALDO ESCALADA</v>
          </cell>
          <cell r="L299" t="str">
            <v xml:space="preserve"> </v>
          </cell>
          <cell r="M299" t="str">
            <v xml:space="preserve"> </v>
          </cell>
          <cell r="N299" t="str">
            <v>PROVISIONAL</v>
          </cell>
          <cell r="O299" t="str">
            <v>ARNALDO ESCALADA</v>
          </cell>
          <cell r="P299" t="str">
            <v xml:space="preserve"> </v>
          </cell>
        </row>
        <row r="300">
          <cell r="A300" t="str">
            <v>4°4°4424EFTED4</v>
          </cell>
          <cell r="B300" t="str">
            <v>4°4°</v>
          </cell>
          <cell r="C300">
            <v>442</v>
          </cell>
          <cell r="D300" t="str">
            <v>4EFTED4</v>
          </cell>
          <cell r="E300">
            <v>2680560</v>
          </cell>
          <cell r="F300" t="str">
            <v>APLIC ELECTR DIGITAL</v>
          </cell>
          <cell r="G300"/>
          <cell r="H300"/>
          <cell r="I300"/>
          <cell r="J300">
            <v>26114670</v>
          </cell>
          <cell r="K300" t="str">
            <v xml:space="preserve">FISTER (Serv.Prov)         </v>
          </cell>
          <cell r="L300" t="str">
            <v xml:space="preserve"> </v>
          </cell>
          <cell r="M300" t="str">
            <v xml:space="preserve"> </v>
          </cell>
          <cell r="N300" t="str">
            <v>PROVISIONAL</v>
          </cell>
          <cell r="O300" t="str">
            <v xml:space="preserve">FISTER (Serv.Prov)         </v>
          </cell>
          <cell r="P300" t="str">
            <v xml:space="preserve"> </v>
          </cell>
        </row>
        <row r="301">
          <cell r="A301" t="str">
            <v>4°4°4424EFTMP4</v>
          </cell>
          <cell r="B301" t="str">
            <v>4°4°</v>
          </cell>
          <cell r="C301">
            <v>442</v>
          </cell>
          <cell r="D301" t="str">
            <v>4EFTMP4</v>
          </cell>
          <cell r="E301">
            <v>2680561</v>
          </cell>
          <cell r="F301" t="str">
            <v xml:space="preserve">MONTAJE DE PROYECTO ELECTRONICOS </v>
          </cell>
          <cell r="G301"/>
          <cell r="H301"/>
          <cell r="I301"/>
          <cell r="J301">
            <v>30930380</v>
          </cell>
          <cell r="K301" t="str">
            <v xml:space="preserve">VELAZQUEZ GERARDO </v>
          </cell>
          <cell r="L301" t="str">
            <v xml:space="preserve"> </v>
          </cell>
          <cell r="M301" t="str">
            <v xml:space="preserve"> </v>
          </cell>
          <cell r="N301" t="str">
            <v>PROVISIONAL</v>
          </cell>
          <cell r="O301" t="str">
            <v xml:space="preserve">VELAZQUEZ GERARDO </v>
          </cell>
          <cell r="P301" t="str">
            <v xml:space="preserve"> </v>
          </cell>
        </row>
        <row r="302">
          <cell r="A302" t="str">
            <v>5°5°5ILITS</v>
          </cell>
          <cell r="B302" t="str">
            <v>5°5°</v>
          </cell>
          <cell r="C302"/>
          <cell r="D302" t="str">
            <v>5ILITS</v>
          </cell>
          <cell r="E302">
            <v>733603</v>
          </cell>
          <cell r="F302" t="str">
            <v>LITERATURA</v>
          </cell>
          <cell r="G302">
            <v>36088391</v>
          </cell>
          <cell r="H302" t="str">
            <v xml:space="preserve"> INT 2025</v>
          </cell>
          <cell r="I302" t="str">
            <v>NEGRETE, DANIELA</v>
          </cell>
          <cell r="J302"/>
          <cell r="K302"/>
          <cell r="L302" t="str">
            <v xml:space="preserve"> </v>
          </cell>
          <cell r="M302" t="str">
            <v xml:space="preserve"> </v>
          </cell>
          <cell r="N302" t="str">
            <v>TITULAR</v>
          </cell>
          <cell r="O302" t="str">
            <v>NEGRETE, DANIELA</v>
          </cell>
          <cell r="P302" t="str">
            <v xml:space="preserve"> </v>
          </cell>
        </row>
        <row r="303">
          <cell r="A303" t="str">
            <v>5°5°5IINGS</v>
          </cell>
          <cell r="B303" t="str">
            <v>5°5°</v>
          </cell>
          <cell r="C303"/>
          <cell r="D303" t="str">
            <v>5IINGS</v>
          </cell>
          <cell r="E303">
            <v>733672</v>
          </cell>
          <cell r="F303" t="str">
            <v>INGLÉS</v>
          </cell>
          <cell r="G303">
            <v>26117162</v>
          </cell>
          <cell r="H303"/>
          <cell r="I303" t="str">
            <v>SARRIA, ANDREA</v>
          </cell>
          <cell r="J303"/>
          <cell r="K303"/>
          <cell r="L303">
            <v>0</v>
          </cell>
          <cell r="M303" t="str">
            <v>BARBIERI MARIA 27361711800</v>
          </cell>
          <cell r="N303" t="str">
            <v>SUPLENTE</v>
          </cell>
          <cell r="O303" t="str">
            <v>BARBIERI MARIA 27361711800</v>
          </cell>
          <cell r="P303" t="str">
            <v xml:space="preserve"> </v>
          </cell>
        </row>
        <row r="304">
          <cell r="A304" t="str">
            <v>5°5°5IEFIS</v>
          </cell>
          <cell r="B304" t="str">
            <v>5°5°</v>
          </cell>
          <cell r="C304"/>
          <cell r="D304" t="str">
            <v>5IEFIS</v>
          </cell>
          <cell r="E304">
            <v>733402</v>
          </cell>
          <cell r="F304" t="str">
            <v>EDUCACIÓN FISICA</v>
          </cell>
          <cell r="G304">
            <v>29569203</v>
          </cell>
          <cell r="H304"/>
          <cell r="I304" t="str">
            <v>LUDUEÑA NELSON</v>
          </cell>
          <cell r="J304"/>
          <cell r="K304"/>
          <cell r="L304" t="str">
            <v xml:space="preserve"> </v>
          </cell>
          <cell r="M304" t="str">
            <v xml:space="preserve"> </v>
          </cell>
          <cell r="N304" t="str">
            <v>TITULAR</v>
          </cell>
          <cell r="O304" t="str">
            <v>LUDUEÑA NELSON</v>
          </cell>
          <cell r="P304" t="str">
            <v xml:space="preserve"> </v>
          </cell>
        </row>
        <row r="305">
          <cell r="A305" t="str">
            <v>5°5°5IPYCS</v>
          </cell>
          <cell r="B305" t="str">
            <v>5°5°</v>
          </cell>
          <cell r="C305"/>
          <cell r="D305" t="str">
            <v>5IPYCS</v>
          </cell>
          <cell r="E305">
            <v>1643741</v>
          </cell>
          <cell r="F305" t="str">
            <v>POLITICA Y CIUDADANIA</v>
          </cell>
          <cell r="G305">
            <v>15007603</v>
          </cell>
          <cell r="H305" t="str">
            <v>definitivo 2020</v>
          </cell>
          <cell r="I305" t="str">
            <v xml:space="preserve">ANTONIO VALLE, INEES </v>
          </cell>
          <cell r="J305"/>
          <cell r="K305"/>
          <cell r="L305" t="str">
            <v xml:space="preserve"> </v>
          </cell>
          <cell r="M305" t="str">
            <v xml:space="preserve"> </v>
          </cell>
          <cell r="N305" t="str">
            <v>TITULAR</v>
          </cell>
          <cell r="O305" t="str">
            <v xml:space="preserve">ANTONIO VALLE, INEES </v>
          </cell>
          <cell r="P305" t="str">
            <v xml:space="preserve"> </v>
          </cell>
        </row>
        <row r="306">
          <cell r="A306" t="str">
            <v>5°5°5IHIS5</v>
          </cell>
          <cell r="B306" t="str">
            <v>5°5°</v>
          </cell>
          <cell r="C306"/>
          <cell r="D306" t="str">
            <v>5IHIS5</v>
          </cell>
          <cell r="E306">
            <v>1643750</v>
          </cell>
          <cell r="F306" t="str">
            <v>HISTORIA</v>
          </cell>
          <cell r="G306" t="str">
            <v xml:space="preserve">  27- 20.842.169-2</v>
          </cell>
          <cell r="H306"/>
          <cell r="I306" t="str">
            <v xml:space="preserve">GERSTER MYRIAN   INT206           </v>
          </cell>
          <cell r="J306"/>
          <cell r="K306"/>
          <cell r="L306" t="str">
            <v xml:space="preserve"> </v>
          </cell>
          <cell r="M306" t="str">
            <v xml:space="preserve"> </v>
          </cell>
          <cell r="N306" t="str">
            <v>TITULAR</v>
          </cell>
          <cell r="O306" t="str">
            <v xml:space="preserve">GERSTER MYRIAN   INT206           </v>
          </cell>
          <cell r="P306" t="str">
            <v xml:space="preserve"> </v>
          </cell>
        </row>
        <row r="307">
          <cell r="A307" t="str">
            <v>5°5°5IGEOS5</v>
          </cell>
          <cell r="B307" t="str">
            <v>5°5°</v>
          </cell>
          <cell r="C307"/>
          <cell r="D307" t="str">
            <v>5IGEOS5</v>
          </cell>
          <cell r="E307">
            <v>733650</v>
          </cell>
          <cell r="F307" t="str">
            <v>GEOGRAFIA</v>
          </cell>
          <cell r="G307" t="str">
            <v>27-29.146.146-3</v>
          </cell>
          <cell r="H307"/>
          <cell r="I307" t="str">
            <v>SOLIS, MARIA</v>
          </cell>
          <cell r="J307"/>
          <cell r="K307"/>
          <cell r="L307">
            <v>27276906084</v>
          </cell>
          <cell r="M307" t="str">
            <v xml:space="preserve"> ROJAS SOLEDAD</v>
          </cell>
          <cell r="N307" t="str">
            <v>SUPLENTE</v>
          </cell>
          <cell r="O307" t="str">
            <v xml:space="preserve"> ROJAS SOLEDAD</v>
          </cell>
          <cell r="P307" t="str">
            <v xml:space="preserve"> </v>
          </cell>
        </row>
        <row r="308">
          <cell r="A308" t="str">
            <v>5°5°5IANMAT</v>
          </cell>
          <cell r="B308" t="str">
            <v>5°5°</v>
          </cell>
          <cell r="C308"/>
          <cell r="D308" t="str">
            <v>5IANMAT</v>
          </cell>
          <cell r="E308">
            <v>733651</v>
          </cell>
          <cell r="F308" t="str">
            <v>ANALISIS MATEMATICO</v>
          </cell>
          <cell r="G308">
            <v>23552449</v>
          </cell>
          <cell r="H308"/>
          <cell r="I308"/>
          <cell r="J308"/>
          <cell r="K308" t="str">
            <v>GARCIA CLAUDIA</v>
          </cell>
          <cell r="L308" t="str">
            <v xml:space="preserve"> </v>
          </cell>
          <cell r="M308" t="str">
            <v xml:space="preserve"> </v>
          </cell>
          <cell r="N308" t="str">
            <v>PROVISIONAL</v>
          </cell>
          <cell r="O308" t="str">
            <v>GARCIA CLAUDIA</v>
          </cell>
          <cell r="P308" t="str">
            <v xml:space="preserve"> </v>
          </cell>
        </row>
        <row r="309">
          <cell r="A309" t="str">
            <v>5°5°5ISIDI4</v>
          </cell>
          <cell r="B309" t="str">
            <v>5°5°</v>
          </cell>
          <cell r="C309"/>
          <cell r="D309" t="str">
            <v>5ISIDI4</v>
          </cell>
          <cell r="E309">
            <v>733570</v>
          </cell>
          <cell r="F309" t="str">
            <v>SISTEMA DIGITAL</v>
          </cell>
          <cell r="G309">
            <v>28440300</v>
          </cell>
          <cell r="H309"/>
          <cell r="I309" t="str">
            <v>CARDINALE GERMAN</v>
          </cell>
          <cell r="J309"/>
          <cell r="K309"/>
          <cell r="L309">
            <v>33421332</v>
          </cell>
          <cell r="M309" t="str">
            <v xml:space="preserve">HERNER, CRISTIAN </v>
          </cell>
          <cell r="N309" t="str">
            <v>SUPLENTE</v>
          </cell>
          <cell r="O309" t="str">
            <v xml:space="preserve">HERNER, CRISTIAN </v>
          </cell>
          <cell r="P309" t="str">
            <v xml:space="preserve"> </v>
          </cell>
        </row>
        <row r="310">
          <cell r="A310" t="str">
            <v>5°5°5ITELEI</v>
          </cell>
          <cell r="B310" t="str">
            <v>5°5°</v>
          </cell>
          <cell r="C310"/>
          <cell r="D310" t="str">
            <v>5ITELEI</v>
          </cell>
          <cell r="E310">
            <v>1643761</v>
          </cell>
          <cell r="F310" t="str">
            <v>TELEINFORMATICA</v>
          </cell>
          <cell r="G310"/>
          <cell r="H310"/>
          <cell r="I310"/>
          <cell r="J310">
            <v>35365690</v>
          </cell>
          <cell r="K310" t="str">
            <v xml:space="preserve">GONANO, GERMAN </v>
          </cell>
          <cell r="L310" t="str">
            <v xml:space="preserve"> </v>
          </cell>
          <cell r="M310" t="str">
            <v xml:space="preserve"> </v>
          </cell>
          <cell r="N310" t="str">
            <v>PROVISIONAL</v>
          </cell>
          <cell r="O310" t="str">
            <v xml:space="preserve">GONANO, GERMAN </v>
          </cell>
          <cell r="P310" t="str">
            <v xml:space="preserve"> </v>
          </cell>
        </row>
        <row r="311">
          <cell r="A311" t="str">
            <v>5°5°5515IFTLP5</v>
          </cell>
          <cell r="B311" t="str">
            <v>5°5°</v>
          </cell>
          <cell r="C311">
            <v>551</v>
          </cell>
          <cell r="D311" t="str">
            <v>5IFTLP5</v>
          </cell>
          <cell r="E311">
            <v>2680572</v>
          </cell>
          <cell r="F311" t="str">
            <v xml:space="preserve">LAB DE PROGRAM </v>
          </cell>
          <cell r="G311"/>
          <cell r="H311"/>
          <cell r="I311"/>
          <cell r="J311"/>
          <cell r="K311" t="str">
            <v>WITT  GERARDO</v>
          </cell>
          <cell r="L311" t="str">
            <v xml:space="preserve"> </v>
          </cell>
          <cell r="M311" t="str">
            <v xml:space="preserve"> </v>
          </cell>
          <cell r="N311" t="str">
            <v>PROVISIONAL</v>
          </cell>
          <cell r="O311" t="str">
            <v>WITT  GERARDO</v>
          </cell>
          <cell r="P311" t="str">
            <v xml:space="preserve"> </v>
          </cell>
        </row>
        <row r="312">
          <cell r="A312" t="str">
            <v>5°5°5515IFTLH5</v>
          </cell>
          <cell r="B312" t="str">
            <v>5°5°</v>
          </cell>
          <cell r="C312">
            <v>551</v>
          </cell>
          <cell r="D312" t="str">
            <v>5IFTLH5</v>
          </cell>
          <cell r="E312">
            <v>2680573</v>
          </cell>
          <cell r="F312" t="str">
            <v xml:space="preserve">LAB DE HARDWARE </v>
          </cell>
          <cell r="G312">
            <v>24862276</v>
          </cell>
          <cell r="H312" t="str">
            <v>(MASIVA)</v>
          </cell>
          <cell r="I312" t="str">
            <v>COLINA PATRICIA</v>
          </cell>
          <cell r="J312"/>
          <cell r="K312"/>
          <cell r="L312">
            <v>27464627</v>
          </cell>
          <cell r="M312" t="str">
            <v>HERRERA, STELLA</v>
          </cell>
          <cell r="N312" t="str">
            <v>SUPLENTE</v>
          </cell>
          <cell r="O312" t="str">
            <v>HERRERA, STELLA</v>
          </cell>
          <cell r="P312" t="str">
            <v xml:space="preserve"> </v>
          </cell>
        </row>
        <row r="313">
          <cell r="A313" t="str">
            <v>5°5°5515IFTLS5</v>
          </cell>
          <cell r="B313" t="str">
            <v>5°5°</v>
          </cell>
          <cell r="C313">
            <v>551</v>
          </cell>
          <cell r="D313" t="str">
            <v>5IFTLS5</v>
          </cell>
          <cell r="E313">
            <v>2680574</v>
          </cell>
          <cell r="F313" t="str">
            <v>LAB DE SIST OPERATIVOS</v>
          </cell>
          <cell r="G313"/>
          <cell r="H313"/>
          <cell r="I313"/>
          <cell r="J313"/>
          <cell r="K313" t="str">
            <v>WITT  GERARDO</v>
          </cell>
          <cell r="L313" t="str">
            <v xml:space="preserve"> </v>
          </cell>
          <cell r="M313" t="str">
            <v xml:space="preserve"> </v>
          </cell>
          <cell r="N313" t="str">
            <v>PROVISIONAL</v>
          </cell>
          <cell r="O313" t="str">
            <v>WITT  GERARDO</v>
          </cell>
          <cell r="P313" t="str">
            <v xml:space="preserve"> </v>
          </cell>
        </row>
        <row r="314">
          <cell r="A314" t="str">
            <v>5°5°5515IFTLA5</v>
          </cell>
          <cell r="B314" t="str">
            <v>5°5°</v>
          </cell>
          <cell r="C314">
            <v>551</v>
          </cell>
          <cell r="D314" t="str">
            <v>5IFTLA5</v>
          </cell>
          <cell r="E314">
            <v>2680575</v>
          </cell>
          <cell r="F314" t="str">
            <v xml:space="preserve">LAB DE APLICACIONES </v>
          </cell>
          <cell r="G314"/>
          <cell r="H314"/>
          <cell r="I314"/>
          <cell r="J314">
            <v>20181926644</v>
          </cell>
          <cell r="K314" t="str">
            <v xml:space="preserve">ORMEÑO CARLOS CUIT </v>
          </cell>
          <cell r="L314">
            <v>27298732357</v>
          </cell>
          <cell r="M314" t="str">
            <v xml:space="preserve"> HERRERA STELLA MARIS</v>
          </cell>
          <cell r="N314" t="str">
            <v>SUPLENTE</v>
          </cell>
          <cell r="O314" t="str">
            <v xml:space="preserve"> HERRERA STELLA MARIS</v>
          </cell>
          <cell r="P314" t="str">
            <v xml:space="preserve"> </v>
          </cell>
        </row>
        <row r="315">
          <cell r="A315" t="str">
            <v>5°5°5525IFTLP5</v>
          </cell>
          <cell r="B315" t="str">
            <v>5°5°</v>
          </cell>
          <cell r="C315">
            <v>552</v>
          </cell>
          <cell r="D315" t="str">
            <v>5IFTLP5</v>
          </cell>
          <cell r="E315">
            <v>2680576</v>
          </cell>
          <cell r="F315" t="str">
            <v xml:space="preserve">LAB DE PROGRAM </v>
          </cell>
          <cell r="G315"/>
          <cell r="H315"/>
          <cell r="I315"/>
          <cell r="J315">
            <v>23086757</v>
          </cell>
          <cell r="K315" t="str">
            <v>WITT GERARDO</v>
          </cell>
          <cell r="L315" t="str">
            <v xml:space="preserve"> </v>
          </cell>
          <cell r="M315" t="str">
            <v xml:space="preserve"> </v>
          </cell>
          <cell r="N315" t="str">
            <v>PROVISIONAL</v>
          </cell>
          <cell r="O315" t="str">
            <v>WITT GERARDO</v>
          </cell>
          <cell r="P315" t="str">
            <v xml:space="preserve"> </v>
          </cell>
        </row>
        <row r="316">
          <cell r="A316" t="str">
            <v>5°5°5525IFTLH5</v>
          </cell>
          <cell r="B316" t="str">
            <v>5°5°</v>
          </cell>
          <cell r="C316">
            <v>552</v>
          </cell>
          <cell r="D316" t="str">
            <v>5IFTLH5</v>
          </cell>
          <cell r="E316">
            <v>2680577</v>
          </cell>
          <cell r="F316" t="str">
            <v xml:space="preserve">LAB DE HARDWARE </v>
          </cell>
          <cell r="G316"/>
          <cell r="H316"/>
          <cell r="I316"/>
          <cell r="J316"/>
          <cell r="K316" t="str">
            <v xml:space="preserve">FISTER (Serv.Prov)         </v>
          </cell>
          <cell r="L316" t="str">
            <v xml:space="preserve"> </v>
          </cell>
          <cell r="M316" t="str">
            <v xml:space="preserve"> </v>
          </cell>
          <cell r="N316" t="str">
            <v>PROVISIONAL</v>
          </cell>
          <cell r="O316" t="str">
            <v xml:space="preserve">FISTER (Serv.Prov)         </v>
          </cell>
          <cell r="P316" t="str">
            <v xml:space="preserve"> </v>
          </cell>
        </row>
        <row r="317">
          <cell r="A317" t="str">
            <v>5°5°5525IFTLS5</v>
          </cell>
          <cell r="B317" t="str">
            <v>5°5°</v>
          </cell>
          <cell r="C317">
            <v>552</v>
          </cell>
          <cell r="D317" t="str">
            <v>5IFTLS5</v>
          </cell>
          <cell r="E317">
            <v>2680578</v>
          </cell>
          <cell r="F317" t="str">
            <v>LAB DE SIST OPERATIVOS</v>
          </cell>
          <cell r="G317"/>
          <cell r="H317"/>
          <cell r="I317"/>
          <cell r="J317">
            <v>20280288641</v>
          </cell>
          <cell r="K317" t="str">
            <v>BERTOSSI MAXIMILIANO H</v>
          </cell>
          <cell r="L317" t="str">
            <v xml:space="preserve"> </v>
          </cell>
          <cell r="M317" t="str">
            <v xml:space="preserve"> </v>
          </cell>
          <cell r="N317" t="str">
            <v>PROVISIONAL</v>
          </cell>
          <cell r="O317" t="str">
            <v>BERTOSSI MAXIMILIANO H</v>
          </cell>
          <cell r="P317" t="str">
            <v xml:space="preserve"> </v>
          </cell>
        </row>
        <row r="318">
          <cell r="A318" t="str">
            <v>5°5°5525IFTLA5</v>
          </cell>
          <cell r="B318" t="str">
            <v>5°5°</v>
          </cell>
          <cell r="C318">
            <v>552</v>
          </cell>
          <cell r="D318" t="str">
            <v>5IFTLA5</v>
          </cell>
          <cell r="E318">
            <v>2680581</v>
          </cell>
          <cell r="F318" t="str">
            <v xml:space="preserve">LAB DE APLICACIONES </v>
          </cell>
          <cell r="G318"/>
          <cell r="H318"/>
          <cell r="I318"/>
          <cell r="J318">
            <v>29615231</v>
          </cell>
          <cell r="K318" t="str">
            <v xml:space="preserve">BARCENILLA, JAVIER </v>
          </cell>
          <cell r="L318" t="str">
            <v xml:space="preserve"> </v>
          </cell>
          <cell r="M318" t="str">
            <v xml:space="preserve"> </v>
          </cell>
          <cell r="N318" t="str">
            <v>PROVISIONAL</v>
          </cell>
          <cell r="O318" t="str">
            <v xml:space="preserve">BARCENILLA, JAVIER </v>
          </cell>
          <cell r="P318" t="str">
            <v xml:space="preserve"> </v>
          </cell>
        </row>
        <row r="319">
          <cell r="A319" t="str">
            <v>5°2°5ILITS</v>
          </cell>
          <cell r="B319" t="str">
            <v>5°2°</v>
          </cell>
          <cell r="C319"/>
          <cell r="D319" t="str">
            <v>5ILITS</v>
          </cell>
          <cell r="E319"/>
          <cell r="F319" t="str">
            <v>LITERATURA</v>
          </cell>
          <cell r="G319" t="str">
            <v xml:space="preserve"> 27-17.521.161-1 </v>
          </cell>
          <cell r="H319"/>
          <cell r="I319"/>
          <cell r="J319"/>
          <cell r="K319"/>
          <cell r="L319"/>
          <cell r="M319"/>
          <cell r="N319" t="str">
            <v>SUPLENTE</v>
          </cell>
          <cell r="O319">
            <v>0</v>
          </cell>
          <cell r="P319" t="str">
            <v xml:space="preserve"> </v>
          </cell>
        </row>
        <row r="320">
          <cell r="A320" t="str">
            <v>5°2°5IINGS</v>
          </cell>
          <cell r="B320" t="str">
            <v>5°2°</v>
          </cell>
          <cell r="C320"/>
          <cell r="D320" t="str">
            <v>5IINGS</v>
          </cell>
          <cell r="E320"/>
          <cell r="F320" t="str">
            <v>INGLÉS</v>
          </cell>
          <cell r="G320" t="str">
            <v>27-29.433.432-2</v>
          </cell>
          <cell r="H320"/>
          <cell r="I320"/>
          <cell r="J320"/>
          <cell r="K320"/>
          <cell r="L320"/>
          <cell r="M320"/>
          <cell r="N320" t="str">
            <v>SUPLENTE</v>
          </cell>
          <cell r="O320">
            <v>0</v>
          </cell>
          <cell r="P320" t="str">
            <v xml:space="preserve"> </v>
          </cell>
        </row>
        <row r="321">
          <cell r="A321" t="str">
            <v>5°2°5IEFIS</v>
          </cell>
          <cell r="B321" t="str">
            <v>5°2°</v>
          </cell>
          <cell r="C321"/>
          <cell r="D321" t="str">
            <v>5IEFIS</v>
          </cell>
          <cell r="E321"/>
          <cell r="F321" t="str">
            <v>EDUCACIÓN FISICA</v>
          </cell>
          <cell r="G321">
            <v>26024974</v>
          </cell>
          <cell r="H321"/>
          <cell r="I321"/>
          <cell r="J321"/>
          <cell r="K321"/>
          <cell r="L321"/>
          <cell r="M321"/>
          <cell r="N321" t="str">
            <v>SUPLENTE</v>
          </cell>
          <cell r="O321">
            <v>0</v>
          </cell>
          <cell r="P321" t="str">
            <v xml:space="preserve"> </v>
          </cell>
        </row>
        <row r="322">
          <cell r="A322" t="str">
            <v>5°2°5IPYCS</v>
          </cell>
          <cell r="B322" t="str">
            <v>5°2°</v>
          </cell>
          <cell r="C322"/>
          <cell r="D322" t="str">
            <v>5IPYCS</v>
          </cell>
          <cell r="E322"/>
          <cell r="F322" t="str">
            <v>POLITICA Y CIUDADANIA</v>
          </cell>
          <cell r="G322"/>
          <cell r="H322"/>
          <cell r="I322"/>
          <cell r="J322"/>
          <cell r="K322"/>
          <cell r="L322"/>
          <cell r="M322"/>
          <cell r="N322" t="str">
            <v>SUPLENTE</v>
          </cell>
          <cell r="O322">
            <v>0</v>
          </cell>
          <cell r="P322" t="str">
            <v xml:space="preserve"> </v>
          </cell>
        </row>
        <row r="323">
          <cell r="A323" t="str">
            <v>5°2°5IHIS5</v>
          </cell>
          <cell r="B323" t="str">
            <v>5°2°</v>
          </cell>
          <cell r="C323"/>
          <cell r="D323" t="str">
            <v>5IHIS5</v>
          </cell>
          <cell r="E323"/>
          <cell r="F323" t="str">
            <v>HISTORIA</v>
          </cell>
          <cell r="G323">
            <v>25142864</v>
          </cell>
          <cell r="H323"/>
          <cell r="I323"/>
          <cell r="J323"/>
          <cell r="K323"/>
          <cell r="L323"/>
          <cell r="M323"/>
          <cell r="N323" t="str">
            <v>SUPLENTE</v>
          </cell>
          <cell r="O323">
            <v>0</v>
          </cell>
          <cell r="P323" t="str">
            <v xml:space="preserve"> </v>
          </cell>
        </row>
        <row r="324">
          <cell r="A324" t="str">
            <v>5°2°5IGEOS5</v>
          </cell>
          <cell r="B324" t="str">
            <v>5°2°</v>
          </cell>
          <cell r="C324"/>
          <cell r="D324" t="str">
            <v>5IGEOS5</v>
          </cell>
          <cell r="E324"/>
          <cell r="F324" t="str">
            <v>GEOGRAFIA</v>
          </cell>
          <cell r="G324">
            <v>28029112</v>
          </cell>
          <cell r="H324"/>
          <cell r="I324"/>
          <cell r="J324"/>
          <cell r="K324"/>
          <cell r="L324"/>
          <cell r="M324"/>
          <cell r="N324" t="str">
            <v>SUPLENTE</v>
          </cell>
          <cell r="O324">
            <v>0</v>
          </cell>
          <cell r="P324" t="str">
            <v xml:space="preserve"> </v>
          </cell>
        </row>
        <row r="325">
          <cell r="A325" t="str">
            <v>5°2°5IANMAT</v>
          </cell>
          <cell r="B325" t="str">
            <v>5°2°</v>
          </cell>
          <cell r="C325"/>
          <cell r="D325" t="str">
            <v>5IANMAT</v>
          </cell>
          <cell r="E325"/>
          <cell r="F325" t="str">
            <v>ANALISIS MATEMATICO</v>
          </cell>
          <cell r="G325">
            <v>23944999</v>
          </cell>
          <cell r="H325"/>
          <cell r="I325"/>
          <cell r="J325"/>
          <cell r="K325"/>
          <cell r="L325"/>
          <cell r="M325"/>
          <cell r="N325" t="str">
            <v>SUPLENTE</v>
          </cell>
          <cell r="O325">
            <v>0</v>
          </cell>
          <cell r="P325" t="str">
            <v xml:space="preserve"> </v>
          </cell>
        </row>
        <row r="326">
          <cell r="A326" t="str">
            <v>5°2°5ISIDI4</v>
          </cell>
          <cell r="B326" t="str">
            <v>5°2°</v>
          </cell>
          <cell r="C326"/>
          <cell r="D326" t="str">
            <v>5ISIDI4</v>
          </cell>
          <cell r="E326"/>
          <cell r="F326" t="str">
            <v>SISTEMA DIGITAL</v>
          </cell>
          <cell r="G326">
            <v>28440300</v>
          </cell>
          <cell r="H326"/>
          <cell r="I326"/>
          <cell r="J326"/>
          <cell r="K326"/>
          <cell r="L326"/>
          <cell r="M326"/>
          <cell r="N326" t="str">
            <v>SUPLENTE</v>
          </cell>
          <cell r="O326">
            <v>0</v>
          </cell>
          <cell r="P326" t="str">
            <v xml:space="preserve"> </v>
          </cell>
        </row>
        <row r="327">
          <cell r="A327" t="str">
            <v>5°2°5ITELEI</v>
          </cell>
          <cell r="B327" t="str">
            <v>5°2°</v>
          </cell>
          <cell r="C327"/>
          <cell r="D327" t="str">
            <v>5ITELEI</v>
          </cell>
          <cell r="E327"/>
          <cell r="F327" t="str">
            <v>TELEINFORMATICA</v>
          </cell>
          <cell r="G327"/>
          <cell r="H327"/>
          <cell r="I327"/>
          <cell r="J327"/>
          <cell r="K327"/>
          <cell r="L327"/>
          <cell r="M327"/>
          <cell r="N327" t="str">
            <v>SUPLENTE</v>
          </cell>
          <cell r="O327">
            <v>0</v>
          </cell>
          <cell r="P327" t="str">
            <v xml:space="preserve"> </v>
          </cell>
        </row>
        <row r="328">
          <cell r="A328" t="str">
            <v>5°2°5215IFTLP5</v>
          </cell>
          <cell r="B328" t="str">
            <v>5°2°</v>
          </cell>
          <cell r="C328">
            <v>521</v>
          </cell>
          <cell r="D328" t="str">
            <v>5IFTLP5</v>
          </cell>
          <cell r="E328"/>
          <cell r="F328" t="str">
            <v xml:space="preserve">LAB DE PROGRAM </v>
          </cell>
          <cell r="G328" t="str">
            <v xml:space="preserve"> 27-14.685.999-8 </v>
          </cell>
          <cell r="H328"/>
          <cell r="I328"/>
          <cell r="J328"/>
          <cell r="K328"/>
          <cell r="L328"/>
          <cell r="M328"/>
          <cell r="N328" t="str">
            <v>SUPLENTE</v>
          </cell>
          <cell r="O328">
            <v>0</v>
          </cell>
          <cell r="P328" t="str">
            <v xml:space="preserve"> </v>
          </cell>
        </row>
        <row r="329">
          <cell r="A329" t="str">
            <v>5°2°5215IFTLH5</v>
          </cell>
          <cell r="B329" t="str">
            <v>5°2°</v>
          </cell>
          <cell r="C329">
            <v>521</v>
          </cell>
          <cell r="D329" t="str">
            <v>5IFTLH5</v>
          </cell>
          <cell r="E329"/>
          <cell r="F329" t="str">
            <v xml:space="preserve">LAB DE HARDWARE </v>
          </cell>
          <cell r="G329">
            <v>16238400</v>
          </cell>
          <cell r="H329"/>
          <cell r="I329"/>
          <cell r="J329"/>
          <cell r="K329"/>
          <cell r="L329"/>
          <cell r="M329"/>
          <cell r="N329" t="str">
            <v>SUPLENTE</v>
          </cell>
          <cell r="O329">
            <v>0</v>
          </cell>
          <cell r="P329" t="str">
            <v xml:space="preserve"> </v>
          </cell>
        </row>
        <row r="330">
          <cell r="A330" t="str">
            <v>5°2°5215IFTLS5</v>
          </cell>
          <cell r="B330" t="str">
            <v>5°2°</v>
          </cell>
          <cell r="C330">
            <v>521</v>
          </cell>
          <cell r="D330" t="str">
            <v>5IFTLS5</v>
          </cell>
          <cell r="E330"/>
          <cell r="F330" t="str">
            <v>LAB DE SIST OPERATIVOS</v>
          </cell>
          <cell r="G330">
            <v>16238400</v>
          </cell>
          <cell r="H330"/>
          <cell r="I330"/>
          <cell r="J330"/>
          <cell r="K330"/>
          <cell r="L330"/>
          <cell r="M330"/>
          <cell r="N330" t="str">
            <v>SUPLENTE</v>
          </cell>
          <cell r="O330">
            <v>0</v>
          </cell>
          <cell r="P330" t="str">
            <v xml:space="preserve"> </v>
          </cell>
        </row>
        <row r="331">
          <cell r="A331" t="str">
            <v>5°2°5215IFTLA5</v>
          </cell>
          <cell r="B331" t="str">
            <v>5°2°</v>
          </cell>
          <cell r="C331">
            <v>521</v>
          </cell>
          <cell r="D331" t="str">
            <v>5IFTLA5</v>
          </cell>
          <cell r="E331"/>
          <cell r="F331" t="str">
            <v xml:space="preserve">LAB DE APLICACIONES </v>
          </cell>
          <cell r="G331">
            <v>16019055</v>
          </cell>
          <cell r="H331"/>
          <cell r="I331"/>
          <cell r="J331"/>
          <cell r="K331"/>
          <cell r="L331"/>
          <cell r="M331"/>
          <cell r="N331" t="str">
            <v>SUPLENTE</v>
          </cell>
          <cell r="O331">
            <v>0</v>
          </cell>
          <cell r="P331" t="str">
            <v xml:space="preserve"> </v>
          </cell>
        </row>
        <row r="332">
          <cell r="A332" t="str">
            <v>5°2°5225IFTLP5</v>
          </cell>
          <cell r="B332" t="str">
            <v>5°2°</v>
          </cell>
          <cell r="C332">
            <v>522</v>
          </cell>
          <cell r="D332" t="str">
            <v>5IFTLP5</v>
          </cell>
          <cell r="E332"/>
          <cell r="F332" t="str">
            <v xml:space="preserve">LAB DE PROGRAM </v>
          </cell>
          <cell r="G332">
            <v>24294162</v>
          </cell>
          <cell r="H332"/>
          <cell r="I332"/>
          <cell r="J332"/>
          <cell r="K332"/>
          <cell r="L332"/>
          <cell r="M332"/>
          <cell r="N332" t="str">
            <v>SUPLENTE</v>
          </cell>
          <cell r="O332">
            <v>0</v>
          </cell>
          <cell r="P332" t="str">
            <v xml:space="preserve"> </v>
          </cell>
        </row>
        <row r="333">
          <cell r="A333" t="str">
            <v>5°2°5225IFTLH5</v>
          </cell>
          <cell r="B333" t="str">
            <v>5°2°</v>
          </cell>
          <cell r="C333">
            <v>522</v>
          </cell>
          <cell r="D333" t="str">
            <v>5IFTLH5</v>
          </cell>
          <cell r="E333"/>
          <cell r="F333" t="str">
            <v xml:space="preserve">LAB DE HARDWARE </v>
          </cell>
          <cell r="G333"/>
          <cell r="H333"/>
          <cell r="I333"/>
          <cell r="J333"/>
          <cell r="K333"/>
          <cell r="L333"/>
          <cell r="M333"/>
          <cell r="N333" t="str">
            <v>SUPLENTE</v>
          </cell>
          <cell r="O333">
            <v>0</v>
          </cell>
          <cell r="P333" t="str">
            <v xml:space="preserve"> </v>
          </cell>
        </row>
        <row r="334">
          <cell r="A334" t="str">
            <v>5°2°5225IFTLS5</v>
          </cell>
          <cell r="B334" t="str">
            <v>5°2°</v>
          </cell>
          <cell r="C334">
            <v>522</v>
          </cell>
          <cell r="D334" t="str">
            <v>5IFTLS5</v>
          </cell>
          <cell r="E334"/>
          <cell r="F334" t="str">
            <v>LAB DE SIST OPERATIVOS</v>
          </cell>
          <cell r="G334"/>
          <cell r="H334"/>
          <cell r="I334"/>
          <cell r="J334"/>
          <cell r="K334"/>
          <cell r="L334"/>
          <cell r="M334"/>
          <cell r="N334" t="str">
            <v>SUPLENTE</v>
          </cell>
          <cell r="O334">
            <v>0</v>
          </cell>
          <cell r="P334" t="str">
            <v xml:space="preserve"> </v>
          </cell>
        </row>
        <row r="335">
          <cell r="A335" t="str">
            <v>5°2°5225IFTLA5</v>
          </cell>
          <cell r="B335" t="str">
            <v>5°2°</v>
          </cell>
          <cell r="C335">
            <v>522</v>
          </cell>
          <cell r="D335" t="str">
            <v>5IFTLA5</v>
          </cell>
          <cell r="E335"/>
          <cell r="F335" t="str">
            <v xml:space="preserve">LAB DE APLICACIONES </v>
          </cell>
          <cell r="G335" t="str">
            <v xml:space="preserve"> 27-21.065.864-0</v>
          </cell>
          <cell r="H335"/>
          <cell r="I335"/>
          <cell r="J335"/>
          <cell r="K335"/>
          <cell r="L335"/>
          <cell r="M335"/>
          <cell r="N335" t="str">
            <v>SUPLENTE</v>
          </cell>
          <cell r="O335">
            <v>0</v>
          </cell>
          <cell r="P335" t="str">
            <v xml:space="preserve"> </v>
          </cell>
        </row>
        <row r="336">
          <cell r="A336" t="str">
            <v>5°3°5ELITS</v>
          </cell>
          <cell r="B336" t="str">
            <v>5°3°</v>
          </cell>
          <cell r="C336"/>
          <cell r="D336" t="str">
            <v>5ELITS</v>
          </cell>
          <cell r="E336">
            <v>2355520</v>
          </cell>
          <cell r="F336" t="str">
            <v>LITERATURA</v>
          </cell>
          <cell r="G336" t="str">
            <v xml:space="preserve"> 20-27312414-5</v>
          </cell>
          <cell r="H336" t="str">
            <v xml:space="preserve"> INT 2025</v>
          </cell>
          <cell r="I336" t="str">
            <v>SORIA, HERNAN MAXIMILIANO</v>
          </cell>
          <cell r="J336"/>
          <cell r="K336"/>
          <cell r="L336" t="str">
            <v xml:space="preserve"> </v>
          </cell>
          <cell r="M336" t="str">
            <v xml:space="preserve"> </v>
          </cell>
          <cell r="N336" t="str">
            <v>TITULAR</v>
          </cell>
          <cell r="O336" t="str">
            <v>SORIA, HERNAN MAXIMILIANO</v>
          </cell>
          <cell r="P336" t="str">
            <v xml:space="preserve"> </v>
          </cell>
        </row>
        <row r="337">
          <cell r="A337" t="str">
            <v>5°3°5EINGS</v>
          </cell>
          <cell r="B337" t="str">
            <v>5°3°</v>
          </cell>
          <cell r="C337"/>
          <cell r="D337" t="str">
            <v>5EINGS</v>
          </cell>
          <cell r="E337">
            <v>2355524</v>
          </cell>
          <cell r="F337" t="str">
            <v>INGLÉS</v>
          </cell>
          <cell r="G337">
            <v>26157162</v>
          </cell>
          <cell r="H337"/>
          <cell r="I337" t="str">
            <v>SARRIA, ANDREA</v>
          </cell>
          <cell r="J337"/>
          <cell r="K337"/>
          <cell r="L337">
            <v>27293688988</v>
          </cell>
          <cell r="M337" t="str">
            <v xml:space="preserve">BAIMA KUNTZ MARCELA PAOLA  </v>
          </cell>
          <cell r="N337" t="str">
            <v>SUPLENTE</v>
          </cell>
          <cell r="O337" t="str">
            <v xml:space="preserve">BAIMA KUNTZ MARCELA PAOLA  </v>
          </cell>
          <cell r="P337" t="str">
            <v xml:space="preserve"> </v>
          </cell>
        </row>
        <row r="338">
          <cell r="A338" t="str">
            <v>5°3°5EEFIS</v>
          </cell>
          <cell r="B338" t="str">
            <v>5°3°</v>
          </cell>
          <cell r="C338"/>
          <cell r="D338" t="str">
            <v>5EEFIS</v>
          </cell>
          <cell r="E338">
            <v>2355527</v>
          </cell>
          <cell r="F338" t="str">
            <v>EDUCACIÓN FISICA</v>
          </cell>
          <cell r="G338">
            <v>20422900</v>
          </cell>
          <cell r="H338" t="str">
            <v xml:space="preserve"> (viene de 4º8º)</v>
          </cell>
          <cell r="I338" t="str">
            <v>SANCHEZ CARLOS</v>
          </cell>
          <cell r="J338"/>
          <cell r="K338"/>
          <cell r="L338" t="str">
            <v xml:space="preserve"> </v>
          </cell>
          <cell r="M338" t="str">
            <v xml:space="preserve"> </v>
          </cell>
          <cell r="N338" t="str">
            <v>TITULAR</v>
          </cell>
          <cell r="O338" t="str">
            <v>SANCHEZ CARLOS</v>
          </cell>
          <cell r="P338" t="str">
            <v xml:space="preserve"> </v>
          </cell>
        </row>
        <row r="339">
          <cell r="A339" t="str">
            <v>5°3°5EPYCS</v>
          </cell>
          <cell r="B339" t="str">
            <v>5°3°</v>
          </cell>
          <cell r="C339"/>
          <cell r="D339" t="str">
            <v>5EPYCS</v>
          </cell>
          <cell r="E339">
            <v>2355532</v>
          </cell>
          <cell r="F339" t="str">
            <v>POLITICA Y CIUDADANIA</v>
          </cell>
          <cell r="G339"/>
          <cell r="H339"/>
          <cell r="I339"/>
          <cell r="J339">
            <v>20251428647</v>
          </cell>
          <cell r="K339" t="str">
            <v xml:space="preserve">PALACIOS GUSTAVO </v>
          </cell>
          <cell r="L339" t="str">
            <v xml:space="preserve"> </v>
          </cell>
          <cell r="M339" t="str">
            <v xml:space="preserve"> </v>
          </cell>
          <cell r="N339" t="str">
            <v>PROVISIONAL</v>
          </cell>
          <cell r="O339" t="str">
            <v xml:space="preserve">PALACIOS GUSTAVO </v>
          </cell>
          <cell r="P339" t="str">
            <v xml:space="preserve"> </v>
          </cell>
        </row>
        <row r="340">
          <cell r="A340" t="str">
            <v>5°3°5EHIS5</v>
          </cell>
          <cell r="B340" t="str">
            <v>5°3°</v>
          </cell>
          <cell r="C340"/>
          <cell r="D340" t="str">
            <v>5EHIS5</v>
          </cell>
          <cell r="E340">
            <v>2355535</v>
          </cell>
          <cell r="F340" t="str">
            <v>HISTORIA</v>
          </cell>
          <cell r="G340"/>
          <cell r="H340" t="str">
            <v>(viene de 4º8º)</v>
          </cell>
          <cell r="I340" t="str">
            <v>JUAREZ NORMA</v>
          </cell>
          <cell r="J340"/>
          <cell r="K340"/>
          <cell r="L340" t="str">
            <v xml:space="preserve"> </v>
          </cell>
          <cell r="M340" t="str">
            <v xml:space="preserve"> </v>
          </cell>
          <cell r="N340" t="str">
            <v>TITULAR</v>
          </cell>
          <cell r="O340" t="str">
            <v>JUAREZ NORMA</v>
          </cell>
          <cell r="P340" t="str">
            <v xml:space="preserve"> </v>
          </cell>
        </row>
        <row r="341">
          <cell r="A341" t="str">
            <v>5°3°5EGEOS5</v>
          </cell>
          <cell r="B341" t="str">
            <v>5°3°</v>
          </cell>
          <cell r="C341"/>
          <cell r="D341" t="str">
            <v>5EGEOS5</v>
          </cell>
          <cell r="E341">
            <v>2355540</v>
          </cell>
          <cell r="F341" t="str">
            <v>GEOGRAFIA</v>
          </cell>
          <cell r="G341" t="str">
            <v>27-29.146.146-3</v>
          </cell>
          <cell r="H341" t="str">
            <v>(viene de 4º8º)</v>
          </cell>
          <cell r="I341" t="str">
            <v>SOLIS, MARIA</v>
          </cell>
          <cell r="J341"/>
          <cell r="K341"/>
          <cell r="L341">
            <v>20274525917</v>
          </cell>
          <cell r="M341" t="str">
            <v xml:space="preserve"> DIAZ MARCOS</v>
          </cell>
          <cell r="N341" t="str">
            <v>SUPLENTE</v>
          </cell>
          <cell r="O341" t="str">
            <v xml:space="preserve"> DIAZ MARCOS</v>
          </cell>
          <cell r="P341" t="str">
            <v xml:space="preserve"> </v>
          </cell>
        </row>
        <row r="342">
          <cell r="A342" t="str">
            <v>5°3°5EANMAT</v>
          </cell>
          <cell r="B342" t="str">
            <v>5°3°</v>
          </cell>
          <cell r="C342"/>
          <cell r="D342" t="str">
            <v>5EANMAT</v>
          </cell>
          <cell r="E342">
            <v>2355542</v>
          </cell>
          <cell r="F342" t="str">
            <v>ANALISIS MATEMATICO</v>
          </cell>
          <cell r="G342"/>
          <cell r="H342"/>
          <cell r="I342"/>
          <cell r="J342">
            <v>31133967</v>
          </cell>
          <cell r="K342" t="str">
            <v>MAZU LEILA</v>
          </cell>
          <cell r="L342" t="str">
            <v xml:space="preserve"> </v>
          </cell>
          <cell r="M342" t="str">
            <v xml:space="preserve"> </v>
          </cell>
          <cell r="N342" t="str">
            <v>PROVISIONAL</v>
          </cell>
          <cell r="O342" t="str">
            <v>MAZU LEILA</v>
          </cell>
          <cell r="P342" t="str">
            <v xml:space="preserve"> </v>
          </cell>
        </row>
        <row r="343">
          <cell r="A343" t="str">
            <v>5°3°5EAMC</v>
          </cell>
          <cell r="B343" t="str">
            <v>5°3°</v>
          </cell>
          <cell r="C343"/>
          <cell r="D343" t="str">
            <v>5EAMC</v>
          </cell>
          <cell r="E343">
            <v>2355546</v>
          </cell>
          <cell r="F343" t="str">
            <v>ANALISIS DE LOS MODELOS CIRCUITALES</v>
          </cell>
          <cell r="G343"/>
          <cell r="H343"/>
          <cell r="I343"/>
          <cell r="J343">
            <v>34250266</v>
          </cell>
          <cell r="K343" t="str">
            <v xml:space="preserve">ATAMAÑUK, FLORENCIA </v>
          </cell>
          <cell r="L343" t="str">
            <v xml:space="preserve"> </v>
          </cell>
          <cell r="M343" t="str">
            <v xml:space="preserve"> </v>
          </cell>
          <cell r="N343" t="str">
            <v>PROVISIONAL</v>
          </cell>
          <cell r="O343" t="str">
            <v xml:space="preserve">ATAMAÑUK, FLORENCIA </v>
          </cell>
          <cell r="P343" t="str">
            <v xml:space="preserve"> </v>
          </cell>
        </row>
        <row r="344">
          <cell r="A344" t="str">
            <v>5°3°5ELENE</v>
          </cell>
          <cell r="B344" t="str">
            <v>5°3°</v>
          </cell>
          <cell r="C344"/>
          <cell r="D344" t="str">
            <v>5ELENE</v>
          </cell>
          <cell r="E344">
            <v>2355548</v>
          </cell>
          <cell r="F344" t="str">
            <v>LENGUAJES ELECTRONICOS</v>
          </cell>
          <cell r="G344"/>
          <cell r="H344"/>
          <cell r="I344"/>
          <cell r="J344">
            <v>32470352</v>
          </cell>
          <cell r="K344" t="str">
            <v>BARBOZA, SILVIO</v>
          </cell>
          <cell r="L344" t="str">
            <v xml:space="preserve"> </v>
          </cell>
          <cell r="M344" t="str">
            <v xml:space="preserve"> </v>
          </cell>
          <cell r="N344" t="str">
            <v>PROVISIONAL</v>
          </cell>
          <cell r="O344" t="str">
            <v>BARBOZA, SILVIO</v>
          </cell>
          <cell r="P344" t="str">
            <v xml:space="preserve"> </v>
          </cell>
        </row>
        <row r="345">
          <cell r="A345" t="str">
            <v>5°3°5315EDASE</v>
          </cell>
          <cell r="B345" t="str">
            <v>5°3°</v>
          </cell>
          <cell r="C345">
            <v>531</v>
          </cell>
          <cell r="D345" t="str">
            <v>5EDASE</v>
          </cell>
          <cell r="E345">
            <v>2355556</v>
          </cell>
          <cell r="F345" t="str">
            <v xml:space="preserve">DISEÑO ASIST Y SIMUL ELECT </v>
          </cell>
          <cell r="G345"/>
          <cell r="H345"/>
          <cell r="I345"/>
          <cell r="J345" t="str">
            <v>20-25.454.930-5</v>
          </cell>
          <cell r="K345" t="str">
            <v>CORDOBA ALEJANDRO</v>
          </cell>
          <cell r="L345">
            <v>0</v>
          </cell>
          <cell r="M345" t="str">
            <v>GUTIERREZ NICOLAS</v>
          </cell>
          <cell r="N345" t="str">
            <v>SUPLENTE</v>
          </cell>
          <cell r="O345" t="str">
            <v>GUTIERREZ NICOLAS</v>
          </cell>
          <cell r="P345" t="str">
            <v xml:space="preserve"> </v>
          </cell>
        </row>
        <row r="346">
          <cell r="A346" t="str">
            <v>5°3°5315EFTAE5</v>
          </cell>
          <cell r="B346" t="str">
            <v>5°3°</v>
          </cell>
          <cell r="C346">
            <v>531</v>
          </cell>
          <cell r="D346" t="str">
            <v>5EFTAE5</v>
          </cell>
          <cell r="E346">
            <v>2355560</v>
          </cell>
          <cell r="F346" t="str">
            <v xml:space="preserve">APLIC ELECT ANALOG </v>
          </cell>
          <cell r="G346"/>
          <cell r="H346"/>
          <cell r="I346"/>
          <cell r="J346">
            <v>18383726</v>
          </cell>
          <cell r="K346" t="str">
            <v>MARTINEZ, SILVIO</v>
          </cell>
          <cell r="L346" t="str">
            <v xml:space="preserve"> </v>
          </cell>
          <cell r="M346" t="str">
            <v xml:space="preserve"> </v>
          </cell>
          <cell r="N346" t="str">
            <v>PROVISIONAL</v>
          </cell>
          <cell r="O346" t="str">
            <v>MARTINEZ, SILVIO</v>
          </cell>
          <cell r="P346" t="str">
            <v xml:space="preserve"> </v>
          </cell>
        </row>
        <row r="347">
          <cell r="A347" t="str">
            <v>5°3°5315EFTED5</v>
          </cell>
          <cell r="B347" t="str">
            <v>5°3°</v>
          </cell>
          <cell r="C347">
            <v>531</v>
          </cell>
          <cell r="D347" t="str">
            <v>5EFTED5</v>
          </cell>
          <cell r="E347">
            <v>2355564</v>
          </cell>
          <cell r="F347" t="str">
            <v>APLIC ELECTR DIGITAL</v>
          </cell>
          <cell r="G347"/>
          <cell r="H347"/>
          <cell r="I347"/>
          <cell r="J347">
            <v>23086757</v>
          </cell>
          <cell r="K347" t="str">
            <v>SERENO, LEONEL</v>
          </cell>
          <cell r="L347" t="str">
            <v xml:space="preserve"> </v>
          </cell>
          <cell r="M347" t="str">
            <v xml:space="preserve"> </v>
          </cell>
          <cell r="N347" t="str">
            <v>PROVISIONAL</v>
          </cell>
          <cell r="O347" t="str">
            <v>SERENO, LEONEL</v>
          </cell>
          <cell r="P347" t="str">
            <v xml:space="preserve"> </v>
          </cell>
        </row>
        <row r="348">
          <cell r="A348" t="str">
            <v>5°3°5315EFTMP5</v>
          </cell>
          <cell r="B348" t="str">
            <v>5°3°</v>
          </cell>
          <cell r="C348">
            <v>531</v>
          </cell>
          <cell r="D348" t="str">
            <v>5EFTMP5</v>
          </cell>
          <cell r="E348">
            <v>2355566</v>
          </cell>
          <cell r="F348" t="str">
            <v xml:space="preserve">MONTAJE DE PROYECTO ELECTRONICOS </v>
          </cell>
          <cell r="G348"/>
          <cell r="H348"/>
          <cell r="I348"/>
          <cell r="J348" t="str">
            <v>20-25.454.930-5</v>
          </cell>
          <cell r="K348" t="str">
            <v>CORDOBA ALEJANDRO</v>
          </cell>
          <cell r="L348">
            <v>0</v>
          </cell>
          <cell r="M348" t="str">
            <v>SCHROEDER MATÍAS</v>
          </cell>
          <cell r="N348" t="str">
            <v>SUPLENTE</v>
          </cell>
          <cell r="O348" t="str">
            <v>SCHROEDER MATÍAS</v>
          </cell>
          <cell r="P348" t="str">
            <v xml:space="preserve"> </v>
          </cell>
        </row>
        <row r="349">
          <cell r="A349" t="str">
            <v>5°3°5325EDASE</v>
          </cell>
          <cell r="B349" t="str">
            <v>5°3°</v>
          </cell>
          <cell r="C349">
            <v>532</v>
          </cell>
          <cell r="D349" t="str">
            <v>5EDASE</v>
          </cell>
          <cell r="E349">
            <v>2355568</v>
          </cell>
          <cell r="F349" t="str">
            <v xml:space="preserve">DISEÑO ASIST Y SIMUL ELECT </v>
          </cell>
          <cell r="G349"/>
          <cell r="H349"/>
          <cell r="I349"/>
          <cell r="J349"/>
          <cell r="K349" t="str">
            <v>ESCALADA ARNALDO</v>
          </cell>
          <cell r="L349" t="str">
            <v xml:space="preserve"> </v>
          </cell>
          <cell r="M349" t="str">
            <v xml:space="preserve"> </v>
          </cell>
          <cell r="N349" t="str">
            <v>PROVISIONAL</v>
          </cell>
          <cell r="O349" t="str">
            <v>ESCALADA ARNALDO</v>
          </cell>
          <cell r="P349" t="str">
            <v xml:space="preserve"> </v>
          </cell>
        </row>
        <row r="350">
          <cell r="A350" t="str">
            <v>5°3°5325EFTAE5</v>
          </cell>
          <cell r="B350" t="str">
            <v>5°3°</v>
          </cell>
          <cell r="C350">
            <v>532</v>
          </cell>
          <cell r="D350" t="str">
            <v>5EFTAE5</v>
          </cell>
          <cell r="E350">
            <v>2355569</v>
          </cell>
          <cell r="F350" t="str">
            <v xml:space="preserve">APLIC ELECT ANALOG </v>
          </cell>
          <cell r="G350"/>
          <cell r="H350"/>
          <cell r="I350"/>
          <cell r="J350" t="str">
            <v>20-28.186.910-9</v>
          </cell>
          <cell r="K350" t="str">
            <v xml:space="preserve">ESCALADA ARNALDO     </v>
          </cell>
          <cell r="L350" t="str">
            <v xml:space="preserve"> </v>
          </cell>
          <cell r="M350" t="str">
            <v xml:space="preserve"> </v>
          </cell>
          <cell r="N350" t="str">
            <v>PROVISIONAL</v>
          </cell>
          <cell r="O350" t="str">
            <v xml:space="preserve">ESCALADA ARNALDO     </v>
          </cell>
          <cell r="P350" t="str">
            <v xml:space="preserve"> </v>
          </cell>
        </row>
        <row r="351">
          <cell r="A351" t="str">
            <v>5°3°5325EFTED5</v>
          </cell>
          <cell r="B351" t="str">
            <v>5°3°</v>
          </cell>
          <cell r="C351">
            <v>532</v>
          </cell>
          <cell r="D351" t="str">
            <v>5EFTED5</v>
          </cell>
          <cell r="E351">
            <v>2355572</v>
          </cell>
          <cell r="F351" t="str">
            <v>APLIC ELECTR DIGITAL</v>
          </cell>
          <cell r="G351"/>
          <cell r="H351"/>
          <cell r="I351"/>
          <cell r="J351">
            <v>16220206</v>
          </cell>
          <cell r="K351" t="str">
            <v xml:space="preserve">FISTER VICTOR </v>
          </cell>
          <cell r="L351" t="str">
            <v xml:space="preserve"> </v>
          </cell>
          <cell r="M351" t="str">
            <v xml:space="preserve"> </v>
          </cell>
          <cell r="N351" t="str">
            <v>PROVISIONAL</v>
          </cell>
          <cell r="O351" t="str">
            <v xml:space="preserve">FISTER VICTOR </v>
          </cell>
          <cell r="P351" t="str">
            <v xml:space="preserve"> </v>
          </cell>
        </row>
        <row r="352">
          <cell r="A352" t="str">
            <v>5°3°5325EFTMP5</v>
          </cell>
          <cell r="B352" t="str">
            <v>5°3°</v>
          </cell>
          <cell r="C352">
            <v>532</v>
          </cell>
          <cell r="D352" t="str">
            <v>5EFTMP5</v>
          </cell>
          <cell r="E352">
            <v>2355579</v>
          </cell>
          <cell r="F352" t="str">
            <v xml:space="preserve">MONTAJE DE PROYECTO ELECTRONICOS </v>
          </cell>
          <cell r="G352"/>
          <cell r="H352"/>
          <cell r="I352"/>
          <cell r="J352">
            <v>23086757</v>
          </cell>
          <cell r="K352" t="str">
            <v>SERENO, LEONEL</v>
          </cell>
          <cell r="L352" t="str">
            <v xml:space="preserve"> </v>
          </cell>
          <cell r="M352" t="str">
            <v xml:space="preserve"> </v>
          </cell>
          <cell r="N352" t="str">
            <v>PROVISIONAL</v>
          </cell>
          <cell r="O352" t="str">
            <v>SERENO, LEONEL</v>
          </cell>
          <cell r="P352" t="str">
            <v xml:space="preserve"> </v>
          </cell>
        </row>
        <row r="353">
          <cell r="A353" t="str">
            <v>5°4°5ELITS</v>
          </cell>
          <cell r="B353" t="str">
            <v>5°4°</v>
          </cell>
          <cell r="C353"/>
          <cell r="D353" t="str">
            <v>5ELITS</v>
          </cell>
          <cell r="E353">
            <v>2680751</v>
          </cell>
          <cell r="F353" t="str">
            <v>LITERATURA</v>
          </cell>
          <cell r="G353" t="str">
            <v xml:space="preserve"> 27-34849943-8  INT</v>
          </cell>
          <cell r="H353"/>
          <cell r="I353" t="str">
            <v>ALONSO, MARIA</v>
          </cell>
          <cell r="J353"/>
          <cell r="K353"/>
          <cell r="L353" t="str">
            <v xml:space="preserve"> </v>
          </cell>
          <cell r="M353" t="str">
            <v xml:space="preserve"> </v>
          </cell>
          <cell r="N353" t="str">
            <v>TITULAR</v>
          </cell>
          <cell r="O353" t="str">
            <v>ALONSO, MARIA</v>
          </cell>
          <cell r="P353" t="str">
            <v xml:space="preserve"> </v>
          </cell>
        </row>
        <row r="354">
          <cell r="A354" t="str">
            <v>5°4°5EINGS</v>
          </cell>
          <cell r="B354" t="str">
            <v>5°4°</v>
          </cell>
          <cell r="C354"/>
          <cell r="D354" t="str">
            <v>5EINGS</v>
          </cell>
          <cell r="E354">
            <v>2680752</v>
          </cell>
          <cell r="F354" t="str">
            <v>INGLÉS</v>
          </cell>
          <cell r="G354" t="str">
            <v>27-29.433.432-2</v>
          </cell>
          <cell r="H354"/>
          <cell r="I354" t="str">
            <v xml:space="preserve">ARCE KARINA </v>
          </cell>
          <cell r="J354"/>
          <cell r="K354"/>
          <cell r="L354" t="str">
            <v xml:space="preserve"> </v>
          </cell>
          <cell r="M354" t="str">
            <v xml:space="preserve"> </v>
          </cell>
          <cell r="N354" t="str">
            <v>TITULAR</v>
          </cell>
          <cell r="O354" t="str">
            <v xml:space="preserve">ARCE KARINA </v>
          </cell>
          <cell r="P354" t="str">
            <v xml:space="preserve"> </v>
          </cell>
        </row>
        <row r="355">
          <cell r="A355" t="str">
            <v>5°4°5EEFIS</v>
          </cell>
          <cell r="B355" t="str">
            <v>5°4°</v>
          </cell>
          <cell r="C355"/>
          <cell r="D355" t="str">
            <v>5EEFIS</v>
          </cell>
          <cell r="E355">
            <v>2680754</v>
          </cell>
          <cell r="F355" t="str">
            <v>EDUCACIÓN FISICA</v>
          </cell>
          <cell r="G355">
            <v>20859388</v>
          </cell>
          <cell r="H355"/>
          <cell r="I355" t="str">
            <v>FERNANDEZ MARCELO</v>
          </cell>
          <cell r="J355"/>
          <cell r="K355"/>
          <cell r="L355" t="str">
            <v xml:space="preserve"> </v>
          </cell>
          <cell r="M355" t="str">
            <v xml:space="preserve"> </v>
          </cell>
          <cell r="N355" t="str">
            <v>TITULAR</v>
          </cell>
          <cell r="O355" t="str">
            <v>FERNANDEZ MARCELO</v>
          </cell>
          <cell r="P355" t="str">
            <v xml:space="preserve"> </v>
          </cell>
        </row>
        <row r="356">
          <cell r="A356" t="str">
            <v>5°4°5EPYCS</v>
          </cell>
          <cell r="B356" t="str">
            <v>5°4°</v>
          </cell>
          <cell r="C356"/>
          <cell r="D356" t="str">
            <v>5EPYCS</v>
          </cell>
          <cell r="E356">
            <v>2680756</v>
          </cell>
          <cell r="F356" t="str">
            <v>POLITICA Y CIUDADANIA</v>
          </cell>
          <cell r="G356" t="str">
            <v>27-26107937-8</v>
          </cell>
          <cell r="H356" t="str">
            <v xml:space="preserve"> (INT. 2020)</v>
          </cell>
          <cell r="I356" t="str">
            <v xml:space="preserve">GAUTO, ALICIA </v>
          </cell>
          <cell r="J356"/>
          <cell r="K356"/>
          <cell r="L356" t="str">
            <v xml:space="preserve"> </v>
          </cell>
          <cell r="M356" t="str">
            <v xml:space="preserve"> </v>
          </cell>
          <cell r="N356" t="str">
            <v>TITULAR</v>
          </cell>
          <cell r="O356" t="str">
            <v xml:space="preserve">GAUTO, ALICIA </v>
          </cell>
          <cell r="P356" t="str">
            <v xml:space="preserve"> </v>
          </cell>
        </row>
        <row r="357">
          <cell r="A357" t="str">
            <v>5°4°5EHIS5</v>
          </cell>
          <cell r="B357" t="str">
            <v>5°4°</v>
          </cell>
          <cell r="C357"/>
          <cell r="D357" t="str">
            <v>5EHIS5</v>
          </cell>
          <cell r="E357">
            <v>2680758</v>
          </cell>
          <cell r="F357" t="str">
            <v>HISTORIA</v>
          </cell>
          <cell r="G357" t="str">
            <v>20-18.284.913-9</v>
          </cell>
          <cell r="H357"/>
          <cell r="I357" t="str">
            <v xml:space="preserve">TORRES LUIS                    </v>
          </cell>
          <cell r="J357"/>
          <cell r="K357"/>
          <cell r="L357" t="str">
            <v xml:space="preserve"> </v>
          </cell>
          <cell r="M357" t="str">
            <v xml:space="preserve"> </v>
          </cell>
          <cell r="N357" t="str">
            <v>TITULAR</v>
          </cell>
          <cell r="O357" t="str">
            <v xml:space="preserve">TORRES LUIS                    </v>
          </cell>
          <cell r="P357" t="str">
            <v xml:space="preserve"> </v>
          </cell>
        </row>
        <row r="358">
          <cell r="A358" t="str">
            <v>5°4°5EGEOS5</v>
          </cell>
          <cell r="B358" t="str">
            <v>5°4°</v>
          </cell>
          <cell r="C358"/>
          <cell r="D358" t="str">
            <v>5EGEOS5</v>
          </cell>
          <cell r="E358">
            <v>2680760</v>
          </cell>
          <cell r="F358" t="str">
            <v>GEOGRAFIA</v>
          </cell>
          <cell r="G358">
            <v>28029112</v>
          </cell>
          <cell r="H358"/>
          <cell r="I358" t="str">
            <v xml:space="preserve">SPERONI, ADRIAN </v>
          </cell>
          <cell r="J358"/>
          <cell r="K358"/>
          <cell r="L358" t="str">
            <v xml:space="preserve"> </v>
          </cell>
          <cell r="M358" t="str">
            <v xml:space="preserve"> </v>
          </cell>
          <cell r="N358" t="str">
            <v>TITULAR</v>
          </cell>
          <cell r="O358" t="str">
            <v xml:space="preserve">SPERONI, ADRIAN </v>
          </cell>
          <cell r="P358" t="str">
            <v xml:space="preserve"> </v>
          </cell>
        </row>
        <row r="359">
          <cell r="A359" t="str">
            <v>5°4°5EANMAT</v>
          </cell>
          <cell r="B359" t="str">
            <v>5°4°</v>
          </cell>
          <cell r="C359"/>
          <cell r="D359" t="str">
            <v>5EANMAT</v>
          </cell>
          <cell r="E359">
            <v>2680761</v>
          </cell>
          <cell r="F359" t="str">
            <v>ANALISIS MATEMATICO</v>
          </cell>
          <cell r="G359"/>
          <cell r="H359"/>
          <cell r="I359"/>
          <cell r="J359"/>
          <cell r="K359" t="str">
            <v xml:space="preserve"> KEMPER, NATALIA</v>
          </cell>
          <cell r="L359" t="str">
            <v xml:space="preserve"> </v>
          </cell>
          <cell r="M359" t="str">
            <v xml:space="preserve"> </v>
          </cell>
          <cell r="N359" t="str">
            <v>PROVISIONAL</v>
          </cell>
          <cell r="O359" t="str">
            <v xml:space="preserve"> KEMPER, NATALIA</v>
          </cell>
          <cell r="P359" t="str">
            <v xml:space="preserve"> </v>
          </cell>
        </row>
        <row r="360">
          <cell r="A360" t="str">
            <v>5°4°5EAMC</v>
          </cell>
          <cell r="B360" t="str">
            <v>5°4°</v>
          </cell>
          <cell r="C360"/>
          <cell r="D360" t="str">
            <v>5EAMC</v>
          </cell>
          <cell r="E360">
            <v>2680762</v>
          </cell>
          <cell r="F360" t="str">
            <v>ANALISIS DE LOS MODELOS CIRCUITALES</v>
          </cell>
          <cell r="G360">
            <v>25454930</v>
          </cell>
          <cell r="H360"/>
          <cell r="I360" t="str">
            <v xml:space="preserve">CORDOBA ALEJANDRO </v>
          </cell>
          <cell r="J360"/>
          <cell r="K360"/>
          <cell r="L360" t="str">
            <v>..</v>
          </cell>
          <cell r="M360" t="str">
            <v>GUTIERREZ NICOLAS</v>
          </cell>
          <cell r="N360" t="str">
            <v>SUPLENTE</v>
          </cell>
          <cell r="O360" t="str">
            <v>GUTIERREZ NICOLAS</v>
          </cell>
          <cell r="P360" t="str">
            <v xml:space="preserve"> </v>
          </cell>
        </row>
        <row r="361">
          <cell r="A361" t="str">
            <v>5°4°5ELENE</v>
          </cell>
          <cell r="B361" t="str">
            <v>5°4°</v>
          </cell>
          <cell r="C361"/>
          <cell r="D361" t="str">
            <v>5ELENE</v>
          </cell>
          <cell r="E361">
            <v>2680764</v>
          </cell>
          <cell r="F361" t="str">
            <v>LENGUAJES ELECTRONICOS</v>
          </cell>
          <cell r="G361">
            <v>28440300</v>
          </cell>
          <cell r="H361"/>
          <cell r="I361" t="str">
            <v>CARDINALE GERMAN</v>
          </cell>
          <cell r="J361"/>
          <cell r="K361"/>
          <cell r="L361">
            <v>29671223</v>
          </cell>
          <cell r="M361" t="str">
            <v>PROCHOR JUAN</v>
          </cell>
          <cell r="N361" t="str">
            <v>SUPLENTE</v>
          </cell>
          <cell r="O361" t="str">
            <v>PROCHOR JUAN</v>
          </cell>
          <cell r="P361" t="str">
            <v xml:space="preserve"> </v>
          </cell>
        </row>
        <row r="362">
          <cell r="A362" t="str">
            <v>5°4°5415EDASE</v>
          </cell>
          <cell r="B362" t="str">
            <v>5°4°</v>
          </cell>
          <cell r="C362">
            <v>541</v>
          </cell>
          <cell r="D362" t="str">
            <v>5EDASE</v>
          </cell>
          <cell r="E362">
            <v>2680765</v>
          </cell>
          <cell r="F362" t="str">
            <v xml:space="preserve">DISEÑO ASIST Y SIMUL ELECT </v>
          </cell>
          <cell r="G362">
            <v>28440300</v>
          </cell>
          <cell r="H362"/>
          <cell r="I362" t="str">
            <v xml:space="preserve">CARDINALE GERMAN </v>
          </cell>
          <cell r="J362"/>
          <cell r="K362"/>
          <cell r="L362">
            <v>23086757</v>
          </cell>
          <cell r="M362" t="str">
            <v>GAUNA FEDERICO</v>
          </cell>
          <cell r="N362" t="str">
            <v>SUPLENTE</v>
          </cell>
          <cell r="O362" t="str">
            <v>GAUNA FEDERICO</v>
          </cell>
          <cell r="P362" t="str">
            <v xml:space="preserve"> </v>
          </cell>
        </row>
        <row r="363">
          <cell r="A363" t="str">
            <v>5°4°5415EFTAE5</v>
          </cell>
          <cell r="B363" t="str">
            <v>5°4°</v>
          </cell>
          <cell r="C363">
            <v>541</v>
          </cell>
          <cell r="D363" t="str">
            <v>5EFTAE5</v>
          </cell>
          <cell r="E363">
            <v>2680766</v>
          </cell>
          <cell r="F363" t="str">
            <v xml:space="preserve">APLIC ELECT ANALOG </v>
          </cell>
          <cell r="G363">
            <v>26500191</v>
          </cell>
          <cell r="H363" t="str">
            <v xml:space="preserve"> (MASIVA)</v>
          </cell>
          <cell r="I363" t="str">
            <v xml:space="preserve">GOMEZ NANCY </v>
          </cell>
          <cell r="J363"/>
          <cell r="K363"/>
          <cell r="L363">
            <v>0</v>
          </cell>
          <cell r="M363" t="str">
            <v>BARONI ROBERTO</v>
          </cell>
          <cell r="N363" t="str">
            <v>SUPLENTE</v>
          </cell>
          <cell r="O363" t="str">
            <v>BARONI ROBERTO</v>
          </cell>
          <cell r="P363" t="str">
            <v xml:space="preserve"> </v>
          </cell>
        </row>
        <row r="364">
          <cell r="A364" t="str">
            <v>5°4°5415EFTED5</v>
          </cell>
          <cell r="B364" t="str">
            <v>5°4°</v>
          </cell>
          <cell r="C364">
            <v>541</v>
          </cell>
          <cell r="D364" t="str">
            <v>5EFTED5</v>
          </cell>
          <cell r="E364">
            <v>2680767</v>
          </cell>
          <cell r="F364" t="str">
            <v>APLIC ELECTR DIGITAL</v>
          </cell>
          <cell r="G364">
            <v>26500191</v>
          </cell>
          <cell r="H364" t="str">
            <v xml:space="preserve"> (MASIVA)</v>
          </cell>
          <cell r="I364" t="str">
            <v>GOMEZ NANCY</v>
          </cell>
          <cell r="J364"/>
          <cell r="K364"/>
          <cell r="L364">
            <v>18383726</v>
          </cell>
          <cell r="M364" t="str">
            <v xml:space="preserve">MARTINEZ, SILVIO </v>
          </cell>
          <cell r="N364" t="str">
            <v>SUPLENTE</v>
          </cell>
          <cell r="O364" t="str">
            <v xml:space="preserve">MARTINEZ, SILVIO </v>
          </cell>
          <cell r="P364" t="str">
            <v xml:space="preserve"> </v>
          </cell>
        </row>
        <row r="365">
          <cell r="A365" t="str">
            <v>5°4°5415EFTMP5</v>
          </cell>
          <cell r="B365" t="str">
            <v>5°4°</v>
          </cell>
          <cell r="C365">
            <v>541</v>
          </cell>
          <cell r="D365" t="str">
            <v>5EFTMP5</v>
          </cell>
          <cell r="E365">
            <v>2680769</v>
          </cell>
          <cell r="F365" t="str">
            <v xml:space="preserve">MONTAJE DE PROYECTO ELECTRONICOS </v>
          </cell>
          <cell r="G365">
            <v>26024164</v>
          </cell>
          <cell r="H365" t="str">
            <v xml:space="preserve"> (4 MOD)</v>
          </cell>
          <cell r="I365" t="str">
            <v xml:space="preserve">SAUCEDO GUSTAVO </v>
          </cell>
          <cell r="J365"/>
          <cell r="K365"/>
          <cell r="L365" t="str">
            <v xml:space="preserve"> </v>
          </cell>
          <cell r="M365" t="str">
            <v xml:space="preserve"> </v>
          </cell>
          <cell r="N365" t="str">
            <v>TITULAR</v>
          </cell>
          <cell r="O365" t="str">
            <v xml:space="preserve">SAUCEDO GUSTAVO </v>
          </cell>
          <cell r="P365" t="str">
            <v xml:space="preserve"> </v>
          </cell>
        </row>
        <row r="366">
          <cell r="A366" t="str">
            <v>5°4°5425EDASE</v>
          </cell>
          <cell r="B366" t="str">
            <v>5°4°</v>
          </cell>
          <cell r="C366">
            <v>542</v>
          </cell>
          <cell r="D366" t="str">
            <v>5EDASE</v>
          </cell>
          <cell r="E366">
            <v>2680770</v>
          </cell>
          <cell r="F366" t="str">
            <v xml:space="preserve">DISEÑO ASIST Y SIMUL ELECT </v>
          </cell>
          <cell r="G366"/>
          <cell r="H366"/>
          <cell r="I366"/>
          <cell r="J366">
            <v>18383726</v>
          </cell>
          <cell r="K366" t="str">
            <v xml:space="preserve">MARTINEZ, SILVIO </v>
          </cell>
          <cell r="L366" t="str">
            <v xml:space="preserve"> </v>
          </cell>
          <cell r="M366" t="str">
            <v xml:space="preserve"> </v>
          </cell>
          <cell r="N366" t="str">
            <v>PROVISIONAL</v>
          </cell>
          <cell r="O366" t="str">
            <v xml:space="preserve">MARTINEZ, SILVIO </v>
          </cell>
          <cell r="P366" t="str">
            <v xml:space="preserve"> </v>
          </cell>
        </row>
        <row r="367">
          <cell r="A367" t="str">
            <v>5°4°5425EFTAE5</v>
          </cell>
          <cell r="B367" t="str">
            <v>5°4°</v>
          </cell>
          <cell r="C367">
            <v>542</v>
          </cell>
          <cell r="D367" t="str">
            <v>5EFTAE5</v>
          </cell>
          <cell r="E367">
            <v>2680771</v>
          </cell>
          <cell r="F367" t="str">
            <v xml:space="preserve">APLIC ELECT ANALOG </v>
          </cell>
          <cell r="G367"/>
          <cell r="H367"/>
          <cell r="I367"/>
          <cell r="J367">
            <v>14658779</v>
          </cell>
          <cell r="K367" t="str">
            <v>FISTER VICTOR</v>
          </cell>
          <cell r="L367" t="str">
            <v xml:space="preserve"> </v>
          </cell>
          <cell r="M367" t="str">
            <v xml:space="preserve"> </v>
          </cell>
          <cell r="N367" t="str">
            <v>PROVISIONAL</v>
          </cell>
          <cell r="O367" t="str">
            <v>FISTER VICTOR</v>
          </cell>
          <cell r="P367" t="str">
            <v xml:space="preserve"> </v>
          </cell>
        </row>
        <row r="368">
          <cell r="A368" t="str">
            <v>5°4°5425EFTED5</v>
          </cell>
          <cell r="B368" t="str">
            <v>5°4°</v>
          </cell>
          <cell r="C368">
            <v>542</v>
          </cell>
          <cell r="D368" t="str">
            <v>5EFTED5</v>
          </cell>
          <cell r="E368">
            <v>2680772</v>
          </cell>
          <cell r="F368" t="str">
            <v>APLIC ELECTR DIGITAL</v>
          </cell>
          <cell r="G368">
            <v>26500191</v>
          </cell>
          <cell r="H368" t="str">
            <v>(MASIVA)</v>
          </cell>
          <cell r="I368" t="str">
            <v xml:space="preserve">GOMEZ NANCY </v>
          </cell>
          <cell r="J368"/>
          <cell r="K368"/>
          <cell r="L368">
            <v>23086757</v>
          </cell>
          <cell r="M368" t="str">
            <v>SERENO, LEONEL</v>
          </cell>
          <cell r="N368" t="str">
            <v>SUPLENTE</v>
          </cell>
          <cell r="O368" t="str">
            <v>SERENO, LEONEL</v>
          </cell>
          <cell r="P368" t="str">
            <v xml:space="preserve"> </v>
          </cell>
        </row>
        <row r="369">
          <cell r="A369" t="str">
            <v>5°4°5425EFTMP5</v>
          </cell>
          <cell r="B369" t="str">
            <v>5°4°</v>
          </cell>
          <cell r="C369">
            <v>542</v>
          </cell>
          <cell r="D369" t="str">
            <v>5EFTMP5</v>
          </cell>
          <cell r="E369">
            <v>2680773</v>
          </cell>
          <cell r="F369" t="str">
            <v xml:space="preserve">MONTAJE DE PROYECTO ELECTRONICOS </v>
          </cell>
          <cell r="G369">
            <v>26024164</v>
          </cell>
          <cell r="H369" t="str">
            <v xml:space="preserve"> (MASIVA)</v>
          </cell>
          <cell r="I369" t="str">
            <v>SAUCEDO GUSTAVO</v>
          </cell>
          <cell r="J369"/>
          <cell r="K369"/>
          <cell r="L369" t="str">
            <v xml:space="preserve"> </v>
          </cell>
          <cell r="M369" t="str">
            <v xml:space="preserve"> </v>
          </cell>
          <cell r="N369" t="str">
            <v>TITULAR</v>
          </cell>
          <cell r="O369" t="str">
            <v>SAUCEDO GUSTAVO</v>
          </cell>
          <cell r="P369" t="str">
            <v xml:space="preserve"> </v>
          </cell>
        </row>
        <row r="370">
          <cell r="A370" t="str">
            <v>5°1°5ILITS</v>
          </cell>
          <cell r="B370" t="str">
            <v>5°1°</v>
          </cell>
          <cell r="C370"/>
          <cell r="D370" t="str">
            <v>5ILITS</v>
          </cell>
          <cell r="E370">
            <v>2543607</v>
          </cell>
          <cell r="F370" t="str">
            <v>LITERATURA</v>
          </cell>
          <cell r="G370" t="str">
            <v xml:space="preserve"> 27-34849943-8  INT</v>
          </cell>
          <cell r="H370"/>
          <cell r="I370" t="str">
            <v>MIRAFIORI, N   0</v>
          </cell>
          <cell r="J370"/>
          <cell r="K370"/>
          <cell r="L370" t="str">
            <v xml:space="preserve"> </v>
          </cell>
          <cell r="M370" t="str">
            <v xml:space="preserve"> </v>
          </cell>
          <cell r="N370" t="str">
            <v>TITULAR</v>
          </cell>
          <cell r="O370" t="str">
            <v>MIRAFIORI, N   0</v>
          </cell>
          <cell r="P370" t="str">
            <v xml:space="preserve"> </v>
          </cell>
        </row>
        <row r="371">
          <cell r="A371" t="str">
            <v>5°1°5IINGS</v>
          </cell>
          <cell r="B371" t="str">
            <v>5°1°</v>
          </cell>
          <cell r="C371"/>
          <cell r="D371" t="str">
            <v>5IINGS</v>
          </cell>
          <cell r="E371">
            <v>2543620</v>
          </cell>
          <cell r="F371" t="str">
            <v>INGLÉS</v>
          </cell>
          <cell r="G371" t="str">
            <v>27-38.178432-6</v>
          </cell>
          <cell r="H371"/>
          <cell r="I371" t="str">
            <v xml:space="preserve">ARCE KARINA </v>
          </cell>
          <cell r="J371"/>
          <cell r="K371"/>
          <cell r="L371" t="str">
            <v xml:space="preserve"> </v>
          </cell>
          <cell r="M371" t="str">
            <v xml:space="preserve"> </v>
          </cell>
          <cell r="N371" t="str">
            <v>TITULAR</v>
          </cell>
          <cell r="O371" t="str">
            <v xml:space="preserve">ARCE KARINA </v>
          </cell>
          <cell r="P371" t="str">
            <v xml:space="preserve"> </v>
          </cell>
        </row>
        <row r="372">
          <cell r="A372" t="str">
            <v>5°1°5IEFIS</v>
          </cell>
          <cell r="B372" t="str">
            <v>5°1°</v>
          </cell>
          <cell r="C372"/>
          <cell r="D372" t="str">
            <v>5IEFIS</v>
          </cell>
          <cell r="E372">
            <v>2543646</v>
          </cell>
          <cell r="F372" t="str">
            <v>EDUCACIÓN FISICA</v>
          </cell>
          <cell r="G372">
            <v>29569203</v>
          </cell>
          <cell r="H372"/>
          <cell r="I372" t="str">
            <v>LUDUEÑA NELSON</v>
          </cell>
          <cell r="J372"/>
          <cell r="K372"/>
          <cell r="L372" t="str">
            <v xml:space="preserve"> </v>
          </cell>
          <cell r="M372" t="str">
            <v xml:space="preserve"> </v>
          </cell>
          <cell r="N372" t="str">
            <v>TITULAR</v>
          </cell>
          <cell r="O372" t="str">
            <v>LUDUEÑA NELSON</v>
          </cell>
          <cell r="P372" t="str">
            <v xml:space="preserve"> </v>
          </cell>
        </row>
        <row r="373">
          <cell r="A373" t="str">
            <v>5°1°5IPYCS</v>
          </cell>
          <cell r="B373" t="str">
            <v>5°1°</v>
          </cell>
          <cell r="C373"/>
          <cell r="D373" t="str">
            <v>5IPYCS</v>
          </cell>
          <cell r="E373">
            <v>2543648</v>
          </cell>
          <cell r="F373" t="str">
            <v>POLITICA Y CIUDADANIA</v>
          </cell>
          <cell r="G373"/>
          <cell r="H373"/>
          <cell r="I373" t="str">
            <v xml:space="preserve">GONZALEZ GONZALEZ ROMINA </v>
          </cell>
          <cell r="J373"/>
          <cell r="K373"/>
          <cell r="L373" t="str">
            <v xml:space="preserve"> </v>
          </cell>
          <cell r="M373" t="str">
            <v xml:space="preserve"> </v>
          </cell>
          <cell r="N373" t="str">
            <v>TITULAR</v>
          </cell>
          <cell r="O373" t="str">
            <v xml:space="preserve">GONZALEZ GONZALEZ ROMINA </v>
          </cell>
          <cell r="P373" t="str">
            <v xml:space="preserve"> </v>
          </cell>
        </row>
        <row r="374">
          <cell r="A374" t="str">
            <v>5°1°5IHIS5</v>
          </cell>
          <cell r="B374" t="str">
            <v>5°1°</v>
          </cell>
          <cell r="C374"/>
          <cell r="D374" t="str">
            <v>5IHIS5</v>
          </cell>
          <cell r="E374">
            <v>2543649</v>
          </cell>
          <cell r="F374" t="str">
            <v>HISTORIA</v>
          </cell>
          <cell r="G374"/>
          <cell r="H374"/>
          <cell r="I374" t="str">
            <v>PALACIOS GUSTAVO</v>
          </cell>
          <cell r="J374"/>
          <cell r="K374"/>
          <cell r="L374" t="str">
            <v xml:space="preserve"> </v>
          </cell>
          <cell r="M374" t="str">
            <v xml:space="preserve"> </v>
          </cell>
          <cell r="N374" t="str">
            <v>TITULAR</v>
          </cell>
          <cell r="O374" t="str">
            <v>PALACIOS GUSTAVO</v>
          </cell>
          <cell r="P374" t="str">
            <v xml:space="preserve"> </v>
          </cell>
        </row>
        <row r="375">
          <cell r="A375" t="str">
            <v>5°1°5IGEOS5</v>
          </cell>
          <cell r="B375" t="str">
            <v>5°1°</v>
          </cell>
          <cell r="C375"/>
          <cell r="D375" t="str">
            <v>5IGEOS5</v>
          </cell>
          <cell r="E375">
            <v>2543650</v>
          </cell>
          <cell r="F375" t="str">
            <v>GEOGRAFIA</v>
          </cell>
          <cell r="G375"/>
          <cell r="H375"/>
          <cell r="I375" t="str">
            <v xml:space="preserve">SPERONI, ADRIAN </v>
          </cell>
          <cell r="J375"/>
          <cell r="K375"/>
          <cell r="L375" t="str">
            <v xml:space="preserve"> </v>
          </cell>
          <cell r="M375" t="str">
            <v xml:space="preserve"> </v>
          </cell>
          <cell r="N375" t="str">
            <v>TITULAR</v>
          </cell>
          <cell r="O375" t="str">
            <v xml:space="preserve">SPERONI, ADRIAN </v>
          </cell>
          <cell r="P375" t="str">
            <v xml:space="preserve"> </v>
          </cell>
        </row>
        <row r="376">
          <cell r="A376" t="str">
            <v>5°1°5IANMAT</v>
          </cell>
          <cell r="B376" t="str">
            <v>5°1°</v>
          </cell>
          <cell r="C376"/>
          <cell r="D376" t="str">
            <v>5IANMAT</v>
          </cell>
          <cell r="E376">
            <v>2543652</v>
          </cell>
          <cell r="F376" t="str">
            <v>ANALISIS MATEMATICO</v>
          </cell>
          <cell r="G376"/>
          <cell r="H376"/>
          <cell r="I376"/>
          <cell r="J376">
            <v>23086757</v>
          </cell>
          <cell r="K376" t="str">
            <v>CENTURION SILVIA</v>
          </cell>
          <cell r="L376" t="str">
            <v xml:space="preserve"> </v>
          </cell>
          <cell r="M376" t="str">
            <v xml:space="preserve"> </v>
          </cell>
          <cell r="N376" t="str">
            <v>PROVISIONAL</v>
          </cell>
          <cell r="O376" t="str">
            <v>CENTURION SILVIA</v>
          </cell>
          <cell r="P376" t="str">
            <v xml:space="preserve"> </v>
          </cell>
        </row>
        <row r="377">
          <cell r="A377" t="str">
            <v>5°1°5ISIDI4</v>
          </cell>
          <cell r="B377" t="str">
            <v>5°1°</v>
          </cell>
          <cell r="C377"/>
          <cell r="D377" t="str">
            <v>5ISIDI4</v>
          </cell>
          <cell r="E377">
            <v>2571507</v>
          </cell>
          <cell r="F377" t="str">
            <v>SISTEMA DIGITAL</v>
          </cell>
          <cell r="G377"/>
          <cell r="H377"/>
          <cell r="I377"/>
          <cell r="J377" t="str">
            <v xml:space="preserve"> 27-20.205.124-9</v>
          </cell>
          <cell r="K377" t="str">
            <v>MONTENEGRO CLAUDIA</v>
          </cell>
          <cell r="L377" t="str">
            <v xml:space="preserve"> </v>
          </cell>
          <cell r="M377" t="str">
            <v xml:space="preserve"> </v>
          </cell>
          <cell r="N377" t="str">
            <v>PROVISIONAL</v>
          </cell>
          <cell r="O377" t="str">
            <v>MONTENEGRO CLAUDIA</v>
          </cell>
          <cell r="P377" t="str">
            <v xml:space="preserve"> </v>
          </cell>
        </row>
        <row r="378">
          <cell r="A378" t="str">
            <v>5°1°5ITELEI</v>
          </cell>
          <cell r="B378" t="str">
            <v>5°1°</v>
          </cell>
          <cell r="C378"/>
          <cell r="D378" t="str">
            <v>5ITELEI</v>
          </cell>
          <cell r="E378">
            <v>2571508</v>
          </cell>
          <cell r="F378" t="str">
            <v>TELEINFORMATICA</v>
          </cell>
          <cell r="G378"/>
          <cell r="H378"/>
          <cell r="I378"/>
          <cell r="J378" t="str">
            <v xml:space="preserve"> 27-20.205.124-9</v>
          </cell>
          <cell r="K378" t="str">
            <v>MONTENEGRO CLAUDIA</v>
          </cell>
          <cell r="L378" t="str">
            <v xml:space="preserve"> </v>
          </cell>
          <cell r="M378" t="str">
            <v xml:space="preserve"> </v>
          </cell>
          <cell r="N378" t="str">
            <v>PROVISIONAL</v>
          </cell>
          <cell r="O378" t="str">
            <v>MONTENEGRO CLAUDIA</v>
          </cell>
          <cell r="P378" t="str">
            <v xml:space="preserve"> </v>
          </cell>
        </row>
        <row r="379">
          <cell r="A379" t="str">
            <v>5°1°5115IFTLP5</v>
          </cell>
          <cell r="B379" t="str">
            <v>5°1°</v>
          </cell>
          <cell r="C379">
            <v>511</v>
          </cell>
          <cell r="D379" t="str">
            <v>5IFTLP5</v>
          </cell>
          <cell r="E379">
            <v>2543654</v>
          </cell>
          <cell r="F379" t="str">
            <v xml:space="preserve">LAB DE PROGRAM </v>
          </cell>
          <cell r="G379"/>
          <cell r="H379"/>
          <cell r="I379"/>
          <cell r="J379"/>
          <cell r="K379" t="str">
            <v>WITT  GERARDO</v>
          </cell>
          <cell r="L379" t="str">
            <v xml:space="preserve"> </v>
          </cell>
          <cell r="M379" t="str">
            <v xml:space="preserve"> </v>
          </cell>
          <cell r="N379" t="str">
            <v>PROVISIONAL</v>
          </cell>
          <cell r="O379" t="str">
            <v>WITT  GERARDO</v>
          </cell>
          <cell r="P379" t="str">
            <v xml:space="preserve"> </v>
          </cell>
        </row>
        <row r="380">
          <cell r="A380" t="str">
            <v>5°1°5115IFTLH5</v>
          </cell>
          <cell r="B380" t="str">
            <v>5°1°</v>
          </cell>
          <cell r="C380">
            <v>511</v>
          </cell>
          <cell r="D380" t="str">
            <v>5IFTLH5</v>
          </cell>
          <cell r="E380">
            <v>2543655</v>
          </cell>
          <cell r="F380" t="str">
            <v xml:space="preserve">LAB DE HARDWARE </v>
          </cell>
          <cell r="G380" t="str">
            <v>16.238.400 (3 MOD)</v>
          </cell>
          <cell r="H380"/>
          <cell r="I380"/>
          <cell r="J380"/>
          <cell r="K380" t="str">
            <v>DELGADO ARIEL</v>
          </cell>
          <cell r="L380" t="str">
            <v xml:space="preserve"> </v>
          </cell>
          <cell r="M380" t="str">
            <v xml:space="preserve"> </v>
          </cell>
          <cell r="N380" t="str">
            <v>PROVISIONAL</v>
          </cell>
          <cell r="O380" t="str">
            <v>DELGADO ARIEL</v>
          </cell>
          <cell r="P380" t="str">
            <v xml:space="preserve"> </v>
          </cell>
        </row>
        <row r="381">
          <cell r="A381" t="str">
            <v>5°1°5115IFTLS5</v>
          </cell>
          <cell r="B381" t="str">
            <v>5°1°</v>
          </cell>
          <cell r="C381">
            <v>511</v>
          </cell>
          <cell r="D381" t="str">
            <v>5IFTLS5</v>
          </cell>
          <cell r="E381">
            <v>2543656</v>
          </cell>
          <cell r="F381" t="str">
            <v>LAB DE SIST OPERATIVOS</v>
          </cell>
          <cell r="G381"/>
          <cell r="H381"/>
          <cell r="I381"/>
          <cell r="J381">
            <v>26114670</v>
          </cell>
          <cell r="K381" t="str">
            <v>BULACIO ARIEL</v>
          </cell>
          <cell r="L381"/>
          <cell r="M381" t="str">
            <v>FERREYRA JESICA</v>
          </cell>
          <cell r="N381" t="str">
            <v>SUPLENTE</v>
          </cell>
          <cell r="O381" t="str">
            <v>FERREYRA JESICA</v>
          </cell>
          <cell r="P381" t="str">
            <v xml:space="preserve"> </v>
          </cell>
        </row>
        <row r="382">
          <cell r="A382" t="str">
            <v>5°1°5115IFTLA5</v>
          </cell>
          <cell r="B382" t="str">
            <v>5°1°</v>
          </cell>
          <cell r="C382">
            <v>511</v>
          </cell>
          <cell r="D382" t="str">
            <v>5IFTLA5</v>
          </cell>
          <cell r="E382">
            <v>2543658</v>
          </cell>
          <cell r="F382" t="str">
            <v xml:space="preserve">LAB DE APLICACIONES </v>
          </cell>
          <cell r="G382"/>
          <cell r="H382"/>
          <cell r="I382"/>
          <cell r="J382"/>
          <cell r="K382" t="str">
            <v xml:space="preserve">BARCENILLA, JAVIER </v>
          </cell>
          <cell r="L382" t="str">
            <v xml:space="preserve"> </v>
          </cell>
          <cell r="M382" t="str">
            <v xml:space="preserve"> </v>
          </cell>
          <cell r="N382" t="str">
            <v>PROVISIONAL</v>
          </cell>
          <cell r="O382" t="str">
            <v xml:space="preserve">BARCENILLA, JAVIER </v>
          </cell>
          <cell r="P382" t="str">
            <v xml:space="preserve"> </v>
          </cell>
        </row>
        <row r="383">
          <cell r="A383" t="str">
            <v>5°1°5125IFTLP5</v>
          </cell>
          <cell r="B383" t="str">
            <v>5°1°</v>
          </cell>
          <cell r="C383">
            <v>512</v>
          </cell>
          <cell r="D383" t="str">
            <v>5IFTLP5</v>
          </cell>
          <cell r="E383">
            <v>2543659</v>
          </cell>
          <cell r="F383" t="str">
            <v xml:space="preserve">LAB DE PROGRAM </v>
          </cell>
          <cell r="G383"/>
          <cell r="H383"/>
          <cell r="I383"/>
          <cell r="J383"/>
          <cell r="K383" t="str">
            <v>WITT GERARDO</v>
          </cell>
          <cell r="L383" t="str">
            <v xml:space="preserve"> </v>
          </cell>
          <cell r="M383" t="str">
            <v xml:space="preserve"> </v>
          </cell>
          <cell r="N383" t="str">
            <v>PROVISIONAL</v>
          </cell>
          <cell r="O383" t="str">
            <v>WITT GERARDO</v>
          </cell>
          <cell r="P383" t="str">
            <v xml:space="preserve"> </v>
          </cell>
        </row>
        <row r="384">
          <cell r="A384" t="str">
            <v>5°1°5125IFTLH5</v>
          </cell>
          <cell r="B384" t="str">
            <v>5°1°</v>
          </cell>
          <cell r="C384">
            <v>512</v>
          </cell>
          <cell r="D384" t="str">
            <v>5IFTLH5</v>
          </cell>
          <cell r="E384">
            <v>2543661</v>
          </cell>
          <cell r="F384" t="str">
            <v xml:space="preserve">LAB DE HARDWARE </v>
          </cell>
          <cell r="G384"/>
          <cell r="H384"/>
          <cell r="I384"/>
          <cell r="J384"/>
          <cell r="K384" t="str">
            <v xml:space="preserve">FISTER (Serv.Prov)         </v>
          </cell>
          <cell r="L384" t="str">
            <v xml:space="preserve"> </v>
          </cell>
          <cell r="M384" t="str">
            <v xml:space="preserve"> </v>
          </cell>
          <cell r="N384" t="str">
            <v>PROVISIONAL</v>
          </cell>
          <cell r="O384" t="str">
            <v xml:space="preserve">FISTER (Serv.Prov)         </v>
          </cell>
          <cell r="P384" t="str">
            <v xml:space="preserve"> </v>
          </cell>
        </row>
        <row r="385">
          <cell r="A385" t="str">
            <v>5°1°5125IFTLS5</v>
          </cell>
          <cell r="B385" t="str">
            <v>5°1°</v>
          </cell>
          <cell r="C385">
            <v>512</v>
          </cell>
          <cell r="D385" t="str">
            <v>5IFTLS5</v>
          </cell>
          <cell r="E385">
            <v>2543664</v>
          </cell>
          <cell r="F385" t="str">
            <v>LAB DE SIST OPERATIVOS</v>
          </cell>
          <cell r="G385"/>
          <cell r="H385"/>
          <cell r="I385"/>
          <cell r="J385"/>
          <cell r="K385" t="str">
            <v>RIVERA MARCELO</v>
          </cell>
          <cell r="L385" t="str">
            <v xml:space="preserve"> </v>
          </cell>
          <cell r="M385" t="str">
            <v xml:space="preserve"> </v>
          </cell>
          <cell r="N385" t="str">
            <v>PROVISIONAL</v>
          </cell>
          <cell r="O385" t="str">
            <v>RIVERA MARCELO</v>
          </cell>
          <cell r="P385" t="str">
            <v xml:space="preserve"> </v>
          </cell>
        </row>
        <row r="386">
          <cell r="A386" t="str">
            <v>5°1°5125IFTLA5</v>
          </cell>
          <cell r="B386" t="str">
            <v>5°1°</v>
          </cell>
          <cell r="C386">
            <v>512</v>
          </cell>
          <cell r="D386" t="str">
            <v>5IFTLA5</v>
          </cell>
          <cell r="E386">
            <v>2543665</v>
          </cell>
          <cell r="F386" t="str">
            <v xml:space="preserve">LAB DE APLICACIONES </v>
          </cell>
          <cell r="G386"/>
          <cell r="H386"/>
          <cell r="I386"/>
          <cell r="J386"/>
          <cell r="K386" t="str">
            <v>WITT GERARDO</v>
          </cell>
          <cell r="L386" t="str">
            <v xml:space="preserve"> </v>
          </cell>
          <cell r="M386" t="str">
            <v xml:space="preserve"> </v>
          </cell>
          <cell r="N386" t="str">
            <v>PROVISIONAL</v>
          </cell>
          <cell r="O386" t="str">
            <v>WITT GERARDO</v>
          </cell>
          <cell r="P386" t="str">
            <v xml:space="preserve"> </v>
          </cell>
        </row>
        <row r="387">
          <cell r="A387" t="str">
            <v>6°1°6ILITS</v>
          </cell>
          <cell r="B387" t="str">
            <v>6°1°</v>
          </cell>
          <cell r="C387"/>
          <cell r="D387" t="str">
            <v>6ILITS</v>
          </cell>
          <cell r="E387">
            <v>733438</v>
          </cell>
          <cell r="F387" t="str">
            <v>LITERATURA</v>
          </cell>
          <cell r="G387"/>
          <cell r="H387"/>
          <cell r="I387" t="str">
            <v>ALFONSO D INT 2026</v>
          </cell>
          <cell r="J387"/>
          <cell r="K387"/>
          <cell r="L387" t="str">
            <v xml:space="preserve"> </v>
          </cell>
          <cell r="M387" t="str">
            <v xml:space="preserve"> </v>
          </cell>
          <cell r="N387" t="str">
            <v>TITULAR</v>
          </cell>
          <cell r="O387" t="str">
            <v>ALFONSO D INT 2026</v>
          </cell>
          <cell r="P387" t="str">
            <v xml:space="preserve"> </v>
          </cell>
        </row>
        <row r="388">
          <cell r="A388" t="str">
            <v>6°1°6IINGS</v>
          </cell>
          <cell r="B388" t="str">
            <v>6°1°</v>
          </cell>
          <cell r="C388"/>
          <cell r="D388" t="str">
            <v>6IINGS</v>
          </cell>
          <cell r="E388">
            <v>733375</v>
          </cell>
          <cell r="F388" t="str">
            <v>INGLÉS</v>
          </cell>
          <cell r="G388"/>
          <cell r="H388"/>
          <cell r="I388" t="str">
            <v>RAMIREZ GISELE</v>
          </cell>
          <cell r="J388"/>
          <cell r="K388"/>
          <cell r="L388" t="str">
            <v xml:space="preserve"> </v>
          </cell>
          <cell r="M388" t="str">
            <v xml:space="preserve"> </v>
          </cell>
          <cell r="N388" t="str">
            <v>TITULAR</v>
          </cell>
          <cell r="O388" t="str">
            <v>RAMIREZ GISELE</v>
          </cell>
          <cell r="P388" t="str">
            <v xml:space="preserve"> </v>
          </cell>
        </row>
        <row r="389">
          <cell r="A389" t="str">
            <v>6°1°6IEFIS</v>
          </cell>
          <cell r="B389" t="str">
            <v>6°1°</v>
          </cell>
          <cell r="C389"/>
          <cell r="D389" t="str">
            <v>6IEFIS</v>
          </cell>
          <cell r="E389">
            <v>1180198</v>
          </cell>
          <cell r="F389" t="str">
            <v>EDUCACIÓN FISICA</v>
          </cell>
          <cell r="G389" t="str">
            <v>A INT  2026   20291688897</v>
          </cell>
          <cell r="H389"/>
          <cell r="I389" t="str">
            <v xml:space="preserve">MONTENEGRO LUIS   </v>
          </cell>
          <cell r="J389"/>
          <cell r="K389"/>
          <cell r="L389" t="str">
            <v xml:space="preserve"> </v>
          </cell>
          <cell r="M389" t="str">
            <v xml:space="preserve"> </v>
          </cell>
          <cell r="N389" t="str">
            <v>TITULAR</v>
          </cell>
          <cell r="O389" t="str">
            <v xml:space="preserve">MONTENEGRO LUIS   </v>
          </cell>
          <cell r="P389" t="str">
            <v xml:space="preserve"> </v>
          </cell>
        </row>
        <row r="390">
          <cell r="A390" t="str">
            <v>6°1°6IFILO</v>
          </cell>
          <cell r="B390" t="str">
            <v>6°1°</v>
          </cell>
          <cell r="C390"/>
          <cell r="D390" t="str">
            <v>6IFILO</v>
          </cell>
          <cell r="E390">
            <v>733732</v>
          </cell>
          <cell r="F390" t="str">
            <v>FILOSOFIA</v>
          </cell>
          <cell r="G390"/>
          <cell r="H390">
            <v>26705268</v>
          </cell>
          <cell r="I390" t="str">
            <v>LETIERI, MANUEL</v>
          </cell>
          <cell r="J390"/>
          <cell r="K390"/>
          <cell r="L390" t="str">
            <v xml:space="preserve"> </v>
          </cell>
          <cell r="M390" t="str">
            <v xml:space="preserve"> </v>
          </cell>
          <cell r="N390" t="str">
            <v>TITULAR</v>
          </cell>
          <cell r="O390" t="str">
            <v>LETIERI, MANUEL</v>
          </cell>
          <cell r="P390" t="str">
            <v xml:space="preserve"> </v>
          </cell>
        </row>
        <row r="391">
          <cell r="A391" t="str">
            <v>6°1°6IARTE</v>
          </cell>
          <cell r="B391" t="str">
            <v>6°1°</v>
          </cell>
          <cell r="C391"/>
          <cell r="D391" t="str">
            <v>6IARTE</v>
          </cell>
          <cell r="E391">
            <v>733731</v>
          </cell>
          <cell r="F391" t="str">
            <v>ARTE</v>
          </cell>
          <cell r="G391" t="str">
            <v xml:space="preserve">   27-5.164.557-5</v>
          </cell>
          <cell r="H391"/>
          <cell r="I391"/>
          <cell r="J391" t="str">
            <v xml:space="preserve"> 27-25.863.832-3</v>
          </cell>
          <cell r="K391" t="str">
            <v>GOMEZ MARCELA</v>
          </cell>
          <cell r="L391" t="str">
            <v xml:space="preserve"> </v>
          </cell>
          <cell r="M391" t="str">
            <v xml:space="preserve"> </v>
          </cell>
          <cell r="N391" t="str">
            <v>PROVISIONAL</v>
          </cell>
          <cell r="O391" t="str">
            <v>GOMEZ MARCELA</v>
          </cell>
          <cell r="P391" t="str">
            <v xml:space="preserve"> </v>
          </cell>
        </row>
        <row r="392">
          <cell r="A392" t="str">
            <v>6°1°6IMATAP</v>
          </cell>
          <cell r="B392" t="str">
            <v>6°1°</v>
          </cell>
          <cell r="C392"/>
          <cell r="D392" t="str">
            <v>6IMATAP</v>
          </cell>
          <cell r="E392">
            <v>733394</v>
          </cell>
          <cell r="F392" t="str">
            <v>MATEMATICA APLICADA</v>
          </cell>
          <cell r="G392"/>
          <cell r="H392"/>
          <cell r="I392"/>
          <cell r="J392"/>
          <cell r="K392" t="str">
            <v>GARCIA CLAUDIA</v>
          </cell>
          <cell r="L392" t="str">
            <v xml:space="preserve"> </v>
          </cell>
          <cell r="M392" t="str">
            <v xml:space="preserve"> </v>
          </cell>
          <cell r="N392" t="str">
            <v>PROVISIONAL</v>
          </cell>
          <cell r="O392" t="str">
            <v>GARCIA CLAUDIA</v>
          </cell>
          <cell r="P392" t="str">
            <v xml:space="preserve"> </v>
          </cell>
        </row>
        <row r="393">
          <cell r="A393" t="str">
            <v>6°1°6ISIDI6</v>
          </cell>
          <cell r="B393" t="str">
            <v>6°1°</v>
          </cell>
          <cell r="C393"/>
          <cell r="D393" t="str">
            <v>6ISIDI6</v>
          </cell>
          <cell r="E393">
            <v>733383</v>
          </cell>
          <cell r="F393" t="str">
            <v>SISTEMA DIGITAL</v>
          </cell>
          <cell r="G393"/>
          <cell r="H393"/>
          <cell r="I393" t="str">
            <v>CARDINALE GERMAN 28.440.300</v>
          </cell>
          <cell r="J393"/>
          <cell r="K393"/>
          <cell r="L393">
            <v>0</v>
          </cell>
          <cell r="M393" t="str">
            <v>MONTES IVAN</v>
          </cell>
          <cell r="N393" t="str">
            <v>SUPLENTE</v>
          </cell>
          <cell r="O393" t="str">
            <v>MONTES IVAN</v>
          </cell>
          <cell r="P393" t="str">
            <v xml:space="preserve"> </v>
          </cell>
        </row>
        <row r="394">
          <cell r="A394" t="str">
            <v>6°1°6IINVOP</v>
          </cell>
          <cell r="B394" t="str">
            <v>6°1°</v>
          </cell>
          <cell r="C394"/>
          <cell r="D394" t="str">
            <v>6IINVOP</v>
          </cell>
          <cell r="E394">
            <v>2680830</v>
          </cell>
          <cell r="F394" t="str">
            <v>INVESTIGACION OPERATIVA</v>
          </cell>
          <cell r="G394"/>
          <cell r="H394"/>
          <cell r="I394"/>
          <cell r="J394">
            <v>24862276</v>
          </cell>
          <cell r="K394" t="str">
            <v xml:space="preserve">COLINA PATRICIA </v>
          </cell>
          <cell r="L394">
            <v>0</v>
          </cell>
          <cell r="M394" t="str">
            <v>VALDES MARIA</v>
          </cell>
          <cell r="N394" t="str">
            <v>SUPLENTE</v>
          </cell>
          <cell r="O394" t="str">
            <v>VALDES MARIA</v>
          </cell>
          <cell r="P394" t="str">
            <v xml:space="preserve"> </v>
          </cell>
        </row>
        <row r="395">
          <cell r="A395" t="str">
            <v>6°1°6ISEIN</v>
          </cell>
          <cell r="B395" t="str">
            <v>6°1°</v>
          </cell>
          <cell r="C395"/>
          <cell r="D395" t="str">
            <v>6ISEIN</v>
          </cell>
          <cell r="E395">
            <v>2680832</v>
          </cell>
          <cell r="F395" t="str">
            <v>SEGURIDAD INFORMATICA</v>
          </cell>
          <cell r="G395"/>
          <cell r="H395"/>
          <cell r="I395"/>
          <cell r="J395"/>
          <cell r="K395" t="str">
            <v>MONTENEGRO CLAUIDA</v>
          </cell>
          <cell r="L395" t="str">
            <v xml:space="preserve"> </v>
          </cell>
          <cell r="M395" t="str">
            <v xml:space="preserve"> </v>
          </cell>
          <cell r="N395" t="str">
            <v>PROVISIONAL</v>
          </cell>
          <cell r="O395" t="str">
            <v>MONTENEGRO CLAUIDA</v>
          </cell>
          <cell r="P395" t="str">
            <v xml:space="preserve"> </v>
          </cell>
        </row>
        <row r="396">
          <cell r="A396" t="str">
            <v>6°1°6IDETRA</v>
          </cell>
          <cell r="B396" t="str">
            <v>6°1°</v>
          </cell>
          <cell r="C396"/>
          <cell r="D396" t="str">
            <v>6IDETRA</v>
          </cell>
          <cell r="E396">
            <v>2680833</v>
          </cell>
          <cell r="F396" t="str">
            <v>DERECHO DE TRABAJO</v>
          </cell>
          <cell r="G396">
            <v>12434199</v>
          </cell>
          <cell r="H396"/>
          <cell r="I396"/>
          <cell r="J396">
            <v>27190224045</v>
          </cell>
          <cell r="K396" t="str">
            <v xml:space="preserve">KUSNIER CUPAIOLO NATALIA N </v>
          </cell>
          <cell r="L396" t="str">
            <v xml:space="preserve"> </v>
          </cell>
          <cell r="M396" t="str">
            <v xml:space="preserve"> </v>
          </cell>
          <cell r="N396" t="str">
            <v>PROVISIONAL</v>
          </cell>
          <cell r="O396" t="str">
            <v xml:space="preserve">KUSNIER CUPAIOLO NATALIA N </v>
          </cell>
          <cell r="P396" t="str">
            <v xml:space="preserve"> </v>
          </cell>
        </row>
        <row r="397">
          <cell r="A397" t="str">
            <v>6°1°6116IFTLP6</v>
          </cell>
          <cell r="B397" t="str">
            <v>6°1°</v>
          </cell>
          <cell r="C397">
            <v>611</v>
          </cell>
          <cell r="D397" t="str">
            <v>6IFTLP6</v>
          </cell>
          <cell r="E397">
            <v>2680835</v>
          </cell>
          <cell r="F397" t="str">
            <v xml:space="preserve">LAB DE PROGRAM </v>
          </cell>
          <cell r="G397" t="str">
            <v xml:space="preserve"> 27-21.065.864-0</v>
          </cell>
          <cell r="H397"/>
          <cell r="I397"/>
          <cell r="J397"/>
          <cell r="K397" t="str">
            <v>ORMEÑO FELIX</v>
          </cell>
          <cell r="L397">
            <v>27353523126</v>
          </cell>
          <cell r="M397" t="str">
            <v>FERREYRA JESICA</v>
          </cell>
          <cell r="N397" t="str">
            <v>SUPLENTE</v>
          </cell>
          <cell r="O397" t="str">
            <v>FERREYRA JESICA</v>
          </cell>
          <cell r="P397" t="str">
            <v xml:space="preserve"> </v>
          </cell>
        </row>
        <row r="398">
          <cell r="A398" t="str">
            <v>6°1°6116IFTLH6</v>
          </cell>
          <cell r="B398" t="str">
            <v>6°1°</v>
          </cell>
          <cell r="C398">
            <v>611</v>
          </cell>
          <cell r="D398" t="str">
            <v>6IFTLH6</v>
          </cell>
          <cell r="E398">
            <v>2680836</v>
          </cell>
          <cell r="F398" t="str">
            <v xml:space="preserve">LAB DE HARDWARE </v>
          </cell>
          <cell r="G398" t="str">
            <v xml:space="preserve"> 16.019.055 (1 MOD)</v>
          </cell>
          <cell r="H398"/>
          <cell r="I398"/>
          <cell r="J398"/>
          <cell r="K398" t="str">
            <v>ROCHA JULIETA</v>
          </cell>
          <cell r="L398" t="str">
            <v xml:space="preserve"> </v>
          </cell>
          <cell r="M398" t="str">
            <v xml:space="preserve"> </v>
          </cell>
          <cell r="N398" t="str">
            <v>PROVISIONAL</v>
          </cell>
          <cell r="O398" t="str">
            <v>ROCHA JULIETA</v>
          </cell>
          <cell r="P398" t="str">
            <v xml:space="preserve"> </v>
          </cell>
        </row>
        <row r="399">
          <cell r="A399" t="str">
            <v>6°1°6116IFHLS6</v>
          </cell>
          <cell r="B399" t="str">
            <v>6°1°</v>
          </cell>
          <cell r="C399">
            <v>611</v>
          </cell>
          <cell r="D399" t="str">
            <v>6IFHLS6</v>
          </cell>
          <cell r="E399">
            <v>2680838</v>
          </cell>
          <cell r="F399" t="str">
            <v xml:space="preserve">LAB DE SIST OPERATIVOS </v>
          </cell>
          <cell r="G399">
            <v>16238400</v>
          </cell>
          <cell r="H399"/>
          <cell r="I399"/>
          <cell r="J399">
            <v>26114670</v>
          </cell>
          <cell r="K399" t="str">
            <v>BULACIO ARIEL</v>
          </cell>
          <cell r="L399" t="str">
            <v xml:space="preserve"> </v>
          </cell>
          <cell r="M399" t="str">
            <v>VILLALVA ESTEBAN</v>
          </cell>
          <cell r="N399" t="str">
            <v>SUPLENTE</v>
          </cell>
          <cell r="O399" t="str">
            <v>VILLALVA ESTEBAN</v>
          </cell>
          <cell r="P399" t="str">
            <v xml:space="preserve"> </v>
          </cell>
        </row>
        <row r="400">
          <cell r="A400" t="str">
            <v>6°1°6116IFTLA6</v>
          </cell>
          <cell r="B400" t="str">
            <v>6°1°</v>
          </cell>
          <cell r="C400">
            <v>611</v>
          </cell>
          <cell r="D400" t="str">
            <v>6IFTLA6</v>
          </cell>
          <cell r="E400">
            <v>2680842</v>
          </cell>
          <cell r="F400" t="str">
            <v xml:space="preserve">LAB DE APLICACIONES </v>
          </cell>
          <cell r="G400"/>
          <cell r="H400"/>
          <cell r="I400"/>
          <cell r="J400" t="str">
            <v xml:space="preserve"> CUIT 20338123125</v>
          </cell>
          <cell r="K400" t="str">
            <v>VILLALVA ESTEBAN</v>
          </cell>
          <cell r="L400" t="str">
            <v xml:space="preserve"> </v>
          </cell>
          <cell r="M400" t="str">
            <v xml:space="preserve"> </v>
          </cell>
          <cell r="N400" t="str">
            <v>PROVISIONAL</v>
          </cell>
          <cell r="O400" t="str">
            <v>VILLALVA ESTEBAN</v>
          </cell>
          <cell r="P400" t="str">
            <v xml:space="preserve"> </v>
          </cell>
        </row>
        <row r="401">
          <cell r="A401" t="str">
            <v>6°1°6126IFTLP6</v>
          </cell>
          <cell r="B401" t="str">
            <v>6°1°</v>
          </cell>
          <cell r="C401">
            <v>612</v>
          </cell>
          <cell r="D401" t="str">
            <v>6IFTLP6</v>
          </cell>
          <cell r="E401">
            <v>2680843</v>
          </cell>
          <cell r="F401" t="str">
            <v xml:space="preserve">LAB DE PROGRAM </v>
          </cell>
          <cell r="G401"/>
          <cell r="H401"/>
          <cell r="I401"/>
          <cell r="J401"/>
          <cell r="K401" t="str">
            <v>MONTENEGRO CLAUIDA</v>
          </cell>
          <cell r="L401"/>
          <cell r="M401" t="str">
            <v xml:space="preserve"> </v>
          </cell>
          <cell r="N401" t="str">
            <v>PROVISIONAL</v>
          </cell>
          <cell r="O401" t="str">
            <v>MONTENEGRO CLAUIDA</v>
          </cell>
          <cell r="P401" t="str">
            <v xml:space="preserve"> </v>
          </cell>
        </row>
        <row r="402">
          <cell r="A402" t="str">
            <v>6°1°6126IFTLH6</v>
          </cell>
          <cell r="B402" t="str">
            <v>6°1°</v>
          </cell>
          <cell r="C402">
            <v>612</v>
          </cell>
          <cell r="D402" t="str">
            <v>6IFTLH6</v>
          </cell>
          <cell r="E402">
            <v>2680845</v>
          </cell>
          <cell r="F402" t="str">
            <v xml:space="preserve">LAB DE HARDWARE </v>
          </cell>
          <cell r="G402"/>
          <cell r="H402"/>
          <cell r="I402"/>
          <cell r="J402"/>
          <cell r="K402" t="str">
            <v>MONTENEGRO CLAUIDA</v>
          </cell>
          <cell r="L402" t="str">
            <v xml:space="preserve"> </v>
          </cell>
          <cell r="M402" t="str">
            <v xml:space="preserve"> </v>
          </cell>
          <cell r="N402" t="str">
            <v>PROVISIONAL</v>
          </cell>
          <cell r="O402" t="str">
            <v>MONTENEGRO CLAUIDA</v>
          </cell>
          <cell r="P402" t="str">
            <v xml:space="preserve"> </v>
          </cell>
        </row>
        <row r="403">
          <cell r="A403" t="str">
            <v>6°1°6126IFHLS6</v>
          </cell>
          <cell r="B403" t="str">
            <v>6°1°</v>
          </cell>
          <cell r="C403">
            <v>612</v>
          </cell>
          <cell r="D403" t="str">
            <v>6IFHLS6</v>
          </cell>
          <cell r="E403">
            <v>2680848</v>
          </cell>
          <cell r="F403" t="str">
            <v xml:space="preserve">LAB DE SIST OPERATIVOS </v>
          </cell>
          <cell r="G403"/>
          <cell r="H403"/>
          <cell r="I403"/>
          <cell r="J403">
            <v>24862276</v>
          </cell>
          <cell r="K403" t="str">
            <v>COLINA PATRICIA</v>
          </cell>
          <cell r="L403">
            <v>0</v>
          </cell>
          <cell r="M403" t="str">
            <v>FERREYRA YESICA</v>
          </cell>
          <cell r="N403" t="str">
            <v>SUPLENTE</v>
          </cell>
          <cell r="O403" t="str">
            <v>FERREYRA YESICA</v>
          </cell>
          <cell r="P403" t="str">
            <v xml:space="preserve"> </v>
          </cell>
        </row>
        <row r="404">
          <cell r="A404" t="str">
            <v>6°1°6126IFTLA6</v>
          </cell>
          <cell r="B404" t="str">
            <v>6°1°</v>
          </cell>
          <cell r="C404">
            <v>612</v>
          </cell>
          <cell r="D404" t="str">
            <v>6IFTLA6</v>
          </cell>
          <cell r="E404">
            <v>2680853</v>
          </cell>
          <cell r="F404" t="str">
            <v xml:space="preserve">LAB DE APLICACIONES </v>
          </cell>
          <cell r="G404"/>
          <cell r="H404"/>
          <cell r="I404"/>
          <cell r="J404"/>
          <cell r="K404" t="str">
            <v>HERRERA STELLA</v>
          </cell>
          <cell r="L404" t="str">
            <v xml:space="preserve"> </v>
          </cell>
          <cell r="M404" t="str">
            <v xml:space="preserve"> </v>
          </cell>
          <cell r="N404" t="str">
            <v>PROVISIONAL</v>
          </cell>
          <cell r="O404" t="str">
            <v>HERRERA STELLA</v>
          </cell>
          <cell r="P404" t="str">
            <v xml:space="preserve"> </v>
          </cell>
        </row>
        <row r="405">
          <cell r="A405" t="str">
            <v>6°2°6ILITS</v>
          </cell>
          <cell r="B405" t="str">
            <v>6°2°</v>
          </cell>
          <cell r="C405"/>
          <cell r="D405" t="str">
            <v>6ILITS</v>
          </cell>
          <cell r="E405">
            <v>2681816</v>
          </cell>
          <cell r="F405" t="str">
            <v>LITERATURA</v>
          </cell>
          <cell r="G405" t="str">
            <v xml:space="preserve">  27-25863263-5</v>
          </cell>
          <cell r="H405" t="str">
            <v xml:space="preserve"> INT 2025</v>
          </cell>
          <cell r="I405" t="str">
            <v>LOGUZZO, LORENA BEATRIZ</v>
          </cell>
          <cell r="J405"/>
          <cell r="K405"/>
          <cell r="L405" t="str">
            <v xml:space="preserve"> </v>
          </cell>
          <cell r="M405" t="str">
            <v xml:space="preserve"> </v>
          </cell>
          <cell r="N405" t="str">
            <v>TITULAR</v>
          </cell>
          <cell r="O405" t="str">
            <v>LOGUZZO, LORENA BEATRIZ</v>
          </cell>
          <cell r="P405" t="str">
            <v xml:space="preserve"> </v>
          </cell>
        </row>
        <row r="406">
          <cell r="A406" t="str">
            <v>6°2°6IINGS</v>
          </cell>
          <cell r="B406" t="str">
            <v>6°2°</v>
          </cell>
          <cell r="C406"/>
          <cell r="D406" t="str">
            <v>6IINGS</v>
          </cell>
          <cell r="E406">
            <v>2681822</v>
          </cell>
          <cell r="F406" t="str">
            <v>INGLÉS</v>
          </cell>
          <cell r="G406">
            <v>26117162</v>
          </cell>
          <cell r="H406"/>
          <cell r="I406" t="str">
            <v>SARRIA, ANDREA</v>
          </cell>
          <cell r="J406"/>
          <cell r="K406"/>
          <cell r="L406">
            <v>27315554360</v>
          </cell>
          <cell r="M406" t="str">
            <v>MARTINS RUTH MARIA DEL ROS</v>
          </cell>
          <cell r="N406" t="str">
            <v>SUPLENTE</v>
          </cell>
          <cell r="O406" t="str">
            <v>MARTINS RUTH MARIA DEL ROS</v>
          </cell>
          <cell r="P406" t="str">
            <v xml:space="preserve"> </v>
          </cell>
        </row>
        <row r="407">
          <cell r="A407" t="str">
            <v>6°2°6IEFIS</v>
          </cell>
          <cell r="B407" t="str">
            <v>6°2°</v>
          </cell>
          <cell r="C407"/>
          <cell r="D407" t="str">
            <v>6IEFIS</v>
          </cell>
          <cell r="E407">
            <v>2681823</v>
          </cell>
          <cell r="F407" t="str">
            <v>EDUCACIÓN FISICA</v>
          </cell>
          <cell r="G407">
            <v>28080737</v>
          </cell>
          <cell r="H407"/>
          <cell r="I407" t="str">
            <v xml:space="preserve">BURELA, MERCEDES </v>
          </cell>
          <cell r="J407"/>
          <cell r="K407"/>
          <cell r="L407" t="str">
            <v xml:space="preserve"> </v>
          </cell>
          <cell r="M407" t="str">
            <v xml:space="preserve"> </v>
          </cell>
          <cell r="N407" t="str">
            <v>TITULAR</v>
          </cell>
          <cell r="O407" t="str">
            <v xml:space="preserve">BURELA, MERCEDES </v>
          </cell>
          <cell r="P407" t="str">
            <v xml:space="preserve"> </v>
          </cell>
        </row>
        <row r="408">
          <cell r="A408" t="str">
            <v>6°2°6IFILO</v>
          </cell>
          <cell r="B408" t="str">
            <v>6°2°</v>
          </cell>
          <cell r="C408"/>
          <cell r="D408" t="str">
            <v>6IFILO</v>
          </cell>
          <cell r="E408">
            <v>2681824</v>
          </cell>
          <cell r="F408" t="str">
            <v>FILOSOFIA</v>
          </cell>
          <cell r="G408">
            <v>23441836</v>
          </cell>
          <cell r="H408"/>
          <cell r="I408" t="str">
            <v>MIRANDA NACY</v>
          </cell>
          <cell r="J408"/>
          <cell r="K408"/>
          <cell r="L408">
            <v>0</v>
          </cell>
          <cell r="M408" t="str">
            <v>ESCALANTE RUTH</v>
          </cell>
          <cell r="N408" t="str">
            <v>SUPLENTE</v>
          </cell>
          <cell r="O408" t="str">
            <v>ESCALANTE RUTH</v>
          </cell>
          <cell r="P408" t="str">
            <v xml:space="preserve"> </v>
          </cell>
        </row>
        <row r="409">
          <cell r="A409" t="str">
            <v>6°2°6IARTE</v>
          </cell>
          <cell r="B409" t="str">
            <v>6°2°</v>
          </cell>
          <cell r="C409"/>
          <cell r="D409" t="str">
            <v>6IARTE</v>
          </cell>
          <cell r="E409">
            <v>2681828</v>
          </cell>
          <cell r="F409" t="str">
            <v>ARTE</v>
          </cell>
          <cell r="G409" t="str">
            <v xml:space="preserve">   27-5.164.557-5</v>
          </cell>
          <cell r="H409"/>
          <cell r="I409" t="str">
            <v>GOMEZ, PATRICIA INT 2026</v>
          </cell>
          <cell r="J409"/>
          <cell r="K409"/>
          <cell r="L409" t="str">
            <v xml:space="preserve"> </v>
          </cell>
          <cell r="M409" t="str">
            <v xml:space="preserve"> </v>
          </cell>
          <cell r="N409" t="str">
            <v>TITULAR</v>
          </cell>
          <cell r="O409" t="str">
            <v>GOMEZ, PATRICIA INT 2026</v>
          </cell>
          <cell r="P409" t="str">
            <v xml:space="preserve"> </v>
          </cell>
        </row>
        <row r="410">
          <cell r="A410" t="str">
            <v>6°2°6IMATAP</v>
          </cell>
          <cell r="B410" t="str">
            <v>6°2°</v>
          </cell>
          <cell r="C410"/>
          <cell r="D410" t="str">
            <v>6IMATAP</v>
          </cell>
          <cell r="E410">
            <v>2681831</v>
          </cell>
          <cell r="F410" t="str">
            <v>MATEMATICA APLICADA</v>
          </cell>
          <cell r="G410">
            <v>25671625</v>
          </cell>
          <cell r="H410"/>
          <cell r="I410" t="str">
            <v>GUADAGNO CLAUDIA</v>
          </cell>
          <cell r="J410"/>
          <cell r="K410"/>
          <cell r="L410" t="str">
            <v xml:space="preserve"> </v>
          </cell>
          <cell r="M410" t="str">
            <v xml:space="preserve"> </v>
          </cell>
          <cell r="N410" t="str">
            <v>TITULAR</v>
          </cell>
          <cell r="O410" t="str">
            <v>GUADAGNO CLAUDIA</v>
          </cell>
          <cell r="P410" t="str">
            <v xml:space="preserve"> </v>
          </cell>
        </row>
        <row r="411">
          <cell r="A411" t="str">
            <v>6°2°6ISIDI6</v>
          </cell>
          <cell r="B411" t="str">
            <v>6°2°</v>
          </cell>
          <cell r="C411"/>
          <cell r="D411" t="str">
            <v>6ISIDI6</v>
          </cell>
          <cell r="E411">
            <v>2681834</v>
          </cell>
          <cell r="F411" t="str">
            <v>SISTEMA DIGITAL</v>
          </cell>
          <cell r="G411"/>
          <cell r="H411"/>
          <cell r="I411"/>
          <cell r="J411"/>
          <cell r="K411" t="str">
            <v>MONTES IVAN</v>
          </cell>
          <cell r="L411" t="str">
            <v xml:space="preserve"> </v>
          </cell>
          <cell r="M411" t="str">
            <v xml:space="preserve"> </v>
          </cell>
          <cell r="N411" t="str">
            <v>PROVISIONAL</v>
          </cell>
          <cell r="O411" t="str">
            <v>MONTES IVAN</v>
          </cell>
          <cell r="P411" t="str">
            <v xml:space="preserve"> </v>
          </cell>
        </row>
        <row r="412">
          <cell r="A412" t="str">
            <v>6°2°6IINVOP</v>
          </cell>
          <cell r="B412" t="str">
            <v>6°2°</v>
          </cell>
          <cell r="C412"/>
          <cell r="D412" t="str">
            <v>6IINVOP</v>
          </cell>
          <cell r="E412">
            <v>2681836</v>
          </cell>
          <cell r="F412" t="str">
            <v>INVESTIGACION OPERATIVA</v>
          </cell>
          <cell r="G412"/>
          <cell r="H412"/>
          <cell r="I412"/>
          <cell r="J412"/>
          <cell r="K412" t="str">
            <v>MONTENEGRO</v>
          </cell>
          <cell r="L412" t="str">
            <v xml:space="preserve"> </v>
          </cell>
          <cell r="M412" t="str">
            <v xml:space="preserve"> </v>
          </cell>
          <cell r="N412" t="str">
            <v>PROVISIONAL</v>
          </cell>
          <cell r="O412" t="str">
            <v>MONTENEGRO</v>
          </cell>
          <cell r="P412" t="str">
            <v xml:space="preserve"> </v>
          </cell>
        </row>
        <row r="413">
          <cell r="A413" t="str">
            <v>6°2°6ISEIN</v>
          </cell>
          <cell r="B413" t="str">
            <v>6°2°</v>
          </cell>
          <cell r="C413"/>
          <cell r="D413" t="str">
            <v>6ISEIN</v>
          </cell>
          <cell r="E413">
            <v>2681838</v>
          </cell>
          <cell r="F413" t="str">
            <v>SEGURIDAD INFORMATICA</v>
          </cell>
          <cell r="G413"/>
          <cell r="H413"/>
          <cell r="I413"/>
          <cell r="J413"/>
          <cell r="K413" t="str">
            <v>PALAVECINO</v>
          </cell>
          <cell r="L413" t="str">
            <v xml:space="preserve"> </v>
          </cell>
          <cell r="M413" t="str">
            <v xml:space="preserve"> </v>
          </cell>
          <cell r="N413" t="str">
            <v>PROVISIONAL</v>
          </cell>
          <cell r="O413" t="str">
            <v>PALAVECINO</v>
          </cell>
          <cell r="P413" t="str">
            <v xml:space="preserve"> </v>
          </cell>
        </row>
        <row r="414">
          <cell r="A414" t="str">
            <v>6°2°6IDETRA</v>
          </cell>
          <cell r="B414" t="str">
            <v>6°2°</v>
          </cell>
          <cell r="C414"/>
          <cell r="D414" t="str">
            <v>6IDETRA</v>
          </cell>
          <cell r="E414">
            <v>2681840</v>
          </cell>
          <cell r="F414" t="str">
            <v>DERECHO DE TRABAJO</v>
          </cell>
          <cell r="G414" t="str">
            <v xml:space="preserve">  27-12.434.199-5</v>
          </cell>
          <cell r="H414"/>
          <cell r="I414"/>
          <cell r="J414">
            <v>27279424862</v>
          </cell>
          <cell r="K414" t="str">
            <v xml:space="preserve">PEREYRA LORENA   </v>
          </cell>
          <cell r="L414" t="str">
            <v xml:space="preserve"> </v>
          </cell>
          <cell r="M414" t="str">
            <v xml:space="preserve"> </v>
          </cell>
          <cell r="N414" t="str">
            <v>PROVISIONAL</v>
          </cell>
          <cell r="O414" t="str">
            <v xml:space="preserve">PEREYRA LORENA   </v>
          </cell>
          <cell r="P414" t="str">
            <v xml:space="preserve"> </v>
          </cell>
        </row>
        <row r="415">
          <cell r="A415" t="str">
            <v>6°2°6216IFTLP6</v>
          </cell>
          <cell r="B415" t="str">
            <v>6°2°</v>
          </cell>
          <cell r="C415">
            <v>621</v>
          </cell>
          <cell r="D415" t="str">
            <v>6IFTLP6</v>
          </cell>
          <cell r="E415">
            <v>2681841</v>
          </cell>
          <cell r="F415" t="str">
            <v xml:space="preserve">LAB DE PROGRAM </v>
          </cell>
          <cell r="G415">
            <v>24862276</v>
          </cell>
          <cell r="H415"/>
          <cell r="I415" t="str">
            <v xml:space="preserve">COLINA PATRICIA </v>
          </cell>
          <cell r="J415"/>
          <cell r="K415"/>
          <cell r="L415">
            <v>0</v>
          </cell>
          <cell r="M415" t="str">
            <v>WITT GERARDO</v>
          </cell>
          <cell r="N415" t="str">
            <v>SUPLENTE</v>
          </cell>
          <cell r="O415" t="str">
            <v>WITT GERARDO</v>
          </cell>
          <cell r="P415" t="str">
            <v xml:space="preserve"> </v>
          </cell>
        </row>
        <row r="416">
          <cell r="A416" t="str">
            <v>6°2°6216IFTLH6</v>
          </cell>
          <cell r="B416" t="str">
            <v>6°2°</v>
          </cell>
          <cell r="C416">
            <v>621</v>
          </cell>
          <cell r="D416" t="str">
            <v>6IFTLH6</v>
          </cell>
          <cell r="E416">
            <v>2681844</v>
          </cell>
          <cell r="F416" t="str">
            <v xml:space="preserve">LAB DE HARDWARE </v>
          </cell>
          <cell r="G416">
            <v>16019055</v>
          </cell>
          <cell r="H416"/>
          <cell r="I416"/>
          <cell r="J416"/>
          <cell r="K416" t="str">
            <v>COLINA</v>
          </cell>
          <cell r="L416">
            <v>0</v>
          </cell>
          <cell r="M416" t="str">
            <v>MONTENEGRO, CLAUDIA</v>
          </cell>
          <cell r="N416" t="str">
            <v>SUPLENTE</v>
          </cell>
          <cell r="O416" t="str">
            <v>MONTENEGRO, CLAUDIA</v>
          </cell>
          <cell r="P416" t="str">
            <v xml:space="preserve"> </v>
          </cell>
        </row>
        <row r="417">
          <cell r="A417" t="str">
            <v>6°2°6216IFHLS6</v>
          </cell>
          <cell r="B417" t="str">
            <v>6°2°</v>
          </cell>
          <cell r="C417">
            <v>621</v>
          </cell>
          <cell r="D417" t="str">
            <v>6IFHLS6</v>
          </cell>
          <cell r="E417">
            <v>2681845</v>
          </cell>
          <cell r="F417" t="str">
            <v xml:space="preserve">LAB DE SIST OPERATIVOS </v>
          </cell>
          <cell r="G417" t="str">
            <v xml:space="preserve"> 27-14.685.999-8 </v>
          </cell>
          <cell r="H417" t="str">
            <v xml:space="preserve"> (MASIVA)</v>
          </cell>
          <cell r="I417"/>
          <cell r="J417"/>
          <cell r="K417" t="str">
            <v>FERREYRA JESICA</v>
          </cell>
          <cell r="L417" t="str">
            <v xml:space="preserve"> </v>
          </cell>
          <cell r="M417" t="str">
            <v xml:space="preserve"> </v>
          </cell>
          <cell r="N417" t="str">
            <v>PROVISIONAL</v>
          </cell>
          <cell r="O417" t="str">
            <v>FERREYRA JESICA</v>
          </cell>
          <cell r="P417" t="str">
            <v xml:space="preserve"> </v>
          </cell>
        </row>
        <row r="418">
          <cell r="A418" t="str">
            <v>6°2°6216IFTLA6</v>
          </cell>
          <cell r="B418" t="str">
            <v>6°2°</v>
          </cell>
          <cell r="C418">
            <v>621</v>
          </cell>
          <cell r="D418" t="str">
            <v>6IFTLA6</v>
          </cell>
          <cell r="E418">
            <v>2681854</v>
          </cell>
          <cell r="F418" t="str">
            <v xml:space="preserve">LAB DE APLICACIONES </v>
          </cell>
          <cell r="G418"/>
          <cell r="H418"/>
          <cell r="I418"/>
          <cell r="J418"/>
          <cell r="K418" t="str">
            <v>HERRERA STELLA</v>
          </cell>
          <cell r="L418" t="str">
            <v xml:space="preserve"> </v>
          </cell>
          <cell r="M418" t="str">
            <v xml:space="preserve"> </v>
          </cell>
          <cell r="N418" t="str">
            <v>PROVISIONAL</v>
          </cell>
          <cell r="O418" t="str">
            <v>HERRERA STELLA</v>
          </cell>
          <cell r="P418" t="str">
            <v xml:space="preserve"> </v>
          </cell>
        </row>
        <row r="419">
          <cell r="A419" t="str">
            <v>6°2°6226IFTLP6</v>
          </cell>
          <cell r="B419" t="str">
            <v>6°2°</v>
          </cell>
          <cell r="C419">
            <v>622</v>
          </cell>
          <cell r="D419" t="str">
            <v>6IFTLP6</v>
          </cell>
          <cell r="E419">
            <v>2681857</v>
          </cell>
          <cell r="F419" t="str">
            <v xml:space="preserve">LAB DE PROGRAM </v>
          </cell>
          <cell r="G419" t="str">
            <v xml:space="preserve"> 27-21.065.864-0</v>
          </cell>
          <cell r="H419"/>
          <cell r="I419"/>
          <cell r="J419"/>
          <cell r="K419" t="str">
            <v>WITT  GERARDO</v>
          </cell>
          <cell r="L419" t="str">
            <v xml:space="preserve"> </v>
          </cell>
          <cell r="M419" t="str">
            <v xml:space="preserve"> </v>
          </cell>
          <cell r="N419" t="str">
            <v>PROVISIONAL</v>
          </cell>
          <cell r="O419" t="str">
            <v>WITT  GERARDO</v>
          </cell>
          <cell r="P419" t="str">
            <v xml:space="preserve"> </v>
          </cell>
        </row>
        <row r="420">
          <cell r="A420" t="str">
            <v>6°2°6226IFTLH6</v>
          </cell>
          <cell r="B420" t="str">
            <v>6°2°</v>
          </cell>
          <cell r="C420">
            <v>622</v>
          </cell>
          <cell r="D420" t="str">
            <v>6IFTLH6</v>
          </cell>
          <cell r="E420">
            <v>2681860</v>
          </cell>
          <cell r="F420" t="str">
            <v xml:space="preserve">LAB DE HARDWARE </v>
          </cell>
          <cell r="G420"/>
          <cell r="H420"/>
          <cell r="I420"/>
          <cell r="J420"/>
          <cell r="K420" t="str">
            <v>MONTENEGRO</v>
          </cell>
          <cell r="L420" t="str">
            <v xml:space="preserve"> </v>
          </cell>
          <cell r="M420" t="str">
            <v xml:space="preserve"> </v>
          </cell>
          <cell r="N420" t="str">
            <v>PROVISIONAL</v>
          </cell>
          <cell r="O420" t="str">
            <v>MONTENEGRO</v>
          </cell>
          <cell r="P420" t="str">
            <v xml:space="preserve"> </v>
          </cell>
        </row>
        <row r="421">
          <cell r="A421" t="str">
            <v>6°2°6226IFHLS6</v>
          </cell>
          <cell r="B421" t="str">
            <v>6°2°</v>
          </cell>
          <cell r="C421">
            <v>622</v>
          </cell>
          <cell r="D421" t="str">
            <v>6IFHLS6</v>
          </cell>
          <cell r="E421">
            <v>2681867</v>
          </cell>
          <cell r="F421" t="str">
            <v xml:space="preserve">LAB DE SIST OPERATIVOS </v>
          </cell>
          <cell r="G421"/>
          <cell r="H421"/>
          <cell r="I421"/>
          <cell r="J421">
            <v>29615231</v>
          </cell>
          <cell r="K421" t="str">
            <v xml:space="preserve">BARCENILLA, JAVIER </v>
          </cell>
          <cell r="L421" t="str">
            <v xml:space="preserve"> </v>
          </cell>
          <cell r="M421" t="str">
            <v xml:space="preserve"> </v>
          </cell>
          <cell r="N421" t="str">
            <v>PROVISIONAL</v>
          </cell>
          <cell r="O421" t="str">
            <v xml:space="preserve">BARCENILLA, JAVIER </v>
          </cell>
          <cell r="P421" t="str">
            <v xml:space="preserve"> </v>
          </cell>
        </row>
        <row r="422">
          <cell r="A422" t="str">
            <v>6°2°6226IFTLA6</v>
          </cell>
          <cell r="B422" t="str">
            <v>6°2°</v>
          </cell>
          <cell r="C422">
            <v>622</v>
          </cell>
          <cell r="D422" t="str">
            <v>6IFTLA6</v>
          </cell>
          <cell r="E422">
            <v>2681873</v>
          </cell>
          <cell r="F422" t="str">
            <v xml:space="preserve">LAB DE APLICACIONES </v>
          </cell>
          <cell r="G422">
            <v>26174351</v>
          </cell>
          <cell r="H422"/>
          <cell r="I422" t="str">
            <v xml:space="preserve">GOMEZ ANALIA </v>
          </cell>
          <cell r="J422"/>
          <cell r="K422"/>
          <cell r="L422" t="str">
            <v xml:space="preserve"> </v>
          </cell>
          <cell r="M422" t="str">
            <v xml:space="preserve"> </v>
          </cell>
          <cell r="N422" t="str">
            <v>TITULAR</v>
          </cell>
          <cell r="O422" t="str">
            <v xml:space="preserve">GOMEZ ANALIA </v>
          </cell>
          <cell r="P422" t="str">
            <v xml:space="preserve"> </v>
          </cell>
        </row>
        <row r="423">
          <cell r="A423" t="str">
            <v>6°4°6ELITS</v>
          </cell>
          <cell r="B423" t="str">
            <v>6°4°</v>
          </cell>
          <cell r="C423"/>
          <cell r="D423" t="str">
            <v>6ELITS</v>
          </cell>
          <cell r="E423">
            <v>2683102</v>
          </cell>
          <cell r="F423" t="str">
            <v>LITERATURA</v>
          </cell>
          <cell r="G423" t="str">
            <v>27-23.441.991-4</v>
          </cell>
          <cell r="H423"/>
          <cell r="I423" t="str">
            <v>ALFONSO</v>
          </cell>
          <cell r="J423"/>
          <cell r="K423"/>
          <cell r="L423" t="str">
            <v xml:space="preserve"> </v>
          </cell>
          <cell r="M423" t="str">
            <v xml:space="preserve"> </v>
          </cell>
          <cell r="N423" t="str">
            <v>TITULAR</v>
          </cell>
          <cell r="O423" t="str">
            <v>ALFONSO</v>
          </cell>
          <cell r="P423" t="str">
            <v xml:space="preserve"> </v>
          </cell>
        </row>
        <row r="424">
          <cell r="A424" t="str">
            <v>6°4°6EINGS</v>
          </cell>
          <cell r="B424" t="str">
            <v>6°4°</v>
          </cell>
          <cell r="C424"/>
          <cell r="D424" t="str">
            <v>6EINGS</v>
          </cell>
          <cell r="E424">
            <v>2683103</v>
          </cell>
          <cell r="F424" t="str">
            <v>INGLÉS</v>
          </cell>
          <cell r="G424" t="str">
            <v>27-29.433.432-2</v>
          </cell>
          <cell r="H424"/>
          <cell r="I424" t="str">
            <v xml:space="preserve">ARCE KARINA </v>
          </cell>
          <cell r="J424"/>
          <cell r="K424"/>
          <cell r="L424" t="str">
            <v xml:space="preserve"> </v>
          </cell>
          <cell r="M424" t="str">
            <v xml:space="preserve"> </v>
          </cell>
          <cell r="N424" t="str">
            <v>TITULAR</v>
          </cell>
          <cell r="O424" t="str">
            <v xml:space="preserve">ARCE KARINA </v>
          </cell>
          <cell r="P424" t="str">
            <v xml:space="preserve"> </v>
          </cell>
        </row>
        <row r="425">
          <cell r="A425" t="str">
            <v>6°4°6EEFIS</v>
          </cell>
          <cell r="B425" t="str">
            <v>6°4°</v>
          </cell>
          <cell r="C425"/>
          <cell r="D425" t="str">
            <v>6EEFIS</v>
          </cell>
          <cell r="E425">
            <v>2683104</v>
          </cell>
          <cell r="F425" t="str">
            <v>EDUCACIÓN FISICA</v>
          </cell>
          <cell r="G425"/>
          <cell r="H425"/>
          <cell r="I425" t="str">
            <v>RIOS, LEONARDO  20-34020185-0</v>
          </cell>
          <cell r="J425"/>
          <cell r="K425"/>
          <cell r="L425" t="str">
            <v xml:space="preserve"> </v>
          </cell>
          <cell r="M425" t="str">
            <v xml:space="preserve"> </v>
          </cell>
          <cell r="N425" t="str">
            <v>TITULAR</v>
          </cell>
          <cell r="O425" t="str">
            <v>RIOS, LEONARDO  20-34020185-0</v>
          </cell>
          <cell r="P425" t="str">
            <v xml:space="preserve"> </v>
          </cell>
        </row>
        <row r="426">
          <cell r="A426" t="str">
            <v>6°4°6EFILO</v>
          </cell>
          <cell r="B426" t="str">
            <v>6°4°</v>
          </cell>
          <cell r="C426"/>
          <cell r="D426" t="str">
            <v>6EFILO</v>
          </cell>
          <cell r="E426">
            <v>2683105</v>
          </cell>
          <cell r="F426" t="str">
            <v>FILOSOFIA</v>
          </cell>
          <cell r="G426"/>
          <cell r="H426">
            <v>26705268</v>
          </cell>
          <cell r="I426" t="str">
            <v>LETIERI, MANUEL</v>
          </cell>
          <cell r="J426"/>
          <cell r="K426"/>
          <cell r="L426" t="str">
            <v xml:space="preserve"> </v>
          </cell>
          <cell r="M426" t="str">
            <v xml:space="preserve"> </v>
          </cell>
          <cell r="N426" t="str">
            <v>TITULAR</v>
          </cell>
          <cell r="O426" t="str">
            <v>LETIERI, MANUEL</v>
          </cell>
          <cell r="P426" t="str">
            <v xml:space="preserve"> </v>
          </cell>
        </row>
        <row r="427">
          <cell r="A427" t="str">
            <v>6°4°6EARTE</v>
          </cell>
          <cell r="B427" t="str">
            <v>6°4°</v>
          </cell>
          <cell r="C427"/>
          <cell r="D427" t="str">
            <v>6EARTE</v>
          </cell>
          <cell r="E427">
            <v>2683106</v>
          </cell>
          <cell r="F427" t="str">
            <v>ARTE</v>
          </cell>
          <cell r="G427">
            <v>34789999</v>
          </cell>
          <cell r="H427"/>
          <cell r="I427"/>
          <cell r="J427"/>
          <cell r="K427" t="str">
            <v>FERNANDEZ MAXIMILIANO</v>
          </cell>
          <cell r="L427" t="str">
            <v xml:space="preserve"> </v>
          </cell>
          <cell r="M427" t="str">
            <v xml:space="preserve"> </v>
          </cell>
          <cell r="N427" t="str">
            <v>PROVISIONAL</v>
          </cell>
          <cell r="O427" t="str">
            <v>FERNANDEZ MAXIMILIANO</v>
          </cell>
          <cell r="P427" t="str">
            <v xml:space="preserve"> </v>
          </cell>
        </row>
        <row r="428">
          <cell r="A428" t="str">
            <v>6°4°6EMATAP</v>
          </cell>
          <cell r="B428" t="str">
            <v>6°4°</v>
          </cell>
          <cell r="C428"/>
          <cell r="D428" t="str">
            <v>6EMATAP</v>
          </cell>
          <cell r="E428">
            <v>2683107</v>
          </cell>
          <cell r="F428" t="str">
            <v>MATEMATICA APLICADA</v>
          </cell>
          <cell r="G428">
            <v>23944999</v>
          </cell>
          <cell r="H428"/>
          <cell r="I428"/>
          <cell r="J428">
            <v>27464627</v>
          </cell>
          <cell r="K428" t="str">
            <v>WEBBER BRIAN</v>
          </cell>
          <cell r="L428" t="str">
            <v xml:space="preserve"> </v>
          </cell>
          <cell r="M428" t="str">
            <v xml:space="preserve"> </v>
          </cell>
          <cell r="N428" t="str">
            <v>PROVISIONAL</v>
          </cell>
          <cell r="O428" t="str">
            <v>WEBBER BRIAN</v>
          </cell>
          <cell r="P428" t="str">
            <v xml:space="preserve"> </v>
          </cell>
        </row>
        <row r="429">
          <cell r="A429" t="str">
            <v>6°4°6ESISCO</v>
          </cell>
          <cell r="B429" t="str">
            <v>6°4°</v>
          </cell>
          <cell r="C429"/>
          <cell r="D429" t="str">
            <v>6ESISCO</v>
          </cell>
          <cell r="E429">
            <v>2683108</v>
          </cell>
          <cell r="F429" t="str">
            <v>SISTEMA DE COMUNICACIONES</v>
          </cell>
          <cell r="G429"/>
          <cell r="H429"/>
          <cell r="I429"/>
          <cell r="J429">
            <v>44655</v>
          </cell>
          <cell r="K429" t="str">
            <v>DELGADO ARIEL</v>
          </cell>
          <cell r="L429" t="str">
            <v xml:space="preserve"> </v>
          </cell>
          <cell r="M429" t="str">
            <v xml:space="preserve"> </v>
          </cell>
          <cell r="N429" t="str">
            <v>PROVISIONAL</v>
          </cell>
          <cell r="O429" t="str">
            <v>DELGADO ARIEL</v>
          </cell>
          <cell r="P429" t="str">
            <v xml:space="preserve"> </v>
          </cell>
        </row>
        <row r="430">
          <cell r="A430" t="str">
            <v>6°4°6EINSMA</v>
          </cell>
          <cell r="B430" t="str">
            <v>6°4°</v>
          </cell>
          <cell r="C430"/>
          <cell r="D430" t="str">
            <v>6EINSMA</v>
          </cell>
          <cell r="E430">
            <v>2683109</v>
          </cell>
          <cell r="F430" t="str">
            <v>INSTALACIONES Y MAQUINAS ELECTRICAS</v>
          </cell>
          <cell r="G430"/>
          <cell r="H430"/>
          <cell r="I430"/>
          <cell r="J430">
            <v>26024164</v>
          </cell>
          <cell r="K430" t="str">
            <v xml:space="preserve">SAUCEDO GUSTAVO </v>
          </cell>
          <cell r="L430" t="str">
            <v xml:space="preserve"> </v>
          </cell>
          <cell r="M430" t="str">
            <v xml:space="preserve"> </v>
          </cell>
          <cell r="N430" t="str">
            <v>PROVISIONAL</v>
          </cell>
          <cell r="O430" t="str">
            <v xml:space="preserve">SAUCEDO GUSTAVO </v>
          </cell>
          <cell r="P430" t="str">
            <v xml:space="preserve"> </v>
          </cell>
        </row>
        <row r="431">
          <cell r="A431" t="str">
            <v>6°4°6ESIPRO</v>
          </cell>
          <cell r="B431" t="str">
            <v>6°4°</v>
          </cell>
          <cell r="C431"/>
          <cell r="D431" t="str">
            <v>6ESIPRO</v>
          </cell>
          <cell r="E431">
            <v>2683110</v>
          </cell>
          <cell r="F431" t="str">
            <v>SISTEMA PRODUCTIVO</v>
          </cell>
          <cell r="G431"/>
          <cell r="H431"/>
          <cell r="I431"/>
          <cell r="J431" t="str">
            <v>20-25.454.930-5</v>
          </cell>
          <cell r="K431" t="str">
            <v>CORDOBA ALEJANDRO</v>
          </cell>
          <cell r="L431">
            <v>23086757</v>
          </cell>
          <cell r="M431" t="str">
            <v>VERON, DAIANA A 27-34985561-0</v>
          </cell>
          <cell r="N431" t="str">
            <v>SUPLENTE</v>
          </cell>
          <cell r="O431" t="str">
            <v>VERON, DAIANA A 27-34985561-0</v>
          </cell>
          <cell r="P431" t="str">
            <v xml:space="preserve"> </v>
          </cell>
        </row>
        <row r="432">
          <cell r="A432" t="str">
            <v>6°4°6EDETRA</v>
          </cell>
          <cell r="B432" t="str">
            <v>6°4°</v>
          </cell>
          <cell r="C432"/>
          <cell r="D432" t="str">
            <v>6EDETRA</v>
          </cell>
          <cell r="E432">
            <v>2683111</v>
          </cell>
          <cell r="F432" t="str">
            <v>DERECHO DE TRABAJO</v>
          </cell>
          <cell r="G432">
            <v>27946097</v>
          </cell>
          <cell r="H432"/>
          <cell r="I432" t="str">
            <v xml:space="preserve">GORDILLO NORA </v>
          </cell>
          <cell r="J432"/>
          <cell r="K432"/>
          <cell r="L432" t="str">
            <v xml:space="preserve"> </v>
          </cell>
          <cell r="M432" t="str">
            <v xml:space="preserve"> </v>
          </cell>
          <cell r="N432" t="str">
            <v>TITULAR</v>
          </cell>
          <cell r="O432" t="str">
            <v xml:space="preserve">GORDILLO NORA </v>
          </cell>
          <cell r="P432" t="str">
            <v xml:space="preserve"> </v>
          </cell>
        </row>
        <row r="433">
          <cell r="A433" t="str">
            <v>6°4°6416ELENE6</v>
          </cell>
          <cell r="B433" t="str">
            <v>6°4°</v>
          </cell>
          <cell r="C433">
            <v>641</v>
          </cell>
          <cell r="D433" t="str">
            <v>6ELENE6</v>
          </cell>
          <cell r="E433">
            <v>2683112</v>
          </cell>
          <cell r="F433" t="str">
            <v>LENGUAJES ELECTRONICOS</v>
          </cell>
          <cell r="G433"/>
          <cell r="H433"/>
          <cell r="I433"/>
          <cell r="J433"/>
          <cell r="K433" t="str">
            <v>GONANO, GERMAN S</v>
          </cell>
          <cell r="L433" t="str">
            <v xml:space="preserve"> </v>
          </cell>
          <cell r="M433" t="str">
            <v xml:space="preserve"> </v>
          </cell>
          <cell r="N433" t="str">
            <v>PROVISIONAL</v>
          </cell>
          <cell r="O433" t="str">
            <v>GONANO, GERMAN S</v>
          </cell>
          <cell r="P433" t="str">
            <v xml:space="preserve"> </v>
          </cell>
        </row>
        <row r="434">
          <cell r="A434" t="str">
            <v>6°4°6416EFTAE6</v>
          </cell>
          <cell r="B434" t="str">
            <v>6°4°</v>
          </cell>
          <cell r="C434">
            <v>641</v>
          </cell>
          <cell r="D434" t="str">
            <v>6EFTAE6</v>
          </cell>
          <cell r="E434">
            <v>2683113</v>
          </cell>
          <cell r="F434" t="str">
            <v>APLIC ELECT ANALOG</v>
          </cell>
          <cell r="G434"/>
          <cell r="H434"/>
          <cell r="I434"/>
          <cell r="J434">
            <v>18383726</v>
          </cell>
          <cell r="K434" t="str">
            <v xml:space="preserve">MARTINEZ, SILVIO </v>
          </cell>
          <cell r="L434" t="str">
            <v xml:space="preserve"> </v>
          </cell>
          <cell r="M434" t="str">
            <v xml:space="preserve"> </v>
          </cell>
          <cell r="N434" t="str">
            <v>PROVISIONAL</v>
          </cell>
          <cell r="O434" t="str">
            <v xml:space="preserve">MARTINEZ, SILVIO </v>
          </cell>
          <cell r="P434" t="str">
            <v xml:space="preserve"> </v>
          </cell>
        </row>
        <row r="435">
          <cell r="A435" t="str">
            <v>6°4°6416EFTED6</v>
          </cell>
          <cell r="B435" t="str">
            <v>6°4°</v>
          </cell>
          <cell r="C435">
            <v>641</v>
          </cell>
          <cell r="D435" t="str">
            <v>6EFTED6</v>
          </cell>
          <cell r="E435">
            <v>2683114</v>
          </cell>
          <cell r="F435" t="str">
            <v xml:space="preserve">APLIC ELECTR DIGITAL </v>
          </cell>
          <cell r="G435"/>
          <cell r="H435"/>
          <cell r="I435"/>
          <cell r="J435">
            <v>26114670</v>
          </cell>
          <cell r="K435" t="str">
            <v>BULACIO ARIEL</v>
          </cell>
          <cell r="L435">
            <v>20402521458</v>
          </cell>
          <cell r="M435" t="str">
            <v>GAUNA FEDERICO</v>
          </cell>
          <cell r="N435" t="str">
            <v>SUPLENTE</v>
          </cell>
          <cell r="O435" t="str">
            <v>GAUNA FEDERICO</v>
          </cell>
          <cell r="P435" t="str">
            <v xml:space="preserve"> </v>
          </cell>
        </row>
        <row r="436">
          <cell r="A436" t="str">
            <v>6°4°6416EFTMP6</v>
          </cell>
          <cell r="B436" t="str">
            <v>6°4°</v>
          </cell>
          <cell r="C436">
            <v>641</v>
          </cell>
          <cell r="D436" t="str">
            <v>6EFTMP6</v>
          </cell>
          <cell r="E436">
            <v>2683116</v>
          </cell>
          <cell r="F436" t="str">
            <v xml:space="preserve">MONTAJE DE PROYECTO ELECTRONICOS </v>
          </cell>
          <cell r="G436">
            <v>26024164</v>
          </cell>
          <cell r="H436" t="str">
            <v>(MASIVA)</v>
          </cell>
          <cell r="I436" t="str">
            <v>SAUCEDO GUSTAVO</v>
          </cell>
          <cell r="J436"/>
          <cell r="K436"/>
          <cell r="L436" t="str">
            <v xml:space="preserve"> </v>
          </cell>
          <cell r="M436" t="str">
            <v xml:space="preserve"> </v>
          </cell>
          <cell r="N436" t="str">
            <v>TITULAR</v>
          </cell>
          <cell r="O436" t="str">
            <v>SAUCEDO GUSTAVO</v>
          </cell>
          <cell r="P436" t="str">
            <v xml:space="preserve"> </v>
          </cell>
        </row>
        <row r="437">
          <cell r="A437" t="str">
            <v>6°4°6426ELENE6</v>
          </cell>
          <cell r="B437" t="str">
            <v>6°4°</v>
          </cell>
          <cell r="C437">
            <v>642</v>
          </cell>
          <cell r="D437" t="str">
            <v>6ELENE6</v>
          </cell>
          <cell r="E437">
            <v>2683118</v>
          </cell>
          <cell r="F437" t="str">
            <v>LENGUAJES ELECTRONICOS</v>
          </cell>
          <cell r="G437">
            <v>18192893</v>
          </cell>
          <cell r="H437" t="str">
            <v xml:space="preserve"> (MASIVA)</v>
          </cell>
          <cell r="I437"/>
          <cell r="J437"/>
          <cell r="K437" t="str">
            <v>GONANO GERMAN</v>
          </cell>
          <cell r="L437" t="str">
            <v xml:space="preserve"> </v>
          </cell>
          <cell r="M437" t="str">
            <v xml:space="preserve"> </v>
          </cell>
          <cell r="N437" t="str">
            <v>PROVISIONAL</v>
          </cell>
          <cell r="O437" t="str">
            <v>GONANO GERMAN</v>
          </cell>
          <cell r="P437" t="str">
            <v xml:space="preserve"> </v>
          </cell>
        </row>
        <row r="438">
          <cell r="A438" t="str">
            <v>6°4°6426EFTAE6</v>
          </cell>
          <cell r="B438" t="str">
            <v>6°4°</v>
          </cell>
          <cell r="C438">
            <v>642</v>
          </cell>
          <cell r="D438" t="str">
            <v>6EFTAE6</v>
          </cell>
          <cell r="E438">
            <v>2683119</v>
          </cell>
          <cell r="F438" t="str">
            <v>APLIC ELECT ANALOG</v>
          </cell>
          <cell r="G438"/>
          <cell r="H438"/>
          <cell r="I438"/>
          <cell r="J438">
            <v>26114670</v>
          </cell>
          <cell r="K438" t="str">
            <v>BULACIO ARIEL</v>
          </cell>
          <cell r="L438"/>
          <cell r="M438" t="str">
            <v xml:space="preserve"> </v>
          </cell>
          <cell r="N438" t="str">
            <v>PROVISIONAL</v>
          </cell>
          <cell r="O438" t="str">
            <v>BULACIO ARIEL</v>
          </cell>
          <cell r="P438" t="str">
            <v xml:space="preserve"> </v>
          </cell>
        </row>
        <row r="439">
          <cell r="A439" t="str">
            <v>6°4°6426EFTED6</v>
          </cell>
          <cell r="B439" t="str">
            <v>6°4°</v>
          </cell>
          <cell r="C439">
            <v>642</v>
          </cell>
          <cell r="D439" t="str">
            <v>6EFTED6</v>
          </cell>
          <cell r="E439">
            <v>2683120</v>
          </cell>
          <cell r="F439" t="str">
            <v xml:space="preserve">APLIC ELECTR DIGITAL </v>
          </cell>
          <cell r="G439">
            <v>16354054</v>
          </cell>
          <cell r="H439" t="str">
            <v>(MASIVA)</v>
          </cell>
          <cell r="I439"/>
          <cell r="J439">
            <v>20274646277</v>
          </cell>
          <cell r="K439" t="str">
            <v>BARONI ROBERTO ALEJANDRO</v>
          </cell>
          <cell r="L439" t="str">
            <v xml:space="preserve"> </v>
          </cell>
          <cell r="M439" t="str">
            <v xml:space="preserve"> </v>
          </cell>
          <cell r="N439" t="str">
            <v>PROVISIONAL</v>
          </cell>
          <cell r="O439" t="str">
            <v>BARONI ROBERTO ALEJANDRO</v>
          </cell>
          <cell r="P439" t="str">
            <v xml:space="preserve"> </v>
          </cell>
        </row>
        <row r="440">
          <cell r="A440" t="str">
            <v>6°4°6426EFTMP6</v>
          </cell>
          <cell r="B440" t="str">
            <v>6°4°</v>
          </cell>
          <cell r="C440">
            <v>642</v>
          </cell>
          <cell r="D440" t="str">
            <v>6EFTMP6</v>
          </cell>
          <cell r="E440">
            <v>2683121</v>
          </cell>
          <cell r="F440" t="str">
            <v xml:space="preserve">MONTAJE DE PROYECTO ELECTRONICOS </v>
          </cell>
          <cell r="G440">
            <v>26024164</v>
          </cell>
          <cell r="H440" t="str">
            <v>(MASIVA)</v>
          </cell>
          <cell r="I440" t="str">
            <v>SAUCEDO GUSTAVO</v>
          </cell>
          <cell r="J440"/>
          <cell r="K440"/>
          <cell r="L440" t="str">
            <v xml:space="preserve"> </v>
          </cell>
          <cell r="M440" t="str">
            <v xml:space="preserve"> </v>
          </cell>
          <cell r="N440" t="str">
            <v>TITULAR</v>
          </cell>
          <cell r="O440" t="str">
            <v>SAUCEDO GUSTAVO</v>
          </cell>
          <cell r="P440" t="str">
            <v xml:space="preserve"> </v>
          </cell>
        </row>
        <row r="441">
          <cell r="A441" t="str">
            <v>7°1°7117IPPSIN</v>
          </cell>
          <cell r="B441" t="str">
            <v>7°1°</v>
          </cell>
          <cell r="C441">
            <v>711</v>
          </cell>
          <cell r="D441" t="str">
            <v>7IPPSIN</v>
          </cell>
          <cell r="E441">
            <v>1913682</v>
          </cell>
          <cell r="F441" t="str">
            <v>PRACTICAS PROFESIONALIZANTES</v>
          </cell>
          <cell r="G441"/>
          <cell r="H441"/>
          <cell r="I441"/>
          <cell r="J441"/>
          <cell r="K441" t="str">
            <v>DANIEL PAZ</v>
          </cell>
          <cell r="L441" t="str">
            <v xml:space="preserve"> </v>
          </cell>
          <cell r="M441" t="str">
            <v xml:space="preserve"> </v>
          </cell>
          <cell r="N441" t="str">
            <v>PROVISIONAL</v>
          </cell>
          <cell r="O441" t="str">
            <v>DANIEL PAZ</v>
          </cell>
          <cell r="P441" t="str">
            <v xml:space="preserve"> </v>
          </cell>
        </row>
        <row r="442">
          <cell r="A442" t="str">
            <v>7°1°7IPPDLO</v>
          </cell>
          <cell r="B442" t="str">
            <v>7°1°</v>
          </cell>
          <cell r="C442"/>
          <cell r="D442" t="str">
            <v>7IPPDLO</v>
          </cell>
          <cell r="E442">
            <v>1913687</v>
          </cell>
          <cell r="F442" t="str">
            <v>EMPRENDIMIENTO PRODUCTIVO Y DESARROLLO LOCAL</v>
          </cell>
          <cell r="G442"/>
          <cell r="H442"/>
          <cell r="I442"/>
          <cell r="J442"/>
          <cell r="K442" t="str">
            <v>CARPITELLA FABIAN</v>
          </cell>
          <cell r="L442" t="str">
            <v xml:space="preserve"> </v>
          </cell>
          <cell r="M442" t="str">
            <v xml:space="preserve"> </v>
          </cell>
          <cell r="N442" t="str">
            <v>PROVISIONAL</v>
          </cell>
          <cell r="O442" t="str">
            <v>CARPITELLA FABIAN</v>
          </cell>
          <cell r="P442" t="str">
            <v xml:space="preserve"> </v>
          </cell>
        </row>
        <row r="443">
          <cell r="A443" t="str">
            <v>7°1°7IEVPRO</v>
          </cell>
          <cell r="B443" t="str">
            <v>7°1°</v>
          </cell>
          <cell r="C443"/>
          <cell r="D443" t="str">
            <v>7IEVPRO</v>
          </cell>
          <cell r="E443">
            <v>1913689</v>
          </cell>
          <cell r="F443" t="str">
            <v>EVALUACION DE PROYECTO</v>
          </cell>
          <cell r="G443"/>
          <cell r="H443"/>
          <cell r="I443"/>
          <cell r="J443"/>
          <cell r="K443" t="str">
            <v>ROCHA JULIETA</v>
          </cell>
          <cell r="L443" t="str">
            <v xml:space="preserve"> </v>
          </cell>
          <cell r="M443" t="str">
            <v xml:space="preserve"> </v>
          </cell>
          <cell r="N443" t="str">
            <v>PROVISIONAL</v>
          </cell>
          <cell r="O443" t="str">
            <v>ROCHA JULIETA</v>
          </cell>
          <cell r="P443" t="str">
            <v xml:space="preserve"> </v>
          </cell>
        </row>
        <row r="444">
          <cell r="A444" t="str">
            <v>7°1°7IMOSIS</v>
          </cell>
          <cell r="B444" t="str">
            <v>7°1°</v>
          </cell>
          <cell r="C444"/>
          <cell r="D444" t="str">
            <v>7IMOSIS</v>
          </cell>
          <cell r="E444">
            <v>1913692</v>
          </cell>
          <cell r="F444" t="str">
            <v>MODELOS Y SISTEMAS</v>
          </cell>
          <cell r="G444" t="str">
            <v xml:space="preserve"> 27-21.065.864-0</v>
          </cell>
          <cell r="H444"/>
          <cell r="I444"/>
          <cell r="J444"/>
          <cell r="K444" t="str">
            <v>ROCHA JULIETA</v>
          </cell>
          <cell r="L444" t="str">
            <v xml:space="preserve"> </v>
          </cell>
          <cell r="M444" t="str">
            <v xml:space="preserve"> </v>
          </cell>
          <cell r="N444" t="str">
            <v>PROVISIONAL</v>
          </cell>
          <cell r="O444" t="str">
            <v>ROCHA JULIETA</v>
          </cell>
          <cell r="P444" t="str">
            <v xml:space="preserve"> </v>
          </cell>
        </row>
        <row r="445">
          <cell r="A445" t="str">
            <v>7°1°7IBADAT</v>
          </cell>
          <cell r="B445" t="str">
            <v>7°1°</v>
          </cell>
          <cell r="C445"/>
          <cell r="D445" t="str">
            <v>7IBADAT</v>
          </cell>
          <cell r="E445">
            <v>1913695</v>
          </cell>
          <cell r="F445" t="str">
            <v>BASE DE DATOS</v>
          </cell>
          <cell r="G445"/>
          <cell r="H445"/>
          <cell r="I445"/>
          <cell r="J445"/>
          <cell r="K445" t="str">
            <v>WITT  GERARDO</v>
          </cell>
          <cell r="L445" t="str">
            <v xml:space="preserve"> </v>
          </cell>
          <cell r="M445" t="str">
            <v xml:space="preserve"> </v>
          </cell>
          <cell r="N445" t="str">
            <v>PROVISIONAL</v>
          </cell>
          <cell r="O445" t="str">
            <v>WITT  GERARDO</v>
          </cell>
          <cell r="P445" t="str">
            <v xml:space="preserve"> </v>
          </cell>
        </row>
        <row r="446">
          <cell r="A446" t="str">
            <v>7°1°7117IPDISC</v>
          </cell>
          <cell r="B446" t="str">
            <v>7°1°</v>
          </cell>
          <cell r="C446">
            <v>711</v>
          </cell>
          <cell r="D446" t="str">
            <v>7IPDISC</v>
          </cell>
          <cell r="E446">
            <v>1913696</v>
          </cell>
          <cell r="F446" t="str">
            <v>PROYECTO, DISEÑO E IMPLEMENTACION DE SISTEMAS COMPUTACIONALES</v>
          </cell>
          <cell r="G446"/>
          <cell r="H446"/>
          <cell r="I446"/>
          <cell r="J446">
            <v>20051192</v>
          </cell>
          <cell r="K446" t="str">
            <v>CARPITELLA FABIAN</v>
          </cell>
          <cell r="L446" t="str">
            <v xml:space="preserve"> </v>
          </cell>
          <cell r="M446" t="str">
            <v xml:space="preserve"> </v>
          </cell>
          <cell r="N446" t="str">
            <v>PROVISIONAL</v>
          </cell>
          <cell r="O446" t="str">
            <v>CARPITELLA FABIAN</v>
          </cell>
          <cell r="P446" t="str">
            <v xml:space="preserve"> </v>
          </cell>
        </row>
        <row r="447">
          <cell r="A447" t="str">
            <v>7°1°7117IIMRSC</v>
          </cell>
          <cell r="B447" t="str">
            <v>7°1°</v>
          </cell>
          <cell r="C447">
            <v>711</v>
          </cell>
          <cell r="D447" t="str">
            <v>7IIMRSC</v>
          </cell>
          <cell r="E447">
            <v>1913702</v>
          </cell>
          <cell r="F447" t="str">
            <v>INSTALACION, MANTENIMIENTO Y REPARACION DE SISTEMAS COMPUTACIONALES-</v>
          </cell>
          <cell r="G447">
            <v>16019055</v>
          </cell>
          <cell r="H447"/>
          <cell r="I447"/>
          <cell r="J447"/>
          <cell r="K447" t="str">
            <v>AÑASCO, GABRIEL  20-36089659-6</v>
          </cell>
          <cell r="L447" t="str">
            <v xml:space="preserve"> </v>
          </cell>
          <cell r="M447" t="str">
            <v xml:space="preserve"> </v>
          </cell>
          <cell r="N447" t="str">
            <v>PROVISIONAL</v>
          </cell>
          <cell r="O447" t="str">
            <v>AÑASCO, GABRIEL  20-36089659-6</v>
          </cell>
          <cell r="P447" t="str">
            <v xml:space="preserve"> </v>
          </cell>
        </row>
        <row r="448">
          <cell r="A448" t="str">
            <v>7°1°7117IIMRRI</v>
          </cell>
          <cell r="B448" t="str">
            <v>7°1°</v>
          </cell>
          <cell r="C448">
            <v>711</v>
          </cell>
          <cell r="D448" t="str">
            <v>7IIMRRI</v>
          </cell>
          <cell r="E448">
            <v>1913707</v>
          </cell>
          <cell r="F448" t="str">
            <v xml:space="preserve">INSTALACION, MANTENIMIENTO Y REPARACION DE REDES INFORMATICAS- </v>
          </cell>
          <cell r="G448">
            <v>24862276</v>
          </cell>
          <cell r="H448"/>
          <cell r="I448" t="str">
            <v xml:space="preserve">COLINA PATRICIA </v>
          </cell>
          <cell r="J448"/>
          <cell r="K448"/>
          <cell r="L448">
            <v>23086757</v>
          </cell>
          <cell r="M448" t="str">
            <v>DELLA VECCHIA</v>
          </cell>
          <cell r="N448" t="str">
            <v>SUPLENTE</v>
          </cell>
          <cell r="O448" t="str">
            <v>DELLA VECCHIA</v>
          </cell>
          <cell r="P448" t="str">
            <v xml:space="preserve"> </v>
          </cell>
        </row>
        <row r="449">
          <cell r="A449" t="str">
            <v>7°1°7127IPDISC</v>
          </cell>
          <cell r="B449" t="str">
            <v>7°1°</v>
          </cell>
          <cell r="C449">
            <v>712</v>
          </cell>
          <cell r="D449" t="str">
            <v>7IPDISC</v>
          </cell>
          <cell r="E449">
            <v>1913712</v>
          </cell>
          <cell r="F449" t="str">
            <v>PROYECTO, DISEÑO E IMPLEMENTACION DE SISTEMAS COMPUTACIONALES</v>
          </cell>
          <cell r="G449"/>
          <cell r="H449"/>
          <cell r="I449"/>
          <cell r="J449">
            <v>20051192</v>
          </cell>
          <cell r="K449" t="str">
            <v>CARPITELLA FABIAN</v>
          </cell>
          <cell r="L449" t="str">
            <v xml:space="preserve"> </v>
          </cell>
          <cell r="M449" t="str">
            <v xml:space="preserve"> </v>
          </cell>
          <cell r="N449" t="str">
            <v>PROVISIONAL</v>
          </cell>
          <cell r="O449" t="str">
            <v>CARPITELLA FABIAN</v>
          </cell>
          <cell r="P449" t="str">
            <v xml:space="preserve"> </v>
          </cell>
        </row>
        <row r="450">
          <cell r="A450" t="str">
            <v>7°1°7127IIMRSC</v>
          </cell>
          <cell r="B450" t="str">
            <v>7°1°</v>
          </cell>
          <cell r="C450">
            <v>712</v>
          </cell>
          <cell r="D450" t="str">
            <v>7IIMRSC</v>
          </cell>
          <cell r="E450">
            <v>1913725</v>
          </cell>
          <cell r="F450" t="str">
            <v>INSTALACION, MANTENIMIENTO Y REPARACION DE SISTEMAS COMPUTACIONALES-</v>
          </cell>
          <cell r="G450">
            <v>24862276</v>
          </cell>
          <cell r="H450" t="str">
            <v>(MASIVA)</v>
          </cell>
          <cell r="I450" t="str">
            <v>COLINA PATRICIA</v>
          </cell>
          <cell r="J450"/>
          <cell r="K450"/>
          <cell r="L450">
            <v>23086757</v>
          </cell>
          <cell r="M450" t="str">
            <v>MELGARJO. VERONICA</v>
          </cell>
          <cell r="N450" t="str">
            <v>SUPLENTE</v>
          </cell>
          <cell r="O450" t="str">
            <v>MELGARJO. VERONICA</v>
          </cell>
          <cell r="P450" t="str">
            <v xml:space="preserve"> </v>
          </cell>
        </row>
        <row r="451">
          <cell r="A451" t="str">
            <v>7°1°7127IIMRRI</v>
          </cell>
          <cell r="B451" t="str">
            <v>7°1°</v>
          </cell>
          <cell r="C451">
            <v>712</v>
          </cell>
          <cell r="D451" t="str">
            <v>7IIMRRI</v>
          </cell>
          <cell r="E451">
            <v>1913731</v>
          </cell>
          <cell r="F451" t="str">
            <v xml:space="preserve">INSTALACION, MANTENIMIENTO Y REPARACION DE REDES INFORMATICAS- </v>
          </cell>
          <cell r="G451" t="str">
            <v xml:space="preserve"> 27-21.065.864-0</v>
          </cell>
          <cell r="H451"/>
          <cell r="I451"/>
          <cell r="J451"/>
          <cell r="K451" t="str">
            <v xml:space="preserve">DELLA VECCHIA </v>
          </cell>
          <cell r="L451">
            <v>0</v>
          </cell>
          <cell r="M451" t="str">
            <v>DELLA VECCHIA I</v>
          </cell>
          <cell r="N451" t="str">
            <v>SUPLENTE</v>
          </cell>
          <cell r="O451" t="str">
            <v>DELLA VECCHIA I</v>
          </cell>
          <cell r="P451" t="str">
            <v xml:space="preserve"> </v>
          </cell>
        </row>
        <row r="452">
          <cell r="A452" t="str">
            <v>7°2°7EPPSEL</v>
          </cell>
          <cell r="B452" t="str">
            <v>7°2°</v>
          </cell>
          <cell r="C452"/>
          <cell r="D452" t="str">
            <v>7EPPSEL</v>
          </cell>
          <cell r="E452">
            <v>1913823</v>
          </cell>
          <cell r="F452" t="str">
            <v>PRACTICAS PROFESIONALIZANTES</v>
          </cell>
          <cell r="G452"/>
          <cell r="H452"/>
          <cell r="I452"/>
          <cell r="J452">
            <v>26024164</v>
          </cell>
          <cell r="K452" t="str">
            <v>SAUCEDO GUSTAVO</v>
          </cell>
          <cell r="L452" t="str">
            <v xml:space="preserve"> </v>
          </cell>
          <cell r="M452" t="str">
            <v xml:space="preserve"> </v>
          </cell>
          <cell r="N452" t="str">
            <v>PROVISIONAL</v>
          </cell>
          <cell r="O452" t="str">
            <v>SAUCEDO GUSTAVO</v>
          </cell>
          <cell r="P452" t="str">
            <v xml:space="preserve"> </v>
          </cell>
        </row>
        <row r="453">
          <cell r="A453" t="str">
            <v>7°2°7EPPDLO</v>
          </cell>
          <cell r="B453" t="str">
            <v>7°2°</v>
          </cell>
          <cell r="C453"/>
          <cell r="D453" t="str">
            <v>7EPPDLO</v>
          </cell>
          <cell r="E453">
            <v>1913829</v>
          </cell>
          <cell r="F453" t="str">
            <v>EMPRENDIMIENTO PRODUCTIVO Y DESARROLLO LOCAL</v>
          </cell>
          <cell r="G453"/>
          <cell r="H453"/>
          <cell r="I453"/>
          <cell r="J453">
            <v>34777466</v>
          </cell>
          <cell r="K453" t="str">
            <v>QUINTANA RAMON</v>
          </cell>
          <cell r="L453">
            <v>23086757</v>
          </cell>
          <cell r="M453" t="str">
            <v>GUTIERREZ NICOLAS</v>
          </cell>
          <cell r="N453" t="str">
            <v>SUPLENTE</v>
          </cell>
          <cell r="O453" t="str">
            <v>GUTIERREZ NICOLAS</v>
          </cell>
          <cell r="P453" t="str">
            <v xml:space="preserve"> </v>
          </cell>
        </row>
        <row r="454">
          <cell r="A454" t="str">
            <v>7°2°7ESIDCO</v>
          </cell>
          <cell r="B454" t="str">
            <v>7°2°</v>
          </cell>
          <cell r="C454"/>
          <cell r="D454" t="str">
            <v>7ESIDCO</v>
          </cell>
          <cell r="E454">
            <v>1913831</v>
          </cell>
          <cell r="F454" t="str">
            <v>SISTEMA DE CONTROL</v>
          </cell>
          <cell r="G454"/>
          <cell r="H454"/>
          <cell r="I454"/>
          <cell r="J454">
            <v>26024164</v>
          </cell>
          <cell r="K454" t="str">
            <v>SAUCEDO GUSTAVO</v>
          </cell>
          <cell r="L454" t="str">
            <v xml:space="preserve"> </v>
          </cell>
          <cell r="M454" t="str">
            <v xml:space="preserve"> </v>
          </cell>
          <cell r="N454" t="str">
            <v>PROVISIONAL</v>
          </cell>
          <cell r="O454" t="str">
            <v>SAUCEDO GUSTAVO</v>
          </cell>
          <cell r="P454" t="str">
            <v xml:space="preserve"> </v>
          </cell>
        </row>
        <row r="455">
          <cell r="A455" t="str">
            <v>7°2°7ESISDC</v>
          </cell>
          <cell r="B455" t="str">
            <v>7°2°</v>
          </cell>
          <cell r="C455"/>
          <cell r="D455" t="str">
            <v>7ESISDC</v>
          </cell>
          <cell r="E455">
            <v>1913836</v>
          </cell>
          <cell r="F455" t="str">
            <v>SISTEMAS DE COMUNICACIONES</v>
          </cell>
          <cell r="G455"/>
          <cell r="H455"/>
          <cell r="I455"/>
          <cell r="J455">
            <v>34777466</v>
          </cell>
          <cell r="K455" t="str">
            <v>QUINTANA RAMON</v>
          </cell>
          <cell r="L455">
            <v>23086757</v>
          </cell>
          <cell r="M455" t="str">
            <v>SERENO, LEONEL</v>
          </cell>
          <cell r="N455" t="str">
            <v>SUPLENTE</v>
          </cell>
          <cell r="O455" t="str">
            <v>SERENO, LEONEL</v>
          </cell>
          <cell r="P455" t="str">
            <v xml:space="preserve"> </v>
          </cell>
        </row>
        <row r="456">
          <cell r="A456" t="str">
            <v>7°2°7ESEHPA</v>
          </cell>
          <cell r="B456" t="str">
            <v>7°2°</v>
          </cell>
          <cell r="C456"/>
          <cell r="D456" t="str">
            <v>7ESEHPA</v>
          </cell>
          <cell r="E456">
            <v>1913839</v>
          </cell>
          <cell r="F456" t="str">
            <v>SEGURIDAD, HIGIENE Y PROTECCION AMBIENTAL</v>
          </cell>
          <cell r="G456"/>
          <cell r="H456"/>
          <cell r="I456"/>
          <cell r="J456">
            <v>25515302</v>
          </cell>
          <cell r="K456" t="str">
            <v>ARGAÑARAZ ANGEL</v>
          </cell>
          <cell r="L456" t="str">
            <v xml:space="preserve"> </v>
          </cell>
          <cell r="M456" t="str">
            <v xml:space="preserve"> </v>
          </cell>
          <cell r="N456" t="str">
            <v>PROVISIONAL</v>
          </cell>
          <cell r="O456" t="str">
            <v>ARGAÑARAZ ANGEL</v>
          </cell>
          <cell r="P456" t="str">
            <v xml:space="preserve"> </v>
          </cell>
        </row>
        <row r="457">
          <cell r="A457" t="str">
            <v>7°2°7217EPRODE</v>
          </cell>
          <cell r="B457" t="str">
            <v>7°2°</v>
          </cell>
          <cell r="C457">
            <v>721</v>
          </cell>
          <cell r="D457" t="str">
            <v>7EPRODE</v>
          </cell>
          <cell r="E457">
            <v>1913842</v>
          </cell>
          <cell r="F457" t="str">
            <v xml:space="preserve">PROYECTO Y DISEÑO ELECTRONICO </v>
          </cell>
          <cell r="G457"/>
          <cell r="H457"/>
          <cell r="I457"/>
          <cell r="J457" t="str">
            <v>20-25.454.930-5</v>
          </cell>
          <cell r="K457" t="str">
            <v>CORDOBA ALEJANDRO</v>
          </cell>
          <cell r="L457">
            <v>0</v>
          </cell>
          <cell r="M457" t="str">
            <v>GUTIERREZ NICOLAS</v>
          </cell>
          <cell r="N457" t="str">
            <v>SUPLENTE</v>
          </cell>
          <cell r="O457" t="str">
            <v>GUTIERREZ NICOLAS</v>
          </cell>
          <cell r="P457" t="str">
            <v xml:space="preserve"> </v>
          </cell>
        </row>
        <row r="458">
          <cell r="A458" t="str">
            <v>7°2°7217EINSIN</v>
          </cell>
          <cell r="B458" t="str">
            <v>7°2°</v>
          </cell>
          <cell r="C458">
            <v>721</v>
          </cell>
          <cell r="D458" t="str">
            <v>7EINSIN</v>
          </cell>
          <cell r="E458">
            <v>1913852</v>
          </cell>
          <cell r="F458" t="str">
            <v>INSTALACIONES INDUSTRIALES</v>
          </cell>
          <cell r="G458"/>
          <cell r="H458"/>
          <cell r="I458"/>
          <cell r="J458">
            <v>26024164</v>
          </cell>
          <cell r="K458" t="str">
            <v>SAUCEDO GUSTAVO</v>
          </cell>
          <cell r="L458" t="str">
            <v xml:space="preserve"> </v>
          </cell>
          <cell r="M458" t="str">
            <v xml:space="preserve"> </v>
          </cell>
          <cell r="N458" t="str">
            <v>PROVISIONAL</v>
          </cell>
          <cell r="O458" t="str">
            <v>SAUCEDO GUSTAVO</v>
          </cell>
          <cell r="P458" t="str">
            <v xml:space="preserve"> </v>
          </cell>
        </row>
        <row r="459">
          <cell r="A459" t="str">
            <v>7°2°7217EELEAP</v>
          </cell>
          <cell r="B459" t="str">
            <v>7°2°</v>
          </cell>
          <cell r="C459">
            <v>721</v>
          </cell>
          <cell r="D459" t="str">
            <v>7EELEAP</v>
          </cell>
          <cell r="E459">
            <v>1913862</v>
          </cell>
          <cell r="F459" t="str">
            <v>ELECTRONICA APLICADA</v>
          </cell>
          <cell r="G459"/>
          <cell r="H459"/>
          <cell r="I459"/>
          <cell r="J459"/>
          <cell r="K459" t="str">
            <v>GUTIERREZ NICOLAS</v>
          </cell>
          <cell r="L459" t="str">
            <v xml:space="preserve"> </v>
          </cell>
          <cell r="M459" t="str">
            <v xml:space="preserve"> </v>
          </cell>
          <cell r="N459" t="str">
            <v>PROVISIONAL</v>
          </cell>
          <cell r="O459" t="str">
            <v>GUTIERREZ NICOLAS</v>
          </cell>
          <cell r="P459" t="str">
            <v xml:space="preserve"> </v>
          </cell>
        </row>
        <row r="460">
          <cell r="A460" t="str">
            <v>7°2°7227EPRODE</v>
          </cell>
          <cell r="B460" t="str">
            <v>7°2°</v>
          </cell>
          <cell r="C460">
            <v>722</v>
          </cell>
          <cell r="D460" t="str">
            <v>7EPRODE</v>
          </cell>
          <cell r="E460">
            <v>1913848</v>
          </cell>
          <cell r="F460" t="str">
            <v xml:space="preserve">PROYECTO Y DISEÑO ELECTRONICO </v>
          </cell>
          <cell r="G460"/>
          <cell r="H460"/>
          <cell r="I460"/>
          <cell r="J460" t="str">
            <v>20-25.454.930-5</v>
          </cell>
          <cell r="K460" t="str">
            <v>CORDOBA ALEJANDRO</v>
          </cell>
          <cell r="L460" t="str">
            <v xml:space="preserve"> </v>
          </cell>
          <cell r="M460" t="str">
            <v xml:space="preserve"> </v>
          </cell>
          <cell r="N460" t="str">
            <v>PROVISIONAL</v>
          </cell>
          <cell r="O460" t="str">
            <v>CORDOBA ALEJANDRO</v>
          </cell>
          <cell r="P460" t="str">
            <v xml:space="preserve"> </v>
          </cell>
        </row>
        <row r="461">
          <cell r="A461" t="str">
            <v>7°2°7227EINSIN</v>
          </cell>
          <cell r="B461" t="str">
            <v>7°2°</v>
          </cell>
          <cell r="C461">
            <v>722</v>
          </cell>
          <cell r="D461" t="str">
            <v>7EINSIN</v>
          </cell>
          <cell r="E461">
            <v>1913857</v>
          </cell>
          <cell r="F461" t="str">
            <v>INSTALACIONES INDUSTRIALES</v>
          </cell>
          <cell r="G461"/>
          <cell r="H461"/>
          <cell r="I461"/>
          <cell r="J461">
            <v>23086757</v>
          </cell>
          <cell r="K461" t="str">
            <v>SERENO, LEONEL</v>
          </cell>
          <cell r="L461" t="str">
            <v xml:space="preserve"> </v>
          </cell>
          <cell r="M461" t="str">
            <v xml:space="preserve"> </v>
          </cell>
          <cell r="N461" t="str">
            <v>PROVISIONAL</v>
          </cell>
          <cell r="O461" t="str">
            <v>SERENO, LEONEL</v>
          </cell>
          <cell r="P461" t="str">
            <v xml:space="preserve"> </v>
          </cell>
        </row>
        <row r="462">
          <cell r="A462" t="str">
            <v>7°2°7227EELEAP</v>
          </cell>
          <cell r="B462" t="str">
            <v>7°2°</v>
          </cell>
          <cell r="C462">
            <v>722</v>
          </cell>
          <cell r="D462" t="str">
            <v>7EELEAP</v>
          </cell>
          <cell r="E462">
            <v>1913864</v>
          </cell>
          <cell r="F462" t="str">
            <v>ELECTRONICA APLICADA</v>
          </cell>
          <cell r="G462"/>
          <cell r="H462"/>
          <cell r="I462"/>
          <cell r="J462"/>
          <cell r="K462" t="str">
            <v>MARTINCUS, GASTON</v>
          </cell>
          <cell r="L462">
            <v>0</v>
          </cell>
          <cell r="M462" t="str">
            <v>GUTIERREZ NICOLAS</v>
          </cell>
          <cell r="N462" t="str">
            <v>SUPLENTE</v>
          </cell>
          <cell r="O462" t="str">
            <v>GUTIERREZ NICOLAS</v>
          </cell>
          <cell r="P462" t="str">
            <v xml:space="preserve"> </v>
          </cell>
        </row>
        <row r="463">
          <cell r="A463" t="str">
            <v>6°3°6ELITS</v>
          </cell>
          <cell r="B463" t="str">
            <v>6°3°</v>
          </cell>
          <cell r="C463"/>
          <cell r="D463" t="str">
            <v>6ELITS</v>
          </cell>
          <cell r="E463">
            <v>2625739</v>
          </cell>
          <cell r="F463" t="str">
            <v>LITERATURA</v>
          </cell>
          <cell r="G463" t="str">
            <v>17.521.161-1 ACREC. 2020</v>
          </cell>
          <cell r="H463"/>
          <cell r="I463" t="str">
            <v>ARANDA NELIDA 27-</v>
          </cell>
          <cell r="J463"/>
          <cell r="K463"/>
          <cell r="L463" t="str">
            <v xml:space="preserve"> </v>
          </cell>
          <cell r="M463" t="str">
            <v xml:space="preserve"> </v>
          </cell>
          <cell r="N463" t="str">
            <v>TITULAR</v>
          </cell>
          <cell r="O463" t="str">
            <v>ARANDA NELIDA 27-</v>
          </cell>
          <cell r="P463"/>
        </row>
        <row r="464">
          <cell r="A464" t="str">
            <v>6°3°6EINGS</v>
          </cell>
          <cell r="B464" t="str">
            <v>6°3°</v>
          </cell>
          <cell r="C464"/>
          <cell r="D464" t="str">
            <v>6EINGS</v>
          </cell>
          <cell r="E464">
            <v>2625763</v>
          </cell>
          <cell r="F464" t="str">
            <v>INGLÉS</v>
          </cell>
          <cell r="G464" t="str">
            <v xml:space="preserve"> 27-32.120.676-5</v>
          </cell>
          <cell r="H464"/>
          <cell r="I464" t="str">
            <v>RAMIREZ GISELE</v>
          </cell>
          <cell r="J464"/>
          <cell r="K464"/>
          <cell r="L464" t="str">
            <v xml:space="preserve"> </v>
          </cell>
          <cell r="M464" t="str">
            <v xml:space="preserve"> </v>
          </cell>
          <cell r="N464" t="str">
            <v>TITULAR</v>
          </cell>
          <cell r="O464" t="str">
            <v>RAMIREZ GISELE</v>
          </cell>
          <cell r="P464"/>
        </row>
        <row r="465">
          <cell r="A465" t="str">
            <v>6°3°6EEFIS</v>
          </cell>
          <cell r="B465" t="str">
            <v>6°3°</v>
          </cell>
          <cell r="C465"/>
          <cell r="D465" t="str">
            <v>6EEFIS</v>
          </cell>
          <cell r="E465">
            <v>2625769</v>
          </cell>
          <cell r="F465" t="str">
            <v>EDUCACIÓN FISICA</v>
          </cell>
          <cell r="G465"/>
          <cell r="H465"/>
          <cell r="I465"/>
          <cell r="J465">
            <v>29569203</v>
          </cell>
          <cell r="K465" t="str">
            <v xml:space="preserve">LUDUEÑA NELSON </v>
          </cell>
          <cell r="L465" t="str">
            <v xml:space="preserve"> </v>
          </cell>
          <cell r="M465" t="str">
            <v xml:space="preserve"> </v>
          </cell>
          <cell r="N465" t="str">
            <v>PROVISIONAL</v>
          </cell>
          <cell r="O465" t="str">
            <v xml:space="preserve">LUDUEÑA NELSON </v>
          </cell>
          <cell r="P465"/>
        </row>
        <row r="466">
          <cell r="A466" t="str">
            <v>6°3°6EFILO</v>
          </cell>
          <cell r="B466" t="str">
            <v>6°3°</v>
          </cell>
          <cell r="C466"/>
          <cell r="D466" t="str">
            <v>6EFILO</v>
          </cell>
          <cell r="E466">
            <v>2625787</v>
          </cell>
          <cell r="F466" t="str">
            <v>FILOSOFIA</v>
          </cell>
          <cell r="G466"/>
          <cell r="H466"/>
          <cell r="I466" t="str">
            <v>LETIERI, MANUEL</v>
          </cell>
          <cell r="J466"/>
          <cell r="K466"/>
          <cell r="L466" t="str">
            <v xml:space="preserve"> </v>
          </cell>
          <cell r="M466" t="str">
            <v xml:space="preserve"> </v>
          </cell>
          <cell r="N466" t="str">
            <v>TITULAR</v>
          </cell>
          <cell r="O466" t="str">
            <v>LETIERI, MANUEL</v>
          </cell>
          <cell r="P466"/>
        </row>
        <row r="467">
          <cell r="A467" t="str">
            <v>6°3°6EARTE</v>
          </cell>
          <cell r="B467" t="str">
            <v>6°3°</v>
          </cell>
          <cell r="C467"/>
          <cell r="D467" t="str">
            <v>6EARTE</v>
          </cell>
          <cell r="E467">
            <v>2625794</v>
          </cell>
          <cell r="F467" t="str">
            <v>ARTE</v>
          </cell>
          <cell r="G467"/>
          <cell r="H467"/>
          <cell r="I467"/>
          <cell r="J467">
            <v>20261199638</v>
          </cell>
          <cell r="K467" t="str">
            <v xml:space="preserve">MANSILLA SANTIAGO </v>
          </cell>
          <cell r="L467" t="str">
            <v xml:space="preserve"> </v>
          </cell>
          <cell r="M467" t="str">
            <v xml:space="preserve"> </v>
          </cell>
          <cell r="N467" t="str">
            <v>PROVISIONAL</v>
          </cell>
          <cell r="O467" t="str">
            <v xml:space="preserve">MANSILLA SANTIAGO </v>
          </cell>
          <cell r="P467"/>
        </row>
        <row r="468">
          <cell r="A468" t="str">
            <v>6°3°6EMATAP</v>
          </cell>
          <cell r="B468" t="str">
            <v>6°3°</v>
          </cell>
          <cell r="C468"/>
          <cell r="D468" t="str">
            <v>6EMATAP</v>
          </cell>
          <cell r="E468">
            <v>2625798</v>
          </cell>
          <cell r="F468" t="str">
            <v>MATEMATICA APLICADA</v>
          </cell>
          <cell r="G468">
            <v>23944999</v>
          </cell>
          <cell r="H468"/>
          <cell r="I468"/>
          <cell r="J468"/>
          <cell r="K468" t="str">
            <v>GARCIA CLAUDIA</v>
          </cell>
          <cell r="L468" t="str">
            <v xml:space="preserve"> </v>
          </cell>
          <cell r="M468" t="str">
            <v xml:space="preserve"> </v>
          </cell>
          <cell r="N468" t="str">
            <v>PROVISIONAL</v>
          </cell>
          <cell r="O468" t="str">
            <v>GARCIA CLAUDIA</v>
          </cell>
          <cell r="P468"/>
        </row>
        <row r="469">
          <cell r="A469" t="str">
            <v>6°3°6ESISCO</v>
          </cell>
          <cell r="B469" t="str">
            <v>6°3°</v>
          </cell>
          <cell r="C469"/>
          <cell r="D469" t="str">
            <v>6ESISCO</v>
          </cell>
          <cell r="E469">
            <v>2625804</v>
          </cell>
          <cell r="F469" t="str">
            <v>SISTEMA DE COMUNICACIONES</v>
          </cell>
          <cell r="G469"/>
          <cell r="H469"/>
          <cell r="I469"/>
          <cell r="J469"/>
          <cell r="K469" t="str">
            <v>PARTOR SOLORZANO</v>
          </cell>
          <cell r="L469" t="str">
            <v xml:space="preserve"> </v>
          </cell>
          <cell r="M469" t="str">
            <v xml:space="preserve"> </v>
          </cell>
          <cell r="N469" t="str">
            <v>PROVISIONAL</v>
          </cell>
          <cell r="O469" t="str">
            <v>PARTOR SOLORZANO</v>
          </cell>
          <cell r="P469"/>
        </row>
        <row r="470">
          <cell r="A470" t="str">
            <v>6°3°6EINSMA</v>
          </cell>
          <cell r="B470" t="str">
            <v>6°3°</v>
          </cell>
          <cell r="C470"/>
          <cell r="D470" t="str">
            <v>6EINSMA</v>
          </cell>
          <cell r="E470">
            <v>2625811</v>
          </cell>
          <cell r="F470" t="str">
            <v>INSTALACIONES Y MAQUINAS ELECTRICAS</v>
          </cell>
          <cell r="G470"/>
          <cell r="H470"/>
          <cell r="I470"/>
          <cell r="J470"/>
          <cell r="K470" t="str">
            <v>GUTIERREZ NICOLAS</v>
          </cell>
          <cell r="L470" t="str">
            <v xml:space="preserve"> </v>
          </cell>
          <cell r="M470" t="str">
            <v xml:space="preserve"> </v>
          </cell>
          <cell r="N470" t="str">
            <v>PROVISIONAL</v>
          </cell>
          <cell r="O470" t="str">
            <v>GUTIERREZ NICOLAS</v>
          </cell>
          <cell r="P470"/>
        </row>
        <row r="471">
          <cell r="A471" t="str">
            <v>6°3°6ESIPRO</v>
          </cell>
          <cell r="B471" t="str">
            <v>6°3°</v>
          </cell>
          <cell r="C471"/>
          <cell r="D471" t="str">
            <v>6ESIPRO</v>
          </cell>
          <cell r="E471">
            <v>2625816</v>
          </cell>
          <cell r="F471" t="str">
            <v>SISTEMA PRODUCTIVO</v>
          </cell>
          <cell r="G471"/>
          <cell r="H471"/>
          <cell r="I471"/>
          <cell r="J471">
            <v>20257340253</v>
          </cell>
          <cell r="K471" t="str">
            <v xml:space="preserve">IBARRA ALEJANDRO   </v>
          </cell>
          <cell r="L471" t="str">
            <v xml:space="preserve"> </v>
          </cell>
          <cell r="M471" t="str">
            <v xml:space="preserve"> </v>
          </cell>
          <cell r="N471" t="str">
            <v>PROVISIONAL</v>
          </cell>
          <cell r="O471" t="str">
            <v xml:space="preserve">IBARRA ALEJANDRO   </v>
          </cell>
          <cell r="P471"/>
        </row>
        <row r="472">
          <cell r="A472" t="str">
            <v>6°3°6EDETRA</v>
          </cell>
          <cell r="B472" t="str">
            <v>6°3°</v>
          </cell>
          <cell r="C472"/>
          <cell r="D472" t="str">
            <v>6EDETRA</v>
          </cell>
          <cell r="E472">
            <v>2625823</v>
          </cell>
          <cell r="F472" t="str">
            <v>DERECHO DE TRABAJO</v>
          </cell>
          <cell r="G472"/>
          <cell r="H472"/>
          <cell r="I472"/>
          <cell r="J472">
            <v>27370189299</v>
          </cell>
          <cell r="K472" t="str">
            <v>IRIGOYTIA PECCORELLI JULIE</v>
          </cell>
          <cell r="L472" t="str">
            <v xml:space="preserve"> </v>
          </cell>
          <cell r="M472" t="str">
            <v xml:space="preserve"> </v>
          </cell>
          <cell r="N472" t="str">
            <v>PROVISIONAL</v>
          </cell>
          <cell r="O472" t="str">
            <v>IRIGOYTIA PECCORELLI JULIE</v>
          </cell>
          <cell r="P472"/>
        </row>
        <row r="473">
          <cell r="A473" t="str">
            <v>6°3°6316ELENE6</v>
          </cell>
          <cell r="B473" t="str">
            <v>6°3°</v>
          </cell>
          <cell r="C473">
            <v>631</v>
          </cell>
          <cell r="D473" t="str">
            <v>6ELENE6</v>
          </cell>
          <cell r="E473">
            <v>2625831</v>
          </cell>
          <cell r="F473" t="str">
            <v>LENGUAJES ELECTRONICOS</v>
          </cell>
          <cell r="G473"/>
          <cell r="H473"/>
          <cell r="I473"/>
          <cell r="J473"/>
          <cell r="K473" t="str">
            <v xml:space="preserve">BARONI, ROBERTO </v>
          </cell>
          <cell r="L473" t="str">
            <v xml:space="preserve"> </v>
          </cell>
          <cell r="M473" t="str">
            <v xml:space="preserve"> </v>
          </cell>
          <cell r="N473" t="str">
            <v>PROVISIONAL</v>
          </cell>
          <cell r="O473" t="str">
            <v xml:space="preserve">BARONI, ROBERTO </v>
          </cell>
          <cell r="P473"/>
        </row>
        <row r="474">
          <cell r="A474" t="str">
            <v>6°3°6316EFTAE6</v>
          </cell>
          <cell r="B474" t="str">
            <v>6°3°</v>
          </cell>
          <cell r="C474">
            <v>631</v>
          </cell>
          <cell r="D474" t="str">
            <v>6EFTAE6</v>
          </cell>
          <cell r="E474">
            <v>2625837</v>
          </cell>
          <cell r="F474" t="str">
            <v>APLIC ELECT ANALOG</v>
          </cell>
          <cell r="G474"/>
          <cell r="H474"/>
          <cell r="I474"/>
          <cell r="J474"/>
          <cell r="K474" t="str">
            <v>GUTIERREZ NICOLAS</v>
          </cell>
          <cell r="L474" t="str">
            <v xml:space="preserve"> </v>
          </cell>
          <cell r="M474" t="str">
            <v xml:space="preserve"> </v>
          </cell>
          <cell r="N474" t="str">
            <v>PROVISIONAL</v>
          </cell>
          <cell r="O474" t="str">
            <v>GUTIERREZ NICOLAS</v>
          </cell>
          <cell r="P474"/>
        </row>
        <row r="475">
          <cell r="A475" t="str">
            <v>6°3°6316EFTED6</v>
          </cell>
          <cell r="B475" t="str">
            <v>6°3°</v>
          </cell>
          <cell r="C475">
            <v>631</v>
          </cell>
          <cell r="D475" t="str">
            <v>6EFTED6</v>
          </cell>
          <cell r="E475">
            <v>2625846</v>
          </cell>
          <cell r="F475" t="str">
            <v xml:space="preserve">APLIC ELECTR DIGITAL </v>
          </cell>
          <cell r="G475"/>
          <cell r="H475"/>
          <cell r="I475"/>
          <cell r="J475"/>
          <cell r="K475" t="str">
            <v xml:space="preserve">FISTER (Serv.Prov) </v>
          </cell>
          <cell r="L475" t="str">
            <v xml:space="preserve"> </v>
          </cell>
          <cell r="M475" t="str">
            <v xml:space="preserve"> </v>
          </cell>
          <cell r="N475" t="str">
            <v>PROVISIONAL</v>
          </cell>
          <cell r="O475" t="str">
            <v xml:space="preserve">FISTER (Serv.Prov) </v>
          </cell>
          <cell r="P475"/>
        </row>
        <row r="476">
          <cell r="A476" t="str">
            <v>6°3°6316EFTMP6</v>
          </cell>
          <cell r="B476" t="str">
            <v>6°3°</v>
          </cell>
          <cell r="C476">
            <v>631</v>
          </cell>
          <cell r="D476" t="str">
            <v>6EFTMP6</v>
          </cell>
          <cell r="E476">
            <v>2625254</v>
          </cell>
          <cell r="F476" t="str">
            <v xml:space="preserve">MONTAJE DE PROYECTO ELECTRONICOS </v>
          </cell>
          <cell r="G476"/>
          <cell r="H476"/>
          <cell r="I476"/>
          <cell r="J476"/>
          <cell r="K476" t="str">
            <v>GUTIERREZ NICOLAS</v>
          </cell>
          <cell r="L476" t="str">
            <v xml:space="preserve"> </v>
          </cell>
          <cell r="M476" t="str">
            <v xml:space="preserve"> </v>
          </cell>
          <cell r="N476" t="str">
            <v>PROVISIONAL</v>
          </cell>
          <cell r="O476" t="str">
            <v>GUTIERREZ NICOLAS</v>
          </cell>
          <cell r="P476"/>
        </row>
        <row r="477">
          <cell r="A477" t="str">
            <v>6°3°6326ELENE6</v>
          </cell>
          <cell r="B477" t="str">
            <v>6°3°</v>
          </cell>
          <cell r="C477">
            <v>632</v>
          </cell>
          <cell r="D477" t="str">
            <v>6ELENE6</v>
          </cell>
          <cell r="E477">
            <v>2625861</v>
          </cell>
          <cell r="F477" t="str">
            <v>LENGUAJES ELECTRONICOS</v>
          </cell>
          <cell r="G477"/>
          <cell r="H477"/>
          <cell r="I477"/>
          <cell r="J477"/>
          <cell r="K477" t="str">
            <v>HERRERA, STELLA</v>
          </cell>
          <cell r="L477" t="str">
            <v xml:space="preserve"> </v>
          </cell>
          <cell r="M477" t="str">
            <v xml:space="preserve"> </v>
          </cell>
          <cell r="N477" t="str">
            <v>PROVISIONAL</v>
          </cell>
          <cell r="O477" t="str">
            <v>HERRERA, STELLA</v>
          </cell>
          <cell r="P477"/>
        </row>
        <row r="478">
          <cell r="A478" t="str">
            <v>6°3°6326EFTAE6</v>
          </cell>
          <cell r="B478" t="str">
            <v>6°3°</v>
          </cell>
          <cell r="C478">
            <v>632</v>
          </cell>
          <cell r="D478" t="str">
            <v>6EFTAE6</v>
          </cell>
          <cell r="E478">
            <v>2625867</v>
          </cell>
          <cell r="F478" t="str">
            <v>APLIC ELECT ANALOG</v>
          </cell>
          <cell r="G478"/>
          <cell r="H478"/>
          <cell r="I478"/>
          <cell r="J478"/>
          <cell r="K478" t="str">
            <v>LOPEZ, JONATHAN</v>
          </cell>
          <cell r="L478" t="str">
            <v xml:space="preserve"> </v>
          </cell>
          <cell r="M478" t="str">
            <v xml:space="preserve"> </v>
          </cell>
          <cell r="N478" t="str">
            <v>PROVISIONAL</v>
          </cell>
          <cell r="O478" t="str">
            <v>LOPEZ, JONATHAN</v>
          </cell>
          <cell r="P478"/>
        </row>
        <row r="479">
          <cell r="A479" t="str">
            <v>6°3°6326EFTED6</v>
          </cell>
          <cell r="B479" t="str">
            <v>6°3°</v>
          </cell>
          <cell r="C479">
            <v>632</v>
          </cell>
          <cell r="D479" t="str">
            <v>6EFTED6</v>
          </cell>
          <cell r="E479">
            <v>2625874</v>
          </cell>
          <cell r="F479" t="str">
            <v xml:space="preserve">APLIC ELECTR DIGITAL </v>
          </cell>
          <cell r="G479"/>
          <cell r="H479"/>
          <cell r="I479"/>
          <cell r="J479"/>
          <cell r="K479" t="str">
            <v>GONANO, GERMAN S</v>
          </cell>
          <cell r="L479" t="str">
            <v xml:space="preserve"> </v>
          </cell>
          <cell r="M479" t="str">
            <v xml:space="preserve"> </v>
          </cell>
          <cell r="N479" t="str">
            <v>PROVISIONAL</v>
          </cell>
          <cell r="O479" t="str">
            <v>GONANO, GERMAN S</v>
          </cell>
          <cell r="P479"/>
        </row>
        <row r="480">
          <cell r="A480" t="str">
            <v>6°3°6326EFTMP6</v>
          </cell>
          <cell r="B480" t="str">
            <v>6°3°</v>
          </cell>
          <cell r="C480">
            <v>632</v>
          </cell>
          <cell r="D480" t="str">
            <v>6EFTMP6</v>
          </cell>
          <cell r="E480">
            <v>2625876</v>
          </cell>
          <cell r="F480" t="str">
            <v xml:space="preserve">MONTAJE DE PROYECTO ELECTRONICOS </v>
          </cell>
          <cell r="G480"/>
          <cell r="H480"/>
          <cell r="I480"/>
          <cell r="J480"/>
          <cell r="K480" t="str">
            <v>GUTIERREZ NICOLAS</v>
          </cell>
          <cell r="L480" t="str">
            <v xml:space="preserve"> </v>
          </cell>
          <cell r="M480" t="str">
            <v xml:space="preserve"> </v>
          </cell>
          <cell r="N480" t="str">
            <v>PROVISIONAL</v>
          </cell>
          <cell r="O480" t="str">
            <v>GUTIERREZ NICOLAS</v>
          </cell>
          <cell r="P480"/>
        </row>
        <row r="481">
          <cell r="A481" t="str">
            <v>7°3°7IPPDLO</v>
          </cell>
          <cell r="B481" t="str">
            <v>7°3°</v>
          </cell>
          <cell r="C481"/>
          <cell r="D481" t="str">
            <v>7IPPDLO</v>
          </cell>
          <cell r="E481">
            <v>2775762</v>
          </cell>
          <cell r="F481" t="str">
            <v>EMPRENDIMIENTO PRODUCTIVO Y DESARROLLO LOCAL</v>
          </cell>
          <cell r="G481"/>
          <cell r="H481"/>
          <cell r="I481"/>
          <cell r="J481" t="str">
            <v>23-41.942.264-4</v>
          </cell>
          <cell r="K481" t="str">
            <v xml:space="preserve">ROCHA JULIETA </v>
          </cell>
          <cell r="L481"/>
          <cell r="M481" t="str">
            <v xml:space="preserve"> </v>
          </cell>
          <cell r="N481" t="str">
            <v>PROVISIONAL</v>
          </cell>
          <cell r="O481" t="str">
            <v xml:space="preserve">ROCHA JULIETA </v>
          </cell>
          <cell r="P481"/>
        </row>
        <row r="482">
          <cell r="A482" t="str">
            <v>7°3°7IEVPRO</v>
          </cell>
          <cell r="B482" t="str">
            <v>7°3°</v>
          </cell>
          <cell r="C482"/>
          <cell r="D482" t="str">
            <v>7IEVPRO</v>
          </cell>
          <cell r="E482">
            <v>2775764</v>
          </cell>
          <cell r="F482" t="str">
            <v>EVALUACION DE PROYECTO</v>
          </cell>
          <cell r="G482"/>
          <cell r="H482"/>
          <cell r="I482"/>
          <cell r="J482" t="str">
            <v>23-41.942.264-4</v>
          </cell>
          <cell r="K482" t="str">
            <v xml:space="preserve">ROCHA JULIETA </v>
          </cell>
          <cell r="L482"/>
          <cell r="M482" t="str">
            <v xml:space="preserve"> </v>
          </cell>
          <cell r="N482" t="str">
            <v>PROVISIONAL</v>
          </cell>
          <cell r="O482" t="str">
            <v xml:space="preserve">ROCHA JULIETA </v>
          </cell>
          <cell r="P482"/>
        </row>
        <row r="483">
          <cell r="A483" t="str">
            <v>7°3°7IMOSIS</v>
          </cell>
          <cell r="B483" t="str">
            <v>7°3°</v>
          </cell>
          <cell r="C483"/>
          <cell r="D483" t="str">
            <v>7IMOSIS</v>
          </cell>
          <cell r="E483">
            <v>2775766</v>
          </cell>
          <cell r="F483" t="str">
            <v>MODELOS Y SISTEMAS</v>
          </cell>
          <cell r="G483"/>
          <cell r="H483"/>
          <cell r="I483"/>
          <cell r="J483" t="str">
            <v>27-20.205.124-9</v>
          </cell>
          <cell r="K483" t="str">
            <v xml:space="preserve">MONTENEGRO CLAUDIA </v>
          </cell>
          <cell r="L483"/>
          <cell r="M483" t="str">
            <v xml:space="preserve"> </v>
          </cell>
          <cell r="N483" t="str">
            <v>PROVISIONAL</v>
          </cell>
          <cell r="O483" t="str">
            <v xml:space="preserve">MONTENEGRO CLAUDIA </v>
          </cell>
          <cell r="P483"/>
        </row>
        <row r="484">
          <cell r="A484" t="str">
            <v>7°3°7IBADAT</v>
          </cell>
          <cell r="B484" t="str">
            <v>7°3°</v>
          </cell>
          <cell r="C484"/>
          <cell r="D484" t="str">
            <v>7IBADAT</v>
          </cell>
          <cell r="E484">
            <v>2775768</v>
          </cell>
          <cell r="F484" t="str">
            <v>BASE DE DATOS</v>
          </cell>
          <cell r="G484"/>
          <cell r="H484"/>
          <cell r="I484"/>
          <cell r="J484" t="str">
            <v>20-27.704.739-0</v>
          </cell>
          <cell r="K484" t="str">
            <v xml:space="preserve">WITT GERARDO </v>
          </cell>
          <cell r="L484"/>
          <cell r="M484" t="str">
            <v xml:space="preserve"> </v>
          </cell>
          <cell r="N484" t="str">
            <v>PROVISIONAL</v>
          </cell>
          <cell r="O484" t="str">
            <v xml:space="preserve">WITT GERARDO </v>
          </cell>
          <cell r="P484"/>
        </row>
        <row r="485">
          <cell r="A485" t="str">
            <v>7°3°7317IPPSIN</v>
          </cell>
          <cell r="B485" t="str">
            <v>7°3°</v>
          </cell>
          <cell r="C485">
            <v>731</v>
          </cell>
          <cell r="D485" t="str">
            <v>7IPPSIN</v>
          </cell>
          <cell r="E485">
            <v>2775770</v>
          </cell>
          <cell r="F485" t="str">
            <v>PRACTICAS PROFESIONALIZANTES</v>
          </cell>
          <cell r="G485"/>
          <cell r="H485"/>
          <cell r="I485"/>
          <cell r="J485" t="str">
            <v xml:space="preserve">           20-23.639.282-2</v>
          </cell>
          <cell r="K485" t="str">
            <v xml:space="preserve">PAZ DANIEL                </v>
          </cell>
          <cell r="L485"/>
          <cell r="M485" t="str">
            <v xml:space="preserve"> </v>
          </cell>
          <cell r="N485" t="str">
            <v>PROVISIONAL</v>
          </cell>
          <cell r="O485" t="str">
            <v xml:space="preserve">PAZ DANIEL                </v>
          </cell>
          <cell r="P485"/>
        </row>
        <row r="486">
          <cell r="A486" t="str">
            <v>7°3°7317IPDISC</v>
          </cell>
          <cell r="B486" t="str">
            <v>7°3°</v>
          </cell>
          <cell r="C486">
            <v>731</v>
          </cell>
          <cell r="D486" t="str">
            <v>7IPDISC</v>
          </cell>
          <cell r="E486">
            <v>2775772</v>
          </cell>
          <cell r="F486" t="str">
            <v>PROYECTO, DISEÑO E IMPLEMENTACION DE SISTEMAS COMPUTACIONALES</v>
          </cell>
          <cell r="G486"/>
          <cell r="H486"/>
          <cell r="I486"/>
          <cell r="J486" t="str">
            <v xml:space="preserve"> 20-40252178-4</v>
          </cell>
          <cell r="K486" t="str">
            <v>GUTIERREZ ANGEL</v>
          </cell>
          <cell r="L486"/>
          <cell r="M486" t="str">
            <v xml:space="preserve"> </v>
          </cell>
          <cell r="N486" t="str">
            <v>PROVISIONAL</v>
          </cell>
          <cell r="O486" t="str">
            <v>GUTIERREZ ANGEL</v>
          </cell>
          <cell r="P486"/>
        </row>
        <row r="487">
          <cell r="A487" t="str">
            <v>7°3°7317IIMRSC</v>
          </cell>
          <cell r="B487" t="str">
            <v>7°3°</v>
          </cell>
          <cell r="C487">
            <v>731</v>
          </cell>
          <cell r="D487" t="str">
            <v>7IIMRSC</v>
          </cell>
          <cell r="E487">
            <v>2775774</v>
          </cell>
          <cell r="F487" t="str">
            <v>INSTALACION, MANTENIMIENTO Y REPARACION DE SISTEMAS COMPUTACIONALES-</v>
          </cell>
          <cell r="G487"/>
          <cell r="H487"/>
          <cell r="I487"/>
          <cell r="J487">
            <v>20274642913</v>
          </cell>
          <cell r="K487" t="str">
            <v xml:space="preserve"> GUZZO HUGO DANIEL</v>
          </cell>
          <cell r="L487"/>
          <cell r="M487" t="str">
            <v xml:space="preserve"> </v>
          </cell>
          <cell r="N487" t="str">
            <v>PROVISIONAL</v>
          </cell>
          <cell r="O487" t="str">
            <v xml:space="preserve"> GUZZO HUGO DANIEL</v>
          </cell>
          <cell r="P487"/>
        </row>
        <row r="488">
          <cell r="A488" t="str">
            <v>7°3°7317IIMRRI</v>
          </cell>
          <cell r="B488" t="str">
            <v>7°3°</v>
          </cell>
          <cell r="C488">
            <v>731</v>
          </cell>
          <cell r="D488" t="str">
            <v>7IIMRRI</v>
          </cell>
          <cell r="E488">
            <v>2775776</v>
          </cell>
          <cell r="F488" t="str">
            <v xml:space="preserve">INSTALACION, MANTENIMIENTO Y REPARACION DE REDES INFORMATICAS- </v>
          </cell>
          <cell r="G488"/>
          <cell r="H488"/>
          <cell r="I488"/>
          <cell r="J488" t="str">
            <v>CUIT  20279899041</v>
          </cell>
          <cell r="K488" t="str">
            <v xml:space="preserve">BECERRO MARIO </v>
          </cell>
          <cell r="L488"/>
          <cell r="M488" t="str">
            <v xml:space="preserve"> </v>
          </cell>
          <cell r="N488" t="str">
            <v>PROVISIONAL</v>
          </cell>
          <cell r="O488" t="str">
            <v xml:space="preserve">BECERRO MARIO </v>
          </cell>
          <cell r="P488"/>
        </row>
        <row r="489">
          <cell r="A489" t="str">
            <v>7°3°7327IPPSIN</v>
          </cell>
          <cell r="B489" t="str">
            <v>7°3°</v>
          </cell>
          <cell r="C489">
            <v>732</v>
          </cell>
          <cell r="D489" t="str">
            <v>7IPPSIN</v>
          </cell>
          <cell r="E489">
            <v>2775778</v>
          </cell>
          <cell r="F489" t="str">
            <v>PRACTICAS PROFESIONALIZANTES</v>
          </cell>
          <cell r="G489"/>
          <cell r="H489"/>
          <cell r="I489"/>
          <cell r="J489" t="str">
            <v xml:space="preserve">           20-23.639.282-2</v>
          </cell>
          <cell r="K489" t="str">
            <v xml:space="preserve">PAZ DANIEL                </v>
          </cell>
          <cell r="L489"/>
          <cell r="M489" t="str">
            <v xml:space="preserve"> </v>
          </cell>
          <cell r="N489" t="str">
            <v>PROVISIONAL</v>
          </cell>
          <cell r="O489" t="str">
            <v xml:space="preserve">PAZ DANIEL                </v>
          </cell>
          <cell r="P489"/>
        </row>
        <row r="490">
          <cell r="A490" t="str">
            <v>7°3°7327IPDISC</v>
          </cell>
          <cell r="B490" t="str">
            <v>7°3°</v>
          </cell>
          <cell r="C490">
            <v>732</v>
          </cell>
          <cell r="D490" t="str">
            <v>7IPDISC</v>
          </cell>
          <cell r="E490">
            <v>2775780</v>
          </cell>
          <cell r="F490" t="str">
            <v>PROYECTO, DISEÑO E IMPLEMENTACION DE SISTEMAS COMPUTACIONALES</v>
          </cell>
          <cell r="G490"/>
          <cell r="H490"/>
          <cell r="I490"/>
          <cell r="J490" t="str">
            <v xml:space="preserve"> 20-40252178-4</v>
          </cell>
          <cell r="K490" t="str">
            <v>GUTIERREZ ANGEL</v>
          </cell>
          <cell r="L490"/>
          <cell r="M490" t="str">
            <v xml:space="preserve"> </v>
          </cell>
          <cell r="N490" t="str">
            <v>PROVISIONAL</v>
          </cell>
          <cell r="O490" t="str">
            <v>GUTIERREZ ANGEL</v>
          </cell>
          <cell r="P490"/>
        </row>
        <row r="491">
          <cell r="A491" t="str">
            <v>7°3°7327IIMRSC</v>
          </cell>
          <cell r="B491" t="str">
            <v>7°3°</v>
          </cell>
          <cell r="C491">
            <v>732</v>
          </cell>
          <cell r="D491" t="str">
            <v>7IIMRSC</v>
          </cell>
          <cell r="E491">
            <v>2775781</v>
          </cell>
          <cell r="F491" t="str">
            <v>INSTALACION, MANTENIMIENTO Y REPARACION DE SISTEMAS COMPUTACIONALES-</v>
          </cell>
          <cell r="G491"/>
          <cell r="H491"/>
          <cell r="I491"/>
          <cell r="J491" t="str">
            <v xml:space="preserve"> CUIT 20338123125</v>
          </cell>
          <cell r="K491" t="str">
            <v>VILLALVA ESTEBAN</v>
          </cell>
          <cell r="L491"/>
          <cell r="M491" t="str">
            <v xml:space="preserve"> </v>
          </cell>
          <cell r="N491" t="str">
            <v>PROVISIONAL</v>
          </cell>
          <cell r="O491" t="str">
            <v>VILLALVA ESTEBAN</v>
          </cell>
          <cell r="P491"/>
        </row>
        <row r="492">
          <cell r="A492" t="str">
            <v>7°3°7327IIMRRI</v>
          </cell>
          <cell r="B492" t="str">
            <v>7°3°</v>
          </cell>
          <cell r="C492">
            <v>732</v>
          </cell>
          <cell r="D492" t="str">
            <v>7IIMRRI</v>
          </cell>
          <cell r="E492">
            <v>2775788</v>
          </cell>
          <cell r="F492" t="str">
            <v xml:space="preserve">INSTALACION, MANTENIMIENTO Y REPARACION DE REDES INFORMATICAS- </v>
          </cell>
          <cell r="G492"/>
          <cell r="H492"/>
          <cell r="I492"/>
          <cell r="J492" t="str">
            <v>CUIT  20279899041</v>
          </cell>
          <cell r="K492" t="str">
            <v xml:space="preserve">BECERRO MARIO </v>
          </cell>
          <cell r="L492"/>
          <cell r="M492" t="str">
            <v xml:space="preserve"> </v>
          </cell>
          <cell r="N492" t="str">
            <v>PROVISIONAL</v>
          </cell>
          <cell r="O492" t="str">
            <v xml:space="preserve">BECERRO MARIO </v>
          </cell>
          <cell r="P492"/>
        </row>
        <row r="493">
          <cell r="A493" t="str">
            <v>7°1°7127IPPSIN</v>
          </cell>
          <cell r="B493" t="str">
            <v>7°1°</v>
          </cell>
          <cell r="C493">
            <v>712</v>
          </cell>
          <cell r="D493" t="str">
            <v>7IPPSIN</v>
          </cell>
          <cell r="E493">
            <v>2779867</v>
          </cell>
          <cell r="F493" t="str">
            <v>PRACTICAS PROFESIONALIZANTES</v>
          </cell>
          <cell r="G493"/>
          <cell r="H493"/>
          <cell r="I493"/>
          <cell r="J493"/>
          <cell r="K493" t="str">
            <v>DANIEL PAZ</v>
          </cell>
          <cell r="L493" t="str">
            <v xml:space="preserve"> </v>
          </cell>
          <cell r="M493" t="str">
            <v xml:space="preserve"> </v>
          </cell>
          <cell r="N493" t="str">
            <v>PROVISIONAL</v>
          </cell>
          <cell r="O493" t="str">
            <v>DANIEL PAZ</v>
          </cell>
          <cell r="P493" t="str">
            <v xml:space="preserve"> </v>
          </cell>
        </row>
        <row r="494">
          <cell r="K494"/>
        </row>
      </sheetData>
      <sheetData sheetId="1"/>
      <sheetData sheetId="2"/>
      <sheetData sheetId="3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ab desarrollo" refreshedDate="46158.388075578703" createdVersion="6" refreshedVersion="5" minRefreshableVersion="3" recordCount="1216" xr:uid="{00000000-000A-0000-FFFF-FFFF00000000}">
  <cacheSource type="worksheet">
    <worksheetSource ref="A1:L1048576" sheet="LISTADO"/>
  </cacheSource>
  <cacheFields count="12">
    <cacheField name="CURSO" numFmtId="0">
      <sharedItems containsBlank="1" count="36">
        <s v="1°1°"/>
        <s v="3°5°"/>
        <s v="1°2°"/>
        <s v="1°3°"/>
        <s v="1°4°"/>
        <s v="2°1°"/>
        <s v="2°2°"/>
        <s v="2°3°"/>
        <s v="2°4°"/>
        <s v="2°5°"/>
        <s v="3°1°"/>
        <s v="3°2°"/>
        <s v="3°3°"/>
        <s v="3°4°"/>
        <s v="4°1°"/>
        <s v="4°2°"/>
        <s v="4°3°"/>
        <s v="4°4°"/>
        <s v="5°5°"/>
        <s v="5°3°"/>
        <s v="5°4°"/>
        <s v="5°1°"/>
        <s v="6°1°"/>
        <s v="6°2°"/>
        <s v="6°3°"/>
        <s v="6°4°"/>
        <s v="7°1°"/>
        <s v="7°2°"/>
        <s v="7°3°"/>
        <m/>
        <s v="" u="1"/>
        <s v="5°2°" u="1"/>
        <e v="#N/A" u="1"/>
        <s v="1°5°" u="1"/>
        <s v="1°6°" u="1"/>
        <s v="luV" u="1"/>
      </sharedItems>
    </cacheField>
    <cacheField name="CURSO2" numFmtId="0">
      <sharedItems containsBlank="1"/>
    </cacheField>
    <cacheField name="COM" numFmtId="0">
      <sharedItems containsString="0" containsBlank="1" containsNumber="1" containsInteger="1" minValue="0" maxValue="732"/>
    </cacheField>
    <cacheField name="cod" numFmtId="0">
      <sharedItems containsBlank="1"/>
    </cacheField>
    <cacheField name="H_D" numFmtId="0">
      <sharedItems containsBlank="1"/>
    </cacheField>
    <cacheField name="turno" numFmtId="0">
      <sharedItems containsBlank="1" count="5">
        <s v="MAÑANA"/>
        <s v="TARDE"/>
        <s v="VESPERTINO"/>
        <m/>
        <s v=" " u="1"/>
      </sharedItems>
    </cacheField>
    <cacheField name=" " numFmtId="0">
      <sharedItems containsBlank="1"/>
    </cacheField>
    <cacheField name="materia" numFmtId="0">
      <sharedItems containsBlank="1"/>
    </cacheField>
    <cacheField name="AULA" numFmtId="0">
      <sharedItems containsBlank="1" containsMixedTypes="1" containsNumber="1" containsInteger="1" minValue="12" maxValue="52"/>
    </cacheField>
    <cacheField name="aula_mov" numFmtId="0">
      <sharedItems containsBlank="1" containsMixedTypes="1" containsNumber="1" containsInteger="1" minValue="40" maxValue="7798026220290"/>
    </cacheField>
    <cacheField name="dia" numFmtId="0">
      <sharedItems containsBlank="1" count="10">
        <s v="JU"/>
        <s v="LU"/>
        <s v="MA"/>
        <s v="MI"/>
        <s v="VI"/>
        <s v=""/>
        <m/>
        <s v="J}" u="1"/>
        <s v="RE" u="1"/>
        <s v="ER" u="1"/>
      </sharedItems>
    </cacheField>
    <cacheField name="MODALIDAD" numFmtId="0">
      <sharedItems containsBlank="1" count="4">
        <m/>
        <s v="CONTRATURNO"/>
        <s v=" CONTRATURNO"/>
        <s v="dd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ab desarrollo" refreshedDate="46200.358933680553" createdVersion="6" refreshedVersion="5" minRefreshableVersion="3" recordCount="1220" xr:uid="{00000000-000A-0000-FFFF-FFFF01000000}">
  <cacheSource type="worksheet">
    <worksheetSource ref="AB1:AB1048576" sheet="LISTADO"/>
  </cacheSource>
  <cacheFields count="14">
    <cacheField name="CURSO" numFmtId="0">
      <sharedItems containsBlank="1"/>
    </cacheField>
    <cacheField name="CURSO2" numFmtId="0">
      <sharedItems containsBlank="1" count="1894">
        <s v="1°1°1JUMAÑANA0"/>
        <s v="1°1°1juTARDE111"/>
        <s v="1°1°1LUMAÑANA0"/>
        <s v="1°1°1LUTARDE111"/>
        <s v="1°1°1LUTARDE112"/>
        <s v="1°1°1MAMAÑANA0"/>
        <s v="1°1°1MATARDE0"/>
        <s v="1°1°1MIMAÑANA0"/>
        <s v="1°1°1juTARDE112"/>
        <s v="1°1°1VIMAÑANA0"/>
        <s v="1°1°2JUMAÑANA0"/>
        <s v="3°5°3VITARDE352"/>
        <s v="3°5°4VITARDE352"/>
        <s v="3°5°1VITARDE352"/>
        <s v="3°5°2VITARDE352"/>
        <s v="1°1°2juTARDE111"/>
        <s v="1°1°2LUMAÑANA0"/>
        <s v="1°1°2LUTARDE111"/>
        <s v="1°1°2LUTARDE112"/>
        <s v="1°1°2MAMAÑANA0"/>
        <s v="1°1°2MIMAÑANA0"/>
        <s v="1°1°2juTARDE112"/>
        <s v="1°1°2VIMAÑANA0"/>
        <s v="1°1°3JUMAÑANA0"/>
        <s v="1°1°3LUMAÑANA0"/>
        <s v="1°1°3LUTARDE112"/>
        <s v="1°1°3maMAÑANA0"/>
        <s v="1°1°3MATARDE111"/>
        <s v="1°1°3MIMAÑANA0"/>
        <s v="1°1°3viMAÑANA0"/>
        <s v="1°1°4JUMAÑANA0"/>
        <s v="1°1°4LUMAÑANA0"/>
        <s v="1°1°4LUTARDE112"/>
        <s v="1°1°4maMAÑANA0"/>
        <s v="1°1°4MATARDE111"/>
        <s v="1°1°4MIMAÑANA0"/>
        <s v="1°1°4viMAÑANA0"/>
        <s v="1°1°5JUMAÑANA0"/>
        <s v="1°1°5LUMAÑANA0"/>
        <s v="1°1°PREHORAMATARDE0"/>
        <s v="1°2°1JUTARDE0"/>
        <s v="1°2°1LUMAÑANA121"/>
        <s v="1°2°3LUTARDE0"/>
        <s v="1°2°1MAMAÑANA122"/>
        <s v="1°2°1MATARDE0"/>
        <s v="1°2°1MITARDE0"/>
        <s v="1°2°1VITARDE0"/>
        <s v="1°2°2JUTARDE0"/>
        <s v="1°2°2LUMAÑANA121"/>
        <s v="1°2°4LUTARDE0"/>
        <s v="1°2°2MAMAÑANA122"/>
        <s v="1°2°2MATARDE0"/>
        <s v="1°2°2MITARDE0"/>
        <s v="1°2°2VITARDE0"/>
        <s v="1°2°3juMAÑANA0"/>
        <s v="1°2°3JUTARDE0"/>
        <s v="1°2°3LUMAÑANA121"/>
        <s v="1°2°3LUMAÑANA122"/>
        <s v="1°2°1LUTARDE0"/>
        <s v="1°2°3MATARDE0"/>
        <s v="1°2°3MITARDE0"/>
        <s v="1°2°3VIMAÑANA121"/>
        <s v="1°2°3viMAÑANA122"/>
        <s v="1°2°3VITARDE0"/>
        <s v="1°2°4juMAÑANA0"/>
        <s v="1°2°4JUTARDE0"/>
        <s v="1°2°4LUMAÑANA121"/>
        <s v="1°2°4LUMAÑANA122"/>
        <s v="1°2°2LUTARDE0"/>
        <s v="1°2°4MATARDE0"/>
        <s v="1°2°4MITARDE0"/>
        <s v="1°2°4VIMAÑANA121"/>
        <s v="1°2°4viMAÑANA122"/>
        <s v="1°2°4VITARDE0"/>
        <s v="1°2°PREHORAMATARDE0"/>
        <s v="1°2°PREHORAMITARDE0"/>
        <s v="1°3°1JUMAÑANA0"/>
        <s v="1°3°1JUTARDE132"/>
        <s v="1°3°1LUMAÑANA0"/>
        <s v="1°3°1LUTARDE131"/>
        <s v="1°3°1LUTARDE132"/>
        <s v="1°3°1MAMAÑANA0"/>
        <s v="1°3°1MIMAÑANA0"/>
        <s v="1°3°1MITARDE132"/>
        <s v="1°3°1VIMAÑANA0"/>
        <s v="1°3°1viTARDE0"/>
        <s v="1°3°2JUMAÑANA0"/>
        <s v="1°3°2JUTARDE132"/>
        <s v="1°3°2LUMAÑANA0"/>
        <s v="1°3°2LUTARDE131"/>
        <s v="1°3°2LUTARDE132"/>
        <s v="1°3°2MAMAÑANA0"/>
        <s v="1°3°2MIMAÑANA0"/>
        <s v="1°3°2miTARDE132"/>
        <s v="1°3°2VIMAÑANA0"/>
        <s v="1°3°2VITARDE0"/>
        <s v="1°3°3JUMAÑANA0"/>
        <s v="1°3°3JUTARDE131"/>
        <s v="1°3°3LUMAÑANA0"/>
        <s v="1°3°3LUTARDE131"/>
        <s v="1°3°3MAMAÑANA0"/>
        <s v="1°3°3MIMAÑANA0"/>
        <s v="1°3°3VIMAÑANA0"/>
        <s v="1°3°4JUMAÑANA0"/>
        <s v="1°3°4JUTARDE131"/>
        <s v="1°3°4LUMAÑANA0"/>
        <s v="1°3°4LUTARDE131"/>
        <s v="1°3°4MAMAÑANA0"/>
        <s v="1°3°4MIMAÑANA0"/>
        <s v="1°3°4VIMAÑANA0"/>
        <s v="1°3°5LUMAÑANA0"/>
        <s v="1°3°5MIMAÑANA0"/>
        <s v="1°4°1JUMAÑANA142"/>
        <s v="1°4°1JUTARDE0"/>
        <s v="1°4°1LUTARDE0"/>
        <s v="1°4°1MATARDE0"/>
        <s v="1°4°1VIMAÑANA141"/>
        <s v="1°4°1MITARDE0"/>
        <s v="1°4°1VITARDE0"/>
        <s v="1°4°2JUMAÑANA142"/>
        <s v="1°4°2JUTARDE0"/>
        <s v="1°4°2LUTARDE0"/>
        <s v="1°4°2MATARDE0"/>
        <s v="1°4°2VIMAÑANA141"/>
        <s v="1°4°2MITARDE0"/>
        <s v="1°4°2VITARDE0"/>
        <s v="1°4°1MIMAÑANA141"/>
        <s v="1°4°3juMAÑANA142"/>
        <s v="1°4°3juTARDE0"/>
        <s v="1°4°3LUTARDE0"/>
        <s v="1°4°3MAMAÑANA141"/>
        <s v="1°4°3MATARDE0"/>
        <s v="1°4°3MIMAÑANA142"/>
        <s v="1°4°3MITARDE0"/>
        <s v="1°4°1maMAÑANA0"/>
        <s v="1°4°3VITARDE0"/>
        <s v="1°4°2MIMAÑANA141"/>
        <s v="1°4°4juMAÑANA142"/>
        <s v="1°4°4juTARDE0"/>
        <s v="1°4°4LUTARDE0"/>
        <s v="1°4°4MAMAÑANA141"/>
        <s v="1°4°4MATARDE0"/>
        <s v="1°4°4MIMAÑANA142"/>
        <s v="1°4°4MITARDE0"/>
        <s v="1°4°2maMAÑANA0"/>
        <s v="1°4°4VITARDE0"/>
        <s v="1°4°5luTARDE0"/>
        <s v="1°4°5miTARDE0"/>
        <s v="2°1°1JUMAÑANA0"/>
        <s v="2°1°1JUTARDE212"/>
        <s v="2°1°1LUMAÑANA0"/>
        <s v="2°1°1LUTARDE211"/>
        <s v="2°1°1MAMAÑANA0"/>
        <s v="2°1°1MIMAÑANA0"/>
        <s v="2°1°1MITARDE211"/>
        <s v="2°1°1MITARDE212"/>
        <s v="2°1°1VIMAÑANA0"/>
        <s v="2°1°1viTARDE211"/>
        <s v="2°1°2JUMAÑANA0"/>
        <s v="2°1°2JUTARDE212"/>
        <s v="2°1°2LUMAÑANA0"/>
        <s v="2°1°2LUTARDE211"/>
        <s v="2°1°2MAMAÑANA0"/>
        <s v="2°1°2MIMAÑANA0"/>
        <s v="2°1°2MITARDE211"/>
        <s v="2°1°2MITARDE212"/>
        <s v="2°1°2VIMAÑANA0"/>
        <s v="2°1°2viTARDE211"/>
        <s v="2°1°3JUMAÑANA0"/>
        <s v="2°1°3LUMAÑANA0"/>
        <s v="2°1°3LUTARDE211"/>
        <s v="2°1°3MAMAÑANA0"/>
        <s v="2°1°3juTARDE0"/>
        <s v="2°1°3MIMAÑANA0"/>
        <s v="2°1°3miTARDE211"/>
        <s v="2°1°3MITARDE212"/>
        <s v="2°1°3VIMAÑANA0"/>
        <s v="2°1°3VITARDE212"/>
        <s v="2°1°4JUMAÑANA0"/>
        <s v="2°1°4LUMAÑANA0"/>
        <s v="2°1°4MAMAÑANA0"/>
        <s v="2°1°4juTARDE0"/>
        <s v="2°1°4MIMAÑANA0"/>
        <s v="2°1°4MITARDE212"/>
        <s v="2°1°4VIMAÑANA0"/>
        <s v="2°1°4VITARDE212"/>
        <s v="2°1°5LUMAÑANA0"/>
        <s v="2°1°5VIMAÑANA0"/>
        <s v="2°2°1JUMAÑANA222"/>
        <s v="2°2°1JUTARDE0"/>
        <s v="2°2°1LUMAÑANA221"/>
        <s v="2°2°1LUTARDE0"/>
        <s v="2°2°1viMAÑANA0"/>
        <s v="2°2°1MATARDE0"/>
        <s v="2°2°1MIMAÑANA222"/>
        <s v="2°2°PREHORAMATARDE0"/>
        <s v="2°2°1miTARDE0"/>
        <s v="2°2°2JUMAÑANA222"/>
        <s v="2°2°2JUTARDE0"/>
        <s v="2°2°2LUMAÑANA221"/>
        <s v="2°2°2LUTARDE0"/>
        <s v="2°2°2viMAÑANA0"/>
        <s v="2°2°2MATARDE0"/>
        <s v="2°2°2MIMAÑANA222"/>
        <s v="2°2°PREHORAJUTARDE0"/>
        <s v="2°2°2miTARDE0"/>
        <s v="2°2°3JUMAÑANA222"/>
        <s v="2°2°3JUTARDE0"/>
        <s v="2°2°3LUMAÑANA221"/>
        <s v="2°2°3LUTARDE0"/>
        <s v="2°2°3MAMAÑANA221"/>
        <s v="2°2°3MATARDE0"/>
        <s v="2°2°3MIMAÑANA221"/>
        <s v="2°2°3MIMAÑANA222"/>
        <s v="2°2°3MITARDE0"/>
        <s v="2°2°3VITARDE0"/>
        <s v="2°2°4JUMAÑANA222"/>
        <s v="2°2°4JUTARDE0"/>
        <s v="2°2°4LUMAÑANA221"/>
        <s v="2°2°4LUTARDE0"/>
        <s v="2°2°4MAMAÑANA221"/>
        <s v="2°2°4MATARDE0"/>
        <s v="2°2°4MIMAÑANA221"/>
        <s v="2°2°4MIMAÑANA222"/>
        <s v="2°2°4MITARDE0"/>
        <s v="2°2°4VITARDE0"/>
        <s v="2°2°1VITARDE0"/>
        <s v="2°2°2VITARDE0"/>
        <s v="2°3°1JUMAÑANA0"/>
        <s v="2°3°1LUMAÑANA0"/>
        <s v="2°3°1MAMAÑANA0"/>
        <s v="2°3°1MATARDE231"/>
        <s v="2°3°1MIMAÑANA0"/>
        <s v="2°3°1MITARDE231"/>
        <s v="2°3°1MITARDE232"/>
        <s v="2°3°1VIMAÑANA0"/>
        <s v="2°3°1MATARDE232"/>
        <s v="2°3°2JUMAÑANA0"/>
        <s v="2°3°2LUMAÑANA0"/>
        <s v="2°3°2MAMAÑANA0"/>
        <s v="2°3°2MATARDE231"/>
        <s v="2°3°2MIMAÑANA0"/>
        <s v="2°3°2MITARDE231"/>
        <s v="2°3°2MITARDE232"/>
        <s v="2°3°2VIMAÑANA0"/>
        <s v="2°3°2MATARDE232"/>
        <s v="2°3°3JUMAÑANA0"/>
        <s v="2°3°3JUTARDE231"/>
        <s v="2°3°3LUMAÑANA0"/>
        <s v="2°3°3MAMAÑANA0"/>
        <s v="2°3°3MATARDE232"/>
        <s v="2°3°3MIMAÑANA0"/>
        <s v="2°3°3MITARDE231"/>
        <s v="2°3°3MITARDE232"/>
        <s v="2°3°3VIMAÑANA0"/>
        <s v="2°3°1LUTARDE0"/>
        <s v="2°3°4JUMAÑANA0"/>
        <s v="2°3°4JUTARDE231"/>
        <s v="2°3°4LUMAÑANA0"/>
        <s v="2°3°4MAMAÑANA0"/>
        <s v="2°3°4MATARDE232"/>
        <s v="2°3°4MIMAÑANA0"/>
        <s v="2°3°4MITARDE231"/>
        <s v="2°3°4MITARDE232"/>
        <s v="2°3°4VIMAÑANA0"/>
        <s v="2°3°2LUTARDE0"/>
        <s v="2°3°5JUMAÑANA0"/>
        <s v="2°3°5LUMAÑANA0"/>
        <s v="2°4°1JUMAÑANA0"/>
        <s v="2°4°1JUTARDE0"/>
        <s v="2°4°1LUMAÑANA242"/>
        <s v="2°4°1LUTARDE0"/>
        <s v="2°4°1maMAÑANA241"/>
        <s v="2°4°1MAMAÑANA242"/>
        <s v="2°4°1MATARDE0"/>
        <s v="2°4°1MIMAÑANA241"/>
        <s v="2°4°3miMAÑANA242"/>
        <s v="2°4°1MITARDE0"/>
        <s v="2°4°1VIMAÑANA241"/>
        <s v="2°4°1VITARDE0"/>
        <s v="2°4°2JUMAÑANA0"/>
        <s v="2°4°2JUTARDE0"/>
        <s v="2°4°2LUMAÑANA242"/>
        <s v="2°4°2LUTARDE0"/>
        <s v="2°4°2maMAÑANA241"/>
        <s v="2°4°2MAMAÑANA242"/>
        <s v="2°4°2MATARDE0"/>
        <s v="2°4°2MIMAÑANA241"/>
        <s v="2°4°4miMAÑANA242"/>
        <s v="2°4°2MITARDE0"/>
        <s v="2°4°2VIMAÑANA241"/>
        <s v="2°4°2VITARDE0"/>
        <s v="2°4°3JUTARDE0"/>
        <s v="2°4°3LUTARDE0"/>
        <s v="2°4°3MAMAÑANA242"/>
        <s v="2°4°3MATARDE0"/>
        <s v="2°4°3MITARDE0"/>
        <s v="2°4°3VIMAÑANA241"/>
        <s v="2°4°3VITARDE0"/>
        <s v="2°4°4JUTARDE0"/>
        <s v="2°4°4LUTARDE0"/>
        <s v="2°4°4MAMAÑANA242"/>
        <s v="2°4°4MATARDE0"/>
        <s v="2°4°4MITARDE0"/>
        <s v="2°4°4VIMAÑANA241"/>
        <s v="2°4°4VITARDE0"/>
        <s v="2°4°PREHORALUTARDE0"/>
        <s v="2°4°PREHORAMATARDE0"/>
        <s v="2°5°1JUMAÑANA0"/>
        <s v="2°5°1LUMAÑANA0"/>
        <s v="2°5°1MAMAÑANA0"/>
        <s v="2°5°1MIMAÑANA0"/>
        <s v="2°5°3VIMAÑANA0"/>
        <s v="2°5°1viTARDE252"/>
        <s v="2°5°2JUMAÑANA0"/>
        <s v="2°5°2LUMAÑANA0"/>
        <s v="2°5°2MAMAÑANA0"/>
        <s v="2°5°2MIMAÑANA0"/>
        <s v="2°5°4VIMAÑANA0"/>
        <s v="2°5°2viTARDE252"/>
        <s v="2°5°3JUMAÑANA0"/>
        <s v="2°5°3JUTARDE0"/>
        <s v="2°5°3LUMAÑANA0"/>
        <s v="2°5°3MIMAÑANA0"/>
        <s v="2°5°1VIMAÑANA0"/>
        <s v="2°5°4JUMAÑANA0"/>
        <s v="2°5°4JUTARDE0"/>
        <s v="2°5°4LUMAÑANA0"/>
        <s v="2°5°4MIMAÑANA0"/>
        <s v="2°5°2VIMAÑANA0"/>
        <s v="2°5°5MAMAÑANA0"/>
        <s v="2°5°5VIMAÑANA0"/>
        <s v="3°1°1JUMAÑANA0"/>
        <s v="3°1°1MATARDE311"/>
        <s v="3°1°1JUTARDE312"/>
        <s v="3°1°1LUMAÑANA0"/>
        <s v="3°1°1LUTARDE311"/>
        <s v="3°1°1MAMAÑANA0"/>
        <s v="3°1°1MATARDE312"/>
        <s v="3°1°1MIMAÑANA0"/>
        <s v="3°1°1MITARDE312"/>
        <s v="3°1°1VIMAÑANA0"/>
        <s v="3°1°2JUMAÑANA0"/>
        <s v="3°1°2MATARDE311"/>
        <s v="3°1°2JUTARDE312"/>
        <s v="3°1°2LUMAÑANA0"/>
        <s v="3°1°2LUTARDE311"/>
        <s v="3°1°2MAMAÑANA0"/>
        <s v="3°1°2MATARDE312"/>
        <s v="3°1°2MIMAÑANA0"/>
        <s v="3°1°2MITARDE312"/>
        <s v="3°1°2VIMAÑANA0"/>
        <s v="3°1°3JUMAÑANA0"/>
        <s v="3°1°3JUTARDE312"/>
        <s v="3°1°3LUMAÑANA0"/>
        <s v="3°1°3LUTARDE311"/>
        <s v="3°1°3MAMAÑANA0"/>
        <s v="3°1°3MIMAÑANA0"/>
        <s v="3°1°3MITARDE311"/>
        <s v="3°1°3VIMAÑANA0"/>
        <s v="3°1°4JUMAÑANA0"/>
        <s v="3°1°4JUTARDE312"/>
        <s v="3°1°4LUMAÑANA0"/>
        <s v="3°1°4LUTARDE311"/>
        <s v="3°1°4MAMAÑANA0"/>
        <s v="3°1°4MIMAÑANA0"/>
        <s v="3°1°4MITARDE311"/>
        <s v="3°1°4VIMAÑANA0"/>
        <s v="3°1°5LUMAÑANA0"/>
        <s v="3°1°5MAMAÑANA0"/>
        <s v="3°1°5MIMAÑANA0"/>
        <s v="3°1°5VIMAÑANA0"/>
        <s v="3°2°1JUTARDE0"/>
        <s v="3°2°1JUVESPERTINO322"/>
        <s v="3°2°1LUTARDE0"/>
        <s v="3°2°1MAMAÑANA322"/>
        <s v="3°2°1MATARDE0"/>
        <s v="3°2°3MAMAÑANA0"/>
        <s v="3°2°1MITARDE0"/>
        <s v="3°2°1VIMAÑANA321"/>
        <s v="3°2°1VIMAÑANA322"/>
        <s v="3°2°1VITARDE0"/>
        <s v="3°2°2JUTARDE0"/>
        <s v="3°2°2JUVESPERTINO322"/>
        <s v="3°2°2LUTARDE0"/>
        <s v="3°2°2MAMAÑANA322"/>
        <s v="3°2°2MATARDE0"/>
        <s v="3°2°4MAMAÑANA0"/>
        <s v="3°2°2MITARDE0"/>
        <s v="3°2°2VIMAÑANA321"/>
        <s v="3°2°2VIMAÑANA322"/>
        <s v="3°2°2VITARDE0"/>
        <s v="3°2°1MIMAÑANA321"/>
        <s v="3°2°3JUTARDE0"/>
        <s v="3°2°3JUVESPERTINO322"/>
        <s v="3°2°3LUMAÑANA321"/>
        <s v="3°2°3LUTARDE0"/>
        <s v="3°2°3MATARDE0"/>
        <s v="3°2°2MIMAÑANA321"/>
        <s v="3°2°3MITARDE0"/>
        <s v="3°2°3VITARDE0"/>
        <s v="3°2°3MIMAÑANA321"/>
        <s v="3°2°4JUTARDE0"/>
        <s v="3°2°4JUVESPERTINO322"/>
        <s v="3°2°4LUMAÑANA321"/>
        <s v="3°2°4LUTARDE0"/>
        <s v="3°2°4MATARDE0"/>
        <s v="3°2°4MIMAÑANA321"/>
        <s v="3°2°4MITARDE0"/>
        <s v="3°2°4VITARDE0"/>
        <s v="3°2°5LUTARDE0"/>
        <s v="3°2°5MATARDE0"/>
        <s v="3°3°1JUMAÑANA0"/>
        <s v="3°3°1LUMAÑANA0"/>
        <s v="3°3°1LUTARDE331"/>
        <s v="3°3°1MAMAÑANA0"/>
        <s v="3°3°1MATARDE331"/>
        <s v="3°3°1MATARDE332"/>
        <s v="3°3°1MIMAÑANA0"/>
        <s v="3°3°1juTARDE0"/>
        <s v="3°3°1VIMAÑANA0"/>
        <s v="3°3°1VITARDE332"/>
        <s v="3°3°1VIVESPERTINO331"/>
        <s v="3°3°2JUMAÑANA0"/>
        <s v="3°3°2LUMAÑANA0"/>
        <s v="3°3°2LUTARDE331"/>
        <s v="3°3°2MAMAÑANA0"/>
        <s v="3°3°2MATARDE331"/>
        <s v="3°3°2MATARDE332"/>
        <s v="3°3°2MIMAÑANA0"/>
        <s v="3°3°2juTARDE0"/>
        <s v="3°3°2VIMAÑANA0"/>
        <s v="3°3°2VITARDE332"/>
        <s v="3°3°2VIVESPERTINO331"/>
        <s v="3°3°3JUMAÑANA0"/>
        <s v="3°3°3LUMAÑANA0"/>
        <s v="3°3°3MAMAÑANA0"/>
        <s v="3°3°3MATARDE332"/>
        <s v="3°3°3MIMAÑANA0"/>
        <s v="3°3°3VIMAÑANA0"/>
        <s v="3°3°3VITARDE332"/>
        <s v="3°3°3VIVESPERTINO331"/>
        <s v="3°3°4JUMAÑANA0"/>
        <s v="3°3°4LUMAÑANA0"/>
        <s v="3°3°4MAMAÑANA0"/>
        <s v="3°3°4MATARDE332"/>
        <s v="3°3°4MIMAÑANA0"/>
        <s v="3°3°4VIMAÑANA0"/>
        <s v="3°3°4VITARDE332"/>
        <s v="3°3°4VIVESPERTINO331"/>
        <s v="3°3°5LUMAÑANA0"/>
        <s v="3°3°5MIMAÑANA0"/>
        <s v="3°4°1JUMAÑANA342"/>
        <s v="3°4°1JUTARDE0"/>
        <s v="3°4°1LUMAÑANA341"/>
        <s v="3°4°1juVESPERTINO342"/>
        <s v="3°4°1luTARDE0"/>
        <s v="3°4°1MAMAÑANA341"/>
        <s v="3°4°1MATARDE0"/>
        <s v="3°4°1MIMAÑANA341"/>
        <s v="3°4°1MITARDE0"/>
        <s v="3°4°1VITARDE0"/>
        <s v="3°4°2JUMAÑANA342"/>
        <s v="3°4°2JUTARDE0"/>
        <s v="3°4°2LUMAÑANA341"/>
        <s v="3°4°2juVESPERTINO342"/>
        <s v="3°4°2luTARDE0"/>
        <s v="3°4°2MAMAÑANA341"/>
        <s v="3°4°2MATARDE0"/>
        <s v="3°4°2MIMAÑANA341"/>
        <s v="3°4°2MITARDE0"/>
        <s v="3°4°2VITARDE0"/>
        <s v="3°4°3JUTARDE0"/>
        <s v="3°4°3LUMAÑANA341"/>
        <s v="3°4°3juVESPERTINO342"/>
        <s v="3°4°3LUTARDE0"/>
        <s v="3°4°3JUMAÑANA342"/>
        <s v="3°4°3MATARDE0"/>
        <s v="3°4°3MIMAÑANA0"/>
        <s v="3°4°3MITARDE0"/>
        <s v="3°4°3VITARDE0"/>
        <s v="3°4°4JUTARDE0"/>
        <s v="3°4°4LUMAÑANA341"/>
        <s v="3°4°4juVESPERTINO342"/>
        <s v="3°4°4LUTARDE0"/>
        <s v="3°4°4JUMAÑANA342"/>
        <s v="3°4°4MATARDE0"/>
        <s v="3°4°4MIMAÑANA0"/>
        <s v="3°4°4MITARDE0"/>
        <s v="3°4°4VITARDE0"/>
        <s v="3°4°PHORAMITARDE0"/>
        <s v="3°4°prehorAVITARDE0"/>
        <s v="3°5°1JUMAÑANA0"/>
        <s v="3°5°1LUMAÑANA0"/>
        <s v="3°5°1maVESPERTINO352"/>
        <s v="3°5°1MAMAÑANA0"/>
        <s v="3°5°1MATARDE351"/>
        <s v="3°5°1MIMAÑANA0"/>
        <s v="3°5°1MITARDE0"/>
        <s v="3°5°1VIMAÑANA0"/>
        <s v="3°5°3VITARDE351"/>
        <s v="3°5°2JUMAÑANA0"/>
        <s v="3°5°2LUMAÑANA0"/>
        <s v="3°5°2maVESPERTINO352"/>
        <s v="3°5°2MAMAÑANA0"/>
        <s v="3°5°2MATARDE351"/>
        <s v="3°5°2MIMAÑANA0"/>
        <s v="3°5°2MITARDE0"/>
        <s v="3°5°2VIMAÑANA0"/>
        <s v="3°5°4VITARDE351"/>
        <s v="3°5°3JUMAÑANA0"/>
        <s v="3°5°3juTARDE351"/>
        <s v="3°5°3LUMAÑANA0"/>
        <s v="3°5°3maVESPERTINO352"/>
        <s v="3°5°3MAMAÑANA0"/>
        <s v="3°5°3MATARDE351"/>
        <s v="3°5°3MIMAÑANA0"/>
        <s v="3°5°3VIMAÑANA0"/>
        <s v="3°5°4JUMAÑANA0"/>
        <s v="3°5°4juTARDE351"/>
        <s v="3°5°4LUMAÑANA0"/>
        <s v="3°5°4maVESPERTINO352"/>
        <s v="3°5°4MAMAÑANA0"/>
        <s v="3°5°4MATARDE351"/>
        <s v="3°5°4MIMAÑANA0"/>
        <s v="3°5°4VIMAÑANA0"/>
        <s v="3°5°5JUMAÑANA0"/>
        <s v="3°5°5MIMAÑANA0"/>
        <s v="4°1°1JUMAÑANA0"/>
        <s v="4°1°1JUVESPERTINO411"/>
        <s v="4°1°1LUMAÑANA0"/>
        <s v="4°1°1LUVESPERTINO411"/>
        <s v="4°1°1LUVESPERTINO412"/>
        <s v="4°1°1MAMAÑANA0"/>
        <s v="4°1°1VIVESPERTINO412"/>
        <s v="4°1°1maVESPERTINO411"/>
        <s v="4°1°1MIMAÑANA0"/>
        <s v="4°1°1juVESPERTINO412"/>
        <s v="4°1°1MIVESPERTINO0"/>
        <s v="4°1°1VIMAÑANA0"/>
        <s v="4°1°1VITARDE412"/>
        <s v="4°1°3juVESPERTINO411"/>
        <s v="4°1°2JUMAÑANA0"/>
        <s v="4°1°2JUVESPERTINO411"/>
        <s v="4°1°2LUMAÑANA0"/>
        <s v="4°1°2LUVESPERTINO411"/>
        <s v="4°1°2LUVESPERTINO412"/>
        <s v="4°1°2MAMAÑANA0"/>
        <s v="4°1°2VIVESPERTINO412"/>
        <s v="4°1°2MaVESPERTINO411"/>
        <s v="4°1°2MIMAÑANA0"/>
        <s v="4°1°2juVESPERTINO412"/>
        <s v="4°1°2MIVESPERTINO0"/>
        <s v="4°1°2VIMAÑANA0"/>
        <s v="4°1°2VITARDE412"/>
        <s v="4°1°4juVESPERTINO411"/>
        <s v="4°1°3JUMAÑANA0"/>
        <s v="4°1°3LUMAÑANA0"/>
        <s v="4°1°3LUVESPERTINO411"/>
        <s v="4°1°3LUVESPERTINO412"/>
        <s v="4°1°3MAMAÑANA0"/>
        <s v="4°1°3VIVESPERTINO412"/>
        <s v="4°1°3maVESPERTINO411"/>
        <s v="4°1°3MIMAÑANA0"/>
        <s v="4°1°3VIMAÑANA0"/>
        <s v="4°1°4JUMAÑANA0"/>
        <s v="4°1°4LUMAÑANA0"/>
        <s v="4°1°4LUVESPERTINO411"/>
        <s v="4°1°4LUVESPERTINO412"/>
        <s v="4°1°4MAMAÑANA0"/>
        <s v="4°1°4VIvESPERTINO412"/>
        <s v="4°1°4maVESPERTINO411"/>
        <s v="4°1°4MIMAÑANA0"/>
        <s v="4°1°4VIMAÑANA0"/>
        <s v="4°1°5MAMAÑANA0"/>
        <s v="4°2°1JUMAÑANA421"/>
        <s v="4°2°1JUMAÑANA422"/>
        <s v="4°2°PrehoramiTARDE0"/>
        <s v="4°2°1LUMAÑANA422"/>
        <s v="4°2°prehoraviTARDE0"/>
        <s v="4°2°1juVESPERTINO421"/>
        <s v="4°2°1MATARDE0"/>
        <s v="4°2°1MIMAÑANA422"/>
        <s v="4°2°1JUTARDE0"/>
        <s v="4°2°1VIMAÑANA421"/>
        <s v="4°2°1VIMAÑANA422"/>
        <s v="4°2°1VITARDE0"/>
        <s v="4°2°2JUMAÑANA421"/>
        <s v="4°2°2JUMAÑANA422"/>
        <s v="4°2°1miTARDE0"/>
        <s v="4°2°2LUMAÑANA422"/>
        <s v="4°2°2miTARDE0"/>
        <s v="4°2°2juVESPERTINO421"/>
        <s v="4°2°2MATARDE0"/>
        <s v="4°2°2MIMAÑANA422"/>
        <s v="4°2°2JUTARDE0"/>
        <s v="4°2°2VIMAÑANA421"/>
        <s v="4°2°2VIMAÑANA422"/>
        <s v="4°2°2VITARDE0"/>
        <s v="4°2°3JUMAÑANA421"/>
        <s v="4°2°3JUMAÑANA422"/>
        <s v="4°2°3JUTARDE0"/>
        <s v="4°2°3LUMAÑANA422"/>
        <s v="4°2°3LUTARDE0"/>
        <s v="4°2°3juVESPERTINO421"/>
        <s v="4°2°3MATARDE0"/>
        <s v="4°2°3MIMAÑANA0"/>
        <s v="4°2°3MITARDE0"/>
        <s v="4°2°3VIMAÑANA421"/>
        <s v="4°2°3VITARDE0"/>
        <s v="4°2°4JUMAÑANA421"/>
        <s v="4°2°4JUMAÑANA422"/>
        <s v="4°2°4JUTARDE0"/>
        <s v="4°2°4LUMAÑANA422"/>
        <s v="4°2°4LUTARDE0"/>
        <s v="4°2°4juVESPERTINO421"/>
        <s v="4°2°4MATARDE0"/>
        <s v="4°2°4MIMAÑANA0"/>
        <s v="4°2°4MITARDE0"/>
        <s v="4°2°4VIMAÑANA421"/>
        <s v="4°2°4VITARDE0"/>
        <s v="4°2°prehorajuTARDE0"/>
        <s v="4°2°VESPERTINO423"/>
        <s v="4°3°1JUMAÑANA0"/>
        <s v="4°3°1miVESPERTINO431"/>
        <s v="4°3°1JUTARDE432"/>
        <s v="4°3°1LUMAÑANA0"/>
        <s v="4°3°1LUTARDE431"/>
        <s v="4°3°1MAMAÑANA0"/>
        <s v="4°3°3VIMAÑANA0"/>
        <s v="4°3°1miTARDE432"/>
        <s v="4°3°1VIMAÑANA0"/>
        <s v="4°3°1VITARDE431"/>
        <s v="4°3°1MIVESPERTINO432"/>
        <s v="4°3°2JUMAÑANA0"/>
        <s v="4°3°2miVESPERTINO431"/>
        <s v="4°3°2JUTARDE432"/>
        <s v="4°3°2LUMAÑANA0"/>
        <s v="4°3°2LUTARDE431"/>
        <s v="4°3°2MAMAÑANA0"/>
        <s v="4°3°4VIMAÑANA0"/>
        <s v="4°3°2miTARDE432"/>
        <s v="4°3°2VIMAÑANA0"/>
        <s v="4°3°2VITARDE431"/>
        <s v="4°3°2MIVESPERTINO432"/>
        <s v="4°3°3JUMAÑANA0"/>
        <s v="4°3°3miVESPERTINO431"/>
        <s v="4°3°3JUTARDE432"/>
        <s v="4°3°3LUMAÑANA0"/>
        <s v="4°3°3LUTARDE431"/>
        <s v="4°3°3MAMAÑANA0"/>
        <s v="4°3°3MIMAÑANA0"/>
        <s v="4°3°3miTARDE432"/>
        <s v="4°3°1MIMAÑANA0"/>
        <s v="4°3°3VITARDE431"/>
        <s v="4°3°3MIVESPERTINO432"/>
        <s v="4°3°4JUMAÑANA0"/>
        <s v="4°3°4miVESPERTINO431"/>
        <s v="4°3°4JUTARDE432"/>
        <s v="4°3°4LUMAÑANA0"/>
        <s v="4°3°4LUTARDE431"/>
        <s v="4°3°4MAMAÑANA0"/>
        <s v="4°3°4MATARDE0"/>
        <s v="4°3°4MIMAÑANA0"/>
        <s v="4°3°4miTARDE432"/>
        <s v="4°3°2MIMAÑANA0"/>
        <s v="4°3°4VITARDE431"/>
        <s v="4°3°4MIVESPERTINO432"/>
        <s v="4°3°5JUMAÑANA0"/>
        <s v="4°3°5LUMAÑANA0"/>
        <s v="4°3°5MATARDE0"/>
        <s v="4°3°5MIMAÑANA0"/>
        <s v="4°4°1JUVESPERTINO0"/>
        <s v="4°4°1LUMAÑANA441"/>
        <s v="4°4°1LUVESPERTINO0"/>
        <s v="4°4°1MAMAÑANA441"/>
        <s v="4°4°1luMAÑANA442"/>
        <s v="4°4°1MAVESPERTINO0"/>
        <s v="4°4°1viTARDE442"/>
        <s v="4°4°1MIVESPERTINO0"/>
        <s v="4°4°1VIMAÑANA441"/>
        <s v="4°4°1VIMAÑANA442"/>
        <s v="4°4°1VIVESPERTINO0"/>
        <s v="4°4°2JUVESPERTINO0"/>
        <s v="4°4°2LUMAÑANA441"/>
        <s v="4°4°2LUVESPERTINO0"/>
        <s v="4°4°2MAMAÑANA441"/>
        <s v="4°4°2luMAÑANA442"/>
        <s v="4°4°2MAVESPERTINO0"/>
        <s v="4°4°2viTARDE442"/>
        <s v="4°4°2MIVESPERTINO0"/>
        <s v="4°4°2VIMAÑANA441"/>
        <s v="4°4°2VIMAÑANA442"/>
        <s v="4°4°PHEHORAJUVESPERTINO0"/>
        <s v="4°4°3JUMAÑANA0"/>
        <s v="4°4°3JUVESPERTINO0"/>
        <s v="4°4°3LUMAÑANA441"/>
        <s v="4°4°3LUVESPERTINO0"/>
        <s v="4°4°3MAMAÑANA441"/>
        <s v="4°4°3luMAÑANA442"/>
        <s v="4°4°3MAVESPERTINO0"/>
        <s v="4°4°3viTARDE442"/>
        <s v="4°4°3MIVESPERTINO0"/>
        <s v="4°4°3VIMAÑANA441"/>
        <s v="4°4°3VIMAÑANA442"/>
        <s v="4°4°3VIVESPERTINO0"/>
        <s v="4°4°4JUMAÑANA0"/>
        <s v="4°4°4JUVESPERTINO0"/>
        <s v="4°4°4LUMAÑANA441"/>
        <s v="4°4°4LUVESPERTINO0"/>
        <s v="4°4°4MAMAÑANA441"/>
        <s v="4°4°4luMAÑANA442"/>
        <s v="4°4°4MAVESPERTINO0"/>
        <s v="4°4°4viTARDE442"/>
        <s v="4°4°4MIVESPERTINO0"/>
        <s v="4°4°4VIMAÑANA441"/>
        <s v="4°4°4VIMAÑANA442"/>
        <s v="4°4°4VIVESPERTINO0"/>
        <s v="4°4°PREHORAMIVESPERTINO0"/>
        <s v="4°4°PREHORAMAVESPERTINO0"/>
        <s v="4°4°PREHORAVIVESPERTINO0"/>
        <s v="5°5°1maMAÑANA552"/>
        <s v="5°5°1JUTARDE552"/>
        <s v="5°5°1JUVESPERTINO0"/>
        <s v="5°5°1LUTARDE551"/>
        <s v="5°5°1LUTARDE552"/>
        <s v="5°5°1LUVESPERTINO0"/>
        <s v="5°5°5MIMAÑANA551"/>
        <s v="5°5°1MATARDE0"/>
        <s v="5°5°1MAVESPERTINO0"/>
        <s v="5°5°1MITARDE551"/>
        <s v="5°5°1MIVESPERTINO0"/>
        <s v="5°5°1VIVESPERTINO0"/>
        <s v="5°5°2maMAÑANA552"/>
        <s v="5°5°2JUTARDE552"/>
        <s v="5°5°2JUVESPERTINO0"/>
        <s v="5°5°2LUTARDE551"/>
        <s v="5°5°2LUTARDE552"/>
        <s v="5°5°2LUVESPERTINO0"/>
        <s v="5°5°4MIMAÑANA551"/>
        <s v="5°5°2MATARDE0"/>
        <s v="5°5°2MAVESPERTINO0"/>
        <s v="5°5°2MITARDE551"/>
        <s v="5°5°2MIVESPERTINO0"/>
        <s v="5°5°2VIVESPERTINO0"/>
        <s v="5°5°3JUTARDE552"/>
        <s v="5°5°3JUVESPERTINO0"/>
        <s v="5°5°3LUTARDE551"/>
        <s v="5°5°3LUTARDE552"/>
        <s v="5°5°3LUVESPERTINO0"/>
        <s v="5°5°3MATARDE551"/>
        <s v="5°5°3MAVESPERTINO0"/>
        <s v="5°5°3MITARDE551"/>
        <s v="5°5°3MITARDE552"/>
        <s v="5°5°3MIVESPERTINO0"/>
        <s v="5°5°3VIVESPERTINO0"/>
        <s v="5°5°4JUTARDE552"/>
        <s v="5°5°4JUVESPERTINO0"/>
        <s v="5°5°4LUTARDE551"/>
        <s v="5°5°4LUTARDE552"/>
        <s v="5°5°4LUVESPERTINO0"/>
        <s v="5°5°4MATARDE551"/>
        <s v="5°5°4MAVESPERTINO0"/>
        <s v="5°5°4MITARDE551"/>
        <s v="5°5°4MITARDE552"/>
        <s v="5°5°4MIVESPERTINO0"/>
        <s v="5°5°4VIVESPERTINO0"/>
        <s v="5°5°PREHORAVIVESPERTINO0"/>
        <s v="5°3°1JUMAÑANA531"/>
        <s v="5°3°1JUMAÑANA532"/>
        <s v="5°3°1JUVESPERTINO0"/>
        <s v="5°3°1LUVESPERTINO0"/>
        <s v="5°3°1MAMAÑANA531"/>
        <s v="5°3°1MAMAÑANA532"/>
        <s v="5°3°1VIVESPERTINO0"/>
        <s v="5°3°1MIMAÑANA532"/>
        <s v="5°3°1VIMAÑANA531"/>
        <s v="5°3°1viMAÑANA532"/>
        <s v="5°3°2JUMAÑANA531"/>
        <s v="5°3°2JUMAÑANA532"/>
        <s v="5°3°2JUVESPERTINO0"/>
        <s v="5°3°2LUVESPERTINO0"/>
        <s v="5°3°2MAMAÑANA531"/>
        <s v="5°3°2MAMAÑANA532"/>
        <s v="5°3°2MATARDE0"/>
        <s v="5°3°2VIVESPERTINO0"/>
        <s v="5°3°2MIMAÑANA532"/>
        <s v="5°3°2VIMAÑANA531"/>
        <s v="5°3°2viMAÑANA532"/>
        <s v="5°3°3JUMAÑANA531"/>
        <s v="5°3°3JUMAÑANA532"/>
        <s v="5°3°3JUVESPERTINO0"/>
        <s v="5°3°3LUMAÑANA531"/>
        <s v="5°3°3LUVESPERTINO0"/>
        <s v="5°3°3MAMAÑANA531"/>
        <s v="5°3°3MAMAÑANA532"/>
        <s v="5°3°3MATARDE0"/>
        <s v="5°3°3MAVESPERTINO0"/>
        <s v="5°3°3MIMAÑANA532"/>
        <s v="5°3°3MIVESPERTINO0"/>
        <s v="5°3°3VIMAÑANA531"/>
        <s v="5°3°1MAVESPERTINO0"/>
        <s v="5°3°4JUMAÑANA531"/>
        <s v="5°3°4JUMAÑANA532"/>
        <s v="5°3°4LUMAÑANA531"/>
        <s v="5°3°4LUVESPERTINO0"/>
        <s v="5°3°4MAMAÑANA531"/>
        <s v="5°3°4MAMAÑANA532"/>
        <s v="5°3°4MAVESPERTINO0"/>
        <s v="5°3°4MIMAÑANA532"/>
        <s v="5°3°4MIVESPERTINO0"/>
        <s v="5°3°4VIMAÑANA531"/>
        <s v="5°3°2MAVESPERTINO0"/>
        <s v="5°4°1JUTARDE0"/>
        <s v="5°4°1JUVESPERTINO541"/>
        <s v="5°4°1JUVESPERTINO542"/>
        <s v="5°4°1LUTARDE0"/>
        <s v="5°4°1VIVESPERTINO542"/>
        <s v="5°4°1MAMAÑANA541"/>
        <s v="5°4°1MATARDE0"/>
        <s v="5°4°1MITARDE0"/>
        <s v="5°4°1MAVESPERTINO541"/>
        <s v="5°4°1MIVESPERTINO542"/>
        <s v="5°4°1VIMAÑANA0"/>
        <s v="5°4°1VIVESPERTINO541"/>
        <s v="5°4°2JUTARDE0"/>
        <s v="5°4°2JUVESPERTINO541"/>
        <s v="5°4°2JUVESPERTINO542"/>
        <s v="5°4°2LUTARDE0"/>
        <s v="5°4°2VIVESPERTINO542"/>
        <s v="5°4°2MAMAÑANA541"/>
        <s v="5°4°2MATARDE0"/>
        <s v="5°4°2MAVESPERTINO542"/>
        <s v="5°4°2MITARDE0"/>
        <s v="5°4°2MAVESPERTINO541"/>
        <s v="5°4°2MIVESPERTINO542"/>
        <s v="5°4°2VIMAÑANA0"/>
        <s v="5°4°2VIVESPERTINO541"/>
        <s v="5°4°3JUTARDE0"/>
        <s v="5°4°3JUVESPERTINO541"/>
        <s v="5°4°3JUVESPERTINO542"/>
        <s v="5°4°3LUTARDE0"/>
        <s v="5°4°3VIVESPERTINO542"/>
        <s v="5°4°3MAMAÑANA541"/>
        <s v="5°4°3MATARDE0"/>
        <s v="5°4°3MAVESPERTINO542"/>
        <s v="5°4°3MITARDE0"/>
        <s v="5°4°3MIVESPERTINO542"/>
        <s v="5°4°3VITARDE0"/>
        <s v="5°4°3VIVESPERTINO541"/>
        <s v="5°4°4JUTARDE0"/>
        <s v="5°4°4JUVESPERTINO541"/>
        <s v="5°4°4JUVESPERTINO542"/>
        <s v="5°4°4LUTARDE0"/>
        <s v="5°4°4VIVESPERTINO542"/>
        <s v="5°4°4MAMAÑANA541"/>
        <s v="5°4°4MATARDE0"/>
        <s v="5°4°4MITARDE0"/>
        <s v="5°4°4MIVESPERTINO542"/>
        <s v="5°4°4VITARDE0"/>
        <s v="5°4°4VIVESPERTINO541"/>
        <s v="5°4°PREHORAMITARDE0"/>
        <s v="5°1°1JUMAÑANA0"/>
        <s v="5°1°1juVESPERTINO511"/>
        <s v="5°1°1LUMAÑANA0"/>
        <s v="5°1°1LUVESPERTINO511"/>
        <s v="5°1°1LUVESPERTINO512"/>
        <s v="5°1°1maMAÑANA0"/>
        <s v="5°1°1viVESPERTINO512"/>
        <s v="5°1°1MiMAÑANA0"/>
        <s v="5°1°1miTARDE511"/>
        <s v="5°1°1MIVESPERTINO512"/>
        <s v="5°1°1viMAÑANA0"/>
        <s v="5°1°2JUMAÑANA0"/>
        <s v="5°1°2juVESPERTINO511"/>
        <s v="5°1°2LUMAÑANA0"/>
        <s v="5°1°2luVESPERTINO511"/>
        <s v="5°1°2LUVESPERTINO512"/>
        <s v="5°1°2maMAÑANA0"/>
        <s v="5°1°2viVESPERTINO512"/>
        <s v="5°1°2MiMAÑANA0"/>
        <s v="5°1°2miTARDE511"/>
        <s v="5°1°2MIVESPERTINO512"/>
        <s v="5°1°2viMAÑANA0"/>
        <s v="5°1°3JUMAÑANA0"/>
        <s v="5°1°3juVESPERTINO511"/>
        <s v="5°1°3LUMAÑANA0"/>
        <s v="5°1°3luVESPERTINO511"/>
        <s v="5°1°3LUVESPERTINO512"/>
        <s v="5°1°3MAMAÑANA0"/>
        <s v="5°1°3maTARDE512"/>
        <s v="5°1°3viVESPERTINO512"/>
        <s v="5°1°3MIMAÑANA0"/>
        <s v="5°1°3MIVESPERTINO511"/>
        <s v="5°1°3VIMAÑANA0"/>
        <s v="5°1°4JUMAÑANA0"/>
        <s v="5°1°4juVESPERTINO511"/>
        <s v="5°1°4LUMAÑANA0"/>
        <s v="5°1°4luVESPERTINO511"/>
        <s v="5°1°4LUVESPERTINO512"/>
        <s v="5°1°4MAMAÑANA0"/>
        <s v="5°1°4maTARDE512"/>
        <s v="5°1°4viVESPERTINO512"/>
        <s v="5°1°4MIMAÑANA0"/>
        <s v="5°1°4MIVESPERTINO511"/>
        <s v="5°1°4VIMAÑANA0"/>
        <s v="5°1°5MAMAÑANA0"/>
        <s v="5°1°5MIMAÑANA0"/>
        <s v="5°1°5VIMAÑANA0"/>
        <s v="6°1°1JUVESPERTINO0"/>
        <s v="6°1°1LUTARDE611"/>
        <s v="6°1°1miTARDE612"/>
        <s v="6°1°1LUVESPERTINO0"/>
        <s v="6°1°1MATARDE611"/>
        <s v="6°1°1MAVESPERTINO0"/>
        <s v="6°1°1MIMAÑANA0"/>
        <s v="6°1°1MATARDE612"/>
        <s v="6°1°1MIVESPERTINO0"/>
        <s v="6°1°3miMAÑANA611"/>
        <s v="6°1°1VIVESPERTINO0"/>
        <s v="6°1°2JUTARDE0"/>
        <s v="6°1°2JUVESPERTINO0"/>
        <s v="6°1°2LUTARDE611"/>
        <s v="6°1°2miTARDE612"/>
        <s v="6°1°2LUVESPERTINO0"/>
        <s v="6°1°2MATARDE611"/>
        <s v="6°1°2MAVESPERTINO0"/>
        <s v="6°1°2MIMAÑANA0"/>
        <s v="6°1°2MATARDE612"/>
        <s v="6°1°2MIVESPERTINO0"/>
        <s v="6°1°4miMAÑANA611"/>
        <s v="6°1°2VIVESPERTINO0"/>
        <s v="6°1°3JUTARDE0"/>
        <s v="6°1°3JUVESPERTINO0"/>
        <s v="6°1°3LUTARDE611"/>
        <s v="6°1°3miTARDE612"/>
        <s v="6°1°3LUVESPERTINO0"/>
        <s v="6°1°3MATARDE611"/>
        <s v="6°1°3MAVESPERTINO0"/>
        <s v="6°1°3MITARDE611"/>
        <s v="6°1°3viTARDE612"/>
        <s v="6°1°3MATARDE612"/>
        <s v="6°1°3MIVESPERTINO0"/>
        <s v="6°1°1viTARDE612"/>
        <s v="6°1°3VIVESPERTINO0"/>
        <s v="6°1°4JUTARDE0"/>
        <s v="6°1°4JUVESPERTINO0"/>
        <s v="6°1°4LUTARDE611"/>
        <s v="6°1°4miTARDE612"/>
        <s v="6°1°4LUVESPERTINO0"/>
        <s v="6°1°4MATARDE611"/>
        <s v="6°1°4MITARDE611"/>
        <s v="6°1°4viTARDE612"/>
        <s v="6°1°4MATARDE612"/>
        <s v="6°1°4MIVESPERTINO0"/>
        <s v="6°1°2viTARDE612"/>
        <s v="6°2°1JUMAÑANA621"/>
        <s v="6°2°1VIMAÑANA621"/>
        <s v="6°2°1JUVESPERTINO0"/>
        <s v="6°2°1LUMAÑANA0"/>
        <s v="6°2°1LUVESPERTINO0"/>
        <s v="6°2°2VIMAÑANA621"/>
        <s v="6°2°1MAMAÑANA622"/>
        <s v="6°2°1MATARDE621"/>
        <s v="6°2°1MAVESPERTINO0"/>
        <s v="6°2°1MIMAÑANA622"/>
        <s v="6°2°1MIVESPERTINO0"/>
        <s v="6°2°1VIVESPERTINO0"/>
        <s v="6°2°2JUMAÑANA621"/>
        <s v="6°2°1maMAÑANA621"/>
        <s v="6°2°2JUVESPERTINO0"/>
        <s v="6°2°2LUMAÑANA0"/>
        <s v="6°2°2LUVESPERTINO0"/>
        <s v="6°2°2maMAÑANA621"/>
        <s v="6°2°2MAMAÑANA622"/>
        <s v="6°2°2MATARDE621"/>
        <s v="6°2°2MAVESPERTINO0"/>
        <s v="6°2°2MIMAÑANA622"/>
        <s v="6°2°2MIVESPERTINO0"/>
        <s v="6°2°2VIVESPERTINO0"/>
        <s v="6°2°3JUMAÑANA621"/>
        <s v="6°2°1JUMAÑANA622"/>
        <s v="6°2°3JUVESPERTINO0"/>
        <s v="6°2°2JUMAÑANA622"/>
        <s v="6°2°3LUVESPERTINO0"/>
        <s v="6°2°3MAMAÑANA622"/>
        <s v="6°2°3MAVESPERTINO0"/>
        <s v="6°2°3MIMAÑANA622"/>
        <s v="6°2°3MIVESPERTINO0"/>
        <s v="6°2°3VIMAÑANA621"/>
        <s v="6°2°3VIVESPERTINO0"/>
        <s v="6°2°4JUMAÑANA621"/>
        <s v="6°2°3JUMAÑANA622"/>
        <s v="6°2°4JUVESPERTINO0"/>
        <s v="6°2°4JUMAÑANA622"/>
        <s v="6°2°4LUVESPERTINO0"/>
        <s v="6°2°4MAMAÑANA622"/>
        <s v="6°2°4MAVESPERTINO0"/>
        <s v="6°2°4MIMAÑANA622"/>
        <s v="6°2°4MIVESPERTINO0"/>
        <s v="6°2°4VIMAÑANA621"/>
        <s v="6°2°4VIVESPERTINO0"/>
        <s v="6°2°prehoraviVESPERTINO0"/>
        <s v="6°3°1JUMAÑANA0"/>
        <s v="6°3°1JUTARDE631"/>
        <s v="6°3°1JUVESPERTINO632"/>
        <s v="6°3°1luMAÑANA0"/>
        <s v="6°3°1MAMAÑANA0"/>
        <s v="6°3°1MAVESPERTINO631"/>
        <s v="6°3°1MAVESPERTINO632"/>
        <s v="6°3°1MIMAÑANA0"/>
        <s v="6°3°1MIVESPERTINO631"/>
        <s v="6°3°1MIVESPERTINO632"/>
        <s v="6°3°1VIMAÑANA0"/>
        <s v="6°3°1VITARDE631"/>
        <s v="6°3°1VITARDE632"/>
        <s v="6°3°2JUMAÑANA0"/>
        <s v="6°3°2JUTARDE631"/>
        <s v="6°3°2JUVESPERTINO632"/>
        <s v="6°3°2LUMAÑANA0"/>
        <s v="6°3°2MAMAÑANA0"/>
        <s v="6°3°2MAVESPERTINO631"/>
        <s v="6°3°2MAVESPERTINO632"/>
        <s v="6°3°2MIMAÑANA0"/>
        <s v="6°3°2MIVESPERTINO631"/>
        <s v="6°3°2MIVESPERTINO632"/>
        <s v="6°3°2VIMAÑANA0"/>
        <s v="6°3°2VITARDE631"/>
        <s v="6°3°2VITARDE632"/>
        <s v="6°3°3JUMAÑANA0"/>
        <s v="6°3°3JUTARDE631"/>
        <s v="6°3°3JUVESPERTINO632"/>
        <s v="6°3°3LUMAÑANA0"/>
        <s v="6°3°3MAMAÑANA0"/>
        <s v="6°3°3MAVESPERTINO631"/>
        <s v="6°3°3MAVESPERTINO632"/>
        <s v="6°3°3miMAÑANA0"/>
        <s v="6°3°3MITARDE0"/>
        <s v="6°3°3VIMAÑANA0"/>
        <s v="6°3°3VITARDE631"/>
        <s v="6°3°3VITARDE632"/>
        <s v="6°3°4JUMAÑANA0"/>
        <s v="6°3°4JUTARDE631"/>
        <s v="6°3°4JUVESPERTINO632"/>
        <s v="6°3°4LUMAÑANA0"/>
        <s v="6°3°4MAMAÑANA0"/>
        <s v="6°3°4MAVESPERTINO631"/>
        <s v="6°3°4MAVESPERTINO632"/>
        <s v="6°3°4miMAÑANA0"/>
        <s v="6°3°4MITARDE0"/>
        <s v="6°3°4VIMAÑANA0"/>
        <s v="6°3°4VITARDE631"/>
        <s v="6°3°4VITARDE632"/>
        <s v="6°3°5MAMAÑANA0"/>
        <s v="6°4°1JUTARDE0"/>
        <s v="6°4°1JUVESPERTINO641"/>
        <s v="6°4°1juVESPERTINO642"/>
        <s v="6°4°1LUMAÑANA641"/>
        <s v="6°4°1LUTARDE0"/>
        <s v="6°4°1LUVESPERTINO0"/>
        <s v="6°4°1MAMAÑANA642"/>
        <s v="6°4°1MATARDE0"/>
        <s v="6°4°1MITARDE0"/>
        <s v="6°4°1VIMAÑANA642"/>
        <s v="6°4°3JUTARDE0"/>
        <s v="6°4°1VIVESPERTINO641"/>
        <s v="6°4°3miVESPERTINO642"/>
        <s v="6°4°2JUTARDE0"/>
        <s v="6°4°2JUVESPERTINO641"/>
        <s v="6°4°2juVESPERTINO642"/>
        <s v="6°4°2LUMAÑANA641"/>
        <s v="6°4°2LUTARDE0"/>
        <s v="6°4°2LUVESPERTINO0"/>
        <s v="6°4°2MAMAÑANA642"/>
        <s v="6°4°2MATARDE0"/>
        <s v="6°4°2MITARDE0"/>
        <s v="6°4°2VIMAÑANA642"/>
        <s v="6°4°4JUTARDE0"/>
        <s v="6°4°2VIVESPERTINO641"/>
        <s v="6°4°4miVESPERTINO642"/>
        <s v="6°4°1VITARDE0"/>
        <s v="6°4°3JUVESPERTINO641"/>
        <s v="6°4°3juVESPERTINO642"/>
        <s v="6°4°3LUMAÑANA641"/>
        <s v="6°4°3LUTARDE0"/>
        <s v="6°4°3LUVESPERTINO0"/>
        <s v="6°4°3maMAÑANA642"/>
        <s v="6°4°3MATARDE0"/>
        <s v="6°4°1MIMAÑANA641"/>
        <s v="6°4°3viTARDE0"/>
        <s v="6°4°3VIMAÑANA642"/>
        <s v="6°4°3miTARDE0"/>
        <s v="6°4°3VIVESPERTINO641"/>
        <s v="6°4°2VITARDE0"/>
        <s v="6°4°4JUVESPERTINO641"/>
        <s v="6°4°4juVESPERTINO642"/>
        <s v="6°4°4LUMAÑANA641"/>
        <s v="6°4°4LUTARDE0"/>
        <s v="6°4°4maMAÑANA642"/>
        <s v="6°4°4MATARDE0"/>
        <s v="6°4°2MIMAÑANA641"/>
        <s v="6°4°4viTARDE0"/>
        <s v="6°4°4VIMAÑANA642"/>
        <s v="6°4°4miTARDE0"/>
        <s v="6°4°4VIVESPERTINO641"/>
        <s v="7°1°1juTARDE711"/>
        <s v="7°1°1JUVESPERTINO711"/>
        <s v="7°1°1MIMAÑANA712"/>
        <s v="7°1°1miVESPERTINO0"/>
        <s v="7°1°1VIMAÑANA711"/>
        <s v="7°1°1VIMAÑANA712"/>
        <s v="7°1°1VIVESPERTINO712"/>
        <s v="7°1°2juTARDE711"/>
        <s v="7°1°2JUVESPERTINO711"/>
        <s v="7°1°2MIMAÑANA712"/>
        <s v="7°1°2miVESPERTINO0"/>
        <s v="7°1°2VIMAÑANA711"/>
        <s v="7°1°2VIMAÑANA712"/>
        <s v="7°1°2VIVESPERTINO712"/>
        <s v="7°1°3juTARDE711"/>
        <s v="7°1°3JUVESPERTINO711"/>
        <s v="7°1°1LUMAÑANA0"/>
        <s v="7°1°2LUMAÑANA0"/>
        <s v="7°1°3luVESPERTINO0"/>
        <s v="7°1°3MIMAÑANA712"/>
        <s v="7°1°3MIVESPERTINO0"/>
        <s v="7°1°3VIMAÑANA711"/>
        <s v="7°1°3VIMAÑANA712"/>
        <s v="7°1°3VIVESPERTINO712"/>
        <s v="7°1°4juTARDE711"/>
        <s v="7°1°4JUVESPERTINO711"/>
        <s v="7°1°3LUMAÑANA0"/>
        <s v="7°1°4luVESPERTINO0"/>
        <s v="7°1°4MIMAÑANA712"/>
        <s v="7°1°4MIVESPERTINO0"/>
        <s v="7°1°4VIMAÑANA711"/>
        <s v="7°1°4VIMAÑANA712"/>
        <s v="7°1°4VIVESPERTINO712"/>
        <s v="7°2°1JUMAÑANA721"/>
        <s v="7°2°1juVESPERTINO722"/>
        <s v="7°2°1MITARDE721"/>
        <s v="7°2°1LUVESPERTINO722"/>
        <s v="7°2°1MATARDE722"/>
        <s v="7°2°1MAVESPERTINO0"/>
        <s v="7°2°1VIVESPERTINO0"/>
        <s v="7°2°2JUMAÑANA721"/>
        <s v="7°2°2juVESPERTINO722"/>
        <s v="7°2°2MITARDE721"/>
        <s v="7°2°2LUVESPERTINO721"/>
        <s v="7°2°2LUVESPERTINO722"/>
        <s v="7°2°2MATARDE722"/>
        <s v="7°2°2MAVESPERTINO0"/>
        <s v="7°2°1miVESPERTINO0"/>
        <s v="7°2°2VIVESPERTINO0"/>
        <s v="7°2°3JUMAÑANA721"/>
        <s v="7°2°3juVESPERTINO722"/>
        <s v="7°2°3MITARDE721"/>
        <s v="7°2°3LUVESPERTINO721"/>
        <s v="7°2°3LUVESPERTINO722"/>
        <s v="7°2°3miVESPERTINO0"/>
        <s v="7°2°3MATARDE722"/>
        <s v="7°2°3MAVESPERTINO0"/>
        <s v="7°2°2miVESPERTINO0"/>
        <s v="7°2°3VIVESPERTINO0"/>
        <s v="7°2°4JUMAÑANA721"/>
        <s v="7°2°4juVESPERTINO722"/>
        <s v="7°2°4MITARDE721"/>
        <s v="7°2°4LUVESPERTINO721"/>
        <s v="7°2°4LUVESPERTINO722"/>
        <s v="7°2°4miVESPERTINO0"/>
        <s v="7°2°4MATARDE722"/>
        <s v="7°2°4MAVESPERTINO0"/>
        <s v="7°2°4VIVESPERTINO0"/>
        <s v="7°2°5LUVESPERTINO721"/>
        <s v="7°3°1juVESPERTINO731"/>
        <s v="7°3°1JUVESPERTINO732"/>
        <s v="7°3°1LUVESPERTINO0"/>
        <s v="7°3°1MAVESPERTINO0"/>
        <s v="7°3°1mimañana0"/>
        <s v="7°3°1miVESPERTINO731"/>
        <s v="7°3°1MIVESPERTINO732"/>
        <s v="7°3°1VIVESPERTINO731"/>
        <s v="7°3°1VIVESPERTINO732"/>
        <s v="7°3°2juVESPERTINO731"/>
        <s v="7°3°2JUVESPERTINO732"/>
        <s v="7°3°2LUVESPERTINO0"/>
        <s v="7°3°2MAVESPERTINO0"/>
        <s v="7°3°2mimañana0"/>
        <s v="7°3°2miVESPERTINO731"/>
        <s v="7°3°2MIVESPERTINO732"/>
        <s v="7°3°2VIVESPERTINO731"/>
        <s v="7°3°2VIVESPERTINO732"/>
        <s v="7°3°3juVESPERTINO731"/>
        <s v="7°3°3JUVESPERTINO732"/>
        <s v="7°3°3MAVESPERTINO0"/>
        <s v="7°3°3mimañana0"/>
        <s v="7°3°3miVESPERTINO731"/>
        <s v="7°3°3MIVESPERTINO732"/>
        <s v="7°3°3VIVESPERTINO731"/>
        <s v="7°3°3VIVESPERTINO732"/>
        <s v="7°3°4juVESPERTINO731"/>
        <s v="7°3°4JUVESPERTINO732"/>
        <s v="7°3°4MAVESPERTINO0"/>
        <s v="7°3°4miVESPERTINO731"/>
        <s v="7°3°4MIVESPERTINO732"/>
        <s v="7°3°4VIVESPERTINO731"/>
        <s v="7°3°4VIVESPERTINO732"/>
        <m/>
        <s v="5°2°2VITARDE0" u="1"/>
        <s v="5°4°2VITARDE0" u="1"/>
        <s v="1°6°4VITARDE0" u="1"/>
        <s v="6°1°1LUMAÑANA611" u="1"/>
        <s v="6°1°2LUMAÑANA611" u="1"/>
        <s v="6°1°3LUMAÑANA611" u="1"/>
        <s v="6°1°4LUMAÑANA611" u="1"/>
        <s v="6°1°5LUMAÑANA611" u="1"/>
        <s v="6°1°5MAMAÑANA611" u="1"/>
        <s v="5°2°3VITARDE0" u="1"/>
        <e v="#N/A" u="1"/>
        <s v="6°2°1LUMAÑANA621" u="1"/>
        <s v="6°2°2LUMAÑANA621" u="1"/>
        <s v="6°2°3MAMAÑANA621" u="1"/>
        <s v="6°2°4MAMAÑANA621" u="1"/>
        <s v="5°2°4VITARDE0" u="1"/>
        <s v="7°2°3VITARDE0" u="1"/>
        <s v="1°2°1viMAÑANA0" u="1"/>
        <s v="6°4°3miMAÑANA641" u="1"/>
        <s v="6°4°4miMAÑANA641" u="1"/>
        <s v="7°2°4VITARDE0" u="1"/>
        <s v="7°1°1NATARDE0" u="1"/>
        <s v="2°1°3MATARDE0" u="1"/>
        <s v="1°2°2viMAÑANA0" u="1"/>
        <s v="1°6°prehoramiTARDE0" u="1"/>
        <s v="3°1°1JUTARDE311" u="1"/>
        <s v="1°6°1LUTARDE0" u="1"/>
        <s v="2°1°4MATARDE0" u="1"/>
        <s v="6°1°1MITARDE0" u="1"/>
        <s v="4°1°1MATARDE411" u="1"/>
        <s v="4°3°3MATARDE0" u="1"/>
        <s v="6°3°0" u="1"/>
        <s v="1°4°3VIMAÑANA0" u="1"/>
        <s v="5°5°1viMAÑANA0" u="1"/>
        <s v="4°2°1MAMAÑANA421" u="1"/>
        <s v="4°2°1MIMAÑANA421" u="1"/>
        <s v="4°2°2MAMAÑANA421" u="1"/>
        <s v="4°2°2MIMAÑANA421" u="1"/>
        <s v="4°2°3MAMAÑANA421" u="1"/>
        <s v="4°2°4MAMAÑANA421" u="1"/>
        <s v="4°1°1MATARDE412" u="1"/>
        <s v="1°1°1JUTARDE0" u="1"/>
        <s v="3°1°2JUTARDE311" u="1"/>
        <s v="5°1°1VITARDE511" u="1"/>
        <s v="1°6°2LUTARDE0" u="1"/>
        <s v="1°6°1JUTARDE0" u="1"/>
        <s v="6°1°2MITARDE0" u="1"/>
        <s v="2°2°5MATARDE0" u="1"/>
        <s v="4°1°2MATARDE411" u="1"/>
        <s v="4°1°1MITARDE411" u="1"/>
        <s v="2°4°5MATARDE0" u="1"/>
        <s v="1°4°4VIMAÑANA0" u="1"/>
        <s v="5°1°1VITARDE512" u="1"/>
        <s v="5°5°2viMAÑANA0" u="1"/>
        <s v="4°4°1JUMAÑANA441" u="1"/>
        <s v="4°4°2JUMAÑANA441" u="1"/>
        <s v="4°1°2MATARDE412" u="1"/>
        <s v="4°1°1MITARDE412" u="1"/>
        <s v="1°1°2JUTARDE0" u="1"/>
        <s v="5°2°1LUTARDE0" u="1"/>
        <s v="5°1°2VITARDE511" u="1"/>
        <s v="1°6°3LUTARDE0" u="1"/>
        <s v="1°6°2JUTARDE0" u="1"/>
        <s v="4°1°3MATARDE411" u="1"/>
        <s v="4°1°2MITARDE411" u="1"/>
        <s v="3°1°4LUTARDE312" u="1"/>
        <s v="5°4°3VIMAÑANA0" u="1"/>
        <s v="5°1°2VITARDE512" u="1"/>
        <s v="5°5°3VIMAÑANA0" u="1"/>
        <s v="2°2°1MAMAÑANA0" u="1"/>
        <s v="7°1°1LUTARDE0" u="1"/>
        <s v="4°1°3MATARDE412" u="1"/>
        <s v="4°1°2MITARDE412" u="1"/>
        <s v="5°2°2LUTARDE0" u="1"/>
        <s v="5°2°1JUTARDE0" u="1"/>
        <s v="1°6°4LUTARDE0" u="1"/>
        <s v="1°6°3JUTARDE0" u="1"/>
        <s v="4°2°5MITARDE0" u="1"/>
        <s v="4°1°4MATARDE411" u="1"/>
        <s v="4°1°3MITARDE411" u="1"/>
        <s v="7°2°PREHORAVILUTARDE721" u="1"/>
        <s v="3°1°5LUTARDE312" u="1"/>
        <s v="5°4°4VIMAÑANA0" u="1"/>
        <s v="5°5°4VIMAÑANA0" u="1"/>
        <s v="2°2°2MAMAÑANA0" u="1"/>
        <s v="7°1°2LUTARDE0" u="1"/>
        <s v="4°1°4MATARDE412" u="1"/>
        <s v="5°2°3LUTARDE0" u="1"/>
        <s v="7°1°1JUTARDE0" u="1"/>
        <s v="5°2°2JUTARDE0" u="1"/>
        <s v="1°6°4JUTARDE0" u="1"/>
        <s v="4°1°4MITARDE411" u="1"/>
        <s v="5°5°5VIMAÑANA0" u="1"/>
        <s v="5°2°4LUTARDE0" u="1"/>
        <s v="7°1°2JUTARDE0" u="1"/>
        <s v="2°5°3MAMAÑANA0" u="1"/>
        <s v="1°2°5JUTARDE0" u="1"/>
        <s v="5°2°3JUTARDE0" u="1"/>
        <s v="1°6°5JUTARDE0" u="1"/>
        <s v="3°1°1maVESPERTINO312" u="1"/>
        <s v="3°1°2maVESPERTINO312" u="1"/>
        <s v="3°1°3maVESPERTINO312" u="1"/>
        <s v="3°1°4maVESPERTINO312" u="1"/>
        <s v="4°1°1miVESPERTINO411" u="1"/>
        <s v="4°1°1VIVESPERTINO411" u="1"/>
        <s v="4°1°2miVESPERTINO411" u="1"/>
        <s v="4°1°2VIVESPERTINO411" u="1"/>
        <s v="4°1°3miVESPERTINO411" u="1"/>
        <s v="4°1°4miVESPERTINO411" u="1"/>
        <s v="2°5°4MAMAÑANA0" u="1"/>
        <s v="5°2°4JUTARDE0" u="1"/>
        <s v="4°1°1JUVESPERTINO413" u="1"/>
        <s v="4°1°1MAVESPERTINO413" u="1"/>
        <s v="4°1°1MIVESPERTINO413" u="1"/>
        <s v="4°1°1VIVESPERTINO413" u="1"/>
        <s v="4°1°2JUVESPERTINO413" u="1"/>
        <s v="4°1°2MAVESPERTINO413" u="1"/>
        <s v="4°1°2MIVESPERTINO413" u="1"/>
        <s v="4°1°2VIVESPERTINO413" u="1"/>
        <s v="4°1°3JUVESPERTINO413" u="1"/>
        <s v="4°1°3MAVESPERTINO413" u="1"/>
        <s v="4°1°3MIVESPERTINO413" u="1"/>
        <s v="4°1°3VIVESPERTINO413" u="1"/>
        <s v="4°1°4JUVESPERTINO413" u="1"/>
        <s v="4°1°4maVESPERTINO413" u="1"/>
        <s v="4°1°4MIVESPERTINO413" u="1"/>
        <s v="4°1°4VIVESPERTINO413" u="1"/>
        <s v="4°2°1LUVESPERTINO421" u="1"/>
        <s v="4°2°2LUVESPERTINO421" u="1"/>
        <s v="4°2°3LUVESPERTINO421" u="1"/>
        <s v="4°2°4LUVESPERTINO421" u="1"/>
        <s v="1°4°1juMAÑANA0" u="1"/>
        <s v="5°2°5JUTARDE0" u="1"/>
        <s v="4°2°1JUVESPERTINO423" u="1"/>
        <s v="4°2°1MAVESPERTINO423" u="1"/>
        <s v="4°2°1VIVESPERTINO423" u="1"/>
        <s v="4°2°2JUVESPERTINO423" u="1"/>
        <s v="4°2°2MAVESPERTINO423" u="1"/>
        <s v="4°2°2VIVESPERTINO423" u="1"/>
        <s v="4°2°3JUVESPERTINO423" u="1"/>
        <s v="4°2°3MAVESPERTINO423" u="1"/>
        <s v="4°2°3VIVESPERTINO423" u="1"/>
        <s v="4°2°4JUVESPERTINO423" u="1"/>
        <s v="4°2°4MAVESPERTINO423" u="1"/>
        <s v="4°2°4VIVESPERTINO423" u="1"/>
        <s v="7°1°1JUVESPERTINO712" u="1"/>
        <s v="7°1°1LUVESPERTINO712" u="1"/>
        <s v="7°1°2JUVESPERTINO712" u="1"/>
        <s v="7°1°2LUVESPERTINO712" u="1"/>
        <s v="7°1°3JUVESPERTINO712" u="1"/>
        <s v="7°1°3LUVESPERTINO712" u="1"/>
        <s v="7°1°4JUVESPERTINO712" u="1"/>
        <s v="7°1°4LUVESPERTINO712" u="1"/>
        <s v="3°2°1JUMAÑANA0" u="1"/>
        <s v="5°2°1LUVESPERTINO522" u="1"/>
        <s v="5°2°1MAVESPERTINO522" u="1"/>
        <s v="5°2°1MIVESPERTINO522" u="1"/>
        <s v="5°2°2LUVESPERTINO522" u="1"/>
        <s v="5°2°2MAVESPERTINO522" u="1"/>
        <s v="5°2°2MIVESPERTINO522" u="1"/>
        <s v="5°2°3LUVESPERTINO522" u="1"/>
        <s v="5°2°3MIVESPERTINO522" u="1"/>
        <s v="5°2°3VIVESPERTINO522" u="1"/>
        <s v="5°2°4LUVESPERTINO522" u="1"/>
        <s v="5°2°4MIVESPERTINO522" u="1"/>
        <s v="5°2°4VIVESPERTINO522" u="1"/>
        <s v="5°4°1LUMAÑANA0" u="1"/>
        <s v="1°4°2juMAÑANA0" u="1"/>
        <s v="5°5°1LUMAÑANA0" u="1"/>
        <s v="2°3°5MIMAÑANA0" u="1"/>
        <s v="5°1°1LUTARDE511" u="1"/>
        <s v="3°2°2JUMAÑANA0" u="1"/>
        <s v="5°4°2LUMAÑANA0" u="1"/>
        <s v="5°1°1LUTARDE512" u="1"/>
        <s v="5°5°2LUMAÑANA0" u="1"/>
        <s v="6°3°1JUVESPERTINO631" u="1"/>
        <s v="6°3°1luVESPERTINO631" u="1"/>
        <s v="6°3°2JUVESPERTINO631" u="1"/>
        <s v="6°3°2luVESPERTINO631" u="1"/>
        <s v="6°3°3JUVESPERTINO631" u="1"/>
        <s v="6°3°3luVESPERTINO631" u="1"/>
        <s v="6°3°3MIVESPERTINO631" u="1"/>
        <s v="6°3°4JUVESPERTINO631" u="1"/>
        <s v="6°3°4luVESPERTINO631" u="1"/>
        <s v="6°3°4MIVESPERTINO631" u="1"/>
        <s v="5°5°1JUMAÑANA0" u="1"/>
        <s v="5°1°1JU 512" u="1"/>
        <s v="5°1°2LUTARDE511" u="1"/>
        <s v="5°1°1JUTARDE511" u="1"/>
        <s v="5°1°2LUTARDE512" u="1"/>
        <s v="5°5°3LUMAÑANA0" u="1"/>
        <s v="5°1°1JUTARDE512" u="1"/>
        <s v="5°5°2JUMAÑANA0" u="1"/>
        <s v="5°4°1LUVESPERTINO542" u="1"/>
        <s v="5°4°1MAVESPERTINO542" u="1"/>
        <s v="5°4°2LUVESPERTINO542" u="1"/>
        <s v="5°4°3LUVESPERTINO542" u="1"/>
        <s v="5°4°4LUVESPERTINO542" u="1"/>
        <s v="3°5°1LUVESPERTINO352" u="1"/>
        <s v="3°5°2LUVESPERTINO352" u="1"/>
        <s v="3°5°3LUVESPERTINO352" u="1"/>
        <s v="3°5°4LUVESPERTINO352" u="1"/>
        <s v="6°4°1MIVESPERTINO641" u="1"/>
        <s v="6°4°2MIVESPERTINO641" u="1"/>
        <s v="6°4°3MIVESPERTINO641" u="1"/>
        <s v="6°4°4MIVESPERTINO641" u="1"/>
        <s v="6°1°5MIMAÑANA0" u="1"/>
        <s v="5°1°3LUTARDE511" u="1"/>
        <s v="5°1°2JUTARDE511" u="1"/>
        <s v="5°1°3LUTARDE512" u="1"/>
        <s v="5°5°4LUMAÑANA0" u="1"/>
        <s v="5°1°2JUTARDE512" u="1"/>
        <s v="5°5°3JUMAÑANA0" u="1"/>
        <s v="5°5°1juVESPERTINO552" u="1"/>
        <s v="5°5°1LUVESPERTINO552" u="1"/>
        <s v="5°5°1maVESPERTINO552" u="1"/>
        <s v="5°5°1MIVESPERTINO552" u="1"/>
        <s v="5°5°2juVESPERTINO552" u="1"/>
        <s v="5°5°2LUVESPERTINO552" u="1"/>
        <s v="5°5°2maVESPERTINO552" u="1"/>
        <s v="5°5°2MIVESPERTINO552" u="1"/>
        <s v="5°5°3juVESPERTINO552" u="1"/>
        <s v="5°5°3LUVESPERTINO552" u="1"/>
        <s v="5°5°3maVESPERTINO552" u="1"/>
        <s v="5°5°3miVESPERTINO552" u="1"/>
        <s v="5°5°4juVESPERTINO552" u="1"/>
        <s v="5°5°4LUVESPERTINO552" u="1"/>
        <s v="5°5°4maVESPERTINO552" u="1"/>
        <s v="5°5°4miVESPERTINO552" u="1"/>
        <s v="5°1°4LUTARDE511" u="1"/>
        <s v="5°1°3JUTARDE511" u="1"/>
        <s v="3°3°5JUMAÑANA0" u="1"/>
        <s v="5°1°4LUTARDE512" u="1"/>
        <s v="5°1°3JUTARDE512" u="1"/>
        <s v="5°5°4JUMAÑANA0" u="1"/>
        <s v="2°5°1VITARDE251" u="1"/>
        <s v="5°1°4JUTARDE511" u="1"/>
        <s v="5°1°4JUTARDE512" u="1"/>
        <s v="2°5°2VITARDE251" u="1"/>
        <s v="6°1°1VIMAÑANA612" u="1"/>
        <s v="6°1°2VIMAÑANA612" u="1"/>
        <s v="6°1°3VIMAÑANA612" u="1"/>
        <s v="6°1°4VIMAÑANA612" u="1"/>
        <s v="2°5°3viTARDE251" u="1"/>
        <s v="6°2°1VIMAÑANA622" u="1"/>
        <s v="6°2°2VIMAÑANA622" u="1"/>
        <s v="6°2°3VIMAÑANA622" u="1"/>
        <s v="6°2°4VIMAÑANA622" u="1"/>
        <s v="2°5°3VITARDE252" u="1"/>
        <s v="2°5°4viTARDE251" u="1"/>
        <s v="7°2°1LUTARDE721" u="1"/>
        <s v="5°2°VESPERTINO0" u="1"/>
        <s v="2°5°4VITARDE252" u="1"/>
        <s v="1°3°1MATARDE132" u="1"/>
        <s v="7°2°2LUTARDE721" u="1"/>
        <s v="7°2°1JUTARDE722" u="1"/>
        <s v="2°3°1VITARDE232" u="1"/>
        <s v="1°3°2MATARDE132" u="1"/>
        <s v="7°2°3LUTARDE721" u="1"/>
        <s v="4°2°1MAMAÑANA422" u="1"/>
        <s v="4°2°2MAMAÑANA422" u="1"/>
        <s v="7°1°1LUTARDE712" u="1"/>
        <s v="7°2°2JUTARDE722" u="1"/>
        <s v="2°3°2VITARDE232" u="1"/>
        <s v="7°2°4LUTARDE721" u="1"/>
        <s v="4°4°1MAMAÑANA442" u="1"/>
        <s v="4°4°1MIMAÑANA442" u="1"/>
        <s v="4°4°2MAMAÑANA442" u="1"/>
        <s v="4°4°2MIMAÑANA442" u="1"/>
        <s v="4°4°3MAMAÑANA442" u="1"/>
        <s v="4°4°3MIMAÑANA442" u="1"/>
        <s v="4°4°4MAMAÑANA442" u="1"/>
        <s v="4°4°4MIMAÑANA442" u="1"/>
        <s v="7°1°2LUTARDE712" u="1"/>
        <s v="7°2°3JUTARDE722" u="1"/>
        <s v="2°5°1LUTARDE251" u="1"/>
        <s v="1°1°1MATARDE111" u="1"/>
        <s v="7°1°3LUTARDE712" u="1"/>
        <s v="7°2°4JUTARDE722" u="1"/>
        <s v="2°5°2LUTARDE251" u="1"/>
        <s v="1°1°1MATARDE112" u="1"/>
        <s v="2°5°1JUTARDE252" u="1"/>
        <s v="1°1°2MATARDE111" u="1"/>
        <s v="7°1°4LUTARDE712" u="1"/>
        <s v="2°5°3LUTARDE251" u="1"/>
        <s v="1°1°2MATARDE112" u="1"/>
        <s v="1°1°1MITARDE112" u="1"/>
        <s v="2°5°2JUTARDE252" u="1"/>
        <s v="2°4°1miMAÑANA242" u="1"/>
        <s v="2°4°2miMAÑANA242" u="1"/>
        <s v="2°4°3JUMAÑANA242" u="1"/>
        <s v="2°4°4JUMAÑANA242" u="1"/>
        <s v="2°5°4LUTARDE251" u="1"/>
        <s v="1°1°3MATARDE112" u="1"/>
        <s v="1°1°2MITARDE112" u="1"/>
        <s v="1°1°4MATARDE112" u="1"/>
        <s v="1°6°prehorajuTARDE0" u="1"/>
        <s v="3°5°3MITARDE351" u="1"/>
        <s v="3°4°prehorAJUTARDE0" u="1"/>
        <s v="3°5°4MITARDE351" u="1"/>
        <s v="2°3°1JUTARDE232" u="1"/>
        <s v="4°4°2VIVESPERTINO0" u="1"/>
        <s v="3°3°1MITARDE331" u="1"/>
        <s v="2°3°2JUTARDE232" u="1"/>
        <s v="4°3°1viTARDE432" u="1"/>
        <s v="6°1°4MAVESPERTINO0" u="1"/>
        <s v="6°1°4VIVESPERTINO0" u="1"/>
        <s v="6°3°1VIVESPERTINO0" u="1"/>
        <s v="6°3°2VIVESPERTINO0" u="1"/>
        <s v="3°3°2MITARDE331" u="1"/>
        <s v="4°3°2viTARDE432" u="1"/>
        <s v="4°3°3VITARDE432" u="1"/>
        <s v="4°4°PREHORAJUVESPERTINO0" u="1"/>
        <s v="4°4°PREHORALUVESPERTINO0" u="1"/>
        <s v="3°3°3MITARDE332" u="1"/>
        <s v="2°3°3VITARDE0" u="1"/>
        <s v="6°3°1VITARDE0" u="1"/>
        <s v="7°2°1LUMAÑANA721" u="1"/>
        <s v="7°2°1MIMAÑANA721" u="1"/>
        <s v="7°2°2LUMAÑANA721" u="1"/>
        <s v="7°2°2MIMAÑANA721" u="1"/>
        <s v="7°2°3LUMAÑANA721" u="1"/>
        <s v="7°2°3MIMAÑANA721" u="1"/>
        <s v="7°2°4LUMAÑANA721" u="1"/>
        <s v="7°2°4MIMAÑANA721" u="1"/>
        <s v="7°2°5LUMAÑANA721" u="1"/>
        <s v="6°1°PREHORAJUVESPERTINO0" u="1"/>
        <s v="6°2°PREHORALUVESPERTINO0" u="1"/>
        <s v="6°2°PREHORAMIVESPERTINO0" u="1"/>
        <s v="4°3°4VITARDE432" u="1"/>
        <s v="3°3°4MITARDE332" u="1"/>
        <s v="4°1°3VITARDE0" u="1"/>
        <s v="4°1°1VITARDE411" u="1"/>
        <s v="2°3°4VITARDE0" u="1"/>
        <s v="6°3°2VITARDE0" u="1"/>
        <s v="3°1°1MITARDE311" u="1"/>
        <s v="1°6°1MATARDE0" u="1"/>
        <s v="2°1°4LUTARDE211" u="1"/>
        <s v="4°1°4VITARDE0" u="1"/>
        <s v="6°2°3VITARDE0" u="1"/>
        <s v="4°1°2VITARDE411" u="1"/>
        <s v="3°1°2MITARDE311" u="1"/>
        <s v="1°3°1MITARDE0" u="1"/>
        <s v="1°6°2MATARDE0" u="1"/>
        <s v="1°6°1MITARDE0" u="1"/>
        <s v="5°1°1MAMAÑANA511" u="1"/>
        <s v="5°1°2MAMAÑANA511" u="1"/>
        <s v="6°2°4VITARDE0" u="1"/>
        <s v="5°1°1MATARDE0" u="1"/>
        <s v="3°1°1MITARDE0" u="1"/>
        <s v="5°2°1MATARDE0" u="1"/>
        <s v="5°3°1MATARDE0" u="1"/>
        <s v="1°3°2MITARDE0" u="1"/>
        <s v="3°3°1MITARDE0" u="1"/>
        <s v="1°6°3MATARDE0" u="1"/>
        <s v="1°6°2MITARDE0" u="1"/>
        <s v="5°5°3maTARDE552" u="1"/>
        <s v="3°1°4MATARDE312" u="1"/>
        <s v="5°2°VESPERTINO521" u="1"/>
        <s v="5°3°3MIMAÑANA531" u="1"/>
        <s v="5°3°4MIMAÑANA531" u="1"/>
        <s v="5°1°2MATARDE0" u="1"/>
        <s v="7°1°1MATARDE0" u="1"/>
        <s v="3°1°2MITARDE0" u="1"/>
        <s v="5°2°2MATARDE0" u="1"/>
        <s v="5°2°1MITARDE0" u="1"/>
        <s v="3°3°2MITARDE0" u="1"/>
        <s v="5°5°1MITARDE0" u="1"/>
        <s v="1°6°4MATARDE0" u="1"/>
        <s v="1°6°3MITARDE0" u="1"/>
        <s v="5°5°4maTARDE552" u="1"/>
        <s v="3°1°5MATARDE312" u="1"/>
        <s v="4°3°1JUTARDE431" u="1"/>
        <s v="1°6°prehoraMATARDE0" u="1"/>
        <s v="7°1°2MATARDE0" u="1"/>
        <s v="3°1°3MITARDE0" u="1"/>
        <s v="7°1°1MITARDE0" u="1"/>
        <s v="5°5°2MIMAÑANA551" u="1"/>
        <s v="5°5°3MIMAÑANA551" u="1"/>
        <s v="5°2°3MATARDE0" u="1"/>
        <s v="5°2°2MITARDE0" u="1"/>
        <s v="5°5°2MITARDE0" u="1"/>
        <s v="1°6°5MATARDE0" u="1"/>
        <s v="1°6°4MITARDE0" u="1"/>
        <s v="4°2°1LUMAÑANA423" u="1"/>
        <s v="4°2°2LUMAÑANA423" u="1"/>
        <s v="4°2°3LUMAÑANA423" u="1"/>
        <s v="4°2°4LUMAÑANA423" u="1"/>
        <s v="3°4°PREHORAMATARDE0" u="1"/>
        <s v="4°3°2JUTARDE431" u="1"/>
        <s v="4°2°1LUTARDE0" u="1"/>
        <s v="3°1°3MIMAÑANA311" u="1"/>
        <s v="3°1°4MIMAÑANA311" u="1"/>
        <s v="7°1°3MATARDE0" u="1"/>
        <s v="3°1°4MITARDE0" u="1"/>
        <s v="7°1°2MITARDE0" u="1"/>
        <s v="5°2°4MATARDE0" u="1"/>
        <s v="1°2°5MITARDE0" u="1"/>
        <s v="5°2°3MITARDE0" u="1"/>
        <s v="3°4°5MATARDE0" u="1"/>
        <s v="6°1°PREHORAMITARDE0" u="1"/>
        <s v="1°6°5MITARDE0" u="1"/>
        <s v="3°2°1LUMAÑANA321" u="1"/>
        <s v="3°2°1MAMAÑANA321" u="1"/>
        <s v="3°2°2LUMAÑANA321" u="1"/>
        <s v="3°2°2MAMAÑANA321" u="1"/>
        <s v="3°2°3MAMAÑANA321" u="1"/>
        <s v="3°2°4MAMAÑANA321" u="1"/>
        <s v="4°3°3JUTARDE431" u="1"/>
        <s v="4°2°2LUTARDE0" u="1"/>
        <s v="7°1°4MATARDE0" u="1"/>
        <s v="3°1°5MITARDE0" u="1"/>
        <s v="5°2°5MATARDE0" u="1"/>
        <s v="5°2°4MITARDE0" u="1"/>
        <s v="5°4°5MATARDE0" u="1"/>
        <s v="3°4°5MITARDE0" u="1"/>
        <s v="4°3°4JUTARDE431" u="1"/>
        <s v="6°1°1JUTARDE0" u="1"/>
        <s v="4°1°1LUTARDE411" u="1"/>
        <s v="1°6°1MIMAÑANA0" u="1"/>
        <s v="7°2°PREHORAVITARDE721" u="1"/>
        <s v="4°1°1LUTARDE412" u="1"/>
        <s v="3°2°1MIMAÑANA0" u="1"/>
        <s v="5°5°1maMAÑANA0" u="1"/>
        <s v="4°1°2LUTARDE411" u="1"/>
        <s v="1°6°2MIMAÑANA0" u="1"/>
        <s v="2°4°5LUTARDE0" u="1"/>
        <s v="4°1°2LUTARDE412" u="1"/>
        <s v="3°2°2MIMAÑANA0" u="1"/>
        <s v="5°5°2maMAÑANA0" u="1"/>
        <s v="5°5°1MiMAÑANA0" u="1"/>
        <s v="4°1°3LUTARDE411" u="1"/>
        <s v="2°2°5JUTARDE0" u="1"/>
        <s v="4°1°2JUTARDE411" u="1"/>
        <s v="6°1°1VITARDE611" u="1"/>
        <s v="3°2°1VIVESPERTINO321" u="1"/>
        <s v="3°2°2VIVESPERTINO321" u="1"/>
        <s v="3°2°3VIVESPERTINO321" u="1"/>
        <s v="3°2°4VIVESPERTINO321" u="1"/>
        <s v="4°1°3LUTARDE412" u="1"/>
        <s v="7°2°1miMAÑANA0" u="1"/>
        <s v="5°5°3MAMAÑANA0" u="1"/>
        <s v="5°5°2MiMAÑANA0" u="1"/>
        <s v="4°1°4LUTARDE411" u="1"/>
        <s v="4°1°3JUTARDE411" u="1"/>
        <s v="6°1°2VITARDE611" u="1"/>
        <s v="1°4°1LUMAÑANA141" u="1"/>
        <s v="1°4°2LUMAÑANA141" u="1"/>
        <s v="1°4°3JUMAÑANA141" u="1"/>
        <s v="1°4°4JUMAÑANA141" u="1"/>
        <s v="5°1°3MATARDE511" u="1"/>
        <s v="4°2°1LUVESPERTINO422" u="1"/>
        <s v="4°2°2LUVESPERTINO422" u="1"/>
        <s v="4°2°3LUVESPERTINO422" u="1"/>
        <s v="4°2°4LUVESPERTINO422" u="1"/>
        <s v="7°1°1LUVESPERTINO711" u="1"/>
        <s v="7°1°1VIVESPERTINO711" u="1"/>
        <s v="7°1°2LUVESPERTINO711" u="1"/>
        <s v="7°1°2VIVESPERTINO711" u="1"/>
        <s v="7°1°3LUVESPERTINO711" u="1"/>
        <s v="7°1°3VIVESPERTINO711" u="1"/>
        <s v="7°1°4LUVESPERTINO711" u="1"/>
        <s v="7°1°4VIVESPERTINO711" u="1"/>
        <s v="5°2°1LUVESPERTINO521" u="1"/>
        <s v="5°2°1MAVESPERTINO521" u="1"/>
        <s v="5°2°1MIVESPERTINO521" u="1"/>
        <s v="5°2°2LUVESPERTINO521" u="1"/>
        <s v="5°2°2MAVESPERTINO521" u="1"/>
        <s v="5°2°2MIVESPERTINO521" u="1"/>
        <s v="5°2°3JUVESPERTINO521" u="1"/>
        <s v="5°2°3LUVESPERTINO521" u="1"/>
        <s v="5°2°3MIVESPERTINO521" u="1"/>
        <s v="5°2°4JUVESPERTINO521" u="1"/>
        <s v="5°2°4LUVESPERTINO521" u="1"/>
        <s v="5°2°4MIVESPERTINO521" u="1"/>
        <s v="4°1°4LUTARDE412" u="1"/>
        <s v="7°2°3MAMAÑANA0" u="1"/>
        <s v="3°5°5MAMAÑANA0" u="1"/>
        <s v="5°5°4MAMAÑANA0" u="1"/>
        <s v="5°5°3MIMAÑANA0" u="1"/>
        <s v="4°1°5LUTARDE411" u="1"/>
        <s v="5°2°VESPERTINO522" u="1"/>
        <s v="4°1°4JUTARDE411" u="1"/>
        <s v="6°1°3VITARDE611" u="1"/>
        <s v="5°1°4MATARDE511" u="1"/>
        <s v="5°1°3miTARDE511" u="1"/>
        <s v="1°6°1JUMAÑANA161" u="1"/>
        <s v="1°6°1LUMAÑANA161" u="1"/>
        <s v="1°6°2JUMAÑANA161" u="1"/>
        <s v="1°6°2LUMAÑANA161" u="1"/>
        <s v="1°6°3JUMAÑANA161" u="1"/>
        <s v="1°6°4JUMAÑANA161" u="1"/>
        <s v="3°4°PREHORALUTARDE0" u="1"/>
        <s v="7°2°4MAMAÑANA0" u="1"/>
        <s v="7°2°3miMAÑANA0" u="1"/>
        <s v="6°3°1luTARDE631" u="1"/>
        <s v="5°1°3MITARDE512" u="1"/>
        <s v="5°5°5MAMAÑANA0" u="1"/>
        <s v="5°5°4MIMAÑANA0" u="1"/>
        <s v="4°1°5JUTARDE411" u="1"/>
        <s v="6°1°4VITARDE611" u="1"/>
        <s v="6°3°1luTARDE632" u="1"/>
        <s v="5°1°4miTARDE511" u="1"/>
        <s v="6°3°1luVESPERTINO632" u="1"/>
        <s v="6°3°2luVESPERTINO632" u="1"/>
        <s v="6°3°3luVESPERTINO632" u="1"/>
        <s v="6°3°3MIVESPERTINO632" u="1"/>
        <s v="6°3°4luVESPERTINO632" u="1"/>
        <s v="6°3°4MIVESPERTINO632" u="1"/>
        <s v="5°4°1LUVESPERTINO541" u="1"/>
        <s v="5°4°1MIVESPERTINO541" u="1"/>
        <s v="5°4°2LUVESPERTINO541" u="1"/>
        <s v="5°4°2MIVESPERTINO541" u="1"/>
        <s v="5°4°3LUVESPERTINO541" u="1"/>
        <s v="5°4°3MAVESPERTINO541" u="1"/>
        <s v="5°4°3MIVESPERTINO541" u="1"/>
        <s v="5°4°4LUVESPERTINO541" u="1"/>
        <s v="5°4°4MAVESPERTINO541" u="1"/>
        <s v="5°4°4MIVESPERTINO541" u="1"/>
        <s v="3°5°1MAVESPERTINO351" u="1"/>
        <s v="3°5°2MAVESPERTINO351" u="1"/>
        <s v="3°5°3MAVESPERTINO351" u="1"/>
        <s v="3°5°4MAVESPERTINO351" u="1"/>
        <s v="6°3°2luTARDE631" u="1"/>
        <s v="5°1°4MITARDE512" u="1"/>
        <s v="5°5°5MIMAÑANA0" u="1"/>
        <s v="6°2°3LUMAÑANA0" u="1"/>
        <s v="6°3°2luTARDE632" u="1"/>
        <s v="6°4°1maVESPERTINO642" u="1"/>
        <s v="6°4°1MIVESPERTINO642" u="1"/>
        <s v="6°4°1VIVESPERTINO642" u="1"/>
        <s v="6°4°2maVESPERTINO642" u="1"/>
        <s v="6°4°2miVESPERTINO642" u="1"/>
        <s v="6°4°2VIVESPERTINO642" u="1"/>
        <s v="6°4°3maVESPERTINO642" u="1"/>
        <s v="6°4°3VIVESPERTINO642" u="1"/>
        <s v="6°4°4maVESPERTINO642" u="1"/>
        <s v="6°4°4VIVESPERTINO642" u="1"/>
        <s v="3°5°4JUTARDE ," u="1"/>
        <s v="5°5°1juVESPERTINO551" u="1"/>
        <s v="5°5°1LUVESPERTINO551" u="1"/>
        <s v="5°5°1MAVESPERTINO551" u="1"/>
        <s v="5°5°1miVESPERTINO551" u="1"/>
        <s v="5°5°1VIVESPERTINO551" u="1"/>
        <s v="5°5°2juVESPERTINO551" u="1"/>
        <s v="5°5°2luVESPERTINO551" u="1"/>
        <s v="5°5°2MAVESPERTINO551" u="1"/>
        <s v="5°5°2miVESPERTINO551" u="1"/>
        <s v="5°5°2VIVESPERTINO551" u="1"/>
        <s v="5°5°3juVESPERTINO551" u="1"/>
        <s v="5°5°3luVESPERTINO551" u="1"/>
        <s v="5°5°3MIVESPERTINO551" u="1"/>
        <s v="5°5°4juVESPERTINO551" u="1"/>
        <s v="5°5°4luVESPERTINO551" u="1"/>
        <s v="5°5°4MIVESPERTINO551" u="1"/>
        <s v="6°3°3luTARDE631" u="1"/>
        <s v="4°1°5LUMAÑANA0" u="1"/>
        <s v="6°2°4LUMAÑANA0" u="1"/>
        <s v="6°3°3luTARDE632" u="1"/>
        <s v="2°5°5JUMAÑANA0" u="1"/>
        <s v="6°3°4luTARDE631" u="1"/>
        <s v="7°1°3LUMAÑANA712" u="1"/>
        <s v="7°1°4LUMAÑANA712" u="1"/>
        <s v="4°1°5JUMAÑANA0" u="1"/>
        <s v="6°3°4luTARDE632" u="1"/>
        <s v="6°1°1LUTARDE612" u="1"/>
        <s v="7°2°1MITARDE722" u="1"/>
        <s v="6°1°1juTARDE611" u="1"/>
        <s v="6°1°2LUTARDE612" u="1"/>
        <s v="7°2°2MITARDE722" u="1"/>
        <s v="7°1°1MATARDE712" u="1"/>
        <s v="6°1°2juTARDE611" u="1"/>
        <s v="6°1°3LUTARDE612" u="1"/>
        <s v="5°1°1JUMAÑANA512" u="1"/>
        <s v="5°1°1miMAÑANA512" u="1"/>
        <s v="5°1°2JUMAÑANA512" u="1"/>
        <s v="5°1°2miMAÑANA512" u="1"/>
        <s v="7°2°3MITARDE722" u="1"/>
        <s v="7°1°2MATARDE712" u="1"/>
        <s v="7°1°1MITARDE712" u="1"/>
        <s v="6°1°3juTARDE611" u="1"/>
        <s v="1°1°1VITARDE111" u="1"/>
        <s v="2°5°1MATARDE251" u="1"/>
        <s v="6°1°4LUTARDE612" u="1"/>
        <s v="2°5°1MATARDE252" u="1"/>
        <s v="5°3°3VIMAÑANA532" u="1"/>
        <s v="5°3°4VIMAÑANA532" u="1"/>
        <s v="7°2°4MITARDE722" u="1"/>
        <s v="3°5°1viTARDE351" u="1"/>
        <s v="7°1°3MATARDE712" u="1"/>
        <s v="7°1°2MITARDE712" u="1"/>
        <s v="6°1°4juTARDE611" u="1"/>
        <s v="1°1°2VITARDE111" u="1"/>
        <s v="2°5°2MATARDE251" u="1"/>
        <s v="2°5°2MATARDE252" u="1"/>
        <s v="3°5°2viTARDE351" u="1"/>
        <s v="7°1°4MATARDE712" u="1"/>
        <s v="7°1°3MITARDE712" u="1"/>
        <s v="1°1°3VITARDE112" u="1"/>
        <s v="2°5°3MATARDE252" u="1"/>
        <s v="3°1°1MIMAÑANA312" u="1"/>
        <s v="3°1°2MIMAÑANA312" u="1"/>
        <s v="7°1°4MITARDE712" u="1"/>
        <s v="3°2°1LUMAÑANA322" u="1"/>
        <s v="3°2°2LUMAÑANA322" u="1"/>
        <s v="3°2°3LUMAÑANA322" u="1"/>
        <s v="3°2°4LUMAÑANA322" u="1"/>
        <s v="1°1°4VITARDE112" u="1"/>
        <s v="2°5°4MATARDE252" u="1"/>
        <s v="2°5°3MITARDE252" u="1"/>
        <s v="3°4°1LUMAÑANA342" u="1"/>
        <s v="3°4°1viMAÑANA342" u="1"/>
        <s v="3°4°2LUMAÑANA342" u="1"/>
        <s v="3°4°2viMAÑANA342" u="1"/>
        <s v="3°4°3LUMAÑANA342" u="1"/>
        <s v="3°4°3MAMAÑANA342" u="1"/>
        <s v="3°4°3viMAÑANA342" u="1"/>
        <s v="3°4°4LUMAÑANA342" u="1"/>
        <s v="3°4°4MAMAÑANA342" u="1"/>
        <s v="3°4°4viMAÑANA342" u="1"/>
        <s v="2°5°4MITARDE252" u="1"/>
        <s v="3°5°2LUMAÑANA352" u="1"/>
        <s v="5°2°TARDE0" u="1"/>
        <s v="1°2°3MAMAÑANA122" u="1"/>
        <s v="1°2°4MAMAÑANA122" u="1"/>
        <s v="3°3°3VITARDE331" u="1"/>
        <s v="1°4°1miMAÑANA142" u="1"/>
        <s v="1°4°2miMAÑANA142" u="1"/>
        <s v="1°4°3MAMAÑANA142" u="1"/>
        <s v="1°4°4MAMAÑANA142" u="1"/>
        <s v="3°3°4VITARDE331" u="1"/>
        <s v="3°5°1LUTARDE352" u="1"/>
        <s v="3°5°1JUTARDE351" u="1"/>
        <s v="1°6°1JUMAÑANA162" u="1"/>
        <s v="1°6°2JUMAÑANA162" u="1"/>
        <s v="1°6°3JUMAÑANA162" u="1"/>
        <s v="1°6°3LUMAÑANA162" u="1"/>
        <s v="1°6°4JUMAÑANA162" u="1"/>
        <s v="1°6°4LUMAÑANA162" u="1"/>
        <s v="3°1°1VITARDE311" u="1"/>
        <s v="3°5°2LUTARDE352" u="1"/>
        <s v="3°5°2JUTARDE351" u="1"/>
        <s v="5°1°1JUVESPERTINO0" u="1"/>
        <s v="5°1°1LUVESPERTINO0" u="1"/>
        <s v="5°1°1MAVESPERTINO0" u="1"/>
        <s v="5°1°1MIVESPERTINO0" u="1"/>
        <s v="5°1°1VIVESPERTINO0" u="1"/>
        <s v="5°1°2JUVESPERTINO0" u="1"/>
        <s v="5°1°2LUVESPERTINO0" u="1"/>
        <s v="5°1°2MAVESPERTINO0" u="1"/>
        <s v="5°1°2MIVESPERTINO0" u="1"/>
        <s v="5°1°2VIVESPERTINO0" u="1"/>
        <s v="5°1°3JUVESPERTINO0" u="1"/>
        <s v="5°1°3LUVESPERTINO0" u="1"/>
        <s v="5°1°3MAVESPERTINO0" u="1"/>
        <s v="5°1°3MIVESPERTINO0" u="1"/>
        <s v="5°1°3VIVESPERTINO0" u="1"/>
        <s v="5°1°4JUVESPERTINO0" u="1"/>
        <s v="5°1°4LUVESPERTINO0" u="1"/>
        <s v="5°1°4MAVESPERTINO0" u="1"/>
        <s v="5°1°4MIVESPERTINO0" u="1"/>
        <s v="5°1°4VIVESPERTINO0" u="1"/>
        <s v="5°2°1VIVESPERTINO0" u="1"/>
        <s v="5°2°2VIVESPERTINO0" u="1"/>
        <s v="5°3°1MIVESPERTINO0" u="1"/>
        <s v="5°3°2MIVESPERTINO0" u="1"/>
        <s v="5°3°3VIVESPERTINO0" u="1"/>
        <s v="5°3°4VIVESPERTINO0" u="1"/>
        <s v="3°1°2VITARDE311" u="1"/>
        <s v="3°5°3LUTARDE352" u="1"/>
        <s v="1°6°1VITARDE0" u="1"/>
        <s v="7°1°1JUVESPERTINO0" u="1"/>
        <s v="7°1°1luVESPERTINO0" u="1"/>
        <s v="7°1°1MAVESPERTINO0" u="1"/>
        <s v="7°1°2JUVESPERTINO0" u="1"/>
        <s v="7°1°2luVESPERTINO0" u="1"/>
        <s v="7°1°2MAVESPERTINO0" u="1"/>
        <s v="7°1°3JUVESPERTINO0" u="1"/>
        <s v="7°1°3MAVESPERTINO0" u="1"/>
        <s v="7°1°4JUVESPERTINO0" u="1"/>
        <s v="3°5°4LUTARDE352" u="1"/>
        <s v="1°6°2VITARDE0" u="1"/>
        <s v="5°2°1VITARDE0" u="1"/>
        <s v="5°4°1VITARDE0" u="1"/>
        <s v="1°6°3VITARDE0" u="1"/>
        <s v="5°1°PREHORAVIVESPERTINO0" u="1"/>
      </sharedItems>
    </cacheField>
    <cacheField name="COM" numFmtId="0">
      <sharedItems containsString="0" containsBlank="1" containsNumber="1" containsInteger="1" minValue="0" maxValue="732"/>
    </cacheField>
    <cacheField name="cod" numFmtId="0">
      <sharedItems containsBlank="1"/>
    </cacheField>
    <cacheField name="H_D" numFmtId="0">
      <sharedItems containsBlank="1" count="38">
        <s v="1JU"/>
        <s v="1LU"/>
        <s v="1MA"/>
        <s v="1MI"/>
        <s v="1VI"/>
        <s v="2JU"/>
        <s v="3VI"/>
        <s v="4VI"/>
        <s v="2VI"/>
        <s v="2LU"/>
        <s v="2MA"/>
        <s v="2MI"/>
        <s v="3JU"/>
        <s v="3LU"/>
        <s v="3ma"/>
        <s v="3MI"/>
        <s v="4JU"/>
        <s v="4LU"/>
        <s v="4ma"/>
        <s v="4MI"/>
        <s v="5JU"/>
        <s v="5LU"/>
        <s v="PREHORAMA"/>
        <s v="PREHORAMI"/>
        <s v="5MI"/>
        <s v="5VI"/>
        <s v="PREHORAJU"/>
        <s v="PREHORALU"/>
        <s v="5MA"/>
        <s v="PHORAMI"/>
        <s v="prehorAVI"/>
        <m/>
        <s v="PHEHORAJU"/>
        <s v="1NA" u="1"/>
        <s v="lu" u="1"/>
        <s v="ma" u="1"/>
        <s v="mi" u="1"/>
        <s v="PREHORAVILU" u="1"/>
      </sharedItems>
    </cacheField>
    <cacheField name="turno" numFmtId="0">
      <sharedItems containsBlank="1" count="5">
        <s v="MAÑANA"/>
        <s v="TARDE"/>
        <s v="VESPERTINO"/>
        <m/>
        <s v=" " u="1"/>
      </sharedItems>
    </cacheField>
    <cacheField name=" " numFmtId="0">
      <sharedItems containsBlank="1"/>
    </cacheField>
    <cacheField name="materia" numFmtId="0">
      <sharedItems containsBlank="1"/>
    </cacheField>
    <cacheField name="AULA" numFmtId="0">
      <sharedItems containsBlank="1" containsMixedTypes="1" containsNumber="1" containsInteger="1" minValue="12" maxValue="52" count="27">
        <s v="PB01"/>
        <s v="aula 4"/>
        <n v="47"/>
        <s v="PATIO2"/>
        <s v="aula 3"/>
        <s v="CARPINTERIA"/>
        <s v="HERRERIA"/>
        <m/>
        <n v="45"/>
        <s v="aula 1"/>
        <s v="aula 2"/>
        <s v="ROBOTICA"/>
        <s v="PATIO"/>
        <s v="superpuesto"/>
        <n v="33"/>
        <n v="12"/>
        <n v="46"/>
        <s v="ALULA 4"/>
        <n v="41"/>
        <n v="31"/>
        <n v="40"/>
        <s v="HARDWARE"/>
        <n v="30"/>
        <n v="44"/>
        <n v="52"/>
        <n v="42"/>
        <s v="PATIO3"/>
      </sharedItems>
    </cacheField>
    <cacheField name="aula_mov" numFmtId="0">
      <sharedItems containsBlank="1" containsMixedTypes="1" containsNumber="1" containsInteger="1" minValue="40" maxValue="7798026220290"/>
    </cacheField>
    <cacheField name="dia" numFmtId="0">
      <sharedItems containsBlank="1"/>
    </cacheField>
    <cacheField name="MODALIDAD" numFmtId="0">
      <sharedItems containsBlank="1"/>
    </cacheField>
    <cacheField name="DOCENTE" numFmtId="0">
      <sharedItems containsBlank="1" containsMixedTypes="1" containsNumber="1" containsInteger="1" minValue="0" maxValue="0"/>
    </cacheField>
    <cacheField name="COD_2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16">
  <r>
    <x v="0"/>
    <s v="1°1°1JUMAÑANA0"/>
    <n v="0"/>
    <s v="1JUMPB01"/>
    <s v="1JU"/>
    <x v="0"/>
    <s v="1°1°1SOC"/>
    <s v="CIENCIAS SOCIALES"/>
    <s v="PB01"/>
    <m/>
    <x v="0"/>
    <x v="0"/>
  </r>
  <r>
    <x v="0"/>
    <s v="1°1°1juTARDE111"/>
    <n v="111"/>
    <s v="1juTaula 4"/>
    <s v="1JU"/>
    <x v="1"/>
    <s v="1°1°1111TLT"/>
    <s v="LENGUAJES TECNOLOGICOS"/>
    <s v="aula 4"/>
    <m/>
    <x v="0"/>
    <x v="1"/>
  </r>
  <r>
    <x v="0"/>
    <s v="1°1°1LUMAÑANA0"/>
    <n v="0"/>
    <s v="1LUMPB01"/>
    <s v="1LU"/>
    <x v="0"/>
    <s v="1°1°1ING"/>
    <s v="INGLÉS"/>
    <s v="PB01"/>
    <m/>
    <x v="1"/>
    <x v="0"/>
  </r>
  <r>
    <x v="0"/>
    <s v="1°1°1LUTARDE111"/>
    <n v="111"/>
    <s v="1LUT47"/>
    <s v="1LU"/>
    <x v="1"/>
    <s v="1°1°1111TST"/>
    <s v="SISTEMAS TECNOLOGICOS"/>
    <n v="47"/>
    <m/>
    <x v="1"/>
    <x v="1"/>
  </r>
  <r>
    <x v="0"/>
    <s v="1°1°1LUTARDE112"/>
    <n v="112"/>
    <s v="1LUTAULA 4"/>
    <s v="1LU"/>
    <x v="1"/>
    <s v="1°1°1121TLT"/>
    <s v="LENGUAJES TECNOLOGICOS"/>
    <s v="aula 4"/>
    <m/>
    <x v="1"/>
    <x v="1"/>
  </r>
  <r>
    <x v="0"/>
    <s v="1°1°1MAMAÑANA0"/>
    <n v="0"/>
    <s v="1MAMPB01"/>
    <s v="1MA"/>
    <x v="0"/>
    <s v="1°1°1MAT"/>
    <s v="MATEMATICA"/>
    <s v="PB01"/>
    <m/>
    <x v="2"/>
    <x v="0"/>
  </r>
  <r>
    <x v="0"/>
    <s v="1°1°1MATARDE0"/>
    <n v="0"/>
    <s v="1MATPATIO2"/>
    <s v="1MA"/>
    <x v="1"/>
    <s v="1°1°1EFI"/>
    <s v="EDUCACIÓN FISICA"/>
    <s v="PATIO2"/>
    <m/>
    <x v="2"/>
    <x v="1"/>
  </r>
  <r>
    <x v="0"/>
    <s v="1°1°1MIMAÑANA0"/>
    <n v="0"/>
    <s v="1MIMPB01"/>
    <s v="1MI"/>
    <x v="0"/>
    <s v="1°1°1ART"/>
    <s v="EDUCACION ARTISTICA (PLASTICA)"/>
    <s v="PB01"/>
    <m/>
    <x v="3"/>
    <x v="0"/>
  </r>
  <r>
    <x v="0"/>
    <s v="1°1°1juTARDE112"/>
    <n v="112"/>
    <s v="1juTaula 3"/>
    <s v="1JU"/>
    <x v="1"/>
    <s v="1°1°1121TST"/>
    <s v="SISTEMAS TECNOLOGICOS"/>
    <s v="aula 3"/>
    <m/>
    <x v="0"/>
    <x v="1"/>
  </r>
  <r>
    <x v="0"/>
    <s v="1°1°1VIMAÑANA0"/>
    <n v="0"/>
    <s v="1VIMPB01"/>
    <s v="1VI"/>
    <x v="0"/>
    <s v="1°1°1MAT"/>
    <s v="MATEMATICA"/>
    <s v="PB01"/>
    <m/>
    <x v="4"/>
    <x v="0"/>
  </r>
  <r>
    <x v="0"/>
    <s v="1°1°2JUMAÑANA0"/>
    <n v="0"/>
    <s v="2JUMPB01"/>
    <s v="2JU"/>
    <x v="0"/>
    <s v="1°1°1SOC"/>
    <s v="CIENCIAS SOCIALES"/>
    <s v="PB01"/>
    <m/>
    <x v="0"/>
    <x v="0"/>
  </r>
  <r>
    <x v="1"/>
    <s v="3°5°3VITARDE352"/>
    <n v="352"/>
    <s v="3juTAULA 4"/>
    <s v="3VI"/>
    <x v="1"/>
    <s v="3°5°3523TLT3"/>
    <s v="LENGUAJES TECNOLOGICOS"/>
    <s v="aula 4"/>
    <m/>
    <x v="4"/>
    <x v="1"/>
  </r>
  <r>
    <x v="1"/>
    <s v="3°5°4VITARDE352"/>
    <n v="352"/>
    <s v="4juTAULA 4"/>
    <s v="4VI"/>
    <x v="1"/>
    <s v="3°5°3523TLT3"/>
    <s v="LENGUAJES TECNOLOGICOS"/>
    <s v="aula 4"/>
    <m/>
    <x v="4"/>
    <x v="1"/>
  </r>
  <r>
    <x v="1"/>
    <s v="3°5°1VITARDE352"/>
    <n v="352"/>
    <s v="3VITCARPINTERIA"/>
    <s v="1VI"/>
    <x v="1"/>
    <s v="3°5°3523TPT3"/>
    <s v="PROCEDIMIENTOS TECNICOS"/>
    <s v="CARPINTERIA"/>
    <m/>
    <x v="4"/>
    <x v="1"/>
  </r>
  <r>
    <x v="1"/>
    <s v="3°5°2VITARDE352"/>
    <n v="352"/>
    <s v="4VITCARPINTERIA"/>
    <s v="2VI"/>
    <x v="1"/>
    <s v="3°5°3523TPT3"/>
    <s v="PROCEDIMIENTOS TECNICOS"/>
    <s v="CARPINTERIA"/>
    <m/>
    <x v="4"/>
    <x v="1"/>
  </r>
  <r>
    <x v="0"/>
    <s v="1°1°2juTARDE111"/>
    <n v="111"/>
    <s v="2juTaula 4"/>
    <s v="2JU"/>
    <x v="1"/>
    <s v="1°1°1111TLT"/>
    <s v="LENGUAJES TECNOLOGICOS"/>
    <s v="aula 4"/>
    <m/>
    <x v="0"/>
    <x v="1"/>
  </r>
  <r>
    <x v="0"/>
    <s v="1°1°2LUMAÑANA0"/>
    <n v="0"/>
    <s v="2LUMPB01"/>
    <s v="2LU"/>
    <x v="0"/>
    <s v="1°1°1ING"/>
    <s v="INGLÉS"/>
    <s v="PB01"/>
    <m/>
    <x v="1"/>
    <x v="0"/>
  </r>
  <r>
    <x v="0"/>
    <s v="1°1°2LUTARDE111"/>
    <n v="111"/>
    <s v="2LUT47"/>
    <s v="2LU"/>
    <x v="1"/>
    <s v="1°1°1111TST"/>
    <s v="SISTEMAS TECNOLOGICOS"/>
    <n v="47"/>
    <m/>
    <x v="1"/>
    <x v="1"/>
  </r>
  <r>
    <x v="0"/>
    <s v="1°1°2LUTARDE112"/>
    <n v="112"/>
    <s v="2LUTAULA 4"/>
    <s v="2LU"/>
    <x v="1"/>
    <s v="1°1°1121TLT"/>
    <s v="LENGUAJES TECNOLOGICOS"/>
    <s v="aula 4"/>
    <m/>
    <x v="1"/>
    <x v="1"/>
  </r>
  <r>
    <x v="0"/>
    <s v="1°1°2MAMAÑANA0"/>
    <n v="0"/>
    <s v="2MAMPB01"/>
    <s v="2MA"/>
    <x v="0"/>
    <s v="1°1°1MAT"/>
    <s v="MATEMATICA"/>
    <s v="PB01"/>
    <m/>
    <x v="2"/>
    <x v="0"/>
  </r>
  <r>
    <x v="0"/>
    <s v="1°1°2MIMAÑANA0"/>
    <n v="0"/>
    <s v="2MIMPB01"/>
    <s v="2MI"/>
    <x v="0"/>
    <s v="1°1°1ART"/>
    <s v="EDUCACION ARTISTICA (PLASTICA)"/>
    <s v="PB01"/>
    <m/>
    <x v="3"/>
    <x v="0"/>
  </r>
  <r>
    <x v="0"/>
    <s v="1°1°2juTARDE112"/>
    <n v="112"/>
    <s v="2juTaula 3"/>
    <s v="2JU"/>
    <x v="1"/>
    <s v="1°1°1121TST"/>
    <s v="SISTEMAS TECNOLOGICOS"/>
    <s v="aula 3"/>
    <m/>
    <x v="0"/>
    <x v="1"/>
  </r>
  <r>
    <x v="0"/>
    <s v="1°1°2VIMAÑANA0"/>
    <n v="0"/>
    <s v="2VIMPB01"/>
    <s v="2VI"/>
    <x v="0"/>
    <s v="1°1°1MAT"/>
    <s v="MATEMATICA"/>
    <s v="PB01"/>
    <m/>
    <x v="4"/>
    <x v="0"/>
  </r>
  <r>
    <x v="0"/>
    <s v="1°1°3JUMAÑANA0"/>
    <n v="0"/>
    <s v="3JUMPB01"/>
    <s v="3JU"/>
    <x v="0"/>
    <s v="1°1°1NAT"/>
    <s v="CIENCIAS NATURALES"/>
    <s v="PB01"/>
    <m/>
    <x v="0"/>
    <x v="0"/>
  </r>
  <r>
    <x v="0"/>
    <s v="1°1°3LUMAÑANA0"/>
    <n v="0"/>
    <s v="3LUMPB01"/>
    <s v="3LU"/>
    <x v="0"/>
    <s v="1°1°1CCD"/>
    <s v="CONSTRUCCION DE LA CIUDADANIA"/>
    <s v="PB01"/>
    <m/>
    <x v="1"/>
    <x v="0"/>
  </r>
  <r>
    <x v="0"/>
    <s v="1°1°3LUTARDE112"/>
    <n v="112"/>
    <s v="3LUTHERRERIA"/>
    <s v="3LU"/>
    <x v="1"/>
    <s v="1°1°1121TPT"/>
    <s v="PROCEDIMIENTOS TECNICOS"/>
    <s v="HERRERIA"/>
    <m/>
    <x v="1"/>
    <x v="1"/>
  </r>
  <r>
    <x v="0"/>
    <s v="1°1°3maMAÑANA0"/>
    <n v="0"/>
    <s v="3maMPB01"/>
    <s v="3ma"/>
    <x v="0"/>
    <s v="1°1°1LEN"/>
    <s v="PRACTICA DEL LENGUAJE"/>
    <s v="PB01"/>
    <m/>
    <x v="2"/>
    <x v="0"/>
  </r>
  <r>
    <x v="0"/>
    <s v="1°1°3MATARDE111"/>
    <n v="111"/>
    <s v="3MATHERRERIA"/>
    <s v="3ma"/>
    <x v="1"/>
    <s v="1°1°1111TPT"/>
    <s v="PROCEDIMIENTOS TECNICOS"/>
    <s v="HERRERIA"/>
    <m/>
    <x v="2"/>
    <x v="1"/>
  </r>
  <r>
    <x v="0"/>
    <s v="1°1°3MIMAÑANA0"/>
    <n v="0"/>
    <s v="3MIMPB01"/>
    <s v="3MI"/>
    <x v="0"/>
    <s v="1°1°1SOC"/>
    <s v="CIENCIAS SOCIALES"/>
    <s v="PB01"/>
    <m/>
    <x v="3"/>
    <x v="0"/>
  </r>
  <r>
    <x v="0"/>
    <s v="1°1°3viMAÑANA0"/>
    <n v="0"/>
    <s v="3viMPB01"/>
    <s v="3VI"/>
    <x v="0"/>
    <s v="1°1°1LEN"/>
    <s v="PRACTICA DEL LENGUAJE"/>
    <s v="PB01"/>
    <m/>
    <x v="4"/>
    <x v="0"/>
  </r>
  <r>
    <x v="0"/>
    <s v="1°1°4JUMAÑANA0"/>
    <n v="0"/>
    <s v="4JUMPB01"/>
    <s v="4JU"/>
    <x v="0"/>
    <s v="1°1°1NAT"/>
    <s v="CIENCIAS NATURALES"/>
    <s v="PB01"/>
    <m/>
    <x v="0"/>
    <x v="0"/>
  </r>
  <r>
    <x v="0"/>
    <s v="1°1°4LUMAÑANA0"/>
    <n v="0"/>
    <s v="4LUMPB01"/>
    <s v="4LU"/>
    <x v="0"/>
    <s v="1°1°1CCD"/>
    <s v="CONSTRUCCION DE LA CIUDADANIA"/>
    <s v="PB01"/>
    <m/>
    <x v="1"/>
    <x v="0"/>
  </r>
  <r>
    <x v="0"/>
    <s v="1°1°4LUTARDE112"/>
    <n v="112"/>
    <s v="4LUTHERRERIA"/>
    <s v="4LU"/>
    <x v="1"/>
    <s v="1°1°1121TPT"/>
    <s v="PROCEDIMIENTOS TECNICOS"/>
    <s v="HERRERIA"/>
    <m/>
    <x v="1"/>
    <x v="1"/>
  </r>
  <r>
    <x v="0"/>
    <s v="1°1°4maMAÑANA0"/>
    <n v="0"/>
    <s v="4maMPB01"/>
    <s v="4ma"/>
    <x v="0"/>
    <s v="1°1°1LEN"/>
    <s v="PRACTICA DEL LENGUAJE"/>
    <s v="PB01"/>
    <m/>
    <x v="2"/>
    <x v="0"/>
  </r>
  <r>
    <x v="0"/>
    <s v="1°1°4MATARDE111"/>
    <n v="111"/>
    <s v="4MATHERRERIA"/>
    <s v="4ma"/>
    <x v="1"/>
    <s v="1°1°1111TPT"/>
    <s v="PROCEDIMIENTOS TECNICOS"/>
    <s v="HERRERIA"/>
    <m/>
    <x v="2"/>
    <x v="1"/>
  </r>
  <r>
    <x v="0"/>
    <s v="1°1°4MIMAÑANA0"/>
    <n v="0"/>
    <s v="4MIMPB01"/>
    <s v="4MI"/>
    <x v="0"/>
    <s v="1°1°1SOC"/>
    <s v="CIENCIAS SOCIALES"/>
    <s v="PB01"/>
    <m/>
    <x v="3"/>
    <x v="0"/>
  </r>
  <r>
    <x v="0"/>
    <s v="1°1°4viMAÑANA0"/>
    <n v="0"/>
    <s v="4viMPB01"/>
    <s v="4VI"/>
    <x v="0"/>
    <s v="1°1°1LEN"/>
    <s v="PRACTICA DEL LENGUAJE"/>
    <s v="PB01"/>
    <m/>
    <x v="4"/>
    <x v="0"/>
  </r>
  <r>
    <x v="0"/>
    <s v="1°1°5JUMAÑANA0"/>
    <n v="0"/>
    <s v="5JUMPB01"/>
    <s v="5JU"/>
    <x v="0"/>
    <s v="1°1°1NAT"/>
    <s v="CIENCIAS NATURALES"/>
    <s v="PB01"/>
    <m/>
    <x v="0"/>
    <x v="0"/>
  </r>
  <r>
    <x v="0"/>
    <s v="1°1°5LUMAÑANA0"/>
    <n v="0"/>
    <s v="5LUMPB01"/>
    <s v="5LU"/>
    <x v="0"/>
    <s v="1°1°1NAT"/>
    <s v="CIENCIAS NATURALES"/>
    <s v="PB01"/>
    <m/>
    <x v="1"/>
    <x v="0"/>
  </r>
  <r>
    <x v="0"/>
    <s v="1°1°PREHORAMATARDE0"/>
    <n v="0"/>
    <s v="PREHORAMATPATIO2"/>
    <s v="PREHORAMA"/>
    <x v="1"/>
    <s v="1°1°1EFI"/>
    <s v="EDUCACIÓN FISICA"/>
    <s v="PATIO2"/>
    <m/>
    <x v="2"/>
    <x v="1"/>
  </r>
  <r>
    <x v="2"/>
    <s v="1°2°1JUTARDE0"/>
    <n v="0"/>
    <s v="1JUT"/>
    <s v="1JU"/>
    <x v="1"/>
    <s v="1°2°1NAT"/>
    <s v="CIENCIAS NATURALES"/>
    <m/>
    <m/>
    <x v="0"/>
    <x v="0"/>
  </r>
  <r>
    <x v="2"/>
    <s v="1°2°1LUMAÑANA121"/>
    <n v="121"/>
    <s v="1LUMaula 4"/>
    <s v="1LU"/>
    <x v="0"/>
    <s v="1°2°1211TLT"/>
    <s v="LENGUAJES TECNOLOGICOS"/>
    <s v="aula 4"/>
    <m/>
    <x v="1"/>
    <x v="1"/>
  </r>
  <r>
    <x v="2"/>
    <s v="1°2°3LUTARDE0"/>
    <n v="0"/>
    <s v="3LUT"/>
    <s v="3LU"/>
    <x v="1"/>
    <s v="1°2°1LEN"/>
    <s v="PRACTICA DEL LENGUAJE"/>
    <m/>
    <m/>
    <x v="1"/>
    <x v="0"/>
  </r>
  <r>
    <x v="2"/>
    <s v="1°2°1MAMAÑANA122"/>
    <n v="122"/>
    <s v="1MAMCARPINTERIA"/>
    <s v="1MA"/>
    <x v="0"/>
    <s v="1°2°1221TPT"/>
    <s v="PROCEDIMIENTOS TECNICOS"/>
    <s v="CARPINTERIA"/>
    <m/>
    <x v="2"/>
    <x v="1"/>
  </r>
  <r>
    <x v="2"/>
    <s v="1°2°1MATARDE0"/>
    <n v="0"/>
    <s v="1MAT"/>
    <s v="1MA"/>
    <x v="1"/>
    <s v="1°2°1MAT"/>
    <s v="MATEMATICA"/>
    <m/>
    <m/>
    <x v="2"/>
    <x v="0"/>
  </r>
  <r>
    <x v="2"/>
    <s v="1°2°1MITARDE0"/>
    <n v="0"/>
    <s v="1MIT"/>
    <s v="1MI"/>
    <x v="1"/>
    <s v="1°2°1LEN"/>
    <s v="PRACTICA DEL LENGUAJE"/>
    <m/>
    <m/>
    <x v="3"/>
    <x v="0"/>
  </r>
  <r>
    <x v="2"/>
    <s v="1°2°1VITARDE0"/>
    <n v="0"/>
    <s v="1VIT"/>
    <s v="1VI"/>
    <x v="1"/>
    <s v="1°2°1MAT"/>
    <s v="MATEMATICA"/>
    <m/>
    <m/>
    <x v="4"/>
    <x v="0"/>
  </r>
  <r>
    <x v="2"/>
    <s v="1°2°2JUTARDE0"/>
    <n v="0"/>
    <s v="2JUT"/>
    <s v="2JU"/>
    <x v="1"/>
    <s v="1°2°1NAT"/>
    <s v="CIENCIAS NATURALES"/>
    <m/>
    <m/>
    <x v="0"/>
    <x v="0"/>
  </r>
  <r>
    <x v="2"/>
    <s v="1°2°2LUMAÑANA121"/>
    <n v="121"/>
    <s v="2LUMaula 4"/>
    <s v="2LU"/>
    <x v="0"/>
    <s v="1°2°1211TLT"/>
    <s v="LENGUAJES TECNOLOGICOS"/>
    <s v="aula 4"/>
    <m/>
    <x v="1"/>
    <x v="1"/>
  </r>
  <r>
    <x v="2"/>
    <s v="1°2°4LUTARDE0"/>
    <n v="0"/>
    <s v="4LUT"/>
    <s v="4LU"/>
    <x v="1"/>
    <s v="1°2°1LEN"/>
    <s v="PRACTICA DEL LENGUAJE"/>
    <m/>
    <m/>
    <x v="1"/>
    <x v="0"/>
  </r>
  <r>
    <x v="2"/>
    <s v="1°2°2MAMAÑANA122"/>
    <n v="122"/>
    <s v="2MAMCARPINTERIA"/>
    <s v="2MA"/>
    <x v="0"/>
    <s v="1°2°1221TPT"/>
    <s v="PROCEDIMIENTOS TECNICOS"/>
    <s v="CARPINTERIA"/>
    <m/>
    <x v="2"/>
    <x v="1"/>
  </r>
  <r>
    <x v="2"/>
    <s v="1°2°2MATARDE0"/>
    <n v="0"/>
    <s v="2MAT"/>
    <s v="2MA"/>
    <x v="1"/>
    <s v="1°2°1MAT"/>
    <s v="MATEMATICA"/>
    <m/>
    <m/>
    <x v="2"/>
    <x v="0"/>
  </r>
  <r>
    <x v="2"/>
    <s v="1°2°2MITARDE0"/>
    <n v="0"/>
    <s v="2MIT"/>
    <s v="2MI"/>
    <x v="1"/>
    <s v="1°2°1LEN"/>
    <s v="PRACTICA DEL LENGUAJE"/>
    <m/>
    <m/>
    <x v="3"/>
    <x v="0"/>
  </r>
  <r>
    <x v="2"/>
    <s v="1°2°2VITARDE0"/>
    <n v="0"/>
    <s v="2VIT"/>
    <s v="2VI"/>
    <x v="1"/>
    <s v="1°2°1MAT"/>
    <s v="MATEMATICA"/>
    <m/>
    <m/>
    <x v="4"/>
    <x v="0"/>
  </r>
  <r>
    <x v="2"/>
    <s v="1°2°3juMAÑANA0"/>
    <n v="0"/>
    <s v="3juMPATIO2"/>
    <s v="3JU"/>
    <x v="0"/>
    <s v="1°2°1EFI"/>
    <s v="EDUCACIÓN FISICA"/>
    <s v="PATIO2"/>
    <m/>
    <x v="0"/>
    <x v="1"/>
  </r>
  <r>
    <x v="2"/>
    <s v="1°2°3JUTARDE0"/>
    <n v="0"/>
    <s v="3JUT"/>
    <s v="3JU"/>
    <x v="1"/>
    <s v="1°2°1SOC"/>
    <s v="CIENCIAS SOCIALES"/>
    <m/>
    <m/>
    <x v="0"/>
    <x v="0"/>
  </r>
  <r>
    <x v="2"/>
    <s v="1°2°3LUMAÑANA121"/>
    <n v="121"/>
    <s v="3LUM45"/>
    <s v="3LU"/>
    <x v="0"/>
    <s v="1°2°1211TST"/>
    <s v="SISTEMAS TECNOLOGICOS"/>
    <n v="45"/>
    <m/>
    <x v="1"/>
    <x v="1"/>
  </r>
  <r>
    <x v="2"/>
    <s v="1°2°3LUMAÑANA122"/>
    <n v="122"/>
    <s v="3LUMaula 4"/>
    <s v="3LU"/>
    <x v="0"/>
    <s v="1°2°1221TLT"/>
    <s v="LENGUAJES TECNOLOGICOS"/>
    <s v="aula 4"/>
    <m/>
    <x v="1"/>
    <x v="1"/>
  </r>
  <r>
    <x v="2"/>
    <s v="1°2°1LUTARDE0"/>
    <n v="0"/>
    <s v="1LUT"/>
    <s v="1LU"/>
    <x v="1"/>
    <s v="1°2°1NAT"/>
    <s v="CIENCIAS NATURALES"/>
    <m/>
    <m/>
    <x v="1"/>
    <x v="0"/>
  </r>
  <r>
    <x v="2"/>
    <s v="1°2°3MATARDE0"/>
    <n v="0"/>
    <s v="3MAT"/>
    <s v="3ma"/>
    <x v="1"/>
    <s v="1°2°1ING"/>
    <s v="INGLÉS"/>
    <m/>
    <m/>
    <x v="2"/>
    <x v="0"/>
  </r>
  <r>
    <x v="2"/>
    <s v="1°2°3MITARDE0"/>
    <n v="0"/>
    <s v="3MIT"/>
    <s v="3MI"/>
    <x v="1"/>
    <s v="1°2°1SOC"/>
    <s v="CIENCIAS SOCIALES"/>
    <m/>
    <m/>
    <x v="3"/>
    <x v="0"/>
  </r>
  <r>
    <x v="2"/>
    <s v="1°2°3VIMAÑANA121"/>
    <n v="121"/>
    <s v="3VIMCARPINTERIA"/>
    <s v="3VI"/>
    <x v="0"/>
    <s v="1°2°1211TPT"/>
    <s v="PROCEDIMIENTOS TECNICOS"/>
    <s v="CARPINTERIA"/>
    <m/>
    <x v="4"/>
    <x v="1"/>
  </r>
  <r>
    <x v="2"/>
    <s v="1°2°3viMAÑANA122"/>
    <n v="122"/>
    <s v="3viMaula 1"/>
    <s v="3VI"/>
    <x v="0"/>
    <s v="1°2°1221TST"/>
    <s v="SISTEMAS TECNOLOGICOS"/>
    <s v="aula 1"/>
    <m/>
    <x v="4"/>
    <x v="1"/>
  </r>
  <r>
    <x v="2"/>
    <s v="1°2°3VITARDE0"/>
    <n v="0"/>
    <s v="3VIT"/>
    <s v="3VI"/>
    <x v="1"/>
    <s v="1°2°1ART"/>
    <s v="EDUCACION ARTISTICA (PLASTICA)"/>
    <m/>
    <m/>
    <x v="4"/>
    <x v="0"/>
  </r>
  <r>
    <x v="2"/>
    <s v="1°2°4juMAÑANA0"/>
    <n v="0"/>
    <s v="4juMPATIO2"/>
    <s v="4JU"/>
    <x v="0"/>
    <s v="1°2°1EFI"/>
    <s v="EDUCACIÓN FISICA"/>
    <s v="PATIO2"/>
    <m/>
    <x v="0"/>
    <x v="1"/>
  </r>
  <r>
    <x v="2"/>
    <s v="1°2°4JUTARDE0"/>
    <n v="0"/>
    <s v="4JUT"/>
    <s v="4JU"/>
    <x v="1"/>
    <s v="1°2°1SOC"/>
    <s v="CIENCIAS SOCIALES"/>
    <m/>
    <m/>
    <x v="0"/>
    <x v="0"/>
  </r>
  <r>
    <x v="2"/>
    <s v="1°2°4LUMAÑANA121"/>
    <n v="121"/>
    <s v="4LUM45"/>
    <s v="4LU"/>
    <x v="0"/>
    <s v="1°2°1211TST"/>
    <s v="SISTEMAS TECNOLOGICOS"/>
    <n v="45"/>
    <m/>
    <x v="1"/>
    <x v="1"/>
  </r>
  <r>
    <x v="2"/>
    <s v="1°2°4LUMAÑANA122"/>
    <n v="122"/>
    <s v="4LUMaula 4"/>
    <s v="4LU"/>
    <x v="0"/>
    <s v="1°2°1221TLT"/>
    <s v="LENGUAJES TECNOLOGICOS"/>
    <s v="aula 4"/>
    <m/>
    <x v="1"/>
    <x v="1"/>
  </r>
  <r>
    <x v="2"/>
    <s v="1°2°2LUTARDE0"/>
    <n v="0"/>
    <s v="2LUT"/>
    <s v="2LU"/>
    <x v="1"/>
    <s v="1°2°1NAT"/>
    <s v="CIENCIAS NATURALES"/>
    <m/>
    <m/>
    <x v="1"/>
    <x v="0"/>
  </r>
  <r>
    <x v="2"/>
    <s v="1°2°4MATARDE0"/>
    <n v="0"/>
    <s v="4MAT"/>
    <s v="4ma"/>
    <x v="1"/>
    <s v="1°2°1ING"/>
    <s v="INGLÉS"/>
    <m/>
    <m/>
    <x v="2"/>
    <x v="0"/>
  </r>
  <r>
    <x v="2"/>
    <s v="1°2°4MITARDE0"/>
    <n v="0"/>
    <s v="4MIT"/>
    <s v="4MI"/>
    <x v="1"/>
    <s v="1°2°1SOC"/>
    <s v="CIENCIAS SOCIALES"/>
    <m/>
    <m/>
    <x v="3"/>
    <x v="0"/>
  </r>
  <r>
    <x v="2"/>
    <s v="1°2°4VIMAÑANA121"/>
    <n v="121"/>
    <s v="4VIMCARPINTERIA"/>
    <s v="4VI"/>
    <x v="0"/>
    <s v="1°2°1211TPT"/>
    <s v="PROCEDIMIENTOS TECNICOS"/>
    <s v="CARPINTERIA"/>
    <m/>
    <x v="4"/>
    <x v="1"/>
  </r>
  <r>
    <x v="2"/>
    <s v="1°2°4viMAÑANA122"/>
    <n v="122"/>
    <s v="4viMaula 1"/>
    <s v="4VI"/>
    <x v="0"/>
    <s v="1°2°1221TST"/>
    <s v="SISTEMAS TECNOLOGICOS"/>
    <s v="aula 1"/>
    <m/>
    <x v="4"/>
    <x v="1"/>
  </r>
  <r>
    <x v="2"/>
    <s v="1°2°4VITARDE0"/>
    <n v="0"/>
    <s v="4VIT"/>
    <s v="4VI"/>
    <x v="1"/>
    <s v="1°2°1ART"/>
    <s v="EDUCACION ARTISTICA (PLASTICA)"/>
    <m/>
    <m/>
    <x v="4"/>
    <x v="0"/>
  </r>
  <r>
    <x v="2"/>
    <s v="1°2°PREHORAMATARDE0"/>
    <n v="0"/>
    <s v="PREHORAMAT"/>
    <s v="PREHORAMA"/>
    <x v="1"/>
    <s v="1°2°1CCD"/>
    <s v="CONSTRUCCION DE LA CIUDADANIA"/>
    <m/>
    <m/>
    <x v="2"/>
    <x v="0"/>
  </r>
  <r>
    <x v="2"/>
    <s v="1°2°PREHORAMITARDE0"/>
    <n v="0"/>
    <s v="PREHORAMIT"/>
    <s v="PREHORAMI"/>
    <x v="1"/>
    <s v="1°2°1CCD"/>
    <s v="CONSTRUCCION DE LA CIUDADANIA"/>
    <m/>
    <m/>
    <x v="3"/>
    <x v="0"/>
  </r>
  <r>
    <x v="3"/>
    <s v="1°3°1JUMAÑANA0"/>
    <n v="0"/>
    <s v="1JUM"/>
    <s v="1JU"/>
    <x v="0"/>
    <s v="1°3°1CCD"/>
    <s v="CONSTRUCCION DE LA CIUDADANIA"/>
    <m/>
    <m/>
    <x v="0"/>
    <x v="0"/>
  </r>
  <r>
    <x v="3"/>
    <s v="1°3°1JUTARDE132"/>
    <n v="132"/>
    <s v="1JUTCARPINTERIA"/>
    <s v="1JU"/>
    <x v="1"/>
    <s v="1°3°1321TPT"/>
    <s v="PROCEDIMIENTOS TECNICOS"/>
    <s v="CARPINTERIA"/>
    <m/>
    <x v="0"/>
    <x v="1"/>
  </r>
  <r>
    <x v="3"/>
    <s v="1°3°1LUMAÑANA0"/>
    <n v="0"/>
    <s v="1LUM"/>
    <s v="1LU"/>
    <x v="0"/>
    <s v="1°3°1ING"/>
    <s v="INGLÉS"/>
    <m/>
    <m/>
    <x v="1"/>
    <x v="0"/>
  </r>
  <r>
    <x v="3"/>
    <s v="1°3°1LUTARDE131"/>
    <n v="131"/>
    <s v="1LUTaula 3"/>
    <s v="1LU"/>
    <x v="1"/>
    <s v="1°3°1311TST"/>
    <s v="SISTEMAS TECNOLOGICOS"/>
    <s v="aula 3"/>
    <m/>
    <x v="1"/>
    <x v="1"/>
  </r>
  <r>
    <x v="3"/>
    <s v="1°3°1LUTARDE132"/>
    <n v="132"/>
    <s v="1LUTaula 2"/>
    <s v="1LU"/>
    <x v="1"/>
    <s v="1°3°1321TLT"/>
    <s v="LENGUAJES TECNOLOGICOS"/>
    <s v="aula 2"/>
    <m/>
    <x v="1"/>
    <x v="1"/>
  </r>
  <r>
    <x v="3"/>
    <s v="1°3°1MAMAÑANA0"/>
    <n v="0"/>
    <s v="1MAM"/>
    <s v="1MA"/>
    <x v="0"/>
    <s v="1°3°1MAT"/>
    <s v="MATEMATICA"/>
    <m/>
    <m/>
    <x v="2"/>
    <x v="0"/>
  </r>
  <r>
    <x v="3"/>
    <s v="1°3°1MIMAÑANA0"/>
    <n v="0"/>
    <s v="1MIM"/>
    <s v="1MI"/>
    <x v="0"/>
    <s v="1°3°1NAT"/>
    <s v="CIENCIAS NATURALES"/>
    <m/>
    <m/>
    <x v="3"/>
    <x v="0"/>
  </r>
  <r>
    <x v="3"/>
    <s v="1°3°1MITARDE132"/>
    <n v="132"/>
    <s v="1MITROBOTICA"/>
    <s v="1MI"/>
    <x v="1"/>
    <s v="1°3°1321TST"/>
    <s v="SISTEMAS TECNOLOGICOS"/>
    <s v="ROBOTICA"/>
    <m/>
    <x v="3"/>
    <x v="1"/>
  </r>
  <r>
    <x v="3"/>
    <s v="1°3°1VIMAÑANA0"/>
    <n v="0"/>
    <s v="1VIM"/>
    <s v="1VI"/>
    <x v="0"/>
    <s v="1°3°1MAT"/>
    <s v="MATEMATICA"/>
    <m/>
    <m/>
    <x v="4"/>
    <x v="0"/>
  </r>
  <r>
    <x v="3"/>
    <s v="1°3°1viTARDE0"/>
    <n v="0"/>
    <s v="1viTPATIO"/>
    <s v="1VI"/>
    <x v="1"/>
    <s v="1°3°1EFI"/>
    <s v="EDUCACIÓN FISICA"/>
    <s v="PATIO"/>
    <m/>
    <x v="4"/>
    <x v="1"/>
  </r>
  <r>
    <x v="3"/>
    <s v="1°3°2JUMAÑANA0"/>
    <n v="0"/>
    <s v="2JUM"/>
    <s v="2JU"/>
    <x v="0"/>
    <s v="1°3°1CCD"/>
    <s v="CONSTRUCCION DE LA CIUDADANIA"/>
    <m/>
    <m/>
    <x v="0"/>
    <x v="0"/>
  </r>
  <r>
    <x v="3"/>
    <s v="1°3°2JUTARDE132"/>
    <n v="132"/>
    <s v="2JUTCARPINTERIA"/>
    <s v="2JU"/>
    <x v="1"/>
    <s v="1°3°1321TPT"/>
    <s v="PROCEDIMIENTOS TECNICOS"/>
    <s v="CARPINTERIA"/>
    <m/>
    <x v="0"/>
    <x v="1"/>
  </r>
  <r>
    <x v="3"/>
    <s v="1°3°2LUMAÑANA0"/>
    <n v="0"/>
    <s v="2LUM"/>
    <s v="2LU"/>
    <x v="0"/>
    <s v="1°3°1ING"/>
    <s v="INGLÉS"/>
    <m/>
    <m/>
    <x v="1"/>
    <x v="0"/>
  </r>
  <r>
    <x v="3"/>
    <s v="1°3°2LUTARDE131"/>
    <n v="131"/>
    <s v="2LUTaula 3"/>
    <s v="2LU"/>
    <x v="1"/>
    <s v="1°3°1311TST"/>
    <s v="SISTEMAS TECNOLOGICOS"/>
    <s v="aula 3"/>
    <m/>
    <x v="1"/>
    <x v="1"/>
  </r>
  <r>
    <x v="3"/>
    <s v="1°3°2LUTARDE132"/>
    <n v="132"/>
    <s v="2LUTaula 2"/>
    <s v="2LU"/>
    <x v="1"/>
    <s v="1°3°1321TLT"/>
    <s v="LENGUAJES TECNOLOGICOS"/>
    <s v="aula 2"/>
    <m/>
    <x v="1"/>
    <x v="1"/>
  </r>
  <r>
    <x v="3"/>
    <s v="1°3°2MAMAÑANA0"/>
    <n v="0"/>
    <s v="2MAM"/>
    <s v="2MA"/>
    <x v="0"/>
    <s v="1°3°1MAT"/>
    <s v="MATEMATICA"/>
    <m/>
    <m/>
    <x v="2"/>
    <x v="0"/>
  </r>
  <r>
    <x v="3"/>
    <s v="1°3°2MIMAÑANA0"/>
    <n v="0"/>
    <s v="2MIM"/>
    <s v="2MI"/>
    <x v="0"/>
    <s v="1°3°1NAT"/>
    <s v="CIENCIAS NATURALES"/>
    <m/>
    <m/>
    <x v="3"/>
    <x v="0"/>
  </r>
  <r>
    <x v="3"/>
    <s v="1°3°2miTARDE132"/>
    <n v="132"/>
    <s v="2miTROBOTICA"/>
    <s v="2MI"/>
    <x v="1"/>
    <s v="1°3°1321TST"/>
    <s v="SISTEMAS TECNOLOGICOS"/>
    <s v="ROBOTICA"/>
    <m/>
    <x v="3"/>
    <x v="1"/>
  </r>
  <r>
    <x v="3"/>
    <s v="1°3°2VIMAÑANA0"/>
    <n v="0"/>
    <s v="2VIM"/>
    <s v="2VI"/>
    <x v="0"/>
    <s v="1°3°1MAT"/>
    <s v="MATEMATICA"/>
    <m/>
    <m/>
    <x v="4"/>
    <x v="0"/>
  </r>
  <r>
    <x v="3"/>
    <s v="1°3°2VITARDE0"/>
    <n v="0"/>
    <s v="2VITPATIO"/>
    <s v="2VI"/>
    <x v="1"/>
    <s v="1°3°1EFI"/>
    <s v="EDUCACIÓN FISICA"/>
    <s v="PATIO"/>
    <m/>
    <x v="4"/>
    <x v="1"/>
  </r>
  <r>
    <x v="3"/>
    <s v="1°3°3JUMAÑANA0"/>
    <n v="0"/>
    <s v="3JUM"/>
    <s v="3JU"/>
    <x v="0"/>
    <s v="1°3°1SOC"/>
    <s v="CIENCIAS SOCIALES"/>
    <m/>
    <m/>
    <x v="0"/>
    <x v="0"/>
  </r>
  <r>
    <x v="3"/>
    <s v="1°3°3JUTARDE131"/>
    <n v="131"/>
    <s v="3JUTHERRERIA"/>
    <s v="3JU"/>
    <x v="1"/>
    <s v="1°3°1311TPT"/>
    <s v="PROCEDIMIENTOS TECNICOS"/>
    <s v="HERRERIA"/>
    <m/>
    <x v="0"/>
    <x v="1"/>
  </r>
  <r>
    <x v="3"/>
    <s v="1°3°3LUMAÑANA0"/>
    <n v="0"/>
    <s v="3LUM"/>
    <s v="3LU"/>
    <x v="0"/>
    <s v="1°3°1NAT"/>
    <s v="CIENCIAS NATURALES"/>
    <m/>
    <m/>
    <x v="1"/>
    <x v="0"/>
  </r>
  <r>
    <x v="3"/>
    <s v="1°3°3LUTARDE131"/>
    <n v="131"/>
    <s v="3LUTaula 2"/>
    <s v="3LU"/>
    <x v="1"/>
    <s v="1°3°1311TLT"/>
    <s v="LENGUAJES TECNOLOGICOS"/>
    <s v="aula 2"/>
    <m/>
    <x v="1"/>
    <x v="1"/>
  </r>
  <r>
    <x v="3"/>
    <s v="1°3°3MAMAÑANA0"/>
    <n v="0"/>
    <s v="3MAM"/>
    <s v="3ma"/>
    <x v="0"/>
    <s v="1°3°1LEN"/>
    <s v="PRACTICA DEL LENGUAJE"/>
    <m/>
    <m/>
    <x v="2"/>
    <x v="0"/>
  </r>
  <r>
    <x v="3"/>
    <s v="1°3°3MIMAÑANA0"/>
    <n v="0"/>
    <s v="3MIM"/>
    <s v="3MI"/>
    <x v="0"/>
    <s v="1°3°1SOC"/>
    <s v="CIENCIAS SOCIALES"/>
    <m/>
    <m/>
    <x v="3"/>
    <x v="0"/>
  </r>
  <r>
    <x v="3"/>
    <s v="1°3°3VIMAÑANA0"/>
    <n v="0"/>
    <s v="3VIM"/>
    <s v="3VI"/>
    <x v="0"/>
    <s v="1°3°1ART"/>
    <s v="EDUCACION ARTISTICA (PLASTICA)"/>
    <m/>
    <m/>
    <x v="4"/>
    <x v="0"/>
  </r>
  <r>
    <x v="3"/>
    <s v="1°3°4JUMAÑANA0"/>
    <n v="0"/>
    <s v="4JUM"/>
    <s v="4JU"/>
    <x v="0"/>
    <s v="1°3°1SOC"/>
    <s v="CIENCIAS SOCIALES"/>
    <m/>
    <m/>
    <x v="0"/>
    <x v="0"/>
  </r>
  <r>
    <x v="3"/>
    <s v="1°3°4JUTARDE131"/>
    <n v="131"/>
    <s v="4JUTHERRERIA"/>
    <s v="4JU"/>
    <x v="1"/>
    <s v="1°3°1311TPT"/>
    <s v="PROCEDIMIENTOS TECNICOS"/>
    <s v="HERRERIA"/>
    <m/>
    <x v="0"/>
    <x v="1"/>
  </r>
  <r>
    <x v="3"/>
    <s v="1°3°4LUMAÑANA0"/>
    <n v="0"/>
    <s v="4LUM"/>
    <s v="4LU"/>
    <x v="0"/>
    <s v="1°3°1NAT"/>
    <s v="CIENCIAS NATURALES"/>
    <m/>
    <m/>
    <x v="1"/>
    <x v="0"/>
  </r>
  <r>
    <x v="3"/>
    <s v="1°3°4LUTARDE131"/>
    <n v="131"/>
    <s v="4LUTaula 2"/>
    <s v="4LU"/>
    <x v="1"/>
    <s v="1°3°1311TLT"/>
    <s v="LENGUAJES TECNOLOGICOS"/>
    <s v="aula 2"/>
    <m/>
    <x v="1"/>
    <x v="1"/>
  </r>
  <r>
    <x v="3"/>
    <s v="1°3°4MAMAÑANA0"/>
    <n v="0"/>
    <s v="4MAM"/>
    <s v="4ma"/>
    <x v="0"/>
    <s v="1°3°1LEN"/>
    <s v="PRACTICA DEL LENGUAJE"/>
    <m/>
    <m/>
    <x v="2"/>
    <x v="0"/>
  </r>
  <r>
    <x v="3"/>
    <s v="1°3°4MIMAÑANA0"/>
    <n v="0"/>
    <s v="4MIM"/>
    <s v="4MI"/>
    <x v="0"/>
    <s v="1°3°1SOC"/>
    <s v="CIENCIAS SOCIALES"/>
    <m/>
    <m/>
    <x v="3"/>
    <x v="0"/>
  </r>
  <r>
    <x v="3"/>
    <s v="1°3°4VIMAÑANA0"/>
    <n v="0"/>
    <s v="4VIM"/>
    <s v="4VI"/>
    <x v="0"/>
    <s v="1°3°1ART"/>
    <s v="EDUCACION ARTISTICA (PLASTICA)"/>
    <m/>
    <m/>
    <x v="4"/>
    <x v="0"/>
  </r>
  <r>
    <x v="3"/>
    <s v="1°3°5LUMAÑANA0"/>
    <n v="0"/>
    <s v="5LUM"/>
    <s v="5LU"/>
    <x v="0"/>
    <s v="1°3°1LEN"/>
    <s v="PRACTICA DEL LENGUAJE"/>
    <m/>
    <m/>
    <x v="1"/>
    <x v="0"/>
  </r>
  <r>
    <x v="3"/>
    <s v="1°3°5MIMAÑANA0"/>
    <n v="0"/>
    <s v="5MIM"/>
    <s v="5MI"/>
    <x v="0"/>
    <s v="1°3°1LEN"/>
    <s v="PRACTICA DEL LENGUAJE"/>
    <m/>
    <m/>
    <x v="3"/>
    <x v="0"/>
  </r>
  <r>
    <x v="4"/>
    <s v="1°4°1JUMAÑANA142"/>
    <n v="142"/>
    <s v="1JUMAULA 4"/>
    <s v="1JU"/>
    <x v="0"/>
    <s v="1°4°1421TLT"/>
    <s v="LENGUAJES TECNOLOGICOS"/>
    <s v="aula 4"/>
    <m/>
    <x v="0"/>
    <x v="1"/>
  </r>
  <r>
    <x v="4"/>
    <s v="1°4°1JUTARDE0"/>
    <n v="0"/>
    <s v="1JUT"/>
    <s v="1JU"/>
    <x v="1"/>
    <s v="1°4°1LEN"/>
    <s v="PRACTICA DEL LENGUAJE"/>
    <m/>
    <m/>
    <x v="0"/>
    <x v="0"/>
  </r>
  <r>
    <x v="4"/>
    <s v="1°4°1LUTARDE0"/>
    <n v="0"/>
    <s v="1LUT"/>
    <s v="1LU"/>
    <x v="1"/>
    <s v="1°4°1LEN"/>
    <s v="PRACTICA DEL LENGUAJE"/>
    <m/>
    <m/>
    <x v="1"/>
    <x v="0"/>
  </r>
  <r>
    <x v="4"/>
    <s v="1°4°1MATARDE0"/>
    <n v="0"/>
    <s v="1MAT"/>
    <s v="1MA"/>
    <x v="1"/>
    <s v="1°4°1SOC"/>
    <s v="CIENCIAS SOCIALES"/>
    <m/>
    <m/>
    <x v="2"/>
    <x v="0"/>
  </r>
  <r>
    <x v="4"/>
    <s v="1°4°1VIMAÑANA141"/>
    <n v="141"/>
    <s v="1VIMCARPINTERIA"/>
    <s v="1VI"/>
    <x v="0"/>
    <s v="1°4°1411TPT"/>
    <s v="PROCEDIMIENTOS TECNICOS"/>
    <s v="CARPINTERIA"/>
    <m/>
    <x v="4"/>
    <x v="1"/>
  </r>
  <r>
    <x v="4"/>
    <s v="1°4°1MITARDE0"/>
    <n v="0"/>
    <s v="1MIT"/>
    <s v="1MI"/>
    <x v="1"/>
    <s v="1°4°1ART"/>
    <s v="EDUCACION ARTISTICA (PLASTICA)"/>
    <m/>
    <m/>
    <x v="3"/>
    <x v="0"/>
  </r>
  <r>
    <x v="4"/>
    <s v="1°4°1VITARDE0"/>
    <n v="0"/>
    <s v="1VIT"/>
    <s v="1VI"/>
    <x v="1"/>
    <s v="1°4°1ING"/>
    <s v="INGLÉS"/>
    <m/>
    <m/>
    <x v="4"/>
    <x v="0"/>
  </r>
  <r>
    <x v="4"/>
    <s v="1°4°2JUMAÑANA142"/>
    <n v="142"/>
    <s v="2JUMAULA 4"/>
    <s v="2JU"/>
    <x v="0"/>
    <s v="1°4°1421TLT"/>
    <s v="LENGUAJES TECNOLOGICOS"/>
    <s v="aula 4"/>
    <m/>
    <x v="0"/>
    <x v="1"/>
  </r>
  <r>
    <x v="4"/>
    <s v="1°4°2JUTARDE0"/>
    <n v="0"/>
    <s v="2JUT"/>
    <s v="2JU"/>
    <x v="1"/>
    <s v="1°4°1LEN"/>
    <s v="PRACTICA DEL LENGUAJE"/>
    <m/>
    <m/>
    <x v="0"/>
    <x v="0"/>
  </r>
  <r>
    <x v="4"/>
    <s v="1°4°2LUTARDE0"/>
    <n v="0"/>
    <s v="2LUT"/>
    <s v="2LU"/>
    <x v="1"/>
    <s v="1°4°1LEN"/>
    <s v="PRACTICA DEL LENGUAJE"/>
    <m/>
    <m/>
    <x v="1"/>
    <x v="0"/>
  </r>
  <r>
    <x v="4"/>
    <s v="1°4°2MATARDE0"/>
    <n v="0"/>
    <s v="2MAT"/>
    <s v="2MA"/>
    <x v="1"/>
    <s v="1°4°1SOC"/>
    <s v="CIENCIAS SOCIALES"/>
    <m/>
    <m/>
    <x v="2"/>
    <x v="0"/>
  </r>
  <r>
    <x v="4"/>
    <s v="1°4°2VIMAÑANA141"/>
    <n v="141"/>
    <s v="2VIMCARPINTERIA"/>
    <s v="2VI"/>
    <x v="0"/>
    <s v="1°4°1411TPT"/>
    <s v="PROCEDIMIENTOS TECNICOS"/>
    <s v="CARPINTERIA"/>
    <m/>
    <x v="4"/>
    <x v="1"/>
  </r>
  <r>
    <x v="4"/>
    <s v="1°4°2MITARDE0"/>
    <n v="0"/>
    <s v="2MIT"/>
    <s v="2MI"/>
    <x v="1"/>
    <s v="1°4°1ART"/>
    <s v="EDUCACION ARTISTICA (PLASTICA)"/>
    <m/>
    <m/>
    <x v="3"/>
    <x v="0"/>
  </r>
  <r>
    <x v="4"/>
    <s v="1°4°2VITARDE0"/>
    <n v="0"/>
    <s v="2VIT"/>
    <s v="2VI"/>
    <x v="1"/>
    <s v="1°4°1ING"/>
    <s v="INGLÉS"/>
    <m/>
    <m/>
    <x v="4"/>
    <x v="0"/>
  </r>
  <r>
    <x v="4"/>
    <s v="1°4°1MIMAÑANA141"/>
    <n v="141"/>
    <s v="1MIMAULA 4"/>
    <s v="1MI"/>
    <x v="0"/>
    <s v="1°4°1411TLT"/>
    <s v="LENGUAJES TECNOLOGICOS"/>
    <s v="aula 4"/>
    <n v="7798026220290"/>
    <x v="3"/>
    <x v="1"/>
  </r>
  <r>
    <x v="4"/>
    <s v="1°4°3juMAÑANA142"/>
    <n v="142"/>
    <s v="3juMaula 1"/>
    <s v="3JU"/>
    <x v="0"/>
    <s v="1°4°1421TST"/>
    <s v="SISTEMAS TECNOLOGICOS"/>
    <s v="aula 1"/>
    <m/>
    <x v="0"/>
    <x v="1"/>
  </r>
  <r>
    <x v="4"/>
    <s v="1°4°3juTARDE0"/>
    <n v="0"/>
    <s v="3juT"/>
    <s v="3JU"/>
    <x v="1"/>
    <s v="1°4°1SOC"/>
    <s v="CIENCIAS SOCIALES"/>
    <m/>
    <m/>
    <x v="0"/>
    <x v="0"/>
  </r>
  <r>
    <x v="4"/>
    <s v="1°4°3LUTARDE0"/>
    <n v="0"/>
    <s v="3LUT"/>
    <s v="3LU"/>
    <x v="1"/>
    <s v="1°4°1NAT"/>
    <s v="CIENCIAS NATURALES"/>
    <m/>
    <m/>
    <x v="1"/>
    <x v="0"/>
  </r>
  <r>
    <x v="4"/>
    <s v="1°4°3MAMAÑANA141"/>
    <n v="141"/>
    <s v="3MAMCARPINTERIA"/>
    <s v="3ma"/>
    <x v="0"/>
    <s v="1°4°1411TST"/>
    <s v="SISTEMAS TECNOLOGICOS"/>
    <s v="CARPINTERIA"/>
    <s v=" "/>
    <x v="2"/>
    <x v="1"/>
  </r>
  <r>
    <x v="4"/>
    <s v="1°4°3MATARDE0"/>
    <n v="0"/>
    <s v="3MAT"/>
    <s v="3ma"/>
    <x v="1"/>
    <s v="1°4°1MAT"/>
    <s v="MATEMATICA"/>
    <m/>
    <m/>
    <x v="2"/>
    <x v="0"/>
  </r>
  <r>
    <x v="4"/>
    <s v="1°4°3MIMAÑANA142"/>
    <n v="142"/>
    <s v="3MIMCARPINTERIA"/>
    <s v="3MI"/>
    <x v="0"/>
    <s v="1°4°1421TPT"/>
    <s v="PROCEDIMIENTOS TECNICOS"/>
    <s v="CARPINTERIA"/>
    <m/>
    <x v="3"/>
    <x v="1"/>
  </r>
  <r>
    <x v="4"/>
    <s v="1°4°3MITARDE0"/>
    <n v="0"/>
    <s v="3MIT"/>
    <s v="3MI"/>
    <x v="1"/>
    <s v="1°4°1MAT"/>
    <s v="MATEMATICA"/>
    <m/>
    <m/>
    <x v="3"/>
    <x v="0"/>
  </r>
  <r>
    <x v="4"/>
    <s v="1°4°1maMAÑANA0"/>
    <n v="0"/>
    <s v="1maMPATIO2"/>
    <s v="1MA"/>
    <x v="0"/>
    <s v="1°4°1EFI"/>
    <s v="EDUCACIÓN FISICA"/>
    <s v="PATIO2"/>
    <m/>
    <x v="2"/>
    <x v="1"/>
  </r>
  <r>
    <x v="4"/>
    <s v="1°4°3VITARDE0"/>
    <n v="0"/>
    <s v="3VIT"/>
    <s v="3VI"/>
    <x v="1"/>
    <s v="1°4°1CCD"/>
    <s v="CONSTRUCCION DE LA CIUDADANIA"/>
    <m/>
    <m/>
    <x v="4"/>
    <x v="0"/>
  </r>
  <r>
    <x v="4"/>
    <s v="1°4°2MIMAÑANA141"/>
    <n v="141"/>
    <s v="2MIMAULA 4"/>
    <s v="2MI"/>
    <x v="0"/>
    <s v="1°4°1411TLT"/>
    <s v="LENGUAJES TECNOLOGICOS"/>
    <s v="aula 4"/>
    <m/>
    <x v="3"/>
    <x v="1"/>
  </r>
  <r>
    <x v="4"/>
    <s v="1°4°4juMAÑANA142"/>
    <n v="142"/>
    <s v="4juMaula 1"/>
    <s v="4JU"/>
    <x v="0"/>
    <s v="1°4°1421TST"/>
    <s v="SISTEMAS TECNOLOGICOS"/>
    <s v="aula 1"/>
    <m/>
    <x v="0"/>
    <x v="1"/>
  </r>
  <r>
    <x v="4"/>
    <s v="1°4°4juTARDE0"/>
    <n v="0"/>
    <s v="4juT"/>
    <s v="4JU"/>
    <x v="1"/>
    <s v="1°4°1SOC"/>
    <s v="CIENCIAS SOCIALES"/>
    <m/>
    <m/>
    <x v="0"/>
    <x v="0"/>
  </r>
  <r>
    <x v="4"/>
    <s v="1°4°4LUTARDE0"/>
    <n v="0"/>
    <s v="4LUT"/>
    <s v="4LU"/>
    <x v="1"/>
    <s v="1°4°1NAT"/>
    <s v="CIENCIAS NATURALES"/>
    <m/>
    <m/>
    <x v="1"/>
    <x v="0"/>
  </r>
  <r>
    <x v="4"/>
    <s v="1°4°4MAMAÑANA141"/>
    <n v="141"/>
    <s v="4MAMCARPINTERIA"/>
    <s v="4ma"/>
    <x v="0"/>
    <s v="1°4°1411TST"/>
    <s v="SISTEMAS TECNOLOGICOS"/>
    <s v="CARPINTERIA"/>
    <m/>
    <x v="2"/>
    <x v="1"/>
  </r>
  <r>
    <x v="4"/>
    <s v="1°4°4MATARDE0"/>
    <n v="0"/>
    <s v="4MAT"/>
    <s v="4ma"/>
    <x v="1"/>
    <s v="1°4°1MAT"/>
    <s v="MATEMATICA"/>
    <m/>
    <m/>
    <x v="2"/>
    <x v="0"/>
  </r>
  <r>
    <x v="4"/>
    <s v="1°4°4MIMAÑANA142"/>
    <n v="142"/>
    <s v="4MIMCARPINTERIA"/>
    <s v="4MI"/>
    <x v="0"/>
    <s v="1°4°1421TPT"/>
    <s v="PROCEDIMIENTOS TECNICOS"/>
    <s v="CARPINTERIA"/>
    <m/>
    <x v="3"/>
    <x v="1"/>
  </r>
  <r>
    <x v="4"/>
    <s v="1°4°4MITARDE0"/>
    <n v="0"/>
    <s v="4MIT"/>
    <s v="4MI"/>
    <x v="1"/>
    <s v="1°4°1MAT"/>
    <s v="MATEMATICA"/>
    <m/>
    <m/>
    <x v="3"/>
    <x v="0"/>
  </r>
  <r>
    <x v="4"/>
    <s v="1°4°2maMAÑANA0"/>
    <n v="0"/>
    <s v="2maMPATIO2"/>
    <s v="2MA"/>
    <x v="0"/>
    <s v="1°4°1EFI"/>
    <s v="EDUCACIÓN FISICA"/>
    <s v="PATIO2"/>
    <m/>
    <x v="2"/>
    <x v="1"/>
  </r>
  <r>
    <x v="4"/>
    <s v="1°4°4VITARDE0"/>
    <n v="0"/>
    <s v="4VIT"/>
    <s v="4VI"/>
    <x v="1"/>
    <s v="1°4°1CCD"/>
    <s v="CONSTRUCCION DE LA CIUDADANIA"/>
    <m/>
    <m/>
    <x v="4"/>
    <x v="0"/>
  </r>
  <r>
    <x v="4"/>
    <s v="1°4°5luTARDE0"/>
    <n v="0"/>
    <s v="5luT"/>
    <s v="5LU"/>
    <x v="1"/>
    <s v="1°4°1NAT"/>
    <s v="CIENCIAS NATURALES"/>
    <m/>
    <m/>
    <x v="1"/>
    <x v="0"/>
  </r>
  <r>
    <x v="4"/>
    <s v="1°4°5miTARDE0"/>
    <n v="0"/>
    <s v="5miT"/>
    <s v="5MI"/>
    <x v="1"/>
    <s v="1°4°1NAT"/>
    <s v="CIENCIAS NATURALES"/>
    <m/>
    <m/>
    <x v="3"/>
    <x v="0"/>
  </r>
  <r>
    <x v="5"/>
    <s v="2°1°1JUMAÑANA0"/>
    <n v="0"/>
    <s v="1JUM"/>
    <s v="1JU"/>
    <x v="0"/>
    <s v="2°1°2GEO"/>
    <s v="GEOGRAFIA"/>
    <m/>
    <m/>
    <x v="0"/>
    <x v="0"/>
  </r>
  <r>
    <x v="5"/>
    <s v="2°1°1JUTARDE212"/>
    <n v="212"/>
    <s v="1JUTHERRERIA"/>
    <s v="1JU"/>
    <x v="1"/>
    <s v="2°1°2122TPT2"/>
    <s v="PROCEDIMIENTOS TECNICOS"/>
    <s v="HERRERIA"/>
    <m/>
    <x v="0"/>
    <x v="1"/>
  </r>
  <r>
    <x v="5"/>
    <s v="2°1°1LUMAÑANA0"/>
    <n v="0"/>
    <s v="1LUM"/>
    <s v="1LU"/>
    <x v="0"/>
    <s v="2°1°2MAT"/>
    <s v="MATEMATICA"/>
    <m/>
    <m/>
    <x v="1"/>
    <x v="0"/>
  </r>
  <r>
    <x v="5"/>
    <s v="2°1°1LUTARDE211"/>
    <n v="211"/>
    <s v="1LUTCARPINTERIA"/>
    <s v="1LU"/>
    <x v="1"/>
    <s v="2°1°2112TPT2"/>
    <s v="PROCEDIMIENTOS TECNICOS"/>
    <s v="CARPINTERIA"/>
    <m/>
    <x v="1"/>
    <x v="1"/>
  </r>
  <r>
    <x v="5"/>
    <s v="2°1°1MAMAÑANA0"/>
    <n v="0"/>
    <s v="1MAM"/>
    <s v="1MA"/>
    <x v="0"/>
    <s v="2°1°2PLG"/>
    <s v="PRACTICA DEL LENGUAJE"/>
    <m/>
    <m/>
    <x v="2"/>
    <x v="0"/>
  </r>
  <r>
    <x v="5"/>
    <s v="2°1°1MIMAÑANA0"/>
    <n v="0"/>
    <s v="1MIM"/>
    <s v="1MI"/>
    <x v="0"/>
    <s v="2°1°2HIS"/>
    <s v="HISTORIA"/>
    <m/>
    <m/>
    <x v="3"/>
    <x v="0"/>
  </r>
  <r>
    <x v="5"/>
    <s v="2°1°1MITARDE211"/>
    <n v="211"/>
    <s v="1MITAULA 2"/>
    <s v="1MI"/>
    <x v="1"/>
    <s v="2°1°2112TLT2"/>
    <s v="LENGUAJES TECNOLOGICOS"/>
    <s v="aula 2"/>
    <m/>
    <x v="3"/>
    <x v="1"/>
  </r>
  <r>
    <x v="5"/>
    <s v="2°1°1MITARDE212"/>
    <n v="212"/>
    <s v="1MIT45"/>
    <s v="1MI"/>
    <x v="1"/>
    <s v="2°1°2122TST2"/>
    <s v="SISTEMAS TECNOLOGICOS"/>
    <n v="45"/>
    <m/>
    <x v="3"/>
    <x v="1"/>
  </r>
  <r>
    <x v="5"/>
    <s v="2°1°1VIMAÑANA0"/>
    <n v="0"/>
    <s v="1VIM"/>
    <s v="1VI"/>
    <x v="0"/>
    <s v="2°1°2PLG"/>
    <s v="PRACTICA DEL LENGUAJE"/>
    <m/>
    <m/>
    <x v="4"/>
    <x v="0"/>
  </r>
  <r>
    <x v="5"/>
    <s v="2°1°1viTARDE211"/>
    <n v="211"/>
    <s v="1viT47"/>
    <s v="1VI"/>
    <x v="1"/>
    <s v="2°1°2112TST2"/>
    <s v="SISTEMAS TECNOLOGICOS"/>
    <n v="47"/>
    <m/>
    <x v="4"/>
    <x v="1"/>
  </r>
  <r>
    <x v="5"/>
    <s v="2°1°2JUMAÑANA0"/>
    <n v="0"/>
    <s v="2JUM"/>
    <s v="2JU"/>
    <x v="0"/>
    <s v="2°1°2GEO"/>
    <s v="GEOGRAFIA"/>
    <m/>
    <m/>
    <x v="0"/>
    <x v="0"/>
  </r>
  <r>
    <x v="5"/>
    <s v="2°1°2JUTARDE212"/>
    <n v="212"/>
    <s v="2JUTHERRERIA"/>
    <s v="2JU"/>
    <x v="1"/>
    <s v="2°1°2122TPT2"/>
    <s v="PROCEDIMIENTOS TECNICOS"/>
    <s v="HERRERIA"/>
    <m/>
    <x v="0"/>
    <x v="1"/>
  </r>
  <r>
    <x v="5"/>
    <s v="2°1°2LUMAÑANA0"/>
    <n v="0"/>
    <s v="2LUM"/>
    <s v="2LU"/>
    <x v="0"/>
    <s v="2°1°2MAT"/>
    <s v="MATEMATICA"/>
    <m/>
    <m/>
    <x v="1"/>
    <x v="0"/>
  </r>
  <r>
    <x v="5"/>
    <s v="2°1°2LUTARDE211"/>
    <n v="211"/>
    <s v="2LUTCARPINTERIA"/>
    <s v="2LU"/>
    <x v="1"/>
    <s v="2°1°2112TPT2"/>
    <s v="PROCEDIMIENTOS TECNICOS"/>
    <s v="CARPINTERIA"/>
    <m/>
    <x v="1"/>
    <x v="1"/>
  </r>
  <r>
    <x v="5"/>
    <s v="2°1°2MAMAÑANA0"/>
    <n v="0"/>
    <s v="2MAM"/>
    <s v="2MA"/>
    <x v="0"/>
    <s v="2°1°2PLG"/>
    <s v="PRACTICA DEL LENGUAJE"/>
    <m/>
    <m/>
    <x v="2"/>
    <x v="0"/>
  </r>
  <r>
    <x v="5"/>
    <s v="2°1°2MIMAÑANA0"/>
    <n v="0"/>
    <s v="2MIM"/>
    <s v="2MI"/>
    <x v="0"/>
    <s v="2°1°2HIS"/>
    <s v="HISTORIA"/>
    <m/>
    <m/>
    <x v="3"/>
    <x v="0"/>
  </r>
  <r>
    <x v="5"/>
    <s v="2°1°2MITARDE211"/>
    <n v="211"/>
    <s v="2MITAULA 2"/>
    <s v="2MI"/>
    <x v="1"/>
    <s v="2°1°2112TLT2"/>
    <s v="LENGUAJES TECNOLOGICOS"/>
    <s v="aula 2"/>
    <m/>
    <x v="3"/>
    <x v="1"/>
  </r>
  <r>
    <x v="5"/>
    <s v="2°1°2MITARDE212"/>
    <n v="212"/>
    <s v="2MIT45"/>
    <s v="2MI"/>
    <x v="1"/>
    <s v="2°1°2122TST2"/>
    <s v="SISTEMAS TECNOLOGICOS"/>
    <n v="45"/>
    <m/>
    <x v="3"/>
    <x v="1"/>
  </r>
  <r>
    <x v="5"/>
    <s v="2°1°2VIMAÑANA0"/>
    <n v="0"/>
    <s v="2VIM"/>
    <s v="2VI"/>
    <x v="0"/>
    <s v="2°1°2PLG"/>
    <s v="PRACTICA DEL LENGUAJE"/>
    <m/>
    <m/>
    <x v="4"/>
    <x v="0"/>
  </r>
  <r>
    <x v="5"/>
    <s v="2°1°2viTARDE211"/>
    <n v="211"/>
    <s v="2viT47"/>
    <s v="2VI"/>
    <x v="1"/>
    <s v="2°1°2112TST2"/>
    <s v="SISTEMAS TECNOLOGICOS"/>
    <n v="47"/>
    <m/>
    <x v="4"/>
    <x v="1"/>
  </r>
  <r>
    <x v="5"/>
    <s v="2°1°3JUMAÑANA0"/>
    <n v="0"/>
    <s v="3JUM"/>
    <s v="3JU"/>
    <x v="0"/>
    <s v="2°1°2MAT"/>
    <s v="MATEMATICA"/>
    <m/>
    <m/>
    <x v="0"/>
    <x v="0"/>
  </r>
  <r>
    <x v="5"/>
    <s v="2°1°3LUMAÑANA0"/>
    <n v="0"/>
    <s v="3LUM"/>
    <s v="3LU"/>
    <x v="0"/>
    <s v="2°1°2ING"/>
    <s v="INGLÉS"/>
    <m/>
    <m/>
    <x v="1"/>
    <x v="0"/>
  </r>
  <r>
    <x v="5"/>
    <s v="2°1°3LUTARDE211"/>
    <n v="211"/>
    <s v="3LUTCARPINTERIA"/>
    <s v="3LU"/>
    <x v="1"/>
    <s v="2°1°2112TPT2"/>
    <s v="PROCEDIMIENTOS TECNICOS"/>
    <s v="CARPINTERIA"/>
    <m/>
    <x v="1"/>
    <x v="1"/>
  </r>
  <r>
    <x v="5"/>
    <s v="2°1°3MAMAÑANA0"/>
    <n v="0"/>
    <s v="3MAM"/>
    <s v="3ma"/>
    <x v="0"/>
    <s v="2°1°2FI/QUI"/>
    <s v="FISICO-QUIMICA"/>
    <m/>
    <m/>
    <x v="2"/>
    <x v="0"/>
  </r>
  <r>
    <x v="5"/>
    <s v="2°1°3juTARDE0"/>
    <n v="0"/>
    <s v="3juTPATIO"/>
    <s v="3JU"/>
    <x v="1"/>
    <s v="2°1°2EFI"/>
    <s v="EDUCACIÓN FISICA"/>
    <s v="PATIO"/>
    <m/>
    <x v="0"/>
    <x v="1"/>
  </r>
  <r>
    <x v="5"/>
    <s v="2°1°3MIMAÑANA0"/>
    <n v="0"/>
    <s v="3MIM"/>
    <s v="3MI"/>
    <x v="0"/>
    <s v="2°1°2BIO"/>
    <s v="BIOLOGIA"/>
    <m/>
    <m/>
    <x v="3"/>
    <x v="0"/>
  </r>
  <r>
    <x v="5"/>
    <s v="2°1°3miTARDE211"/>
    <n v="211"/>
    <s v="3miT47"/>
    <s v="3MI"/>
    <x v="1"/>
    <s v="2°1°2112TPT2"/>
    <s v="PROCEDIMIENTOS TECNICOS"/>
    <n v="47"/>
    <m/>
    <x v="3"/>
    <x v="1"/>
  </r>
  <r>
    <x v="5"/>
    <s v="2°1°3MITARDE212"/>
    <n v="212"/>
    <s v="3MITCARPINTERIA"/>
    <s v="3MI"/>
    <x v="1"/>
    <s v="2°1°2122TPT2"/>
    <s v="PROCEDIMIENTOS TECNICOS"/>
    <s v="CARPINTERIA"/>
    <m/>
    <x v="3"/>
    <x v="1"/>
  </r>
  <r>
    <x v="5"/>
    <s v="2°1°3VIMAÑANA0"/>
    <n v="0"/>
    <s v="3VIM"/>
    <s v="3VI"/>
    <x v="0"/>
    <s v="2°1°2ART"/>
    <s v="EDUCACION ARTISTICA (PLASTICA)"/>
    <m/>
    <m/>
    <x v="4"/>
    <x v="0"/>
  </r>
  <r>
    <x v="5"/>
    <s v="2°1°3VITARDE212"/>
    <n v="212"/>
    <s v="3VITaula 4"/>
    <s v="3VI"/>
    <x v="1"/>
    <s v="2°1°2122TLT2"/>
    <s v="LENGUAJES TECNOLOGICOS"/>
    <s v="aula 4"/>
    <m/>
    <x v="4"/>
    <x v="1"/>
  </r>
  <r>
    <x v="5"/>
    <s v="2°1°4JUMAÑANA0"/>
    <n v="0"/>
    <s v="4JUM"/>
    <s v="4JU"/>
    <x v="0"/>
    <s v="2°1°2MAT"/>
    <s v="MATEMATICA"/>
    <m/>
    <m/>
    <x v="0"/>
    <x v="0"/>
  </r>
  <r>
    <x v="5"/>
    <s v="2°1°4LUMAÑANA0"/>
    <n v="0"/>
    <s v="4LUM"/>
    <s v="4LU"/>
    <x v="0"/>
    <s v="2°1°2ING"/>
    <s v="INGLÉS"/>
    <m/>
    <m/>
    <x v="1"/>
    <x v="0"/>
  </r>
  <r>
    <x v="5"/>
    <s v="2°1°4MAMAÑANA0"/>
    <n v="0"/>
    <s v="4MAM"/>
    <s v="4ma"/>
    <x v="0"/>
    <s v="2°1°2FI/QUI"/>
    <s v="FISICO-QUIMICA"/>
    <m/>
    <m/>
    <x v="2"/>
    <x v="0"/>
  </r>
  <r>
    <x v="5"/>
    <s v="2°1°4juTARDE0"/>
    <n v="0"/>
    <s v="4juTPATIO"/>
    <s v="4JU"/>
    <x v="1"/>
    <s v="2°1°2EFI"/>
    <s v="EDUCACIÓN FISICA"/>
    <s v="PATIO"/>
    <m/>
    <x v="0"/>
    <x v="1"/>
  </r>
  <r>
    <x v="5"/>
    <s v="2°1°4MIMAÑANA0"/>
    <n v="0"/>
    <s v="4MIM"/>
    <s v="4MI"/>
    <x v="0"/>
    <s v="2°1°2BIO"/>
    <s v="BIOLOGIA"/>
    <m/>
    <m/>
    <x v="3"/>
    <x v="0"/>
  </r>
  <r>
    <x v="5"/>
    <s v="2°1°4MITARDE212"/>
    <n v="212"/>
    <s v="4MITCARPINTERIA"/>
    <s v="4MI"/>
    <x v="1"/>
    <s v="2°1°2122TPT2"/>
    <s v="PROCEDIMIENTOS TECNICOS"/>
    <s v="CARPINTERIA"/>
    <m/>
    <x v="3"/>
    <x v="1"/>
  </r>
  <r>
    <x v="5"/>
    <s v="2°1°4VIMAÑANA0"/>
    <n v="0"/>
    <s v="4VIM"/>
    <s v="4VI"/>
    <x v="0"/>
    <s v="2°1°2ART"/>
    <s v="EDUCACION ARTISTICA (PLASTICA)"/>
    <m/>
    <m/>
    <x v="4"/>
    <x v="0"/>
  </r>
  <r>
    <x v="5"/>
    <s v="2°1°4VITARDE212"/>
    <n v="212"/>
    <s v="4VITaula 4"/>
    <s v="4VI"/>
    <x v="1"/>
    <s v="2°1°2122TLT2"/>
    <s v="LENGUAJES TECNOLOGICOS"/>
    <s v="aula 4"/>
    <m/>
    <x v="4"/>
    <x v="1"/>
  </r>
  <r>
    <x v="5"/>
    <s v="2°1°5LUMAÑANA0"/>
    <n v="0"/>
    <s v="5LUM"/>
    <s v="5LU"/>
    <x v="0"/>
    <s v="2°1°2CCD"/>
    <s v="CONSTRUCCION DE LA CIUDADANIA"/>
    <m/>
    <m/>
    <x v="1"/>
    <x v="0"/>
  </r>
  <r>
    <x v="5"/>
    <s v="2°1°5VIMAÑANA0"/>
    <n v="0"/>
    <s v="5VIM"/>
    <s v="5VI"/>
    <x v="0"/>
    <s v="2°1°2CCD"/>
    <s v="CONSTRUCCION DE LA CIUDADANIA"/>
    <m/>
    <m/>
    <x v="4"/>
    <x v="0"/>
  </r>
  <r>
    <x v="6"/>
    <s v="2°2°1JUMAÑANA222"/>
    <n v="222"/>
    <s v="1JUMCARPINTERIA"/>
    <s v="1JU"/>
    <x v="0"/>
    <s v="2°2°2222TPT2"/>
    <s v="PROCEDIMIENTOS TECNICOS"/>
    <s v="CARPINTERIA"/>
    <m/>
    <x v="0"/>
    <x v="1"/>
  </r>
  <r>
    <x v="6"/>
    <s v="2°2°1JUTARDE0"/>
    <n v="0"/>
    <s v="1JUT"/>
    <s v="1JU"/>
    <x v="1"/>
    <s v="2°2°2ART"/>
    <s v="EDUCACION ARTISTICA (PLASTICA)"/>
    <m/>
    <m/>
    <x v="0"/>
    <x v="0"/>
  </r>
  <r>
    <x v="6"/>
    <s v="2°2°1LUMAÑANA221"/>
    <n v="221"/>
    <s v="1LUMCARPINTERIA"/>
    <s v="1LU"/>
    <x v="0"/>
    <s v="2°2°2212TPT2"/>
    <s v="PROCEDIMIENTOS TECNICOS"/>
    <s v="CARPINTERIA"/>
    <m/>
    <x v="1"/>
    <x v="1"/>
  </r>
  <r>
    <x v="6"/>
    <s v="2°2°1LUTARDE0"/>
    <n v="0"/>
    <s v="1LUT"/>
    <s v="1LU"/>
    <x v="1"/>
    <s v="2°2°2FI/QUI"/>
    <s v="FISICO-QUIMICA"/>
    <m/>
    <m/>
    <x v="1"/>
    <x v="0"/>
  </r>
  <r>
    <x v="6"/>
    <s v="2°2°1viMAÑANA0"/>
    <n v="0"/>
    <s v="1viMPATIO"/>
    <s v="1VI"/>
    <x v="0"/>
    <s v="2°2°2EFI"/>
    <s v="EDUCACIÓN FISICA"/>
    <s v="PATIO"/>
    <m/>
    <x v="4"/>
    <x v="1"/>
  </r>
  <r>
    <x v="6"/>
    <s v="2°2°1MATARDE0"/>
    <n v="0"/>
    <s v="1MAT"/>
    <s v="1MA"/>
    <x v="1"/>
    <s v="2°2°2ING"/>
    <s v="INGLÉS"/>
    <m/>
    <m/>
    <x v="2"/>
    <x v="0"/>
  </r>
  <r>
    <x v="6"/>
    <s v="2°2°1MIMAÑANA222"/>
    <n v="222"/>
    <s v="1MIMAULA 2"/>
    <s v="1MI"/>
    <x v="0"/>
    <s v="2°2°2222TLT2"/>
    <s v="LENGUAJES TECNOLOGICOS"/>
    <s v="aula 2"/>
    <m/>
    <x v="3"/>
    <x v="1"/>
  </r>
  <r>
    <x v="6"/>
    <s v="2°2°PREHORAMATARDE0"/>
    <n v="0"/>
    <s v="PREHORAMAT"/>
    <s v="PREHORAMA"/>
    <x v="1"/>
    <s v="2°2°2BIO"/>
    <s v="BIOLOGIA"/>
    <m/>
    <m/>
    <x v="2"/>
    <x v="0"/>
  </r>
  <r>
    <x v="6"/>
    <s v="2°2°1miTARDE0"/>
    <n v="0"/>
    <s v="1miT"/>
    <s v="1MI"/>
    <x v="1"/>
    <s v="2°2°2GEO"/>
    <s v="GEOGRAFIA"/>
    <m/>
    <m/>
    <x v="3"/>
    <x v="0"/>
  </r>
  <r>
    <x v="6"/>
    <s v="2°2°2JUMAÑANA222"/>
    <n v="222"/>
    <s v="2JUMCARPINTERIA"/>
    <s v="2JU"/>
    <x v="0"/>
    <s v="2°2°2222TPT2"/>
    <s v="PROCEDIMIENTOS TECNICOS"/>
    <s v="CARPINTERIA"/>
    <m/>
    <x v="0"/>
    <x v="1"/>
  </r>
  <r>
    <x v="6"/>
    <s v="2°2°2JUTARDE0"/>
    <n v="0"/>
    <s v="2JUT"/>
    <s v="2JU"/>
    <x v="1"/>
    <s v="2°2°2ART"/>
    <s v="EDUCACION ARTISTICA (PLASTICA)"/>
    <m/>
    <m/>
    <x v="0"/>
    <x v="0"/>
  </r>
  <r>
    <x v="6"/>
    <s v="2°2°2LUMAÑANA221"/>
    <n v="221"/>
    <s v="2LUMCARPINTERIA"/>
    <s v="2LU"/>
    <x v="0"/>
    <s v="2°2°2212TPT2"/>
    <s v="PROCEDIMIENTOS TECNICOS"/>
    <s v="CARPINTERIA"/>
    <m/>
    <x v="1"/>
    <x v="1"/>
  </r>
  <r>
    <x v="6"/>
    <s v="2°2°2LUTARDE0"/>
    <n v="0"/>
    <s v="2LUT"/>
    <s v="2LU"/>
    <x v="1"/>
    <s v="2°2°2FI/QUI"/>
    <s v="FISICO-QUIMICA"/>
    <m/>
    <m/>
    <x v="1"/>
    <x v="0"/>
  </r>
  <r>
    <x v="6"/>
    <s v="2°2°2viMAÑANA0"/>
    <n v="0"/>
    <s v="2viMPATIO"/>
    <s v="2VI"/>
    <x v="0"/>
    <s v="2°2°2EFI"/>
    <s v="EDUCACIÓN FISICA"/>
    <s v="PATIO"/>
    <m/>
    <x v="4"/>
    <x v="1"/>
  </r>
  <r>
    <x v="6"/>
    <s v="2°2°2MATARDE0"/>
    <n v="0"/>
    <s v="2MAT"/>
    <s v="2MA"/>
    <x v="1"/>
    <s v="2°2°2ING"/>
    <s v="INGLÉS"/>
    <m/>
    <m/>
    <x v="2"/>
    <x v="0"/>
  </r>
  <r>
    <x v="6"/>
    <s v="2°2°2MIMAÑANA222"/>
    <n v="222"/>
    <s v="2MIMAULA 2"/>
    <s v="2MI"/>
    <x v="0"/>
    <s v="2°2°2222TLT2"/>
    <s v="LENGUAJES TECNOLOGICOS"/>
    <s v="aula 2"/>
    <m/>
    <x v="3"/>
    <x v="1"/>
  </r>
  <r>
    <x v="6"/>
    <s v="2°2°PREHORAJUTARDE0"/>
    <n v="0"/>
    <s v="PREHORAJUT"/>
    <s v="PREHORAJU"/>
    <x v="1"/>
    <s v="2°2°2BIO"/>
    <s v="BIOLOGIA"/>
    <m/>
    <m/>
    <x v="0"/>
    <x v="0"/>
  </r>
  <r>
    <x v="6"/>
    <s v="2°2°2miTARDE0"/>
    <n v="0"/>
    <s v="2miT"/>
    <s v="2MI"/>
    <x v="1"/>
    <s v="2°2°2GEO"/>
    <s v="GEOGRAFIA"/>
    <m/>
    <m/>
    <x v="3"/>
    <x v="0"/>
  </r>
  <r>
    <x v="6"/>
    <s v="2°2°3JUMAÑANA222"/>
    <n v="222"/>
    <s v="3JUMCARPINTERIA"/>
    <s v="3JU"/>
    <x v="0"/>
    <s v="2°2°2222TPT2"/>
    <s v="PROCEDIMIENTOS TECNICOS"/>
    <s v="CARPINTERIA"/>
    <m/>
    <x v="0"/>
    <x v="1"/>
  </r>
  <r>
    <x v="6"/>
    <s v="2°2°3JUTARDE0"/>
    <n v="0"/>
    <s v="3JUT"/>
    <s v="3JU"/>
    <x v="1"/>
    <s v="2°2°2PLG"/>
    <s v="PRACTICA DEL LENGUAJE"/>
    <m/>
    <m/>
    <x v="0"/>
    <x v="0"/>
  </r>
  <r>
    <x v="6"/>
    <s v="2°2°3LUMAÑANA221"/>
    <n v="221"/>
    <s v="3LUMCARPINTERIA"/>
    <s v="3LU"/>
    <x v="0"/>
    <s v="2°2°2212TPT2"/>
    <s v="PROCEDIMIENTOS TECNICOS"/>
    <s v="CARPINTERIA"/>
    <m/>
    <x v="1"/>
    <x v="1"/>
  </r>
  <r>
    <x v="6"/>
    <s v="2°2°3LUTARDE0"/>
    <n v="0"/>
    <s v="3LUT"/>
    <s v="3LU"/>
    <x v="1"/>
    <s v="2°2°2MAT"/>
    <s v="MATEMATICA"/>
    <m/>
    <m/>
    <x v="1"/>
    <x v="0"/>
  </r>
  <r>
    <x v="6"/>
    <s v="2°2°3MAMAÑANA221"/>
    <n v="221"/>
    <s v="3MAMsuperpuesto"/>
    <s v="3ma"/>
    <x v="0"/>
    <s v="2°2°2212TST2"/>
    <s v="SISTEMAS TECNOLOGICOS"/>
    <s v="superpuesto"/>
    <m/>
    <x v="2"/>
    <x v="1"/>
  </r>
  <r>
    <x v="6"/>
    <s v="2°2°3MATARDE0"/>
    <n v="0"/>
    <s v="3MAT"/>
    <s v="3ma"/>
    <x v="1"/>
    <s v="2°2°2MAT"/>
    <s v="MATEMATICA"/>
    <m/>
    <m/>
    <x v="2"/>
    <x v="0"/>
  </r>
  <r>
    <x v="6"/>
    <s v="2°2°3MIMAÑANA221"/>
    <n v="221"/>
    <s v="3MIMAULA 2"/>
    <s v="3MI"/>
    <x v="0"/>
    <s v="2°2°2212TLT2"/>
    <s v="LENGUAJES TECNOLOGICOS"/>
    <s v="aula 2"/>
    <m/>
    <x v="3"/>
    <x v="1"/>
  </r>
  <r>
    <x v="6"/>
    <s v="2°2°3MIMAÑANA222"/>
    <n v="222"/>
    <s v="3MIMAULA 4"/>
    <s v="3MI"/>
    <x v="0"/>
    <s v="2°2°2222TST2"/>
    <s v="SISTEMAS TECNOLOGICOS"/>
    <s v="aula 4"/>
    <m/>
    <x v="3"/>
    <x v="1"/>
  </r>
  <r>
    <x v="6"/>
    <s v="2°2°3MITARDE0"/>
    <n v="0"/>
    <s v="3MIT"/>
    <s v="3MI"/>
    <x v="1"/>
    <s v="2°2°2CCD"/>
    <s v="CONSTRUCCION DE LA CIUDADANIA"/>
    <m/>
    <m/>
    <x v="3"/>
    <x v="0"/>
  </r>
  <r>
    <x v="6"/>
    <s v="2°2°3VITARDE0"/>
    <n v="0"/>
    <s v="3VIT"/>
    <s v="3VI"/>
    <x v="1"/>
    <s v="2°2°2PLG"/>
    <s v="PRACTICA DEL LENGUAJE"/>
    <m/>
    <m/>
    <x v="4"/>
    <x v="0"/>
  </r>
  <r>
    <x v="6"/>
    <s v="2°2°4JUMAÑANA222"/>
    <n v="222"/>
    <s v="4JUMCARPINTERIA"/>
    <s v="4JU"/>
    <x v="0"/>
    <s v="2°2°2222TPT2"/>
    <s v="PROCEDIMIENTOS TECNICOS"/>
    <s v="CARPINTERIA"/>
    <m/>
    <x v="0"/>
    <x v="1"/>
  </r>
  <r>
    <x v="6"/>
    <s v="2°2°4JUTARDE0"/>
    <n v="0"/>
    <s v="4JUT"/>
    <s v="4JU"/>
    <x v="1"/>
    <s v="2°2°2PLG"/>
    <s v="PRACTICA DEL LENGUAJE"/>
    <m/>
    <m/>
    <x v="0"/>
    <x v="0"/>
  </r>
  <r>
    <x v="6"/>
    <s v="2°2°4LUMAÑANA221"/>
    <n v="221"/>
    <s v="4LUMCARPINTERIA"/>
    <s v="4LU"/>
    <x v="0"/>
    <s v="2°2°2212TPT2"/>
    <s v="PROCEDIMIENTOS TECNICOS"/>
    <s v="CARPINTERIA"/>
    <m/>
    <x v="1"/>
    <x v="1"/>
  </r>
  <r>
    <x v="6"/>
    <s v="2°2°4LUTARDE0"/>
    <n v="0"/>
    <s v="4LUT"/>
    <s v="4LU"/>
    <x v="1"/>
    <s v="2°2°2MAT"/>
    <s v="MATEMATICA"/>
    <m/>
    <m/>
    <x v="1"/>
    <x v="0"/>
  </r>
  <r>
    <x v="6"/>
    <s v="2°2°4MAMAÑANA221"/>
    <n v="221"/>
    <s v="4MAMsuperpuesto"/>
    <s v="4ma"/>
    <x v="0"/>
    <s v="2°2°2212TST2"/>
    <s v="SISTEMAS TECNOLOGICOS"/>
    <s v="superpuesto"/>
    <m/>
    <x v="2"/>
    <x v="1"/>
  </r>
  <r>
    <x v="6"/>
    <s v="2°2°4MATARDE0"/>
    <n v="0"/>
    <s v="4MAT"/>
    <s v="4ma"/>
    <x v="1"/>
    <s v="2°2°2MAT"/>
    <s v="MATEMATICA"/>
    <m/>
    <m/>
    <x v="2"/>
    <x v="0"/>
  </r>
  <r>
    <x v="6"/>
    <s v="2°2°4MIMAÑANA221"/>
    <n v="221"/>
    <s v="4MIMAULA 2"/>
    <s v="4MI"/>
    <x v="0"/>
    <s v="2°2°2212TLT2"/>
    <s v="LENGUAJES TECNOLOGICOS"/>
    <s v="aula 2"/>
    <m/>
    <x v="3"/>
    <x v="1"/>
  </r>
  <r>
    <x v="6"/>
    <s v="2°2°4MIMAÑANA222"/>
    <n v="222"/>
    <s v="4MIMAULA 4"/>
    <s v="4MI"/>
    <x v="0"/>
    <s v="2°2°2222TST2"/>
    <s v="SISTEMAS TECNOLOGICOS"/>
    <s v="aula 4"/>
    <m/>
    <x v="3"/>
    <x v="1"/>
  </r>
  <r>
    <x v="6"/>
    <s v="2°2°4MITARDE0"/>
    <n v="0"/>
    <s v="4MIT"/>
    <s v="4MI"/>
    <x v="1"/>
    <s v="2°2°2CCD"/>
    <s v="CONSTRUCCION DE LA CIUDADANIA"/>
    <m/>
    <m/>
    <x v="3"/>
    <x v="0"/>
  </r>
  <r>
    <x v="6"/>
    <s v="2°2°4VITARDE0"/>
    <n v="0"/>
    <s v="4VIT"/>
    <s v="4VI"/>
    <x v="1"/>
    <s v="2°2°2PLG"/>
    <s v="PRACTICA DEL LENGUAJE"/>
    <m/>
    <m/>
    <x v="4"/>
    <x v="0"/>
  </r>
  <r>
    <x v="6"/>
    <s v="2°2°1VITARDE0"/>
    <n v="0"/>
    <s v="1VIT"/>
    <s v="1VI"/>
    <x v="1"/>
    <s v="2°2°2HIS"/>
    <s v="HISTORIA"/>
    <m/>
    <m/>
    <x v="4"/>
    <x v="0"/>
  </r>
  <r>
    <x v="6"/>
    <s v="2°2°2VITARDE0"/>
    <n v="0"/>
    <s v="2VIT"/>
    <s v="2VI"/>
    <x v="1"/>
    <s v="2°2°2HIS"/>
    <s v="HISTORIA"/>
    <m/>
    <m/>
    <x v="4"/>
    <x v="0"/>
  </r>
  <r>
    <x v="7"/>
    <s v="2°3°1JUMAÑANA0"/>
    <n v="0"/>
    <s v="1JUM"/>
    <s v="1JU"/>
    <x v="0"/>
    <s v="2°3°2MAT"/>
    <s v="MATEMATICA"/>
    <m/>
    <m/>
    <x v="0"/>
    <x v="0"/>
  </r>
  <r>
    <x v="7"/>
    <s v="2°3°1LUMAÑANA0"/>
    <n v="0"/>
    <s v="1LUM"/>
    <s v="1LU"/>
    <x v="0"/>
    <s v="2°3°2MAT"/>
    <s v="MATEMATICA"/>
    <m/>
    <m/>
    <x v="1"/>
    <x v="0"/>
  </r>
  <r>
    <x v="7"/>
    <s v="2°3°1MAMAÑANA0"/>
    <n v="0"/>
    <s v="1MAM"/>
    <s v="1MA"/>
    <x v="0"/>
    <s v="2°3°2FI/QUI"/>
    <s v="FISICO-QUIMICA"/>
    <m/>
    <m/>
    <x v="2"/>
    <x v="0"/>
  </r>
  <r>
    <x v="7"/>
    <s v="2°3°1MATARDE231"/>
    <n v="231"/>
    <s v="1MAT47"/>
    <s v="1MA"/>
    <x v="1"/>
    <s v="2°3°2312TST2"/>
    <s v="SISTEMAS TECNOLOGICOS"/>
    <n v="47"/>
    <m/>
    <x v="2"/>
    <x v="1"/>
  </r>
  <r>
    <x v="7"/>
    <s v="2°3°1MIMAÑANA0"/>
    <n v="0"/>
    <s v="1MIM"/>
    <s v="1MI"/>
    <x v="0"/>
    <s v="2°3°2BIO"/>
    <s v="BIOLOGIA"/>
    <m/>
    <m/>
    <x v="3"/>
    <x v="0"/>
  </r>
  <r>
    <x v="7"/>
    <s v="2°3°1MITARDE231"/>
    <n v="231"/>
    <s v="1MITCARPINTERIA"/>
    <s v="1MI"/>
    <x v="1"/>
    <s v="2°3°2312TPT2"/>
    <s v="PROCEDIMIENTOS TECNICOS"/>
    <s v="CARPINTERIA"/>
    <m/>
    <x v="3"/>
    <x v="1"/>
  </r>
  <r>
    <x v="7"/>
    <s v="2°3°1MITARDE232"/>
    <n v="232"/>
    <s v="1MITHERRERIA"/>
    <s v="1MI"/>
    <x v="1"/>
    <s v="2°3°2322TPT2"/>
    <s v="PROCEDIMIENTOS TECNICOS"/>
    <s v="HERRERIA"/>
    <m/>
    <x v="3"/>
    <x v="1"/>
  </r>
  <r>
    <x v="7"/>
    <s v="2°3°1VIMAÑANA0"/>
    <n v="0"/>
    <s v="1VIM"/>
    <s v="1VI"/>
    <x v="0"/>
    <s v="2°3°2ING"/>
    <s v="INGLÉS"/>
    <m/>
    <m/>
    <x v="4"/>
    <x v="0"/>
  </r>
  <r>
    <x v="7"/>
    <s v="2°3°1MATARDE232"/>
    <n v="232"/>
    <s v="1MATaula 4"/>
    <s v="1MA"/>
    <x v="1"/>
    <s v="2°3°2322TLT2"/>
    <s v="LENGUAJES TECNOLOGICOS"/>
    <s v="aula 4"/>
    <m/>
    <x v="2"/>
    <x v="1"/>
  </r>
  <r>
    <x v="7"/>
    <s v="2°3°2JUMAÑANA0"/>
    <n v="0"/>
    <s v="2JUM"/>
    <s v="2JU"/>
    <x v="0"/>
    <s v="2°3°2MAT"/>
    <s v="MATEMATICA"/>
    <m/>
    <m/>
    <x v="0"/>
    <x v="0"/>
  </r>
  <r>
    <x v="7"/>
    <s v="2°3°2LUMAÑANA0"/>
    <n v="0"/>
    <s v="2LUM"/>
    <s v="2LU"/>
    <x v="0"/>
    <s v="2°3°2MAT"/>
    <s v="MATEMATICA"/>
    <m/>
    <m/>
    <x v="1"/>
    <x v="0"/>
  </r>
  <r>
    <x v="7"/>
    <s v="2°3°2MAMAÑANA0"/>
    <n v="0"/>
    <s v="2MAM"/>
    <s v="2MA"/>
    <x v="0"/>
    <s v="2°3°2FI/QUI"/>
    <s v="FISICO-QUIMICA"/>
    <m/>
    <m/>
    <x v="2"/>
    <x v="0"/>
  </r>
  <r>
    <x v="7"/>
    <s v="2°3°2MATARDE231"/>
    <n v="231"/>
    <s v="2MAT47"/>
    <s v="2MA"/>
    <x v="1"/>
    <s v="2°3°2312TST2"/>
    <s v="SISTEMAS TECNOLOGICOS"/>
    <n v="47"/>
    <m/>
    <x v="2"/>
    <x v="1"/>
  </r>
  <r>
    <x v="7"/>
    <s v="2°3°2MIMAÑANA0"/>
    <n v="0"/>
    <s v="2MIM"/>
    <s v="2MI"/>
    <x v="0"/>
    <s v="2°3°2BIO"/>
    <s v="BIOLOGIA"/>
    <m/>
    <m/>
    <x v="3"/>
    <x v="0"/>
  </r>
  <r>
    <x v="7"/>
    <s v="2°3°2MITARDE231"/>
    <n v="231"/>
    <s v="2MITCARPINTERIA"/>
    <s v="2MI"/>
    <x v="1"/>
    <s v="2°3°2312TPT2"/>
    <s v="PROCEDIMIENTOS TECNICOS"/>
    <s v="CARPINTERIA"/>
    <m/>
    <x v="3"/>
    <x v="1"/>
  </r>
  <r>
    <x v="7"/>
    <s v="2°3°2MITARDE232"/>
    <n v="232"/>
    <s v="2MITHERRERIA"/>
    <s v="2MI"/>
    <x v="1"/>
    <s v="2°3°2322TPT2"/>
    <s v="PROCEDIMIENTOS TECNICOS"/>
    <s v="HERRERIA"/>
    <m/>
    <x v="3"/>
    <x v="1"/>
  </r>
  <r>
    <x v="7"/>
    <s v="2°3°2VIMAÑANA0"/>
    <n v="0"/>
    <s v="2VIM"/>
    <s v="2VI"/>
    <x v="0"/>
    <s v="2°3°2ING"/>
    <s v="INGLÉS"/>
    <m/>
    <m/>
    <x v="4"/>
    <x v="0"/>
  </r>
  <r>
    <x v="7"/>
    <s v="2°3°2MATARDE232"/>
    <n v="232"/>
    <s v="2MATaula 4"/>
    <s v="2MA"/>
    <x v="1"/>
    <s v="2°3°2322TLT2"/>
    <s v="LENGUAJES TECNOLOGICOS"/>
    <s v="aula 4"/>
    <m/>
    <x v="2"/>
    <x v="1"/>
  </r>
  <r>
    <x v="7"/>
    <s v="2°3°3JUMAÑANA0"/>
    <n v="0"/>
    <s v="3JUM"/>
    <s v="3JU"/>
    <x v="0"/>
    <s v="2°3°2GEO"/>
    <s v="GEOGRAFIA"/>
    <m/>
    <m/>
    <x v="0"/>
    <x v="0"/>
  </r>
  <r>
    <x v="7"/>
    <s v="2°3°3JUTARDE231"/>
    <n v="231"/>
    <s v="3JUTCARPINTERIA"/>
    <s v="3JU"/>
    <x v="1"/>
    <s v="2°3°2312TPT2"/>
    <s v="PROCEDIMIENTOS TECNICOS"/>
    <s v="CARPINTERIA"/>
    <m/>
    <x v="0"/>
    <x v="1"/>
  </r>
  <r>
    <x v="7"/>
    <s v="2°3°3LUMAÑANA0"/>
    <n v="0"/>
    <s v="3LUM"/>
    <s v="3LU"/>
    <x v="0"/>
    <s v="2°3°2PLG"/>
    <s v="PRACTICA DEL LENGUAJE"/>
    <m/>
    <m/>
    <x v="1"/>
    <x v="0"/>
  </r>
  <r>
    <x v="7"/>
    <s v="2°3°3MAMAÑANA0"/>
    <n v="0"/>
    <s v="3MAM"/>
    <s v="3ma"/>
    <x v="0"/>
    <s v="2°3°2HIS"/>
    <s v="HISTORIA"/>
    <m/>
    <m/>
    <x v="2"/>
    <x v="0"/>
  </r>
  <r>
    <x v="7"/>
    <s v="2°3°3MATARDE232"/>
    <n v="232"/>
    <s v="3MAT47"/>
    <s v="3ma"/>
    <x v="1"/>
    <s v="2°3°2322TST2"/>
    <s v="SISTEMAS TECNOLOGICOS"/>
    <n v="47"/>
    <m/>
    <x v="2"/>
    <x v="1"/>
  </r>
  <r>
    <x v="7"/>
    <s v="2°3°3MIMAÑANA0"/>
    <n v="0"/>
    <s v="3MIM"/>
    <s v="3MI"/>
    <x v="0"/>
    <s v="2°3°2ART"/>
    <s v="EDUCACION ARTISTICA (PLASTICA)"/>
    <m/>
    <m/>
    <x v="3"/>
    <x v="0"/>
  </r>
  <r>
    <x v="7"/>
    <s v="2°3°3MITARDE231"/>
    <n v="231"/>
    <s v="3MITAULA 2"/>
    <s v="3MI"/>
    <x v="1"/>
    <s v="2°3°2312TLT2"/>
    <s v="LENGUAJES TECNOLOGICOS"/>
    <s v="aula 2"/>
    <m/>
    <x v="3"/>
    <x v="1"/>
  </r>
  <r>
    <x v="7"/>
    <s v="2°3°3MITARDE232"/>
    <n v="232"/>
    <s v="3MITHERRERIA"/>
    <s v="3MI"/>
    <x v="1"/>
    <s v="2°3°2322TPT2"/>
    <s v="PROCEDIMIENTOS TECNICOS"/>
    <s v="HERRERIA"/>
    <m/>
    <x v="3"/>
    <x v="1"/>
  </r>
  <r>
    <x v="7"/>
    <s v="2°3°3VIMAÑANA0"/>
    <n v="0"/>
    <s v="3VIM"/>
    <s v="3VI"/>
    <x v="0"/>
    <s v="2°3°2PLG"/>
    <s v="PRACTICA DEL LENGUAJE"/>
    <m/>
    <m/>
    <x v="4"/>
    <x v="0"/>
  </r>
  <r>
    <x v="7"/>
    <s v="2°3°1LUTARDE0"/>
    <n v="0"/>
    <s v="1LUTPATIO2"/>
    <s v="1LU"/>
    <x v="1"/>
    <s v="2°3°2EFI"/>
    <s v="EDUCACIÓN FISICA"/>
    <s v="PATIO2"/>
    <m/>
    <x v="1"/>
    <x v="1"/>
  </r>
  <r>
    <x v="7"/>
    <s v="2°3°4JUMAÑANA0"/>
    <n v="0"/>
    <s v="4JUM"/>
    <s v="4JU"/>
    <x v="0"/>
    <s v="2°3°2GEO"/>
    <s v="GEOGRAFIA"/>
    <m/>
    <m/>
    <x v="0"/>
    <x v="0"/>
  </r>
  <r>
    <x v="7"/>
    <s v="2°3°4JUTARDE231"/>
    <n v="231"/>
    <s v="4JUTCARPINTERIA"/>
    <s v="4JU"/>
    <x v="1"/>
    <s v="2°3°2312TPT2"/>
    <s v="PROCEDIMIENTOS TECNICOS"/>
    <s v="CARPINTERIA"/>
    <m/>
    <x v="0"/>
    <x v="1"/>
  </r>
  <r>
    <x v="7"/>
    <s v="2°3°4LUMAÑANA0"/>
    <n v="0"/>
    <s v="4LUM"/>
    <s v="4LU"/>
    <x v="0"/>
    <s v="2°3°2PLG"/>
    <s v="PRACTICA DEL LENGUAJE"/>
    <m/>
    <m/>
    <x v="1"/>
    <x v="0"/>
  </r>
  <r>
    <x v="7"/>
    <s v="2°3°4MAMAÑANA0"/>
    <n v="0"/>
    <s v="4MAM"/>
    <s v="4ma"/>
    <x v="0"/>
    <s v="2°3°2HIS"/>
    <s v="HISTORIA"/>
    <m/>
    <m/>
    <x v="2"/>
    <x v="0"/>
  </r>
  <r>
    <x v="7"/>
    <s v="2°3°4MATARDE232"/>
    <n v="232"/>
    <s v="4MAT47"/>
    <s v="4ma"/>
    <x v="1"/>
    <s v="2°3°2322TST2"/>
    <s v="SISTEMAS TECNOLOGICOS"/>
    <n v="47"/>
    <m/>
    <x v="2"/>
    <x v="1"/>
  </r>
  <r>
    <x v="7"/>
    <s v="2°3°4MIMAÑANA0"/>
    <n v="0"/>
    <s v="4MIM"/>
    <s v="4MI"/>
    <x v="0"/>
    <s v="2°3°2ART"/>
    <s v="EDUCACION ARTISTICA (PLASTICA)"/>
    <m/>
    <m/>
    <x v="3"/>
    <x v="0"/>
  </r>
  <r>
    <x v="7"/>
    <s v="2°3°4MITARDE231"/>
    <n v="231"/>
    <s v="4MITAULA 2"/>
    <s v="4MI"/>
    <x v="1"/>
    <s v="2°3°2312TLT2"/>
    <s v="LENGUAJES TECNOLOGICOS"/>
    <s v="aula 2"/>
    <m/>
    <x v="3"/>
    <x v="1"/>
  </r>
  <r>
    <x v="7"/>
    <s v="2°3°4MITARDE232"/>
    <n v="232"/>
    <s v="4MITHERRERIA"/>
    <s v="4MI"/>
    <x v="1"/>
    <s v="2°3°2322TPT2"/>
    <s v="PROCEDIMIENTOS TECNICOS"/>
    <s v="HERRERIA"/>
    <m/>
    <x v="3"/>
    <x v="1"/>
  </r>
  <r>
    <x v="7"/>
    <s v="2°3°4VIMAÑANA0"/>
    <n v="0"/>
    <s v="4VIM"/>
    <s v="4VI"/>
    <x v="0"/>
    <s v="2°3°2PLG"/>
    <s v="PRACTICA DEL LENGUAJE"/>
    <m/>
    <m/>
    <x v="4"/>
    <x v="0"/>
  </r>
  <r>
    <x v="7"/>
    <s v="2°3°2LUTARDE0"/>
    <n v="0"/>
    <s v="2LUTPATIO2"/>
    <s v="2LU"/>
    <x v="1"/>
    <s v="2°3°2EFI"/>
    <s v="EDUCACIÓN FISICA"/>
    <s v="PATIO2"/>
    <m/>
    <x v="1"/>
    <x v="1"/>
  </r>
  <r>
    <x v="7"/>
    <s v="2°3°5JUMAÑANA0"/>
    <n v="0"/>
    <s v="5JUM"/>
    <s v="5JU"/>
    <x v="0"/>
    <s v="2°3°2CCD"/>
    <s v="CONSTRUCCION DE LA CIUDADANIA"/>
    <m/>
    <m/>
    <x v="0"/>
    <x v="0"/>
  </r>
  <r>
    <x v="7"/>
    <s v="2°3°5LUMAÑANA0"/>
    <n v="0"/>
    <s v="5LUM"/>
    <s v="5LU"/>
    <x v="0"/>
    <s v="2°3°2CCD"/>
    <s v="CONSTRUCCION DE LA CIUDADANIA"/>
    <m/>
    <m/>
    <x v="1"/>
    <x v="0"/>
  </r>
  <r>
    <x v="8"/>
    <s v="2°4°1JUMAÑANA0"/>
    <n v="0"/>
    <s v="1JUMPATIO"/>
    <s v="1JU"/>
    <x v="0"/>
    <s v="2°4°2EFI"/>
    <s v="EDUCACIÓN FISICA"/>
    <s v="PATIO"/>
    <m/>
    <x v="0"/>
    <x v="1"/>
  </r>
  <r>
    <x v="8"/>
    <s v="2°4°1JUTARDE0"/>
    <n v="0"/>
    <s v="1JUT"/>
    <s v="1JU"/>
    <x v="1"/>
    <s v="2°4°2MAT"/>
    <s v="MATEMATICA"/>
    <m/>
    <m/>
    <x v="0"/>
    <x v="0"/>
  </r>
  <r>
    <x v="8"/>
    <s v="2°4°1LUMAÑANA242"/>
    <n v="242"/>
    <s v="1LUM45"/>
    <s v="1LU"/>
    <x v="0"/>
    <s v="2°4°2422TST2"/>
    <s v="SISTEMAS TECNOLOGICOS"/>
    <n v="45"/>
    <m/>
    <x v="1"/>
    <x v="1"/>
  </r>
  <r>
    <x v="8"/>
    <s v="2°4°1LUTARDE0"/>
    <n v="0"/>
    <s v="1LUT"/>
    <s v="1LU"/>
    <x v="1"/>
    <s v="2°4°2FI/QUI"/>
    <s v="FISICO-QUIMICA"/>
    <m/>
    <m/>
    <x v="1"/>
    <x v="0"/>
  </r>
  <r>
    <x v="8"/>
    <s v="2°4°1maMAÑANA241"/>
    <n v="241"/>
    <s v="1maM33"/>
    <s v="1MA"/>
    <x v="0"/>
    <s v="2°4°2412TST2"/>
    <s v="SISTEMAS TECNOLOGICOS"/>
    <n v="33"/>
    <m/>
    <x v="2"/>
    <x v="1"/>
  </r>
  <r>
    <x v="8"/>
    <s v="2°4°1MAMAÑANA242"/>
    <n v="242"/>
    <s v="1MAMHERRERIA"/>
    <s v="1MA"/>
    <x v="0"/>
    <s v="2°4°2422TPT2"/>
    <s v="PROCEDIMIENTOS TECNICOS"/>
    <s v="HERRERIA"/>
    <m/>
    <x v="2"/>
    <x v="1"/>
  </r>
  <r>
    <x v="8"/>
    <s v="2°4°1MATARDE0"/>
    <n v="0"/>
    <s v="1MAT"/>
    <s v="1MA"/>
    <x v="1"/>
    <s v="2°4°2ART"/>
    <s v="EDUCACION ARTISTICA (PLASTICA)"/>
    <m/>
    <m/>
    <x v="2"/>
    <x v="0"/>
  </r>
  <r>
    <x v="8"/>
    <s v="2°4°1MIMAÑANA241"/>
    <n v="241"/>
    <s v="1MIMAULA 4"/>
    <s v="1MI"/>
    <x v="0"/>
    <s v="2°4°2412TLT2"/>
    <s v="LENGUAJES TECNOLOGICOS"/>
    <s v="aula 4"/>
    <m/>
    <x v="3"/>
    <x v="1"/>
  </r>
  <r>
    <x v="8"/>
    <s v="2°4°3miMAÑANA242"/>
    <n v="242"/>
    <s v="3miM45"/>
    <s v="3MI"/>
    <x v="0"/>
    <s v="2°4°2422TLT2"/>
    <s v="LENGUAJES TECNOLOGICOS"/>
    <n v="45"/>
    <m/>
    <x v="3"/>
    <x v="1"/>
  </r>
  <r>
    <x v="8"/>
    <s v="2°4°1MITARDE0"/>
    <n v="0"/>
    <s v="1MIT"/>
    <s v="1MI"/>
    <x v="1"/>
    <s v="2°4°2CCD"/>
    <s v="CONSTRUCCION DE LA CIUDADANIA"/>
    <m/>
    <m/>
    <x v="3"/>
    <x v="0"/>
  </r>
  <r>
    <x v="8"/>
    <s v="2°4°1VIMAÑANA241"/>
    <n v="241"/>
    <s v="1VIMHERRERIA"/>
    <s v="1VI"/>
    <x v="0"/>
    <s v="2°4°2412TPT2"/>
    <s v="PROCEDIMIENTOS TECNICOS"/>
    <s v="HERRERIA"/>
    <m/>
    <x v="4"/>
    <x v="1"/>
  </r>
  <r>
    <x v="8"/>
    <s v="2°4°1VITARDE0"/>
    <n v="0"/>
    <s v="1VIT"/>
    <s v="1VI"/>
    <x v="1"/>
    <s v="2°4°2PLG"/>
    <s v="PRACTICA DEL LENGUAJE"/>
    <m/>
    <m/>
    <x v="4"/>
    <x v="0"/>
  </r>
  <r>
    <x v="8"/>
    <s v="2°4°2JUMAÑANA0"/>
    <n v="0"/>
    <s v="2JUMPATIO"/>
    <s v="2JU"/>
    <x v="0"/>
    <s v="2°4°2EFI"/>
    <s v="EDUCACIÓN FISICA"/>
    <s v="PATIO"/>
    <m/>
    <x v="0"/>
    <x v="1"/>
  </r>
  <r>
    <x v="8"/>
    <s v="2°4°2JUTARDE0"/>
    <n v="0"/>
    <s v="2JUT"/>
    <s v="2JU"/>
    <x v="1"/>
    <s v="2°4°2MAT"/>
    <s v="MATEMATICA"/>
    <m/>
    <m/>
    <x v="0"/>
    <x v="0"/>
  </r>
  <r>
    <x v="8"/>
    <s v="2°4°2LUMAÑANA242"/>
    <n v="242"/>
    <s v="2LUM45"/>
    <s v="2LU"/>
    <x v="0"/>
    <s v="2°4°2422TST2"/>
    <s v="SISTEMAS TECNOLOGICOS"/>
    <n v="45"/>
    <m/>
    <x v="1"/>
    <x v="1"/>
  </r>
  <r>
    <x v="8"/>
    <s v="2°4°2LUTARDE0"/>
    <n v="0"/>
    <s v="2LUT"/>
    <s v="2LU"/>
    <x v="1"/>
    <s v="2°4°2FI/QUI"/>
    <s v="FISICO-QUIMICA"/>
    <m/>
    <m/>
    <x v="1"/>
    <x v="0"/>
  </r>
  <r>
    <x v="8"/>
    <s v="2°4°2maMAÑANA241"/>
    <n v="241"/>
    <s v="2maM33"/>
    <s v="2MA"/>
    <x v="0"/>
    <s v="2°4°2412TST2"/>
    <s v="SISTEMAS TECNOLOGICOS"/>
    <n v="33"/>
    <m/>
    <x v="2"/>
    <x v="1"/>
  </r>
  <r>
    <x v="8"/>
    <s v="2°4°2MAMAÑANA242"/>
    <n v="242"/>
    <s v="2MAMHERRERIA"/>
    <s v="2MA"/>
    <x v="0"/>
    <s v="2°4°2422TPT2"/>
    <s v="PROCEDIMIENTOS TECNICOS"/>
    <s v="HERRERIA"/>
    <m/>
    <x v="2"/>
    <x v="1"/>
  </r>
  <r>
    <x v="8"/>
    <s v="2°4°2MATARDE0"/>
    <n v="0"/>
    <s v="2MAT"/>
    <s v="2MA"/>
    <x v="1"/>
    <s v="2°4°2ART"/>
    <s v="EDUCACION ARTISTICA (PLASTICA)"/>
    <m/>
    <m/>
    <x v="2"/>
    <x v="0"/>
  </r>
  <r>
    <x v="8"/>
    <s v="2°4°2MIMAÑANA241"/>
    <n v="241"/>
    <s v="2MIMAULA 4"/>
    <s v="2MI"/>
    <x v="0"/>
    <s v="2°4°2412TLT2"/>
    <s v="LENGUAJES TECNOLOGICOS"/>
    <s v="aula 4"/>
    <m/>
    <x v="3"/>
    <x v="1"/>
  </r>
  <r>
    <x v="8"/>
    <s v="2°4°4miMAÑANA242"/>
    <n v="242"/>
    <s v="4miM45"/>
    <s v="4MI"/>
    <x v="0"/>
    <s v="2°4°2422TLT2"/>
    <s v="LENGUAJES TECNOLOGICOS"/>
    <n v="45"/>
    <m/>
    <x v="3"/>
    <x v="1"/>
  </r>
  <r>
    <x v="8"/>
    <s v="2°4°2MITARDE0"/>
    <n v="0"/>
    <s v="2MIT"/>
    <s v="2MI"/>
    <x v="1"/>
    <s v="2°4°2CCD"/>
    <s v="CONSTRUCCION DE LA CIUDADANIA"/>
    <m/>
    <m/>
    <x v="3"/>
    <x v="0"/>
  </r>
  <r>
    <x v="8"/>
    <s v="2°4°2VIMAÑANA241"/>
    <n v="241"/>
    <s v="2VIMHERRERIA"/>
    <s v="2VI"/>
    <x v="0"/>
    <s v="2°4°2412TPT2"/>
    <s v="PROCEDIMIENTOS TECNICOS"/>
    <s v="HERRERIA"/>
    <m/>
    <x v="4"/>
    <x v="1"/>
  </r>
  <r>
    <x v="8"/>
    <s v="2°4°2VITARDE0"/>
    <n v="0"/>
    <s v="2VIT"/>
    <s v="2VI"/>
    <x v="1"/>
    <s v="2°4°2PLG"/>
    <s v="PRACTICA DEL LENGUAJE"/>
    <m/>
    <m/>
    <x v="4"/>
    <x v="0"/>
  </r>
  <r>
    <x v="8"/>
    <s v="2°4°3JUTARDE0"/>
    <n v="0"/>
    <s v="3JUT"/>
    <s v="3JU"/>
    <x v="1"/>
    <s v="2°4°2PLG"/>
    <s v="PRACTICA DEL LENGUAJE"/>
    <m/>
    <m/>
    <x v="0"/>
    <x v="0"/>
  </r>
  <r>
    <x v="8"/>
    <s v="2°4°3LUTARDE0"/>
    <n v="0"/>
    <s v="3LUT"/>
    <s v="3LU"/>
    <x v="1"/>
    <s v="2°4°2HIS"/>
    <s v="HISTORIA"/>
    <m/>
    <m/>
    <x v="1"/>
    <x v="0"/>
  </r>
  <r>
    <x v="8"/>
    <s v="2°4°3MAMAÑANA242"/>
    <n v="242"/>
    <s v="3MAMHERRERIA"/>
    <s v="3ma"/>
    <x v="0"/>
    <s v="2°4°2422TPT2"/>
    <s v="PROCEDIMIENTOS TECNICOS"/>
    <s v="HERRERIA"/>
    <m/>
    <x v="2"/>
    <x v="1"/>
  </r>
  <r>
    <x v="8"/>
    <s v="2°4°3MATARDE0"/>
    <n v="0"/>
    <s v="3MAT"/>
    <s v="3ma"/>
    <x v="1"/>
    <s v="2°4°2BIO"/>
    <s v="BIOLOGIA"/>
    <m/>
    <m/>
    <x v="2"/>
    <x v="0"/>
  </r>
  <r>
    <x v="8"/>
    <s v="2°4°3MITARDE0"/>
    <n v="0"/>
    <s v="3MIT"/>
    <s v="3MI"/>
    <x v="1"/>
    <s v="2°4°2GEO"/>
    <s v="GEOGRAFIA"/>
    <m/>
    <m/>
    <x v="3"/>
    <x v="0"/>
  </r>
  <r>
    <x v="8"/>
    <s v="2°4°3VIMAÑANA241"/>
    <n v="241"/>
    <s v="3VIMHERRERIA"/>
    <s v="3VI"/>
    <x v="0"/>
    <s v="2°4°2412TPT2"/>
    <s v="PROCEDIMIENTOS TECNICOS"/>
    <s v="HERRERIA"/>
    <m/>
    <x v="4"/>
    <x v="1"/>
  </r>
  <r>
    <x v="8"/>
    <s v="2°4°3VITARDE0"/>
    <n v="0"/>
    <s v="3VIT"/>
    <s v="3VI"/>
    <x v="1"/>
    <s v="2°4°2ING"/>
    <s v="INGLÉS"/>
    <m/>
    <m/>
    <x v="4"/>
    <x v="0"/>
  </r>
  <r>
    <x v="8"/>
    <s v="2°4°4JUTARDE0"/>
    <n v="0"/>
    <s v="4JUT"/>
    <s v="4JU"/>
    <x v="1"/>
    <s v="2°4°2PLG"/>
    <s v="PRACTICA DEL LENGUAJE"/>
    <m/>
    <m/>
    <x v="0"/>
    <x v="0"/>
  </r>
  <r>
    <x v="8"/>
    <s v="2°4°4LUTARDE0"/>
    <n v="0"/>
    <s v="4LUT"/>
    <s v="4LU"/>
    <x v="1"/>
    <s v="2°4°2HIS"/>
    <s v="HISTORIA"/>
    <m/>
    <m/>
    <x v="1"/>
    <x v="0"/>
  </r>
  <r>
    <x v="8"/>
    <s v="2°4°4MAMAÑANA242"/>
    <n v="242"/>
    <s v="4MAMHERRERIA"/>
    <s v="4ma"/>
    <x v="0"/>
    <s v="2°4°2422TPT2"/>
    <s v="PROCEDIMIENTOS TECNICOS"/>
    <s v="HERRERIA"/>
    <m/>
    <x v="2"/>
    <x v="1"/>
  </r>
  <r>
    <x v="8"/>
    <s v="2°4°4MATARDE0"/>
    <n v="0"/>
    <s v="4MAT"/>
    <s v="4ma"/>
    <x v="1"/>
    <s v="2°4°2BIO"/>
    <s v="BIOLOGIA"/>
    <m/>
    <m/>
    <x v="2"/>
    <x v="0"/>
  </r>
  <r>
    <x v="8"/>
    <s v="2°4°4MITARDE0"/>
    <n v="0"/>
    <s v="4MIT"/>
    <s v="4MI"/>
    <x v="1"/>
    <s v="2°4°2GEO"/>
    <s v="GEOGRAFIA"/>
    <m/>
    <m/>
    <x v="3"/>
    <x v="0"/>
  </r>
  <r>
    <x v="8"/>
    <s v="2°4°4VIMAÑANA241"/>
    <n v="241"/>
    <s v="4VIMHERRERIA"/>
    <s v="4VI"/>
    <x v="0"/>
    <s v="2°4°2412TPT2"/>
    <s v="PROCEDIMIENTOS TECNICOS"/>
    <s v="HERRERIA"/>
    <m/>
    <x v="4"/>
    <x v="1"/>
  </r>
  <r>
    <x v="8"/>
    <s v="2°4°4VITARDE0"/>
    <n v="0"/>
    <s v="4VIT"/>
    <s v="4VI"/>
    <x v="1"/>
    <s v="2°4°2ING"/>
    <s v="INGLÉS"/>
    <m/>
    <m/>
    <x v="4"/>
    <x v="0"/>
  </r>
  <r>
    <x v="8"/>
    <s v="2°4°PREHORALUTARDE0"/>
    <n v="0"/>
    <s v="PREHORALUT"/>
    <s v="PREHORALU"/>
    <x v="1"/>
    <s v="2°4°2MAT"/>
    <s v="MATEMATICA"/>
    <m/>
    <m/>
    <x v="1"/>
    <x v="0"/>
  </r>
  <r>
    <x v="8"/>
    <s v="2°4°PREHORAMATARDE0"/>
    <n v="0"/>
    <s v="PREHORAMAT"/>
    <s v="PREHORAMA"/>
    <x v="1"/>
    <s v="2°4°2MAT"/>
    <s v="MATEMATICA"/>
    <m/>
    <m/>
    <x v="2"/>
    <x v="0"/>
  </r>
  <r>
    <x v="9"/>
    <s v="2°5°1JUMAÑANA0"/>
    <n v="0"/>
    <s v="1JUM"/>
    <s v="1JU"/>
    <x v="0"/>
    <s v="2°5°2FI/QUI"/>
    <s v="FISICO-QUIMICA"/>
    <m/>
    <m/>
    <x v="0"/>
    <x v="0"/>
  </r>
  <r>
    <x v="9"/>
    <s v="2°5°1LUMAÑANA0"/>
    <n v="0"/>
    <s v="1LUM"/>
    <s v="1LU"/>
    <x v="0"/>
    <s v="2°5°2HIS"/>
    <s v="HISTORIA"/>
    <m/>
    <m/>
    <x v="1"/>
    <x v="0"/>
  </r>
  <r>
    <x v="9"/>
    <s v="2°5°1MAMAÑANA0"/>
    <n v="0"/>
    <s v="1MAM"/>
    <s v="1MA"/>
    <x v="0"/>
    <s v="2°5°2ART"/>
    <s v="EDUCACION ARTISTICA (PLASTICA)"/>
    <m/>
    <m/>
    <x v="2"/>
    <x v="0"/>
  </r>
  <r>
    <x v="9"/>
    <s v="2°5°1MIMAÑANA0"/>
    <n v="0"/>
    <s v="1MIM"/>
    <s v="1MI"/>
    <x v="0"/>
    <s v="2°5°2MAT"/>
    <s v="MATEMATICA"/>
    <m/>
    <m/>
    <x v="3"/>
    <x v="0"/>
  </r>
  <r>
    <x v="9"/>
    <s v="2°5°3VIMAÑANA0"/>
    <n v="0"/>
    <s v="3VIM"/>
    <s v="3VI"/>
    <x v="0"/>
    <s v="2°5°2BIO"/>
    <s v="BIOLOGIA"/>
    <m/>
    <m/>
    <x v="4"/>
    <x v="0"/>
  </r>
  <r>
    <x v="9"/>
    <s v="2°5°1viTARDE252"/>
    <n v="252"/>
    <s v="1viT12"/>
    <s v="1VI"/>
    <x v="1"/>
    <s v="2°5°2522TLT2"/>
    <s v="LENGUAJES TECNOLOGICOS"/>
    <n v="12"/>
    <m/>
    <x v="4"/>
    <x v="0"/>
  </r>
  <r>
    <x v="9"/>
    <s v="2°5°2JUMAÑANA0"/>
    <n v="0"/>
    <s v="2JUM"/>
    <s v="2JU"/>
    <x v="0"/>
    <s v="2°5°2FI/QUI"/>
    <s v="FISICO-QUIMICA"/>
    <m/>
    <m/>
    <x v="0"/>
    <x v="0"/>
  </r>
  <r>
    <x v="9"/>
    <s v="2°5°2LUMAÑANA0"/>
    <n v="0"/>
    <s v="2LUM"/>
    <s v="2LU"/>
    <x v="0"/>
    <s v="2°5°2HIS"/>
    <s v="HISTORIA"/>
    <m/>
    <m/>
    <x v="1"/>
    <x v="0"/>
  </r>
  <r>
    <x v="9"/>
    <s v="2°5°2MAMAÑANA0"/>
    <n v="0"/>
    <s v="2MAM"/>
    <s v="2MA"/>
    <x v="0"/>
    <s v="2°5°2ART"/>
    <s v="EDUCACION ARTISTICA (PLASTICA)"/>
    <m/>
    <m/>
    <x v="2"/>
    <x v="0"/>
  </r>
  <r>
    <x v="9"/>
    <s v="2°5°2MIMAÑANA0"/>
    <n v="0"/>
    <s v="2MIM"/>
    <s v="2MI"/>
    <x v="0"/>
    <s v="2°5°2MAT"/>
    <s v="MATEMATICA"/>
    <m/>
    <m/>
    <x v="3"/>
    <x v="0"/>
  </r>
  <r>
    <x v="9"/>
    <s v="2°5°4VIMAÑANA0"/>
    <n v="0"/>
    <s v="4VIM"/>
    <s v="4VI"/>
    <x v="0"/>
    <s v="2°5°2BIO"/>
    <s v="BIOLOGIA"/>
    <m/>
    <m/>
    <x v="4"/>
    <x v="0"/>
  </r>
  <r>
    <x v="9"/>
    <s v="2°5°2viTARDE252"/>
    <n v="252"/>
    <s v="2viT12"/>
    <s v="2VI"/>
    <x v="1"/>
    <s v="2°5°2522TLT2"/>
    <s v="LENGUAJES TECNOLOGICOS"/>
    <n v="12"/>
    <m/>
    <x v="4"/>
    <x v="0"/>
  </r>
  <r>
    <x v="9"/>
    <s v="2°5°3JUMAÑANA0"/>
    <n v="0"/>
    <s v="3JUM"/>
    <s v="3JU"/>
    <x v="0"/>
    <s v="2°5°2PLG"/>
    <s v="PRACTICA DEL LENGUAJE"/>
    <m/>
    <m/>
    <x v="0"/>
    <x v="0"/>
  </r>
  <r>
    <x v="9"/>
    <s v="2°5°3JUTARDE0"/>
    <n v="0"/>
    <s v="3JUTPATIO"/>
    <s v="3JU"/>
    <x v="1"/>
    <s v="2°5°2EFI"/>
    <s v="EDUCACIÓN FISICA"/>
    <s v="PATIO"/>
    <m/>
    <x v="0"/>
    <x v="0"/>
  </r>
  <r>
    <x v="9"/>
    <s v="2°5°3LUMAÑANA0"/>
    <n v="0"/>
    <s v="3LUM"/>
    <s v="3LU"/>
    <x v="0"/>
    <s v="2°5°2PLG"/>
    <s v="PRACTICA DEL LENGUAJE"/>
    <m/>
    <m/>
    <x v="1"/>
    <x v="0"/>
  </r>
  <r>
    <x v="9"/>
    <s v="2°5°3MIMAÑANA0"/>
    <n v="0"/>
    <s v="3MIM"/>
    <s v="3MI"/>
    <x v="0"/>
    <s v="2°5°2GEO"/>
    <s v="GEOGRAFIA"/>
    <m/>
    <m/>
    <x v="3"/>
    <x v="0"/>
  </r>
  <r>
    <x v="9"/>
    <s v="2°5°1VIMAÑANA0"/>
    <n v="0"/>
    <s v="1VIM"/>
    <s v="1VI"/>
    <x v="0"/>
    <s v="2°5°2MAT"/>
    <s v="MATEMATICA"/>
    <m/>
    <m/>
    <x v="4"/>
    <x v="0"/>
  </r>
  <r>
    <x v="9"/>
    <s v="2°5°4JUMAÑANA0"/>
    <n v="0"/>
    <s v="4JUM"/>
    <s v="4JU"/>
    <x v="0"/>
    <s v="2°5°2PLG"/>
    <s v="PRACTICA DEL LENGUAJE"/>
    <m/>
    <m/>
    <x v="0"/>
    <x v="0"/>
  </r>
  <r>
    <x v="9"/>
    <s v="2°5°4JUTARDE0"/>
    <n v="0"/>
    <s v="4JUTPATIO"/>
    <s v="4JU"/>
    <x v="1"/>
    <s v="2°5°2EFI"/>
    <s v="EDUCACIÓN FISICA"/>
    <s v="PATIO"/>
    <m/>
    <x v="0"/>
    <x v="0"/>
  </r>
  <r>
    <x v="9"/>
    <s v="2°5°4LUMAÑANA0"/>
    <n v="0"/>
    <s v="4LUM"/>
    <s v="4LU"/>
    <x v="0"/>
    <s v="2°5°2PLG"/>
    <s v="PRACTICA DEL LENGUAJE"/>
    <m/>
    <m/>
    <x v="1"/>
    <x v="0"/>
  </r>
  <r>
    <x v="9"/>
    <s v="2°5°4MIMAÑANA0"/>
    <n v="0"/>
    <s v="4MIM"/>
    <s v="4MI"/>
    <x v="0"/>
    <s v="2°5°2GEO"/>
    <s v="GEOGRAFIA"/>
    <m/>
    <m/>
    <x v="3"/>
    <x v="0"/>
  </r>
  <r>
    <x v="9"/>
    <s v="2°5°2VIMAÑANA0"/>
    <n v="0"/>
    <s v="2VIM"/>
    <s v="2VI"/>
    <x v="0"/>
    <s v="2°5°2MAT"/>
    <s v="MATEMATICA"/>
    <m/>
    <m/>
    <x v="4"/>
    <x v="0"/>
  </r>
  <r>
    <x v="9"/>
    <s v="2°5°5MAMAÑANA0"/>
    <n v="0"/>
    <s v="5MAM"/>
    <s v="5MA"/>
    <x v="0"/>
    <s v="2°5°2ING"/>
    <s v="INGLÉS"/>
    <m/>
    <m/>
    <x v="2"/>
    <x v="0"/>
  </r>
  <r>
    <x v="9"/>
    <s v="2°5°5VIMAÑANA0"/>
    <n v="0"/>
    <s v="5VIM"/>
    <s v="5VI"/>
    <x v="0"/>
    <s v="2°5°2ING"/>
    <s v="INGLÉS"/>
    <m/>
    <m/>
    <x v="4"/>
    <x v="0"/>
  </r>
  <r>
    <x v="10"/>
    <s v="3°1°1JUMAÑANA0"/>
    <n v="0"/>
    <s v="1JUM"/>
    <s v="1JU"/>
    <x v="0"/>
    <s v="3°1°3PLG"/>
    <s v="PRACTICA DEL LENGUAJE"/>
    <m/>
    <m/>
    <x v="0"/>
    <x v="0"/>
  </r>
  <r>
    <x v="10"/>
    <s v="3°1°1MATARDE311"/>
    <n v="311"/>
    <s v="1MATcarpinteria"/>
    <s v="1MA"/>
    <x v="1"/>
    <s v="3°1°3113TPT3"/>
    <s v="PROCEDIMIENTOS TECNICOS"/>
    <s v="CARPINTERIA"/>
    <m/>
    <x v="2"/>
    <x v="1"/>
  </r>
  <r>
    <x v="10"/>
    <s v="3°1°1JUTARDE312"/>
    <n v="312"/>
    <s v="1JUT45"/>
    <s v="1JU"/>
    <x v="1"/>
    <s v="3°1°3123TST3"/>
    <s v="SISTEMAS TECNOLOGICOS"/>
    <n v="45"/>
    <m/>
    <x v="0"/>
    <x v="1"/>
  </r>
  <r>
    <x v="10"/>
    <s v="3°1°1LUMAÑANA0"/>
    <n v="0"/>
    <s v="1LUM"/>
    <s v="1LU"/>
    <x v="0"/>
    <s v="3°1°3ING"/>
    <s v="INGLÉS"/>
    <m/>
    <m/>
    <x v="1"/>
    <x v="0"/>
  </r>
  <r>
    <x v="10"/>
    <s v="3°1°1LUTARDE311"/>
    <n v="311"/>
    <s v="1LUT46"/>
    <s v="1LU"/>
    <x v="1"/>
    <s v="3°1°3113TST3"/>
    <s v="SISTEMAS TECNOLOGICOS"/>
    <n v="46"/>
    <m/>
    <x v="1"/>
    <x v="1"/>
  </r>
  <r>
    <x v="10"/>
    <s v="3°1°1MAMAÑANA0"/>
    <n v="0"/>
    <s v="1MAM"/>
    <s v="1MA"/>
    <x v="0"/>
    <s v="3°1°3HIS"/>
    <s v="HISTORIA"/>
    <m/>
    <m/>
    <x v="2"/>
    <x v="0"/>
  </r>
  <r>
    <x v="10"/>
    <s v="3°1°1MATARDE312"/>
    <n v="312"/>
    <s v="1MATHERRERIA"/>
    <s v="1MA"/>
    <x v="1"/>
    <s v="3°1°3123TPT3"/>
    <s v="PROCEDIMIENTOS TECNICOS"/>
    <s v="HERRERIA"/>
    <m/>
    <x v="2"/>
    <x v="1"/>
  </r>
  <r>
    <x v="10"/>
    <s v="3°1°1MIMAÑANA0"/>
    <n v="0"/>
    <s v="1MIM"/>
    <s v="1MI"/>
    <x v="0"/>
    <s v="3°1°3GEO"/>
    <s v="GEOGRAFIA"/>
    <m/>
    <m/>
    <x v="3"/>
    <x v="0"/>
  </r>
  <r>
    <x v="10"/>
    <s v="3°1°1MITARDE312"/>
    <n v="312"/>
    <s v="1MITAULA 4"/>
    <s v="1MI"/>
    <x v="1"/>
    <s v="3°1°3123TLT3"/>
    <s v="LENGUAJES TECNOLOGICOS"/>
    <s v="aula 4"/>
    <m/>
    <x v="3"/>
    <x v="1"/>
  </r>
  <r>
    <x v="10"/>
    <s v="3°1°1VIMAÑANA0"/>
    <n v="0"/>
    <s v="1VIM"/>
    <s v="1VI"/>
    <x v="0"/>
    <s v="3°1°3ART"/>
    <s v="EDUCACION ARTISTICA (PLASTICA)"/>
    <m/>
    <m/>
    <x v="4"/>
    <x v="0"/>
  </r>
  <r>
    <x v="10"/>
    <s v="3°1°2JUMAÑANA0"/>
    <n v="0"/>
    <s v="2JUM"/>
    <s v="2JU"/>
    <x v="0"/>
    <s v="3°1°3PLG"/>
    <s v="PRACTICA DEL LENGUAJE"/>
    <m/>
    <m/>
    <x v="0"/>
    <x v="0"/>
  </r>
  <r>
    <x v="10"/>
    <s v="3°1°2MATARDE311"/>
    <n v="311"/>
    <s v="2MATcarpinteria"/>
    <s v="2MA"/>
    <x v="1"/>
    <s v="3°1°3113TPT3"/>
    <s v="PROCEDIMIENTOS TECNICOS"/>
    <s v="CARPINTERIA"/>
    <m/>
    <x v="2"/>
    <x v="1"/>
  </r>
  <r>
    <x v="10"/>
    <s v="3°1°2JUTARDE312"/>
    <n v="312"/>
    <s v="2JUT45"/>
    <s v="2JU"/>
    <x v="1"/>
    <s v="3°1°3123TST3"/>
    <s v="SISTEMAS TECNOLOGICOS"/>
    <n v="45"/>
    <m/>
    <x v="0"/>
    <x v="1"/>
  </r>
  <r>
    <x v="10"/>
    <s v="3°1°2LUMAÑANA0"/>
    <n v="0"/>
    <s v="2LUM"/>
    <s v="2LU"/>
    <x v="0"/>
    <s v="3°1°3ING"/>
    <s v="INGLÉS"/>
    <m/>
    <m/>
    <x v="1"/>
    <x v="0"/>
  </r>
  <r>
    <x v="10"/>
    <s v="3°1°2LUTARDE311"/>
    <n v="311"/>
    <s v="2LUT46"/>
    <s v="2LU"/>
    <x v="1"/>
    <s v="3°1°3113TST3"/>
    <s v="SISTEMAS TECNOLOGICOS"/>
    <n v="46"/>
    <m/>
    <x v="1"/>
    <x v="1"/>
  </r>
  <r>
    <x v="10"/>
    <s v="3°1°2MAMAÑANA0"/>
    <n v="0"/>
    <s v="2MAM"/>
    <s v="2MA"/>
    <x v="0"/>
    <s v="3°1°3HIS"/>
    <s v="HISTORIA"/>
    <m/>
    <m/>
    <x v="2"/>
    <x v="0"/>
  </r>
  <r>
    <x v="10"/>
    <s v="3°1°2MATARDE312"/>
    <n v="312"/>
    <s v="2MATHERRERIA"/>
    <s v="2MA"/>
    <x v="1"/>
    <s v="3°1°3123TPT3"/>
    <s v="PROCEDIMIENTOS TECNICOS"/>
    <s v="HERRERIA"/>
    <m/>
    <x v="2"/>
    <x v="1"/>
  </r>
  <r>
    <x v="10"/>
    <s v="3°1°2MIMAÑANA0"/>
    <n v="0"/>
    <s v="2MIM"/>
    <s v="2MI"/>
    <x v="0"/>
    <s v="3°1°3GEO"/>
    <s v="GEOGRAFIA"/>
    <m/>
    <m/>
    <x v="3"/>
    <x v="0"/>
  </r>
  <r>
    <x v="10"/>
    <s v="3°1°2MITARDE312"/>
    <n v="312"/>
    <s v="2MITAULA 4"/>
    <s v="2MI"/>
    <x v="1"/>
    <s v="3°1°3123TLT3"/>
    <s v="LENGUAJES TECNOLOGICOS"/>
    <s v="aula 4"/>
    <m/>
    <x v="3"/>
    <x v="1"/>
  </r>
  <r>
    <x v="10"/>
    <s v="3°1°2VIMAÑANA0"/>
    <n v="0"/>
    <s v="2VIM"/>
    <s v="2VI"/>
    <x v="0"/>
    <s v="3°1°3ART"/>
    <s v="EDUCACION ARTISTICA (PLASTICA)"/>
    <m/>
    <m/>
    <x v="4"/>
    <x v="0"/>
  </r>
  <r>
    <x v="10"/>
    <s v="3°1°3JUMAÑANA0"/>
    <n v="0"/>
    <s v="3JUM"/>
    <s v="3JU"/>
    <x v="0"/>
    <s v="3°1°3MAT"/>
    <s v="MATEMATICA"/>
    <m/>
    <m/>
    <x v="0"/>
    <x v="0"/>
  </r>
  <r>
    <x v="10"/>
    <s v="3°1°3JUTARDE312"/>
    <n v="312"/>
    <s v="3JUT45"/>
    <s v="3JU"/>
    <x v="1"/>
    <s v="3°1°3123TST3"/>
    <s v="SISTEMAS TECNOLOGICOS"/>
    <n v="45"/>
    <m/>
    <x v="0"/>
    <x v="1"/>
  </r>
  <r>
    <x v="10"/>
    <s v="3°1°3LUMAÑANA0"/>
    <n v="0"/>
    <s v="3LUM"/>
    <s v="3LU"/>
    <x v="0"/>
    <s v="3°1°3FI/QUI"/>
    <s v="FISICO-QUIMICA"/>
    <m/>
    <m/>
    <x v="1"/>
    <x v="0"/>
  </r>
  <r>
    <x v="10"/>
    <s v="3°1°3LUTARDE311"/>
    <n v="311"/>
    <s v="3LUT46"/>
    <s v="3LU"/>
    <x v="1"/>
    <s v="3°1°3113TST3"/>
    <s v="SISTEMAS TECNOLOGICOS"/>
    <n v="46"/>
    <m/>
    <x v="1"/>
    <x v="1"/>
  </r>
  <r>
    <x v="10"/>
    <s v="3°1°3MAMAÑANA0"/>
    <n v="0"/>
    <s v="3MAM"/>
    <s v="3ma"/>
    <x v="0"/>
    <s v="3°1°3BIO"/>
    <s v="BIOLOGIA"/>
    <m/>
    <m/>
    <x v="2"/>
    <x v="0"/>
  </r>
  <r>
    <x v="10"/>
    <s v="3°1°3MIMAÑANA0"/>
    <n v="0"/>
    <s v="3MIM"/>
    <s v="3MI"/>
    <x v="0"/>
    <s v="3°1°3MAT"/>
    <s v="MATEMATICA"/>
    <m/>
    <m/>
    <x v="3"/>
    <x v="0"/>
  </r>
  <r>
    <x v="10"/>
    <s v="3°1°3MITARDE311"/>
    <n v="311"/>
    <s v="3MITAULA 4"/>
    <s v="3MI"/>
    <x v="1"/>
    <s v="3°1°3113TLT3"/>
    <s v="LENGUAJES TECNOLOGICOS"/>
    <s v="aula 4"/>
    <m/>
    <x v="3"/>
    <x v="1"/>
  </r>
  <r>
    <x v="10"/>
    <s v="3°1°3VIMAÑANA0"/>
    <n v="0"/>
    <s v="3VIM"/>
    <s v="3VI"/>
    <x v="0"/>
    <s v="3°1°3PLG"/>
    <s v="PRACTICA DEL LENGUAJE"/>
    <m/>
    <m/>
    <x v="4"/>
    <x v="0"/>
  </r>
  <r>
    <x v="10"/>
    <s v="3°1°4JUMAÑANA0"/>
    <n v="0"/>
    <s v="4JUM"/>
    <s v="4JU"/>
    <x v="0"/>
    <s v="3°1°3MAT"/>
    <s v="MATEMATICA"/>
    <m/>
    <m/>
    <x v="0"/>
    <x v="0"/>
  </r>
  <r>
    <x v="10"/>
    <s v="3°1°4JUTARDE312"/>
    <n v="312"/>
    <s v="4JUT45"/>
    <s v="4JU"/>
    <x v="1"/>
    <s v="3°1°3123TST3"/>
    <s v="SISTEMAS TECNOLOGICOS"/>
    <n v="45"/>
    <m/>
    <x v="0"/>
    <x v="1"/>
  </r>
  <r>
    <x v="10"/>
    <s v="3°1°4LUMAÑANA0"/>
    <n v="0"/>
    <s v="4LUM"/>
    <s v="4LU"/>
    <x v="0"/>
    <s v="3°1°3FI/QUI"/>
    <s v="FISICO-QUIMICA"/>
    <m/>
    <m/>
    <x v="1"/>
    <x v="0"/>
  </r>
  <r>
    <x v="10"/>
    <s v="3°1°4LUTARDE311"/>
    <n v="311"/>
    <s v="4LUT46"/>
    <s v="4LU"/>
    <x v="1"/>
    <s v="3°1°3113TST3"/>
    <s v="SISTEMAS TECNOLOGICOS"/>
    <n v="46"/>
    <m/>
    <x v="1"/>
    <x v="1"/>
  </r>
  <r>
    <x v="10"/>
    <s v="3°1°4MAMAÑANA0"/>
    <n v="0"/>
    <s v="4MAM"/>
    <s v="4ma"/>
    <x v="0"/>
    <s v="3°1°3BIO"/>
    <s v="BIOLOGIA"/>
    <m/>
    <m/>
    <x v="2"/>
    <x v="0"/>
  </r>
  <r>
    <x v="10"/>
    <s v="3°1°4MIMAÑANA0"/>
    <n v="0"/>
    <s v="4MIM"/>
    <s v="4MI"/>
    <x v="0"/>
    <s v="3°1°3MAT"/>
    <s v="MATEMATICA"/>
    <m/>
    <m/>
    <x v="3"/>
    <x v="0"/>
  </r>
  <r>
    <x v="10"/>
    <s v="3°1°4MITARDE311"/>
    <n v="311"/>
    <s v="4MITAULA 4"/>
    <s v="4MI"/>
    <x v="1"/>
    <s v="3°1°3113TLT3"/>
    <s v="LENGUAJES TECNOLOGICOS"/>
    <s v="aula 4"/>
    <m/>
    <x v="3"/>
    <x v="1"/>
  </r>
  <r>
    <x v="10"/>
    <s v="3°1°4VIMAÑANA0"/>
    <n v="0"/>
    <s v="4VIM"/>
    <s v="4VI"/>
    <x v="0"/>
    <s v="3°1°3PLG"/>
    <s v="PRACTICA DEL LENGUAJE"/>
    <m/>
    <m/>
    <x v="4"/>
    <x v="0"/>
  </r>
  <r>
    <x v="10"/>
    <s v="3°1°5LUMAÑANA0"/>
    <n v="0"/>
    <s v="5LUMPATIO"/>
    <s v="5LU"/>
    <x v="0"/>
    <s v="3°1°3EFI"/>
    <s v="EDUCACIÓN FISICA"/>
    <s v="PATIO"/>
    <m/>
    <x v="1"/>
    <x v="0"/>
  </r>
  <r>
    <x v="10"/>
    <s v="3°1°5MAMAÑANA0"/>
    <n v="0"/>
    <s v="5MAM"/>
    <s v="5MA"/>
    <x v="0"/>
    <s v="3°1°3CCD"/>
    <s v="CONSTRUCCION DE LA CIUDADANIA"/>
    <m/>
    <m/>
    <x v="2"/>
    <x v="0"/>
  </r>
  <r>
    <x v="10"/>
    <s v="3°1°5MIMAÑANA0"/>
    <n v="0"/>
    <s v="5MIMPATIO2"/>
    <s v="5MI"/>
    <x v="0"/>
    <s v="3°1°3EFI"/>
    <s v="EDUCACIÓN FISICA"/>
    <s v="PATIO2"/>
    <m/>
    <x v="3"/>
    <x v="0"/>
  </r>
  <r>
    <x v="10"/>
    <s v="3°1°5VIMAÑANA0"/>
    <n v="0"/>
    <s v="5VIM"/>
    <s v="5VI"/>
    <x v="0"/>
    <s v="3°1°3CCD"/>
    <s v="CONSTRUCCION DE LA CIUDADANIA"/>
    <m/>
    <m/>
    <x v="4"/>
    <x v="0"/>
  </r>
  <r>
    <x v="11"/>
    <s v="3°2°1JUTARDE0"/>
    <n v="0"/>
    <s v="1JUT"/>
    <s v="1JU"/>
    <x v="1"/>
    <s v="3°2°3PLG"/>
    <s v="PRACTICA DEL LENGUAJE"/>
    <m/>
    <m/>
    <x v="0"/>
    <x v="0"/>
  </r>
  <r>
    <x v="11"/>
    <s v="3°2°1JUVESPERTINO322"/>
    <n v="322"/>
    <s v="1JUVcarpinteria"/>
    <s v="1JU"/>
    <x v="2"/>
    <s v="3°2°3223TST3"/>
    <s v="SISTEMAS TECNOLOGICOS"/>
    <s v="CARPINTERIA"/>
    <m/>
    <x v="0"/>
    <x v="1"/>
  </r>
  <r>
    <x v="11"/>
    <s v="3°2°1LUTARDE0"/>
    <n v="0"/>
    <s v="1LUT"/>
    <s v="1LU"/>
    <x v="1"/>
    <s v="3°2°3MAT"/>
    <s v="MATEMATICA"/>
    <m/>
    <m/>
    <x v="1"/>
    <x v="0"/>
  </r>
  <r>
    <x v="11"/>
    <s v="3°2°1MAMAÑANA322"/>
    <n v="322"/>
    <s v="1MAMaula 4"/>
    <s v="1MA"/>
    <x v="0"/>
    <s v="3°2°3223TLT3"/>
    <s v="LENGUAJES TECNOLOGICOS"/>
    <s v="aula 4"/>
    <m/>
    <x v="2"/>
    <x v="1"/>
  </r>
  <r>
    <x v="11"/>
    <s v="3°2°1MATARDE0"/>
    <n v="0"/>
    <s v="1MAT"/>
    <s v="1MA"/>
    <x v="1"/>
    <s v="3°2°3GEO"/>
    <s v="GEOGRAFIA"/>
    <m/>
    <m/>
    <x v="2"/>
    <x v="0"/>
  </r>
  <r>
    <x v="11"/>
    <s v="3°2°3MAMAÑANA0"/>
    <n v="0"/>
    <s v="3MAMPATIO2"/>
    <s v="3ma"/>
    <x v="0"/>
    <s v="3°2°3EFI"/>
    <s v="EDUCACIÓN FISICA"/>
    <s v="PATIO2"/>
    <m/>
    <x v="2"/>
    <x v="1"/>
  </r>
  <r>
    <x v="11"/>
    <s v="3°2°1MITARDE0"/>
    <n v="0"/>
    <s v="1MIT"/>
    <s v="1MI"/>
    <x v="1"/>
    <s v="3°2°3MAT"/>
    <s v="MATEMATICA"/>
    <m/>
    <m/>
    <x v="3"/>
    <x v="0"/>
  </r>
  <r>
    <x v="11"/>
    <s v="3°2°1VIMAÑANA321"/>
    <n v="321"/>
    <s v="1VIMAULA 2"/>
    <s v="1VI"/>
    <x v="0"/>
    <s v="3°2°3213TLT3"/>
    <s v="LENGUAJES TECNOLOGICOS"/>
    <s v="aula 2"/>
    <m/>
    <x v="4"/>
    <x v="1"/>
  </r>
  <r>
    <x v="11"/>
    <s v="3°2°1VIMAÑANA322"/>
    <n v="322"/>
    <s v="1VIMCARPINTERIA"/>
    <s v="1VI"/>
    <x v="0"/>
    <s v="3°2°3223TPT3"/>
    <s v="PROCEDIMIENTOS TECNICOS"/>
    <s v="CARPINTERIA"/>
    <m/>
    <x v="4"/>
    <x v="1"/>
  </r>
  <r>
    <x v="11"/>
    <s v="3°2°1VITARDE0"/>
    <n v="0"/>
    <s v="1VIT"/>
    <s v="1VI"/>
    <x v="1"/>
    <s v="3°2°3PLG"/>
    <s v="PRACTICA DEL LENGUAJE"/>
    <m/>
    <m/>
    <x v="4"/>
    <x v="0"/>
  </r>
  <r>
    <x v="11"/>
    <s v="3°2°2JUTARDE0"/>
    <n v="0"/>
    <s v="2JUT"/>
    <s v="2JU"/>
    <x v="1"/>
    <s v="3°2°3PLG"/>
    <s v="PRACTICA DEL LENGUAJE"/>
    <m/>
    <m/>
    <x v="0"/>
    <x v="0"/>
  </r>
  <r>
    <x v="11"/>
    <s v="3°2°2JUVESPERTINO322"/>
    <n v="322"/>
    <s v="2JUVcarpinteria"/>
    <s v="2JU"/>
    <x v="2"/>
    <s v="3°2°3223TST3"/>
    <s v="SISTEMAS TECNOLOGICOS"/>
    <s v="CARPINTERIA"/>
    <m/>
    <x v="0"/>
    <x v="1"/>
  </r>
  <r>
    <x v="11"/>
    <s v="3°2°2LUTARDE0"/>
    <n v="0"/>
    <s v="2LUT"/>
    <s v="2LU"/>
    <x v="1"/>
    <s v="3°2°3MAT"/>
    <s v="MATEMATICA"/>
    <m/>
    <m/>
    <x v="1"/>
    <x v="0"/>
  </r>
  <r>
    <x v="11"/>
    <s v="3°2°2MAMAÑANA322"/>
    <n v="322"/>
    <s v="2MAMaula 4"/>
    <s v="2MA"/>
    <x v="0"/>
    <s v="3°2°3223TLT3"/>
    <s v="LENGUAJES TECNOLOGICOS"/>
    <s v="aula 4"/>
    <m/>
    <x v="2"/>
    <x v="1"/>
  </r>
  <r>
    <x v="11"/>
    <s v="3°2°2MATARDE0"/>
    <n v="0"/>
    <s v="2MAT"/>
    <s v="2MA"/>
    <x v="1"/>
    <s v="3°2°3GEO"/>
    <s v="GEOGRAFIA"/>
    <m/>
    <m/>
    <x v="2"/>
    <x v="0"/>
  </r>
  <r>
    <x v="11"/>
    <s v="3°2°4MAMAÑANA0"/>
    <n v="0"/>
    <s v="4MAMPATIO2"/>
    <s v="4ma"/>
    <x v="0"/>
    <s v="3°2°3EFI"/>
    <s v="EDUCACIÓN FISICA"/>
    <s v="PATIO2"/>
    <m/>
    <x v="2"/>
    <x v="1"/>
  </r>
  <r>
    <x v="11"/>
    <s v="3°2°2MITARDE0"/>
    <n v="0"/>
    <s v="2MIT"/>
    <s v="2MI"/>
    <x v="1"/>
    <s v="3°2°3MAT"/>
    <s v="MATEMATICA"/>
    <m/>
    <m/>
    <x v="3"/>
    <x v="0"/>
  </r>
  <r>
    <x v="11"/>
    <s v="3°2°2VIMAÑANA321"/>
    <n v="321"/>
    <s v="2VIMAULA 2"/>
    <s v="2VI"/>
    <x v="0"/>
    <s v="3°2°3213TLT3"/>
    <s v="LENGUAJES TECNOLOGICOS"/>
    <s v="aula 2"/>
    <m/>
    <x v="4"/>
    <x v="1"/>
  </r>
  <r>
    <x v="11"/>
    <s v="3°2°2VIMAÑANA322"/>
    <n v="322"/>
    <s v="2VIMCARPINTERIA"/>
    <s v="2VI"/>
    <x v="0"/>
    <s v="3°2°3223TPT3"/>
    <s v="PROCEDIMIENTOS TECNICOS"/>
    <s v="CARPINTERIA"/>
    <m/>
    <x v="4"/>
    <x v="1"/>
  </r>
  <r>
    <x v="11"/>
    <s v="3°2°2VITARDE0"/>
    <n v="0"/>
    <s v="2VIT"/>
    <s v="2VI"/>
    <x v="1"/>
    <s v="3°2°3PLG"/>
    <s v="PRACTICA DEL LENGUAJE"/>
    <m/>
    <m/>
    <x v="4"/>
    <x v="0"/>
  </r>
  <r>
    <x v="11"/>
    <s v="3°2°1MIMAÑANA321"/>
    <n v="321"/>
    <s v="1MIMaula 1"/>
    <s v="1MI"/>
    <x v="0"/>
    <s v="3°2°3213TST3"/>
    <s v="SISTEMAS TECNOLOGICOS"/>
    <s v="aula 1"/>
    <m/>
    <x v="3"/>
    <x v="1"/>
  </r>
  <r>
    <x v="11"/>
    <s v="3°2°3JUTARDE0"/>
    <n v="0"/>
    <s v="3JUT"/>
    <s v="3JU"/>
    <x v="1"/>
    <s v="3°2°3ART"/>
    <s v="EDUCACION ARTISTICA (PLASTICA)"/>
    <m/>
    <m/>
    <x v="0"/>
    <x v="0"/>
  </r>
  <r>
    <x v="11"/>
    <s v="3°2°3JUVESPERTINO322"/>
    <n v="322"/>
    <s v="3JUVcarpinteria"/>
    <s v="3JU"/>
    <x v="2"/>
    <s v="3°2°3223TST3"/>
    <s v="SISTEMAS TECNOLOGICOS"/>
    <s v="CARPINTERIA"/>
    <m/>
    <x v="0"/>
    <x v="1"/>
  </r>
  <r>
    <x v="11"/>
    <s v="3°2°3LUMAÑANA321"/>
    <n v="321"/>
    <s v="3LUMHERRERIA"/>
    <s v="3LU"/>
    <x v="0"/>
    <s v="3°2°3213TPT3"/>
    <s v="PROCEDIMIENTOS TECNICOS"/>
    <s v="HERRERIA"/>
    <m/>
    <x v="1"/>
    <x v="1"/>
  </r>
  <r>
    <x v="11"/>
    <s v="3°2°3LUTARDE0"/>
    <n v="0"/>
    <s v="3LUT"/>
    <s v="3LU"/>
    <x v="1"/>
    <s v="3°2°3FI/QUI"/>
    <s v="FISICO-QUIMICA"/>
    <m/>
    <m/>
    <x v="1"/>
    <x v="0"/>
  </r>
  <r>
    <x v="11"/>
    <s v="3°2°3MATARDE0"/>
    <n v="0"/>
    <s v="3MAT"/>
    <s v="3ma"/>
    <x v="1"/>
    <s v="3°2°3CCD"/>
    <s v="CONSTRUCCION DE LA CIUDADANIA"/>
    <m/>
    <m/>
    <x v="2"/>
    <x v="0"/>
  </r>
  <r>
    <x v="11"/>
    <s v="3°2°2MIMAÑANA321"/>
    <n v="321"/>
    <s v="2MIMaula 1"/>
    <s v="2MI"/>
    <x v="0"/>
    <s v="3°2°3213TST3"/>
    <s v="SISTEMAS TECNOLOGICOS"/>
    <s v="aula 1"/>
    <m/>
    <x v="3"/>
    <x v="1"/>
  </r>
  <r>
    <x v="11"/>
    <s v="3°2°3MITARDE0"/>
    <n v="0"/>
    <s v="3MIT"/>
    <s v="3MI"/>
    <x v="1"/>
    <s v="3°2°3HIS"/>
    <s v="HISTORIA"/>
    <m/>
    <m/>
    <x v="3"/>
    <x v="0"/>
  </r>
  <r>
    <x v="11"/>
    <s v="3°2°3VITARDE0"/>
    <n v="0"/>
    <s v="3VIT"/>
    <s v="3VI"/>
    <x v="1"/>
    <s v="3°2°3BIO"/>
    <s v="BIOLOGIA"/>
    <m/>
    <m/>
    <x v="4"/>
    <x v="0"/>
  </r>
  <r>
    <x v="11"/>
    <s v="3°2°3MIMAÑANA321"/>
    <n v="321"/>
    <s v="3MIMaula 1"/>
    <s v="3MI"/>
    <x v="0"/>
    <s v="3°2°3213TST3"/>
    <s v="SISTEMAS TECNOLOGICOS"/>
    <s v="aula 1"/>
    <m/>
    <x v="3"/>
    <x v="1"/>
  </r>
  <r>
    <x v="11"/>
    <s v="3°2°4JUTARDE0"/>
    <n v="0"/>
    <s v="4JUT"/>
    <s v="4JU"/>
    <x v="1"/>
    <s v="3°2°3ART"/>
    <s v="EDUCACION ARTISTICA (PLASTICA)"/>
    <m/>
    <m/>
    <x v="0"/>
    <x v="0"/>
  </r>
  <r>
    <x v="11"/>
    <s v="3°2°4JUVESPERTINO322"/>
    <n v="322"/>
    <s v="4JUVcarpinteria"/>
    <s v="4JU"/>
    <x v="2"/>
    <s v="3°2°3223TST3"/>
    <s v="SISTEMAS TECNOLOGICOS"/>
    <s v="CARPINTERIA"/>
    <m/>
    <x v="0"/>
    <x v="1"/>
  </r>
  <r>
    <x v="11"/>
    <s v="3°2°4LUMAÑANA321"/>
    <n v="321"/>
    <s v="4LUMHERRERIA"/>
    <s v="4LU"/>
    <x v="0"/>
    <s v="3°2°3213TPT3"/>
    <s v="PROCEDIMIENTOS TECNICOS"/>
    <s v="HERRERIA"/>
    <m/>
    <x v="1"/>
    <x v="1"/>
  </r>
  <r>
    <x v="11"/>
    <s v="3°2°4LUTARDE0"/>
    <n v="0"/>
    <s v="4LUT"/>
    <s v="4LU"/>
    <x v="1"/>
    <s v="3°2°3FI/QUI"/>
    <s v="FISICO-QUIMICA"/>
    <m/>
    <m/>
    <x v="1"/>
    <x v="0"/>
  </r>
  <r>
    <x v="11"/>
    <s v="3°2°4MATARDE0"/>
    <n v="0"/>
    <s v="4MAT"/>
    <s v="4ma"/>
    <x v="1"/>
    <s v="3°2°3CCD"/>
    <s v="CONSTRUCCION DE LA CIUDADANIA"/>
    <m/>
    <m/>
    <x v="2"/>
    <x v="0"/>
  </r>
  <r>
    <x v="11"/>
    <s v="3°2°4MIMAÑANA321"/>
    <n v="321"/>
    <s v="4MIMaula 1"/>
    <s v="4MI"/>
    <x v="0"/>
    <s v="3°2°3213TST3"/>
    <s v="SISTEMAS TECNOLOGICOS"/>
    <s v="aula 1"/>
    <m/>
    <x v="3"/>
    <x v="1"/>
  </r>
  <r>
    <x v="11"/>
    <s v="3°2°4MITARDE0"/>
    <n v="0"/>
    <s v="4MIT"/>
    <s v="4MI"/>
    <x v="1"/>
    <s v="3°2°3HIS"/>
    <s v="HISTORIA"/>
    <m/>
    <m/>
    <x v="3"/>
    <x v="0"/>
  </r>
  <r>
    <x v="11"/>
    <s v="3°2°4VITARDE0"/>
    <n v="0"/>
    <s v="4VIT"/>
    <s v="4VI"/>
    <x v="1"/>
    <s v="3°2°3BIO"/>
    <s v="BIOLOGIA"/>
    <m/>
    <m/>
    <x v="4"/>
    <x v="0"/>
  </r>
  <r>
    <x v="11"/>
    <s v="3°2°5LUTARDE0"/>
    <n v="0"/>
    <s v="5LUT"/>
    <s v="5LU"/>
    <x v="1"/>
    <s v="3°2°3ING"/>
    <s v="INGLÉS"/>
    <m/>
    <m/>
    <x v="1"/>
    <x v="0"/>
  </r>
  <r>
    <x v="11"/>
    <s v="3°2°5MATARDE0"/>
    <n v="0"/>
    <s v="5MAT"/>
    <s v="5MA"/>
    <x v="1"/>
    <s v="3°2°3ING"/>
    <s v="INGLÉS"/>
    <m/>
    <m/>
    <x v="2"/>
    <x v="0"/>
  </r>
  <r>
    <x v="12"/>
    <s v="3°3°1JUMAÑANA0"/>
    <n v="0"/>
    <s v="1JUM"/>
    <s v="1JU"/>
    <x v="0"/>
    <s v="3°3°3HIS"/>
    <s v="HISTORIA"/>
    <m/>
    <m/>
    <x v="0"/>
    <x v="0"/>
  </r>
  <r>
    <x v="12"/>
    <s v="3°3°1LUMAÑANA0"/>
    <n v="0"/>
    <s v="1LUM"/>
    <s v="1LU"/>
    <x v="0"/>
    <s v="3°3°3PLG"/>
    <s v="PRACTICA DEL LENGUAJE"/>
    <m/>
    <m/>
    <x v="1"/>
    <x v="0"/>
  </r>
  <r>
    <x v="12"/>
    <s v="3°3°1LUTARDE331"/>
    <n v="331"/>
    <s v="1LUTHERRERIA"/>
    <s v="1LU"/>
    <x v="1"/>
    <s v="3°3°3313TPT3"/>
    <s v="PROCEDIMIENTOS TECNICOS"/>
    <s v="HERRERIA"/>
    <m/>
    <x v="1"/>
    <x v="1"/>
  </r>
  <r>
    <x v="12"/>
    <s v="3°3°1MAMAÑANA0"/>
    <n v="0"/>
    <s v="1MAM"/>
    <s v="1MA"/>
    <x v="0"/>
    <s v="3°3°3ING"/>
    <s v="INGLÉS"/>
    <m/>
    <m/>
    <x v="2"/>
    <x v="0"/>
  </r>
  <r>
    <x v="12"/>
    <s v="3°3°1MATARDE331"/>
    <n v="331"/>
    <s v="1MATALULA 4"/>
    <s v="1MA"/>
    <x v="1"/>
    <s v="3°3°3313TLT3"/>
    <s v="LENGUAJES TECNOLOGICOS"/>
    <s v="ALULA 4"/>
    <m/>
    <x v="2"/>
    <x v="1"/>
  </r>
  <r>
    <x v="12"/>
    <s v="3°3°1MATARDE332"/>
    <n v="332"/>
    <s v="1MAT46"/>
    <s v="1MA"/>
    <x v="1"/>
    <s v="3°3°3323TST3"/>
    <s v="SISTEMAS TECNOLOGICOS"/>
    <n v="46"/>
    <m/>
    <x v="2"/>
    <x v="1"/>
  </r>
  <r>
    <x v="12"/>
    <s v="3°3°1MIMAÑANA0"/>
    <n v="0"/>
    <s v="1MIM"/>
    <s v="1MI"/>
    <x v="0"/>
    <s v="3°3°3MAT"/>
    <s v="MATEMATICA"/>
    <m/>
    <m/>
    <x v="3"/>
    <x v="0"/>
  </r>
  <r>
    <x v="12"/>
    <s v="3°3°1juTARDE0"/>
    <n v="0"/>
    <s v="1juTPATIO"/>
    <s v="1JU"/>
    <x v="1"/>
    <s v="3°3°3EFI"/>
    <s v="EDUCACIÓN FISICA"/>
    <s v="PATIO"/>
    <m/>
    <x v="0"/>
    <x v="1"/>
  </r>
  <r>
    <x v="12"/>
    <s v="3°3°1VIMAÑANA0"/>
    <n v="0"/>
    <s v="1VIM"/>
    <s v="1VI"/>
    <x v="0"/>
    <s v="3°3°3PLG"/>
    <s v="PRACTICA DEL LENGUAJE"/>
    <m/>
    <m/>
    <x v="4"/>
    <x v="0"/>
  </r>
  <r>
    <x v="12"/>
    <s v="3°3°1VITARDE332"/>
    <n v="332"/>
    <s v="1VITALULA 4"/>
    <s v="1VI"/>
    <x v="1"/>
    <s v="3°3°3323TLT3"/>
    <s v="LENGUAJES TECNOLOGICOS"/>
    <s v="ALULA 4"/>
    <m/>
    <x v="4"/>
    <x v="1"/>
  </r>
  <r>
    <x v="12"/>
    <s v="3°3°1VIVESPERTINO331"/>
    <n v="331"/>
    <s v="1VIVCARPINTERIA"/>
    <s v="1VI"/>
    <x v="2"/>
    <s v="3°3°3313TST3"/>
    <s v="SISTEMAS TECNOLOGICOS"/>
    <s v="CARPINTERIA"/>
    <m/>
    <x v="4"/>
    <x v="1"/>
  </r>
  <r>
    <x v="12"/>
    <s v="3°3°2JUMAÑANA0"/>
    <n v="0"/>
    <s v="2JUM"/>
    <s v="2JU"/>
    <x v="0"/>
    <s v="3°3°3HIS"/>
    <s v="HISTORIA"/>
    <m/>
    <m/>
    <x v="0"/>
    <x v="0"/>
  </r>
  <r>
    <x v="12"/>
    <s v="3°3°2LUMAÑANA0"/>
    <n v="0"/>
    <s v="2LUM"/>
    <s v="2LU"/>
    <x v="0"/>
    <s v="3°3°3PLG"/>
    <s v="PRACTICA DEL LENGUAJE"/>
    <m/>
    <m/>
    <x v="1"/>
    <x v="0"/>
  </r>
  <r>
    <x v="12"/>
    <s v="3°3°2LUTARDE331"/>
    <n v="331"/>
    <s v="2LUTHERRERIA"/>
    <s v="2LU"/>
    <x v="1"/>
    <s v="3°3°3313TPT3"/>
    <s v="PROCEDIMIENTOS TECNICOS"/>
    <s v="HERRERIA"/>
    <m/>
    <x v="1"/>
    <x v="1"/>
  </r>
  <r>
    <x v="12"/>
    <s v="3°3°2MAMAÑANA0"/>
    <n v="0"/>
    <s v="2MAM"/>
    <s v="2MA"/>
    <x v="0"/>
    <s v="3°3°3ING"/>
    <s v="INGLÉS"/>
    <m/>
    <m/>
    <x v="2"/>
    <x v="0"/>
  </r>
  <r>
    <x v="12"/>
    <s v="3°3°2MATARDE331"/>
    <n v="331"/>
    <s v="2MATALULA 4"/>
    <s v="2MA"/>
    <x v="1"/>
    <s v="3°3°3313TLT3"/>
    <s v="LENGUAJES TECNOLOGICOS"/>
    <s v="ALULA 4"/>
    <m/>
    <x v="2"/>
    <x v="1"/>
  </r>
  <r>
    <x v="12"/>
    <s v="3°3°2MATARDE332"/>
    <n v="332"/>
    <s v="2MAT46"/>
    <s v="2MA"/>
    <x v="1"/>
    <s v="3°3°3323TST3"/>
    <s v="SISTEMAS TECNOLOGICOS"/>
    <n v="46"/>
    <m/>
    <x v="2"/>
    <x v="1"/>
  </r>
  <r>
    <x v="12"/>
    <s v="3°3°2MIMAÑANA0"/>
    <n v="0"/>
    <s v="2MIM"/>
    <s v="2MI"/>
    <x v="0"/>
    <s v="3°3°3MAT"/>
    <s v="MATEMATICA"/>
    <m/>
    <m/>
    <x v="3"/>
    <x v="0"/>
  </r>
  <r>
    <x v="12"/>
    <s v="3°3°2juTARDE0"/>
    <n v="0"/>
    <s v="2juTPATIO"/>
    <s v="2JU"/>
    <x v="1"/>
    <s v="3°3°3EFI"/>
    <s v="EDUCACIÓN FISICA"/>
    <s v="PATIO"/>
    <m/>
    <x v="0"/>
    <x v="1"/>
  </r>
  <r>
    <x v="12"/>
    <s v="3°3°2VIMAÑANA0"/>
    <n v="0"/>
    <s v="2VIM"/>
    <s v="2VI"/>
    <x v="0"/>
    <s v="3°3°3PLG"/>
    <s v="PRACTICA DEL LENGUAJE"/>
    <m/>
    <m/>
    <x v="4"/>
    <x v="0"/>
  </r>
  <r>
    <x v="12"/>
    <s v="3°3°2VITARDE332"/>
    <n v="332"/>
    <s v="2VITALULA 4"/>
    <s v="2VI"/>
    <x v="1"/>
    <s v="3°3°3323TLT3"/>
    <s v="LENGUAJES TECNOLOGICOS"/>
    <s v="ALULA 4"/>
    <m/>
    <x v="4"/>
    <x v="1"/>
  </r>
  <r>
    <x v="12"/>
    <s v="3°3°2VIVESPERTINO331"/>
    <n v="331"/>
    <s v="2VIVCARPINTERIA"/>
    <s v="2VI"/>
    <x v="2"/>
    <s v="3°3°3313TST3"/>
    <s v="SISTEMAS TECNOLOGICOS"/>
    <s v="CARPINTERIA"/>
    <m/>
    <x v="4"/>
    <x v="1"/>
  </r>
  <r>
    <x v="12"/>
    <s v="3°3°3JUMAÑANA0"/>
    <n v="0"/>
    <s v="3JUM"/>
    <s v="3JU"/>
    <x v="0"/>
    <s v="3°3°3CCD"/>
    <s v="CONSTRUCCION DE LA CIUDADANIA"/>
    <m/>
    <m/>
    <x v="0"/>
    <x v="0"/>
  </r>
  <r>
    <x v="12"/>
    <s v="3°3°3LUMAÑANA0"/>
    <n v="0"/>
    <s v="3LUM"/>
    <s v="3LU"/>
    <x v="0"/>
    <s v="3°3°3MAT"/>
    <s v="MATEMATICA"/>
    <m/>
    <m/>
    <x v="1"/>
    <x v="0"/>
  </r>
  <r>
    <x v="12"/>
    <s v="3°3°3MAMAÑANA0"/>
    <n v="0"/>
    <s v="3MAM"/>
    <s v="3ma"/>
    <x v="0"/>
    <s v="3°3°3ART"/>
    <s v="EDUCACION ARTISTICA (PLASTICA)"/>
    <m/>
    <m/>
    <x v="2"/>
    <x v="0"/>
  </r>
  <r>
    <x v="12"/>
    <s v="3°3°3MATARDE332"/>
    <n v="332"/>
    <s v="3MAT46"/>
    <s v="3ma"/>
    <x v="1"/>
    <s v="3°3°3323TST3"/>
    <s v="SISTEMAS TECNOLOGICOS"/>
    <n v="46"/>
    <m/>
    <x v="2"/>
    <x v="1"/>
  </r>
  <r>
    <x v="12"/>
    <s v="3°3°3MIMAÑANA0"/>
    <n v="0"/>
    <s v="3MIM"/>
    <s v="3MI"/>
    <x v="0"/>
    <s v="3°3°3GEO"/>
    <s v="GEOGRAFIA"/>
    <m/>
    <m/>
    <x v="3"/>
    <x v="0"/>
  </r>
  <r>
    <x v="12"/>
    <s v="3°3°3VIMAÑANA0"/>
    <n v="0"/>
    <s v="3VIM"/>
    <s v="3VI"/>
    <x v="0"/>
    <s v="3°3°3BIO"/>
    <s v="BIOLOGIA"/>
    <m/>
    <m/>
    <x v="4"/>
    <x v="0"/>
  </r>
  <r>
    <x v="12"/>
    <s v="3°3°3VITARDE332"/>
    <n v="332"/>
    <s v="3VITHERRERIA"/>
    <s v="3VI"/>
    <x v="1"/>
    <s v="3°3°3323TPT3"/>
    <s v="PROCEDIMIENTOS TECNICOS"/>
    <s v="HERRERIA"/>
    <s v="SUPERPUESTO"/>
    <x v="4"/>
    <x v="1"/>
  </r>
  <r>
    <x v="12"/>
    <s v="3°3°3VIVESPERTINO331"/>
    <n v="331"/>
    <s v="3VIVCARPINTERIA"/>
    <s v="3VI"/>
    <x v="2"/>
    <s v="3°3°3313TST3"/>
    <s v="SISTEMAS TECNOLOGICOS"/>
    <s v="CARPINTERIA"/>
    <m/>
    <x v="4"/>
    <x v="1"/>
  </r>
  <r>
    <x v="12"/>
    <s v="3°3°4JUMAÑANA0"/>
    <n v="0"/>
    <s v="4JUM"/>
    <s v="4JU"/>
    <x v="0"/>
    <s v="3°3°3CCD"/>
    <s v="CONSTRUCCION DE LA CIUDADANIA"/>
    <m/>
    <m/>
    <x v="0"/>
    <x v="0"/>
  </r>
  <r>
    <x v="12"/>
    <s v="3°3°4LUMAÑANA0"/>
    <n v="0"/>
    <s v="4LUM"/>
    <s v="4LU"/>
    <x v="0"/>
    <s v="3°3°3MAT"/>
    <s v="MATEMATICA"/>
    <m/>
    <m/>
    <x v="1"/>
    <x v="0"/>
  </r>
  <r>
    <x v="12"/>
    <s v="3°3°4MAMAÑANA0"/>
    <n v="0"/>
    <s v="4MAM"/>
    <s v="4ma"/>
    <x v="0"/>
    <s v="3°3°3ART"/>
    <s v="EDUCACION ARTISTICA (PLASTICA)"/>
    <m/>
    <m/>
    <x v="2"/>
    <x v="0"/>
  </r>
  <r>
    <x v="12"/>
    <s v="3°3°4MATARDE332"/>
    <n v="332"/>
    <s v="4MAT46"/>
    <s v="4ma"/>
    <x v="1"/>
    <s v="3°3°3323TST3"/>
    <s v="SISTEMAS TECNOLOGICOS"/>
    <n v="46"/>
    <m/>
    <x v="2"/>
    <x v="1"/>
  </r>
  <r>
    <x v="12"/>
    <s v="3°3°4MIMAÑANA0"/>
    <n v="0"/>
    <s v="4MIM"/>
    <s v="4MI"/>
    <x v="0"/>
    <s v="3°3°3GEO"/>
    <s v="GEOGRAFIA"/>
    <m/>
    <m/>
    <x v="3"/>
    <x v="0"/>
  </r>
  <r>
    <x v="12"/>
    <s v="3°3°4VIMAÑANA0"/>
    <n v="0"/>
    <s v="4VIM"/>
    <s v="4VI"/>
    <x v="0"/>
    <s v="3°3°3BIO"/>
    <s v="BIOLOGIA"/>
    <m/>
    <m/>
    <x v="4"/>
    <x v="0"/>
  </r>
  <r>
    <x v="12"/>
    <s v="3°3°4VITARDE332"/>
    <n v="332"/>
    <s v="4VITHERRERIA"/>
    <s v="4VI"/>
    <x v="1"/>
    <s v="3°3°3323TPT3"/>
    <s v="PROCEDIMIENTOS TECNICOS"/>
    <s v="HERRERIA"/>
    <s v="SUPERPUESTO"/>
    <x v="4"/>
    <x v="1"/>
  </r>
  <r>
    <x v="12"/>
    <s v="3°3°4VIVESPERTINO331"/>
    <n v="331"/>
    <s v="4VIVCARPINTERIA"/>
    <s v="4VI"/>
    <x v="2"/>
    <s v="3°3°3313TST3"/>
    <s v="SISTEMAS TECNOLOGICOS"/>
    <s v="CARPINTERIA"/>
    <m/>
    <x v="4"/>
    <x v="1"/>
  </r>
  <r>
    <x v="12"/>
    <s v="3°3°5JUMAÑANA0"/>
    <n v="0"/>
    <s v="5JUM"/>
    <s v="5JU"/>
    <x v="0"/>
    <s v="3°3°3FI/QUI"/>
    <s v="FISICO-QUIMICA"/>
    <m/>
    <m/>
    <x v="0"/>
    <x v="0"/>
  </r>
  <r>
    <x v="12"/>
    <s v="3°3°5MIMAÑANA0"/>
    <n v="0"/>
    <s v="5MIM"/>
    <s v="5MI"/>
    <x v="0"/>
    <s v="3°3°3FI/QUI"/>
    <s v="FISICO-QUIMICA"/>
    <m/>
    <m/>
    <x v="3"/>
    <x v="0"/>
  </r>
  <r>
    <x v="13"/>
    <s v="3°4°1JUMAÑANA342"/>
    <n v="342"/>
    <s v="1JUMHERRERIA"/>
    <s v="1JU"/>
    <x v="0"/>
    <s v="3°4°3423TPT3"/>
    <s v="PROCEDIMIENTOS TECNICOS"/>
    <s v="HERRERIA"/>
    <m/>
    <x v="0"/>
    <x v="1"/>
  </r>
  <r>
    <x v="13"/>
    <s v="3°4°1JUTARDE0"/>
    <n v="0"/>
    <s v="1JUT"/>
    <s v="1JU"/>
    <x v="1"/>
    <s v="3°4°3MAT"/>
    <s v="MATEMATICA"/>
    <m/>
    <m/>
    <x v="0"/>
    <x v="0"/>
  </r>
  <r>
    <x v="13"/>
    <s v="3°4°1LUMAÑANA341"/>
    <n v="341"/>
    <s v="1LUMaula 1"/>
    <s v="1LU"/>
    <x v="0"/>
    <s v="3°4°3413TST3"/>
    <s v="SISTEMAS TECNOLOGICOS"/>
    <s v="aula 1"/>
    <m/>
    <x v="1"/>
    <x v="1"/>
  </r>
  <r>
    <x v="13"/>
    <s v="3°4°1juVESPERTINO342"/>
    <n v="342"/>
    <s v="1juVAULA 2"/>
    <s v="1JU"/>
    <x v="2"/>
    <s v="3°4°3423TST3"/>
    <s v="SISTEMAS TECNOLOGICOS"/>
    <s v="aula 2"/>
    <m/>
    <x v="0"/>
    <x v="1"/>
  </r>
  <r>
    <x v="13"/>
    <s v="3°4°1luTARDE0"/>
    <n v="0"/>
    <s v="1luT"/>
    <s v="1LU"/>
    <x v="1"/>
    <s v="3°4°3BIO"/>
    <s v="BIOLOGIA"/>
    <m/>
    <m/>
    <x v="1"/>
    <x v="0"/>
  </r>
  <r>
    <x v="13"/>
    <s v="3°4°1MAMAÑANA341"/>
    <n v="341"/>
    <s v="1MAMaula 2"/>
    <s v="1MA"/>
    <x v="0"/>
    <s v="3°4°3413TLT3"/>
    <s v="LENGUAJES TECNOLOGICOS"/>
    <s v="aula 2"/>
    <m/>
    <x v="2"/>
    <x v="1"/>
  </r>
  <r>
    <x v="13"/>
    <s v="3°4°1MATARDE0"/>
    <n v="0"/>
    <s v="1MAT"/>
    <s v="1MA"/>
    <x v="1"/>
    <s v="3°4°3PLG"/>
    <s v="PRACTICA DEL LENGUAJE"/>
    <m/>
    <m/>
    <x v="2"/>
    <x v="0"/>
  </r>
  <r>
    <x v="13"/>
    <s v="3°4°1MIMAÑANA341"/>
    <n v="341"/>
    <s v="1MIMHERRERIA"/>
    <s v="1MI"/>
    <x v="0"/>
    <s v="3°4°3413TPT3"/>
    <s v="PROCEDIMIENTOS TECNICOS"/>
    <s v="HERRERIA"/>
    <m/>
    <x v="3"/>
    <x v="1"/>
  </r>
  <r>
    <x v="13"/>
    <s v="3°4°1MITARDE0"/>
    <n v="0"/>
    <s v="1MIT"/>
    <s v="1MI"/>
    <x v="1"/>
    <s v="3°4°3HIS"/>
    <s v="HISTORIA"/>
    <m/>
    <m/>
    <x v="3"/>
    <x v="0"/>
  </r>
  <r>
    <x v="13"/>
    <s v="3°4°1VITARDE0"/>
    <n v="0"/>
    <s v="1VIT"/>
    <s v="1VI"/>
    <x v="1"/>
    <s v="3°4°3FI/QUI"/>
    <s v="FISICO-QUIMICA"/>
    <m/>
    <m/>
    <x v="4"/>
    <x v="0"/>
  </r>
  <r>
    <x v="13"/>
    <s v="3°4°2JUMAÑANA342"/>
    <n v="342"/>
    <s v="2JUMHERRERIA"/>
    <s v="2JU"/>
    <x v="0"/>
    <s v="3°4°3423TPT3"/>
    <s v="PROCEDIMIENTOS TECNICOS"/>
    <s v="HERRERIA"/>
    <m/>
    <x v="0"/>
    <x v="1"/>
  </r>
  <r>
    <x v="13"/>
    <s v="3°4°2JUTARDE0"/>
    <n v="0"/>
    <s v="2JUT"/>
    <s v="2JU"/>
    <x v="1"/>
    <s v="3°4°3MAT"/>
    <s v="MATEMATICA"/>
    <m/>
    <m/>
    <x v="0"/>
    <x v="0"/>
  </r>
  <r>
    <x v="13"/>
    <s v="3°4°2LUMAÑANA341"/>
    <n v="341"/>
    <s v="2LUMaula 1"/>
    <s v="2LU"/>
    <x v="0"/>
    <s v="3°4°3413TST3"/>
    <s v="SISTEMAS TECNOLOGICOS"/>
    <s v="aula 1"/>
    <m/>
    <x v="1"/>
    <x v="1"/>
  </r>
  <r>
    <x v="13"/>
    <s v="3°4°2juVESPERTINO342"/>
    <n v="342"/>
    <s v="2juVAULA 2"/>
    <s v="2JU"/>
    <x v="2"/>
    <s v="3°4°3423TST3"/>
    <s v="SISTEMAS TECNOLOGICOS"/>
    <s v="aula 2"/>
    <m/>
    <x v="0"/>
    <x v="1"/>
  </r>
  <r>
    <x v="13"/>
    <s v="3°4°2luTARDE0"/>
    <n v="0"/>
    <s v="2luT"/>
    <s v="2LU"/>
    <x v="1"/>
    <s v="3°4°3BIO"/>
    <s v="BIOLOGIA"/>
    <m/>
    <m/>
    <x v="1"/>
    <x v="0"/>
  </r>
  <r>
    <x v="13"/>
    <s v="3°4°2MAMAÑANA341"/>
    <n v="341"/>
    <s v="2MAMaula 2"/>
    <s v="2MA"/>
    <x v="0"/>
    <s v="3°4°3413TLT3"/>
    <s v="LENGUAJES TECNOLOGICOS"/>
    <s v="aula 2"/>
    <m/>
    <x v="2"/>
    <x v="1"/>
  </r>
  <r>
    <x v="13"/>
    <s v="3°4°2MATARDE0"/>
    <n v="0"/>
    <s v="2MAT"/>
    <s v="2MA"/>
    <x v="1"/>
    <s v="3°4°3PLG"/>
    <s v="PRACTICA DEL LENGUAJE"/>
    <m/>
    <m/>
    <x v="2"/>
    <x v="0"/>
  </r>
  <r>
    <x v="13"/>
    <s v="3°4°2MIMAÑANA341"/>
    <n v="341"/>
    <s v="2MIMHERRERIA"/>
    <s v="2MI"/>
    <x v="0"/>
    <s v="3°4°3413TPT3"/>
    <s v="PROCEDIMIENTOS TECNICOS"/>
    <s v="HERRERIA"/>
    <m/>
    <x v="3"/>
    <x v="1"/>
  </r>
  <r>
    <x v="13"/>
    <s v="3°4°2MITARDE0"/>
    <n v="0"/>
    <s v="2MIT"/>
    <s v="2MI"/>
    <x v="1"/>
    <s v="3°4°3HIS"/>
    <s v="HISTORIA"/>
    <m/>
    <m/>
    <x v="3"/>
    <x v="0"/>
  </r>
  <r>
    <x v="13"/>
    <s v="3°4°2VITARDE0"/>
    <n v="0"/>
    <s v="2VIT"/>
    <s v="2VI"/>
    <x v="1"/>
    <s v="3°4°3FI/QUI"/>
    <s v="FISICO-QUIMICA"/>
    <m/>
    <m/>
    <x v="4"/>
    <x v="0"/>
  </r>
  <r>
    <x v="13"/>
    <s v="3°4°3JUTARDE0"/>
    <n v="0"/>
    <s v="3JUT"/>
    <s v="3JU"/>
    <x v="1"/>
    <s v="3°4°3ING"/>
    <s v="INGLÉS"/>
    <m/>
    <m/>
    <x v="0"/>
    <x v="0"/>
  </r>
  <r>
    <x v="13"/>
    <s v="3°4°3LUMAÑANA341"/>
    <n v="341"/>
    <s v="3LUMaula 1"/>
    <s v="3LU"/>
    <x v="0"/>
    <s v="3°4°3413TST3"/>
    <s v="SISTEMAS TECNOLOGICOS"/>
    <s v="aula 1"/>
    <m/>
    <x v="1"/>
    <x v="1"/>
  </r>
  <r>
    <x v="13"/>
    <s v="3°4°3juVESPERTINO342"/>
    <n v="342"/>
    <s v="3juVAULA 2"/>
    <s v="3JU"/>
    <x v="2"/>
    <s v="3°4°3423TST3"/>
    <s v="SISTEMAS TECNOLOGICOS"/>
    <s v="aula 2"/>
    <m/>
    <x v="0"/>
    <x v="1"/>
  </r>
  <r>
    <x v="13"/>
    <s v="3°4°3LUTARDE0"/>
    <n v="0"/>
    <s v="3LUT"/>
    <s v="3LU"/>
    <x v="1"/>
    <s v="3°4°3MAT"/>
    <s v="MATEMATICA"/>
    <m/>
    <m/>
    <x v="1"/>
    <x v="0"/>
  </r>
  <r>
    <x v="13"/>
    <s v="3°4°3JUMAÑANA342"/>
    <n v="342"/>
    <s v="3JUMaula 2"/>
    <s v="3JU"/>
    <x v="0"/>
    <s v="3°4°3423TLT3"/>
    <s v="LENGUAJES TECNOLOGICOS"/>
    <s v="aula 2"/>
    <m/>
    <x v="0"/>
    <x v="1"/>
  </r>
  <r>
    <x v="13"/>
    <s v="3°4°3MATARDE0"/>
    <n v="0"/>
    <s v="3MAT"/>
    <s v="3ma"/>
    <x v="1"/>
    <s v="3°4°3ART"/>
    <s v="EDUCACION ARTISTICA (PLASTICA)"/>
    <m/>
    <m/>
    <x v="2"/>
    <x v="0"/>
  </r>
  <r>
    <x v="13"/>
    <s v="3°4°3MIMAÑANA0"/>
    <n v="0"/>
    <s v="3MIMPATIO"/>
    <s v="3MI"/>
    <x v="0"/>
    <s v="3°4°3EFI"/>
    <s v="EDUCACIÓN FISICA"/>
    <s v="PATIO"/>
    <m/>
    <x v="3"/>
    <x v="1"/>
  </r>
  <r>
    <x v="13"/>
    <s v="3°4°3MITARDE0"/>
    <n v="0"/>
    <s v="3MIT"/>
    <s v="3MI"/>
    <x v="1"/>
    <s v="3°4°3CCD"/>
    <s v="CONSTRUCCION DE LA CIUDADANIA"/>
    <m/>
    <m/>
    <x v="3"/>
    <x v="0"/>
  </r>
  <r>
    <x v="13"/>
    <s v="3°4°3VITARDE0"/>
    <n v="0"/>
    <s v="3VIT"/>
    <s v="3VI"/>
    <x v="1"/>
    <s v="3°4°3PLG"/>
    <s v="PRACTICA DEL LENGUAJE"/>
    <m/>
    <m/>
    <x v="4"/>
    <x v="0"/>
  </r>
  <r>
    <x v="13"/>
    <s v="3°4°4JUTARDE0"/>
    <n v="0"/>
    <s v="4JUT"/>
    <s v="4JU"/>
    <x v="1"/>
    <s v="3°4°3ING"/>
    <s v="INGLÉS"/>
    <m/>
    <m/>
    <x v="0"/>
    <x v="0"/>
  </r>
  <r>
    <x v="13"/>
    <s v="3°4°4LUMAÑANA341"/>
    <n v="341"/>
    <s v="4LUMaula 1"/>
    <s v="4LU"/>
    <x v="0"/>
    <s v="3°4°3413TST3"/>
    <s v="SISTEMAS TECNOLOGICOS"/>
    <s v="aula 1"/>
    <m/>
    <x v="1"/>
    <x v="1"/>
  </r>
  <r>
    <x v="13"/>
    <s v="3°4°4juVESPERTINO342"/>
    <n v="342"/>
    <s v="4juVAULA 2"/>
    <s v="4JU"/>
    <x v="2"/>
    <s v="3°4°3423TST3"/>
    <s v="SISTEMAS TECNOLOGICOS"/>
    <s v="aula 2"/>
    <m/>
    <x v="0"/>
    <x v="1"/>
  </r>
  <r>
    <x v="13"/>
    <s v="3°4°4LUTARDE0"/>
    <n v="0"/>
    <s v="4LUT"/>
    <s v="4LU"/>
    <x v="1"/>
    <s v="3°4°3MAT"/>
    <s v="MATEMATICA"/>
    <m/>
    <m/>
    <x v="1"/>
    <x v="0"/>
  </r>
  <r>
    <x v="13"/>
    <s v="3°4°4JUMAÑANA342"/>
    <n v="342"/>
    <s v="4JUMaula 2"/>
    <s v="4JU"/>
    <x v="0"/>
    <s v="3°4°3423TLT3"/>
    <s v="LENGUAJES TECNOLOGICOS"/>
    <s v="aula 2"/>
    <m/>
    <x v="0"/>
    <x v="1"/>
  </r>
  <r>
    <x v="13"/>
    <s v="3°4°4MATARDE0"/>
    <n v="0"/>
    <s v="4MAT"/>
    <s v="4ma"/>
    <x v="1"/>
    <s v="3°4°3ART"/>
    <s v="EDUCACION ARTISTICA (PLASTICA)"/>
    <m/>
    <m/>
    <x v="2"/>
    <x v="0"/>
  </r>
  <r>
    <x v="13"/>
    <s v="3°4°4MIMAÑANA0"/>
    <n v="0"/>
    <s v="4MIMPATIO"/>
    <s v="4MI"/>
    <x v="0"/>
    <s v="3°4°3EFI"/>
    <s v="EDUCACIÓN FISICA"/>
    <s v="PATIO"/>
    <m/>
    <x v="3"/>
    <x v="1"/>
  </r>
  <r>
    <x v="13"/>
    <s v="3°4°4MITARDE0"/>
    <n v="0"/>
    <s v="4MIT"/>
    <s v="4MI"/>
    <x v="1"/>
    <s v="3°4°3CCD"/>
    <s v="CONSTRUCCION DE LA CIUDADANIA"/>
    <m/>
    <m/>
    <x v="3"/>
    <x v="0"/>
  </r>
  <r>
    <x v="13"/>
    <s v="3°4°4VITARDE0"/>
    <n v="0"/>
    <s v="4VIT"/>
    <s v="4VI"/>
    <x v="1"/>
    <s v="3°4°3PLG"/>
    <s v="PRACTICA DEL LENGUAJE"/>
    <m/>
    <m/>
    <x v="4"/>
    <x v="0"/>
  </r>
  <r>
    <x v="13"/>
    <s v="3°4°PHORAMITARDE0"/>
    <n v="0"/>
    <s v="PHORAMIT"/>
    <s v="PHORAMI"/>
    <x v="1"/>
    <s v="3°4°3GEO"/>
    <s v="GEOGRAFIA"/>
    <m/>
    <m/>
    <x v="3"/>
    <x v="0"/>
  </r>
  <r>
    <x v="13"/>
    <s v="3°4°prehorAVITARDE0"/>
    <n v="0"/>
    <s v="prehorAVIT"/>
    <s v="prehorAVI"/>
    <x v="1"/>
    <s v="3°4°3GEO"/>
    <s v="GEOGRAFIA"/>
    <m/>
    <m/>
    <x v="4"/>
    <x v="0"/>
  </r>
  <r>
    <x v="1"/>
    <s v="3°5°1JUMAÑANA0"/>
    <n v="0"/>
    <s v="1JUM"/>
    <s v="1JU"/>
    <x v="0"/>
    <s v="3°5°3BIO"/>
    <s v="BIOLOGIA"/>
    <m/>
    <m/>
    <x v="0"/>
    <x v="0"/>
  </r>
  <r>
    <x v="1"/>
    <s v="3°5°1LUMAÑANA0"/>
    <n v="0"/>
    <s v="1LUM"/>
    <s v="1LU"/>
    <x v="0"/>
    <s v="3°5°3MAT"/>
    <s v="MATEMATICA"/>
    <m/>
    <m/>
    <x v="1"/>
    <x v="0"/>
  </r>
  <r>
    <x v="1"/>
    <s v="3°5°1maVESPERTINO352"/>
    <n v="352"/>
    <s v="1maVCARPINTERIA"/>
    <s v="1ma"/>
    <x v="2"/>
    <s v="3°5°3523TST3"/>
    <s v="SISTEMAS TECNOLOGICOS"/>
    <s v="CARPINTERIA"/>
    <m/>
    <x v="2"/>
    <x v="1"/>
  </r>
  <r>
    <x v="1"/>
    <s v="3°5°1MAMAÑANA0"/>
    <n v="0"/>
    <s v="1MAM"/>
    <s v="1MA"/>
    <x v="0"/>
    <s v="3°5°3ING"/>
    <s v="INGLÉS"/>
    <m/>
    <m/>
    <x v="2"/>
    <x v="0"/>
  </r>
  <r>
    <x v="1"/>
    <s v="3°5°1MATARDE351"/>
    <n v="351"/>
    <s v="1MAT45"/>
    <s v="1MA"/>
    <x v="1"/>
    <s v="3°5°3513TST3"/>
    <s v="SISTEMAS TECNOLOGICOS"/>
    <n v="45"/>
    <m/>
    <x v="2"/>
    <x v="1"/>
  </r>
  <r>
    <x v="1"/>
    <s v="3°5°1MIMAÑANA0"/>
    <n v="0"/>
    <s v="1MIM"/>
    <s v="1MI"/>
    <x v="0"/>
    <s v="3°5°3ART"/>
    <s v="EDUCACION ARTISTICA (PLASTICA)"/>
    <m/>
    <m/>
    <x v="3"/>
    <x v="0"/>
  </r>
  <r>
    <x v="1"/>
    <s v="3°5°1MITARDE0"/>
    <n v="0"/>
    <s v="1MITPATIO2"/>
    <s v="1MI"/>
    <x v="1"/>
    <s v="3°5°3EFI"/>
    <s v="EDUCACIÓN FISICA"/>
    <s v="PATIO2"/>
    <m/>
    <x v="3"/>
    <x v="1"/>
  </r>
  <r>
    <x v="1"/>
    <s v="3°5°1VIMAÑANA0"/>
    <n v="0"/>
    <s v="1VIM"/>
    <s v="1VI"/>
    <x v="0"/>
    <s v="3°5°3FI/QUI"/>
    <s v="FISICO-QUIMICA"/>
    <m/>
    <m/>
    <x v="4"/>
    <x v="0"/>
  </r>
  <r>
    <x v="1"/>
    <s v="3°5°3VITARDE351"/>
    <n v="351"/>
    <s v="3VITCARPINTERIA"/>
    <s v="3VI"/>
    <x v="1"/>
    <s v="3°5°3513TPT3"/>
    <s v="PROCEDIMIENTOS TECNICOS"/>
    <s v="CARPINTERIA"/>
    <m/>
    <x v="4"/>
    <x v="1"/>
  </r>
  <r>
    <x v="1"/>
    <s v="3°5°2JUMAÑANA0"/>
    <n v="0"/>
    <s v="2JUM"/>
    <s v="2JU"/>
    <x v="0"/>
    <s v="3°5°3BIO"/>
    <s v="BIOLOGIA"/>
    <m/>
    <m/>
    <x v="0"/>
    <x v="0"/>
  </r>
  <r>
    <x v="1"/>
    <s v="3°5°2LUMAÑANA0"/>
    <n v="0"/>
    <s v="2LUM"/>
    <s v="2LU"/>
    <x v="0"/>
    <s v="3°5°3MAT"/>
    <s v="MATEMATICA"/>
    <m/>
    <m/>
    <x v="1"/>
    <x v="0"/>
  </r>
  <r>
    <x v="1"/>
    <s v="3°5°2maVESPERTINO352"/>
    <n v="352"/>
    <s v="2maVCARPINTERIA"/>
    <s v="2ma"/>
    <x v="2"/>
    <s v="3°5°3523TST3"/>
    <s v="SISTEMAS TECNOLOGICOS"/>
    <s v="CARPINTERIA"/>
    <m/>
    <x v="2"/>
    <x v="1"/>
  </r>
  <r>
    <x v="1"/>
    <s v="3°5°2MAMAÑANA0"/>
    <n v="0"/>
    <s v="2MAM"/>
    <s v="2MA"/>
    <x v="0"/>
    <s v="3°5°3ING"/>
    <s v="INGLÉS"/>
    <m/>
    <m/>
    <x v="2"/>
    <x v="0"/>
  </r>
  <r>
    <x v="1"/>
    <s v="3°5°2MATARDE351"/>
    <n v="351"/>
    <s v="2MAT45"/>
    <s v="2MA"/>
    <x v="1"/>
    <s v="3°5°3513TST3"/>
    <s v="SISTEMAS TECNOLOGICOS"/>
    <n v="45"/>
    <m/>
    <x v="2"/>
    <x v="1"/>
  </r>
  <r>
    <x v="1"/>
    <s v="3°5°2MIMAÑANA0"/>
    <n v="0"/>
    <s v="2MIM"/>
    <s v="2MI"/>
    <x v="0"/>
    <s v="3°5°3ART"/>
    <s v="EDUCACION ARTISTICA (PLASTICA)"/>
    <m/>
    <m/>
    <x v="3"/>
    <x v="0"/>
  </r>
  <r>
    <x v="1"/>
    <s v="3°5°2MITARDE0"/>
    <n v="0"/>
    <s v="2MITPATIO2"/>
    <s v="2MI"/>
    <x v="1"/>
    <s v="3°5°3EFI"/>
    <s v="EDUCACIÓN FISICA"/>
    <s v="PATIO2"/>
    <m/>
    <x v="3"/>
    <x v="1"/>
  </r>
  <r>
    <x v="1"/>
    <s v="3°5°2VIMAÑANA0"/>
    <n v="0"/>
    <s v="2VIM"/>
    <s v="2VI"/>
    <x v="0"/>
    <s v="3°5°3FI/QUI"/>
    <s v="FISICO-QUIMICA"/>
    <m/>
    <m/>
    <x v="4"/>
    <x v="0"/>
  </r>
  <r>
    <x v="1"/>
    <s v="3°5°4VITARDE351"/>
    <n v="351"/>
    <s v="4VITCARPINTERIA"/>
    <s v="4VI"/>
    <x v="1"/>
    <s v="3°5°3513TPT3"/>
    <s v="PROCEDIMIENTOS TECNICOS"/>
    <s v="CARPINTERIA"/>
    <m/>
    <x v="4"/>
    <x v="1"/>
  </r>
  <r>
    <x v="1"/>
    <s v="3°5°3JUMAÑANA0"/>
    <n v="0"/>
    <s v="3JUM"/>
    <s v="3JU"/>
    <x v="0"/>
    <s v="3°5°3MAT"/>
    <s v="MATEMATICA"/>
    <m/>
    <m/>
    <x v="0"/>
    <x v="0"/>
  </r>
  <r>
    <x v="1"/>
    <s v="3°5°3juTARDE351"/>
    <n v="351"/>
    <s v="3juTAULA 4"/>
    <s v="3ju"/>
    <x v="1"/>
    <s v="3°5°3513TLT3"/>
    <s v="LENGUAJES TECNOLOGICOS"/>
    <s v="aula 4"/>
    <m/>
    <x v="0"/>
    <x v="1"/>
  </r>
  <r>
    <x v="1"/>
    <s v="3°5°3LUMAÑANA0"/>
    <n v="0"/>
    <s v="3LUM"/>
    <s v="3LU"/>
    <x v="0"/>
    <s v="3°5°3HIS"/>
    <s v="HISTORIA"/>
    <m/>
    <m/>
    <x v="1"/>
    <x v="0"/>
  </r>
  <r>
    <x v="1"/>
    <s v="3°5°3maVESPERTINO352"/>
    <n v="352"/>
    <s v="3maVCARPINTERIA"/>
    <s v="3ma"/>
    <x v="2"/>
    <s v="3°5°3523TST3"/>
    <s v="SISTEMAS TECNOLOGICOS"/>
    <s v="CARPINTERIA"/>
    <m/>
    <x v="2"/>
    <x v="1"/>
  </r>
  <r>
    <x v="1"/>
    <s v="3°5°3MAMAÑANA0"/>
    <n v="0"/>
    <s v="3MAM"/>
    <s v="3MA"/>
    <x v="0"/>
    <s v="3°5°3GEO"/>
    <s v="GEOGRAFIA"/>
    <m/>
    <m/>
    <x v="2"/>
    <x v="0"/>
  </r>
  <r>
    <x v="1"/>
    <s v="3°5°3MATARDE351"/>
    <n v="351"/>
    <s v="3MAT45"/>
    <s v="3MA"/>
    <x v="1"/>
    <s v="3°5°3513TST3"/>
    <s v="SISTEMAS TECNOLOGICOS"/>
    <n v="45"/>
    <m/>
    <x v="2"/>
    <x v="1"/>
  </r>
  <r>
    <x v="1"/>
    <s v="3°5°3MIMAÑANA0"/>
    <n v="0"/>
    <s v="3MIM"/>
    <s v="3MI"/>
    <x v="0"/>
    <s v="3°5°3PLG"/>
    <s v="PRACTICA DEL LENGUAJE"/>
    <m/>
    <m/>
    <x v="3"/>
    <x v="0"/>
  </r>
  <r>
    <x v="1"/>
    <s v="3°5°3VIMAÑANA0"/>
    <n v="0"/>
    <s v="3VIM"/>
    <s v="3VI"/>
    <x v="0"/>
    <s v="3°5°3PLG"/>
    <s v="PRACTICA DEL LENGUAJE"/>
    <m/>
    <m/>
    <x v="4"/>
    <x v="0"/>
  </r>
  <r>
    <x v="1"/>
    <s v="3°5°4JUMAÑANA0"/>
    <n v="0"/>
    <s v="4JUM"/>
    <s v="4JU"/>
    <x v="0"/>
    <s v="3°5°3MAT"/>
    <s v="MATEMATICA"/>
    <m/>
    <m/>
    <x v="0"/>
    <x v="0"/>
  </r>
  <r>
    <x v="1"/>
    <s v="3°5°4juTARDE351"/>
    <n v="351"/>
    <s v="4juTAULA 4"/>
    <s v="4ju"/>
    <x v="1"/>
    <s v="3°5°3513TLT3"/>
    <s v="LENGUAJES TECNOLOGICOS"/>
    <s v="aula 4"/>
    <m/>
    <x v="0"/>
    <x v="1"/>
  </r>
  <r>
    <x v="1"/>
    <s v="3°5°4LUMAÑANA0"/>
    <n v="0"/>
    <s v="4LUM"/>
    <s v="4LU"/>
    <x v="0"/>
    <s v="3°5°3HIS"/>
    <s v="HISTORIA"/>
    <m/>
    <m/>
    <x v="1"/>
    <x v="0"/>
  </r>
  <r>
    <x v="1"/>
    <s v="3°5°4maVESPERTINO352"/>
    <n v="352"/>
    <s v="4maVCARPINTERIA"/>
    <s v="4ma"/>
    <x v="2"/>
    <s v="3°5°3523TST3"/>
    <s v="SISTEMAS TECNOLOGICOS"/>
    <s v="CARPINTERIA"/>
    <m/>
    <x v="2"/>
    <x v="1"/>
  </r>
  <r>
    <x v="1"/>
    <s v="3°5°4MAMAÑANA0"/>
    <n v="0"/>
    <s v="4MAM"/>
    <s v="4MA"/>
    <x v="0"/>
    <s v="3°5°3GEO"/>
    <s v="GEOGRAFIA"/>
    <m/>
    <m/>
    <x v="2"/>
    <x v="0"/>
  </r>
  <r>
    <x v="1"/>
    <s v="3°5°4MATARDE351"/>
    <n v="351"/>
    <s v="4MAT45"/>
    <s v="4MA"/>
    <x v="1"/>
    <s v="3°5°3513TST3"/>
    <s v="SISTEMAS TECNOLOGICOS"/>
    <n v="45"/>
    <m/>
    <x v="2"/>
    <x v="1"/>
  </r>
  <r>
    <x v="1"/>
    <s v="3°5°4MIMAÑANA0"/>
    <n v="0"/>
    <s v="4MIM"/>
    <s v="4MI"/>
    <x v="0"/>
    <s v="3°5°3PLG"/>
    <s v="PRACTICA DEL LENGUAJE"/>
    <m/>
    <m/>
    <x v="3"/>
    <x v="0"/>
  </r>
  <r>
    <x v="1"/>
    <s v="3°5°4VIMAÑANA0"/>
    <n v="0"/>
    <s v="4VIM"/>
    <s v="4VI"/>
    <x v="0"/>
    <s v="3°5°3PLG"/>
    <s v="PRACTICA DEL LENGUAJE"/>
    <m/>
    <m/>
    <x v="4"/>
    <x v="0"/>
  </r>
  <r>
    <x v="1"/>
    <s v="3°5°5JUMAÑANA0"/>
    <n v="0"/>
    <s v="5JUM"/>
    <s v="5JU"/>
    <x v="0"/>
    <s v="3°5°3CCD"/>
    <s v="CONSTRUCCION DE LA CIUDADANIA"/>
    <m/>
    <m/>
    <x v="0"/>
    <x v="0"/>
  </r>
  <r>
    <x v="1"/>
    <s v="3°5°5MIMAÑANA0"/>
    <n v="0"/>
    <s v="5MIM"/>
    <s v="5MI"/>
    <x v="0"/>
    <s v="3°5°3CCD"/>
    <s v="CONSTRUCCION DE LA CIUDADANIA"/>
    <m/>
    <m/>
    <x v="3"/>
    <x v="0"/>
  </r>
  <r>
    <x v="14"/>
    <s v="4°1°1JUMAÑANA0"/>
    <n v="0"/>
    <s v="1JUM"/>
    <s v="1JU"/>
    <x v="0"/>
    <s v="4°1°4ISADS"/>
    <s v="SALUD Y ADOLESCENCIA"/>
    <m/>
    <m/>
    <x v="0"/>
    <x v="0"/>
  </r>
  <r>
    <x v="14"/>
    <s v="4°1°1JUVESPERTINO411"/>
    <n v="411"/>
    <s v="1JUV41"/>
    <s v="1JU"/>
    <x v="2"/>
    <s v="4°1°4114IFTLA4"/>
    <s v="LAB DE APLICACIONES"/>
    <n v="41"/>
    <m/>
    <x v="0"/>
    <x v="1"/>
  </r>
  <r>
    <x v="14"/>
    <s v="4°1°1LUMAÑANA0"/>
    <n v="0"/>
    <s v="1LUM"/>
    <s v="1LU"/>
    <x v="0"/>
    <s v="4°1°4IFIS"/>
    <s v="FISICA"/>
    <m/>
    <m/>
    <x v="1"/>
    <x v="0"/>
  </r>
  <r>
    <x v="14"/>
    <s v="4°1°1LUVESPERTINO411"/>
    <n v="411"/>
    <s v="1LUV31"/>
    <s v="1LU"/>
    <x v="2"/>
    <s v="4°1°4114IFTLS4"/>
    <s v="LAB DE SIST OPERATIVOS   "/>
    <n v="31"/>
    <m/>
    <x v="1"/>
    <x v="1"/>
  </r>
  <r>
    <x v="14"/>
    <s v="4°1°1LUVESPERTINO412"/>
    <n v="412"/>
    <s v="1LUV40"/>
    <s v="1LU"/>
    <x v="2"/>
    <s v="4°1°4124IFTLS4"/>
    <s v="LAB DE SIST OPERATIVOS   "/>
    <n v="40"/>
    <m/>
    <x v="1"/>
    <x v="1"/>
  </r>
  <r>
    <x v="14"/>
    <s v="4°1°1MAMAÑANA0"/>
    <n v="0"/>
    <s v="1MAM"/>
    <s v="1MA"/>
    <x v="0"/>
    <s v="4°1°4IMATES"/>
    <s v="MATEMATICA"/>
    <m/>
    <m/>
    <x v="2"/>
    <x v="0"/>
  </r>
  <r>
    <x v="14"/>
    <s v="4°1°1VIVESPERTINO412"/>
    <n v="412"/>
    <s v="1VIVHARDWARE"/>
    <s v="1VI"/>
    <x v="2"/>
    <s v="4°1°4124IFTLH4"/>
    <s v="LAB DE HARDWARE"/>
    <s v="HARDWARE"/>
    <m/>
    <x v="4"/>
    <x v="1"/>
  </r>
  <r>
    <x v="14"/>
    <s v="4°1°1maVESPERTINO411"/>
    <n v="411"/>
    <s v="1maVHARDWARE"/>
    <s v="1ma"/>
    <x v="2"/>
    <s v="4°1°4114IFTLH4"/>
    <s v="LAB DE HARDWARE"/>
    <s v="HARDWARE"/>
    <m/>
    <x v="2"/>
    <x v="1"/>
  </r>
  <r>
    <x v="14"/>
    <s v="4°1°1MIMAÑANA0"/>
    <n v="0"/>
    <s v="1MIM"/>
    <s v="1MI"/>
    <x v="0"/>
    <s v="4°1°4IHIS"/>
    <s v="HISTORIA"/>
    <m/>
    <m/>
    <x v="3"/>
    <x v="0"/>
  </r>
  <r>
    <x v="14"/>
    <s v="4°1°1juVESPERTINO412"/>
    <n v="412"/>
    <s v="1juV40"/>
    <s v="1ju"/>
    <x v="2"/>
    <s v="4°1°4124IFTLP4"/>
    <s v="LAB DE PROGRAM"/>
    <n v="40"/>
    <m/>
    <x v="0"/>
    <x v="1"/>
  </r>
  <r>
    <x v="14"/>
    <s v="4°1°1MIVESPERTINO0"/>
    <n v="0"/>
    <s v="1MIVPATIO2"/>
    <s v="1MI"/>
    <x v="2"/>
    <s v="4°1°4IEFIS"/>
    <s v="EDUCACIÓN FISICA"/>
    <s v="PATIO2"/>
    <m/>
    <x v="3"/>
    <x v="1"/>
  </r>
  <r>
    <x v="14"/>
    <s v="4°1°1VIMAÑANA0"/>
    <n v="0"/>
    <s v="1VIM"/>
    <s v="1VI"/>
    <x v="0"/>
    <s v="4°1°4IMATES"/>
    <s v="MATEMATICA"/>
    <m/>
    <m/>
    <x v="4"/>
    <x v="0"/>
  </r>
  <r>
    <x v="14"/>
    <s v="4°1°1VITARDE412"/>
    <n v="412"/>
    <s v="1VIT30"/>
    <s v="1VI"/>
    <x v="1"/>
    <s v="4°1°4124IFTLA4"/>
    <s v="LAB DE APLICACIONES"/>
    <n v="30"/>
    <m/>
    <x v="4"/>
    <x v="1"/>
  </r>
  <r>
    <x v="14"/>
    <s v="4°1°3juVESPERTINO411"/>
    <n v="411"/>
    <s v="3juV30"/>
    <s v="3ju"/>
    <x v="2"/>
    <s v="4°1°4114IFTLP4"/>
    <s v="LAB DE PROGRAM"/>
    <n v="30"/>
    <m/>
    <x v="0"/>
    <x v="1"/>
  </r>
  <r>
    <x v="14"/>
    <s v="4°1°2JUMAÑANA0"/>
    <n v="0"/>
    <s v="2JUM"/>
    <s v="2JU"/>
    <x v="0"/>
    <s v="4°1°4ISADS"/>
    <s v="SALUD Y ADOLESCENCIA"/>
    <m/>
    <m/>
    <x v="0"/>
    <x v="0"/>
  </r>
  <r>
    <x v="14"/>
    <s v="4°1°2JUVESPERTINO411"/>
    <n v="411"/>
    <s v="2JUV41"/>
    <s v="2JU"/>
    <x v="2"/>
    <s v="4°1°4114IFTLA4"/>
    <s v="LAB DE APLICACIONES"/>
    <n v="41"/>
    <m/>
    <x v="0"/>
    <x v="1"/>
  </r>
  <r>
    <x v="14"/>
    <s v="4°1°2LUMAÑANA0"/>
    <n v="0"/>
    <s v="2LUM"/>
    <s v="2LU"/>
    <x v="0"/>
    <s v="4°1°4IFIS"/>
    <s v="FISICA"/>
    <m/>
    <m/>
    <x v="1"/>
    <x v="0"/>
  </r>
  <r>
    <x v="14"/>
    <s v="4°1°2LUVESPERTINO411"/>
    <n v="411"/>
    <s v="2LUV31"/>
    <s v="2LU"/>
    <x v="2"/>
    <s v="4°1°4114IFTLS4"/>
    <s v="LAB DE SIST OPERATIVOS   "/>
    <n v="31"/>
    <m/>
    <x v="1"/>
    <x v="1"/>
  </r>
  <r>
    <x v="14"/>
    <s v="4°1°2LUVESPERTINO412"/>
    <n v="412"/>
    <s v="2LUV40"/>
    <s v="2LU"/>
    <x v="2"/>
    <s v="4°1°4124IFTLS4"/>
    <s v="LAB DE SIST OPERATIVOS   "/>
    <n v="40"/>
    <m/>
    <x v="1"/>
    <x v="1"/>
  </r>
  <r>
    <x v="14"/>
    <s v="4°1°2MAMAÑANA0"/>
    <n v="0"/>
    <s v="2MAM"/>
    <s v="2MA"/>
    <x v="0"/>
    <s v="4°1°4IMATES"/>
    <s v="MATEMATICA"/>
    <m/>
    <m/>
    <x v="2"/>
    <x v="0"/>
  </r>
  <r>
    <x v="14"/>
    <s v="4°1°2VIVESPERTINO412"/>
    <n v="412"/>
    <s v="2VIVHARDWARE"/>
    <s v="2VI"/>
    <x v="2"/>
    <s v="4°1°4124IFTLH4"/>
    <s v="LAB DE HARDWARE"/>
    <s v="HARDWARE"/>
    <m/>
    <x v="4"/>
    <x v="1"/>
  </r>
  <r>
    <x v="14"/>
    <s v="4°1°2MaVESPERTINO411"/>
    <n v="411"/>
    <s v="2MaVHARDWARE"/>
    <s v="2Ma"/>
    <x v="2"/>
    <s v="4°1°4114IFTLH4"/>
    <s v="LAB DE HARDWARE"/>
    <s v="HARDWARE"/>
    <m/>
    <x v="2"/>
    <x v="1"/>
  </r>
  <r>
    <x v="14"/>
    <s v="4°1°2MIMAÑANA0"/>
    <n v="0"/>
    <s v="2MIM"/>
    <s v="2MI"/>
    <x v="0"/>
    <s v="4°1°4IHIS"/>
    <s v="HISTORIA"/>
    <m/>
    <m/>
    <x v="3"/>
    <x v="0"/>
  </r>
  <r>
    <x v="14"/>
    <s v="4°1°2juVESPERTINO412"/>
    <n v="412"/>
    <s v="2juV40"/>
    <s v="2ju"/>
    <x v="2"/>
    <s v="4°1°4124IFTLP4"/>
    <s v="LAB DE PROGRAM"/>
    <n v="40"/>
    <m/>
    <x v="0"/>
    <x v="1"/>
  </r>
  <r>
    <x v="14"/>
    <s v="4°1°2MIVESPERTINO0"/>
    <n v="0"/>
    <s v="2MIVPATIO2"/>
    <s v="2MI"/>
    <x v="2"/>
    <s v="4°1°4IEFIS"/>
    <s v="EDUCACIÓN FISICA"/>
    <s v="PATIO2"/>
    <m/>
    <x v="3"/>
    <x v="1"/>
  </r>
  <r>
    <x v="14"/>
    <s v="4°1°2VIMAÑANA0"/>
    <n v="0"/>
    <s v="2VIM"/>
    <s v="2VI"/>
    <x v="0"/>
    <s v="4°1°4IMATES"/>
    <s v="MATEMATICA"/>
    <m/>
    <m/>
    <x v="4"/>
    <x v="0"/>
  </r>
  <r>
    <x v="14"/>
    <s v="4°1°2VITARDE412"/>
    <n v="412"/>
    <s v="2VIT30"/>
    <s v="2VI"/>
    <x v="1"/>
    <s v="4°1°4124IFTLA4"/>
    <s v="LAB DE APLICACIONES"/>
    <n v="30"/>
    <m/>
    <x v="4"/>
    <x v="1"/>
  </r>
  <r>
    <x v="14"/>
    <s v="4°1°4juVESPERTINO411"/>
    <n v="411"/>
    <s v="4juV30"/>
    <s v="4ju"/>
    <x v="2"/>
    <s v="4°1°4114IFTLP4"/>
    <s v="LAB DE PROGRAM"/>
    <n v="30"/>
    <m/>
    <x v="0"/>
    <x v="1"/>
  </r>
  <r>
    <x v="14"/>
    <s v="4°1°3JUMAÑANA0"/>
    <n v="0"/>
    <s v="3JUM"/>
    <s v="3JU"/>
    <x v="0"/>
    <s v="4°1°4IINGS"/>
    <s v="INGLÉS"/>
    <m/>
    <m/>
    <x v="0"/>
    <x v="0"/>
  </r>
  <r>
    <x v="14"/>
    <s v="4°1°3LUMAÑANA0"/>
    <n v="0"/>
    <s v="3LUM"/>
    <s v="3LU"/>
    <x v="0"/>
    <s v="4°1°4ILITS"/>
    <s v="LITERATURA"/>
    <m/>
    <m/>
    <x v="1"/>
    <x v="0"/>
  </r>
  <r>
    <x v="14"/>
    <s v="4°1°3LUVESPERTINO411"/>
    <n v="411"/>
    <s v="3LUV31"/>
    <s v="3LU"/>
    <x v="2"/>
    <s v="4°1°4114IFTLS4"/>
    <s v="LAB DE SIST OPERATIVOS   "/>
    <n v="31"/>
    <m/>
    <x v="1"/>
    <x v="1"/>
  </r>
  <r>
    <x v="14"/>
    <s v="4°1°3LUVESPERTINO412"/>
    <n v="412"/>
    <s v="3LUV40"/>
    <s v="3LU"/>
    <x v="2"/>
    <s v="4°1°4124IFTLS4"/>
    <s v="LAB DE SIST OPERATIVOS   "/>
    <n v="40"/>
    <m/>
    <x v="1"/>
    <x v="1"/>
  </r>
  <r>
    <x v="14"/>
    <s v="4°1°3MAMAÑANA0"/>
    <n v="0"/>
    <s v="3MAM"/>
    <s v="3MA"/>
    <x v="0"/>
    <s v="4°1°4IGEOS"/>
    <s v="GEOGRAFIA"/>
    <m/>
    <m/>
    <x v="2"/>
    <x v="0"/>
  </r>
  <r>
    <x v="14"/>
    <s v="4°1°3VIVESPERTINO412"/>
    <n v="412"/>
    <s v="3VIVHARDWARE"/>
    <s v="3VI"/>
    <x v="2"/>
    <s v="4°1°4124IFTLH4"/>
    <s v="LAB DE HARDWARE"/>
    <s v="HARDWARE"/>
    <m/>
    <x v="4"/>
    <x v="1"/>
  </r>
  <r>
    <x v="14"/>
    <s v="4°1°3maVESPERTINO411"/>
    <n v="411"/>
    <s v="3maVHARDWARE"/>
    <s v="3ma"/>
    <x v="2"/>
    <s v="4°1°4114IFTLH4"/>
    <s v="LAB DE HARDWARE"/>
    <s v="HARDWARE"/>
    <m/>
    <x v="2"/>
    <x v="1"/>
  </r>
  <r>
    <x v="14"/>
    <s v="4°1°3MIMAÑANA0"/>
    <n v="0"/>
    <s v="3MIM"/>
    <s v="3MI"/>
    <x v="0"/>
    <s v="4°1°4IQUIS"/>
    <s v="QUIMICA"/>
    <m/>
    <m/>
    <x v="3"/>
    <x v="0"/>
  </r>
  <r>
    <x v="14"/>
    <s v="4°1°3VIMAÑANA0"/>
    <n v="0"/>
    <s v="3VIM"/>
    <s v="3VI"/>
    <x v="0"/>
    <s v="4°1°4ITELE"/>
    <s v="TECNOLOGIAS ELECTRONICAS"/>
    <m/>
    <m/>
    <x v="4"/>
    <x v="0"/>
  </r>
  <r>
    <x v="14"/>
    <s v="4°1°4JUMAÑANA0"/>
    <n v="0"/>
    <s v="4JUM"/>
    <s v="4JU"/>
    <x v="0"/>
    <s v="4°1°4IINGS"/>
    <s v="INGLÉS"/>
    <m/>
    <m/>
    <x v="0"/>
    <x v="0"/>
  </r>
  <r>
    <x v="14"/>
    <s v="4°1°4LUMAÑANA0"/>
    <n v="0"/>
    <s v="4LUM"/>
    <s v="4LU"/>
    <x v="0"/>
    <s v="4°1°4ILITS"/>
    <s v="LITERATURA"/>
    <m/>
    <m/>
    <x v="1"/>
    <x v="0"/>
  </r>
  <r>
    <x v="14"/>
    <s v="4°1°4LUVESPERTINO411"/>
    <n v="411"/>
    <s v="4LUV31"/>
    <s v="4LU"/>
    <x v="2"/>
    <s v="4°1°4114IFTLS4"/>
    <s v="LAB DE SIST OPERATIVOS   "/>
    <n v="31"/>
    <m/>
    <x v="1"/>
    <x v="1"/>
  </r>
  <r>
    <x v="14"/>
    <s v="4°1°4LUVESPERTINO412"/>
    <n v="412"/>
    <s v="4LUV40"/>
    <s v="4LU"/>
    <x v="2"/>
    <s v="4°1°4124IFTLS4"/>
    <s v="LAB DE SIST OPERATIVOS   "/>
    <n v="40"/>
    <m/>
    <x v="1"/>
    <x v="1"/>
  </r>
  <r>
    <x v="14"/>
    <s v="4°1°4MAMAÑANA0"/>
    <n v="0"/>
    <s v="4MAM"/>
    <s v="4MA"/>
    <x v="0"/>
    <s v="4°1°4IGEOS"/>
    <s v="GEOGRAFIA"/>
    <m/>
    <m/>
    <x v="2"/>
    <x v="0"/>
  </r>
  <r>
    <x v="14"/>
    <s v="4°1°4VIvESPERTINO412"/>
    <n v="412"/>
    <s v="4VIvHARDWARE"/>
    <s v="4VI"/>
    <x v="2"/>
    <s v="4°1°4124IFTLH4"/>
    <s v="LAB DE HARDWARE"/>
    <s v="HARDWARE"/>
    <m/>
    <x v="4"/>
    <x v="1"/>
  </r>
  <r>
    <x v="14"/>
    <s v="4°1°4maVESPERTINO411"/>
    <n v="411"/>
    <s v="4maVHARDWARE"/>
    <s v="4ma"/>
    <x v="2"/>
    <s v="4°1°4114IFTLH4"/>
    <s v="LAB DE HARDWARE"/>
    <s v="HARDWARE"/>
    <m/>
    <x v="2"/>
    <x v="1"/>
  </r>
  <r>
    <x v="14"/>
    <s v="4°1°4MIMAÑANA0"/>
    <n v="0"/>
    <s v="4MIM"/>
    <s v="4MI"/>
    <x v="0"/>
    <s v="4°1°4IQUIS"/>
    <s v="QUIMICA"/>
    <m/>
    <m/>
    <x v="3"/>
    <x v="0"/>
  </r>
  <r>
    <x v="14"/>
    <s v="4°1°4VIMAÑANA0"/>
    <n v="0"/>
    <s v="4VIM"/>
    <s v="4VI"/>
    <x v="0"/>
    <s v="4°1°4ITELE"/>
    <s v="TECNOLOGIAS ELECTRONICAS"/>
    <m/>
    <m/>
    <x v="4"/>
    <x v="0"/>
  </r>
  <r>
    <x v="14"/>
    <s v="4°1°5MAMAÑANA0"/>
    <n v="0"/>
    <s v="5MAM"/>
    <s v="5MA"/>
    <x v="0"/>
    <s v="4°1°4IFIS"/>
    <s v="FISICA"/>
    <m/>
    <m/>
    <x v="2"/>
    <x v="0"/>
  </r>
  <r>
    <x v="15"/>
    <s v="4°2°1JUMAÑANA421"/>
    <n v="421"/>
    <s v="1JUM31"/>
    <s v="1JU"/>
    <x v="0"/>
    <s v="4°2°4214IFTLS4"/>
    <s v="LAB DE SIST OPERATIVOS   "/>
    <n v="31"/>
    <m/>
    <x v="0"/>
    <x v="1"/>
  </r>
  <r>
    <x v="15"/>
    <s v="4°2°1JUMAÑANA422"/>
    <n v="422"/>
    <s v="1JUM41"/>
    <s v="1JU"/>
    <x v="0"/>
    <s v="4°2°4224IFTLA4"/>
    <s v="LAB DE APLICACIONES"/>
    <n v="41"/>
    <m/>
    <x v="0"/>
    <x v="1"/>
  </r>
  <r>
    <x v="15"/>
    <s v="4°2°PrehoramiTARDE0"/>
    <n v="0"/>
    <s v="PrehoramiT"/>
    <s v="Prehorami"/>
    <x v="1"/>
    <s v="4°2°4IMATES"/>
    <s v="MATEMATICA"/>
    <m/>
    <m/>
    <x v="3"/>
    <x v="0"/>
  </r>
  <r>
    <x v="15"/>
    <s v="4°2°1LUMAÑANA422"/>
    <n v="422"/>
    <s v="1LUM31"/>
    <s v="1LU"/>
    <x v="0"/>
    <s v="4°2°4224IFTLS4"/>
    <s v="LAB DE SIST OPERATIVOS   "/>
    <n v="31"/>
    <m/>
    <x v="1"/>
    <x v="1"/>
  </r>
  <r>
    <x v="15"/>
    <s v="4°2°prehoraviTARDE0"/>
    <n v="0"/>
    <s v="prehoraviT"/>
    <s v="prehoravi"/>
    <x v="1"/>
    <s v="4°2°4IMATES"/>
    <s v="MATEMATICA"/>
    <m/>
    <m/>
    <x v="4"/>
    <x v="0"/>
  </r>
  <r>
    <x v="15"/>
    <s v="4°2°1MAMAÑANA421"/>
    <n v="421"/>
    <s v="1MAM31"/>
    <s v="1MA"/>
    <x v="0"/>
    <s v="4°2°4214IFTLH4"/>
    <s v="LAB DE HARDWARE"/>
    <n v="31"/>
    <m/>
    <x v="2"/>
    <x v="1"/>
  </r>
  <r>
    <x v="15"/>
    <s v="4°2°1MATARDE0"/>
    <n v="0"/>
    <s v="1MAT"/>
    <s v="1MA"/>
    <x v="1"/>
    <s v="4°2°4ILITS"/>
    <s v="LITERATURA"/>
    <m/>
    <m/>
    <x v="2"/>
    <x v="0"/>
  </r>
  <r>
    <x v="15"/>
    <s v="4°2°1MIMAÑANA422"/>
    <n v="422"/>
    <s v="1MIMHARDWARE"/>
    <s v="1MI"/>
    <x v="0"/>
    <s v="4°2°4224IFTLH4"/>
    <s v="LAB DE HARDWARE"/>
    <s v="HARDWARE"/>
    <m/>
    <x v="3"/>
    <x v="1"/>
  </r>
  <r>
    <x v="15"/>
    <s v="4°2°1JUTARDE0"/>
    <n v="0"/>
    <s v="1JUT"/>
    <s v="1JU"/>
    <x v="1"/>
    <s v="4°2°4ITELE"/>
    <s v="TECNOLOGIAS ELECTRONICAS"/>
    <m/>
    <m/>
    <x v="0"/>
    <x v="0"/>
  </r>
  <r>
    <x v="15"/>
    <s v="4°2°1VIMAÑANA421"/>
    <n v="421"/>
    <s v="1VIM30"/>
    <s v="1VI"/>
    <x v="0"/>
    <s v="4°2°4214IFTLP4"/>
    <s v="LAB DE PROGRAM"/>
    <n v="30"/>
    <m/>
    <x v="4"/>
    <x v="1"/>
  </r>
  <r>
    <x v="15"/>
    <s v="4°2°1VIMAÑANA422"/>
    <n v="422"/>
    <s v="1VIMHARDWARE"/>
    <s v="1VI"/>
    <x v="0"/>
    <s v="4°2°4224IFTLH4"/>
    <s v="LAB DE HARDWARE"/>
    <s v="HARDWARE"/>
    <m/>
    <x v="4"/>
    <x v="1"/>
  </r>
  <r>
    <x v="15"/>
    <s v="4°2°1VITARDE0"/>
    <n v="0"/>
    <s v="1VIT"/>
    <s v="1VI"/>
    <x v="1"/>
    <s v="4°2°4IFIS"/>
    <s v="FISICA"/>
    <m/>
    <m/>
    <x v="4"/>
    <x v="0"/>
  </r>
  <r>
    <x v="15"/>
    <s v="4°2°2JUMAÑANA421"/>
    <n v="421"/>
    <s v="2JUM31"/>
    <s v="2JU"/>
    <x v="0"/>
    <s v="4°2°4214IFTLS4"/>
    <s v="LAB DE SIST OPERATIVOS   "/>
    <n v="31"/>
    <m/>
    <x v="0"/>
    <x v="1"/>
  </r>
  <r>
    <x v="15"/>
    <s v="4°2°2JUMAÑANA422"/>
    <n v="422"/>
    <s v="2JUM41"/>
    <s v="2JU"/>
    <x v="0"/>
    <s v="4°2°4224IFTLA4"/>
    <s v="LAB DE APLICACIONES"/>
    <n v="41"/>
    <m/>
    <x v="0"/>
    <x v="1"/>
  </r>
  <r>
    <x v="15"/>
    <s v="4°2°1miTARDE0"/>
    <n v="0"/>
    <s v="1miT"/>
    <s v="1mi"/>
    <x v="1"/>
    <s v="4°2°4IMATES"/>
    <s v="MATEMATICA"/>
    <m/>
    <m/>
    <x v="3"/>
    <x v="0"/>
  </r>
  <r>
    <x v="15"/>
    <s v="4°2°2LUMAÑANA422"/>
    <n v="422"/>
    <s v="2LUM31"/>
    <s v="2LU"/>
    <x v="0"/>
    <s v="4°2°4224IFTLS4"/>
    <s v="LAB DE SIST OPERATIVOS   "/>
    <n v="31"/>
    <m/>
    <x v="1"/>
    <x v="1"/>
  </r>
  <r>
    <x v="15"/>
    <s v="4°2°2miTARDE0"/>
    <n v="0"/>
    <s v="2miT"/>
    <s v="2mi"/>
    <x v="1"/>
    <s v="4°2°4IMATES"/>
    <s v="MATEMATICA"/>
    <m/>
    <m/>
    <x v="3"/>
    <x v="0"/>
  </r>
  <r>
    <x v="15"/>
    <s v="4°2°2MAMAÑANA421"/>
    <n v="421"/>
    <s v="2MAM31"/>
    <s v="2MA"/>
    <x v="0"/>
    <s v="4°2°4214IFTLH4"/>
    <s v="LAB DE HARDWARE"/>
    <n v="31"/>
    <m/>
    <x v="2"/>
    <x v="1"/>
  </r>
  <r>
    <x v="15"/>
    <s v="4°2°2MATARDE0"/>
    <n v="0"/>
    <s v="2MAT"/>
    <s v="2MA"/>
    <x v="1"/>
    <s v="4°2°4ILITS"/>
    <s v="LITERATURA"/>
    <m/>
    <m/>
    <x v="2"/>
    <x v="0"/>
  </r>
  <r>
    <x v="15"/>
    <s v="4°2°2MIMAÑANA422"/>
    <n v="422"/>
    <s v="2MIMHARDWARE"/>
    <s v="2MI"/>
    <x v="0"/>
    <s v="4°2°4224IFTLH4"/>
    <s v="LAB DE HARDWARE"/>
    <s v="HARDWARE"/>
    <m/>
    <x v="3"/>
    <x v="1"/>
  </r>
  <r>
    <x v="15"/>
    <s v="4°2°2JUTARDE0"/>
    <n v="0"/>
    <s v="2JUT"/>
    <s v="2JU"/>
    <x v="1"/>
    <s v="4°2°4ITELE"/>
    <s v="TECNOLOGIAS ELECTRONICAS"/>
    <m/>
    <m/>
    <x v="0"/>
    <x v="0"/>
  </r>
  <r>
    <x v="15"/>
    <s v="4°2°2VIMAÑANA421"/>
    <n v="421"/>
    <s v="2VIM30"/>
    <s v="2VI"/>
    <x v="0"/>
    <s v="4°2°4214IFTLP4"/>
    <s v="LAB DE PROGRAM"/>
    <n v="30"/>
    <m/>
    <x v="4"/>
    <x v="1"/>
  </r>
  <r>
    <x v="15"/>
    <s v="4°2°2VIMAÑANA422"/>
    <n v="422"/>
    <s v="2VIMHARDWARE"/>
    <s v="2VI"/>
    <x v="0"/>
    <s v="4°2°4224IFTLH4"/>
    <s v="LAB DE HARDWARE"/>
    <s v="HARDWARE"/>
    <m/>
    <x v="4"/>
    <x v="1"/>
  </r>
  <r>
    <x v="15"/>
    <s v="4°2°2VITARDE0"/>
    <n v="0"/>
    <s v="2VIT"/>
    <s v="2VI"/>
    <x v="1"/>
    <s v="4°2°4IFIS"/>
    <s v="FISICA"/>
    <m/>
    <m/>
    <x v="4"/>
    <x v="0"/>
  </r>
  <r>
    <x v="15"/>
    <s v="4°2°3JUMAÑANA421"/>
    <n v="421"/>
    <s v="3JUM31"/>
    <s v="3JU"/>
    <x v="0"/>
    <s v="4°2°4214IFTLS4"/>
    <s v="LAB DE SIST OPERATIVOS   "/>
    <n v="31"/>
    <m/>
    <x v="0"/>
    <x v="1"/>
  </r>
  <r>
    <x v="15"/>
    <s v="4°2°3JUMAÑANA422"/>
    <n v="422"/>
    <s v="3JUM41"/>
    <s v="3JU"/>
    <x v="0"/>
    <s v="4°2°4224IFTLP4"/>
    <s v="LAB DE PROGRAM"/>
    <n v="41"/>
    <m/>
    <x v="0"/>
    <x v="1"/>
  </r>
  <r>
    <x v="15"/>
    <s v="4°2°3JUTARDE0"/>
    <n v="0"/>
    <s v="3JUT"/>
    <s v="3JU"/>
    <x v="1"/>
    <s v="4°2°4IHIS"/>
    <s v="HISTORIA"/>
    <m/>
    <m/>
    <x v="0"/>
    <x v="0"/>
  </r>
  <r>
    <x v="15"/>
    <s v="4°2°3LUMAÑANA422"/>
    <n v="422"/>
    <s v="3LUM31"/>
    <s v="3LU"/>
    <x v="0"/>
    <s v="4°2°4224IFTLS4"/>
    <s v="LAB DE SIST OPERATIVOS   "/>
    <n v="31"/>
    <m/>
    <x v="1"/>
    <x v="1"/>
  </r>
  <r>
    <x v="15"/>
    <s v="4°2°3LUTARDE0"/>
    <n v="0"/>
    <s v="3LUT"/>
    <s v="3LU"/>
    <x v="1"/>
    <s v="4°2°4IINGS"/>
    <s v="INGLÉS"/>
    <m/>
    <m/>
    <x v="1"/>
    <x v="0"/>
  </r>
  <r>
    <x v="15"/>
    <s v="4°2°3MAMAÑANA421"/>
    <n v="421"/>
    <s v="3MAM31"/>
    <s v="3MA"/>
    <x v="0"/>
    <s v="4°2°4214IFTLH4"/>
    <s v="LAB DE HARDWARE"/>
    <n v="31"/>
    <m/>
    <x v="2"/>
    <x v="1"/>
  </r>
  <r>
    <x v="15"/>
    <s v="4°2°3MATARDE0"/>
    <n v="0"/>
    <s v="3MAT"/>
    <s v="3MA"/>
    <x v="1"/>
    <s v="4°2°4IGEOS"/>
    <s v="GEOGRAFIA"/>
    <m/>
    <m/>
    <x v="2"/>
    <x v="0"/>
  </r>
  <r>
    <x v="15"/>
    <s v="4°2°3MIMAÑANA0"/>
    <n v="0"/>
    <s v="3MIMPATIO2"/>
    <s v="3MI"/>
    <x v="0"/>
    <s v="4°2°4IEFIS"/>
    <s v="EDUCACIÓN FISICA"/>
    <s v="PATIO2"/>
    <m/>
    <x v="3"/>
    <x v="1"/>
  </r>
  <r>
    <x v="15"/>
    <s v="4°2°3MITARDE0"/>
    <n v="0"/>
    <s v="3MIT"/>
    <s v="3MI"/>
    <x v="1"/>
    <s v="4°2°4ISADS"/>
    <s v="SALUD Y ADOLESCENCIA"/>
    <m/>
    <m/>
    <x v="3"/>
    <x v="0"/>
  </r>
  <r>
    <x v="15"/>
    <s v="4°2°3VIMAÑANA421"/>
    <n v="421"/>
    <s v="3VIM30"/>
    <s v="3VI"/>
    <x v="0"/>
    <s v="4°2°4214IFTLA4"/>
    <s v="LAB DE APLICACIONES"/>
    <n v="30"/>
    <m/>
    <x v="4"/>
    <x v="1"/>
  </r>
  <r>
    <x v="15"/>
    <s v="4°2°3VITARDE0"/>
    <n v="0"/>
    <s v="3VIT"/>
    <s v="3VI"/>
    <x v="1"/>
    <s v="4°2°4IQUIS"/>
    <s v="QUIMICA"/>
    <m/>
    <m/>
    <x v="4"/>
    <x v="0"/>
  </r>
  <r>
    <x v="15"/>
    <s v="4°2°4JUMAÑANA421"/>
    <n v="421"/>
    <s v="4JUM31"/>
    <s v="4JU"/>
    <x v="0"/>
    <s v="4°2°4214IFTLS4"/>
    <s v="LAB DE SIST OPERATIVOS   "/>
    <n v="31"/>
    <m/>
    <x v="0"/>
    <x v="1"/>
  </r>
  <r>
    <x v="15"/>
    <s v="4°2°4JUMAÑANA422"/>
    <n v="422"/>
    <s v="4JUM41"/>
    <s v="4JU"/>
    <x v="0"/>
    <s v="4°2°4224IFTLP4"/>
    <s v="LAB DE PROGRAM"/>
    <n v="41"/>
    <m/>
    <x v="0"/>
    <x v="1"/>
  </r>
  <r>
    <x v="15"/>
    <s v="4°2°4JUTARDE0"/>
    <n v="0"/>
    <s v="4JUT"/>
    <s v="4JU"/>
    <x v="1"/>
    <s v="4°2°4IHIS"/>
    <s v="HISTORIA"/>
    <m/>
    <m/>
    <x v="0"/>
    <x v="0"/>
  </r>
  <r>
    <x v="15"/>
    <s v="4°2°4LUMAÑANA422"/>
    <n v="422"/>
    <s v="4LUM31"/>
    <s v="4LU"/>
    <x v="0"/>
    <s v="4°2°4224IFTLS4"/>
    <s v="LAB DE SIST OPERATIVOS   "/>
    <n v="31"/>
    <m/>
    <x v="1"/>
    <x v="1"/>
  </r>
  <r>
    <x v="15"/>
    <s v="4°2°4LUTARDE0"/>
    <n v="0"/>
    <s v="4LUT"/>
    <s v="4LU"/>
    <x v="1"/>
    <s v="4°2°4IINGS"/>
    <s v="INGLÉS"/>
    <m/>
    <m/>
    <x v="1"/>
    <x v="0"/>
  </r>
  <r>
    <x v="15"/>
    <s v="4°2°4MAMAÑANA421"/>
    <n v="421"/>
    <s v="4MAM31"/>
    <s v="4MA"/>
    <x v="0"/>
    <s v="4°2°4214IFTLH4"/>
    <s v="LAB DE HARDWARE"/>
    <n v="31"/>
    <m/>
    <x v="2"/>
    <x v="1"/>
  </r>
  <r>
    <x v="15"/>
    <s v="4°2°4MATARDE0"/>
    <n v="0"/>
    <s v="4MAT"/>
    <s v="4MA"/>
    <x v="1"/>
    <s v="4°2°4IGEOS"/>
    <s v="GEOGRAFIA"/>
    <m/>
    <m/>
    <x v="2"/>
    <x v="0"/>
  </r>
  <r>
    <x v="15"/>
    <s v="4°2°4MIMAÑANA0"/>
    <n v="0"/>
    <s v="4MIMPATIO2"/>
    <s v="4MI"/>
    <x v="0"/>
    <s v="4°2°4IEFIS"/>
    <s v="EDUCACIÓN FISICA"/>
    <s v="PATIO2"/>
    <m/>
    <x v="3"/>
    <x v="1"/>
  </r>
  <r>
    <x v="15"/>
    <s v="4°2°4MITARDE0"/>
    <n v="0"/>
    <s v="4MIT"/>
    <s v="4MI"/>
    <x v="1"/>
    <s v="4°2°4ISADS"/>
    <s v="SALUD Y ADOLESCENCIA"/>
    <m/>
    <m/>
    <x v="3"/>
    <x v="0"/>
  </r>
  <r>
    <x v="15"/>
    <s v="4°2°4VIMAÑANA421"/>
    <n v="421"/>
    <s v="4VIM30"/>
    <s v="4VI"/>
    <x v="0"/>
    <s v="4°2°4214IFTLA4"/>
    <s v="LAB DE APLICACIONES"/>
    <n v="30"/>
    <m/>
    <x v="4"/>
    <x v="1"/>
  </r>
  <r>
    <x v="15"/>
    <s v="4°2°4VITARDE0"/>
    <n v="0"/>
    <s v="4VIT"/>
    <s v="4VI"/>
    <x v="1"/>
    <s v="4°2°4IQUIS"/>
    <s v="QUIMICA"/>
    <m/>
    <m/>
    <x v="4"/>
    <x v="0"/>
  </r>
  <r>
    <x v="15"/>
    <s v="4°2°prehorajuTARDE0"/>
    <n v="0"/>
    <s v="prehorajuT"/>
    <s v="prehoraju"/>
    <x v="1"/>
    <s v="4°2°4IFIS"/>
    <s v="FISICA"/>
    <m/>
    <m/>
    <x v="0"/>
    <x v="0"/>
  </r>
  <r>
    <x v="15"/>
    <s v="4°2°VESPERTINO423"/>
    <n v="423"/>
    <s v="V31"/>
    <m/>
    <x v="2"/>
    <s v="4°2°4234IFTLP4"/>
    <s v="LAB DE PROGRAM"/>
    <n v="31"/>
    <m/>
    <x v="5"/>
    <x v="1"/>
  </r>
  <r>
    <x v="15"/>
    <s v="4°2°VESPERTINO423"/>
    <n v="423"/>
    <s v="V31"/>
    <m/>
    <x v="2"/>
    <s v="4°2°4234IFTLP4"/>
    <s v="LAB DE PROGRAM"/>
    <n v="31"/>
    <m/>
    <x v="5"/>
    <x v="1"/>
  </r>
  <r>
    <x v="15"/>
    <s v="4°2°VESPERTINO423"/>
    <n v="423"/>
    <s v="V41"/>
    <m/>
    <x v="2"/>
    <s v="4°2°4234IFTLA4"/>
    <s v="LAB DE APLICACIONES"/>
    <n v="41"/>
    <m/>
    <x v="5"/>
    <x v="1"/>
  </r>
  <r>
    <x v="15"/>
    <s v="4°2°VESPERTINO423"/>
    <n v="423"/>
    <s v="V41"/>
    <m/>
    <x v="2"/>
    <s v="4°2°4234IFTLA4"/>
    <s v="LAB DE APLICACIONES"/>
    <n v="41"/>
    <m/>
    <x v="5"/>
    <x v="1"/>
  </r>
  <r>
    <x v="16"/>
    <s v="4°3°1JUMAÑANA0"/>
    <n v="0"/>
    <s v="1JUM"/>
    <s v="1JU"/>
    <x v="0"/>
    <s v="4°3°4EINGS"/>
    <s v="INGLÉS"/>
    <m/>
    <m/>
    <x v="0"/>
    <x v="0"/>
  </r>
  <r>
    <x v="16"/>
    <s v="4°3°1miVESPERTINO431"/>
    <n v="431"/>
    <s v="1miV46"/>
    <s v="1mi"/>
    <x v="2"/>
    <s v="4°3°4314EFTAE4"/>
    <s v="APLIC ELECT ANALOG "/>
    <n v="46"/>
    <m/>
    <x v="3"/>
    <x v="1"/>
  </r>
  <r>
    <x v="16"/>
    <s v="4°3°1JUTARDE432"/>
    <n v="432"/>
    <s v="1JUT44"/>
    <s v="1JU"/>
    <x v="1"/>
    <s v="4°3°4324EFTAE4"/>
    <s v="APLIC ELECT ANALOG "/>
    <n v="44"/>
    <m/>
    <x v="0"/>
    <x v="1"/>
  </r>
  <r>
    <x v="16"/>
    <s v="4°3°1LUMAÑANA0"/>
    <n v="0"/>
    <s v="1LUM"/>
    <s v="1LU"/>
    <x v="0"/>
    <s v="4°3°4EHIS"/>
    <s v="HISTORIA"/>
    <m/>
    <m/>
    <x v="1"/>
    <x v="0"/>
  </r>
  <r>
    <x v="16"/>
    <s v="4°3°1LUTARDE431"/>
    <n v="431"/>
    <s v="1LUT44"/>
    <s v="1LU"/>
    <x v="1"/>
    <s v="4°3°4314EFTMP4"/>
    <s v="MONTAJE DE PROYECTO ELECTRONICOS "/>
    <n v="44"/>
    <m/>
    <x v="1"/>
    <x v="1"/>
  </r>
  <r>
    <x v="16"/>
    <s v="4°3°1MAMAÑANA0"/>
    <n v="0"/>
    <s v="1MAM"/>
    <s v="1MA"/>
    <x v="0"/>
    <s v="4°3°4EFMC"/>
    <s v="FUNDAMENTOS DE LOS MODELOS CIRCUITALES"/>
    <m/>
    <m/>
    <x v="2"/>
    <x v="0"/>
  </r>
  <r>
    <x v="16"/>
    <s v="4°3°3VIMAÑANA0"/>
    <n v="0"/>
    <s v="3VIM"/>
    <s v="3VI"/>
    <x v="0"/>
    <s v="4°3°4EGEOS"/>
    <s v="GEOGRAFIA"/>
    <m/>
    <m/>
    <x v="4"/>
    <x v="0"/>
  </r>
  <r>
    <x v="16"/>
    <s v="4°3°1miTARDE432"/>
    <n v="432"/>
    <s v="1miT46"/>
    <s v="1mi"/>
    <x v="1"/>
    <s v="4°3°4324EFTMP4"/>
    <s v="MONTAJE DE PROYECTO ELECTRONICOS "/>
    <n v="46"/>
    <m/>
    <x v="3"/>
    <x v="1"/>
  </r>
  <r>
    <x v="16"/>
    <s v="4°3°1VIMAÑANA0"/>
    <n v="0"/>
    <s v="1VIM"/>
    <s v="1VI"/>
    <x v="0"/>
    <s v="4°3°4EQUIS"/>
    <s v="QUIMICA"/>
    <m/>
    <m/>
    <x v="4"/>
    <x v="0"/>
  </r>
  <r>
    <x v="16"/>
    <s v="4°3°1VITARDE431"/>
    <n v="431"/>
    <s v="1VIT44"/>
    <s v="1VI"/>
    <x v="1"/>
    <s v="4°3°4314EFTED4"/>
    <s v="APLIC ELECTR DIGITAL"/>
    <n v="44"/>
    <m/>
    <x v="4"/>
    <x v="1"/>
  </r>
  <r>
    <x v="16"/>
    <s v="4°3°1MIVESPERTINO432"/>
    <n v="432"/>
    <s v="1MIV46"/>
    <s v="1MI"/>
    <x v="2"/>
    <s v="4°3°4324EFTED4"/>
    <s v="APLIC ELECTR DIGITAL"/>
    <n v="46"/>
    <m/>
    <x v="3"/>
    <x v="1"/>
  </r>
  <r>
    <x v="16"/>
    <s v="4°3°2JUMAÑANA0"/>
    <n v="0"/>
    <s v="2JUM"/>
    <s v="2JU"/>
    <x v="0"/>
    <s v="4°3°4EINGS"/>
    <s v="INGLÉS"/>
    <m/>
    <m/>
    <x v="0"/>
    <x v="0"/>
  </r>
  <r>
    <x v="16"/>
    <s v="4°3°2miVESPERTINO431"/>
    <n v="431"/>
    <s v="2miV46"/>
    <s v="2mi"/>
    <x v="2"/>
    <s v="4°3°4314EFTAE4"/>
    <s v="APLIC ELECT ANALOG "/>
    <n v="46"/>
    <m/>
    <x v="3"/>
    <x v="1"/>
  </r>
  <r>
    <x v="16"/>
    <s v="4°3°2JUTARDE432"/>
    <n v="432"/>
    <s v="2JUT44"/>
    <s v="2JU"/>
    <x v="1"/>
    <s v="4°3°4324EFTAE4"/>
    <s v="APLIC ELECT ANALOG "/>
    <n v="44"/>
    <m/>
    <x v="0"/>
    <x v="1"/>
  </r>
  <r>
    <x v="16"/>
    <s v="4°3°2LUMAÑANA0"/>
    <n v="0"/>
    <s v="2LUM"/>
    <s v="2LU"/>
    <x v="0"/>
    <s v="4°3°4EHIS"/>
    <s v="HISTORIA"/>
    <m/>
    <m/>
    <x v="1"/>
    <x v="0"/>
  </r>
  <r>
    <x v="16"/>
    <s v="4°3°2LUTARDE431"/>
    <n v="431"/>
    <s v="2LUT44"/>
    <s v="2LU"/>
    <x v="1"/>
    <s v="4°3°4314EFTMP4"/>
    <s v="MONTAJE DE PROYECTO ELECTRONICOS "/>
    <n v="44"/>
    <m/>
    <x v="1"/>
    <x v="1"/>
  </r>
  <r>
    <x v="16"/>
    <s v="4°3°2MAMAÑANA0"/>
    <n v="0"/>
    <s v="2MAM"/>
    <s v="2MA"/>
    <x v="0"/>
    <s v="4°3°4EFMC"/>
    <s v="FUNDAMENTOS DE LOS MODELOS CIRCUITALES"/>
    <m/>
    <m/>
    <x v="2"/>
    <x v="0"/>
  </r>
  <r>
    <x v="16"/>
    <s v="4°3°4VIMAÑANA0"/>
    <n v="0"/>
    <s v="4VIM"/>
    <s v="4VI"/>
    <x v="0"/>
    <s v="4°3°4EGEOS"/>
    <s v="GEOGRAFIA"/>
    <m/>
    <m/>
    <x v="4"/>
    <x v="0"/>
  </r>
  <r>
    <x v="16"/>
    <s v="4°3°2miTARDE432"/>
    <n v="432"/>
    <s v="2miT46"/>
    <s v="2mi"/>
    <x v="1"/>
    <s v="4°3°4324EFTMP4"/>
    <s v="MONTAJE DE PROYECTO ELECTRONICOS "/>
    <n v="46"/>
    <m/>
    <x v="3"/>
    <x v="1"/>
  </r>
  <r>
    <x v="16"/>
    <s v="4°3°2VIMAÑANA0"/>
    <n v="0"/>
    <s v="2VIM"/>
    <s v="2VI"/>
    <x v="0"/>
    <s v="4°3°4EQUIS"/>
    <s v="QUIMICA"/>
    <m/>
    <m/>
    <x v="4"/>
    <x v="0"/>
  </r>
  <r>
    <x v="16"/>
    <s v="4°3°2VITARDE431"/>
    <n v="431"/>
    <s v="2VIT44"/>
    <s v="2VI"/>
    <x v="1"/>
    <s v="4°3°4314EFTED4"/>
    <s v="APLIC ELECTR DIGITAL"/>
    <n v="44"/>
    <m/>
    <x v="4"/>
    <x v="1"/>
  </r>
  <r>
    <x v="16"/>
    <s v="4°3°2MIVESPERTINO432"/>
    <n v="432"/>
    <s v="2MIV46"/>
    <s v="2MI"/>
    <x v="2"/>
    <s v="4°3°4324EFTED4"/>
    <s v="APLIC ELECTR DIGITAL"/>
    <n v="46"/>
    <m/>
    <x v="3"/>
    <x v="1"/>
  </r>
  <r>
    <x v="16"/>
    <s v="4°3°3JUMAÑANA0"/>
    <n v="0"/>
    <s v="3JUM"/>
    <s v="3JU"/>
    <x v="0"/>
    <s v="4°3°4ETELE"/>
    <s v="TECNOLOGIAS ELECTRONICAS"/>
    <m/>
    <m/>
    <x v="0"/>
    <x v="0"/>
  </r>
  <r>
    <x v="16"/>
    <s v="4°3°3miVESPERTINO431"/>
    <n v="431"/>
    <s v="3miV46"/>
    <s v="3mi"/>
    <x v="2"/>
    <s v="4°3°4314EFTAE4"/>
    <s v="APLIC ELECT ANALOG "/>
    <n v="46"/>
    <m/>
    <x v="3"/>
    <x v="1"/>
  </r>
  <r>
    <x v="16"/>
    <s v="4°3°3JUTARDE432"/>
    <n v="432"/>
    <s v="3JUT44"/>
    <s v="3JU"/>
    <x v="1"/>
    <s v="4°3°4324EFTAE4"/>
    <s v="APLIC ELECT ANALOG "/>
    <n v="44"/>
    <m/>
    <x v="0"/>
    <x v="1"/>
  </r>
  <r>
    <x v="16"/>
    <s v="4°3°3LUMAÑANA0"/>
    <n v="0"/>
    <s v="3LUM"/>
    <s v="3LU"/>
    <x v="0"/>
    <s v="4°3°4ESADS"/>
    <s v="SALUD Y ADOLESCENCIA"/>
    <m/>
    <m/>
    <x v="1"/>
    <x v="0"/>
  </r>
  <r>
    <x v="16"/>
    <s v="4°3°3LUTARDE431"/>
    <n v="431"/>
    <s v="3LUT44"/>
    <s v="3LU"/>
    <x v="1"/>
    <s v="4°3°4314EFTMP4"/>
    <s v="MONTAJE DE PROYECTO ELECTRONICOS "/>
    <n v="44"/>
    <m/>
    <x v="1"/>
    <x v="1"/>
  </r>
  <r>
    <x v="16"/>
    <s v="4°3°3MAMAÑANA0"/>
    <n v="0"/>
    <s v="3MAM"/>
    <s v="3MA"/>
    <x v="0"/>
    <s v="4°3°4EMATES"/>
    <s v="MATEMATICA"/>
    <m/>
    <m/>
    <x v="2"/>
    <x v="0"/>
  </r>
  <r>
    <x v="16"/>
    <s v="4°3°3MIMAÑANA0"/>
    <n v="0"/>
    <s v="3MIM"/>
    <s v="3MI"/>
    <x v="0"/>
    <s v="4°3°4EMATES"/>
    <s v="MATEMATICA"/>
    <m/>
    <m/>
    <x v="3"/>
    <x v="0"/>
  </r>
  <r>
    <x v="16"/>
    <s v="4°3°3miTARDE432"/>
    <n v="432"/>
    <s v="3miT46"/>
    <s v="3mi"/>
    <x v="1"/>
    <s v="4°3°4324EFTMP4"/>
    <s v="MONTAJE DE PROYECTO ELECTRONICOS "/>
    <n v="46"/>
    <m/>
    <x v="3"/>
    <x v="1"/>
  </r>
  <r>
    <x v="16"/>
    <s v="4°3°1MIMAÑANA0"/>
    <n v="0"/>
    <s v="1MIM"/>
    <s v="1MI"/>
    <x v="0"/>
    <s v="4°3°4EFIS"/>
    <s v="FISICA"/>
    <m/>
    <m/>
    <x v="3"/>
    <x v="0"/>
  </r>
  <r>
    <x v="16"/>
    <s v="4°3°3VITARDE431"/>
    <n v="431"/>
    <s v="3VIT44"/>
    <s v="3VI"/>
    <x v="1"/>
    <s v="4°3°4314EFTED4"/>
    <s v="APLIC ELECTR DIGITAL"/>
    <n v="44"/>
    <m/>
    <x v="4"/>
    <x v="1"/>
  </r>
  <r>
    <x v="16"/>
    <s v="4°3°3MIVESPERTINO432"/>
    <n v="432"/>
    <s v="3MIV46"/>
    <s v="3MI"/>
    <x v="2"/>
    <s v="4°3°4324EFTED4"/>
    <s v="APLIC ELECTR DIGITAL"/>
    <n v="46"/>
    <m/>
    <x v="3"/>
    <x v="1"/>
  </r>
  <r>
    <x v="16"/>
    <s v="4°3°4JUMAÑANA0"/>
    <n v="0"/>
    <s v="4JUM"/>
    <s v="4JU"/>
    <x v="0"/>
    <s v="4°3°4ETELE"/>
    <s v="TECNOLOGIAS ELECTRONICAS"/>
    <m/>
    <m/>
    <x v="0"/>
    <x v="0"/>
  </r>
  <r>
    <x v="16"/>
    <s v="4°3°4miVESPERTINO431"/>
    <n v="431"/>
    <s v="4miV46"/>
    <s v="4mi"/>
    <x v="2"/>
    <s v="4°3°4314EFTAE4"/>
    <s v="APLIC ELECT ANALOG "/>
    <n v="46"/>
    <m/>
    <x v="3"/>
    <x v="1"/>
  </r>
  <r>
    <x v="16"/>
    <s v="4°3°4JUTARDE432"/>
    <n v="432"/>
    <s v="4JUT44"/>
    <s v="4JU"/>
    <x v="1"/>
    <s v="4°3°4324EFTAE4"/>
    <s v="APLIC ELECT ANALOG "/>
    <n v="44"/>
    <m/>
    <x v="0"/>
    <x v="1"/>
  </r>
  <r>
    <x v="16"/>
    <s v="4°3°4LUMAÑANA0"/>
    <n v="0"/>
    <s v="4LUM"/>
    <s v="4LU"/>
    <x v="0"/>
    <s v="4°3°4ESADS"/>
    <s v="SALUD Y ADOLESCENCIA"/>
    <m/>
    <m/>
    <x v="1"/>
    <x v="0"/>
  </r>
  <r>
    <x v="16"/>
    <s v="4°3°4LUTARDE431"/>
    <n v="431"/>
    <s v="4LUT44"/>
    <s v="4LU"/>
    <x v="1"/>
    <s v="4°3°4314EFTMP4"/>
    <s v="MONTAJE DE PROYECTO ELECTRONICOS "/>
    <n v="44"/>
    <m/>
    <x v="1"/>
    <x v="1"/>
  </r>
  <r>
    <x v="16"/>
    <s v="4°3°4MAMAÑANA0"/>
    <n v="0"/>
    <s v="4MAM"/>
    <s v="4MA"/>
    <x v="0"/>
    <s v="4°3°4EMATES"/>
    <s v="MATEMATICA"/>
    <m/>
    <m/>
    <x v="2"/>
    <x v="0"/>
  </r>
  <r>
    <x v="16"/>
    <s v="4°3°4MATARDE0"/>
    <n v="0"/>
    <s v="4MATPATIO2"/>
    <s v="4MA"/>
    <x v="1"/>
    <s v="4°3°4EEFIS"/>
    <s v="EDUCACIÓN FISICA"/>
    <s v="PATIO2"/>
    <m/>
    <x v="2"/>
    <x v="1"/>
  </r>
  <r>
    <x v="16"/>
    <s v="4°3°4MIMAÑANA0"/>
    <n v="0"/>
    <s v="4MIM"/>
    <s v="4MI"/>
    <x v="0"/>
    <s v="4°3°4EMATES"/>
    <s v="MATEMATICA"/>
    <m/>
    <m/>
    <x v="3"/>
    <x v="0"/>
  </r>
  <r>
    <x v="16"/>
    <s v="4°3°4miTARDE432"/>
    <n v="432"/>
    <s v="4miT46"/>
    <s v="4mi"/>
    <x v="1"/>
    <s v="4°3°4324EFTMP4"/>
    <s v="MONTAJE DE PROYECTO ELECTRONICOS "/>
    <n v="46"/>
    <m/>
    <x v="3"/>
    <x v="1"/>
  </r>
  <r>
    <x v="16"/>
    <s v="4°3°2MIMAÑANA0"/>
    <n v="0"/>
    <s v="2MIM"/>
    <s v="2MI"/>
    <x v="0"/>
    <s v="4°3°4EFIS"/>
    <s v="FISICA"/>
    <m/>
    <m/>
    <x v="3"/>
    <x v="0"/>
  </r>
  <r>
    <x v="16"/>
    <s v="4°3°4VITARDE431"/>
    <n v="431"/>
    <s v="4VIT44"/>
    <s v="4VI"/>
    <x v="1"/>
    <s v="4°3°4314EFTED4"/>
    <s v="APLIC ELECTR DIGITAL"/>
    <n v="44"/>
    <m/>
    <x v="4"/>
    <x v="1"/>
  </r>
  <r>
    <x v="16"/>
    <s v="4°3°4MIVESPERTINO432"/>
    <n v="432"/>
    <s v="4MIV46"/>
    <s v="4MI"/>
    <x v="2"/>
    <s v="4°3°4324EFTED4"/>
    <s v="APLIC ELECTR DIGITAL"/>
    <n v="46"/>
    <m/>
    <x v="3"/>
    <x v="1"/>
  </r>
  <r>
    <x v="16"/>
    <s v="4°3°5JUMAÑANA0"/>
    <n v="0"/>
    <s v="5JUM"/>
    <s v="5JU"/>
    <x v="0"/>
    <s v="4°3°4ELITS"/>
    <s v="LITERATURA"/>
    <m/>
    <m/>
    <x v="0"/>
    <x v="0"/>
  </r>
  <r>
    <x v="16"/>
    <s v="4°3°5LUMAÑANA0"/>
    <n v="0"/>
    <s v="5LUM"/>
    <s v="5LU"/>
    <x v="0"/>
    <s v="4°3°4ELITS"/>
    <s v="LITERATURA"/>
    <m/>
    <m/>
    <x v="1"/>
    <x v="0"/>
  </r>
  <r>
    <x v="16"/>
    <s v="4°3°5MATARDE0"/>
    <n v="0"/>
    <s v="5MATPATIO2"/>
    <s v="5MA"/>
    <x v="1"/>
    <s v="4°3°4EEFIS"/>
    <s v="EDUCACIÓN FISICA"/>
    <s v="PATIO2"/>
    <m/>
    <x v="2"/>
    <x v="1"/>
  </r>
  <r>
    <x v="16"/>
    <s v="4°3°5MIMAÑANA0"/>
    <n v="0"/>
    <s v="5MIM"/>
    <s v="5MI"/>
    <x v="0"/>
    <s v="4°3°4EFIS"/>
    <s v="FISICA"/>
    <m/>
    <m/>
    <x v="3"/>
    <x v="0"/>
  </r>
  <r>
    <x v="17"/>
    <s v="4°4°1JUVESPERTINO0"/>
    <n v="0"/>
    <s v="1JUV"/>
    <s v="1JU"/>
    <x v="2"/>
    <s v="4°4°4EMATES"/>
    <s v="MATEMATICA"/>
    <m/>
    <m/>
    <x v="0"/>
    <x v="0"/>
  </r>
  <r>
    <x v="17"/>
    <s v="4°4°1LUMAÑANA441"/>
    <n v="441"/>
    <s v="1LUM46"/>
    <s v="1LU"/>
    <x v="0"/>
    <s v="4°4°4414EFTAE4"/>
    <s v="APLIC ELECT ANALOG "/>
    <n v="46"/>
    <m/>
    <x v="1"/>
    <x v="1"/>
  </r>
  <r>
    <x v="17"/>
    <s v="4°4°1LUVESPERTINO0"/>
    <n v="0"/>
    <s v="1LUV"/>
    <s v="1LU"/>
    <x v="2"/>
    <s v="4°4°4ELITS"/>
    <s v="LITERATURA"/>
    <m/>
    <m/>
    <x v="1"/>
    <x v="0"/>
  </r>
  <r>
    <x v="17"/>
    <s v="4°4°1MAMAÑANA441"/>
    <n v="441"/>
    <s v="1MAM45"/>
    <s v="1MA"/>
    <x v="0"/>
    <s v="4°4°4414EFTED4"/>
    <s v="APLIC ELECTR DIGITAL"/>
    <n v="45"/>
    <m/>
    <x v="2"/>
    <x v="1"/>
  </r>
  <r>
    <x v="17"/>
    <s v="4°4°1luMAÑANA442"/>
    <n v="442"/>
    <s v="1luMHARDWARE"/>
    <s v="1lu"/>
    <x v="0"/>
    <s v="4°4°4424EFTAE4"/>
    <s v="APLIC ELECT ANALOG "/>
    <s v="HARDWARE"/>
    <m/>
    <x v="1"/>
    <x v="1"/>
  </r>
  <r>
    <x v="17"/>
    <s v="4°4°1MAVESPERTINO0"/>
    <n v="0"/>
    <s v="1MAV"/>
    <s v="1MA"/>
    <x v="2"/>
    <s v="4°4°4EHIS"/>
    <s v="HISTORIA"/>
    <m/>
    <m/>
    <x v="2"/>
    <x v="0"/>
  </r>
  <r>
    <x v="17"/>
    <s v="4°4°1viTARDE442"/>
    <n v="442"/>
    <s v="1viT46"/>
    <s v="1vi"/>
    <x v="1"/>
    <s v="4°4°4424EFTED4"/>
    <s v="APLIC ELECTR DIGITAL"/>
    <n v="46"/>
    <m/>
    <x v="4"/>
    <x v="1"/>
  </r>
  <r>
    <x v="17"/>
    <s v="4°4°1MIVESPERTINO0"/>
    <n v="0"/>
    <s v="1MIV"/>
    <s v="1MI"/>
    <x v="2"/>
    <s v="4°4°4EGEOS"/>
    <s v="GEOGRAFIA"/>
    <m/>
    <m/>
    <x v="3"/>
    <x v="0"/>
  </r>
  <r>
    <x v="17"/>
    <s v="4°4°1VIMAÑANA441"/>
    <n v="441"/>
    <s v="1VIM46"/>
    <s v="1VI"/>
    <x v="0"/>
    <s v="4°4°4414EFTMP4"/>
    <s v="MONTAJE DE PROYECTO ELECTRONICOS "/>
    <n v="46"/>
    <m/>
    <x v="4"/>
    <x v="1"/>
  </r>
  <r>
    <x v="17"/>
    <s v="4°4°1VIMAÑANA442"/>
    <n v="442"/>
    <s v="1VIMaula 4"/>
    <s v="1VI"/>
    <x v="0"/>
    <s v="4°4°4424EFTMP4"/>
    <s v="MONTAJE DE PROYECTO ELECTRONICOS "/>
    <s v="aula 4"/>
    <m/>
    <x v="4"/>
    <x v="1"/>
  </r>
  <r>
    <x v="17"/>
    <s v="4°4°1VIVESPERTINO0"/>
    <n v="0"/>
    <s v="1VIV"/>
    <s v="1VI"/>
    <x v="2"/>
    <s v="4°4°4EINGS"/>
    <s v="INGLÉS"/>
    <m/>
    <m/>
    <x v="4"/>
    <x v="0"/>
  </r>
  <r>
    <x v="17"/>
    <s v="4°4°2JUVESPERTINO0"/>
    <n v="0"/>
    <s v="2JUV"/>
    <s v="2JU"/>
    <x v="2"/>
    <s v="4°4°4EMATES"/>
    <s v="MATEMATICA"/>
    <m/>
    <m/>
    <x v="0"/>
    <x v="0"/>
  </r>
  <r>
    <x v="17"/>
    <s v="4°4°2LUMAÑANA441"/>
    <n v="441"/>
    <s v="2LUM46"/>
    <s v="2LU"/>
    <x v="0"/>
    <s v="4°4°4414EFTAE4"/>
    <s v="APLIC ELECT ANALOG "/>
    <n v="46"/>
    <m/>
    <x v="1"/>
    <x v="1"/>
  </r>
  <r>
    <x v="17"/>
    <s v="4°4°2LUVESPERTINO0"/>
    <n v="0"/>
    <s v="2LUV"/>
    <s v="2LU"/>
    <x v="2"/>
    <s v="4°4°4ELITS"/>
    <s v="LITERATURA"/>
    <m/>
    <m/>
    <x v="1"/>
    <x v="0"/>
  </r>
  <r>
    <x v="17"/>
    <s v="4°4°2MAMAÑANA441"/>
    <n v="441"/>
    <s v="2MAM45"/>
    <s v="2MA"/>
    <x v="0"/>
    <s v="4°4°4414EFTED4"/>
    <s v="APLIC ELECTR DIGITAL"/>
    <n v="45"/>
    <m/>
    <x v="2"/>
    <x v="1"/>
  </r>
  <r>
    <x v="17"/>
    <s v="4°4°2luMAÑANA442"/>
    <n v="442"/>
    <s v="2luMHARDWARE"/>
    <s v="2lu"/>
    <x v="0"/>
    <s v="4°4°4424EFTAE4"/>
    <s v="APLIC ELECT ANALOG "/>
    <s v="HARDWARE"/>
    <m/>
    <x v="1"/>
    <x v="1"/>
  </r>
  <r>
    <x v="17"/>
    <s v="4°4°2MAVESPERTINO0"/>
    <n v="0"/>
    <s v="2MAV"/>
    <s v="2MA"/>
    <x v="2"/>
    <s v="4°4°4EFIS"/>
    <s v="FISICA"/>
    <m/>
    <m/>
    <x v="2"/>
    <x v="0"/>
  </r>
  <r>
    <x v="17"/>
    <s v="4°4°2viTARDE442"/>
    <n v="442"/>
    <s v="2viT46"/>
    <s v="2vi"/>
    <x v="1"/>
    <s v="4°4°4424EFTED4"/>
    <s v="APLIC ELECTR DIGITAL"/>
    <n v="46"/>
    <m/>
    <x v="4"/>
    <x v="1"/>
  </r>
  <r>
    <x v="17"/>
    <s v="4°4°2MIVESPERTINO0"/>
    <n v="0"/>
    <s v="2MIV"/>
    <s v="2MI"/>
    <x v="2"/>
    <s v="4°4°4EGEOS"/>
    <s v="GEOGRAFIA"/>
    <m/>
    <m/>
    <x v="3"/>
    <x v="0"/>
  </r>
  <r>
    <x v="17"/>
    <s v="4°4°2VIMAÑANA441"/>
    <n v="441"/>
    <s v="2VIM46"/>
    <s v="2VI"/>
    <x v="0"/>
    <s v="4°4°4414EFTMP4"/>
    <s v="MONTAJE DE PROYECTO ELECTRONICOS "/>
    <n v="46"/>
    <m/>
    <x v="4"/>
    <x v="1"/>
  </r>
  <r>
    <x v="17"/>
    <s v="4°4°2VIMAÑANA442"/>
    <n v="442"/>
    <s v="2VIMaula 4"/>
    <s v="2VI"/>
    <x v="0"/>
    <s v="4°4°4424EFTMP4"/>
    <s v="MONTAJE DE PROYECTO ELECTRONICOS "/>
    <s v="aula 4"/>
    <m/>
    <x v="4"/>
    <x v="1"/>
  </r>
  <r>
    <x v="17"/>
    <s v="4°4°PHEHORAJUVESPERTINO0"/>
    <n v="0"/>
    <s v="PHEHORAJUV"/>
    <s v="PHEHORAJU"/>
    <x v="2"/>
    <s v="4°4°4EMATES"/>
    <s v="MATEMATICA"/>
    <m/>
    <m/>
    <x v="0"/>
    <x v="0"/>
  </r>
  <r>
    <x v="17"/>
    <s v="4°4°3JUMAÑANA0"/>
    <n v="0"/>
    <s v="3JUMPATIO"/>
    <s v="3JU"/>
    <x v="0"/>
    <s v="4°4°4EEFIS"/>
    <s v="EDUCACIÓN FISICA"/>
    <s v="PATIO"/>
    <m/>
    <x v="0"/>
    <x v="1"/>
  </r>
  <r>
    <x v="17"/>
    <s v="4°4°3JUVESPERTINO0"/>
    <n v="0"/>
    <s v="3JUV"/>
    <s v="3JU"/>
    <x v="2"/>
    <s v="4°4°4EFMC"/>
    <s v="FUNDAMENTOS DE LOS MODELOS CIRCUITALES"/>
    <m/>
    <m/>
    <x v="0"/>
    <x v="0"/>
  </r>
  <r>
    <x v="17"/>
    <s v="4°4°3LUMAÑANA441"/>
    <n v="441"/>
    <s v="3LUM46"/>
    <s v="3LU"/>
    <x v="0"/>
    <s v="4°4°4414EFTAE4"/>
    <s v="APLIC ELECT ANALOG "/>
    <n v="46"/>
    <m/>
    <x v="1"/>
    <x v="1"/>
  </r>
  <r>
    <x v="17"/>
    <s v="4°4°3LUVESPERTINO0"/>
    <n v="0"/>
    <s v="3LUV"/>
    <s v="3LU"/>
    <x v="2"/>
    <s v="4°4°4ETELE"/>
    <s v="TECNOLOGIAS ELECTRONICAS"/>
    <m/>
    <m/>
    <x v="1"/>
    <x v="0"/>
  </r>
  <r>
    <x v="17"/>
    <s v="4°4°3MAMAÑANA441"/>
    <n v="441"/>
    <s v="3MAM45"/>
    <s v="3MA"/>
    <x v="0"/>
    <s v="4°4°4414EFTED4"/>
    <s v="APLIC ELECTR DIGITAL"/>
    <n v="45"/>
    <m/>
    <x v="2"/>
    <x v="1"/>
  </r>
  <r>
    <x v="17"/>
    <s v="4°4°3luMAÑANA442"/>
    <n v="442"/>
    <s v="3luMHARDWARE"/>
    <s v="3lu"/>
    <x v="0"/>
    <s v="4°4°4424EFTAE4"/>
    <s v="APLIC ELECT ANALOG "/>
    <s v="HARDWARE"/>
    <m/>
    <x v="1"/>
    <x v="1"/>
  </r>
  <r>
    <x v="17"/>
    <s v="4°4°3MAVESPERTINO0"/>
    <n v="0"/>
    <s v="3MAV"/>
    <s v="3MA"/>
    <x v="2"/>
    <s v="4°4°4EFIS"/>
    <s v="FISICA"/>
    <m/>
    <m/>
    <x v="2"/>
    <x v="0"/>
  </r>
  <r>
    <x v="17"/>
    <s v="4°4°3viTARDE442"/>
    <n v="442"/>
    <s v="3viT46"/>
    <s v="3vi"/>
    <x v="1"/>
    <s v="4°4°4424EFTED4"/>
    <s v="APLIC ELECTR DIGITAL"/>
    <n v="46"/>
    <m/>
    <x v="4"/>
    <x v="1"/>
  </r>
  <r>
    <x v="17"/>
    <s v="4°4°3MIVESPERTINO0"/>
    <n v="0"/>
    <s v="3MIV"/>
    <s v="3MI"/>
    <x v="2"/>
    <s v="4°4°4ESADS"/>
    <s v="SALUD Y ADOLESCENCIA"/>
    <m/>
    <m/>
    <x v="3"/>
    <x v="0"/>
  </r>
  <r>
    <x v="17"/>
    <s v="4°4°3VIMAÑANA441"/>
    <n v="441"/>
    <s v="3VIM46"/>
    <s v="3VI"/>
    <x v="0"/>
    <s v="4°4°4414EFTMP4"/>
    <s v="MONTAJE DE PROYECTO ELECTRONICOS "/>
    <n v="46"/>
    <m/>
    <x v="4"/>
    <x v="1"/>
  </r>
  <r>
    <x v="17"/>
    <s v="4°4°3VIMAÑANA442"/>
    <n v="442"/>
    <s v="3VIMaula 4"/>
    <s v="3VI"/>
    <x v="0"/>
    <s v="4°4°4424EFTMP4"/>
    <s v="MONTAJE DE PROYECTO ELECTRONICOS "/>
    <s v="aula 4"/>
    <m/>
    <x v="4"/>
    <x v="1"/>
  </r>
  <r>
    <x v="17"/>
    <s v="4°4°3VIVESPERTINO0"/>
    <n v="0"/>
    <s v="3VIV"/>
    <s v="3VI"/>
    <x v="2"/>
    <s v="4°4°4EQUIS"/>
    <s v="QUIMICA"/>
    <m/>
    <m/>
    <x v="4"/>
    <x v="0"/>
  </r>
  <r>
    <x v="17"/>
    <s v="4°4°4JUMAÑANA0"/>
    <n v="0"/>
    <s v="4JUMPATIO"/>
    <s v="4JU"/>
    <x v="0"/>
    <s v="4°4°4EEFIS"/>
    <s v="EDUCACIÓN FISICA"/>
    <s v="PATIO"/>
    <m/>
    <x v="0"/>
    <x v="1"/>
  </r>
  <r>
    <x v="17"/>
    <s v="4°4°4JUVESPERTINO0"/>
    <n v="0"/>
    <s v="4JUV"/>
    <s v="4JU"/>
    <x v="2"/>
    <s v="4°4°4EFMC"/>
    <s v="FUNDAMENTOS DE LOS MODELOS CIRCUITALES"/>
    <m/>
    <m/>
    <x v="0"/>
    <x v="0"/>
  </r>
  <r>
    <x v="17"/>
    <s v="4°4°4LUMAÑANA441"/>
    <n v="441"/>
    <s v="4LUM46"/>
    <s v="4LU"/>
    <x v="0"/>
    <s v="4°4°4414EFTAE4"/>
    <s v="APLIC ELECT ANALOG "/>
    <n v="46"/>
    <m/>
    <x v="1"/>
    <x v="1"/>
  </r>
  <r>
    <x v="17"/>
    <s v="4°4°4LUVESPERTINO0"/>
    <n v="0"/>
    <s v="4LUV"/>
    <s v="4LU"/>
    <x v="2"/>
    <s v="4°4°4ETELE"/>
    <s v="TECNOLOGIAS ELECTRONICAS"/>
    <m/>
    <m/>
    <x v="1"/>
    <x v="0"/>
  </r>
  <r>
    <x v="17"/>
    <s v="4°4°4MAMAÑANA441"/>
    <n v="441"/>
    <s v="4MAM45"/>
    <s v="4MA"/>
    <x v="0"/>
    <s v="4°4°4414EFTED4"/>
    <s v="APLIC ELECTR DIGITAL"/>
    <n v="45"/>
    <m/>
    <x v="2"/>
    <x v="1"/>
  </r>
  <r>
    <x v="17"/>
    <s v="4°4°4luMAÑANA442"/>
    <n v="442"/>
    <s v="4luMHARDWARE"/>
    <s v="4lu"/>
    <x v="0"/>
    <s v="4°4°4424EFTAE4"/>
    <s v="APLIC ELECT ANALOG "/>
    <s v="HARDWARE"/>
    <m/>
    <x v="1"/>
    <x v="1"/>
  </r>
  <r>
    <x v="17"/>
    <s v="4°4°4MAVESPERTINO0"/>
    <n v="0"/>
    <s v="4MAV"/>
    <s v="4MA"/>
    <x v="2"/>
    <s v="4°4°4EFIS"/>
    <s v="FISICA"/>
    <m/>
    <m/>
    <x v="2"/>
    <x v="0"/>
  </r>
  <r>
    <x v="17"/>
    <s v="4°4°4viTARDE442"/>
    <n v="442"/>
    <s v="4viT46"/>
    <s v="4vi"/>
    <x v="1"/>
    <s v="4°4°4424EFTED4"/>
    <s v="APLIC ELECTR DIGITAL"/>
    <n v="46"/>
    <m/>
    <x v="4"/>
    <x v="1"/>
  </r>
  <r>
    <x v="17"/>
    <s v="4°4°4MIVESPERTINO0"/>
    <n v="0"/>
    <s v="4MIV"/>
    <s v="4MI"/>
    <x v="2"/>
    <s v="4°4°4ESADS"/>
    <s v="SALUD Y ADOLESCENCIA"/>
    <m/>
    <m/>
    <x v="3"/>
    <x v="0"/>
  </r>
  <r>
    <x v="17"/>
    <s v="4°4°4VIMAÑANA441"/>
    <n v="441"/>
    <s v="4VIM46"/>
    <s v="4VI"/>
    <x v="0"/>
    <s v="4°4°4414EFTMP4"/>
    <s v="MONTAJE DE PROYECTO ELECTRONICOS "/>
    <n v="46"/>
    <m/>
    <x v="4"/>
    <x v="1"/>
  </r>
  <r>
    <x v="17"/>
    <s v="4°4°4VIMAÑANA442"/>
    <n v="442"/>
    <s v="4VIMaula 4"/>
    <s v="4VI"/>
    <x v="0"/>
    <s v="4°4°4424EFTMP4"/>
    <s v="MONTAJE DE PROYECTO ELECTRONICOS "/>
    <s v="aula 4"/>
    <m/>
    <x v="4"/>
    <x v="1"/>
  </r>
  <r>
    <x v="17"/>
    <s v="4°4°4VIVESPERTINO0"/>
    <n v="0"/>
    <s v="4VIV"/>
    <s v="4VI"/>
    <x v="2"/>
    <s v="4°4°4EQUIS"/>
    <s v="QUIMICA"/>
    <m/>
    <m/>
    <x v="4"/>
    <x v="0"/>
  </r>
  <r>
    <x v="17"/>
    <s v="4°4°PREHORAMIVESPERTINO0"/>
    <n v="0"/>
    <s v="PREHORAMIV"/>
    <s v="PREHORAMI"/>
    <x v="2"/>
    <s v="4°4°4EMATES"/>
    <s v="MATEMATICA"/>
    <m/>
    <m/>
    <x v="3"/>
    <x v="0"/>
  </r>
  <r>
    <x v="17"/>
    <s v="4°4°PREHORAMAVESPERTINO0"/>
    <n v="0"/>
    <s v="PREHORAMAV"/>
    <s v="PREHORAMA"/>
    <x v="2"/>
    <s v="4°4°4EHIS"/>
    <s v="HISTORIA"/>
    <m/>
    <m/>
    <x v="2"/>
    <x v="0"/>
  </r>
  <r>
    <x v="17"/>
    <s v="4°4°PREHORAVIVESPERTINO0"/>
    <n v="0"/>
    <s v="PREHORAVIV"/>
    <s v="PREHORAVI"/>
    <x v="2"/>
    <s v="4°4°4EINGS"/>
    <s v="INGLÉS"/>
    <m/>
    <m/>
    <x v="4"/>
    <x v="0"/>
  </r>
  <r>
    <x v="18"/>
    <s v="5°5°1maMAÑANA552"/>
    <n v="552"/>
    <s v="1maMSUPERPUESTO"/>
    <s v="1ma"/>
    <x v="0"/>
    <s v="5°5°5525IFTLP5"/>
    <s v="LAB DE PROGRAM "/>
    <s v="superpuesto"/>
    <m/>
    <x v="2"/>
    <x v="1"/>
  </r>
  <r>
    <x v="18"/>
    <s v="5°5°1JUTARDE552"/>
    <n v="552"/>
    <s v="1JUT31"/>
    <s v="1JU"/>
    <x v="1"/>
    <s v="5°5°5525IFTLS5"/>
    <s v="LAB DE SIST OPERATIVOS"/>
    <n v="31"/>
    <m/>
    <x v="0"/>
    <x v="1"/>
  </r>
  <r>
    <x v="18"/>
    <s v="5°5°1JUVESPERTINO0"/>
    <n v="0"/>
    <s v="1JUV"/>
    <s v="1JU"/>
    <x v="2"/>
    <s v="5°5°5IANMAT"/>
    <s v="ANALISIS MATEMATICO"/>
    <m/>
    <m/>
    <x v="0"/>
    <x v="0"/>
  </r>
  <r>
    <x v="18"/>
    <s v="5°5°1LUTARDE551"/>
    <n v="551"/>
    <s v="1LUT30"/>
    <s v="1LU"/>
    <x v="1"/>
    <s v="5°5°5515IFTLS5"/>
    <s v="LAB DE SIST OPERATIVOS"/>
    <n v="30"/>
    <m/>
    <x v="1"/>
    <x v="1"/>
  </r>
  <r>
    <x v="18"/>
    <s v="5°5°1LUTARDE552"/>
    <n v="552"/>
    <s v="1LUT40"/>
    <s v="1LU"/>
    <x v="1"/>
    <s v="5°5°5525IFTLH5"/>
    <s v="LAB DE HARDWARE "/>
    <n v="40"/>
    <m/>
    <x v="1"/>
    <x v="1"/>
  </r>
  <r>
    <x v="18"/>
    <s v="5°5°1LUVESPERTINO0"/>
    <n v="0"/>
    <s v="1LUV"/>
    <s v="1LU"/>
    <x v="2"/>
    <s v="5°5°5IANMAT"/>
    <s v="ANALISIS MATEMATICO"/>
    <m/>
    <m/>
    <x v="1"/>
    <x v="0"/>
  </r>
  <r>
    <x v="18"/>
    <s v="5°5°5MIMAÑANA551"/>
    <n v="551"/>
    <s v="5MIM40"/>
    <s v="5MI"/>
    <x v="0"/>
    <s v="5°5°5515IFTLP5"/>
    <s v="LAB DE PROGRAM "/>
    <n v="40"/>
    <m/>
    <x v="3"/>
    <x v="1"/>
  </r>
  <r>
    <x v="18"/>
    <s v="5°5°1MATARDE0"/>
    <n v="0"/>
    <s v="1MATPATIO"/>
    <s v="1MA"/>
    <x v="1"/>
    <s v="5°5°5IEFIS"/>
    <s v="EDUCACIÓN FISICA"/>
    <s v="PATIO"/>
    <m/>
    <x v="2"/>
    <x v="1"/>
  </r>
  <r>
    <x v="18"/>
    <s v="5°5°1MAVESPERTINO0"/>
    <n v="0"/>
    <s v="1MAV"/>
    <s v="1MA"/>
    <x v="2"/>
    <s v="5°5°5IINGS"/>
    <s v="INGLÉS"/>
    <m/>
    <m/>
    <x v="2"/>
    <x v="0"/>
  </r>
  <r>
    <x v="18"/>
    <s v="5°5°1MITARDE551"/>
    <n v="551"/>
    <s v="1MIT40"/>
    <s v="1MI"/>
    <x v="1"/>
    <s v="5°5°5515IFTLA5"/>
    <s v="LAB DE APLICACIONES "/>
    <n v="40"/>
    <m/>
    <x v="3"/>
    <x v="1"/>
  </r>
  <r>
    <x v="18"/>
    <s v="5°5°1MIVESPERTINO0"/>
    <n v="0"/>
    <s v="1MIV"/>
    <s v="1MI"/>
    <x v="2"/>
    <s v="5°5°5IGEOS5"/>
    <s v="GEOGRAFIA"/>
    <m/>
    <m/>
    <x v="3"/>
    <x v="0"/>
  </r>
  <r>
    <x v="18"/>
    <s v="5°5°1VIVESPERTINO0"/>
    <n v="0"/>
    <s v="1VIV"/>
    <s v="1VI"/>
    <x v="2"/>
    <s v="5°5°5IHIS5"/>
    <s v="HISTORIA"/>
    <m/>
    <m/>
    <x v="4"/>
    <x v="0"/>
  </r>
  <r>
    <x v="18"/>
    <s v="5°5°2maMAÑANA552"/>
    <n v="552"/>
    <s v="2maMSUPERPUESTO"/>
    <s v="2ma"/>
    <x v="0"/>
    <s v="5°5°5525IFTLP5"/>
    <s v="LAB DE PROGRAM "/>
    <s v="superpuesto"/>
    <m/>
    <x v="2"/>
    <x v="1"/>
  </r>
  <r>
    <x v="18"/>
    <s v="5°5°2JUTARDE552"/>
    <n v="552"/>
    <s v="2JUT31"/>
    <s v="2JU"/>
    <x v="1"/>
    <s v="5°5°5525IFTLS5"/>
    <s v="LAB DE SIST OPERATIVOS"/>
    <n v="31"/>
    <m/>
    <x v="0"/>
    <x v="1"/>
  </r>
  <r>
    <x v="18"/>
    <s v="5°5°2JUVESPERTINO0"/>
    <n v="0"/>
    <s v="2JUV"/>
    <s v="2JU"/>
    <x v="2"/>
    <s v="5°5°5IANMAT"/>
    <s v="ANALISIS MATEMATICO"/>
    <m/>
    <m/>
    <x v="0"/>
    <x v="0"/>
  </r>
  <r>
    <x v="18"/>
    <s v="5°5°2LUTARDE551"/>
    <n v="551"/>
    <s v="2LUT30"/>
    <s v="2LU"/>
    <x v="1"/>
    <s v="5°5°5515IFTLS5"/>
    <s v="LAB DE SIST OPERATIVOS"/>
    <n v="30"/>
    <m/>
    <x v="1"/>
    <x v="1"/>
  </r>
  <r>
    <x v="18"/>
    <s v="5°5°2LUTARDE552"/>
    <n v="552"/>
    <s v="2LUT40"/>
    <s v="2LU"/>
    <x v="1"/>
    <s v="5°5°5525IFTLH5"/>
    <s v="LAB DE HARDWARE "/>
    <n v="40"/>
    <m/>
    <x v="1"/>
    <x v="1"/>
  </r>
  <r>
    <x v="18"/>
    <s v="5°5°2LUVESPERTINO0"/>
    <n v="0"/>
    <s v="2LUV"/>
    <s v="2LU"/>
    <x v="2"/>
    <s v="5°5°5IANMAT"/>
    <s v="ANALISIS MATEMATICO"/>
    <m/>
    <m/>
    <x v="1"/>
    <x v="0"/>
  </r>
  <r>
    <x v="18"/>
    <s v="5°5°4MIMAÑANA551"/>
    <n v="551"/>
    <s v="4MIM40"/>
    <s v="4MI"/>
    <x v="0"/>
    <s v="5°5°5515IFTLP5"/>
    <s v="LAB DE PROGRAM "/>
    <n v="40"/>
    <m/>
    <x v="3"/>
    <x v="1"/>
  </r>
  <r>
    <x v="18"/>
    <s v="5°5°2MATARDE0"/>
    <n v="0"/>
    <s v="2MATPATIO"/>
    <s v="2MA"/>
    <x v="1"/>
    <s v="5°5°5IEFIS"/>
    <s v="EDUCACIÓN FISICA"/>
    <s v="PATIO"/>
    <m/>
    <x v="2"/>
    <x v="1"/>
  </r>
  <r>
    <x v="18"/>
    <s v="5°5°2MAVESPERTINO0"/>
    <n v="0"/>
    <s v="2MAV"/>
    <s v="2MA"/>
    <x v="2"/>
    <s v="5°5°5IINGS"/>
    <s v="INGLÉS"/>
    <m/>
    <m/>
    <x v="2"/>
    <x v="0"/>
  </r>
  <r>
    <x v="18"/>
    <s v="5°5°2MITARDE551"/>
    <n v="551"/>
    <s v="2MIT40"/>
    <s v="2MI"/>
    <x v="1"/>
    <s v="5°5°5515IFTLA5"/>
    <s v="LAB DE APLICACIONES "/>
    <n v="40"/>
    <m/>
    <x v="3"/>
    <x v="1"/>
  </r>
  <r>
    <x v="18"/>
    <s v="5°5°2MIVESPERTINO0"/>
    <n v="0"/>
    <s v="2MIV"/>
    <s v="2MI"/>
    <x v="2"/>
    <s v="5°5°5IGEOS5"/>
    <s v="GEOGRAFIA"/>
    <m/>
    <m/>
    <x v="3"/>
    <x v="0"/>
  </r>
  <r>
    <x v="18"/>
    <s v="5°5°2VIVESPERTINO0"/>
    <n v="0"/>
    <s v="2VIV"/>
    <s v="2VI"/>
    <x v="2"/>
    <s v="5°5°5ISIDI4"/>
    <s v="SISTEMA DIGITAL"/>
    <m/>
    <m/>
    <x v="4"/>
    <x v="0"/>
  </r>
  <r>
    <x v="18"/>
    <s v="5°5°3JUTARDE552"/>
    <n v="552"/>
    <s v="3JUT31"/>
    <s v="3JU"/>
    <x v="1"/>
    <s v="5°5°5525IFTLS5"/>
    <s v="LAB DE SIST OPERATIVOS"/>
    <n v="31"/>
    <m/>
    <x v="0"/>
    <x v="1"/>
  </r>
  <r>
    <x v="18"/>
    <s v="5°5°3JUVESPERTINO0"/>
    <n v="0"/>
    <s v="3JUV"/>
    <s v="3JU"/>
    <x v="2"/>
    <s v="5°5°5IPYCS"/>
    <s v="POLITICA Y CIUDADANIA"/>
    <m/>
    <m/>
    <x v="0"/>
    <x v="0"/>
  </r>
  <r>
    <x v="18"/>
    <s v="5°5°3LUTARDE551"/>
    <n v="551"/>
    <s v="3LUT30"/>
    <s v="3LU"/>
    <x v="1"/>
    <s v="5°5°5515IFTLS5"/>
    <s v="LAB DE SIST OPERATIVOS"/>
    <n v="30"/>
    <m/>
    <x v="1"/>
    <x v="1"/>
  </r>
  <r>
    <x v="18"/>
    <s v="5°5°3LUTARDE552"/>
    <n v="552"/>
    <s v="3LUT40"/>
    <s v="3LU"/>
    <x v="1"/>
    <s v="5°5°5525IFTLH5"/>
    <s v="LAB DE HARDWARE "/>
    <n v="40"/>
    <m/>
    <x v="1"/>
    <x v="1"/>
  </r>
  <r>
    <x v="18"/>
    <s v="5°5°3LUVESPERTINO0"/>
    <n v="0"/>
    <s v="3LUV"/>
    <s v="3LU"/>
    <x v="2"/>
    <s v="5°5°5ILITS"/>
    <s v="LITERATURA"/>
    <m/>
    <m/>
    <x v="1"/>
    <x v="0"/>
  </r>
  <r>
    <x v="18"/>
    <s v="5°5°3MATARDE551"/>
    <n v="551"/>
    <s v="3MAT40"/>
    <s v="3MA"/>
    <x v="1"/>
    <s v="5°5°5515IFTLH5"/>
    <s v="LAB DE HARDWARE "/>
    <n v="40"/>
    <m/>
    <x v="2"/>
    <x v="1"/>
  </r>
  <r>
    <x v="18"/>
    <s v="5°5°3MAVESPERTINO0"/>
    <n v="0"/>
    <s v="3MAV"/>
    <s v="3MA"/>
    <x v="2"/>
    <s v="5°5°5ISIDI4"/>
    <s v="SISTEMA DIGITAL"/>
    <m/>
    <m/>
    <x v="2"/>
    <x v="0"/>
  </r>
  <r>
    <x v="18"/>
    <s v="5°5°3MITARDE551"/>
    <n v="551"/>
    <s v="3MITHARDWARE"/>
    <s v="3MI"/>
    <x v="1"/>
    <s v="5°5°5515IFTLH5"/>
    <s v="LAB DE HARDWARE "/>
    <s v="HARDWARE"/>
    <m/>
    <x v="3"/>
    <x v="1"/>
  </r>
  <r>
    <x v="18"/>
    <s v="5°5°3MITARDE552"/>
    <n v="552"/>
    <s v="3MIT30"/>
    <s v="3MI"/>
    <x v="1"/>
    <s v="5°5°5525IFTLA5"/>
    <s v="LAB DE APLICACIONES "/>
    <n v="30"/>
    <m/>
    <x v="3"/>
    <x v="1"/>
  </r>
  <r>
    <x v="18"/>
    <s v="5°5°3MIVESPERTINO0"/>
    <n v="0"/>
    <s v="3MIV"/>
    <s v="3MI"/>
    <x v="2"/>
    <s v="5°5°5ITELEI"/>
    <s v="TELEINFORMATICA"/>
    <m/>
    <m/>
    <x v="3"/>
    <x v="0"/>
  </r>
  <r>
    <x v="18"/>
    <s v="5°5°3VIVESPERTINO0"/>
    <n v="0"/>
    <s v="3VIV"/>
    <s v="3VI"/>
    <x v="2"/>
    <s v="5°5°5ITELEI"/>
    <s v="TELEINFORMATICA"/>
    <m/>
    <m/>
    <x v="4"/>
    <x v="0"/>
  </r>
  <r>
    <x v="18"/>
    <s v="5°5°4JUTARDE552"/>
    <n v="552"/>
    <s v="4JUT31"/>
    <s v="4JU"/>
    <x v="1"/>
    <s v="5°5°5525IFTLS5"/>
    <s v="LAB DE SIST OPERATIVOS"/>
    <n v="31"/>
    <m/>
    <x v="0"/>
    <x v="1"/>
  </r>
  <r>
    <x v="18"/>
    <s v="5°5°4JUVESPERTINO0"/>
    <n v="0"/>
    <s v="4JUV"/>
    <s v="4JU"/>
    <x v="2"/>
    <s v="5°5°5IPYCS"/>
    <s v="POLITICA Y CIUDADANIA"/>
    <m/>
    <m/>
    <x v="0"/>
    <x v="0"/>
  </r>
  <r>
    <x v="18"/>
    <s v="5°5°4LUTARDE551"/>
    <n v="551"/>
    <s v="4LUT30"/>
    <s v="4LU"/>
    <x v="1"/>
    <s v="5°5°5515IFTLS5"/>
    <s v="LAB DE SIST OPERATIVOS"/>
    <n v="30"/>
    <m/>
    <x v="1"/>
    <x v="1"/>
  </r>
  <r>
    <x v="18"/>
    <s v="5°5°4LUTARDE552"/>
    <n v="552"/>
    <s v="4LUT40"/>
    <s v="4LU"/>
    <x v="1"/>
    <s v="5°5°5525IFTLH5"/>
    <s v="LAB DE HARDWARE "/>
    <n v="40"/>
    <m/>
    <x v="1"/>
    <x v="1"/>
  </r>
  <r>
    <x v="18"/>
    <s v="5°5°4LUVESPERTINO0"/>
    <n v="0"/>
    <s v="4LUV"/>
    <s v="4LU"/>
    <x v="2"/>
    <s v="5°5°5ILITS"/>
    <s v="LITERATURA"/>
    <m/>
    <m/>
    <x v="1"/>
    <x v="0"/>
  </r>
  <r>
    <x v="18"/>
    <s v="5°5°4MATARDE551"/>
    <n v="551"/>
    <s v="4MAT40"/>
    <s v="4MA"/>
    <x v="1"/>
    <s v="5°5°5515IFTLH5"/>
    <s v="LAB DE HARDWARE "/>
    <n v="40"/>
    <m/>
    <x v="2"/>
    <x v="1"/>
  </r>
  <r>
    <x v="18"/>
    <s v="5°5°4MAVESPERTINO0"/>
    <n v="0"/>
    <s v="4MAV"/>
    <s v="4MA"/>
    <x v="2"/>
    <s v="5°5°5ISIDI4"/>
    <s v="SISTEMA DIGITAL"/>
    <m/>
    <m/>
    <x v="2"/>
    <x v="0"/>
  </r>
  <r>
    <x v="18"/>
    <s v="5°5°4MITARDE551"/>
    <n v="551"/>
    <s v="4MITHARDWARE"/>
    <s v="4MI"/>
    <x v="1"/>
    <s v="5°5°5515IFTLH5"/>
    <s v="LAB DE HARDWARE "/>
    <s v="HARDWARE"/>
    <m/>
    <x v="3"/>
    <x v="1"/>
  </r>
  <r>
    <x v="18"/>
    <s v="5°5°4MITARDE552"/>
    <n v="552"/>
    <s v="4MIT30"/>
    <s v="4MI"/>
    <x v="1"/>
    <s v="5°5°5525IFTLA5"/>
    <s v="LAB DE APLICACIONES "/>
    <n v="30"/>
    <m/>
    <x v="3"/>
    <x v="1"/>
  </r>
  <r>
    <x v="18"/>
    <s v="5°5°4MIVESPERTINO0"/>
    <n v="0"/>
    <s v="4MIV"/>
    <s v="4MI"/>
    <x v="2"/>
    <s v="5°5°5ITELEI"/>
    <s v="TELEINFORMATICA"/>
    <m/>
    <m/>
    <x v="3"/>
    <x v="0"/>
  </r>
  <r>
    <x v="18"/>
    <s v="5°5°4VIVESPERTINO0"/>
    <n v="0"/>
    <s v="4VIV"/>
    <s v="4VI"/>
    <x v="2"/>
    <s v="5°5°5ITELEI"/>
    <s v="TELEINFORMATICA"/>
    <m/>
    <m/>
    <x v="4"/>
    <x v="0"/>
  </r>
  <r>
    <x v="18"/>
    <s v="5°5°PREHORAVIVESPERTINO0"/>
    <n v="0"/>
    <s v="PREHORAVIV"/>
    <s v="PREHORAVI"/>
    <x v="2"/>
    <s v="5°5°5IHIS5"/>
    <s v="HISTORIA"/>
    <m/>
    <m/>
    <x v="4"/>
    <x v="0"/>
  </r>
  <r>
    <x v="19"/>
    <s v="5°3°1JUMAÑANA531"/>
    <n v="531"/>
    <s v="1JUM45"/>
    <s v="1JU"/>
    <x v="0"/>
    <s v="5°3°5315EFTED5"/>
    <s v="APLIC ELECTR DIGITAL"/>
    <n v="45"/>
    <m/>
    <x v="0"/>
    <x v="1"/>
  </r>
  <r>
    <x v="19"/>
    <s v="5°3°1JUMAÑANA532"/>
    <n v="532"/>
    <s v="1JUM46"/>
    <s v="1JU"/>
    <x v="0"/>
    <s v="5°3°5325EFTED5"/>
    <s v="APLIC ELECTR DIGITAL"/>
    <n v="46"/>
    <m/>
    <x v="0"/>
    <x v="1"/>
  </r>
  <r>
    <x v="19"/>
    <s v="5°3°1JUVESPERTINO0"/>
    <n v="0"/>
    <s v="1JUV"/>
    <s v="1JU"/>
    <x v="2"/>
    <s v="5°3°5EAMC"/>
    <s v="ANALISIS DE LOS MODELOS CIRCUITALES"/>
    <m/>
    <m/>
    <x v="0"/>
    <x v="0"/>
  </r>
  <r>
    <x v="19"/>
    <s v="5°3°1LUVESPERTINO0"/>
    <n v="0"/>
    <s v="1LUV"/>
    <s v="1LU"/>
    <x v="2"/>
    <s v="5°3°5ELENE"/>
    <s v="LENGUAJES ELECTRONICOS"/>
    <m/>
    <m/>
    <x v="1"/>
    <x v="0"/>
  </r>
  <r>
    <x v="19"/>
    <s v="5°3°1MAMAÑANA531"/>
    <n v="531"/>
    <s v="1MAM52"/>
    <s v="1MA"/>
    <x v="0"/>
    <s v="5°3°5315EFTMP5"/>
    <s v="MONTAJE DE PROYECTO ELECTRONICOS "/>
    <n v="52"/>
    <m/>
    <x v="2"/>
    <x v="1"/>
  </r>
  <r>
    <x v="19"/>
    <s v="5°3°1MAMAÑANA532"/>
    <n v="532"/>
    <s v="1MAM46"/>
    <s v="1MA"/>
    <x v="0"/>
    <s v="5°3°5325EFTAE5"/>
    <s v="APLIC ELECT ANALOG "/>
    <n v="46"/>
    <m/>
    <x v="2"/>
    <x v="1"/>
  </r>
  <r>
    <x v="19"/>
    <s v="5°3°1VIVESPERTINO0"/>
    <n v="0"/>
    <s v="1VIV"/>
    <s v="1VI"/>
    <x v="2"/>
    <s v="5°3°5EPYCS"/>
    <s v="POLITICA Y CIUDADANIA"/>
    <m/>
    <m/>
    <x v="4"/>
    <x v="0"/>
  </r>
  <r>
    <x v="19"/>
    <s v="5°3°1MIMAÑANA532"/>
    <n v="532"/>
    <s v="1MIM44"/>
    <s v="1MI"/>
    <x v="0"/>
    <s v="5°3°5325EFTMP5"/>
    <s v="MONTAJE DE PROYECTO ELECTRONICOS "/>
    <n v="44"/>
    <m/>
    <x v="3"/>
    <x v="1"/>
  </r>
  <r>
    <x v="19"/>
    <s v="5°3°1JUVESPERTINO0"/>
    <n v="0"/>
    <s v="1JUV"/>
    <s v="1JU"/>
    <x v="2"/>
    <s v="5°3°5EANMAT"/>
    <s v="ANALISIS MATEMATICO"/>
    <m/>
    <m/>
    <x v="0"/>
    <x v="0"/>
  </r>
  <r>
    <x v="19"/>
    <s v="5°3°1VIMAÑANA531"/>
    <n v="531"/>
    <s v="1VIM45"/>
    <s v="1VI"/>
    <x v="0"/>
    <s v="5°3°5315EFTAE5"/>
    <s v="APLIC ELECT ANALOG "/>
    <n v="45"/>
    <m/>
    <x v="4"/>
    <x v="1"/>
  </r>
  <r>
    <x v="19"/>
    <s v="5°3°1viMAÑANA532"/>
    <n v="532"/>
    <s v="1viMrobotica"/>
    <s v="1vi"/>
    <x v="0"/>
    <s v="5°3°5325EDASE"/>
    <s v="DISEÑO ASIST Y SIMUL ELECT "/>
    <s v="ROBOTICA"/>
    <m/>
    <x v="4"/>
    <x v="1"/>
  </r>
  <r>
    <x v="19"/>
    <s v="5°3°1VIVESPERTINO0"/>
    <n v="0"/>
    <s v="1VIV"/>
    <s v="1VI"/>
    <x v="2"/>
    <s v="5°3°5EINGS"/>
    <s v="INGLÉS"/>
    <m/>
    <m/>
    <x v="4"/>
    <x v="0"/>
  </r>
  <r>
    <x v="19"/>
    <s v="5°3°2JUMAÑANA531"/>
    <n v="531"/>
    <s v="2JUM45"/>
    <s v="2JU"/>
    <x v="0"/>
    <s v="5°3°5315EFTED5"/>
    <s v="APLIC ELECTR DIGITAL"/>
    <n v="45"/>
    <m/>
    <x v="0"/>
    <x v="1"/>
  </r>
  <r>
    <x v="19"/>
    <s v="5°3°2JUMAÑANA532"/>
    <n v="532"/>
    <s v="2JUM46"/>
    <s v="2JU"/>
    <x v="0"/>
    <s v="5°3°5325EFTED5"/>
    <s v="APLIC ELECTR DIGITAL"/>
    <n v="46"/>
    <m/>
    <x v="0"/>
    <x v="1"/>
  </r>
  <r>
    <x v="19"/>
    <s v="5°3°2JUVESPERTINO0"/>
    <n v="0"/>
    <s v="2JUV"/>
    <s v="2JU"/>
    <x v="2"/>
    <s v="5°3°5EAMC"/>
    <s v="ANALISIS DE LOS MODELOS CIRCUITALES"/>
    <m/>
    <m/>
    <x v="0"/>
    <x v="0"/>
  </r>
  <r>
    <x v="19"/>
    <s v="5°3°2LUVESPERTINO0"/>
    <n v="0"/>
    <s v="2LUV"/>
    <s v="2LU"/>
    <x v="2"/>
    <s v="5°3°5ELENE"/>
    <s v="LENGUAJES ELECTRONICOS"/>
    <m/>
    <m/>
    <x v="1"/>
    <x v="0"/>
  </r>
  <r>
    <x v="19"/>
    <s v="5°3°2MAMAÑANA531"/>
    <n v="531"/>
    <s v="2MAM52"/>
    <s v="2MA"/>
    <x v="0"/>
    <s v="5°3°5315EFTMP5"/>
    <s v="MONTAJE DE PROYECTO ELECTRONICOS "/>
    <n v="52"/>
    <m/>
    <x v="2"/>
    <x v="1"/>
  </r>
  <r>
    <x v="19"/>
    <s v="5°3°2MAMAÑANA532"/>
    <n v="532"/>
    <s v="2MAM46"/>
    <s v="2MA"/>
    <x v="0"/>
    <s v="5°3°5325EFTAE5"/>
    <s v="APLIC ELECT ANALOG "/>
    <n v="46"/>
    <m/>
    <x v="2"/>
    <x v="1"/>
  </r>
  <r>
    <x v="19"/>
    <s v="5°3°2MATARDE0"/>
    <n v="0"/>
    <s v="2MATPATIO2"/>
    <s v="2MA"/>
    <x v="1"/>
    <s v="5°3°5EEFIS"/>
    <s v="EDUCACIÓN FISICA"/>
    <s v="PATIO2"/>
    <m/>
    <x v="2"/>
    <x v="1"/>
  </r>
  <r>
    <x v="19"/>
    <s v="5°3°2VIVESPERTINO0"/>
    <n v="0"/>
    <s v="2VIV"/>
    <s v="2VI"/>
    <x v="2"/>
    <s v="5°3°5EPYCS"/>
    <s v="POLITICA Y CIUDADANIA"/>
    <m/>
    <m/>
    <x v="4"/>
    <x v="0"/>
  </r>
  <r>
    <x v="19"/>
    <s v="5°3°2MIMAÑANA532"/>
    <n v="532"/>
    <s v="2MIM44"/>
    <s v="2MI"/>
    <x v="0"/>
    <s v="5°3°5325EFTMP5"/>
    <s v="MONTAJE DE PROYECTO ELECTRONICOS "/>
    <n v="44"/>
    <m/>
    <x v="3"/>
    <x v="1"/>
  </r>
  <r>
    <x v="19"/>
    <s v="5°3°2JUVESPERTINO0"/>
    <n v="0"/>
    <s v="2JUV"/>
    <s v="2JU"/>
    <x v="2"/>
    <s v="5°3°5EANMAT"/>
    <s v="ANALISIS MATEMATICO"/>
    <m/>
    <m/>
    <x v="0"/>
    <x v="0"/>
  </r>
  <r>
    <x v="19"/>
    <s v="5°3°2VIMAÑANA531"/>
    <n v="531"/>
    <s v="2VIM45"/>
    <s v="2VI"/>
    <x v="0"/>
    <s v="5°3°5315EFTAE5"/>
    <s v="APLIC ELECT ANALOG "/>
    <n v="45"/>
    <m/>
    <x v="4"/>
    <x v="1"/>
  </r>
  <r>
    <x v="19"/>
    <s v="5°3°2viMAÑANA532"/>
    <n v="532"/>
    <s v="2viMrobotica"/>
    <s v="2vi"/>
    <x v="0"/>
    <s v="5°3°5325EDASE"/>
    <s v="DISEÑO ASIST Y SIMUL ELECT "/>
    <s v="ROBOTICA"/>
    <m/>
    <x v="4"/>
    <x v="1"/>
  </r>
  <r>
    <x v="19"/>
    <s v="5°3°2VIVESPERTINO0"/>
    <n v="0"/>
    <s v="2VIV"/>
    <s v="2VI"/>
    <x v="2"/>
    <s v="5°3°5EINGS"/>
    <s v="INGLÉS"/>
    <m/>
    <m/>
    <x v="4"/>
    <x v="0"/>
  </r>
  <r>
    <x v="19"/>
    <s v="5°3°3JUMAÑANA531"/>
    <n v="531"/>
    <s v="3JUM45"/>
    <s v="3JU"/>
    <x v="0"/>
    <s v="5°3°5315EFTED5"/>
    <s v="APLIC ELECTR DIGITAL"/>
    <n v="45"/>
    <m/>
    <x v="0"/>
    <x v="1"/>
  </r>
  <r>
    <x v="19"/>
    <s v="5°3°3JUMAÑANA532"/>
    <n v="532"/>
    <s v="3JUM46"/>
    <s v="3JU"/>
    <x v="0"/>
    <s v="5°3°5325EFTED5"/>
    <s v="APLIC ELECTR DIGITAL"/>
    <n v="46"/>
    <m/>
    <x v="0"/>
    <x v="1"/>
  </r>
  <r>
    <x v="19"/>
    <s v="5°3°3JUVESPERTINO0"/>
    <n v="0"/>
    <s v="3JUV"/>
    <s v="3JU"/>
    <x v="2"/>
    <s v="5°3°5EAMC"/>
    <s v="ANALISIS DE LOS MODELOS CIRCUITALES"/>
    <m/>
    <m/>
    <x v="0"/>
    <x v="0"/>
  </r>
  <r>
    <x v="19"/>
    <s v="5°3°3LUMAÑANA531"/>
    <n v="531"/>
    <s v="3LUMrobotica"/>
    <s v="3LU"/>
    <x v="0"/>
    <s v="5°3°5315EDASE"/>
    <s v="DISEÑO ASIST Y SIMUL ELECT "/>
    <s v="ROBOTICA"/>
    <m/>
    <x v="1"/>
    <x v="1"/>
  </r>
  <r>
    <x v="19"/>
    <s v="5°3°3LUVESPERTINO0"/>
    <n v="0"/>
    <s v="3LUV"/>
    <s v="3LU"/>
    <x v="2"/>
    <s v="5°3°5EHIS5"/>
    <s v="HISTORIA"/>
    <m/>
    <m/>
    <x v="1"/>
    <x v="0"/>
  </r>
  <r>
    <x v="19"/>
    <s v="5°3°3MAMAÑANA531"/>
    <n v="531"/>
    <s v="3MAM52"/>
    <s v="3MA"/>
    <x v="0"/>
    <s v="5°3°5315EFTMP5"/>
    <s v="MONTAJE DE PROYECTO ELECTRONICOS "/>
    <n v="52"/>
    <m/>
    <x v="2"/>
    <x v="1"/>
  </r>
  <r>
    <x v="19"/>
    <s v="5°3°3MAMAÑANA532"/>
    <n v="532"/>
    <s v="3MAM46"/>
    <s v="3MA"/>
    <x v="0"/>
    <s v="5°3°5325EFTAE5"/>
    <s v="APLIC ELECT ANALOG "/>
    <n v="46"/>
    <m/>
    <x v="2"/>
    <x v="1"/>
  </r>
  <r>
    <x v="19"/>
    <s v="5°3°3MATARDE0"/>
    <n v="0"/>
    <s v="3MATPATIO2"/>
    <s v="3MA"/>
    <x v="1"/>
    <s v="5°3°5EEFIS"/>
    <s v="EDUCACIÓN FISICA"/>
    <s v="PATIO2"/>
    <m/>
    <x v="2"/>
    <x v="1"/>
  </r>
  <r>
    <x v="19"/>
    <s v="5°3°3MAVESPERTINO0"/>
    <n v="0"/>
    <s v="3MAV"/>
    <s v="3MA"/>
    <x v="2"/>
    <s v="5°3°5ELITS"/>
    <s v="LITERATURA"/>
    <m/>
    <m/>
    <x v="2"/>
    <x v="0"/>
  </r>
  <r>
    <x v="19"/>
    <s v="5°3°3MIMAÑANA532"/>
    <n v="532"/>
    <s v="3MIM44"/>
    <s v="3MI"/>
    <x v="0"/>
    <s v="5°3°5325EFTMP5"/>
    <s v="MONTAJE DE PROYECTO ELECTRONICOS "/>
    <n v="44"/>
    <m/>
    <x v="3"/>
    <x v="1"/>
  </r>
  <r>
    <x v="19"/>
    <s v="5°3°3MIVESPERTINO0"/>
    <n v="0"/>
    <s v="3MIV"/>
    <s v="3MI"/>
    <x v="2"/>
    <s v="5°3°5EGEOS5"/>
    <s v="GEOGRAFIA"/>
    <m/>
    <m/>
    <x v="3"/>
    <x v="0"/>
  </r>
  <r>
    <x v="19"/>
    <s v="5°3°3VIMAÑANA531"/>
    <n v="531"/>
    <s v="3VIM45"/>
    <s v="3VI"/>
    <x v="0"/>
    <s v="5°3°5315EFTAE5"/>
    <s v="APLIC ELECT ANALOG "/>
    <n v="45"/>
    <m/>
    <x v="4"/>
    <x v="1"/>
  </r>
  <r>
    <x v="19"/>
    <s v="5°3°1MAVESPERTINO0"/>
    <n v="0"/>
    <s v="1MAV"/>
    <s v="1MA"/>
    <x v="2"/>
    <s v="5°3°5EANMAT"/>
    <s v="ANALISIS MATEMATICO"/>
    <m/>
    <m/>
    <x v="2"/>
    <x v="0"/>
  </r>
  <r>
    <x v="19"/>
    <s v="5°3°4JUMAÑANA531"/>
    <n v="531"/>
    <s v="4JUM45"/>
    <s v="4JU"/>
    <x v="0"/>
    <s v="5°3°5315EFTED5"/>
    <s v="APLIC ELECTR DIGITAL"/>
    <n v="45"/>
    <m/>
    <x v="0"/>
    <x v="1"/>
  </r>
  <r>
    <x v="19"/>
    <s v="5°3°4JUMAÑANA532"/>
    <n v="532"/>
    <s v="4JUM46"/>
    <s v="4JU"/>
    <x v="0"/>
    <s v="5°3°5325EFTED5"/>
    <s v="APLIC ELECTR DIGITAL"/>
    <n v="46"/>
    <m/>
    <x v="0"/>
    <x v="1"/>
  </r>
  <r>
    <x v="19"/>
    <s v="5°3°4LUMAÑANA531"/>
    <n v="531"/>
    <s v="4LUMrobotica"/>
    <s v="4LU"/>
    <x v="0"/>
    <s v="5°3°5315EDASE"/>
    <s v="DISEÑO ASIST Y SIMUL ELECT "/>
    <s v="ROBOTICA"/>
    <m/>
    <x v="1"/>
    <x v="1"/>
  </r>
  <r>
    <x v="19"/>
    <s v="5°3°4LUVESPERTINO0"/>
    <n v="0"/>
    <s v="4LUV"/>
    <s v="4LU"/>
    <x v="2"/>
    <s v="5°3°5EHIS5"/>
    <s v="HISTORIA"/>
    <m/>
    <m/>
    <x v="1"/>
    <x v="0"/>
  </r>
  <r>
    <x v="19"/>
    <s v="5°3°4MAMAÑANA531"/>
    <n v="531"/>
    <s v="4MAM52"/>
    <s v="4MA"/>
    <x v="0"/>
    <s v="5°3°5315EFTMP5"/>
    <s v="MONTAJE DE PROYECTO ELECTRONICOS "/>
    <n v="52"/>
    <m/>
    <x v="2"/>
    <x v="1"/>
  </r>
  <r>
    <x v="19"/>
    <s v="5°3°4MAMAÑANA532"/>
    <n v="532"/>
    <s v="4MAM46"/>
    <s v="4MA"/>
    <x v="0"/>
    <s v="5°3°5325EFTAE5"/>
    <s v="APLIC ELECT ANALOG "/>
    <n v="46"/>
    <m/>
    <x v="2"/>
    <x v="1"/>
  </r>
  <r>
    <x v="19"/>
    <s v="5°3°4MAVESPERTINO0"/>
    <n v="0"/>
    <s v="4MAV"/>
    <s v="4MA"/>
    <x v="2"/>
    <s v="5°3°5ELITS"/>
    <s v="LITERATURA"/>
    <m/>
    <m/>
    <x v="2"/>
    <x v="0"/>
  </r>
  <r>
    <x v="19"/>
    <s v="5°3°4MIMAÑANA532"/>
    <n v="532"/>
    <s v="4MIM44"/>
    <s v="4MI"/>
    <x v="0"/>
    <s v="5°3°5325EFTMP5"/>
    <s v="MONTAJE DE PROYECTO ELECTRONICOS "/>
    <n v="44"/>
    <m/>
    <x v="3"/>
    <x v="1"/>
  </r>
  <r>
    <x v="19"/>
    <s v="5°3°4MIVESPERTINO0"/>
    <n v="0"/>
    <s v="4MIV"/>
    <s v="4MI"/>
    <x v="2"/>
    <s v="5°3°5EGEOS5"/>
    <s v="GEOGRAFIA"/>
    <m/>
    <m/>
    <x v="3"/>
    <x v="0"/>
  </r>
  <r>
    <x v="19"/>
    <s v="5°3°4VIMAÑANA531"/>
    <n v="531"/>
    <s v="4VIM45"/>
    <s v="4VI"/>
    <x v="0"/>
    <s v="5°3°5315EFTAE5"/>
    <s v="APLIC ELECT ANALOG "/>
    <n v="45"/>
    <m/>
    <x v="4"/>
    <x v="1"/>
  </r>
  <r>
    <x v="19"/>
    <s v="5°3°2MAVESPERTINO0"/>
    <n v="0"/>
    <s v="2MAV"/>
    <s v="2MA"/>
    <x v="2"/>
    <s v="5°3°5EANMAT"/>
    <s v="ANALISIS MATEMATICO"/>
    <m/>
    <m/>
    <x v="2"/>
    <x v="0"/>
  </r>
  <r>
    <x v="20"/>
    <s v="5°4°1JUTARDE0"/>
    <n v="0"/>
    <s v="1JUT"/>
    <s v="1JU"/>
    <x v="1"/>
    <s v="5°4°5ELITS"/>
    <s v="LITERATURA"/>
    <m/>
    <m/>
    <x v="0"/>
    <x v="0"/>
  </r>
  <r>
    <x v="20"/>
    <s v="5°4°1JUVESPERTINO541"/>
    <n v="541"/>
    <s v="1JUV46"/>
    <s v="1JU"/>
    <x v="2"/>
    <s v="5°4°5415EFTAE5"/>
    <s v="APLIC ELECT ANALOG "/>
    <n v="46"/>
    <m/>
    <x v="0"/>
    <x v="1"/>
  </r>
  <r>
    <x v="20"/>
    <s v="5°4°1JUVESPERTINO542"/>
    <n v="542"/>
    <s v="1JUV44"/>
    <s v="1JU"/>
    <x v="2"/>
    <s v="5°4°5425EFTMP5"/>
    <s v="MONTAJE DE PROYECTO ELECTRONICOS "/>
    <n v="44"/>
    <m/>
    <x v="0"/>
    <x v="1"/>
  </r>
  <r>
    <x v="20"/>
    <s v="5°4°1LUTARDE0"/>
    <n v="0"/>
    <s v="1LUT"/>
    <s v="1LU"/>
    <x v="1"/>
    <s v="5°4°5EPYCS"/>
    <s v="POLITICA Y CIUDADANIA"/>
    <m/>
    <m/>
    <x v="1"/>
    <x v="0"/>
  </r>
  <r>
    <x v="20"/>
    <s v="5°4°1VIVESPERTINO542"/>
    <n v="542"/>
    <s v="1VIVHERRERIA"/>
    <s v="1VI"/>
    <x v="2"/>
    <s v="5°4°5425EFTAE5"/>
    <s v="APLIC ELECT ANALOG "/>
    <s v="HERRERIA"/>
    <m/>
    <x v="4"/>
    <x v="1"/>
  </r>
  <r>
    <x v="20"/>
    <s v="5°4°1MAMAÑANA541"/>
    <n v="541"/>
    <s v="1MAM44"/>
    <s v="1MA"/>
    <x v="0"/>
    <s v="5°4°5415EFTMP5"/>
    <s v="MONTAJE DE PROYECTO ELECTRONICOS "/>
    <n v="44"/>
    <m/>
    <x v="2"/>
    <x v="1"/>
  </r>
  <r>
    <x v="20"/>
    <s v="5°4°1MATARDE0"/>
    <n v="0"/>
    <s v="1MAT"/>
    <s v="1MA"/>
    <x v="1"/>
    <s v="5°4°5EINGS"/>
    <s v="INGLÉS"/>
    <m/>
    <m/>
    <x v="2"/>
    <x v="0"/>
  </r>
  <r>
    <x v="20"/>
    <s v="5°4°1MITARDE0"/>
    <n v="0"/>
    <s v="1MIT"/>
    <s v="1MI"/>
    <x v="1"/>
    <s v="5°4°5EANMAT"/>
    <s v="ANALISIS MATEMATICO"/>
    <m/>
    <m/>
    <x v="3"/>
    <x v="0"/>
  </r>
  <r>
    <x v="20"/>
    <s v="5°4°1MAVESPERTINO541"/>
    <n v="541"/>
    <s v="1MAV46"/>
    <s v="1MA"/>
    <x v="2"/>
    <s v="5°4°5415EDASE"/>
    <s v="DISEÑO ASIST Y SIMUL ELECT "/>
    <n v="46"/>
    <m/>
    <x v="2"/>
    <x v="1"/>
  </r>
  <r>
    <x v="20"/>
    <s v="5°4°1MIVESPERTINO542"/>
    <n v="542"/>
    <s v="1MIV44"/>
    <s v="1MI"/>
    <x v="2"/>
    <s v="5°4°5425EFTED5"/>
    <s v="APLIC ELECTR DIGITAL"/>
    <n v="44"/>
    <m/>
    <x v="3"/>
    <x v="1"/>
  </r>
  <r>
    <x v="20"/>
    <s v="5°4°1VIMAÑANA0"/>
    <n v="0"/>
    <s v="1VIMPATIO"/>
    <s v="1VI"/>
    <x v="0"/>
    <s v="5°4°5EEFIS"/>
    <s v="EDUCACIÓN FISICA"/>
    <s v="PATIO"/>
    <m/>
    <x v="4"/>
    <x v="1"/>
  </r>
  <r>
    <x v="20"/>
    <s v="5°4°1VIVESPERTINO541"/>
    <n v="541"/>
    <s v="1VIV45"/>
    <s v="1VI"/>
    <x v="2"/>
    <s v="5°4°5415EFTED5"/>
    <s v="APLIC ELECTR DIGITAL"/>
    <n v="45"/>
    <m/>
    <x v="4"/>
    <x v="1"/>
  </r>
  <r>
    <x v="20"/>
    <s v="5°4°2JUTARDE0"/>
    <n v="0"/>
    <s v="2JUT"/>
    <s v="2JU"/>
    <x v="1"/>
    <s v="5°4°5ELITS"/>
    <s v="LITERATURA"/>
    <m/>
    <m/>
    <x v="0"/>
    <x v="0"/>
  </r>
  <r>
    <x v="20"/>
    <s v="5°4°2JUVESPERTINO541"/>
    <n v="541"/>
    <s v="2JUV46"/>
    <s v="2JU"/>
    <x v="2"/>
    <s v="5°4°5415EFTAE5"/>
    <s v="APLIC ELECT ANALOG "/>
    <n v="46"/>
    <m/>
    <x v="0"/>
    <x v="1"/>
  </r>
  <r>
    <x v="20"/>
    <s v="5°4°2JUVESPERTINO542"/>
    <n v="542"/>
    <s v="2JUV44"/>
    <s v="2JU"/>
    <x v="2"/>
    <s v="5°4°5425EFTMP5"/>
    <s v="MONTAJE DE PROYECTO ELECTRONICOS "/>
    <n v="44"/>
    <m/>
    <x v="0"/>
    <x v="1"/>
  </r>
  <r>
    <x v="20"/>
    <s v="5°4°2LUTARDE0"/>
    <n v="0"/>
    <s v="2LUT"/>
    <s v="2LU"/>
    <x v="1"/>
    <s v="5°4°5EPYCS"/>
    <s v="POLITICA Y CIUDADANIA"/>
    <m/>
    <m/>
    <x v="1"/>
    <x v="0"/>
  </r>
  <r>
    <x v="20"/>
    <s v="5°4°2VIVESPERTINO542"/>
    <n v="542"/>
    <s v="2VIVHERRERIA"/>
    <s v="2VI"/>
    <x v="2"/>
    <s v="5°4°5425EFTAE5"/>
    <s v="APLIC ELECT ANALOG "/>
    <s v="HERRERIA"/>
    <m/>
    <x v="4"/>
    <x v="1"/>
  </r>
  <r>
    <x v="20"/>
    <s v="5°4°2MAMAÑANA541"/>
    <n v="541"/>
    <s v="2MAM44"/>
    <s v="2MA"/>
    <x v="0"/>
    <s v="5°4°5415EFTMP5"/>
    <s v="MONTAJE DE PROYECTO ELECTRONICOS "/>
    <n v="44"/>
    <m/>
    <x v="2"/>
    <x v="1"/>
  </r>
  <r>
    <x v="20"/>
    <s v="5°4°2MATARDE0"/>
    <n v="0"/>
    <s v="2MAT"/>
    <s v="2MA"/>
    <x v="1"/>
    <s v="5°4°5EINGS"/>
    <s v="INGLÉS"/>
    <m/>
    <m/>
    <x v="2"/>
    <x v="0"/>
  </r>
  <r>
    <x v="20"/>
    <s v="5°4°2MAVESPERTINO542"/>
    <n v="542"/>
    <s v="2MAV45"/>
    <s v="2MA"/>
    <x v="2"/>
    <s v="5°4°5425EDASE"/>
    <s v="DISEÑO ASIST Y SIMUL ELECT "/>
    <n v="45"/>
    <m/>
    <x v="2"/>
    <x v="1"/>
  </r>
  <r>
    <x v="20"/>
    <s v="5°4°2MITARDE0"/>
    <n v="0"/>
    <s v="2MIT"/>
    <s v="2MI"/>
    <x v="1"/>
    <s v="5°4°5EANMAT"/>
    <s v="ANALISIS MATEMATICO"/>
    <m/>
    <m/>
    <x v="3"/>
    <x v="0"/>
  </r>
  <r>
    <x v="20"/>
    <s v="5°4°2MAVESPERTINO541"/>
    <n v="541"/>
    <s v="2MAV46"/>
    <s v="2MA"/>
    <x v="2"/>
    <s v="5°4°5415EDASE"/>
    <s v="DISEÑO ASIST Y SIMUL ELECT "/>
    <n v="46"/>
    <m/>
    <x v="2"/>
    <x v="1"/>
  </r>
  <r>
    <x v="20"/>
    <s v="5°4°2MIVESPERTINO542"/>
    <n v="542"/>
    <s v="2MIV44"/>
    <s v="2MI"/>
    <x v="2"/>
    <s v="5°4°5425EFTED5"/>
    <s v="APLIC ELECTR DIGITAL"/>
    <n v="44"/>
    <m/>
    <x v="3"/>
    <x v="1"/>
  </r>
  <r>
    <x v="20"/>
    <s v="5°4°2VIMAÑANA0"/>
    <n v="0"/>
    <s v="2VIMPATIO"/>
    <s v="2VI"/>
    <x v="0"/>
    <s v="5°4°5EEFIS"/>
    <s v="EDUCACIÓN FISICA"/>
    <s v="PATIO"/>
    <m/>
    <x v="4"/>
    <x v="1"/>
  </r>
  <r>
    <x v="20"/>
    <s v="5°4°2VIVESPERTINO541"/>
    <n v="541"/>
    <s v="2VIV45"/>
    <s v="2VI"/>
    <x v="2"/>
    <s v="5°4°5415EFTED5"/>
    <s v="APLIC ELECTR DIGITAL"/>
    <n v="45"/>
    <m/>
    <x v="4"/>
    <x v="1"/>
  </r>
  <r>
    <x v="20"/>
    <s v="5°4°3JUTARDE0"/>
    <n v="0"/>
    <s v="3JUT"/>
    <s v="3JU"/>
    <x v="1"/>
    <s v="5°4°5EHIS5"/>
    <s v="HISTORIA"/>
    <m/>
    <m/>
    <x v="0"/>
    <x v="0"/>
  </r>
  <r>
    <x v="20"/>
    <s v="5°4°3JUVESPERTINO541"/>
    <n v="541"/>
    <s v="3JUV46"/>
    <s v="3JU"/>
    <x v="2"/>
    <s v="5°4°5415EFTAE5"/>
    <s v="APLIC ELECT ANALOG "/>
    <n v="46"/>
    <m/>
    <x v="0"/>
    <x v="1"/>
  </r>
  <r>
    <x v="20"/>
    <s v="5°4°3JUVESPERTINO542"/>
    <n v="542"/>
    <s v="3JUV44"/>
    <s v="3JU"/>
    <x v="2"/>
    <s v="5°4°5425EFTMP5"/>
    <s v="MONTAJE DE PROYECTO ELECTRONICOS "/>
    <n v="44"/>
    <m/>
    <x v="0"/>
    <x v="1"/>
  </r>
  <r>
    <x v="20"/>
    <s v="5°4°3LUTARDE0"/>
    <n v="0"/>
    <s v="3LUT"/>
    <s v="3LU"/>
    <x v="1"/>
    <s v="5°4°5EGEOS5"/>
    <s v="GEOGRAFIA"/>
    <m/>
    <m/>
    <x v="1"/>
    <x v="0"/>
  </r>
  <r>
    <x v="20"/>
    <s v="5°4°3VIVESPERTINO542"/>
    <n v="542"/>
    <s v="3VIVHERRERIA"/>
    <s v="3VI"/>
    <x v="2"/>
    <s v="5°4°5425EFTAE5"/>
    <s v="APLIC ELECT ANALOG "/>
    <s v="HERRERIA"/>
    <m/>
    <x v="4"/>
    <x v="1"/>
  </r>
  <r>
    <x v="20"/>
    <s v="5°4°3MAMAÑANA541"/>
    <n v="541"/>
    <s v="3MAM44"/>
    <s v="3MA"/>
    <x v="0"/>
    <s v="5°4°5415EFTMP5"/>
    <s v="MONTAJE DE PROYECTO ELECTRONICOS "/>
    <n v="44"/>
    <m/>
    <x v="2"/>
    <x v="1"/>
  </r>
  <r>
    <x v="20"/>
    <s v="5°4°3MATARDE0"/>
    <n v="0"/>
    <s v="3MAT"/>
    <s v="3MA"/>
    <x v="1"/>
    <s v="5°4°5EANMAT"/>
    <s v="ANALISIS MATEMATICO"/>
    <m/>
    <m/>
    <x v="2"/>
    <x v="0"/>
  </r>
  <r>
    <x v="20"/>
    <s v="5°4°3MAVESPERTINO542"/>
    <n v="542"/>
    <s v="3MAV45"/>
    <s v="3MA"/>
    <x v="2"/>
    <s v="5°4°5425EDASE"/>
    <s v="DISEÑO ASIST Y SIMUL ELECT "/>
    <n v="45"/>
    <m/>
    <x v="2"/>
    <x v="1"/>
  </r>
  <r>
    <x v="20"/>
    <s v="5°4°3MITARDE0"/>
    <n v="0"/>
    <s v="3MIT"/>
    <s v="3MI"/>
    <x v="1"/>
    <s v="5°4°5EAMC"/>
    <s v="ANALISIS DE LOS MODELOS CIRCUITALES"/>
    <m/>
    <m/>
    <x v="3"/>
    <x v="0"/>
  </r>
  <r>
    <x v="20"/>
    <s v="5°4°3MIVESPERTINO542"/>
    <n v="542"/>
    <s v="3MIV44"/>
    <s v="3MI"/>
    <x v="2"/>
    <s v="5°4°5425EFTED5"/>
    <s v="APLIC ELECTR DIGITAL"/>
    <n v="44"/>
    <m/>
    <x v="3"/>
    <x v="1"/>
  </r>
  <r>
    <x v="20"/>
    <s v="5°4°3VITARDE0"/>
    <n v="0"/>
    <s v="3VIT"/>
    <s v="3VI"/>
    <x v="1"/>
    <s v="5°4°5ELENE"/>
    <s v="LENGUAJES ELECTRONICOS"/>
    <m/>
    <m/>
    <x v="4"/>
    <x v="0"/>
  </r>
  <r>
    <x v="20"/>
    <s v="5°4°3VIVESPERTINO541"/>
    <n v="541"/>
    <s v="3VIV45"/>
    <s v="3VI"/>
    <x v="2"/>
    <s v="5°4°5415EFTED5"/>
    <s v="APLIC ELECTR DIGITAL"/>
    <n v="45"/>
    <m/>
    <x v="4"/>
    <x v="1"/>
  </r>
  <r>
    <x v="20"/>
    <s v="5°4°4JUTARDE0"/>
    <n v="0"/>
    <s v="4JUT"/>
    <s v="4JU"/>
    <x v="1"/>
    <s v="5°4°5EHIS5"/>
    <s v="HISTORIA"/>
    <m/>
    <m/>
    <x v="0"/>
    <x v="0"/>
  </r>
  <r>
    <x v="20"/>
    <s v="5°4°4JUVESPERTINO541"/>
    <n v="541"/>
    <s v="4JUV46"/>
    <s v="4JU"/>
    <x v="2"/>
    <s v="5°4°5415EFTAE5"/>
    <s v="APLIC ELECT ANALOG "/>
    <n v="46"/>
    <m/>
    <x v="0"/>
    <x v="1"/>
  </r>
  <r>
    <x v="20"/>
    <s v="5°4°4JUVESPERTINO542"/>
    <n v="542"/>
    <s v="4JUV44"/>
    <s v="4JU"/>
    <x v="2"/>
    <s v="5°4°5425EFTMP5"/>
    <s v="MONTAJE DE PROYECTO ELECTRONICOS "/>
    <n v="44"/>
    <m/>
    <x v="0"/>
    <x v="1"/>
  </r>
  <r>
    <x v="20"/>
    <s v="5°4°4LUTARDE0"/>
    <n v="0"/>
    <s v="4LUT"/>
    <s v="4LU"/>
    <x v="1"/>
    <s v="5°4°5EGEOS5"/>
    <s v="GEOGRAFIA"/>
    <m/>
    <m/>
    <x v="1"/>
    <x v="0"/>
  </r>
  <r>
    <x v="20"/>
    <s v="5°4°4VIVESPERTINO542"/>
    <n v="542"/>
    <s v="4VIVHERRERIA"/>
    <s v="4VI"/>
    <x v="2"/>
    <s v="5°4°5425EFTAE5"/>
    <s v="APLIC ELECT ANALOG "/>
    <s v="HERRERIA"/>
    <m/>
    <x v="4"/>
    <x v="1"/>
  </r>
  <r>
    <x v="20"/>
    <s v="5°4°4MAMAÑANA541"/>
    <n v="541"/>
    <s v="4MAM44"/>
    <s v="4MA"/>
    <x v="0"/>
    <s v="5°4°5415EFTMP5"/>
    <s v="MONTAJE DE PROYECTO ELECTRONICOS "/>
    <n v="44"/>
    <m/>
    <x v="2"/>
    <x v="1"/>
  </r>
  <r>
    <x v="20"/>
    <s v="5°4°4MATARDE0"/>
    <n v="0"/>
    <s v="4MAT"/>
    <s v="4MA"/>
    <x v="1"/>
    <s v="5°4°5EANMAT"/>
    <s v="ANALISIS MATEMATICO"/>
    <m/>
    <m/>
    <x v="2"/>
    <x v="0"/>
  </r>
  <r>
    <x v="20"/>
    <s v="5°4°4MITARDE0"/>
    <n v="0"/>
    <s v="4MIT"/>
    <s v="4MI"/>
    <x v="1"/>
    <s v="5°4°5EAMC"/>
    <s v="ANALISIS DE LOS MODELOS CIRCUITALES"/>
    <m/>
    <m/>
    <x v="3"/>
    <x v="0"/>
  </r>
  <r>
    <x v="20"/>
    <s v="5°4°4MIVESPERTINO542"/>
    <n v="542"/>
    <s v="4MIV44"/>
    <s v="4MI"/>
    <x v="2"/>
    <s v="5°4°5425EFTED5"/>
    <s v="APLIC ELECTR DIGITAL"/>
    <n v="44"/>
    <m/>
    <x v="3"/>
    <x v="1"/>
  </r>
  <r>
    <x v="20"/>
    <s v="5°4°4VITARDE0"/>
    <n v="0"/>
    <s v="4VIT"/>
    <s v="4VI"/>
    <x v="1"/>
    <s v="5°4°5ELENE"/>
    <s v="LENGUAJES ELECTRONICOS"/>
    <m/>
    <m/>
    <x v="4"/>
    <x v="0"/>
  </r>
  <r>
    <x v="20"/>
    <s v="5°4°4VIVESPERTINO541"/>
    <n v="541"/>
    <s v="4VIV45"/>
    <s v="4VI"/>
    <x v="2"/>
    <s v="5°4°5415EFTED5"/>
    <s v="APLIC ELECTR DIGITAL"/>
    <n v="45"/>
    <m/>
    <x v="4"/>
    <x v="1"/>
  </r>
  <r>
    <x v="20"/>
    <s v="5°4°PREHORAMITARDE0"/>
    <n v="0"/>
    <s v="PREHORAMIT"/>
    <s v="PREHORAMI"/>
    <x v="1"/>
    <s v="5°4°5EAMC"/>
    <s v="ANALISIS DE LOS MODELOS CIRCUITALES"/>
    <m/>
    <m/>
    <x v="3"/>
    <x v="0"/>
  </r>
  <r>
    <x v="21"/>
    <s v="5°1°1JUMAÑANA0"/>
    <n v="0"/>
    <s v="1JUM"/>
    <s v="1JU"/>
    <x v="0"/>
    <s v="5°1°5IANMAT"/>
    <s v="ANALISIS MATEMATICO"/>
    <m/>
    <m/>
    <x v="0"/>
    <x v="0"/>
  </r>
  <r>
    <x v="21"/>
    <s v="5°1°1juVESPERTINO511"/>
    <n v="511"/>
    <s v="1juV31"/>
    <s v="1ju"/>
    <x v="2"/>
    <s v="5°1°5115IFTLH5"/>
    <s v="LAB DE HARDWARE "/>
    <n v="31"/>
    <m/>
    <x v="0"/>
    <x v="1"/>
  </r>
  <r>
    <x v="21"/>
    <s v="5°1°1LUMAÑANA0"/>
    <n v="0"/>
    <s v="1LUM"/>
    <s v="1LU"/>
    <x v="0"/>
    <s v="5°1°5IANMAT"/>
    <s v="ANALISIS MATEMATICO"/>
    <m/>
    <m/>
    <x v="1"/>
    <x v="0"/>
  </r>
  <r>
    <x v="21"/>
    <s v="5°1°1LUVESPERTINO511"/>
    <n v="511"/>
    <s v="1LUV41"/>
    <s v="1LU"/>
    <x v="2"/>
    <s v="5°1°5115IFTLS5"/>
    <s v="LAB DE SIST OPERATIVOS"/>
    <n v="41"/>
    <m/>
    <x v="1"/>
    <x v="1"/>
  </r>
  <r>
    <x v="21"/>
    <s v="5°1°1LUVESPERTINO512"/>
    <n v="512"/>
    <s v="1LUV42"/>
    <s v="1LU"/>
    <x v="2"/>
    <s v="5°1°5125IFTLH5"/>
    <s v="LAB DE HARDWARE "/>
    <n v="42"/>
    <m/>
    <x v="1"/>
    <x v="1"/>
  </r>
  <r>
    <x v="21"/>
    <s v="5°1°1maMAÑANA0"/>
    <n v="0"/>
    <s v="1maM"/>
    <s v="1ma"/>
    <x v="0"/>
    <s v="5°1°5IHIS5"/>
    <s v="HISTORIA"/>
    <m/>
    <m/>
    <x v="2"/>
    <x v="0"/>
  </r>
  <r>
    <x v="21"/>
    <s v="5°1°1viVESPERTINO512"/>
    <n v="512"/>
    <s v="1viV52"/>
    <s v="1vi"/>
    <x v="2"/>
    <s v="5°1°5125IFTLS5"/>
    <s v="LAB DE SIST OPERATIVOS"/>
    <n v="52"/>
    <m/>
    <x v="4"/>
    <x v="1"/>
  </r>
  <r>
    <x v="21"/>
    <s v="5°1°1MiMAÑANA0"/>
    <n v="0"/>
    <s v="1MiM"/>
    <s v="1Mi"/>
    <x v="0"/>
    <s v="5°1°5IGEOS5"/>
    <s v="GEOGRAFIA"/>
    <m/>
    <m/>
    <x v="3"/>
    <x v="0"/>
  </r>
  <r>
    <x v="21"/>
    <s v="5°1°1miTARDE511"/>
    <n v="511"/>
    <s v="1miT30"/>
    <s v="1mi"/>
    <x v="1"/>
    <s v="5°1°5115IFTLA5"/>
    <s v="LAB DE APLICACIONES "/>
    <n v="30"/>
    <m/>
    <x v="3"/>
    <x v="1"/>
  </r>
  <r>
    <x v="21"/>
    <s v="5°1°1MIVESPERTINO512"/>
    <n v="512"/>
    <s v="1MIV41"/>
    <s v="1MI"/>
    <x v="2"/>
    <s v="5°1°5125IFTLA5"/>
    <s v="LAB DE APLICACIONES "/>
    <n v="41"/>
    <m/>
    <x v="3"/>
    <x v="1"/>
  </r>
  <r>
    <x v="21"/>
    <s v="5°1°1viMAÑANA0"/>
    <n v="0"/>
    <s v="1viM"/>
    <s v="1vi"/>
    <x v="0"/>
    <s v="5°1°5IINGS"/>
    <s v="INGLÉS"/>
    <m/>
    <m/>
    <x v="4"/>
    <x v="0"/>
  </r>
  <r>
    <x v="21"/>
    <s v="5°1°2JUMAÑANA0"/>
    <n v="0"/>
    <s v="2JUM"/>
    <s v="2JU"/>
    <x v="0"/>
    <s v="5°1°5IANMAT"/>
    <s v="ANALISIS MATEMATICO"/>
    <m/>
    <m/>
    <x v="0"/>
    <x v="0"/>
  </r>
  <r>
    <x v="21"/>
    <s v="5°1°2juVESPERTINO511"/>
    <n v="511"/>
    <s v="2juV31"/>
    <s v="2ju"/>
    <x v="2"/>
    <s v="5°1°5115IFTLH5"/>
    <s v="LAB DE HARDWARE "/>
    <n v="31"/>
    <m/>
    <x v="0"/>
    <x v="1"/>
  </r>
  <r>
    <x v="21"/>
    <s v="5°1°2LUMAÑANA0"/>
    <n v="0"/>
    <s v="2LUM"/>
    <s v="2LU"/>
    <x v="0"/>
    <s v="5°1°5IANMAT"/>
    <s v="ANALISIS MATEMATICO"/>
    <m/>
    <m/>
    <x v="1"/>
    <x v="0"/>
  </r>
  <r>
    <x v="21"/>
    <s v="5°1°2luVESPERTINO511"/>
    <n v="511"/>
    <s v="2luV41"/>
    <s v="2lu"/>
    <x v="2"/>
    <s v="5°1°5115IFTLS5"/>
    <s v="LAB DE SIST OPERATIVOS"/>
    <n v="41"/>
    <m/>
    <x v="1"/>
    <x v="1"/>
  </r>
  <r>
    <x v="21"/>
    <s v="5°1°2LUVESPERTINO512"/>
    <n v="512"/>
    <s v="2LUV42"/>
    <s v="2LU"/>
    <x v="2"/>
    <s v="5°1°5125IFTLH5"/>
    <s v="LAB DE HARDWARE "/>
    <n v="42"/>
    <m/>
    <x v="1"/>
    <x v="1"/>
  </r>
  <r>
    <x v="21"/>
    <s v="5°1°2maMAÑANA0"/>
    <n v="0"/>
    <s v="2maM"/>
    <s v="2ma"/>
    <x v="0"/>
    <s v="5°1°5IHIS5"/>
    <s v="HISTORIA"/>
    <m/>
    <m/>
    <x v="2"/>
    <x v="0"/>
  </r>
  <r>
    <x v="21"/>
    <s v="5°1°2viVESPERTINO512"/>
    <n v="512"/>
    <s v="2viV52"/>
    <s v="2vi"/>
    <x v="2"/>
    <s v="5°1°5125IFTLS5"/>
    <s v="LAB DE SIST OPERATIVOS"/>
    <n v="52"/>
    <m/>
    <x v="4"/>
    <x v="1"/>
  </r>
  <r>
    <x v="21"/>
    <s v="5°1°2MiMAÑANA0"/>
    <n v="0"/>
    <s v="2MiM"/>
    <s v="2Mi"/>
    <x v="0"/>
    <s v="5°1°5IGEOS5"/>
    <s v="GEOGRAFIA"/>
    <m/>
    <m/>
    <x v="3"/>
    <x v="0"/>
  </r>
  <r>
    <x v="21"/>
    <s v="5°1°2miTARDE511"/>
    <n v="511"/>
    <s v="2miT30"/>
    <s v="2mi"/>
    <x v="1"/>
    <s v="5°1°5115IFTLA5"/>
    <s v="LAB DE APLICACIONES "/>
    <n v="30"/>
    <m/>
    <x v="3"/>
    <x v="1"/>
  </r>
  <r>
    <x v="21"/>
    <s v="5°1°2MIVESPERTINO512"/>
    <n v="512"/>
    <s v="2MIV41"/>
    <s v="2MI"/>
    <x v="2"/>
    <s v="5°1°5125IFTLA5"/>
    <s v="LAB DE APLICACIONES "/>
    <n v="41"/>
    <m/>
    <x v="3"/>
    <x v="1"/>
  </r>
  <r>
    <x v="21"/>
    <s v="5°1°2viMAÑANA0"/>
    <n v="0"/>
    <s v="2viM"/>
    <s v="2vi"/>
    <x v="0"/>
    <s v="5°1°5IINGS"/>
    <s v="INGLÉS"/>
    <m/>
    <m/>
    <x v="4"/>
    <x v="0"/>
  </r>
  <r>
    <x v="21"/>
    <s v="5°1°3JUMAÑANA0"/>
    <n v="0"/>
    <s v="3JUM"/>
    <s v="3JU"/>
    <x v="0"/>
    <s v="5°1°5IPYCS"/>
    <s v="POLITICA Y CIUDADANIA"/>
    <m/>
    <m/>
    <x v="0"/>
    <x v="0"/>
  </r>
  <r>
    <x v="21"/>
    <s v="5°1°3juVESPERTINO511"/>
    <n v="511"/>
    <s v="3juV31"/>
    <s v="3ju"/>
    <x v="2"/>
    <s v="5°1°5115IFTLH5"/>
    <s v="LAB DE HARDWARE "/>
    <n v="31"/>
    <m/>
    <x v="0"/>
    <x v="1"/>
  </r>
  <r>
    <x v="21"/>
    <s v="5°1°3LUMAÑANA0"/>
    <n v="0"/>
    <s v="3LUM"/>
    <s v="3LU"/>
    <x v="0"/>
    <s v="5°1°5ILITS"/>
    <s v="LITERATURA"/>
    <m/>
    <m/>
    <x v="1"/>
    <x v="0"/>
  </r>
  <r>
    <x v="21"/>
    <s v="5°1°3luVESPERTINO511"/>
    <n v="511"/>
    <s v="3luV41"/>
    <s v="3lu"/>
    <x v="2"/>
    <s v="5°1°5115IFTLS5"/>
    <s v="LAB DE SIST OPERATIVOS"/>
    <n v="41"/>
    <m/>
    <x v="1"/>
    <x v="1"/>
  </r>
  <r>
    <x v="21"/>
    <s v="5°1°3LUVESPERTINO512"/>
    <n v="512"/>
    <s v="3LUV42"/>
    <s v="3LU"/>
    <x v="2"/>
    <s v="5°1°5125IFTLH5"/>
    <s v="LAB DE HARDWARE "/>
    <n v="42"/>
    <m/>
    <x v="1"/>
    <x v="1"/>
  </r>
  <r>
    <x v="21"/>
    <s v="5°1°3MAMAÑANA0"/>
    <n v="0"/>
    <s v="3MAM"/>
    <s v="3MA"/>
    <x v="0"/>
    <s v="5°1°5ISIDI4"/>
    <s v="SISTEMA DIGITAL"/>
    <m/>
    <m/>
    <x v="2"/>
    <x v="0"/>
  </r>
  <r>
    <x v="21"/>
    <s v="5°1°3maTARDE512"/>
    <n v="512"/>
    <s v="3maT30"/>
    <s v="3ma"/>
    <x v="1"/>
    <s v="5°1°5125IFTLP5"/>
    <s v="LAB DE PROGRAM "/>
    <n v="30"/>
    <m/>
    <x v="2"/>
    <x v="1"/>
  </r>
  <r>
    <x v="21"/>
    <s v="5°1°3viVESPERTINO512"/>
    <n v="512"/>
    <s v="3viV52"/>
    <s v="3vi"/>
    <x v="2"/>
    <s v="5°1°5125IFTLS5"/>
    <s v="LAB DE SIST OPERATIVOS"/>
    <n v="52"/>
    <m/>
    <x v="4"/>
    <x v="1"/>
  </r>
  <r>
    <x v="21"/>
    <s v="5°1°3MIMAÑANA0"/>
    <n v="0"/>
    <s v="3MIM"/>
    <s v="3MI"/>
    <x v="0"/>
    <s v="5°1°5ITELEI"/>
    <s v="TELEINFORMATICA"/>
    <m/>
    <m/>
    <x v="3"/>
    <x v="0"/>
  </r>
  <r>
    <x v="21"/>
    <s v="5°1°3MIVESPERTINO511"/>
    <n v="511"/>
    <s v="3MIV41"/>
    <s v="3MI"/>
    <x v="2"/>
    <s v="5°1°5115IFTLP5"/>
    <s v="LAB DE PROGRAM "/>
    <n v="41"/>
    <m/>
    <x v="3"/>
    <x v="1"/>
  </r>
  <r>
    <x v="21"/>
    <s v="5°1°3VIMAÑANA0"/>
    <n v="0"/>
    <s v="3VIM"/>
    <s v="3VI"/>
    <x v="0"/>
    <s v="5°1°5ITELEI"/>
    <s v="TELEINFORMATICA"/>
    <m/>
    <m/>
    <x v="4"/>
    <x v="0"/>
  </r>
  <r>
    <x v="21"/>
    <s v="5°1°4JUMAÑANA0"/>
    <n v="0"/>
    <s v="4JUM"/>
    <s v="4JU"/>
    <x v="0"/>
    <s v="5°1°5IPYCS"/>
    <s v="POLITICA Y CIUDADANIA"/>
    <m/>
    <m/>
    <x v="0"/>
    <x v="0"/>
  </r>
  <r>
    <x v="21"/>
    <s v="5°1°4juVESPERTINO511"/>
    <n v="511"/>
    <s v="4juV31"/>
    <s v="4ju"/>
    <x v="2"/>
    <s v="5°1°5115IFTLH5"/>
    <s v="LAB DE HARDWARE "/>
    <n v="31"/>
    <m/>
    <x v="0"/>
    <x v="1"/>
  </r>
  <r>
    <x v="21"/>
    <s v="5°1°4LUMAÑANA0"/>
    <n v="0"/>
    <s v="4LUM"/>
    <s v="4LU"/>
    <x v="0"/>
    <s v="5°1°5ILITS"/>
    <s v="LITERATURA"/>
    <m/>
    <m/>
    <x v="1"/>
    <x v="0"/>
  </r>
  <r>
    <x v="21"/>
    <s v="5°1°4luVESPERTINO511"/>
    <n v="511"/>
    <s v="4luV41"/>
    <s v="4lu"/>
    <x v="2"/>
    <s v="5°1°5115IFTLS5"/>
    <s v="LAB DE SIST OPERATIVOS"/>
    <n v="41"/>
    <m/>
    <x v="1"/>
    <x v="1"/>
  </r>
  <r>
    <x v="21"/>
    <s v="5°1°4LUVESPERTINO512"/>
    <n v="512"/>
    <s v="4LUV42"/>
    <s v="4LU"/>
    <x v="2"/>
    <s v="5°1°5125IFTLH5"/>
    <s v="LAB DE HARDWARE "/>
    <n v="42"/>
    <m/>
    <x v="1"/>
    <x v="1"/>
  </r>
  <r>
    <x v="21"/>
    <s v="5°1°4MAMAÑANA0"/>
    <n v="0"/>
    <s v="4MAM"/>
    <s v="4MA"/>
    <x v="0"/>
    <s v="5°1°5ISIDI4"/>
    <s v="SISTEMA DIGITAL"/>
    <m/>
    <m/>
    <x v="2"/>
    <x v="0"/>
  </r>
  <r>
    <x v="21"/>
    <s v="5°1°4maTARDE512"/>
    <n v="512"/>
    <s v="4maT30"/>
    <s v="4ma"/>
    <x v="1"/>
    <s v="5°1°5125IFTLP5"/>
    <s v="LAB DE PROGRAM "/>
    <n v="30"/>
    <m/>
    <x v="2"/>
    <x v="1"/>
  </r>
  <r>
    <x v="21"/>
    <s v="5°1°4viVESPERTINO512"/>
    <n v="512"/>
    <s v="4viV52"/>
    <s v="4vi"/>
    <x v="2"/>
    <s v="5°1°5125IFTLS5"/>
    <s v="LAB DE SIST OPERATIVOS"/>
    <n v="52"/>
    <m/>
    <x v="4"/>
    <x v="1"/>
  </r>
  <r>
    <x v="21"/>
    <s v="5°1°4MIMAÑANA0"/>
    <n v="0"/>
    <s v="4MIM"/>
    <s v="4MI"/>
    <x v="0"/>
    <s v="5°1°5ITELEI"/>
    <s v="TELEINFORMATICA"/>
    <m/>
    <m/>
    <x v="3"/>
    <x v="0"/>
  </r>
  <r>
    <x v="21"/>
    <s v="5°1°4MIVESPERTINO511"/>
    <n v="511"/>
    <s v="4MIV41"/>
    <s v="4MI"/>
    <x v="2"/>
    <s v="5°1°5115IFTLP5"/>
    <s v="LAB DE PROGRAM "/>
    <n v="41"/>
    <m/>
    <x v="3"/>
    <x v="1"/>
  </r>
  <r>
    <x v="21"/>
    <s v="5°1°4VIMAÑANA0"/>
    <n v="0"/>
    <s v="4VIM"/>
    <s v="4VI"/>
    <x v="0"/>
    <s v="5°1°5ITELEI"/>
    <s v="TELEINFORMATICA"/>
    <m/>
    <m/>
    <x v="4"/>
    <x v="0"/>
  </r>
  <r>
    <x v="21"/>
    <s v="5°1°5MAMAÑANA0"/>
    <n v="0"/>
    <s v="5MAM"/>
    <s v="5MA"/>
    <x v="0"/>
    <s v="5°1°5ISIDI4"/>
    <s v="SISTEMA DIGITAL"/>
    <m/>
    <m/>
    <x v="2"/>
    <x v="0"/>
  </r>
  <r>
    <x v="21"/>
    <s v="5°1°5MIMAÑANA0"/>
    <n v="0"/>
    <s v="5MIMPATIO"/>
    <s v="5MI"/>
    <x v="0"/>
    <s v="5°1°5IEFIS"/>
    <s v="EDUCACIÓN FISICA"/>
    <s v="PATIO"/>
    <m/>
    <x v="3"/>
    <x v="0"/>
  </r>
  <r>
    <x v="21"/>
    <s v="5°1°5VIMAÑANA0"/>
    <n v="0"/>
    <s v="5VIMPATIO"/>
    <s v="5VI"/>
    <x v="0"/>
    <s v="5°1°5IEFIS"/>
    <s v="EDUCACIÓN FISICA"/>
    <s v="PATIO"/>
    <m/>
    <x v="4"/>
    <x v="0"/>
  </r>
  <r>
    <x v="22"/>
    <s v="6°1°1JUVESPERTINO0"/>
    <n v="0"/>
    <s v="1JUV"/>
    <s v="1JU"/>
    <x v="2"/>
    <s v="6°1°6IINGS"/>
    <s v="INGLÉS"/>
    <m/>
    <m/>
    <x v="0"/>
    <x v="0"/>
  </r>
  <r>
    <x v="22"/>
    <s v="6°1°1LUTARDE611"/>
    <n v="611"/>
    <s v="1LUT41"/>
    <s v="1LU"/>
    <x v="1"/>
    <s v="6°1°6116IFTLH6"/>
    <s v="LAB DE HARDWARE "/>
    <n v="41"/>
    <m/>
    <x v="1"/>
    <x v="1"/>
  </r>
  <r>
    <x v="22"/>
    <s v="6°1°1miTARDE612"/>
    <n v="612"/>
    <s v="1miT41"/>
    <s v="1mi"/>
    <x v="1"/>
    <s v="6°1°6126IFTLH6"/>
    <s v="LAB DE HARDWARE "/>
    <n v="41"/>
    <m/>
    <x v="3"/>
    <x v="1"/>
  </r>
  <r>
    <x v="22"/>
    <s v="6°1°1LUVESPERTINO0"/>
    <n v="0"/>
    <s v="1LUV"/>
    <s v="1LU"/>
    <x v="2"/>
    <s v="6°1°6IDETRA"/>
    <s v="DERECHO DE TRABAJO"/>
    <m/>
    <m/>
    <x v="1"/>
    <x v="0"/>
  </r>
  <r>
    <x v="22"/>
    <s v="6°1°1MATARDE611"/>
    <n v="611"/>
    <s v="1MAT40"/>
    <s v="1MA"/>
    <x v="1"/>
    <s v="6°1°6116IFHLS6"/>
    <s v="LAB DE SIST OPERATIVOS "/>
    <n v="40"/>
    <m/>
    <x v="2"/>
    <x v="1"/>
  </r>
  <r>
    <x v="22"/>
    <s v="6°1°1MAVESPERTINO0"/>
    <n v="0"/>
    <s v="1MAV"/>
    <s v="1MA"/>
    <x v="2"/>
    <s v="6°1°6ISIDI6"/>
    <s v="SISTEMA DIGITAL"/>
    <m/>
    <m/>
    <x v="2"/>
    <x v="0"/>
  </r>
  <r>
    <x v="22"/>
    <s v="6°1°1MIMAÑANA0"/>
    <n v="0"/>
    <s v="1MIMPATIO3"/>
    <s v="1MI"/>
    <x v="0"/>
    <s v="6°1°6IEFIS"/>
    <s v="EDUCACIÓN FISICA"/>
    <s v="PATIO3"/>
    <m/>
    <x v="3"/>
    <x v="0"/>
  </r>
  <r>
    <x v="22"/>
    <s v="6°1°1MATARDE612"/>
    <n v="612"/>
    <s v="1MAT41"/>
    <s v="1MA"/>
    <x v="1"/>
    <s v="6°1°6126IFHLS6"/>
    <s v="LAB DE SIST OPERATIVOS "/>
    <n v="41"/>
    <m/>
    <x v="2"/>
    <x v="1"/>
  </r>
  <r>
    <x v="22"/>
    <s v="6°1°1MIVESPERTINO0"/>
    <n v="0"/>
    <s v="1MIV"/>
    <s v="1MI"/>
    <x v="2"/>
    <s v="6°1°6IFILO"/>
    <s v="FILOSOFIA"/>
    <m/>
    <m/>
    <x v="3"/>
    <x v="0"/>
  </r>
  <r>
    <x v="22"/>
    <s v="6°1°3miMAÑANA611"/>
    <n v="611"/>
    <s v="3miM40"/>
    <s v="3mi"/>
    <x v="0"/>
    <s v="6°1°6116IFTLP6"/>
    <s v="LAB DE PROGRAM "/>
    <n v="40"/>
    <m/>
    <x v="3"/>
    <x v="1"/>
  </r>
  <r>
    <x v="22"/>
    <s v="6°1°1VIVESPERTINO0"/>
    <n v="0"/>
    <s v="1VIV"/>
    <s v="1VI"/>
    <x v="2"/>
    <s v="6°1°6ISEIN"/>
    <s v="SEGURIDAD INFORMATICA"/>
    <m/>
    <m/>
    <x v="4"/>
    <x v="0"/>
  </r>
  <r>
    <x v="22"/>
    <s v="6°1°2JUTARDE0"/>
    <n v="0"/>
    <s v="2JUT47"/>
    <s v="2JU"/>
    <x v="1"/>
    <s v="6°1°6IINVOP"/>
    <s v="INVESTIGACION OPERATIVA"/>
    <n v="47"/>
    <m/>
    <x v="0"/>
    <x v="1"/>
  </r>
  <r>
    <x v="22"/>
    <s v="6°1°2JUVESPERTINO0"/>
    <n v="0"/>
    <s v="2JUV"/>
    <s v="2JU"/>
    <x v="2"/>
    <s v="6°1°6IINGS"/>
    <s v="INGLÉS"/>
    <m/>
    <m/>
    <x v="0"/>
    <x v="0"/>
  </r>
  <r>
    <x v="22"/>
    <s v="6°1°2LUTARDE611"/>
    <n v="611"/>
    <s v="2LUT41"/>
    <s v="2LU"/>
    <x v="1"/>
    <s v="6°1°6116IFTLH6"/>
    <s v="LAB DE HARDWARE "/>
    <n v="41"/>
    <m/>
    <x v="1"/>
    <x v="1"/>
  </r>
  <r>
    <x v="22"/>
    <s v="6°1°2miTARDE612"/>
    <n v="612"/>
    <s v="2miT41"/>
    <s v="2mi"/>
    <x v="1"/>
    <s v="6°1°6126IFTLH6"/>
    <s v="LAB DE HARDWARE "/>
    <n v="41"/>
    <m/>
    <x v="3"/>
    <x v="1"/>
  </r>
  <r>
    <x v="22"/>
    <s v="6°1°2LUVESPERTINO0"/>
    <n v="0"/>
    <s v="2LUV"/>
    <s v="2LU"/>
    <x v="2"/>
    <s v="6°1°6IDETRA"/>
    <s v="DERECHO DE TRABAJO"/>
    <m/>
    <m/>
    <x v="1"/>
    <x v="0"/>
  </r>
  <r>
    <x v="22"/>
    <s v="6°1°2MATARDE611"/>
    <n v="611"/>
    <s v="2MAT40"/>
    <s v="2MA"/>
    <x v="1"/>
    <s v="6°1°6116IFHLS6"/>
    <s v="LAB DE SIST OPERATIVOS "/>
    <n v="40"/>
    <m/>
    <x v="2"/>
    <x v="1"/>
  </r>
  <r>
    <x v="22"/>
    <s v="6°1°2MAVESPERTINO0"/>
    <n v="0"/>
    <s v="2MAV"/>
    <s v="2MA"/>
    <x v="2"/>
    <s v="6°1°6ISIDI6"/>
    <s v="SISTEMA DIGITAL"/>
    <m/>
    <m/>
    <x v="2"/>
    <x v="0"/>
  </r>
  <r>
    <x v="22"/>
    <s v="6°1°2MIMAÑANA0"/>
    <n v="0"/>
    <s v="2MIMPATIO3"/>
    <s v="2MI"/>
    <x v="0"/>
    <s v="6°1°6IEFIS"/>
    <s v="EDUCACIÓN FISICA"/>
    <s v="PATIO3"/>
    <m/>
    <x v="3"/>
    <x v="0"/>
  </r>
  <r>
    <x v="22"/>
    <s v="6°1°2MATARDE612"/>
    <n v="612"/>
    <s v="2MAT41"/>
    <s v="2MA"/>
    <x v="1"/>
    <s v="6°1°6126IFHLS6"/>
    <s v="LAB DE SIST OPERATIVOS "/>
    <n v="41"/>
    <m/>
    <x v="2"/>
    <x v="1"/>
  </r>
  <r>
    <x v="22"/>
    <s v="6°1°2MIVESPERTINO0"/>
    <n v="0"/>
    <s v="2MIV"/>
    <s v="2MI"/>
    <x v="2"/>
    <s v="6°1°6IFILO"/>
    <s v="FILOSOFIA"/>
    <m/>
    <m/>
    <x v="3"/>
    <x v="0"/>
  </r>
  <r>
    <x v="22"/>
    <s v="6°1°4miMAÑANA611"/>
    <n v="611"/>
    <s v="4miM40"/>
    <s v="4mi"/>
    <x v="0"/>
    <s v="6°1°6116IFTLP6"/>
    <s v="LAB DE PROGRAM "/>
    <n v="40"/>
    <m/>
    <x v="3"/>
    <x v="1"/>
  </r>
  <r>
    <x v="22"/>
    <s v="6°1°2VIVESPERTINO0"/>
    <n v="0"/>
    <s v="2VIV"/>
    <s v="2VI"/>
    <x v="2"/>
    <s v="6°1°6ISEIN"/>
    <s v="SEGURIDAD INFORMATICA"/>
    <m/>
    <m/>
    <x v="4"/>
    <x v="0"/>
  </r>
  <r>
    <x v="22"/>
    <s v="6°1°3JUTARDE0"/>
    <n v="0"/>
    <s v="3JUT47"/>
    <s v="3JU"/>
    <x v="1"/>
    <s v="6°1°6IINVOP"/>
    <s v="INVESTIGACION OPERATIVA"/>
    <n v="47"/>
    <m/>
    <x v="0"/>
    <x v="1"/>
  </r>
  <r>
    <x v="22"/>
    <s v="6°1°3JUVESPERTINO0"/>
    <n v="0"/>
    <s v="3JUV"/>
    <s v="3JU"/>
    <x v="2"/>
    <s v="6°1°6ILITS"/>
    <s v="LITERATURA"/>
    <m/>
    <m/>
    <x v="0"/>
    <x v="0"/>
  </r>
  <r>
    <x v="22"/>
    <s v="6°1°3LUTARDE611"/>
    <n v="611"/>
    <s v="3LUT41"/>
    <s v="3LU"/>
    <x v="1"/>
    <s v="6°1°6116IFTLH6"/>
    <s v="LAB DE HARDWARE "/>
    <n v="41"/>
    <m/>
    <x v="1"/>
    <x v="1"/>
  </r>
  <r>
    <x v="22"/>
    <s v="6°1°3miTARDE612"/>
    <n v="612"/>
    <s v="3miT41"/>
    <s v="3mi"/>
    <x v="1"/>
    <s v="6°1°6126IFTLH6"/>
    <s v="LAB DE HARDWARE "/>
    <n v="41"/>
    <m/>
    <x v="3"/>
    <x v="1"/>
  </r>
  <r>
    <x v="22"/>
    <s v="6°1°3LUVESPERTINO0"/>
    <n v="0"/>
    <s v="3LUV"/>
    <s v="3LU"/>
    <x v="2"/>
    <s v="6°1°6IARTE"/>
    <s v="ARTE"/>
    <m/>
    <m/>
    <x v="1"/>
    <x v="0"/>
  </r>
  <r>
    <x v="22"/>
    <s v="6°1°3MATARDE611"/>
    <n v="611"/>
    <s v="3MAT40"/>
    <s v="3MA"/>
    <x v="1"/>
    <s v="6°1°6116IFHLS6"/>
    <s v="LAB DE SIST OPERATIVOS "/>
    <n v="40"/>
    <m/>
    <x v="2"/>
    <x v="1"/>
  </r>
  <r>
    <x v="22"/>
    <s v="6°1°3MAVESPERTINO0"/>
    <n v="0"/>
    <s v="3MAV"/>
    <s v="3MA"/>
    <x v="2"/>
    <s v="6°1°6ISIDI6"/>
    <s v="SISTEMA DIGITAL"/>
    <m/>
    <m/>
    <x v="2"/>
    <x v="0"/>
  </r>
  <r>
    <x v="22"/>
    <s v="6°1°3MITARDE611"/>
    <n v="611"/>
    <s v="3MIT30"/>
    <s v="3MI"/>
    <x v="1"/>
    <s v="6°1°6116IFTLA6"/>
    <s v="LAB DE APLICACIONES "/>
    <n v="30"/>
    <m/>
    <x v="3"/>
    <x v="1"/>
  </r>
  <r>
    <x v="22"/>
    <s v="6°1°3viTARDE612"/>
    <n v="612"/>
    <s v="3viT40"/>
    <s v="3vi"/>
    <x v="1"/>
    <s v="6°1°6126IFTLA6"/>
    <s v="LAB DE APLICACIONES "/>
    <n v="40"/>
    <m/>
    <x v="4"/>
    <x v="1"/>
  </r>
  <r>
    <x v="22"/>
    <s v="6°1°3MATARDE612"/>
    <n v="612"/>
    <s v="3MAT41"/>
    <s v="3MA"/>
    <x v="1"/>
    <s v="6°1°6126IFHLS6"/>
    <s v="LAB DE SIST OPERATIVOS "/>
    <n v="41"/>
    <m/>
    <x v="2"/>
    <x v="1"/>
  </r>
  <r>
    <x v="22"/>
    <s v="6°1°3MIVESPERTINO0"/>
    <n v="0"/>
    <s v="3MIV"/>
    <s v="3MI"/>
    <x v="2"/>
    <s v="6°1°6IMATAP"/>
    <s v="MATEMATICA APLICADA"/>
    <m/>
    <m/>
    <x v="3"/>
    <x v="0"/>
  </r>
  <r>
    <x v="22"/>
    <s v="6°1°1viTARDE612"/>
    <n v="612"/>
    <s v="1viT40"/>
    <s v="1vi"/>
    <x v="1"/>
    <s v="6°1°6126IFTLP6"/>
    <s v="LAB DE PROGRAM "/>
    <n v="40"/>
    <m/>
    <x v="4"/>
    <x v="1"/>
  </r>
  <r>
    <x v="22"/>
    <s v="6°1°3VIVESPERTINO0"/>
    <n v="0"/>
    <s v="3VIV"/>
    <s v="3VI"/>
    <x v="2"/>
    <s v="6°1°6ISEIN"/>
    <s v="SEGURIDAD INFORMATICA"/>
    <m/>
    <m/>
    <x v="4"/>
    <x v="0"/>
  </r>
  <r>
    <x v="22"/>
    <s v="6°1°4JUTARDE0"/>
    <n v="0"/>
    <s v="4JUT47"/>
    <s v="4JU"/>
    <x v="1"/>
    <s v="6°1°6IINVOP"/>
    <s v="INVESTIGACION OPERATIVA"/>
    <n v="47"/>
    <m/>
    <x v="0"/>
    <x v="1"/>
  </r>
  <r>
    <x v="22"/>
    <s v="6°1°4JUVESPERTINO0"/>
    <n v="0"/>
    <s v="4JUV"/>
    <s v="4JU"/>
    <x v="2"/>
    <s v="6°1°6ILITS"/>
    <s v="LITERATURA"/>
    <m/>
    <m/>
    <x v="0"/>
    <x v="0"/>
  </r>
  <r>
    <x v="22"/>
    <s v="6°1°4LUTARDE611"/>
    <n v="611"/>
    <s v="4LUT41"/>
    <s v="4LU"/>
    <x v="1"/>
    <s v="6°1°6116IFTLH6"/>
    <s v="LAB DE HARDWARE "/>
    <n v="41"/>
    <m/>
    <x v="1"/>
    <x v="1"/>
  </r>
  <r>
    <x v="22"/>
    <s v="6°1°4miTARDE612"/>
    <n v="612"/>
    <s v="4miT41"/>
    <s v="4mi"/>
    <x v="1"/>
    <s v="6°1°6126IFTLH6"/>
    <s v="LAB DE HARDWARE "/>
    <n v="41"/>
    <m/>
    <x v="3"/>
    <x v="1"/>
  </r>
  <r>
    <x v="22"/>
    <s v="6°1°4LUVESPERTINO0"/>
    <n v="0"/>
    <s v="4LUV"/>
    <s v="4LU"/>
    <x v="2"/>
    <s v="6°1°6IARTE"/>
    <s v="ARTE"/>
    <m/>
    <m/>
    <x v="1"/>
    <x v="0"/>
  </r>
  <r>
    <x v="22"/>
    <s v="6°1°4MATARDE611"/>
    <n v="611"/>
    <s v="4MAT40"/>
    <s v="4MA"/>
    <x v="1"/>
    <s v="6°1°6116IFHLS6"/>
    <s v="LAB DE SIST OPERATIVOS "/>
    <n v="40"/>
    <m/>
    <x v="2"/>
    <x v="1"/>
  </r>
  <r>
    <x v="22"/>
    <s v="6°1°4MITARDE611"/>
    <n v="611"/>
    <s v="4MIT30"/>
    <s v="4MI"/>
    <x v="1"/>
    <s v="6°1°6116IFTLA6"/>
    <s v="LAB DE APLICACIONES "/>
    <n v="30"/>
    <m/>
    <x v="3"/>
    <x v="1"/>
  </r>
  <r>
    <x v="22"/>
    <s v="6°1°4viTARDE612"/>
    <n v="612"/>
    <s v="4viT40"/>
    <s v="4vi"/>
    <x v="1"/>
    <s v="6°1°6126IFTLA6"/>
    <s v="LAB DE APLICACIONES "/>
    <n v="40"/>
    <m/>
    <x v="4"/>
    <x v="1"/>
  </r>
  <r>
    <x v="22"/>
    <s v="6°1°4MATARDE612"/>
    <n v="612"/>
    <s v="4MAT41"/>
    <s v="4MA"/>
    <x v="1"/>
    <s v="6°1°6126IFHLS6"/>
    <s v="LAB DE SIST OPERATIVOS "/>
    <n v="41"/>
    <m/>
    <x v="2"/>
    <x v="1"/>
  </r>
  <r>
    <x v="22"/>
    <s v="6°1°4MIVESPERTINO0"/>
    <n v="0"/>
    <s v="4MIV"/>
    <s v="4MI"/>
    <x v="2"/>
    <s v="6°1°6IMATAP"/>
    <s v="MATEMATICA APLICADA"/>
    <m/>
    <m/>
    <x v="3"/>
    <x v="0"/>
  </r>
  <r>
    <x v="22"/>
    <s v="6°1°2viTARDE612"/>
    <n v="612"/>
    <s v="2viT40"/>
    <s v="2vi"/>
    <x v="1"/>
    <s v="6°1°6126IFTLP6"/>
    <s v="LAB DE PROGRAM "/>
    <n v="40"/>
    <m/>
    <x v="4"/>
    <x v="1"/>
  </r>
  <r>
    <x v="23"/>
    <s v="6°2°1JUMAÑANA621"/>
    <n v="621"/>
    <s v="1JUM40"/>
    <s v="1JU"/>
    <x v="0"/>
    <s v="6°2°6216IFHLS6"/>
    <s v="LAB DE SIST OPERATIVOS "/>
    <n v="40"/>
    <m/>
    <x v="0"/>
    <x v="1"/>
  </r>
  <r>
    <x v="23"/>
    <s v="6°2°1VIMAÑANA621"/>
    <n v="621"/>
    <s v="1VIM31"/>
    <s v="1VI"/>
    <x v="0"/>
    <s v="6°2°6216IFTLH6"/>
    <s v="LAB DE HARDWARE "/>
    <n v="31"/>
    <m/>
    <x v="4"/>
    <x v="1"/>
  </r>
  <r>
    <x v="23"/>
    <s v="6°2°1JUVESPERTINO0"/>
    <n v="0"/>
    <s v="1JUV"/>
    <s v="1JU"/>
    <x v="2"/>
    <s v="6°2°6IINVOP"/>
    <s v="INVESTIGACION OPERATIVA"/>
    <m/>
    <m/>
    <x v="0"/>
    <x v="0"/>
  </r>
  <r>
    <x v="23"/>
    <s v="6°2°1LUMAÑANA0"/>
    <n v="0"/>
    <s v="1LUMPATIO"/>
    <s v="1LU"/>
    <x v="0"/>
    <s v="6°2°6IEFIS"/>
    <s v="EDUCACIÓN FISICA"/>
    <s v="PATIO"/>
    <m/>
    <x v="1"/>
    <x v="1"/>
  </r>
  <r>
    <x v="23"/>
    <s v="6°2°1LUVESPERTINO0"/>
    <n v="0"/>
    <s v="1LUV"/>
    <s v="1LU"/>
    <x v="2"/>
    <s v="6°2°6IMATAP"/>
    <s v="MATEMATICA APLICADA"/>
    <m/>
    <m/>
    <x v="1"/>
    <x v="0"/>
  </r>
  <r>
    <x v="23"/>
    <s v="6°2°2VIMAÑANA621"/>
    <n v="621"/>
    <s v="2VIM31"/>
    <s v="2VI"/>
    <x v="0"/>
    <s v="6°2°6216IFTLH6"/>
    <s v="LAB DE HARDWARE "/>
    <n v="31"/>
    <m/>
    <x v="4"/>
    <x v="1"/>
  </r>
  <r>
    <x v="23"/>
    <s v="6°2°1MAMAÑANA622"/>
    <n v="622"/>
    <s v="1MAM41"/>
    <s v="1MA"/>
    <x v="0"/>
    <s v="6°2°6226IFTLA6"/>
    <s v="LAB DE APLICACIONES "/>
    <n v="41"/>
    <m/>
    <x v="2"/>
    <x v="1"/>
  </r>
  <r>
    <x v="23"/>
    <s v="6°2°1MATARDE621"/>
    <n v="621"/>
    <s v="1MAT30"/>
    <s v="1MA"/>
    <x v="1"/>
    <s v="6°2°6226IFTLP6"/>
    <s v="LAB DE PROGRAM "/>
    <n v="30"/>
    <m/>
    <x v="2"/>
    <x v="1"/>
  </r>
  <r>
    <x v="23"/>
    <s v="6°2°1MAVESPERTINO0"/>
    <n v="0"/>
    <s v="1MAV"/>
    <s v="1MA"/>
    <x v="2"/>
    <s v="6°2°6IARTE"/>
    <s v="ARTE"/>
    <m/>
    <m/>
    <x v="2"/>
    <x v="0"/>
  </r>
  <r>
    <x v="23"/>
    <s v="6°2°1MIMAÑANA622"/>
    <n v="622"/>
    <s v="1MIM31"/>
    <s v="1MI"/>
    <x v="0"/>
    <s v="6°2°6226IFHLS6"/>
    <s v="LAB DE SIST OPERATIVOS "/>
    <n v="31"/>
    <m/>
    <x v="3"/>
    <x v="1"/>
  </r>
  <r>
    <x v="23"/>
    <s v="6°2°1MIVESPERTINO0"/>
    <n v="0"/>
    <s v="1MIV"/>
    <s v="1MI"/>
    <x v="2"/>
    <s v="6°2°6ISIDI6"/>
    <s v="SISTEMA DIGITAL"/>
    <m/>
    <m/>
    <x v="3"/>
    <x v="0"/>
  </r>
  <r>
    <x v="23"/>
    <s v="6°2°1VIVESPERTINO0"/>
    <n v="0"/>
    <s v="1VIVaula 2"/>
    <s v="1VI"/>
    <x v="2"/>
    <s v="6°2°6ILITS"/>
    <s v="LITERATURA"/>
    <s v="aula 2"/>
    <m/>
    <x v="4"/>
    <x v="0"/>
  </r>
  <r>
    <x v="23"/>
    <s v="6°2°2JUMAÑANA621"/>
    <n v="621"/>
    <s v="2JUM40"/>
    <s v="2JU"/>
    <x v="0"/>
    <s v="6°2°6216IFHLS6"/>
    <s v="LAB DE SIST OPERATIVOS "/>
    <n v="40"/>
    <m/>
    <x v="0"/>
    <x v="1"/>
  </r>
  <r>
    <x v="23"/>
    <s v="6°2°1maMAÑANA621"/>
    <n v="621"/>
    <s v="1maM40"/>
    <s v="1ma"/>
    <x v="0"/>
    <s v="6°2°6216IFTLH6"/>
    <s v="LAB DE HARDWARE "/>
    <n v="40"/>
    <m/>
    <x v="2"/>
    <x v="1"/>
  </r>
  <r>
    <x v="23"/>
    <s v="6°2°2JUVESPERTINO0"/>
    <n v="0"/>
    <s v="2JUV"/>
    <s v="2JU"/>
    <x v="2"/>
    <s v="6°2°6IINVOP"/>
    <s v="INVESTIGACION OPERATIVA"/>
    <m/>
    <m/>
    <x v="0"/>
    <x v="0"/>
  </r>
  <r>
    <x v="23"/>
    <s v="6°2°2LUMAÑANA0"/>
    <n v="0"/>
    <s v="2LUMPATIO"/>
    <s v="2LU"/>
    <x v="0"/>
    <s v="6°2°6IEFIS"/>
    <s v="EDUCACIÓN FISICA"/>
    <s v="PATIO"/>
    <m/>
    <x v="1"/>
    <x v="1"/>
  </r>
  <r>
    <x v="23"/>
    <s v="6°2°2LUVESPERTINO0"/>
    <n v="0"/>
    <s v="2LUV"/>
    <s v="2LU"/>
    <x v="2"/>
    <s v="6°2°6IMATAP"/>
    <s v="MATEMATICA APLICADA"/>
    <m/>
    <m/>
    <x v="1"/>
    <x v="0"/>
  </r>
  <r>
    <x v="23"/>
    <s v="6°2°2maMAÑANA621"/>
    <n v="621"/>
    <s v="2maM40"/>
    <s v="2ma"/>
    <x v="0"/>
    <s v="6°2°6216IFTLH6"/>
    <s v="LAB DE HARDWARE "/>
    <n v="40"/>
    <m/>
    <x v="2"/>
    <x v="1"/>
  </r>
  <r>
    <x v="23"/>
    <s v="6°2°2MAMAÑANA622"/>
    <n v="622"/>
    <s v="2MAM41"/>
    <s v="2MA"/>
    <x v="0"/>
    <s v="6°2°6226IFTLA6"/>
    <s v="LAB DE APLICACIONES "/>
    <n v="41"/>
    <m/>
    <x v="2"/>
    <x v="1"/>
  </r>
  <r>
    <x v="23"/>
    <s v="6°2°2MATARDE621"/>
    <n v="621"/>
    <s v="2MAT30"/>
    <s v="2MA"/>
    <x v="1"/>
    <s v="6°2°6226IFTLP6"/>
    <s v="LAB DE PROGRAM "/>
    <n v="30"/>
    <m/>
    <x v="2"/>
    <x v="1"/>
  </r>
  <r>
    <x v="23"/>
    <s v="6°2°2MAVESPERTINO0"/>
    <n v="0"/>
    <s v="2MAV"/>
    <s v="2MA"/>
    <x v="2"/>
    <s v="6°2°6IARTE"/>
    <s v="ARTE"/>
    <m/>
    <m/>
    <x v="2"/>
    <x v="0"/>
  </r>
  <r>
    <x v="23"/>
    <s v="6°2°2MIMAÑANA622"/>
    <n v="622"/>
    <s v="2MIM31"/>
    <s v="2MI"/>
    <x v="0"/>
    <s v="6°2°6226IFHLS6"/>
    <s v="LAB DE SIST OPERATIVOS "/>
    <n v="31"/>
    <m/>
    <x v="3"/>
    <x v="1"/>
  </r>
  <r>
    <x v="23"/>
    <s v="6°2°2MIVESPERTINO0"/>
    <n v="0"/>
    <s v="2MIV"/>
    <s v="2MI"/>
    <x v="2"/>
    <s v="6°2°6ISIDI6"/>
    <s v="SISTEMA DIGITAL"/>
    <m/>
    <m/>
    <x v="3"/>
    <x v="0"/>
  </r>
  <r>
    <x v="23"/>
    <s v="6°2°2VIVESPERTINO0"/>
    <n v="0"/>
    <s v="2VIV"/>
    <s v="2VI"/>
    <x v="2"/>
    <s v="6°2°6ISEIN"/>
    <s v="SEGURIDAD INFORMATICA"/>
    <m/>
    <m/>
    <x v="4"/>
    <x v="0"/>
  </r>
  <r>
    <x v="23"/>
    <s v="6°2°3JUMAÑANA621"/>
    <n v="621"/>
    <s v="3JUM40"/>
    <s v="3JU"/>
    <x v="0"/>
    <s v="6°2°6216IFHLS6"/>
    <s v="LAB DE SIST OPERATIVOS "/>
    <n v="40"/>
    <m/>
    <x v="0"/>
    <x v="1"/>
  </r>
  <r>
    <x v="23"/>
    <s v="6°2°1JUMAÑANA622"/>
    <n v="622"/>
    <s v="1JUM30"/>
    <s v="1JU"/>
    <x v="0"/>
    <s v="6°2°6226IFTLH6"/>
    <s v="LAB DE HARDWARE "/>
    <n v="30"/>
    <m/>
    <x v="0"/>
    <x v="1"/>
  </r>
  <r>
    <x v="23"/>
    <s v="6°2°3JUVESPERTINO0"/>
    <n v="0"/>
    <s v="3JUV"/>
    <s v="3JU"/>
    <x v="2"/>
    <s v="6°2°6IINVOP"/>
    <s v="INVESTIGACION OPERATIVA"/>
    <m/>
    <m/>
    <x v="0"/>
    <x v="0"/>
  </r>
  <r>
    <x v="23"/>
    <s v="6°2°2JUMAÑANA622"/>
    <n v="622"/>
    <s v="2JUM30"/>
    <s v="2JU"/>
    <x v="0"/>
    <s v="6°2°6226IFTLH6"/>
    <s v="LAB DE HARDWARE "/>
    <n v="30"/>
    <m/>
    <x v="0"/>
    <x v="1"/>
  </r>
  <r>
    <x v="23"/>
    <s v="6°2°3LUVESPERTINO0"/>
    <n v="0"/>
    <s v="3LUV"/>
    <s v="3LU"/>
    <x v="2"/>
    <s v="6°2°6IDETRA"/>
    <s v="DERECHO DE TRABAJO"/>
    <m/>
    <m/>
    <x v="1"/>
    <x v="0"/>
  </r>
  <r>
    <x v="23"/>
    <s v="6°2°3MAMAÑANA622"/>
    <n v="622"/>
    <s v="3MAM30"/>
    <s v="3MA"/>
    <x v="0"/>
    <s v="6°2°6216IFTLP6"/>
    <s v="LAB DE PROGRAM "/>
    <n v="30"/>
    <m/>
    <x v="2"/>
    <x v="1"/>
  </r>
  <r>
    <x v="23"/>
    <s v="6°2°3MAVESPERTINO0"/>
    <n v="0"/>
    <s v="3MAV"/>
    <s v="3MA"/>
    <x v="2"/>
    <s v="6°2°6IINGS"/>
    <s v="INGLÉS"/>
    <m/>
    <m/>
    <x v="2"/>
    <x v="0"/>
  </r>
  <r>
    <x v="23"/>
    <s v="6°2°3MIMAÑANA622"/>
    <n v="622"/>
    <s v="3MIM31"/>
    <s v="3MI"/>
    <x v="0"/>
    <s v="6°2°6226IFHLS6"/>
    <s v="LAB DE SIST OPERATIVOS "/>
    <n v="31"/>
    <m/>
    <x v="3"/>
    <x v="1"/>
  </r>
  <r>
    <x v="23"/>
    <s v="6°2°3MIVESPERTINO0"/>
    <n v="0"/>
    <s v="3MIV"/>
    <s v="3MI"/>
    <x v="2"/>
    <s v="6°2°6IFILO"/>
    <s v="FILOSOFIA"/>
    <m/>
    <m/>
    <x v="3"/>
    <x v="0"/>
  </r>
  <r>
    <x v="23"/>
    <s v="6°2°3VIMAÑANA621"/>
    <n v="621"/>
    <s v="3VIM41"/>
    <s v="3VI"/>
    <x v="0"/>
    <s v="6°2°6216IFTLA6"/>
    <s v="LAB DE APLICACIONES "/>
    <n v="41"/>
    <m/>
    <x v="4"/>
    <x v="1"/>
  </r>
  <r>
    <x v="23"/>
    <s v="6°2°3VIVESPERTINO0"/>
    <n v="0"/>
    <s v="3VIV"/>
    <s v="3VI"/>
    <x v="2"/>
    <s v="6°2°6ISEIN"/>
    <s v="SEGURIDAD INFORMATICA"/>
    <m/>
    <m/>
    <x v="4"/>
    <x v="0"/>
  </r>
  <r>
    <x v="23"/>
    <s v="6°2°4JUMAÑANA621"/>
    <n v="621"/>
    <s v="4JUM40"/>
    <s v="4JU"/>
    <x v="0"/>
    <s v="6°2°6216IFHLS6"/>
    <s v="LAB DE SIST OPERATIVOS "/>
    <n v="40"/>
    <m/>
    <x v="0"/>
    <x v="1"/>
  </r>
  <r>
    <x v="23"/>
    <s v="6°2°3JUMAÑANA622"/>
    <n v="622"/>
    <s v="3JUM30"/>
    <s v="3JU"/>
    <x v="0"/>
    <s v="6°2°6226IFTLH6"/>
    <s v="LAB DE HARDWARE "/>
    <n v="30"/>
    <m/>
    <x v="0"/>
    <x v="1"/>
  </r>
  <r>
    <x v="23"/>
    <s v="6°2°4JUVESPERTINO0"/>
    <n v="0"/>
    <s v="4JUV"/>
    <s v="4JU"/>
    <x v="2"/>
    <s v="6°2°6ISIDI6"/>
    <s v="SISTEMA DIGITAL"/>
    <m/>
    <m/>
    <x v="0"/>
    <x v="0"/>
  </r>
  <r>
    <x v="23"/>
    <s v="6°2°4JUMAÑANA622"/>
    <n v="622"/>
    <s v="4JUM30"/>
    <s v="4JU"/>
    <x v="0"/>
    <s v="6°2°6226IFTLH6"/>
    <s v="LAB DE HARDWARE "/>
    <n v="30"/>
    <m/>
    <x v="0"/>
    <x v="1"/>
  </r>
  <r>
    <x v="23"/>
    <s v="6°2°4LUVESPERTINO0"/>
    <n v="0"/>
    <s v="4LUV"/>
    <s v="4LU"/>
    <x v="2"/>
    <s v="6°2°6IDETRA"/>
    <s v="DERECHO DE TRABAJO"/>
    <m/>
    <m/>
    <x v="1"/>
    <x v="0"/>
  </r>
  <r>
    <x v="23"/>
    <s v="6°2°4MAMAÑANA622"/>
    <n v="622"/>
    <s v="4MAM30"/>
    <s v="4MA"/>
    <x v="0"/>
    <s v="6°2°6216IFTLP6"/>
    <s v="LAB DE PROGRAM "/>
    <n v="30"/>
    <m/>
    <x v="2"/>
    <x v="1"/>
  </r>
  <r>
    <x v="23"/>
    <s v="6°2°4MAVESPERTINO0"/>
    <n v="0"/>
    <s v="4MAV"/>
    <s v="4MA"/>
    <x v="2"/>
    <s v="6°2°6IINGS"/>
    <s v="INGLÉS"/>
    <m/>
    <m/>
    <x v="2"/>
    <x v="0"/>
  </r>
  <r>
    <x v="23"/>
    <s v="6°2°4MIMAÑANA622"/>
    <n v="622"/>
    <s v="4MIM31"/>
    <s v="4MI"/>
    <x v="0"/>
    <s v="6°2°6226IFHLS6"/>
    <s v="LAB DE SIST OPERATIVOS "/>
    <n v="31"/>
    <m/>
    <x v="3"/>
    <x v="1"/>
  </r>
  <r>
    <x v="23"/>
    <s v="6°2°4MIVESPERTINO0"/>
    <n v="0"/>
    <s v="4MIV"/>
    <s v="4MI"/>
    <x v="2"/>
    <s v="6°2°6IFILO"/>
    <s v="FILOSOFIA"/>
    <m/>
    <m/>
    <x v="3"/>
    <x v="0"/>
  </r>
  <r>
    <x v="23"/>
    <s v="6°2°4VIMAÑANA621"/>
    <n v="621"/>
    <s v="4VIM41"/>
    <s v="4VI"/>
    <x v="0"/>
    <s v="6°2°6216IFTLA6"/>
    <s v="LAB DE APLICACIONES "/>
    <n v="41"/>
    <m/>
    <x v="4"/>
    <x v="1"/>
  </r>
  <r>
    <x v="23"/>
    <s v="6°2°4VIVESPERTINO0"/>
    <n v="0"/>
    <s v="4VIV"/>
    <s v="4VI"/>
    <x v="2"/>
    <s v="6°2°6ISEIN"/>
    <s v="SEGURIDAD INFORMATICA"/>
    <m/>
    <m/>
    <x v="4"/>
    <x v="0"/>
  </r>
  <r>
    <x v="23"/>
    <s v="6°2°prehoraviVESPERTINO0"/>
    <n v="0"/>
    <s v="prehoraviV"/>
    <s v="prehoravi"/>
    <x v="2"/>
    <s v="6°2°6ILITS"/>
    <s v="LITERATURA"/>
    <m/>
    <m/>
    <x v="4"/>
    <x v="0"/>
  </r>
  <r>
    <x v="24"/>
    <s v="6°3°1JUMAÑANA0"/>
    <n v="0"/>
    <s v="1JUMAULA 3"/>
    <s v="1JU"/>
    <x v="0"/>
    <s v="6°3°6ESIPRO"/>
    <s v="SISTEMA PRODUCTIVO"/>
    <s v="aula 3"/>
    <m/>
    <x v="0"/>
    <x v="0"/>
  </r>
  <r>
    <x v="24"/>
    <s v="6°3°1JUTARDE631"/>
    <n v="631"/>
    <s v="1JUTROBOTICA"/>
    <s v="1JU"/>
    <x v="1"/>
    <s v="6°3°6316EFTMP6"/>
    <s v="MONTAJE DE PROYECTO ELECTRONICOS "/>
    <s v="ROBOTICA"/>
    <n v="40"/>
    <x v="0"/>
    <x v="1"/>
  </r>
  <r>
    <x v="24"/>
    <s v="6°3°1JUVESPERTINO632"/>
    <n v="632"/>
    <s v="1JUVSUPERPUESTO"/>
    <s v="1JU"/>
    <x v="2"/>
    <s v="6°3°6326EFTMP6"/>
    <s v="MONTAJE DE PROYECTO ELECTRONICOS "/>
    <s v="superpuesto"/>
    <m/>
    <x v="0"/>
    <x v="1"/>
  </r>
  <r>
    <x v="24"/>
    <s v="6°3°1luMAÑANA0"/>
    <n v="0"/>
    <s v="1luMROBOTICA"/>
    <s v="1lu"/>
    <x v="0"/>
    <s v="6°3°6EINSMA"/>
    <s v="INSTALACIONES Y MAQUINAS ELECTRICAS"/>
    <s v="ROBOTICA"/>
    <m/>
    <x v="1"/>
    <x v="0"/>
  </r>
  <r>
    <x v="24"/>
    <s v="6°3°1MAMAÑANA0"/>
    <n v="0"/>
    <s v="1MAMROBOTICA"/>
    <s v="1MA"/>
    <x v="0"/>
    <s v="6°3°6EINSMA"/>
    <s v="INSTALACIONES Y MAQUINAS ELECTRICAS"/>
    <s v="ROBOTICA"/>
    <m/>
    <x v="2"/>
    <x v="0"/>
  </r>
  <r>
    <x v="24"/>
    <s v="6°3°1MAVESPERTINO631"/>
    <n v="631"/>
    <s v="1MAV52"/>
    <s v="1MA"/>
    <x v="2"/>
    <s v="6°3°6316EFTED6"/>
    <s v="APLIC ELECTR DIGITAL "/>
    <n v="52"/>
    <m/>
    <x v="2"/>
    <x v="1"/>
  </r>
  <r>
    <x v="24"/>
    <s v="6°3°1MAVESPERTINO632"/>
    <n v="632"/>
    <s v="1MAV44"/>
    <s v="1MA"/>
    <x v="2"/>
    <s v="6°3°6326EFTED6"/>
    <s v="APLIC ELECTR DIGITAL "/>
    <n v="44"/>
    <m/>
    <x v="2"/>
    <x v="1"/>
  </r>
  <r>
    <x v="24"/>
    <s v="6°3°1MIMAÑANA0"/>
    <n v="0"/>
    <s v="1MIMAULA 3"/>
    <s v="1MI"/>
    <x v="0"/>
    <s v="6°3°6EINGS"/>
    <s v="INGLÉS"/>
    <s v="aula 3"/>
    <m/>
    <x v="3"/>
    <x v="0"/>
  </r>
  <r>
    <x v="24"/>
    <s v="6°3°1MIVESPERTINO631"/>
    <n v="631"/>
    <s v="1MIV30"/>
    <s v="1MI"/>
    <x v="2"/>
    <s v="6°3°6316ELENE6"/>
    <s v="LENGUAJES ELECTRONICOS"/>
    <n v="30"/>
    <m/>
    <x v="3"/>
    <x v="1"/>
  </r>
  <r>
    <x v="24"/>
    <s v="6°3°1MIVESPERTINO632"/>
    <n v="632"/>
    <s v="1MIVHARDWARE"/>
    <s v="1MI"/>
    <x v="2"/>
    <s v="6°3°6326ELENE6"/>
    <s v="LENGUAJES ELECTRONICOS"/>
    <s v="HARDWARE"/>
    <m/>
    <x v="3"/>
    <x v="1"/>
  </r>
  <r>
    <x v="24"/>
    <s v="6°3°1VIMAÑANA0"/>
    <n v="0"/>
    <s v="1VIMAULA 3"/>
    <s v="1VI"/>
    <x v="0"/>
    <s v="6°3°6EDETRA"/>
    <s v="DERECHO DE TRABAJO"/>
    <s v="aula 3"/>
    <m/>
    <x v="4"/>
    <x v="0"/>
  </r>
  <r>
    <x v="24"/>
    <s v="6°3°1VITARDE631"/>
    <n v="631"/>
    <s v="1VITSUPERPUESTO"/>
    <s v="1VI"/>
    <x v="1"/>
    <s v="6°3°6316EFTAE6"/>
    <s v="APLIC ELECT ANALOG"/>
    <s v="superpuesto"/>
    <m/>
    <x v="4"/>
    <x v="1"/>
  </r>
  <r>
    <x v="24"/>
    <s v="6°3°1VITARDE632"/>
    <n v="632"/>
    <s v="1VITrobotica"/>
    <s v="1VI"/>
    <x v="1"/>
    <s v="6°3°6326EFTAE6"/>
    <s v="APLIC ELECT ANALOG"/>
    <s v="ROBOTICA"/>
    <m/>
    <x v="4"/>
    <x v="1"/>
  </r>
  <r>
    <x v="24"/>
    <s v="6°3°2JUMAÑANA0"/>
    <n v="0"/>
    <s v="2JUMAULA 3"/>
    <s v="2JU"/>
    <x v="0"/>
    <s v="6°3°6ESIPRO"/>
    <s v="SISTEMA PRODUCTIVO"/>
    <s v="aula 3"/>
    <m/>
    <x v="0"/>
    <x v="0"/>
  </r>
  <r>
    <x v="24"/>
    <s v="6°3°2JUTARDE631"/>
    <n v="631"/>
    <s v="2JUTROBOTICA"/>
    <s v="2JU"/>
    <x v="1"/>
    <s v="6°3°6316EFTMP6"/>
    <s v="MONTAJE DE PROYECTO ELECTRONICOS "/>
    <s v="ROBOTICA"/>
    <m/>
    <x v="0"/>
    <x v="1"/>
  </r>
  <r>
    <x v="24"/>
    <s v="6°3°2JUVESPERTINO632"/>
    <n v="632"/>
    <s v="2JUVSUPERPUESTO"/>
    <s v="2JU"/>
    <x v="2"/>
    <s v="6°3°6326EFTMP6"/>
    <s v="MONTAJE DE PROYECTO ELECTRONICOS "/>
    <s v="superpuesto"/>
    <m/>
    <x v="0"/>
    <x v="1"/>
  </r>
  <r>
    <x v="24"/>
    <s v="6°3°2LUMAÑANA0"/>
    <n v="0"/>
    <s v="2LUMROBOTICA"/>
    <s v="2LU"/>
    <x v="0"/>
    <s v="6°3°6EINSMA"/>
    <s v="INSTALACIONES Y MAQUINAS ELECTRICAS"/>
    <s v="ROBOTICA"/>
    <m/>
    <x v="1"/>
    <x v="0"/>
  </r>
  <r>
    <x v="24"/>
    <s v="6°3°2MAMAÑANA0"/>
    <n v="0"/>
    <s v="2MAMROBOTICA"/>
    <s v="2MA"/>
    <x v="0"/>
    <s v="6°3°6EINSMA"/>
    <s v="INSTALACIONES Y MAQUINAS ELECTRICAS"/>
    <s v="ROBOTICA"/>
    <m/>
    <x v="2"/>
    <x v="0"/>
  </r>
  <r>
    <x v="24"/>
    <s v="6°3°2MAVESPERTINO631"/>
    <n v="631"/>
    <s v="2MAV52"/>
    <s v="2MA"/>
    <x v="2"/>
    <s v="6°3°6316EFTED6"/>
    <s v="APLIC ELECTR DIGITAL "/>
    <n v="52"/>
    <m/>
    <x v="2"/>
    <x v="1"/>
  </r>
  <r>
    <x v="24"/>
    <s v="6°3°2MAVESPERTINO632"/>
    <n v="632"/>
    <s v="2MAV44"/>
    <s v="2MA"/>
    <x v="2"/>
    <s v="6°3°6326EFTED6"/>
    <s v="APLIC ELECTR DIGITAL "/>
    <n v="44"/>
    <m/>
    <x v="2"/>
    <x v="1"/>
  </r>
  <r>
    <x v="24"/>
    <s v="6°3°2MIMAÑANA0"/>
    <n v="0"/>
    <s v="2MIMAULA 3"/>
    <s v="2MI"/>
    <x v="0"/>
    <s v="6°3°6EINGS"/>
    <s v="INGLÉS"/>
    <s v="aula 3"/>
    <m/>
    <x v="3"/>
    <x v="0"/>
  </r>
  <r>
    <x v="24"/>
    <s v="6°3°2MIVESPERTINO631"/>
    <n v="631"/>
    <s v="2MIV30"/>
    <s v="2MI"/>
    <x v="2"/>
    <s v="6°3°6316ELENE6"/>
    <s v="LENGUAJES ELECTRONICOS"/>
    <n v="30"/>
    <m/>
    <x v="3"/>
    <x v="1"/>
  </r>
  <r>
    <x v="24"/>
    <s v="6°3°2MIVESPERTINO632"/>
    <n v="632"/>
    <s v="2MIVHARDWARE"/>
    <s v="2MI"/>
    <x v="2"/>
    <s v="6°3°6326ELENE6"/>
    <s v="LENGUAJES ELECTRONICOS"/>
    <s v="HARDWARE"/>
    <m/>
    <x v="3"/>
    <x v="1"/>
  </r>
  <r>
    <x v="24"/>
    <s v="6°3°2VIMAÑANA0"/>
    <n v="0"/>
    <s v="2VIMAULA 3"/>
    <s v="2VI"/>
    <x v="0"/>
    <s v="6°3°6EDETRA"/>
    <s v="DERECHO DE TRABAJO"/>
    <s v="aula 3"/>
    <m/>
    <x v="4"/>
    <x v="0"/>
  </r>
  <r>
    <x v="24"/>
    <s v="6°3°2VITARDE631"/>
    <n v="631"/>
    <s v="2VITSUPERPUESTO"/>
    <s v="2VI"/>
    <x v="1"/>
    <s v="6°3°6316EFTAE6"/>
    <s v="APLIC ELECT ANALOG"/>
    <s v="superpuesto"/>
    <m/>
    <x v="4"/>
    <x v="1"/>
  </r>
  <r>
    <x v="24"/>
    <s v="6°3°2VITARDE632"/>
    <n v="632"/>
    <s v="2VITrobotica"/>
    <s v="2VI"/>
    <x v="1"/>
    <s v="6°3°6326EFTAE6"/>
    <s v="APLIC ELECT ANALOG"/>
    <s v="ROBOTICA"/>
    <m/>
    <x v="4"/>
    <x v="1"/>
  </r>
  <r>
    <x v="24"/>
    <s v="6°3°3JUMAÑANA0"/>
    <n v="0"/>
    <s v="3JUMAULA 3"/>
    <s v="3JU"/>
    <x v="0"/>
    <s v="6°3°6EARTE"/>
    <s v="ARTE"/>
    <s v="aula 3"/>
    <m/>
    <x v="0"/>
    <x v="0"/>
  </r>
  <r>
    <x v="24"/>
    <s v="6°3°3JUTARDE631"/>
    <n v="631"/>
    <s v="3JUTROBOTICA"/>
    <s v="3JU"/>
    <x v="1"/>
    <s v="6°3°6316EFTMP6"/>
    <s v="MONTAJE DE PROYECTO ELECTRONICOS "/>
    <s v="ROBOTICA"/>
    <m/>
    <x v="0"/>
    <x v="1"/>
  </r>
  <r>
    <x v="24"/>
    <s v="6°3°3JUVESPERTINO632"/>
    <n v="632"/>
    <s v="3JUVSUPERPUESTO"/>
    <s v="3JU"/>
    <x v="2"/>
    <s v="6°3°6326EFTMP6"/>
    <s v="MONTAJE DE PROYECTO ELECTRONICOS "/>
    <s v="superpuesto"/>
    <m/>
    <x v="0"/>
    <x v="1"/>
  </r>
  <r>
    <x v="24"/>
    <s v="6°3°3LUMAÑANA0"/>
    <n v="0"/>
    <s v="3LUMAULA 3"/>
    <s v="3LU"/>
    <x v="0"/>
    <s v="6°3°6ELITS"/>
    <s v="LITERATURA"/>
    <s v="aula 3"/>
    <m/>
    <x v="1"/>
    <x v="0"/>
  </r>
  <r>
    <x v="24"/>
    <s v="6°3°3MAMAÑANA0"/>
    <n v="0"/>
    <s v="3MAM33"/>
    <s v="3MA"/>
    <x v="0"/>
    <s v="6°3°6ESISCO"/>
    <s v="SISTEMA DE COMUNICACIONES"/>
    <n v="33"/>
    <m/>
    <x v="2"/>
    <x v="0"/>
  </r>
  <r>
    <x v="24"/>
    <s v="6°3°3MAVESPERTINO631"/>
    <n v="631"/>
    <s v="3MAV52"/>
    <s v="3MA"/>
    <x v="2"/>
    <s v="6°3°6316EFTED6"/>
    <s v="APLIC ELECTR DIGITAL "/>
    <n v="52"/>
    <m/>
    <x v="2"/>
    <x v="1"/>
  </r>
  <r>
    <x v="24"/>
    <s v="6°3°3MAVESPERTINO632"/>
    <n v="632"/>
    <s v="3MAV44"/>
    <s v="3MA"/>
    <x v="2"/>
    <s v="6°3°6326EFTED6"/>
    <s v="APLIC ELECTR DIGITAL "/>
    <n v="44"/>
    <m/>
    <x v="2"/>
    <x v="1"/>
  </r>
  <r>
    <x v="24"/>
    <s v="6°3°3miMAÑANA0"/>
    <n v="0"/>
    <s v="3miMAULA 3"/>
    <s v="3mi"/>
    <x v="0"/>
    <s v="6°3°6EFILO"/>
    <s v="FILOSOFIA"/>
    <s v="aula 3"/>
    <m/>
    <x v="3"/>
    <x v="0"/>
  </r>
  <r>
    <x v="24"/>
    <s v="6°3°3MITARDE0"/>
    <n v="0"/>
    <s v="3MITPATIO2"/>
    <s v="3MI"/>
    <x v="1"/>
    <s v="6°3°6EEFIS"/>
    <s v="EDUCACIÓN FISICA"/>
    <s v="PATIO2"/>
    <m/>
    <x v="3"/>
    <x v="1"/>
  </r>
  <r>
    <x v="24"/>
    <s v="6°3°3VIMAÑANA0"/>
    <n v="0"/>
    <s v="3VIMAULA 3"/>
    <s v="3VI"/>
    <x v="0"/>
    <s v="6°3°6EMATAP"/>
    <s v="MATEMATICA APLICADA"/>
    <s v="aula 3"/>
    <m/>
    <x v="4"/>
    <x v="0"/>
  </r>
  <r>
    <x v="24"/>
    <s v="6°3°3VITARDE631"/>
    <n v="631"/>
    <s v="3VITSUPERPUESTO"/>
    <s v="3VI"/>
    <x v="1"/>
    <s v="6°3°6316EFTAE6"/>
    <s v="APLIC ELECT ANALOG"/>
    <s v="superpuesto"/>
    <m/>
    <x v="4"/>
    <x v="1"/>
  </r>
  <r>
    <x v="24"/>
    <s v="6°3°3VITARDE632"/>
    <n v="632"/>
    <s v="3VITrobotica"/>
    <s v="3VI"/>
    <x v="1"/>
    <s v="6°3°6326EFTAE6"/>
    <s v="APLIC ELECT ANALOG"/>
    <s v="ROBOTICA"/>
    <m/>
    <x v="4"/>
    <x v="1"/>
  </r>
  <r>
    <x v="24"/>
    <s v="6°3°4JUMAÑANA0"/>
    <n v="0"/>
    <s v="4JUMAULA 3"/>
    <s v="4JU"/>
    <x v="0"/>
    <s v="6°3°6EARTE"/>
    <s v="ARTE"/>
    <s v="aula 3"/>
    <m/>
    <x v="0"/>
    <x v="0"/>
  </r>
  <r>
    <x v="24"/>
    <s v="6°3°4JUTARDE631"/>
    <n v="631"/>
    <s v="4JUTROBOTICA"/>
    <s v="4JU"/>
    <x v="1"/>
    <s v="6°3°6316EFTMP6"/>
    <s v="MONTAJE DE PROYECTO ELECTRONICOS "/>
    <s v="ROBOTICA"/>
    <m/>
    <x v="0"/>
    <x v="1"/>
  </r>
  <r>
    <x v="24"/>
    <s v="6°3°4JUVESPERTINO632"/>
    <n v="632"/>
    <s v="4JUVSUPERPUESTO"/>
    <s v="4JU"/>
    <x v="2"/>
    <s v="6°3°6326EFTMP6"/>
    <s v="MONTAJE DE PROYECTO ELECTRONICOS "/>
    <s v="superpuesto"/>
    <m/>
    <x v="0"/>
    <x v="1"/>
  </r>
  <r>
    <x v="24"/>
    <s v="6°3°4LUMAÑANA0"/>
    <n v="0"/>
    <s v="4LUMAULA 3"/>
    <s v="4LU"/>
    <x v="0"/>
    <s v="6°3°6ELITS"/>
    <s v="LITERATURA"/>
    <s v="aula 3"/>
    <m/>
    <x v="1"/>
    <x v="0"/>
  </r>
  <r>
    <x v="24"/>
    <s v="6°3°4MAMAÑANA0"/>
    <n v="0"/>
    <s v="4MAM33"/>
    <s v="4MA"/>
    <x v="0"/>
    <s v="6°3°6ESISCO"/>
    <s v="SISTEMA DE COMUNICACIONES"/>
    <n v="33"/>
    <m/>
    <x v="2"/>
    <x v="0"/>
  </r>
  <r>
    <x v="24"/>
    <s v="6°3°4MAVESPERTINO631"/>
    <n v="631"/>
    <s v="4MAV52"/>
    <s v="4MA"/>
    <x v="2"/>
    <s v="6°3°6316EFTED6"/>
    <s v="APLIC ELECTR DIGITAL "/>
    <n v="52"/>
    <m/>
    <x v="2"/>
    <x v="1"/>
  </r>
  <r>
    <x v="24"/>
    <s v="6°3°4MAVESPERTINO632"/>
    <n v="632"/>
    <s v="4MAV44"/>
    <s v="4MA"/>
    <x v="2"/>
    <s v="6°3°6326EFTED6"/>
    <s v="APLIC ELECTR DIGITAL "/>
    <n v="44"/>
    <m/>
    <x v="2"/>
    <x v="1"/>
  </r>
  <r>
    <x v="24"/>
    <s v="6°3°4miMAÑANA0"/>
    <n v="0"/>
    <s v="4miMAULA 3"/>
    <s v="4mi"/>
    <x v="0"/>
    <s v="6°3°6EFILO"/>
    <s v="FILOSOFIA"/>
    <s v="aula 3"/>
    <m/>
    <x v="3"/>
    <x v="0"/>
  </r>
  <r>
    <x v="24"/>
    <s v="6°3°4MITARDE0"/>
    <n v="0"/>
    <s v="4MITPATIO2"/>
    <s v="4MI"/>
    <x v="1"/>
    <s v="6°3°6EEFIS"/>
    <s v="EDUCACIÓN FISICA"/>
    <s v="PATIO2"/>
    <m/>
    <x v="3"/>
    <x v="1"/>
  </r>
  <r>
    <x v="24"/>
    <s v="6°3°4VIMAÑANA0"/>
    <n v="0"/>
    <s v="4VIMAULA 3"/>
    <s v="4VI"/>
    <x v="0"/>
    <s v="6°3°6EMATAP"/>
    <s v="MATEMATICA APLICADA"/>
    <s v="aula 3"/>
    <m/>
    <x v="4"/>
    <x v="0"/>
  </r>
  <r>
    <x v="24"/>
    <s v="6°3°4VITARDE631"/>
    <n v="631"/>
    <s v="4VITSUPERPUESTO"/>
    <s v="4VI"/>
    <x v="1"/>
    <s v="6°3°6316EFTAE6"/>
    <s v="APLIC ELECT ANALOG"/>
    <s v="superpuesto"/>
    <m/>
    <x v="4"/>
    <x v="1"/>
  </r>
  <r>
    <x v="24"/>
    <s v="6°3°4VITARDE632"/>
    <n v="632"/>
    <s v="4VITrobotica"/>
    <s v="4VI"/>
    <x v="1"/>
    <s v="6°3°6326EFTAE6"/>
    <s v="APLIC ELECT ANALOG"/>
    <s v="ROBOTICA"/>
    <m/>
    <x v="4"/>
    <x v="1"/>
  </r>
  <r>
    <x v="24"/>
    <s v="6°3°5MAMAÑANA0"/>
    <n v="0"/>
    <s v="5MAM33"/>
    <s v="5MA"/>
    <x v="0"/>
    <s v="6°3°6ESISCO"/>
    <s v="SISTEMA DE COMUNICACIONES"/>
    <n v="33"/>
    <m/>
    <x v="2"/>
    <x v="0"/>
  </r>
  <r>
    <x v="25"/>
    <s v="6°4°1JUTARDE0"/>
    <n v="0"/>
    <s v="1JUT"/>
    <s v="1JU"/>
    <x v="1"/>
    <s v="6°4°6EINGS"/>
    <s v="INGLÉS"/>
    <m/>
    <m/>
    <x v="0"/>
    <x v="0"/>
  </r>
  <r>
    <x v="25"/>
    <s v="6°4°1JUVESPERTINO641"/>
    <n v="641"/>
    <s v="1JUV45"/>
    <s v="1JU"/>
    <x v="2"/>
    <s v="6°4°6416EFTAE6"/>
    <s v="APLIC ELECT ANALOG"/>
    <n v="45"/>
    <m/>
    <x v="0"/>
    <x v="1"/>
  </r>
  <r>
    <x v="25"/>
    <s v="6°4°1juVESPERTINO642"/>
    <n v="642"/>
    <s v="1juVHERRERIA"/>
    <s v="1ju"/>
    <x v="2"/>
    <s v="6°4°6426EFTAE6"/>
    <s v="APLIC ELECT ANALOG"/>
    <s v="HERRERIA"/>
    <m/>
    <x v="0"/>
    <x v="1"/>
  </r>
  <r>
    <x v="25"/>
    <s v="6°4°1LUMAÑANA641"/>
    <n v="641"/>
    <s v="1LUM44"/>
    <s v="1LU"/>
    <x v="0"/>
    <s v="6°4°6416EFTMP6"/>
    <s v="MONTAJE DE PROYECTO ELECTRONICOS "/>
    <n v="44"/>
    <m/>
    <x v="1"/>
    <x v="1"/>
  </r>
  <r>
    <x v="25"/>
    <s v="6°4°1LUTARDE0"/>
    <n v="0"/>
    <s v="1LUT"/>
    <s v="1LU"/>
    <x v="1"/>
    <s v="6°4°6EARTE"/>
    <s v="ARTE"/>
    <m/>
    <m/>
    <x v="1"/>
    <x v="0"/>
  </r>
  <r>
    <x v="25"/>
    <s v="6°4°1LUVESPERTINO0"/>
    <n v="0"/>
    <s v="1LUV33"/>
    <s v="1LU"/>
    <x v="2"/>
    <s v="6°4°6ESISCO"/>
    <s v="SISTEMA DE COMUNICACIONES"/>
    <n v="33"/>
    <m/>
    <x v="1"/>
    <x v="1"/>
  </r>
  <r>
    <x v="25"/>
    <s v="6°4°1MAMAÑANA642"/>
    <n v="642"/>
    <s v="1MAMaula 1"/>
    <s v="1MA"/>
    <x v="0"/>
    <s v="6°4°6426EFTED6"/>
    <s v="APLIC ELECTR DIGITAL "/>
    <s v="aula 1"/>
    <m/>
    <x v="2"/>
    <x v="1"/>
  </r>
  <r>
    <x v="25"/>
    <s v="6°4°1MATARDE0"/>
    <n v="0"/>
    <s v="1MAT"/>
    <s v="1MA"/>
    <x v="1"/>
    <s v="6°4°6EINSMA"/>
    <s v="INSTALACIONES Y MAQUINAS ELECTRICAS"/>
    <m/>
    <m/>
    <x v="2"/>
    <x v="0"/>
  </r>
  <r>
    <x v="25"/>
    <s v="6°4°1MITARDE0"/>
    <n v="0"/>
    <s v="1MIT"/>
    <s v="1MI"/>
    <x v="1"/>
    <s v="6°4°6EDETRA"/>
    <s v="DERECHO DE TRABAJO"/>
    <m/>
    <m/>
    <x v="3"/>
    <x v="0"/>
  </r>
  <r>
    <x v="25"/>
    <s v="6°4°1VIMAÑANA642"/>
    <n v="642"/>
    <s v="1VIM44"/>
    <s v="1VI"/>
    <x v="0"/>
    <s v="6°4°6426EFTMP6"/>
    <s v="MONTAJE DE PROYECTO ELECTRONICOS "/>
    <n v="44"/>
    <m/>
    <x v="4"/>
    <x v="1"/>
  </r>
  <r>
    <x v="25"/>
    <s v="6°4°3JUTARDE0"/>
    <n v="0"/>
    <s v="3JUT"/>
    <s v="3JU"/>
    <x v="1"/>
    <s v="6°4°6EFILO"/>
    <s v="FILOSOFIA"/>
    <m/>
    <m/>
    <x v="0"/>
    <x v="0"/>
  </r>
  <r>
    <x v="25"/>
    <s v="6°4°1LUVESPERTINO641"/>
    <n v="641"/>
    <s v="1LUVrobotica"/>
    <s v="1LU"/>
    <x v="2"/>
    <s v="6°4°6416EFTED6"/>
    <s v="APLIC ELECTR DIGITAL "/>
    <s v="ROBOTICA"/>
    <m/>
    <x v="1"/>
    <x v="1"/>
  </r>
  <r>
    <x v="25"/>
    <s v="6°4°3miVESPERTINO642"/>
    <n v="642"/>
    <s v="3miV30"/>
    <s v="3mi"/>
    <x v="2"/>
    <s v="6°4°6426ELENE6"/>
    <s v="LENGUAJES ELECTRONICOS"/>
    <n v="30"/>
    <m/>
    <x v="3"/>
    <x v="1"/>
  </r>
  <r>
    <x v="25"/>
    <s v="6°4°2JUTARDE0"/>
    <n v="0"/>
    <s v="2JUT"/>
    <s v="2JU"/>
    <x v="1"/>
    <s v="6°4°6EINGS"/>
    <s v="INGLÉS"/>
    <m/>
    <m/>
    <x v="0"/>
    <x v="0"/>
  </r>
  <r>
    <x v="25"/>
    <s v="6°4°2JUVESPERTINO641"/>
    <n v="641"/>
    <s v="2JUV45"/>
    <s v="2JU"/>
    <x v="2"/>
    <s v="6°4°6416EFTAE6"/>
    <s v="APLIC ELECT ANALOG"/>
    <n v="45"/>
    <m/>
    <x v="0"/>
    <x v="1"/>
  </r>
  <r>
    <x v="25"/>
    <s v="6°4°2juVESPERTINO642"/>
    <n v="642"/>
    <s v="2juVHERRERIA"/>
    <s v="2ju"/>
    <x v="2"/>
    <s v="6°4°6426EFTAE6"/>
    <s v="APLIC ELECT ANALOG"/>
    <s v="HERRERIA"/>
    <m/>
    <x v="0"/>
    <x v="1"/>
  </r>
  <r>
    <x v="25"/>
    <s v="6°4°2LUMAÑANA641"/>
    <n v="641"/>
    <s v="2LUM44"/>
    <s v="2LU"/>
    <x v="0"/>
    <s v="6°4°6416EFTMP6"/>
    <s v="MONTAJE DE PROYECTO ELECTRONICOS "/>
    <n v="44"/>
    <m/>
    <x v="1"/>
    <x v="1"/>
  </r>
  <r>
    <x v="25"/>
    <s v="6°4°2LUTARDE0"/>
    <n v="0"/>
    <s v="2LUT"/>
    <s v="2LU"/>
    <x v="1"/>
    <s v="6°4°6EARTE"/>
    <s v="ARTE"/>
    <m/>
    <m/>
    <x v="1"/>
    <x v="0"/>
  </r>
  <r>
    <x v="25"/>
    <s v="6°4°2LUVESPERTINO0"/>
    <n v="0"/>
    <s v="2LUV33"/>
    <s v="2LU"/>
    <x v="2"/>
    <s v="6°4°6ESISCO"/>
    <s v="SISTEMA DE COMUNICACIONES"/>
    <n v="33"/>
    <m/>
    <x v="1"/>
    <x v="1"/>
  </r>
  <r>
    <x v="25"/>
    <s v="6°4°2MAMAÑANA642"/>
    <n v="642"/>
    <s v="2MAMaula 1"/>
    <s v="2MA"/>
    <x v="0"/>
    <s v="6°4°6426EFTED6"/>
    <s v="APLIC ELECTR DIGITAL "/>
    <s v="aula 1"/>
    <m/>
    <x v="2"/>
    <x v="1"/>
  </r>
  <r>
    <x v="25"/>
    <s v="6°4°2MATARDE0"/>
    <n v="0"/>
    <s v="2MAT"/>
    <s v="2MA"/>
    <x v="1"/>
    <s v="6°4°6EINSMA"/>
    <s v="INSTALACIONES Y MAQUINAS ELECTRICAS"/>
    <m/>
    <m/>
    <x v="2"/>
    <x v="0"/>
  </r>
  <r>
    <x v="25"/>
    <s v="6°4°2MITARDE0"/>
    <n v="0"/>
    <s v="2MIT"/>
    <s v="2MI"/>
    <x v="1"/>
    <s v="6°4°6EDETRA"/>
    <s v="DERECHO DE TRABAJO"/>
    <m/>
    <m/>
    <x v="3"/>
    <x v="0"/>
  </r>
  <r>
    <x v="25"/>
    <s v="6°4°2VIMAÑANA642"/>
    <n v="642"/>
    <s v="2VIM44"/>
    <s v="2VI"/>
    <x v="0"/>
    <s v="6°4°6426EFTMP6"/>
    <s v="MONTAJE DE PROYECTO ELECTRONICOS "/>
    <n v="44"/>
    <m/>
    <x v="4"/>
    <x v="1"/>
  </r>
  <r>
    <x v="25"/>
    <s v="6°4°4JUTARDE0"/>
    <n v="0"/>
    <s v="4JUT"/>
    <s v="4JU"/>
    <x v="1"/>
    <s v="6°4°6EFILO"/>
    <s v="FILOSOFIA"/>
    <m/>
    <m/>
    <x v="0"/>
    <x v="0"/>
  </r>
  <r>
    <x v="25"/>
    <s v="6°4°2LUVESPERTINO641"/>
    <n v="641"/>
    <s v="2LUVrobotica"/>
    <s v="2LU"/>
    <x v="2"/>
    <s v="6°4°6416EFTED6"/>
    <s v="APLIC ELECTR DIGITAL "/>
    <s v="ROBOTICA"/>
    <m/>
    <x v="1"/>
    <x v="1"/>
  </r>
  <r>
    <x v="25"/>
    <s v="6°4°4miVESPERTINO642"/>
    <n v="642"/>
    <s v="4miV30"/>
    <s v="4mi"/>
    <x v="2"/>
    <s v="6°4°6426ELENE6"/>
    <s v="LENGUAJES ELECTRONICOS"/>
    <n v="30"/>
    <m/>
    <x v="3"/>
    <x v="1"/>
  </r>
  <r>
    <x v="25"/>
    <s v="6°4°1VITARDE0"/>
    <n v="0"/>
    <s v="1VIT"/>
    <s v="1VI"/>
    <x v="1"/>
    <s v="6°4°6ESIPRO"/>
    <s v="SISTEMA PRODUCTIVO"/>
    <m/>
    <m/>
    <x v="4"/>
    <x v="0"/>
  </r>
  <r>
    <x v="25"/>
    <s v="6°4°3JUVESPERTINO641"/>
    <n v="641"/>
    <s v="3JUV45"/>
    <s v="3JU"/>
    <x v="2"/>
    <s v="6°4°6416EFTAE6"/>
    <s v="APLIC ELECT ANALOG"/>
    <n v="45"/>
    <m/>
    <x v="0"/>
    <x v="1"/>
  </r>
  <r>
    <x v="25"/>
    <s v="6°4°3juVESPERTINO642"/>
    <n v="642"/>
    <s v="3juVHERRERIA"/>
    <s v="3ju"/>
    <x v="2"/>
    <s v="6°4°6426EFTAE6"/>
    <s v="APLIC ELECT ANALOG"/>
    <s v="HERRERIA"/>
    <m/>
    <x v="0"/>
    <x v="1"/>
  </r>
  <r>
    <x v="25"/>
    <s v="6°4°3LUMAÑANA641"/>
    <n v="641"/>
    <s v="3LUM44"/>
    <s v="3LU"/>
    <x v="0"/>
    <s v="6°4°6416EFTMP6"/>
    <s v="MONTAJE DE PROYECTO ELECTRONICOS "/>
    <n v="44"/>
    <m/>
    <x v="1"/>
    <x v="1"/>
  </r>
  <r>
    <x v="25"/>
    <s v="6°4°3LUTARDE0"/>
    <n v="0"/>
    <s v="3LUT"/>
    <s v="3LU"/>
    <x v="1"/>
    <s v="6°4°6EMATAP"/>
    <s v="MATEMATICA APLICADA"/>
    <m/>
    <m/>
    <x v="1"/>
    <x v="0"/>
  </r>
  <r>
    <x v="25"/>
    <s v="6°4°3LUVESPERTINO0"/>
    <n v="0"/>
    <s v="3LUV33"/>
    <s v="3LU"/>
    <x v="2"/>
    <s v="6°4°6ESISCO"/>
    <s v="SISTEMA DE COMUNICACIONES"/>
    <n v="33"/>
    <m/>
    <x v="1"/>
    <x v="1"/>
  </r>
  <r>
    <x v="25"/>
    <s v="6°4°3maMAÑANA642"/>
    <n v="642"/>
    <s v="3maMaula 1"/>
    <s v="3ma"/>
    <x v="0"/>
    <s v="6°4°6426EFTED6"/>
    <s v="APLIC ELECTR DIGITAL "/>
    <s v="aula 1"/>
    <m/>
    <x v="2"/>
    <x v="2"/>
  </r>
  <r>
    <x v="25"/>
    <s v="6°4°3MATARDE0"/>
    <n v="0"/>
    <s v="3MAT"/>
    <s v="3MA"/>
    <x v="1"/>
    <s v="6°4°6EINSMA"/>
    <s v="INSTALACIONES Y MAQUINAS ELECTRICAS"/>
    <m/>
    <m/>
    <x v="2"/>
    <x v="0"/>
  </r>
  <r>
    <x v="25"/>
    <s v="6°4°1MIMAÑANA641"/>
    <n v="641"/>
    <s v="1MIM30"/>
    <s v="1MI"/>
    <x v="0"/>
    <s v="6°4°6416ELENE6"/>
    <s v="LENGUAJES ELECTRONICOS"/>
    <n v="30"/>
    <m/>
    <x v="3"/>
    <x v="1"/>
  </r>
  <r>
    <x v="25"/>
    <s v="6°4°3viTARDE0"/>
    <n v="0"/>
    <s v="3viT"/>
    <s v="3vi"/>
    <x v="1"/>
    <s v="6°4°6ELITS"/>
    <s v="LITERATURA"/>
    <m/>
    <m/>
    <x v="4"/>
    <x v="0"/>
  </r>
  <r>
    <x v="25"/>
    <s v="6°4°3VIMAÑANA642"/>
    <n v="642"/>
    <s v="3VIM44"/>
    <s v="3VI"/>
    <x v="0"/>
    <s v="6°4°6426EFTMP6"/>
    <s v="MONTAJE DE PROYECTO ELECTRONICOS "/>
    <n v="44"/>
    <m/>
    <x v="4"/>
    <x v="1"/>
  </r>
  <r>
    <x v="25"/>
    <s v="6°4°3miTARDE0"/>
    <n v="0"/>
    <s v="3miTPATIO"/>
    <s v="3mi"/>
    <x v="1"/>
    <s v="6°4°6EEFIS"/>
    <s v="EDUCACIÓN FISICA"/>
    <s v="PATIO"/>
    <m/>
    <x v="3"/>
    <x v="0"/>
  </r>
  <r>
    <x v="25"/>
    <s v="6°4°3LUVESPERTINO641"/>
    <n v="641"/>
    <s v="3LUVrobotica"/>
    <s v="3LU"/>
    <x v="2"/>
    <s v="6°4°6416EFTED6"/>
    <s v="APLIC ELECTR DIGITAL "/>
    <s v="ROBOTICA"/>
    <m/>
    <x v="1"/>
    <x v="1"/>
  </r>
  <r>
    <x v="25"/>
    <s v="6°4°2VITARDE0"/>
    <n v="0"/>
    <s v="2VIT"/>
    <s v="2VI"/>
    <x v="1"/>
    <s v="6°4°6ESIPRO"/>
    <s v="SISTEMA PRODUCTIVO"/>
    <m/>
    <m/>
    <x v="4"/>
    <x v="0"/>
  </r>
  <r>
    <x v="25"/>
    <s v="6°4°4JUVESPERTINO641"/>
    <n v="641"/>
    <s v="4JUV45"/>
    <s v="4JU"/>
    <x v="2"/>
    <s v="6°4°6416EFTAE6"/>
    <s v="APLIC ELECT ANALOG"/>
    <n v="45"/>
    <m/>
    <x v="0"/>
    <x v="1"/>
  </r>
  <r>
    <x v="25"/>
    <s v="6°4°4juVESPERTINO642"/>
    <n v="642"/>
    <s v="4juVHERRERIA"/>
    <s v="4ju"/>
    <x v="2"/>
    <s v="6°4°6426EFTAE6"/>
    <s v="APLIC ELECT ANALOG"/>
    <s v="HERRERIA"/>
    <m/>
    <x v="0"/>
    <x v="1"/>
  </r>
  <r>
    <x v="25"/>
    <s v="6°4°4LUMAÑANA641"/>
    <n v="641"/>
    <s v="4LUM44"/>
    <s v="4LU"/>
    <x v="0"/>
    <s v="6°4°6416EFTMP6"/>
    <s v="MONTAJE DE PROYECTO ELECTRONICOS "/>
    <n v="44"/>
    <m/>
    <x v="1"/>
    <x v="1"/>
  </r>
  <r>
    <x v="25"/>
    <s v="6°4°4LUTARDE0"/>
    <n v="0"/>
    <s v="4LUT"/>
    <s v="4LU"/>
    <x v="1"/>
    <s v="6°4°6EMATAP"/>
    <s v="MATEMATICA APLICADA"/>
    <m/>
    <m/>
    <x v="1"/>
    <x v="0"/>
  </r>
  <r>
    <x v="25"/>
    <s v="6°4°4maMAÑANA642"/>
    <n v="642"/>
    <s v="4maMaula 1"/>
    <s v="4ma"/>
    <x v="0"/>
    <s v="6°4°6426EFTED6"/>
    <s v="APLIC ELECTR DIGITAL "/>
    <s v="aula 1"/>
    <m/>
    <x v="2"/>
    <x v="1"/>
  </r>
  <r>
    <x v="25"/>
    <s v="6°4°4MATARDE0"/>
    <n v="0"/>
    <s v="4MAT"/>
    <s v="4MA"/>
    <x v="1"/>
    <s v="6°4°6EINSMA"/>
    <s v="INSTALACIONES Y MAQUINAS ELECTRICAS"/>
    <m/>
    <m/>
    <x v="2"/>
    <x v="0"/>
  </r>
  <r>
    <x v="25"/>
    <s v="6°4°2MIMAÑANA641"/>
    <n v="641"/>
    <s v="2MIM30"/>
    <s v="2MI"/>
    <x v="0"/>
    <s v="6°4°6416ELENE6"/>
    <s v="LENGUAJES ELECTRONICOS"/>
    <n v="30"/>
    <m/>
    <x v="3"/>
    <x v="1"/>
  </r>
  <r>
    <x v="25"/>
    <s v="6°4°4viTARDE0"/>
    <n v="0"/>
    <s v="4viT"/>
    <s v="4vi"/>
    <x v="1"/>
    <s v="6°4°6ELITS"/>
    <s v="LITERATURA"/>
    <m/>
    <m/>
    <x v="4"/>
    <x v="0"/>
  </r>
  <r>
    <x v="25"/>
    <s v="6°4°4VIMAÑANA642"/>
    <n v="642"/>
    <s v="4VIM44"/>
    <s v="4VI"/>
    <x v="0"/>
    <s v="6°4°6426EFTMP6"/>
    <s v="MONTAJE DE PROYECTO ELECTRONICOS "/>
    <n v="44"/>
    <m/>
    <x v="4"/>
    <x v="1"/>
  </r>
  <r>
    <x v="25"/>
    <s v="6°4°4miTARDE0"/>
    <n v="0"/>
    <s v="4miTPATIO"/>
    <s v="4mi"/>
    <x v="1"/>
    <s v="6°4°6EEFIS"/>
    <s v="EDUCACIÓN FISICA"/>
    <s v="PATIO"/>
    <m/>
    <x v="3"/>
    <x v="0"/>
  </r>
  <r>
    <x v="25"/>
    <s v="6°4°4LUVESPERTINO641"/>
    <n v="641"/>
    <s v="4LUVrobotica"/>
    <s v="4LU"/>
    <x v="2"/>
    <s v="6°4°6416EFTED6"/>
    <s v="APLIC ELECTR DIGITAL "/>
    <s v="ROBOTICA"/>
    <m/>
    <x v="1"/>
    <x v="1"/>
  </r>
  <r>
    <x v="26"/>
    <s v="7°1°1juTARDE711"/>
    <n v="711"/>
    <s v="1juT40"/>
    <s v="1ju"/>
    <x v="1"/>
    <s v="7°1°7117IIMRSC"/>
    <s v="INSTALACION, MANTENIMIENTO Y REPARACION DE SISTEMAS COMPUTACIONALES-"/>
    <n v="40"/>
    <m/>
    <x v="0"/>
    <x v="1"/>
  </r>
  <r>
    <x v="26"/>
    <s v="7°1°1JUVESPERTINO711"/>
    <n v="711"/>
    <s v="1JUVAULA 3"/>
    <s v="1JU"/>
    <x v="2"/>
    <s v="7°1°7117IPDISC"/>
    <s v="PROYECTO, DISEÑO E IMPLEMENTACION DE SISTEMAS COMPUTACIONALES"/>
    <s v="aula 3"/>
    <m/>
    <x v="0"/>
    <x v="1"/>
  </r>
  <r>
    <x v="26"/>
    <s v="7°1°1MIMAÑANA712"/>
    <n v="712"/>
    <s v="1MIM52"/>
    <s v="1MI"/>
    <x v="0"/>
    <s v="7°1°7127IIMRRI"/>
    <s v="INSTALACION, MANTENIMIENTO Y REPARACION DE REDES INFORMATICAS- "/>
    <n v="52"/>
    <m/>
    <x v="3"/>
    <x v="1"/>
  </r>
  <r>
    <x v="26"/>
    <s v="7°1°1miVESPERTINO0"/>
    <n v="0"/>
    <s v="1miV"/>
    <s v="1mi"/>
    <x v="2"/>
    <s v="7°1°7IEVPRO"/>
    <s v="EVALUACION DE PROYECTO"/>
    <m/>
    <m/>
    <x v="3"/>
    <x v="0"/>
  </r>
  <r>
    <x v="26"/>
    <s v="7°1°1VIMAÑANA711"/>
    <n v="711"/>
    <s v="1VIM52"/>
    <s v="1VI"/>
    <x v="0"/>
    <s v="7°1°7117IIMRRI"/>
    <s v="INSTALACION, MANTENIMIENTO Y REPARACION DE REDES INFORMATICAS- "/>
    <n v="52"/>
    <m/>
    <x v="4"/>
    <x v="1"/>
  </r>
  <r>
    <x v="26"/>
    <s v="7°1°1VIMAÑANA712"/>
    <n v="712"/>
    <s v="1VIM40"/>
    <s v="1VI"/>
    <x v="0"/>
    <s v="7°1°7127IIMRSC"/>
    <s v="INSTALACION, MANTENIMIENTO Y REPARACION DE SISTEMAS COMPUTACIONALES-"/>
    <n v="40"/>
    <m/>
    <x v="4"/>
    <x v="1"/>
  </r>
  <r>
    <x v="26"/>
    <s v="7°1°1VIVESPERTINO712"/>
    <n v="712"/>
    <s v="1VIV41"/>
    <s v="1VI"/>
    <x v="2"/>
    <s v="7°1°7127IPDISC"/>
    <s v="PROYECTO, DISEÑO E IMPLEMENTACION DE SISTEMAS COMPUTACIONALES"/>
    <n v="41"/>
    <m/>
    <x v="4"/>
    <x v="1"/>
  </r>
  <r>
    <x v="26"/>
    <s v="7°1°2juTARDE711"/>
    <n v="711"/>
    <s v="2juT40"/>
    <s v="2ju"/>
    <x v="1"/>
    <s v="7°1°7117IIMRSC"/>
    <s v="INSTALACION, MANTENIMIENTO Y REPARACION DE SISTEMAS COMPUTACIONALES-"/>
    <n v="40"/>
    <m/>
    <x v="0"/>
    <x v="1"/>
  </r>
  <r>
    <x v="26"/>
    <s v="7°1°2JUVESPERTINO711"/>
    <n v="711"/>
    <s v="2JUVAULA 3"/>
    <s v="2JU"/>
    <x v="2"/>
    <s v="7°1°7117IPDISC"/>
    <s v="PROYECTO, DISEÑO E IMPLEMENTACION DE SISTEMAS COMPUTACIONALES"/>
    <s v="aula 3"/>
    <m/>
    <x v="0"/>
    <x v="1"/>
  </r>
  <r>
    <x v="26"/>
    <s v="7°1°2MIMAÑANA712"/>
    <n v="712"/>
    <s v="2MIM52"/>
    <s v="2MI"/>
    <x v="0"/>
    <s v="7°1°7127IIMRRI"/>
    <s v="INSTALACION, MANTENIMIENTO Y REPARACION DE REDES INFORMATICAS- "/>
    <n v="52"/>
    <m/>
    <x v="3"/>
    <x v="1"/>
  </r>
  <r>
    <x v="26"/>
    <s v="7°1°2miVESPERTINO0"/>
    <n v="0"/>
    <s v="2miV"/>
    <s v="2mi"/>
    <x v="2"/>
    <s v="7°1°7IEVPRO"/>
    <s v="EVALUACION DE PROYECTO"/>
    <m/>
    <m/>
    <x v="3"/>
    <x v="0"/>
  </r>
  <r>
    <x v="26"/>
    <s v="7°1°2VIMAÑANA711"/>
    <n v="711"/>
    <s v="2VIM52"/>
    <s v="2VI"/>
    <x v="0"/>
    <s v="7°1°7117IIMRRI"/>
    <s v="INSTALACION, MANTENIMIENTO Y REPARACION DE REDES INFORMATICAS- "/>
    <n v="52"/>
    <m/>
    <x v="4"/>
    <x v="1"/>
  </r>
  <r>
    <x v="26"/>
    <s v="7°1°2VIMAÑANA712"/>
    <n v="712"/>
    <s v="2VIM40"/>
    <s v="2VI"/>
    <x v="0"/>
    <s v="7°1°7127IIMRSC"/>
    <s v="INSTALACION, MANTENIMIENTO Y REPARACION DE SISTEMAS COMPUTACIONALES-"/>
    <n v="40"/>
    <m/>
    <x v="4"/>
    <x v="1"/>
  </r>
  <r>
    <x v="26"/>
    <s v="7°1°2VIVESPERTINO712"/>
    <n v="712"/>
    <s v="2VIV41"/>
    <s v="2VI"/>
    <x v="2"/>
    <s v="7°1°7127IPDISC"/>
    <s v="PROYECTO, DISEÑO E IMPLEMENTACION DE SISTEMAS COMPUTACIONALES"/>
    <n v="41"/>
    <m/>
    <x v="4"/>
    <x v="1"/>
  </r>
  <r>
    <x v="26"/>
    <s v="7°1°3juTARDE711"/>
    <n v="711"/>
    <s v="3juT40"/>
    <s v="3ju"/>
    <x v="1"/>
    <s v="7°1°7117IIMRSC"/>
    <s v="INSTALACION, MANTENIMIENTO Y REPARACION DE SISTEMAS COMPUTACIONALES-"/>
    <n v="40"/>
    <m/>
    <x v="0"/>
    <x v="1"/>
  </r>
  <r>
    <x v="26"/>
    <s v="7°1°3JUVESPERTINO711"/>
    <n v="711"/>
    <s v="3JUVAULA 3"/>
    <s v="3JU"/>
    <x v="2"/>
    <s v="7°1°7117IPDISC"/>
    <s v="PROYECTO, DISEÑO E IMPLEMENTACION DE SISTEMAS COMPUTACIONALES"/>
    <s v="aula 3"/>
    <m/>
    <x v="0"/>
    <x v="1"/>
  </r>
  <r>
    <x v="26"/>
    <s v="7°1°1LUMAÑANA0"/>
    <n v="0"/>
    <s v="1LUM"/>
    <s v="1LU"/>
    <x v="0"/>
    <s v="7°1°7IBADAT"/>
    <s v="BASE DE DATOS"/>
    <m/>
    <m/>
    <x v="1"/>
    <x v="1"/>
  </r>
  <r>
    <x v="26"/>
    <s v="7°1°2LUMAÑANA0"/>
    <n v="0"/>
    <s v="2LUM"/>
    <s v="2LU"/>
    <x v="0"/>
    <s v="7°1°7IBADAT"/>
    <s v="BASE DE DATOS"/>
    <m/>
    <m/>
    <x v="1"/>
    <x v="1"/>
  </r>
  <r>
    <x v="26"/>
    <s v="7°1°3luVESPERTINO0"/>
    <n v="0"/>
    <s v="3luV"/>
    <s v="3lu"/>
    <x v="2"/>
    <s v="7°1°7IPPDLO"/>
    <s v="EMPRENDIMIENTO PRODUCTIVO Y DESARROLLO LOCAL"/>
    <m/>
    <m/>
    <x v="1"/>
    <x v="0"/>
  </r>
  <r>
    <x v="26"/>
    <s v="7°1°3MIMAÑANA712"/>
    <n v="712"/>
    <s v="3MIM52"/>
    <s v="3MI"/>
    <x v="0"/>
    <s v="7°1°7127IIMRRI"/>
    <s v="INSTALACION, MANTENIMIENTO Y REPARACION DE REDES INFORMATICAS- "/>
    <n v="52"/>
    <m/>
    <x v="3"/>
    <x v="1"/>
  </r>
  <r>
    <x v="26"/>
    <s v="7°1°3MIVESPERTINO0"/>
    <n v="0"/>
    <s v="3MIV"/>
    <s v="3MI"/>
    <x v="2"/>
    <s v="7°1°7IMOSIS"/>
    <s v="MODELOS Y SISTEMAS"/>
    <m/>
    <m/>
    <x v="3"/>
    <x v="0"/>
  </r>
  <r>
    <x v="26"/>
    <s v="7°1°3VIMAÑANA711"/>
    <n v="711"/>
    <s v="3VIM52"/>
    <s v="3VI"/>
    <x v="0"/>
    <s v="7°1°7117IIMRRI"/>
    <s v="INSTALACION, MANTENIMIENTO Y REPARACION DE REDES INFORMATICAS- "/>
    <n v="52"/>
    <m/>
    <x v="4"/>
    <x v="1"/>
  </r>
  <r>
    <x v="26"/>
    <s v="7°1°3VIMAÑANA712"/>
    <n v="712"/>
    <s v="3VIM40"/>
    <s v="3VI"/>
    <x v="0"/>
    <s v="7°1°7127IIMRSC"/>
    <s v="INSTALACION, MANTENIMIENTO Y REPARACION DE SISTEMAS COMPUTACIONALES-"/>
    <n v="40"/>
    <m/>
    <x v="4"/>
    <x v="1"/>
  </r>
  <r>
    <x v="26"/>
    <s v="7°1°3VIVESPERTINO712"/>
    <n v="712"/>
    <s v="3VIV41"/>
    <s v="3VI"/>
    <x v="2"/>
    <s v="7°1°7127IPDISC"/>
    <s v="PROYECTO, DISEÑO E IMPLEMENTACION DE SISTEMAS COMPUTACIONALES"/>
    <n v="41"/>
    <m/>
    <x v="4"/>
    <x v="1"/>
  </r>
  <r>
    <x v="26"/>
    <s v="7°1°4juTARDE711"/>
    <n v="711"/>
    <s v="4juT40"/>
    <s v="4ju"/>
    <x v="1"/>
    <s v="7°1°7117IIMRSC"/>
    <s v="INSTALACION, MANTENIMIENTO Y REPARACION DE SISTEMAS COMPUTACIONALES-"/>
    <n v="40"/>
    <m/>
    <x v="0"/>
    <x v="1"/>
  </r>
  <r>
    <x v="26"/>
    <s v="7°1°4JUVESPERTINO711"/>
    <n v="711"/>
    <s v="4JUVAULA 3"/>
    <s v="4JU"/>
    <x v="2"/>
    <s v="7°1°7117IPDISC"/>
    <s v="PROYECTO, DISEÑO E IMPLEMENTACION DE SISTEMAS COMPUTACIONALES"/>
    <s v="aula 3"/>
    <m/>
    <x v="0"/>
    <x v="1"/>
  </r>
  <r>
    <x v="26"/>
    <s v="7°1°3LUMAÑANA0"/>
    <n v="0"/>
    <s v="3LUM"/>
    <s v="3LU"/>
    <x v="0"/>
    <s v="7°1°7IBADAT"/>
    <s v="BASE DE DATOS"/>
    <m/>
    <m/>
    <x v="1"/>
    <x v="1"/>
  </r>
  <r>
    <x v="26"/>
    <s v="7°1°4luVESPERTINO0"/>
    <n v="0"/>
    <s v="4luV"/>
    <s v="4lu"/>
    <x v="2"/>
    <s v="7°1°7IPPDLO"/>
    <s v="EMPRENDIMIENTO PRODUCTIVO Y DESARROLLO LOCAL"/>
    <m/>
    <m/>
    <x v="1"/>
    <x v="0"/>
  </r>
  <r>
    <x v="26"/>
    <s v="7°1°4MIMAÑANA712"/>
    <n v="712"/>
    <s v="4MIM52"/>
    <s v="4MI"/>
    <x v="0"/>
    <s v="7°1°7127IIMRRI"/>
    <s v="INSTALACION, MANTENIMIENTO Y REPARACION DE REDES INFORMATICAS- "/>
    <n v="52"/>
    <m/>
    <x v="3"/>
    <x v="1"/>
  </r>
  <r>
    <x v="26"/>
    <s v="7°1°4MIVESPERTINO0"/>
    <n v="0"/>
    <s v="4MIV"/>
    <s v="4MI"/>
    <x v="2"/>
    <s v="7°1°7IMOSIS"/>
    <s v="MODELOS Y SISTEMAS"/>
    <m/>
    <m/>
    <x v="3"/>
    <x v="0"/>
  </r>
  <r>
    <x v="26"/>
    <s v="7°1°4VIMAÑANA711"/>
    <n v="711"/>
    <s v="4VIM52"/>
    <s v="4VI"/>
    <x v="0"/>
    <s v="7°1°7117IIMRRI"/>
    <s v="INSTALACION, MANTENIMIENTO Y REPARACION DE REDES INFORMATICAS- "/>
    <n v="52"/>
    <n v="41"/>
    <x v="4"/>
    <x v="1"/>
  </r>
  <r>
    <x v="26"/>
    <s v="7°1°4VIMAÑANA712"/>
    <n v="712"/>
    <s v="4VIM40"/>
    <s v="4VI"/>
    <x v="0"/>
    <s v="7°1°7127IIMRSC"/>
    <s v="INSTALACION, MANTENIMIENTO Y REPARACION DE SISTEMAS COMPUTACIONALES-"/>
    <n v="40"/>
    <m/>
    <x v="4"/>
    <x v="1"/>
  </r>
  <r>
    <x v="26"/>
    <s v="7°1°4VIVESPERTINO712"/>
    <n v="712"/>
    <s v="4VIV41"/>
    <s v="4VI"/>
    <x v="2"/>
    <s v="7°1°7127IPDISC"/>
    <s v="PROYECTO, DISEÑO E IMPLEMENTACION DE SISTEMAS COMPUTACIONALES"/>
    <n v="41"/>
    <m/>
    <x v="4"/>
    <x v="1"/>
  </r>
  <r>
    <x v="27"/>
    <s v="7°2°1JUMAÑANA721"/>
    <n v="721"/>
    <s v="1JUM44"/>
    <s v="1JU"/>
    <x v="0"/>
    <s v="7°2°7217EINSIN"/>
    <s v="INSTALACIONES INDUSTRIALES"/>
    <n v="44"/>
    <m/>
    <x v="0"/>
    <x v="1"/>
  </r>
  <r>
    <x v="27"/>
    <s v="7°2°1juVESPERTINO722"/>
    <n v="722"/>
    <s v="1juV33"/>
    <s v="1ju"/>
    <x v="2"/>
    <s v="7°2°7227EINSIN"/>
    <s v="INSTALACIONES INDUSTRIALES"/>
    <n v="33"/>
    <m/>
    <x v="0"/>
    <x v="1"/>
  </r>
  <r>
    <x v="27"/>
    <s v="7°2°1MITARDE721"/>
    <n v="721"/>
    <s v="1MITROBOTICA"/>
    <s v="1MI"/>
    <x v="1"/>
    <s v="7°2°7217EPRODE"/>
    <s v="PROYECTO Y DISEÑO ELECTRONICO "/>
    <s v="ROBOTICA"/>
    <m/>
    <x v="3"/>
    <x v="1"/>
  </r>
  <r>
    <x v="27"/>
    <s v="7°2°1LUVESPERTINO722"/>
    <n v="722"/>
    <s v="1LUV46"/>
    <s v="1LU"/>
    <x v="2"/>
    <s v="7°2°7227EPRODE"/>
    <s v="PROYECTO Y DISEÑO ELECTRONICO "/>
    <n v="46"/>
    <m/>
    <x v="1"/>
    <x v="1"/>
  </r>
  <r>
    <x v="27"/>
    <s v="7°2°1MATARDE722"/>
    <n v="722"/>
    <s v="1MATrobotica"/>
    <s v="1MA"/>
    <x v="1"/>
    <s v="7°2°7227EELEAP"/>
    <s v="ELECTRONICA APLICADA"/>
    <s v="ROBOTICA"/>
    <m/>
    <x v="2"/>
    <x v="1"/>
  </r>
  <r>
    <x v="27"/>
    <s v="7°2°1MAVESPERTINO0"/>
    <n v="0"/>
    <s v="1MAVAULA 4"/>
    <s v="1MA"/>
    <x v="2"/>
    <s v="7°2°7ESISDC"/>
    <s v="SISTEMAS DE COMUNICACIONES"/>
    <s v="aula 4"/>
    <m/>
    <x v="2"/>
    <x v="1"/>
  </r>
  <r>
    <x v="27"/>
    <s v="7°2°1VIVESPERTINO0"/>
    <n v="0"/>
    <s v="1VIV44"/>
    <s v="1VI"/>
    <x v="2"/>
    <s v="7°2°7ESIDCO"/>
    <s v="SISTEMA DE CONTROL"/>
    <n v="44"/>
    <m/>
    <x v="4"/>
    <x v="0"/>
  </r>
  <r>
    <x v="27"/>
    <s v="7°2°2JUMAÑANA721"/>
    <n v="721"/>
    <s v="2JUM44"/>
    <s v="2JU"/>
    <x v="0"/>
    <s v="7°2°7217EINSIN"/>
    <s v="INSTALACIONES INDUSTRIALES"/>
    <n v="44"/>
    <m/>
    <x v="0"/>
    <x v="1"/>
  </r>
  <r>
    <x v="27"/>
    <s v="7°2°2juVESPERTINO722"/>
    <n v="722"/>
    <s v="2juV33"/>
    <s v="2ju"/>
    <x v="2"/>
    <s v="7°2°7227EINSIN"/>
    <s v="INSTALACIONES INDUSTRIALES"/>
    <n v="33"/>
    <m/>
    <x v="0"/>
    <x v="1"/>
  </r>
  <r>
    <x v="27"/>
    <s v="7°2°2MITARDE721"/>
    <n v="721"/>
    <s v="2MITROBOTICA"/>
    <s v="2MI"/>
    <x v="1"/>
    <s v="7°2°7217EPRODE"/>
    <s v="PROYECTO Y DISEÑO ELECTRONICO "/>
    <s v="ROBOTICA"/>
    <m/>
    <x v="3"/>
    <x v="1"/>
  </r>
  <r>
    <x v="27"/>
    <s v="7°2°2LUVESPERTINO721"/>
    <n v="721"/>
    <s v="2LUV44"/>
    <s v="2LU"/>
    <x v="2"/>
    <s v="7°2°7217EELEAP"/>
    <s v="ELECTRONICA APLICADA"/>
    <n v="44"/>
    <m/>
    <x v="1"/>
    <x v="1"/>
  </r>
  <r>
    <x v="27"/>
    <s v="7°2°2LUVESPERTINO722"/>
    <n v="722"/>
    <s v="2LUV46"/>
    <s v="2LU"/>
    <x v="2"/>
    <s v="7°2°7227EPRODE"/>
    <s v="PROYECTO Y DISEÑO ELECTRONICO "/>
    <n v="46"/>
    <m/>
    <x v="1"/>
    <x v="1"/>
  </r>
  <r>
    <x v="27"/>
    <s v="7°2°2MATARDE722"/>
    <n v="722"/>
    <s v="2MATrobotica"/>
    <s v="2MA"/>
    <x v="1"/>
    <s v="7°2°7227EELEAP"/>
    <s v="ELECTRONICA APLICADA"/>
    <s v="ROBOTICA"/>
    <m/>
    <x v="2"/>
    <x v="1"/>
  </r>
  <r>
    <x v="27"/>
    <s v="7°2°2MAVESPERTINO0"/>
    <n v="0"/>
    <s v="2MAVAULA 4"/>
    <s v="2MA"/>
    <x v="2"/>
    <s v="7°2°7ESISDC"/>
    <s v="SISTEMAS DE COMUNICACIONES"/>
    <s v="aula 4"/>
    <m/>
    <x v="2"/>
    <x v="1"/>
  </r>
  <r>
    <x v="27"/>
    <s v="7°2°1miVESPERTINO0"/>
    <n v="0"/>
    <s v="1miV"/>
    <s v="1mi"/>
    <x v="2"/>
    <s v="7°2°7ESEHPA"/>
    <s v="SEGURIDAD, HIGIENE Y PROTECCION AMBIENTAL"/>
    <m/>
    <m/>
    <x v="3"/>
    <x v="0"/>
  </r>
  <r>
    <x v="27"/>
    <s v="7°2°2VIVESPERTINO0"/>
    <n v="0"/>
    <s v="2VIV44"/>
    <s v="2VI"/>
    <x v="2"/>
    <s v="7°2°7ESIDCO"/>
    <s v="SISTEMA DE CONTROL"/>
    <n v="44"/>
    <m/>
    <x v="4"/>
    <x v="0"/>
  </r>
  <r>
    <x v="27"/>
    <s v="7°2°3JUMAÑANA721"/>
    <n v="721"/>
    <s v="3JUM44"/>
    <s v="3JU"/>
    <x v="0"/>
    <s v="7°2°7217EINSIN"/>
    <s v="INSTALACIONES INDUSTRIALES"/>
    <n v="44"/>
    <m/>
    <x v="0"/>
    <x v="1"/>
  </r>
  <r>
    <x v="27"/>
    <s v="7°2°3juVESPERTINO722"/>
    <n v="722"/>
    <s v="3juV33"/>
    <s v="3ju"/>
    <x v="2"/>
    <s v="7°2°7227EINSIN"/>
    <s v="INSTALACIONES INDUSTRIALES"/>
    <n v="33"/>
    <m/>
    <x v="0"/>
    <x v="1"/>
  </r>
  <r>
    <x v="27"/>
    <s v="7°2°3MITARDE721"/>
    <n v="721"/>
    <s v="3MITROBOTICA"/>
    <s v="3MI"/>
    <x v="1"/>
    <s v="7°2°7217EPRODE"/>
    <s v="PROYECTO Y DISEÑO ELECTRONICO "/>
    <s v="ROBOTICA"/>
    <m/>
    <x v="3"/>
    <x v="1"/>
  </r>
  <r>
    <x v="27"/>
    <s v="7°2°3LUVESPERTINO721"/>
    <n v="721"/>
    <s v="3LUV44"/>
    <s v="3LU"/>
    <x v="2"/>
    <s v="7°2°7217EELEAP"/>
    <s v="ELECTRONICA APLICADA"/>
    <n v="44"/>
    <m/>
    <x v="1"/>
    <x v="1"/>
  </r>
  <r>
    <x v="27"/>
    <s v="7°2°3LUVESPERTINO722"/>
    <n v="722"/>
    <s v="3LUV46"/>
    <s v="3LU"/>
    <x v="2"/>
    <s v="7°2°7227EPRODE"/>
    <s v="PROYECTO Y DISEÑO ELECTRONICO "/>
    <n v="46"/>
    <m/>
    <x v="1"/>
    <x v="1"/>
  </r>
  <r>
    <x v="27"/>
    <s v="7°2°3miVESPERTINO0"/>
    <n v="0"/>
    <s v="3miVROBOTICA"/>
    <s v="3mi"/>
    <x v="2"/>
    <s v="7°2°7EPPDLO"/>
    <s v="EMPRENDIMIENTO PRODUCTIVO Y DESARROLLO LOCAL"/>
    <s v="ROBOTICA"/>
    <m/>
    <x v="3"/>
    <x v="1"/>
  </r>
  <r>
    <x v="27"/>
    <s v="7°2°3MATARDE722"/>
    <n v="722"/>
    <s v="3MATrobotica"/>
    <s v="3MA"/>
    <x v="1"/>
    <s v="7°2°7227EELEAP"/>
    <s v="ELECTRONICA APLICADA"/>
    <s v="ROBOTICA"/>
    <m/>
    <x v="2"/>
    <x v="1"/>
  </r>
  <r>
    <x v="27"/>
    <s v="7°2°3MAVESPERTINO0"/>
    <n v="0"/>
    <s v="3MAVAULA 4"/>
    <s v="3MA"/>
    <x v="2"/>
    <s v="7°2°7ESISDC"/>
    <s v="SISTEMAS DE COMUNICACIONES"/>
    <s v="aula 4"/>
    <m/>
    <x v="2"/>
    <x v="1"/>
  </r>
  <r>
    <x v="27"/>
    <s v="7°2°2miVESPERTINO0"/>
    <n v="0"/>
    <s v="2miV"/>
    <s v="2mi"/>
    <x v="2"/>
    <s v="7°2°7ESEHPA"/>
    <s v="SEGURIDAD, HIGIENE Y PROTECCION AMBIENTAL"/>
    <m/>
    <m/>
    <x v="3"/>
    <x v="0"/>
  </r>
  <r>
    <x v="27"/>
    <s v="7°2°3VIVESPERTINO0"/>
    <n v="0"/>
    <s v="3VIV44"/>
    <s v="3VI"/>
    <x v="2"/>
    <s v="7°2°7ESIDCO"/>
    <s v="SISTEMA DE CONTROL"/>
    <n v="44"/>
    <m/>
    <x v="4"/>
    <x v="0"/>
  </r>
  <r>
    <x v="27"/>
    <s v="7°2°4JUMAÑANA721"/>
    <n v="721"/>
    <s v="4JUM44"/>
    <s v="4JU"/>
    <x v="0"/>
    <s v="7°2°7217EINSIN"/>
    <s v="INSTALACIONES INDUSTRIALES"/>
    <n v="44"/>
    <m/>
    <x v="0"/>
    <x v="1"/>
  </r>
  <r>
    <x v="27"/>
    <s v="7°2°4juVESPERTINO722"/>
    <n v="722"/>
    <s v="4juV33"/>
    <s v="4ju"/>
    <x v="2"/>
    <s v="7°2°7227EINSIN"/>
    <s v="INSTALACIONES INDUSTRIALES"/>
    <n v="33"/>
    <m/>
    <x v="0"/>
    <x v="1"/>
  </r>
  <r>
    <x v="27"/>
    <s v="7°2°4MITARDE721"/>
    <n v="721"/>
    <s v="4MITROBOTICA"/>
    <s v="4MI"/>
    <x v="1"/>
    <s v="7°2°7217EPRODE"/>
    <s v="PROYECTO Y DISEÑO ELECTRONICO "/>
    <s v="ROBOTICA"/>
    <m/>
    <x v="3"/>
    <x v="1"/>
  </r>
  <r>
    <x v="27"/>
    <s v="7°2°4LUVESPERTINO721"/>
    <n v="721"/>
    <s v="4LUV44"/>
    <s v="4LU"/>
    <x v="2"/>
    <s v="7°2°7217EELEAP"/>
    <s v="ELECTRONICA APLICADA"/>
    <n v="44"/>
    <m/>
    <x v="1"/>
    <x v="1"/>
  </r>
  <r>
    <x v="27"/>
    <s v="7°2°4LUVESPERTINO722"/>
    <n v="722"/>
    <s v="4LUV46"/>
    <s v="4LU"/>
    <x v="2"/>
    <s v="7°2°7227EPRODE"/>
    <s v="PROYECTO Y DISEÑO ELECTRONICO "/>
    <n v="46"/>
    <m/>
    <x v="1"/>
    <x v="1"/>
  </r>
  <r>
    <x v="27"/>
    <s v="7°2°4miVESPERTINO0"/>
    <n v="0"/>
    <s v="4miVROBOTICA"/>
    <s v="4mi"/>
    <x v="2"/>
    <s v="7°2°7EPPDLO"/>
    <s v="EMPRENDIMIENTO PRODUCTIVO Y DESARROLLO LOCAL"/>
    <s v="ROBOTICA"/>
    <m/>
    <x v="3"/>
    <x v="1"/>
  </r>
  <r>
    <x v="27"/>
    <s v="7°2°4MATARDE722"/>
    <n v="722"/>
    <s v="4MATrobotica"/>
    <s v="4MA"/>
    <x v="1"/>
    <s v="7°2°7227EELEAP"/>
    <s v="ELECTRONICA APLICADA"/>
    <s v="ROBOTICA"/>
    <m/>
    <x v="2"/>
    <x v="1"/>
  </r>
  <r>
    <x v="27"/>
    <s v="7°2°4MAVESPERTINO0"/>
    <n v="0"/>
    <s v="4MAVAULA 4"/>
    <s v="4MA"/>
    <x v="2"/>
    <s v="7°2°7ESISDC"/>
    <s v="SISTEMAS DE COMUNICACIONES"/>
    <s v="aula 4"/>
    <m/>
    <x v="2"/>
    <x v="1"/>
  </r>
  <r>
    <x v="27"/>
    <s v="7°2°4VIVESPERTINO0"/>
    <n v="0"/>
    <s v="4VIV44"/>
    <s v="4VI"/>
    <x v="2"/>
    <s v="7°2°7ESIDCO"/>
    <s v="SISTEMA DE CONTROL"/>
    <n v="44"/>
    <m/>
    <x v="4"/>
    <x v="0"/>
  </r>
  <r>
    <x v="27"/>
    <s v="7°2°5LUVESPERTINO721"/>
    <n v="721"/>
    <s v="1LU"/>
    <s v="5LU"/>
    <x v="2"/>
    <s v="7°2°7217EELEAP"/>
    <s v="ELECTRONICA APLICADA"/>
    <n v="46"/>
    <m/>
    <x v="1"/>
    <x v="1"/>
  </r>
  <r>
    <x v="28"/>
    <s v="7°3°1juVESPERTINO731"/>
    <n v="731"/>
    <s v="1juV"/>
    <s v="1ju"/>
    <x v="2"/>
    <s v="7°3°7317IIMRRI"/>
    <s v="INSTALACION, MANTENIMIENTO Y REPARACION DE REDES INFORMATICAS- "/>
    <m/>
    <m/>
    <x v="0"/>
    <x v="1"/>
  </r>
  <r>
    <x v="28"/>
    <s v="7°3°1JUVESPERTINO732"/>
    <n v="732"/>
    <s v="1JUV40"/>
    <s v="1JU"/>
    <x v="2"/>
    <s v="7°3°7327IIMRSC"/>
    <s v="INSTALACION, MANTENIMIENTO Y REPARACION DE SISTEMAS COMPUTACIONALES-"/>
    <n v="40"/>
    <m/>
    <x v="0"/>
    <x v="1"/>
  </r>
  <r>
    <x v="28"/>
    <s v="7°3°1LUVESPERTINO0"/>
    <n v="0"/>
    <s v="1LUV"/>
    <s v="1LU"/>
    <x v="2"/>
    <s v="7°3°7IMOSIS"/>
    <s v="MODELOS Y SISTEMAS"/>
    <m/>
    <m/>
    <x v="1"/>
    <x v="0"/>
  </r>
  <r>
    <x v="28"/>
    <s v="7°3°1MAVESPERTINO0"/>
    <n v="0"/>
    <s v="1MAV"/>
    <s v="1MA"/>
    <x v="2"/>
    <s v="7°3°7IEVPRO"/>
    <s v="EVALUACION DE PROYECTO"/>
    <m/>
    <m/>
    <x v="2"/>
    <x v="0"/>
  </r>
  <r>
    <x v="28"/>
    <s v="7°3°1mimañana0"/>
    <n v="0"/>
    <s v="1mim"/>
    <s v="1mi"/>
    <x v="0"/>
    <s v="7°3°7IBADAT"/>
    <s v="BASE DE DATOS"/>
    <m/>
    <m/>
    <x v="3"/>
    <x v="1"/>
  </r>
  <r>
    <x v="28"/>
    <s v="7°3°1miVESPERTINO731"/>
    <n v="731"/>
    <s v="1miV40"/>
    <s v="1mi"/>
    <x v="2"/>
    <s v="7°3°7317IIMRSC"/>
    <s v="INSTALACION, MANTENIMIENTO Y REPARACION DE SISTEMAS COMPUTACIONALES-"/>
    <n v="40"/>
    <m/>
    <x v="3"/>
    <x v="1"/>
  </r>
  <r>
    <x v="28"/>
    <s v="7°3°1MIVESPERTINO732"/>
    <n v="732"/>
    <s v="1MIVROBOTICA"/>
    <s v="1MI"/>
    <x v="2"/>
    <s v="7°3°7327IPDISC"/>
    <s v="PROYECTO, DISEÑO E IMPLEMENTACION DE SISTEMAS COMPUTACIONALES"/>
    <s v="ROBOTICA"/>
    <m/>
    <x v="3"/>
    <x v="1"/>
  </r>
  <r>
    <x v="28"/>
    <s v="7°3°1VIVESPERTINO731"/>
    <n v="731"/>
    <s v="1VIV"/>
    <s v="1VI"/>
    <x v="2"/>
    <s v="7°3°7317IPDISC"/>
    <s v="PROYECTO, DISEÑO E IMPLEMENTACION DE SISTEMAS COMPUTACIONALES"/>
    <m/>
    <m/>
    <x v="4"/>
    <x v="1"/>
  </r>
  <r>
    <x v="28"/>
    <s v="7°3°1VIVESPERTINO732"/>
    <n v="732"/>
    <s v="1VIV40"/>
    <s v="1VI"/>
    <x v="2"/>
    <s v="7°3°7327IIMRRI"/>
    <s v="INSTALACION, MANTENIMIENTO Y REPARACION DE REDES INFORMATICAS- "/>
    <n v="40"/>
    <m/>
    <x v="4"/>
    <x v="1"/>
  </r>
  <r>
    <x v="28"/>
    <s v="7°3°2juVESPERTINO731"/>
    <n v="731"/>
    <s v="2juV"/>
    <s v="2ju"/>
    <x v="2"/>
    <s v="7°3°7317IIMRRI"/>
    <s v="INSTALACION, MANTENIMIENTO Y REPARACION DE REDES INFORMATICAS- "/>
    <m/>
    <m/>
    <x v="0"/>
    <x v="1"/>
  </r>
  <r>
    <x v="28"/>
    <s v="7°3°2JUVESPERTINO732"/>
    <n v="732"/>
    <s v="2JUV40"/>
    <s v="2JU"/>
    <x v="2"/>
    <s v="7°3°7327IIMRSC"/>
    <s v="INSTALACION, MANTENIMIENTO Y REPARACION DE SISTEMAS COMPUTACIONALES-"/>
    <n v="40"/>
    <m/>
    <x v="0"/>
    <x v="1"/>
  </r>
  <r>
    <x v="28"/>
    <s v="7°3°2LUVESPERTINO0"/>
    <n v="0"/>
    <s v="2LUV"/>
    <s v="2LU"/>
    <x v="2"/>
    <s v="7°3°7IMOSIS"/>
    <s v="MODELOS Y SISTEMAS"/>
    <m/>
    <m/>
    <x v="1"/>
    <x v="0"/>
  </r>
  <r>
    <x v="28"/>
    <s v="7°3°2MAVESPERTINO0"/>
    <n v="0"/>
    <s v="2MAV"/>
    <s v="2MA"/>
    <x v="2"/>
    <s v="7°3°7IEVPRO"/>
    <s v="EVALUACION DE PROYECTO"/>
    <m/>
    <m/>
    <x v="2"/>
    <x v="0"/>
  </r>
  <r>
    <x v="28"/>
    <s v="7°3°2mimañana0"/>
    <n v="0"/>
    <s v="2mim"/>
    <s v="2mi"/>
    <x v="0"/>
    <s v="7°3°7IBADAT"/>
    <s v="BASE DE DATOS"/>
    <m/>
    <m/>
    <x v="3"/>
    <x v="1"/>
  </r>
  <r>
    <x v="28"/>
    <s v="7°3°2miVESPERTINO731"/>
    <n v="731"/>
    <s v="2miV40"/>
    <s v="2mi"/>
    <x v="2"/>
    <s v="7°3°7317IIMRSC"/>
    <s v="INSTALACION, MANTENIMIENTO Y REPARACION DE SISTEMAS COMPUTACIONALES-"/>
    <n v="40"/>
    <m/>
    <x v="3"/>
    <x v="1"/>
  </r>
  <r>
    <x v="28"/>
    <s v="7°3°2MIVESPERTINO732"/>
    <n v="732"/>
    <s v="2MIVROBOTICA"/>
    <s v="2MI"/>
    <x v="2"/>
    <s v="7°3°7327IPDISC"/>
    <s v="PROYECTO, DISEÑO E IMPLEMENTACION DE SISTEMAS COMPUTACIONALES"/>
    <s v="ROBOTICA"/>
    <m/>
    <x v="3"/>
    <x v="1"/>
  </r>
  <r>
    <x v="28"/>
    <s v="7°3°2VIVESPERTINO731"/>
    <n v="731"/>
    <s v="2VIV"/>
    <s v="2VI"/>
    <x v="2"/>
    <s v="7°3°7317IPDISC"/>
    <s v="PROYECTO, DISEÑO E IMPLEMENTACION DE SISTEMAS COMPUTACIONALES"/>
    <m/>
    <m/>
    <x v="4"/>
    <x v="1"/>
  </r>
  <r>
    <x v="28"/>
    <s v="7°3°2VIVESPERTINO732"/>
    <n v="732"/>
    <s v="2VIV40"/>
    <s v="2VI"/>
    <x v="2"/>
    <s v="7°3°7327IIMRRI"/>
    <s v="INSTALACION, MANTENIMIENTO Y REPARACION DE REDES INFORMATICAS- "/>
    <n v="40"/>
    <m/>
    <x v="4"/>
    <x v="1"/>
  </r>
  <r>
    <x v="28"/>
    <s v="7°3°3juVESPERTINO731"/>
    <n v="731"/>
    <s v="3juV"/>
    <s v="3ju"/>
    <x v="2"/>
    <s v="7°3°7317IIMRRI"/>
    <s v="INSTALACION, MANTENIMIENTO Y REPARACION DE REDES INFORMATICAS- "/>
    <m/>
    <m/>
    <x v="0"/>
    <x v="1"/>
  </r>
  <r>
    <x v="28"/>
    <s v="7°3°3JUVESPERTINO732"/>
    <n v="732"/>
    <s v="3JUV40"/>
    <s v="3JU"/>
    <x v="2"/>
    <s v="7°3°7327IIMRSC"/>
    <s v="INSTALACION, MANTENIMIENTO Y REPARACION DE SISTEMAS COMPUTACIONALES-"/>
    <n v="40"/>
    <m/>
    <x v="0"/>
    <x v="1"/>
  </r>
  <r>
    <x v="28"/>
    <s v="7°3°3MAVESPERTINO0"/>
    <n v="0"/>
    <s v="3MAV"/>
    <s v="3MA"/>
    <x v="2"/>
    <s v="7°3°7IPPDLO"/>
    <s v="EMPRENDIMIENTO PRODUCTIVO Y DESARROLLO LOCAL"/>
    <m/>
    <m/>
    <x v="2"/>
    <x v="0"/>
  </r>
  <r>
    <x v="28"/>
    <s v="7°3°3mimañana0"/>
    <n v="0"/>
    <s v="3mim"/>
    <s v="3mi"/>
    <x v="0"/>
    <s v="7°3°7IBADAT"/>
    <s v="BASE DE DATOS"/>
    <m/>
    <m/>
    <x v="3"/>
    <x v="1"/>
  </r>
  <r>
    <x v="28"/>
    <s v="7°3°3miVESPERTINO731"/>
    <n v="731"/>
    <s v="3miV40"/>
    <s v="3mi"/>
    <x v="2"/>
    <s v="7°3°7317IIMRSC"/>
    <s v="INSTALACION, MANTENIMIENTO Y REPARACION DE SISTEMAS COMPUTACIONALES-"/>
    <n v="40"/>
    <m/>
    <x v="3"/>
    <x v="1"/>
  </r>
  <r>
    <x v="28"/>
    <s v="7°3°3MIVESPERTINO732"/>
    <n v="732"/>
    <s v="3MIVROBOTICA"/>
    <s v="3MI"/>
    <x v="2"/>
    <s v="7°3°7327IPDISC"/>
    <s v="PROYECTO, DISEÑO E IMPLEMENTACION DE SISTEMAS COMPUTACIONALES"/>
    <s v="ROBOTICA"/>
    <m/>
    <x v="3"/>
    <x v="1"/>
  </r>
  <r>
    <x v="28"/>
    <s v="7°3°3VIVESPERTINO731"/>
    <n v="731"/>
    <s v="3VIV"/>
    <s v="3VI"/>
    <x v="2"/>
    <s v="7°3°7317IPDISC"/>
    <s v="PROYECTO, DISEÑO E IMPLEMENTACION DE SISTEMAS COMPUTACIONALES"/>
    <m/>
    <m/>
    <x v="4"/>
    <x v="1"/>
  </r>
  <r>
    <x v="28"/>
    <s v="7°3°3VIVESPERTINO732"/>
    <n v="732"/>
    <s v="3VIV40"/>
    <s v="3VI"/>
    <x v="2"/>
    <s v="7°3°7327IIMRRI"/>
    <s v="INSTALACION, MANTENIMIENTO Y REPARACION DE REDES INFORMATICAS- "/>
    <n v="40"/>
    <m/>
    <x v="4"/>
    <x v="1"/>
  </r>
  <r>
    <x v="28"/>
    <s v="7°3°4juVESPERTINO731"/>
    <n v="731"/>
    <s v="4juV"/>
    <s v="4ju"/>
    <x v="2"/>
    <s v="7°3°7317IIMRRI"/>
    <s v="INSTALACION, MANTENIMIENTO Y REPARACION DE REDES INFORMATICAS- "/>
    <m/>
    <m/>
    <x v="0"/>
    <x v="1"/>
  </r>
  <r>
    <x v="28"/>
    <s v="7°3°4JUVESPERTINO732"/>
    <n v="732"/>
    <s v="4JUV40"/>
    <s v="4JU"/>
    <x v="2"/>
    <s v="7°3°7327IIMRSC"/>
    <s v="INSTALACION, MANTENIMIENTO Y REPARACION DE SISTEMAS COMPUTACIONALES-"/>
    <n v="40"/>
    <m/>
    <x v="0"/>
    <x v="1"/>
  </r>
  <r>
    <x v="28"/>
    <s v="7°3°4MAVESPERTINO0"/>
    <n v="0"/>
    <s v="4MAV"/>
    <s v="4MA"/>
    <x v="2"/>
    <s v="7°3°7IPPDLO"/>
    <s v="EMPRENDIMIENTO PRODUCTIVO Y DESARROLLO LOCAL"/>
    <m/>
    <m/>
    <x v="2"/>
    <x v="0"/>
  </r>
  <r>
    <x v="28"/>
    <s v="7°3°4miVESPERTINO731"/>
    <n v="731"/>
    <s v="4miV40"/>
    <s v="4mi"/>
    <x v="2"/>
    <s v="7°3°7317IIMRSC"/>
    <s v="INSTALACION, MANTENIMIENTO Y REPARACION DE SISTEMAS COMPUTACIONALES-"/>
    <n v="40"/>
    <m/>
    <x v="3"/>
    <x v="1"/>
  </r>
  <r>
    <x v="28"/>
    <s v="7°3°4MIVESPERTINO732"/>
    <n v="732"/>
    <s v="4MIVROBOTICA"/>
    <s v="4MI"/>
    <x v="2"/>
    <s v="7°3°7327IPDISC"/>
    <s v="PROYECTO, DISEÑO E IMPLEMENTACION DE SISTEMAS COMPUTACIONALES"/>
    <s v="ROBOTICA"/>
    <m/>
    <x v="3"/>
    <x v="1"/>
  </r>
  <r>
    <x v="28"/>
    <s v="7°3°4VIVESPERTINO731"/>
    <n v="731"/>
    <s v="4VIV"/>
    <s v="4VI"/>
    <x v="2"/>
    <s v="7°3°7317IPDISC"/>
    <s v="PROYECTO, DISEÑO E IMPLEMENTACION DE SISTEMAS COMPUTACIONALES"/>
    <m/>
    <m/>
    <x v="4"/>
    <x v="1"/>
  </r>
  <r>
    <x v="28"/>
    <s v="7°3°4VIVESPERTINO732"/>
    <n v="732"/>
    <s v="4VIV40"/>
    <s v="4VI"/>
    <x v="2"/>
    <s v="7°3°7327IIMRRI"/>
    <s v="INSTALACION, MANTENIMIENTO Y REPARACION DE REDES INFORMATICAS- "/>
    <n v="40"/>
    <m/>
    <x v="4"/>
    <x v="1"/>
  </r>
  <r>
    <x v="29"/>
    <m/>
    <m/>
    <m/>
    <m/>
    <x v="3"/>
    <m/>
    <m/>
    <m/>
    <m/>
    <x v="6"/>
    <x v="0"/>
  </r>
  <r>
    <x v="29"/>
    <m/>
    <m/>
    <m/>
    <m/>
    <x v="3"/>
    <m/>
    <m/>
    <m/>
    <m/>
    <x v="6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220">
  <r>
    <s v="1°1°"/>
    <x v="0"/>
    <n v="0"/>
    <s v="1JUMPB01"/>
    <x v="0"/>
    <x v="0"/>
    <s v="1°1°1SOC"/>
    <s v="CIENCIAS SOCIALES"/>
    <x v="0"/>
    <m/>
    <s v="JU"/>
    <m/>
    <s v="PEREYRA, DANIEL"/>
    <s v="1°1°1SOCJU"/>
  </r>
  <r>
    <s v="1°1°"/>
    <x v="1"/>
    <n v="111"/>
    <s v="1juTaula 4"/>
    <x v="0"/>
    <x v="1"/>
    <s v="1°1°1111TLT"/>
    <s v="LENGUAJES TECNOLOGICOS"/>
    <x v="1"/>
    <m/>
    <s v="JU"/>
    <s v="CONTRATURNO"/>
    <s v="LEYES RICARDO"/>
    <s v="1°1°1111TLTju"/>
  </r>
  <r>
    <s v="1°1°"/>
    <x v="2"/>
    <n v="0"/>
    <s v="1LUMPB01"/>
    <x v="1"/>
    <x v="0"/>
    <s v="1°1°1ING"/>
    <s v="INGLÉS"/>
    <x v="0"/>
    <m/>
    <s v="LU"/>
    <m/>
    <s v="LEGUIZAMO  ANA "/>
    <s v="1°1°1INGLU"/>
  </r>
  <r>
    <s v="1°1°"/>
    <x v="3"/>
    <n v="111"/>
    <s v="1LUT47"/>
    <x v="1"/>
    <x v="1"/>
    <s v="1°1°1111TST"/>
    <s v="SISTEMAS TECNOLOGICOS"/>
    <x v="2"/>
    <m/>
    <s v="LU"/>
    <s v="CONTRATURNO"/>
    <s v="VERA LORENA"/>
    <s v="1°1°1111TSTLU"/>
  </r>
  <r>
    <s v="1°1°"/>
    <x v="4"/>
    <n v="112"/>
    <s v="1LUTAULA 4"/>
    <x v="1"/>
    <x v="1"/>
    <s v="1°1°1121TLT"/>
    <s v="LENGUAJES TECNOLOGICOS"/>
    <x v="1"/>
    <m/>
    <s v="LU"/>
    <s v="CONTRATURNO"/>
    <s v="LEYES RICARDO"/>
    <s v="1°1°1121TLTLU"/>
  </r>
  <r>
    <s v="1°1°"/>
    <x v="5"/>
    <n v="0"/>
    <s v="1MAMPB01"/>
    <x v="2"/>
    <x v="0"/>
    <s v="1°1°1MAT"/>
    <s v="MATEMATICA"/>
    <x v="0"/>
    <m/>
    <s v="MA"/>
    <m/>
    <s v="GONZALEZ M EUGENIA "/>
    <s v="1°1°1MATMA"/>
  </r>
  <r>
    <s v="1°1°"/>
    <x v="6"/>
    <n v="0"/>
    <s v="1MATPATIO2"/>
    <x v="2"/>
    <x v="1"/>
    <s v="1°1°1EFI"/>
    <s v="EDUCACIÓN FISICA"/>
    <x v="3"/>
    <m/>
    <s v="MA"/>
    <s v="CONTRATURNO"/>
    <n v="0"/>
    <s v="1°1°1EFIMA"/>
  </r>
  <r>
    <s v="1°1°"/>
    <x v="7"/>
    <n v="0"/>
    <s v="1MIMPB01"/>
    <x v="3"/>
    <x v="0"/>
    <s v="1°1°1ART"/>
    <s v="EDUCACION ARTISTICA (PLASTICA)"/>
    <x v="0"/>
    <m/>
    <s v="MI"/>
    <m/>
    <s v="DESIMONI, JESICA                       "/>
    <s v="1°1°1ARTMI"/>
  </r>
  <r>
    <s v="1°1°"/>
    <x v="8"/>
    <n v="112"/>
    <s v="1juTaula 3"/>
    <x v="0"/>
    <x v="1"/>
    <s v="1°1°1121TST"/>
    <s v="SISTEMAS TECNOLOGICOS"/>
    <x v="4"/>
    <m/>
    <s v="JU"/>
    <s v="CONTRATURNO"/>
    <s v="RODRIGUEZ RAUL         "/>
    <s v="1°1°1121TSTju"/>
  </r>
  <r>
    <s v="1°1°"/>
    <x v="9"/>
    <n v="0"/>
    <s v="1VIMPB01"/>
    <x v="4"/>
    <x v="0"/>
    <s v="1°1°1MAT"/>
    <s v="MATEMATICA"/>
    <x v="0"/>
    <m/>
    <s v="VI"/>
    <m/>
    <s v="GONZALEZ M EUGENIA "/>
    <s v="1°1°1MATVI"/>
  </r>
  <r>
    <s v="1°1°"/>
    <x v="10"/>
    <n v="0"/>
    <s v="2JUMPB01"/>
    <x v="5"/>
    <x v="0"/>
    <s v="1°1°1SOC"/>
    <s v="CIENCIAS SOCIALES"/>
    <x v="0"/>
    <m/>
    <s v="JU"/>
    <m/>
    <s v="PEREYRA, DANIEL"/>
    <s v="1°1°1SOCJU"/>
  </r>
  <r>
    <s v="3°5°"/>
    <x v="11"/>
    <n v="352"/>
    <s v="3juTAULA 4"/>
    <x v="6"/>
    <x v="1"/>
    <s v="3°5°3523TLT3"/>
    <s v="LENGUAJES TECNOLOGICOS"/>
    <x v="1"/>
    <m/>
    <s v="VI"/>
    <s v="CONTRATURNO"/>
    <s v="PORQUERES MATIAS DANIEL"/>
    <s v="3°5°3523TLT3VI"/>
  </r>
  <r>
    <s v="3°5°"/>
    <x v="12"/>
    <n v="352"/>
    <s v="4juTAULA 4"/>
    <x v="7"/>
    <x v="1"/>
    <s v="3°5°3523TLT3"/>
    <s v="LENGUAJES TECNOLOGICOS"/>
    <x v="1"/>
    <m/>
    <s v="VI"/>
    <s v="CONTRATURNO"/>
    <s v="PORQUERES MATIAS DANIEL"/>
    <s v="3°5°3523TLT3VI"/>
  </r>
  <r>
    <s v="3°5°"/>
    <x v="13"/>
    <n v="352"/>
    <s v="3VITCARPINTERIA"/>
    <x v="4"/>
    <x v="1"/>
    <s v="3°5°3523TPT3"/>
    <s v="PROCEDIMIENTOS TECNICOS"/>
    <x v="5"/>
    <m/>
    <s v="VI"/>
    <s v="CONTRATURNO"/>
    <s v="VIANA MAURO                  "/>
    <s v="3°5°3513TPT3VI"/>
  </r>
  <r>
    <s v="3°5°"/>
    <x v="14"/>
    <n v="352"/>
    <s v="4VITCARPINTERIA"/>
    <x v="8"/>
    <x v="1"/>
    <s v="3°5°3523TPT3"/>
    <s v="PROCEDIMIENTOS TECNICOS"/>
    <x v="5"/>
    <m/>
    <s v="VI"/>
    <s v="CONTRATURNO"/>
    <s v="VIANA MAURO                  "/>
    <s v="3°5°3513TPT3VI"/>
  </r>
  <r>
    <s v="1°1°"/>
    <x v="15"/>
    <n v="111"/>
    <s v="2juTaula 4"/>
    <x v="5"/>
    <x v="1"/>
    <s v="1°1°1111TLT"/>
    <s v="LENGUAJES TECNOLOGICOS"/>
    <x v="1"/>
    <m/>
    <s v="JU"/>
    <s v="CONTRATURNO"/>
    <s v="LEYES RICARDO"/>
    <s v="1°1°1111TLTju"/>
  </r>
  <r>
    <s v="1°1°"/>
    <x v="16"/>
    <n v="0"/>
    <s v="2LUMPB01"/>
    <x v="9"/>
    <x v="0"/>
    <s v="1°1°1ING"/>
    <s v="INGLÉS"/>
    <x v="0"/>
    <m/>
    <s v="LU"/>
    <m/>
    <s v="LEGUIZAMO  ANA "/>
    <s v="1°1°1INGLU"/>
  </r>
  <r>
    <s v="1°1°"/>
    <x v="17"/>
    <n v="111"/>
    <s v="2LUT47"/>
    <x v="9"/>
    <x v="1"/>
    <s v="1°1°1111TST"/>
    <s v="SISTEMAS TECNOLOGICOS"/>
    <x v="2"/>
    <m/>
    <s v="LU"/>
    <s v="CONTRATURNO"/>
    <s v="VERA LORENA"/>
    <s v="1°1°1111TSTLU"/>
  </r>
  <r>
    <s v="1°1°"/>
    <x v="18"/>
    <n v="112"/>
    <s v="2LUTAULA 4"/>
    <x v="9"/>
    <x v="1"/>
    <s v="1°1°1121TLT"/>
    <s v="LENGUAJES TECNOLOGICOS"/>
    <x v="1"/>
    <m/>
    <s v="LU"/>
    <s v="CONTRATURNO"/>
    <s v="LEYES RICARDO"/>
    <s v="1°1°1121TLTLU"/>
  </r>
  <r>
    <s v="1°1°"/>
    <x v="19"/>
    <n v="0"/>
    <s v="2MAMPB01"/>
    <x v="10"/>
    <x v="0"/>
    <s v="1°1°1MAT"/>
    <s v="MATEMATICA"/>
    <x v="0"/>
    <m/>
    <s v="MA"/>
    <m/>
    <s v="GONZALEZ M EUGENIA "/>
    <s v="1°1°1MATMA"/>
  </r>
  <r>
    <s v="1°1°"/>
    <x v="20"/>
    <n v="0"/>
    <s v="2MIMPB01"/>
    <x v="11"/>
    <x v="0"/>
    <s v="1°1°1ART"/>
    <s v="EDUCACION ARTISTICA (PLASTICA)"/>
    <x v="0"/>
    <m/>
    <s v="MI"/>
    <m/>
    <s v="DESIMONI, JESICA                       "/>
    <s v="1°1°1ARTMI"/>
  </r>
  <r>
    <s v="1°1°"/>
    <x v="21"/>
    <n v="112"/>
    <s v="2juTaula 3"/>
    <x v="5"/>
    <x v="1"/>
    <s v="1°1°1121TST"/>
    <s v="SISTEMAS TECNOLOGICOS"/>
    <x v="4"/>
    <m/>
    <s v="JU"/>
    <s v="CONTRATURNO"/>
    <s v="RODRIGUEZ RAUL         "/>
    <s v="1°1°1121TSTju"/>
  </r>
  <r>
    <s v="1°1°"/>
    <x v="22"/>
    <n v="0"/>
    <s v="2VIMPB01"/>
    <x v="8"/>
    <x v="0"/>
    <s v="1°1°1MAT"/>
    <s v="MATEMATICA"/>
    <x v="0"/>
    <m/>
    <s v="VI"/>
    <m/>
    <s v="GONZALEZ M EUGENIA "/>
    <s v="1°1°1MATVI"/>
  </r>
  <r>
    <s v="1°1°"/>
    <x v="23"/>
    <n v="0"/>
    <s v="3JUMPB01"/>
    <x v="12"/>
    <x v="0"/>
    <s v="1°1°1NAT"/>
    <s v="CIENCIAS NATURALES"/>
    <x v="0"/>
    <m/>
    <s v="JU"/>
    <m/>
    <s v="OLIVIERI NESTOR            "/>
    <s v="1°1°1NATJU"/>
  </r>
  <r>
    <s v="1°1°"/>
    <x v="24"/>
    <n v="0"/>
    <s v="3LUMPB01"/>
    <x v="13"/>
    <x v="0"/>
    <s v="1°1°1CCD"/>
    <s v="CONSTRUCCION DE LA CIUDADANIA"/>
    <x v="0"/>
    <m/>
    <s v="LU"/>
    <m/>
    <s v="MEDINA"/>
    <s v="1°1°1CCDLU"/>
  </r>
  <r>
    <s v="1°1°"/>
    <x v="25"/>
    <n v="112"/>
    <s v="3LUTHERRERIA"/>
    <x v="13"/>
    <x v="1"/>
    <s v="1°1°1121TPT"/>
    <s v="PROCEDIMIENTOS TECNICOS"/>
    <x v="6"/>
    <m/>
    <s v="LU"/>
    <s v="CONTRATURNO"/>
    <s v="LEYES RICARDO              "/>
    <s v="1°1°1121TPTLU"/>
  </r>
  <r>
    <s v="1°1°"/>
    <x v="26"/>
    <n v="0"/>
    <s v="3maMPB01"/>
    <x v="14"/>
    <x v="0"/>
    <s v="1°1°1LEN"/>
    <s v="PRACTICA DEL LENGUAJE"/>
    <x v="0"/>
    <m/>
    <s v="MA"/>
    <m/>
    <s v="ZURITA REINA"/>
    <s v="1°1°1LENma"/>
  </r>
  <r>
    <s v="1°1°"/>
    <x v="27"/>
    <n v="111"/>
    <s v="3MATHERRERIA"/>
    <x v="14"/>
    <x v="1"/>
    <s v="1°1°1111TPT"/>
    <s v="PROCEDIMIENTOS TECNICOS"/>
    <x v="6"/>
    <m/>
    <s v="MA"/>
    <s v="CONTRATURNO"/>
    <s v="GUTIERREZ FERNANDO "/>
    <s v="1°1°1111TPTMA"/>
  </r>
  <r>
    <s v="1°1°"/>
    <x v="28"/>
    <n v="0"/>
    <s v="3MIMPB01"/>
    <x v="15"/>
    <x v="0"/>
    <s v="1°1°1SOC"/>
    <s v="CIENCIAS SOCIALES"/>
    <x v="0"/>
    <m/>
    <s v="MI"/>
    <m/>
    <s v="PEREYRA, DANIEL"/>
    <s v="1°1°1SOCMI"/>
  </r>
  <r>
    <s v="1°1°"/>
    <x v="29"/>
    <n v="0"/>
    <s v="3viMPB01"/>
    <x v="6"/>
    <x v="0"/>
    <s v="1°1°1LEN"/>
    <s v="PRACTICA DEL LENGUAJE"/>
    <x v="0"/>
    <m/>
    <s v="VI"/>
    <m/>
    <s v="ZURITA REINA"/>
    <s v="1°1°1LENvi"/>
  </r>
  <r>
    <s v="1°1°"/>
    <x v="30"/>
    <n v="0"/>
    <s v="4JUMPB01"/>
    <x v="16"/>
    <x v="0"/>
    <s v="1°1°1NAT"/>
    <s v="CIENCIAS NATURALES"/>
    <x v="0"/>
    <m/>
    <s v="JU"/>
    <m/>
    <s v="OLIVIERI NESTOR            "/>
    <s v="1°1°1NATJU"/>
  </r>
  <r>
    <s v="1°1°"/>
    <x v="31"/>
    <n v="0"/>
    <s v="4LUMPB01"/>
    <x v="17"/>
    <x v="0"/>
    <s v="1°1°1CCD"/>
    <s v="CONSTRUCCION DE LA CIUDADANIA"/>
    <x v="0"/>
    <m/>
    <s v="LU"/>
    <m/>
    <s v="MEDINA"/>
    <s v="1°1°1CCDLU"/>
  </r>
  <r>
    <s v="1°1°"/>
    <x v="32"/>
    <n v="112"/>
    <s v="4LUTHERRERIA"/>
    <x v="17"/>
    <x v="1"/>
    <s v="1°1°1121TPT"/>
    <s v="PROCEDIMIENTOS TECNICOS"/>
    <x v="6"/>
    <m/>
    <s v="LU"/>
    <s v="CONTRATURNO"/>
    <s v="LEYES RICARDO              "/>
    <s v="1°1°1121TPTLU"/>
  </r>
  <r>
    <s v="1°1°"/>
    <x v="33"/>
    <n v="0"/>
    <s v="4maMPB01"/>
    <x v="18"/>
    <x v="0"/>
    <s v="1°1°1LEN"/>
    <s v="PRACTICA DEL LENGUAJE"/>
    <x v="0"/>
    <m/>
    <s v="MA"/>
    <m/>
    <s v="ZURITA REINA"/>
    <s v="1°1°1LENma"/>
  </r>
  <r>
    <s v="1°1°"/>
    <x v="34"/>
    <n v="111"/>
    <s v="4MATHERRERIA"/>
    <x v="18"/>
    <x v="1"/>
    <s v="1°1°1111TPT"/>
    <s v="PROCEDIMIENTOS TECNICOS"/>
    <x v="6"/>
    <m/>
    <s v="MA"/>
    <s v="CONTRATURNO"/>
    <s v="GUTIERREZ FERNANDO "/>
    <s v="1°1°1111TPTMA"/>
  </r>
  <r>
    <s v="1°1°"/>
    <x v="35"/>
    <n v="0"/>
    <s v="4MIMPB01"/>
    <x v="19"/>
    <x v="0"/>
    <s v="1°1°1SOC"/>
    <s v="CIENCIAS SOCIALES"/>
    <x v="0"/>
    <m/>
    <s v="MI"/>
    <m/>
    <s v="PEREYRA, DANIEL"/>
    <s v="1°1°1SOCMI"/>
  </r>
  <r>
    <s v="1°1°"/>
    <x v="36"/>
    <n v="0"/>
    <s v="4viMPB01"/>
    <x v="7"/>
    <x v="0"/>
    <s v="1°1°1LEN"/>
    <s v="PRACTICA DEL LENGUAJE"/>
    <x v="0"/>
    <m/>
    <s v="VI"/>
    <m/>
    <s v="ZURITA REINA"/>
    <s v="1°1°1LENvi"/>
  </r>
  <r>
    <s v="1°1°"/>
    <x v="37"/>
    <n v="0"/>
    <s v="5JUMPB01"/>
    <x v="20"/>
    <x v="0"/>
    <s v="1°1°1NAT"/>
    <s v="CIENCIAS NATURALES"/>
    <x v="0"/>
    <m/>
    <s v="JU"/>
    <m/>
    <s v="OLIVIERI NESTOR            "/>
    <s v="1°1°1NATJU"/>
  </r>
  <r>
    <s v="1°1°"/>
    <x v="38"/>
    <n v="0"/>
    <s v="5LUMPB01"/>
    <x v="21"/>
    <x v="0"/>
    <s v="1°1°1NAT"/>
    <s v="CIENCIAS NATURALES"/>
    <x v="0"/>
    <m/>
    <s v="LU"/>
    <m/>
    <s v="OLIVIERI NESTOR            "/>
    <s v="1°1°1NATLU"/>
  </r>
  <r>
    <s v="1°1°"/>
    <x v="39"/>
    <n v="0"/>
    <s v="PREHORAMATPATIO2"/>
    <x v="22"/>
    <x v="1"/>
    <s v="1°1°1EFI"/>
    <s v="EDUCACIÓN FISICA"/>
    <x v="3"/>
    <m/>
    <s v="MA"/>
    <s v="CONTRATURNO"/>
    <s v="SANCHEZ CARLOS        "/>
    <s v="1°1°1EFIMA"/>
  </r>
  <r>
    <s v="1°2°"/>
    <x v="40"/>
    <n v="0"/>
    <s v="1JUT"/>
    <x v="0"/>
    <x v="1"/>
    <s v="1°2°1NAT"/>
    <s v="CIENCIAS NATURALES"/>
    <x v="7"/>
    <m/>
    <s v="JU"/>
    <m/>
    <s v="ESPINDOLA SERGIO                          "/>
    <s v="1°2°1NATJU"/>
  </r>
  <r>
    <s v="1°2°"/>
    <x v="41"/>
    <n v="121"/>
    <s v="1LUMaula 4"/>
    <x v="1"/>
    <x v="0"/>
    <s v="1°2°1211TLT"/>
    <s v="LENGUAJES TECNOLOGICOS"/>
    <x v="1"/>
    <m/>
    <s v="LU"/>
    <s v="CONTRATURNO"/>
    <s v="VALLBONA MIRNA SOLEDAD"/>
    <s v="1°2°1211TLTLU"/>
  </r>
  <r>
    <s v="1°2°"/>
    <x v="42"/>
    <n v="0"/>
    <s v="3LUT"/>
    <x v="13"/>
    <x v="1"/>
    <s v="1°2°1LEN"/>
    <s v="PRACTICA DEL LENGUAJE"/>
    <x v="7"/>
    <m/>
    <s v="LU"/>
    <m/>
    <s v="CAÑETE, JOHANA  "/>
    <s v="1°2°1LENLU"/>
  </r>
  <r>
    <s v="1°2°"/>
    <x v="43"/>
    <n v="122"/>
    <s v="1MAMCARPINTERIA"/>
    <x v="2"/>
    <x v="0"/>
    <s v="1°2°1221TPT"/>
    <s v="PROCEDIMIENTOS TECNICOS"/>
    <x v="5"/>
    <m/>
    <s v="MA"/>
    <s v="CONTRATURNO"/>
    <s v="ETCHEVERRY MARTIN                            "/>
    <s v="1°2°1221TPTMA"/>
  </r>
  <r>
    <s v="1°2°"/>
    <x v="44"/>
    <n v="0"/>
    <s v="1MAT"/>
    <x v="2"/>
    <x v="1"/>
    <s v="1°2°1MAT"/>
    <s v="MATEMATICA"/>
    <x v="7"/>
    <m/>
    <s v="MA"/>
    <m/>
    <s v="OVEJERO, JAVIER "/>
    <s v="1°2°1MATMA"/>
  </r>
  <r>
    <s v="1°2°"/>
    <x v="45"/>
    <n v="0"/>
    <s v="1MIT"/>
    <x v="3"/>
    <x v="1"/>
    <s v="1°2°1LEN"/>
    <s v="PRACTICA DEL LENGUAJE"/>
    <x v="7"/>
    <m/>
    <s v="MI"/>
    <m/>
    <s v="CAÑETE, JOHANA  "/>
    <s v="1°2°1LENMI"/>
  </r>
  <r>
    <s v="1°2°"/>
    <x v="46"/>
    <n v="0"/>
    <s v="1VIT"/>
    <x v="4"/>
    <x v="1"/>
    <s v="1°2°1MAT"/>
    <s v="MATEMATICA"/>
    <x v="7"/>
    <m/>
    <s v="VI"/>
    <m/>
    <s v="OVEJERO, JAVIER "/>
    <s v="1°2°1MATVI"/>
  </r>
  <r>
    <s v="1°2°"/>
    <x v="47"/>
    <n v="0"/>
    <s v="2JUT"/>
    <x v="5"/>
    <x v="1"/>
    <s v="1°2°1NAT"/>
    <s v="CIENCIAS NATURALES"/>
    <x v="7"/>
    <m/>
    <s v="JU"/>
    <m/>
    <s v="ESPINDOLA SERGIO                          "/>
    <s v="1°2°1NATJU"/>
  </r>
  <r>
    <s v="1°2°"/>
    <x v="48"/>
    <n v="121"/>
    <s v="2LUMaula 4"/>
    <x v="9"/>
    <x v="0"/>
    <s v="1°2°1211TLT"/>
    <s v="LENGUAJES TECNOLOGICOS"/>
    <x v="1"/>
    <m/>
    <s v="LU"/>
    <s v="CONTRATURNO"/>
    <s v="VALLBONA MIRNA SOLEDAD"/>
    <s v="1°2°1211TLTLU"/>
  </r>
  <r>
    <s v="1°2°"/>
    <x v="49"/>
    <n v="0"/>
    <s v="4LUT"/>
    <x v="17"/>
    <x v="1"/>
    <s v="1°2°1LEN"/>
    <s v="PRACTICA DEL LENGUAJE"/>
    <x v="7"/>
    <m/>
    <s v="LU"/>
    <m/>
    <s v="CAÑETE, JOHANA  "/>
    <s v="1°2°1LENLU"/>
  </r>
  <r>
    <s v="1°2°"/>
    <x v="50"/>
    <n v="122"/>
    <s v="2MAMCARPINTERIA"/>
    <x v="10"/>
    <x v="0"/>
    <s v="1°2°1221TPT"/>
    <s v="PROCEDIMIENTOS TECNICOS"/>
    <x v="5"/>
    <m/>
    <s v="MA"/>
    <s v="CONTRATURNO"/>
    <s v="ETCHEVERRY MARTIN                            "/>
    <s v="1°2°1221TPTMA"/>
  </r>
  <r>
    <s v="1°2°"/>
    <x v="51"/>
    <n v="0"/>
    <s v="2MAT"/>
    <x v="10"/>
    <x v="1"/>
    <s v="1°2°1MAT"/>
    <s v="MATEMATICA"/>
    <x v="7"/>
    <m/>
    <s v="MA"/>
    <m/>
    <s v="OVEJERO, JAVIER "/>
    <s v="1°2°1MATMA"/>
  </r>
  <r>
    <s v="1°2°"/>
    <x v="52"/>
    <n v="0"/>
    <s v="2MIT"/>
    <x v="11"/>
    <x v="1"/>
    <s v="1°2°1LEN"/>
    <s v="PRACTICA DEL LENGUAJE"/>
    <x v="7"/>
    <m/>
    <s v="MI"/>
    <m/>
    <s v="CAÑETE, JOHANA  "/>
    <s v="1°2°1LENMI"/>
  </r>
  <r>
    <s v="1°2°"/>
    <x v="53"/>
    <n v="0"/>
    <s v="2VIT"/>
    <x v="8"/>
    <x v="1"/>
    <s v="1°2°1MAT"/>
    <s v="MATEMATICA"/>
    <x v="7"/>
    <m/>
    <s v="VI"/>
    <m/>
    <s v="OVEJERO, JAVIER "/>
    <s v="1°2°1MATVI"/>
  </r>
  <r>
    <s v="1°2°"/>
    <x v="54"/>
    <n v="0"/>
    <s v="3juMPATIO2"/>
    <x v="12"/>
    <x v="0"/>
    <s v="1°2°1EFI"/>
    <s v="EDUCACIÓN FISICA"/>
    <x v="3"/>
    <m/>
    <s v="JU"/>
    <s v="CONTRATURNO"/>
    <s v="DE LA FUENTE F.        "/>
    <s v="1°2°1EFIju"/>
  </r>
  <r>
    <s v="1°2°"/>
    <x v="55"/>
    <n v="0"/>
    <s v="3JUT"/>
    <x v="12"/>
    <x v="1"/>
    <s v="1°2°1SOC"/>
    <s v="CIENCIAS SOCIALES"/>
    <x v="7"/>
    <m/>
    <s v="JU"/>
    <m/>
    <s v="LOPEZ MARINA  "/>
    <s v="1°2°1SOCJU"/>
  </r>
  <r>
    <s v="1°2°"/>
    <x v="56"/>
    <n v="121"/>
    <s v="3LUM45"/>
    <x v="13"/>
    <x v="0"/>
    <s v="1°2°1211TST"/>
    <s v="SISTEMAS TECNOLOGICOS"/>
    <x v="8"/>
    <m/>
    <s v="LU"/>
    <s v="CONTRATURNO"/>
    <s v="ETCHEVERRY MARTIN                            "/>
    <s v="1°2°1211TSTLU"/>
  </r>
  <r>
    <s v="1°2°"/>
    <x v="57"/>
    <n v="122"/>
    <s v="3LUMaula 4"/>
    <x v="13"/>
    <x v="0"/>
    <s v="1°2°1221TLT"/>
    <s v="LENGUAJES TECNOLOGICOS"/>
    <x v="1"/>
    <m/>
    <s v="LU"/>
    <s v="CONTRATURNO"/>
    <s v="VALLBONA MIRNA SOLEDAD                   27289218209"/>
    <s v="1°2°1221TLTLU"/>
  </r>
  <r>
    <s v="1°2°"/>
    <x v="58"/>
    <n v="0"/>
    <s v="1LUT"/>
    <x v="1"/>
    <x v="1"/>
    <s v="1°2°1NAT"/>
    <s v="CIENCIAS NATURALES"/>
    <x v="7"/>
    <m/>
    <s v="LU"/>
    <m/>
    <s v="ESPINDOLA SERGIO                          "/>
    <s v="1°2°1NATLU"/>
  </r>
  <r>
    <s v="1°2°"/>
    <x v="59"/>
    <n v="0"/>
    <s v="3MAT"/>
    <x v="14"/>
    <x v="1"/>
    <s v="1°2°1ING"/>
    <s v="INGLÉS"/>
    <x v="7"/>
    <m/>
    <s v="MA"/>
    <m/>
    <s v="ARCE KARINA "/>
    <s v="1°2°1INGMA"/>
  </r>
  <r>
    <s v="1°2°"/>
    <x v="60"/>
    <n v="0"/>
    <s v="3MIT"/>
    <x v="15"/>
    <x v="1"/>
    <s v="1°2°1SOC"/>
    <s v="CIENCIAS SOCIALES"/>
    <x v="7"/>
    <m/>
    <s v="MI"/>
    <m/>
    <s v="LOPEZ MARINA  "/>
    <s v="1°2°1SOCMI"/>
  </r>
  <r>
    <s v="1°2°"/>
    <x v="61"/>
    <n v="121"/>
    <s v="3VIMCARPINTERIA"/>
    <x v="6"/>
    <x v="0"/>
    <s v="1°2°1211TPT"/>
    <s v="PROCEDIMIENTOS TECNICOS"/>
    <x v="5"/>
    <m/>
    <s v="VI"/>
    <s v="CONTRATURNO"/>
    <s v="ETCHEVERRY MARTIN                            "/>
    <s v="1°2°1211TPTVI"/>
  </r>
  <r>
    <s v="1°2°"/>
    <x v="62"/>
    <n v="122"/>
    <s v="3viMaula 1"/>
    <x v="6"/>
    <x v="0"/>
    <s v="1°2°1221TST"/>
    <s v="SISTEMAS TECNOLOGICOS"/>
    <x v="9"/>
    <m/>
    <s v="VI"/>
    <s v="CONTRATURNO"/>
    <s v="ESCALADA ARNALDO     "/>
    <s v="1°2°1221TSTvi"/>
  </r>
  <r>
    <s v="1°2°"/>
    <x v="63"/>
    <n v="0"/>
    <s v="3VIT"/>
    <x v="6"/>
    <x v="1"/>
    <s v="1°2°1ART"/>
    <s v="EDUCACION ARTISTICA (PLASTICA)"/>
    <x v="7"/>
    <m/>
    <s v="VI"/>
    <m/>
    <s v="FIGUEROA CARLOS "/>
    <s v="1°2°1ARTVI"/>
  </r>
  <r>
    <s v="1°2°"/>
    <x v="64"/>
    <n v="0"/>
    <s v="4juMPATIO2"/>
    <x v="16"/>
    <x v="0"/>
    <s v="1°2°1EFI"/>
    <s v="EDUCACIÓN FISICA"/>
    <x v="3"/>
    <m/>
    <s v="JU"/>
    <s v="CONTRATURNO"/>
    <s v="DE LA FUENTE F.        "/>
    <s v="1°2°1EFIju"/>
  </r>
  <r>
    <s v="1°2°"/>
    <x v="65"/>
    <n v="0"/>
    <s v="4JUT"/>
    <x v="16"/>
    <x v="1"/>
    <s v="1°2°1SOC"/>
    <s v="CIENCIAS SOCIALES"/>
    <x v="7"/>
    <m/>
    <s v="JU"/>
    <m/>
    <s v="LOPEZ MARINA  "/>
    <s v="1°2°1SOCJU"/>
  </r>
  <r>
    <s v="1°2°"/>
    <x v="66"/>
    <n v="121"/>
    <s v="4LUM45"/>
    <x v="17"/>
    <x v="0"/>
    <s v="1°2°1211TST"/>
    <s v="SISTEMAS TECNOLOGICOS"/>
    <x v="8"/>
    <m/>
    <s v="LU"/>
    <s v="CONTRATURNO"/>
    <s v="ETCHEVERRY MARTIN                            "/>
    <s v="1°2°1211TSTLU"/>
  </r>
  <r>
    <s v="1°2°"/>
    <x v="67"/>
    <n v="122"/>
    <s v="4LUMaula 4"/>
    <x v="17"/>
    <x v="0"/>
    <s v="1°2°1221TLT"/>
    <s v="LENGUAJES TECNOLOGICOS"/>
    <x v="1"/>
    <m/>
    <s v="LU"/>
    <s v="CONTRATURNO"/>
    <s v="VALLBONA MIRNA SOLEDAD                   27289218209"/>
    <s v="1°2°1221TLTLU"/>
  </r>
  <r>
    <s v="1°2°"/>
    <x v="68"/>
    <n v="0"/>
    <s v="2LUT"/>
    <x v="9"/>
    <x v="1"/>
    <s v="1°2°1NAT"/>
    <s v="CIENCIAS NATURALES"/>
    <x v="7"/>
    <m/>
    <s v="LU"/>
    <m/>
    <s v="ESPINDOLA SERGIO                          "/>
    <s v="1°2°1NATLU"/>
  </r>
  <r>
    <s v="1°2°"/>
    <x v="69"/>
    <n v="0"/>
    <s v="4MAT"/>
    <x v="18"/>
    <x v="1"/>
    <s v="1°2°1ING"/>
    <s v="INGLÉS"/>
    <x v="7"/>
    <m/>
    <s v="MA"/>
    <m/>
    <s v="ARCE KARINA "/>
    <s v="1°2°1INGMA"/>
  </r>
  <r>
    <s v="1°2°"/>
    <x v="70"/>
    <n v="0"/>
    <s v="4MIT"/>
    <x v="19"/>
    <x v="1"/>
    <s v="1°2°1SOC"/>
    <s v="CIENCIAS SOCIALES"/>
    <x v="7"/>
    <m/>
    <s v="MI"/>
    <m/>
    <s v="LOPEZ MARINA  "/>
    <s v="1°2°1SOCMI"/>
  </r>
  <r>
    <s v="1°2°"/>
    <x v="71"/>
    <n v="121"/>
    <s v="4VIMCARPINTERIA"/>
    <x v="7"/>
    <x v="0"/>
    <s v="1°2°1211TPT"/>
    <s v="PROCEDIMIENTOS TECNICOS"/>
    <x v="5"/>
    <m/>
    <s v="VI"/>
    <s v="CONTRATURNO"/>
    <s v="ETCHEVERRY MARTIN                            "/>
    <s v="1°2°1211TPTVI"/>
  </r>
  <r>
    <s v="1°2°"/>
    <x v="72"/>
    <n v="122"/>
    <s v="4viMaula 1"/>
    <x v="7"/>
    <x v="0"/>
    <s v="1°2°1221TST"/>
    <s v="SISTEMAS TECNOLOGICOS"/>
    <x v="9"/>
    <m/>
    <s v="VI"/>
    <s v="CONTRATURNO"/>
    <s v="ESCALADA ARNALDO     "/>
    <s v="1°2°1221TSTvi"/>
  </r>
  <r>
    <s v="1°2°"/>
    <x v="73"/>
    <n v="0"/>
    <s v="4VIT"/>
    <x v="7"/>
    <x v="1"/>
    <s v="1°2°1ART"/>
    <s v="EDUCACION ARTISTICA (PLASTICA)"/>
    <x v="7"/>
    <m/>
    <s v="VI"/>
    <m/>
    <s v="FIGUEROA CARLOS "/>
    <s v="1°2°1ARTVI"/>
  </r>
  <r>
    <s v="1°2°"/>
    <x v="74"/>
    <n v="0"/>
    <s v="PREHORAMAT"/>
    <x v="22"/>
    <x v="1"/>
    <s v="1°2°1CCD"/>
    <s v="CONSTRUCCION DE LA CIUDADANIA"/>
    <x v="7"/>
    <m/>
    <s v="MA"/>
    <m/>
    <s v="CHAMORRO CRISTIAN "/>
    <s v="1°2°1CCDMA"/>
  </r>
  <r>
    <s v="1°2°"/>
    <x v="75"/>
    <n v="0"/>
    <s v="PREHORAMIT"/>
    <x v="23"/>
    <x v="1"/>
    <s v="1°2°1CCD"/>
    <s v="CONSTRUCCION DE LA CIUDADANIA"/>
    <x v="7"/>
    <m/>
    <s v="MI"/>
    <m/>
    <s v="CHAMORRO CRISTIAN "/>
    <s v="1°2°1CCDMI"/>
  </r>
  <r>
    <s v="1°3°"/>
    <x v="76"/>
    <n v="0"/>
    <s v="1JUM"/>
    <x v="0"/>
    <x v="0"/>
    <s v="1°3°1CCD"/>
    <s v="CONSTRUCCION DE LA CIUDADANIA"/>
    <x v="7"/>
    <m/>
    <s v="JU"/>
    <m/>
    <s v="HERRERA CARMEN                    "/>
    <s v="1°3°1CCDJU"/>
  </r>
  <r>
    <s v="1°3°"/>
    <x v="77"/>
    <n v="132"/>
    <s v="1JUTCARPINTERIA"/>
    <x v="0"/>
    <x v="1"/>
    <s v="1°3°1321TPT"/>
    <s v="PROCEDIMIENTOS TECNICOS"/>
    <x v="5"/>
    <m/>
    <s v="JU"/>
    <s v="CONTRATURNO"/>
    <s v="GUTIERREZ FERNANDO              "/>
    <s v="1°3°1321TPTJU"/>
  </r>
  <r>
    <s v="1°3°"/>
    <x v="78"/>
    <n v="0"/>
    <s v="1LUM"/>
    <x v="1"/>
    <x v="0"/>
    <s v="1°3°1ING"/>
    <s v="INGLÉS"/>
    <x v="7"/>
    <m/>
    <s v="LU"/>
    <m/>
    <s v="RAMIREZ GISELE"/>
    <s v="1°3°1INGLU"/>
  </r>
  <r>
    <s v="1°3°"/>
    <x v="79"/>
    <n v="131"/>
    <s v="1LUTaula 3"/>
    <x v="1"/>
    <x v="1"/>
    <s v="1°3°1311TST"/>
    <s v="SISTEMAS TECNOLOGICOS"/>
    <x v="4"/>
    <m/>
    <s v="LU"/>
    <s v="CONTRATURNO"/>
    <s v="CASTILLO MARISOL ANABEL"/>
    <s v="1°3°1311TSTLU"/>
  </r>
  <r>
    <s v="1°3°"/>
    <x v="80"/>
    <n v="132"/>
    <s v="1LUTaula 2"/>
    <x v="1"/>
    <x v="1"/>
    <s v="1°3°1321TLT"/>
    <s v="LENGUAJES TECNOLOGICOS"/>
    <x v="10"/>
    <m/>
    <s v="LU"/>
    <s v="CONTRATURNO"/>
    <s v="BELIZAN"/>
    <s v="1°3°1321TLTLU"/>
  </r>
  <r>
    <s v="1°3°"/>
    <x v="81"/>
    <n v="0"/>
    <s v="1MAM"/>
    <x v="2"/>
    <x v="0"/>
    <s v="1°3°1MAT"/>
    <s v="MATEMATICA"/>
    <x v="7"/>
    <m/>
    <s v="MA"/>
    <m/>
    <s v="ESPINDOLA SERGIO                          "/>
    <s v="1°3°1MATMA"/>
  </r>
  <r>
    <s v="1°3°"/>
    <x v="82"/>
    <n v="0"/>
    <s v="1MIM"/>
    <x v="3"/>
    <x v="0"/>
    <s v="1°3°1NAT"/>
    <s v="CIENCIAS NATURALES"/>
    <x v="7"/>
    <m/>
    <s v="MI"/>
    <m/>
    <s v="FARIAS CLAUDIA ANTONIA"/>
    <s v="1°3°1NATMI"/>
  </r>
  <r>
    <s v="1°3°"/>
    <x v="83"/>
    <n v="132"/>
    <s v="1MITROBOTICA"/>
    <x v="3"/>
    <x v="1"/>
    <s v="1°3°1321TST"/>
    <s v="SISTEMAS TECNOLOGICOS"/>
    <x v="11"/>
    <m/>
    <s v="MI"/>
    <s v="CONTRATURNO"/>
    <s v="GUTIERREZ NICOLAS"/>
    <s v="1°3°1321TSTMI"/>
  </r>
  <r>
    <s v="1°3°"/>
    <x v="84"/>
    <n v="0"/>
    <s v="1VIM"/>
    <x v="4"/>
    <x v="0"/>
    <s v="1°3°1MAT"/>
    <s v="MATEMATICA"/>
    <x v="7"/>
    <m/>
    <s v="VI"/>
    <m/>
    <s v="ESPINDOLA SERGIO                          "/>
    <s v="1°3°1MATVI"/>
  </r>
  <r>
    <s v="1°3°"/>
    <x v="85"/>
    <n v="0"/>
    <s v="1viTPATIO"/>
    <x v="4"/>
    <x v="1"/>
    <s v="1°3°1EFI"/>
    <s v="EDUCACIÓN FISICA"/>
    <x v="12"/>
    <m/>
    <s v="VI"/>
    <s v="CONTRATURNO"/>
    <s v="LUDUEÑA NELSON           20-29.569.203-1"/>
    <s v="1°3°1EFIvi"/>
  </r>
  <r>
    <s v="1°3°"/>
    <x v="86"/>
    <n v="0"/>
    <s v="2JUM"/>
    <x v="5"/>
    <x v="0"/>
    <s v="1°3°1CCD"/>
    <s v="CONSTRUCCION DE LA CIUDADANIA"/>
    <x v="7"/>
    <m/>
    <s v="JU"/>
    <m/>
    <s v="HERRERA CARMEN                    "/>
    <s v="1°3°1CCDJU"/>
  </r>
  <r>
    <s v="1°3°"/>
    <x v="87"/>
    <n v="132"/>
    <s v="2JUTCARPINTERIA"/>
    <x v="5"/>
    <x v="1"/>
    <s v="1°3°1321TPT"/>
    <s v="PROCEDIMIENTOS TECNICOS"/>
    <x v="5"/>
    <m/>
    <s v="JU"/>
    <s v="CONTRATURNO"/>
    <s v="GUTIERREZ FERNANDO              "/>
    <s v="1°3°1321TPTJU"/>
  </r>
  <r>
    <s v="1°3°"/>
    <x v="88"/>
    <n v="0"/>
    <s v="2LUM"/>
    <x v="9"/>
    <x v="0"/>
    <s v="1°3°1ING"/>
    <s v="INGLÉS"/>
    <x v="7"/>
    <m/>
    <s v="LU"/>
    <m/>
    <s v="RAMIREZ GISELE"/>
    <s v="1°3°1INGLU"/>
  </r>
  <r>
    <s v="1°3°"/>
    <x v="89"/>
    <n v="131"/>
    <s v="2LUTaula 3"/>
    <x v="9"/>
    <x v="1"/>
    <s v="1°3°1311TST"/>
    <s v="SISTEMAS TECNOLOGICOS"/>
    <x v="4"/>
    <m/>
    <s v="LU"/>
    <s v="CONTRATURNO"/>
    <s v="CASTILLO MARISOL ANABEL"/>
    <s v="1°3°1311TSTLU"/>
  </r>
  <r>
    <s v="1°3°"/>
    <x v="90"/>
    <n v="132"/>
    <s v="2LUTaula 2"/>
    <x v="9"/>
    <x v="1"/>
    <s v="1°3°1321TLT"/>
    <s v="LENGUAJES TECNOLOGICOS"/>
    <x v="10"/>
    <m/>
    <s v="LU"/>
    <s v="CONTRATURNO"/>
    <s v="BELIZAN"/>
    <s v="1°3°1321TLTLU"/>
  </r>
  <r>
    <s v="1°3°"/>
    <x v="91"/>
    <n v="0"/>
    <s v="2MAM"/>
    <x v="10"/>
    <x v="0"/>
    <s v="1°3°1MAT"/>
    <s v="MATEMATICA"/>
    <x v="7"/>
    <m/>
    <s v="MA"/>
    <m/>
    <s v="ESPINDOLA SERGIO                          "/>
    <s v="1°3°1MATMA"/>
  </r>
  <r>
    <s v="1°3°"/>
    <x v="92"/>
    <n v="0"/>
    <s v="2MIM"/>
    <x v="11"/>
    <x v="0"/>
    <s v="1°3°1NAT"/>
    <s v="CIENCIAS NATURALES"/>
    <x v="7"/>
    <m/>
    <s v="MI"/>
    <m/>
    <s v="FARIAS CLAUDIA ANTONIA"/>
    <s v="1°3°1NATMI"/>
  </r>
  <r>
    <s v="1°3°"/>
    <x v="93"/>
    <n v="132"/>
    <s v="2miTROBOTICA"/>
    <x v="11"/>
    <x v="1"/>
    <s v="1°3°1321TST"/>
    <s v="SISTEMAS TECNOLOGICOS"/>
    <x v="11"/>
    <m/>
    <s v="MI"/>
    <s v="CONTRATURNO"/>
    <s v="GUTIERREZ NICOLAS"/>
    <s v="1°3°1321TSTmi"/>
  </r>
  <r>
    <s v="1°3°"/>
    <x v="94"/>
    <n v="0"/>
    <s v="2VIM"/>
    <x v="8"/>
    <x v="0"/>
    <s v="1°3°1MAT"/>
    <s v="MATEMATICA"/>
    <x v="7"/>
    <m/>
    <s v="VI"/>
    <m/>
    <s v="ESPINDOLA SERGIO                          "/>
    <s v="1°3°1MATVI"/>
  </r>
  <r>
    <s v="1°3°"/>
    <x v="95"/>
    <n v="0"/>
    <s v="2VITPATIO"/>
    <x v="8"/>
    <x v="1"/>
    <s v="1°3°1EFI"/>
    <s v="EDUCACIÓN FISICA"/>
    <x v="12"/>
    <m/>
    <s v="VI"/>
    <s v="CONTRATURNO"/>
    <s v="LUDUEÑA NELSON           20-29.569.203-1"/>
    <s v="1°3°1EFIVI"/>
  </r>
  <r>
    <s v="1°3°"/>
    <x v="96"/>
    <n v="0"/>
    <s v="3JUM"/>
    <x v="12"/>
    <x v="0"/>
    <s v="1°3°1SOC"/>
    <s v="CIENCIAS SOCIALES"/>
    <x v="7"/>
    <m/>
    <s v="JU"/>
    <m/>
    <s v="TORRES LUIS                    "/>
    <s v="1°3°1SOCJU"/>
  </r>
  <r>
    <s v="1°3°"/>
    <x v="97"/>
    <n v="131"/>
    <s v="3JUTHERRERIA"/>
    <x v="12"/>
    <x v="1"/>
    <s v="1°3°1311TPT"/>
    <s v="PROCEDIMIENTOS TECNICOS"/>
    <x v="6"/>
    <m/>
    <s v="JU"/>
    <s v="CONTRATURNO"/>
    <s v="GUTIERREZ FERNANDO           "/>
    <s v="1°3°1311TPTJU"/>
  </r>
  <r>
    <s v="1°3°"/>
    <x v="98"/>
    <n v="0"/>
    <s v="3LUM"/>
    <x v="13"/>
    <x v="0"/>
    <s v="1°3°1NAT"/>
    <s v="CIENCIAS NATURALES"/>
    <x v="7"/>
    <m/>
    <s v="LU"/>
    <m/>
    <s v="FARIAS CLAUDIA ANTONIA"/>
    <s v="1°3°1NATLU"/>
  </r>
  <r>
    <s v="1°3°"/>
    <x v="99"/>
    <n v="131"/>
    <s v="3LUTaula 2"/>
    <x v="13"/>
    <x v="1"/>
    <s v="1°3°1311TLT"/>
    <s v="LENGUAJES TECNOLOGICOS"/>
    <x v="10"/>
    <m/>
    <s v="LU"/>
    <s v="CONTRATURNO"/>
    <s v="BELIZAN"/>
    <s v="1°3°1311TLTLU"/>
  </r>
  <r>
    <s v="1°3°"/>
    <x v="100"/>
    <n v="0"/>
    <s v="3MAM"/>
    <x v="14"/>
    <x v="0"/>
    <s v="1°3°1LEN"/>
    <s v="PRACTICA DEL LENGUAJE"/>
    <x v="7"/>
    <m/>
    <s v="MA"/>
    <m/>
    <s v="CARESTIA, NOEMI "/>
    <s v="1°3°1LENMA"/>
  </r>
  <r>
    <s v="1°3°"/>
    <x v="101"/>
    <n v="0"/>
    <s v="3MIM"/>
    <x v="15"/>
    <x v="0"/>
    <s v="1°3°1SOC"/>
    <s v="CIENCIAS SOCIALES"/>
    <x v="7"/>
    <m/>
    <s v="MI"/>
    <m/>
    <s v="TORRES LUIS                    "/>
    <s v="1°3°1SOCMI"/>
  </r>
  <r>
    <s v="1°3°"/>
    <x v="102"/>
    <n v="0"/>
    <s v="3VIM"/>
    <x v="6"/>
    <x v="0"/>
    <s v="1°3°1ART"/>
    <s v="EDUCACION ARTISTICA (PLASTICA)"/>
    <x v="7"/>
    <m/>
    <s v="VI"/>
    <m/>
    <s v="CHAWET MATIAS"/>
    <s v="1°3°1ARTVI"/>
  </r>
  <r>
    <s v="1°3°"/>
    <x v="103"/>
    <n v="0"/>
    <s v="4JUM"/>
    <x v="16"/>
    <x v="0"/>
    <s v="1°3°1SOC"/>
    <s v="CIENCIAS SOCIALES"/>
    <x v="7"/>
    <m/>
    <s v="JU"/>
    <m/>
    <s v="TORRES LUIS                    "/>
    <s v="1°3°1SOCJU"/>
  </r>
  <r>
    <s v="1°3°"/>
    <x v="104"/>
    <n v="131"/>
    <s v="4JUTHERRERIA"/>
    <x v="16"/>
    <x v="1"/>
    <s v="1°3°1311TPT"/>
    <s v="PROCEDIMIENTOS TECNICOS"/>
    <x v="6"/>
    <m/>
    <s v="JU"/>
    <s v="CONTRATURNO"/>
    <s v="GUTIERREZ FERNANDO           "/>
    <s v="1°3°1311TPTJU"/>
  </r>
  <r>
    <s v="1°3°"/>
    <x v="105"/>
    <n v="0"/>
    <s v="4LUM"/>
    <x v="17"/>
    <x v="0"/>
    <s v="1°3°1NAT"/>
    <s v="CIENCIAS NATURALES"/>
    <x v="7"/>
    <m/>
    <s v="LU"/>
    <m/>
    <s v="FARIAS CLAUDIA ANTONIA"/>
    <s v="1°3°1NATLU"/>
  </r>
  <r>
    <s v="1°3°"/>
    <x v="106"/>
    <n v="131"/>
    <s v="4LUTaula 2"/>
    <x v="17"/>
    <x v="1"/>
    <s v="1°3°1311TLT"/>
    <s v="LENGUAJES TECNOLOGICOS"/>
    <x v="10"/>
    <m/>
    <s v="LU"/>
    <s v="CONTRATURNO"/>
    <s v="BELIZAN"/>
    <s v="1°3°1311TLTLU"/>
  </r>
  <r>
    <s v="1°3°"/>
    <x v="107"/>
    <n v="0"/>
    <s v="4MAM"/>
    <x v="18"/>
    <x v="0"/>
    <s v="1°3°1LEN"/>
    <s v="PRACTICA DEL LENGUAJE"/>
    <x v="7"/>
    <m/>
    <s v="MA"/>
    <m/>
    <s v="CARESTIA, NOEMI "/>
    <s v="1°3°1LENMA"/>
  </r>
  <r>
    <s v="1°3°"/>
    <x v="108"/>
    <n v="0"/>
    <s v="4MIM"/>
    <x v="19"/>
    <x v="0"/>
    <s v="1°3°1SOC"/>
    <s v="CIENCIAS SOCIALES"/>
    <x v="7"/>
    <m/>
    <s v="MI"/>
    <m/>
    <s v="TORRES LUIS                    "/>
    <s v="1°3°1SOCMI"/>
  </r>
  <r>
    <s v="1°3°"/>
    <x v="109"/>
    <n v="0"/>
    <s v="4VIM"/>
    <x v="7"/>
    <x v="0"/>
    <s v="1°3°1ART"/>
    <s v="EDUCACION ARTISTICA (PLASTICA)"/>
    <x v="7"/>
    <m/>
    <s v="VI"/>
    <m/>
    <s v="CHAWET MATIAS"/>
    <s v="1°3°1ARTVI"/>
  </r>
  <r>
    <s v="1°3°"/>
    <x v="110"/>
    <n v="0"/>
    <s v="5LUM"/>
    <x v="21"/>
    <x v="0"/>
    <s v="1°3°1LEN"/>
    <s v="PRACTICA DEL LENGUAJE"/>
    <x v="7"/>
    <m/>
    <s v="LU"/>
    <m/>
    <s v="CARESTIA, NOEMI "/>
    <s v="1°3°1LENLU"/>
  </r>
  <r>
    <s v="1°3°"/>
    <x v="111"/>
    <n v="0"/>
    <s v="5MIM"/>
    <x v="24"/>
    <x v="0"/>
    <s v="1°3°1LEN"/>
    <s v="PRACTICA DEL LENGUAJE"/>
    <x v="7"/>
    <m/>
    <s v="MI"/>
    <m/>
    <s v="CARESTIA, NOEMI "/>
    <s v="1°3°1LENMI"/>
  </r>
  <r>
    <s v="1°4°"/>
    <x v="112"/>
    <n v="142"/>
    <s v="1JUMAULA 4"/>
    <x v="0"/>
    <x v="0"/>
    <s v="1°4°1421TLT"/>
    <s v="LENGUAJES TECNOLOGICOS"/>
    <x v="1"/>
    <m/>
    <s v="JU"/>
    <s v="CONTRATURNO"/>
    <s v="VERA LORENA"/>
    <s v="1°4°1421TLTJU"/>
  </r>
  <r>
    <s v="1°4°"/>
    <x v="113"/>
    <n v="0"/>
    <s v="1JUT"/>
    <x v="0"/>
    <x v="1"/>
    <s v="1°4°1LEN"/>
    <s v="PRACTICA DEL LENGUAJE"/>
    <x v="7"/>
    <m/>
    <s v="JU"/>
    <m/>
    <s v="CARESTIA, NOEMI "/>
    <s v="1°4°1LENJU"/>
  </r>
  <r>
    <s v="1°4°"/>
    <x v="114"/>
    <n v="0"/>
    <s v="1LUT"/>
    <x v="1"/>
    <x v="1"/>
    <s v="1°4°1LEN"/>
    <s v="PRACTICA DEL LENGUAJE"/>
    <x v="7"/>
    <m/>
    <s v="LU"/>
    <m/>
    <s v="CARESTIA, NOEMI "/>
    <s v="1°4°1LENLU"/>
  </r>
  <r>
    <s v="1°4°"/>
    <x v="115"/>
    <n v="0"/>
    <s v="1MAT"/>
    <x v="2"/>
    <x v="1"/>
    <s v="1°4°1SOC"/>
    <s v="CIENCIAS SOCIALES"/>
    <x v="7"/>
    <m/>
    <s v="MA"/>
    <m/>
    <s v="COLMAN SOFIA DE LA MERCED"/>
    <s v="1°4°1SOCMA"/>
  </r>
  <r>
    <s v="1°4°"/>
    <x v="116"/>
    <n v="141"/>
    <s v="1VIMCARPINTERIA"/>
    <x v="4"/>
    <x v="0"/>
    <s v="1°4°1411TPT"/>
    <s v="PROCEDIMIENTOS TECNICOS"/>
    <x v="5"/>
    <m/>
    <s v="VI"/>
    <s v="CONTRATURNO"/>
    <s v="ESPINDOLA SERGIO                          "/>
    <s v="1°4°1411TPTVI"/>
  </r>
  <r>
    <s v="1°4°"/>
    <x v="117"/>
    <n v="0"/>
    <s v="1MIT"/>
    <x v="3"/>
    <x v="1"/>
    <s v="1°4°1ART"/>
    <s v="EDUCACION ARTISTICA (PLASTICA)"/>
    <x v="7"/>
    <m/>
    <s v="MI"/>
    <m/>
    <s v="CHAVVET, MATIAS"/>
    <s v="1°4°1ARTMI"/>
  </r>
  <r>
    <s v="1°4°"/>
    <x v="118"/>
    <n v="0"/>
    <s v="1VIT"/>
    <x v="4"/>
    <x v="1"/>
    <s v="1°4°1ING"/>
    <s v="INGLÉS"/>
    <x v="7"/>
    <m/>
    <s v="VI"/>
    <m/>
    <s v="LEGUIZAMO ANA   "/>
    <s v="1°4°1INGVI"/>
  </r>
  <r>
    <s v="1°4°"/>
    <x v="119"/>
    <n v="142"/>
    <s v="2JUMAULA 4"/>
    <x v="5"/>
    <x v="0"/>
    <s v="1°4°1421TLT"/>
    <s v="LENGUAJES TECNOLOGICOS"/>
    <x v="1"/>
    <m/>
    <s v="JU"/>
    <s v="CONTRATURNO"/>
    <s v="VERA LORENA"/>
    <s v="1°4°1421TLTJU"/>
  </r>
  <r>
    <s v="1°4°"/>
    <x v="120"/>
    <n v="0"/>
    <s v="2JUT"/>
    <x v="5"/>
    <x v="1"/>
    <s v="1°4°1LEN"/>
    <s v="PRACTICA DEL LENGUAJE"/>
    <x v="7"/>
    <m/>
    <s v="JU"/>
    <m/>
    <s v="CARESTIA, NOEMI "/>
    <s v="1°4°1LENJU"/>
  </r>
  <r>
    <s v="1°4°"/>
    <x v="121"/>
    <n v="0"/>
    <s v="2LUT"/>
    <x v="9"/>
    <x v="1"/>
    <s v="1°4°1LEN"/>
    <s v="PRACTICA DEL LENGUAJE"/>
    <x v="7"/>
    <m/>
    <s v="LU"/>
    <m/>
    <s v="CARESTIA, NOEMI "/>
    <s v="1°4°1LENLU"/>
  </r>
  <r>
    <s v="1°4°"/>
    <x v="122"/>
    <n v="0"/>
    <s v="2MAT"/>
    <x v="10"/>
    <x v="1"/>
    <s v="1°4°1SOC"/>
    <s v="CIENCIAS SOCIALES"/>
    <x v="7"/>
    <m/>
    <s v="MA"/>
    <m/>
    <s v="COLMAN SOFIA DE LA MERCED"/>
    <s v="1°4°1SOCMA"/>
  </r>
  <r>
    <s v="1°4°"/>
    <x v="123"/>
    <n v="141"/>
    <s v="2VIMCARPINTERIA"/>
    <x v="8"/>
    <x v="0"/>
    <s v="1°4°1411TPT"/>
    <s v="PROCEDIMIENTOS TECNICOS"/>
    <x v="5"/>
    <m/>
    <s v="VI"/>
    <s v="CONTRATURNO"/>
    <s v="ESPINDOLA SERGIO                          "/>
    <s v="1°4°1411TPTVI"/>
  </r>
  <r>
    <s v="1°4°"/>
    <x v="124"/>
    <n v="0"/>
    <s v="2MIT"/>
    <x v="11"/>
    <x v="1"/>
    <s v="1°4°1ART"/>
    <s v="EDUCACION ARTISTICA (PLASTICA)"/>
    <x v="7"/>
    <m/>
    <s v="MI"/>
    <m/>
    <s v="CHAVVET, MATIAS"/>
    <s v="1°4°1ARTMI"/>
  </r>
  <r>
    <s v="1°4°"/>
    <x v="125"/>
    <n v="0"/>
    <s v="2VIT"/>
    <x v="8"/>
    <x v="1"/>
    <s v="1°4°1ING"/>
    <s v="INGLÉS"/>
    <x v="7"/>
    <m/>
    <s v="VI"/>
    <m/>
    <s v="LEGUIZAMO ANA   "/>
    <s v="1°4°1INGVI"/>
  </r>
  <r>
    <s v="1°4°"/>
    <x v="126"/>
    <n v="141"/>
    <s v="1MIMAULA 4"/>
    <x v="3"/>
    <x v="0"/>
    <s v="1°4°1411TLT"/>
    <s v="LENGUAJES TECNOLOGICOS"/>
    <x v="1"/>
    <n v="7798026220290"/>
    <s v="MI"/>
    <s v="CONTRATURNO"/>
    <s v="VERA LORENA "/>
    <s v="1°4°1411TLTMI"/>
  </r>
  <r>
    <s v="1°4°"/>
    <x v="127"/>
    <n v="142"/>
    <s v="3juMaula 1"/>
    <x v="12"/>
    <x v="0"/>
    <s v="1°4°1421TST"/>
    <s v="SISTEMAS TECNOLOGICOS"/>
    <x v="9"/>
    <m/>
    <s v="JU"/>
    <s v="CONTRATURNO"/>
    <s v="ESCALADA ARNALDO     "/>
    <s v="1°4°1421TSTju"/>
  </r>
  <r>
    <s v="1°4°"/>
    <x v="128"/>
    <n v="0"/>
    <s v="3juT"/>
    <x v="12"/>
    <x v="1"/>
    <s v="1°4°1SOC"/>
    <s v="CIENCIAS SOCIALES"/>
    <x v="7"/>
    <m/>
    <s v="JU"/>
    <m/>
    <s v="COLMAN SOFIA DE LA MERCED"/>
    <s v="1°4°1SOCju"/>
  </r>
  <r>
    <s v="1°4°"/>
    <x v="129"/>
    <n v="0"/>
    <s v="3LUT"/>
    <x v="13"/>
    <x v="1"/>
    <s v="1°4°1NAT"/>
    <s v="CIENCIAS NATURALES"/>
    <x v="7"/>
    <m/>
    <s v="LU"/>
    <m/>
    <s v="DA CHILE IGLESIAS V                 "/>
    <s v="1°4°1NATLU"/>
  </r>
  <r>
    <s v="1°4°"/>
    <x v="130"/>
    <n v="141"/>
    <s v="3MAMCARPINTERIA"/>
    <x v="14"/>
    <x v="0"/>
    <s v="1°4°1411TST"/>
    <s v="SISTEMAS TECNOLOGICOS"/>
    <x v="5"/>
    <s v=" "/>
    <s v="MA"/>
    <s v="CONTRATURNO"/>
    <s v="ETCHEVERRY MARTIN"/>
    <s v="1°4°1411TSTMA"/>
  </r>
  <r>
    <s v="1°4°"/>
    <x v="131"/>
    <n v="0"/>
    <s v="3MAT"/>
    <x v="14"/>
    <x v="1"/>
    <s v="1°4°1MAT"/>
    <s v="MATEMATICA"/>
    <x v="7"/>
    <m/>
    <s v="MA"/>
    <m/>
    <s v="OVEJERO, JAVIER               "/>
    <s v="1°4°1MATMA"/>
  </r>
  <r>
    <s v="1°4°"/>
    <x v="132"/>
    <n v="142"/>
    <s v="3MIMCARPINTERIA"/>
    <x v="15"/>
    <x v="0"/>
    <s v="1°4°1421TPT"/>
    <s v="PROCEDIMIENTOS TECNICOS"/>
    <x v="5"/>
    <m/>
    <s v="MI"/>
    <s v="CONTRATURNO"/>
    <s v="ESPINDOLA SERGIO                          "/>
    <s v="1°4°1421TPTMI"/>
  </r>
  <r>
    <s v="1°4°"/>
    <x v="133"/>
    <n v="0"/>
    <s v="3MIT"/>
    <x v="15"/>
    <x v="1"/>
    <s v="1°4°1MAT"/>
    <s v="MATEMATICA"/>
    <x v="7"/>
    <m/>
    <s v="MI"/>
    <m/>
    <s v="OVEJERO, JAVIER               "/>
    <s v="1°4°1MATMI"/>
  </r>
  <r>
    <s v="1°4°"/>
    <x v="134"/>
    <n v="0"/>
    <s v="1maMPATIO2"/>
    <x v="2"/>
    <x v="0"/>
    <s v="1°4°1EFI"/>
    <s v="EDUCACIÓN FISICA"/>
    <x v="3"/>
    <m/>
    <s v="MA"/>
    <s v="CONTRATURNO"/>
    <s v="DE LA FUENTE F.                         "/>
    <s v="1°4°1EFIma"/>
  </r>
  <r>
    <s v="1°4°"/>
    <x v="135"/>
    <n v="0"/>
    <s v="3VIT"/>
    <x v="6"/>
    <x v="1"/>
    <s v="1°4°1CCD"/>
    <s v="CONSTRUCCION DE LA CIUDADANIA"/>
    <x v="7"/>
    <m/>
    <s v="VI"/>
    <m/>
    <s v="KUSNIER CUPAIOLO"/>
    <s v="1°4°1CCDVI"/>
  </r>
  <r>
    <s v="1°4°"/>
    <x v="136"/>
    <n v="141"/>
    <s v="2MIMAULA 4"/>
    <x v="11"/>
    <x v="0"/>
    <s v="1°4°1411TLT"/>
    <s v="LENGUAJES TECNOLOGICOS"/>
    <x v="1"/>
    <m/>
    <s v="MI"/>
    <s v="CONTRATURNO"/>
    <s v="VERA LORENA "/>
    <s v="1°4°1411TLTMI"/>
  </r>
  <r>
    <s v="1°4°"/>
    <x v="137"/>
    <n v="142"/>
    <s v="4juMaula 1"/>
    <x v="16"/>
    <x v="0"/>
    <s v="1°4°1421TST"/>
    <s v="SISTEMAS TECNOLOGICOS"/>
    <x v="9"/>
    <m/>
    <s v="JU"/>
    <s v="CONTRATURNO"/>
    <s v="ESCALADA ARNALDO     "/>
    <s v="1°4°1421TSTju"/>
  </r>
  <r>
    <s v="1°4°"/>
    <x v="138"/>
    <n v="0"/>
    <s v="4juT"/>
    <x v="16"/>
    <x v="1"/>
    <s v="1°4°1SOC"/>
    <s v="CIENCIAS SOCIALES"/>
    <x v="7"/>
    <m/>
    <s v="JU"/>
    <m/>
    <s v="COLMAN SOFIA DE LA MERCED"/>
    <s v="1°4°1SOCju"/>
  </r>
  <r>
    <s v="1°4°"/>
    <x v="139"/>
    <n v="0"/>
    <s v="4LUT"/>
    <x v="17"/>
    <x v="1"/>
    <s v="1°4°1NAT"/>
    <s v="CIENCIAS NATURALES"/>
    <x v="7"/>
    <m/>
    <s v="LU"/>
    <m/>
    <s v="DA CHILE IGLESIAS V                 "/>
    <s v="1°4°1NATLU"/>
  </r>
  <r>
    <s v="1°4°"/>
    <x v="140"/>
    <n v="141"/>
    <s v="4MAMCARPINTERIA"/>
    <x v="18"/>
    <x v="0"/>
    <s v="1°4°1411TST"/>
    <s v="SISTEMAS TECNOLOGICOS"/>
    <x v="5"/>
    <m/>
    <s v="MA"/>
    <s v="CONTRATURNO"/>
    <s v="ETCHEVERRY MARTIN"/>
    <s v="1°4°1411TSTMA"/>
  </r>
  <r>
    <s v="1°4°"/>
    <x v="141"/>
    <n v="0"/>
    <s v="4MAT"/>
    <x v="18"/>
    <x v="1"/>
    <s v="1°4°1MAT"/>
    <s v="MATEMATICA"/>
    <x v="7"/>
    <m/>
    <s v="MA"/>
    <m/>
    <s v="OVEJERO, JAVIER               "/>
    <s v="1°4°1MATMA"/>
  </r>
  <r>
    <s v="1°4°"/>
    <x v="142"/>
    <n v="142"/>
    <s v="4MIMCARPINTERIA"/>
    <x v="19"/>
    <x v="0"/>
    <s v="1°4°1421TPT"/>
    <s v="PROCEDIMIENTOS TECNICOS"/>
    <x v="5"/>
    <m/>
    <s v="MI"/>
    <s v="CONTRATURNO"/>
    <s v="ESPINDOLA SERGIO                          "/>
    <s v="1°4°1421TPTMI"/>
  </r>
  <r>
    <s v="1°4°"/>
    <x v="143"/>
    <n v="0"/>
    <s v="4MIT"/>
    <x v="19"/>
    <x v="1"/>
    <s v="1°4°1MAT"/>
    <s v="MATEMATICA"/>
    <x v="7"/>
    <m/>
    <s v="MI"/>
    <m/>
    <s v="OVEJERO, JAVIER               "/>
    <s v="1°4°1MATMI"/>
  </r>
  <r>
    <s v="1°4°"/>
    <x v="144"/>
    <n v="0"/>
    <s v="2maMPATIO2"/>
    <x v="10"/>
    <x v="0"/>
    <s v="1°4°1EFI"/>
    <s v="EDUCACIÓN FISICA"/>
    <x v="3"/>
    <m/>
    <s v="MA"/>
    <s v="CONTRATURNO"/>
    <s v="DE LA FUENTE F.                         "/>
    <s v="1°4°1EFIma"/>
  </r>
  <r>
    <s v="1°4°"/>
    <x v="145"/>
    <n v="0"/>
    <s v="4VIT"/>
    <x v="7"/>
    <x v="1"/>
    <s v="1°4°1CCD"/>
    <s v="CONSTRUCCION DE LA CIUDADANIA"/>
    <x v="7"/>
    <m/>
    <s v="VI"/>
    <m/>
    <s v="KUSNIER CUPAIOLO"/>
    <s v="1°4°1CCDVI"/>
  </r>
  <r>
    <s v="1°4°"/>
    <x v="146"/>
    <n v="0"/>
    <s v="5luT"/>
    <x v="21"/>
    <x v="1"/>
    <s v="1°4°1NAT"/>
    <s v="CIENCIAS NATURALES"/>
    <x v="7"/>
    <m/>
    <s v="LU"/>
    <m/>
    <s v="DA CHILE IGLESIAS V                 "/>
    <s v="1°4°1NATlu"/>
  </r>
  <r>
    <s v="1°4°"/>
    <x v="147"/>
    <n v="0"/>
    <s v="5miT"/>
    <x v="24"/>
    <x v="1"/>
    <s v="1°4°1NAT"/>
    <s v="CIENCIAS NATURALES"/>
    <x v="7"/>
    <m/>
    <s v="MI"/>
    <m/>
    <s v="DA CHILE IGLESIAS V                 "/>
    <s v="1°4°1NATmi"/>
  </r>
  <r>
    <s v="2°1°"/>
    <x v="148"/>
    <n v="0"/>
    <s v="1JUM"/>
    <x v="0"/>
    <x v="0"/>
    <s v="2°1°2GEO"/>
    <s v="GEOGRAFIA"/>
    <x v="7"/>
    <m/>
    <s v="JU"/>
    <m/>
    <s v="OSTRIZ GISELA JORGELINA"/>
    <s v="2°1°2GEOJU"/>
  </r>
  <r>
    <s v="2°1°"/>
    <x v="149"/>
    <n v="212"/>
    <s v="1JUTHERRERIA"/>
    <x v="0"/>
    <x v="1"/>
    <s v="2°1°2122TPT2"/>
    <s v="PROCEDIMIENTOS TECNICOS"/>
    <x v="6"/>
    <m/>
    <s v="JU"/>
    <s v="CONTRATURNO"/>
    <s v="CHAMORRO CRISTIAN                        "/>
    <s v="2°1°2122TPT2JU"/>
  </r>
  <r>
    <s v="2°1°"/>
    <x v="150"/>
    <n v="0"/>
    <s v="1LUM"/>
    <x v="1"/>
    <x v="0"/>
    <s v="2°1°2MAT"/>
    <s v="MATEMATICA"/>
    <x v="7"/>
    <m/>
    <s v="LU"/>
    <m/>
    <s v="GARCIA. C."/>
    <s v="2°1°2MATLU"/>
  </r>
  <r>
    <s v="2°1°"/>
    <x v="151"/>
    <n v="211"/>
    <s v="1LUTCARPINTERIA"/>
    <x v="1"/>
    <x v="1"/>
    <s v="2°1°2112TPT2"/>
    <s v="PROCEDIMIENTOS TECNICOS"/>
    <x v="5"/>
    <m/>
    <s v="LU"/>
    <s v="CONTRATURNO"/>
    <s v="RODRIGUEZ RAUL                            "/>
    <s v="2°1°2112TPT2LU"/>
  </r>
  <r>
    <s v="2°1°"/>
    <x v="152"/>
    <n v="0"/>
    <s v="1MAM"/>
    <x v="2"/>
    <x v="0"/>
    <s v="2°1°2PLG"/>
    <s v="PRACTICA DEL LENGUAJE"/>
    <x v="7"/>
    <m/>
    <s v="MA"/>
    <m/>
    <s v="CAÑETE YOHANA"/>
    <s v="2°1°2PLGMA"/>
  </r>
  <r>
    <s v="2°1°"/>
    <x v="153"/>
    <n v="0"/>
    <s v="1MIM"/>
    <x v="3"/>
    <x v="0"/>
    <s v="2°1°2HIS"/>
    <s v="HISTORIA"/>
    <x v="7"/>
    <m/>
    <s v="MI"/>
    <m/>
    <s v="TORRES LUIS                    "/>
    <s v="2°1°2HISMI"/>
  </r>
  <r>
    <s v="2°1°"/>
    <x v="154"/>
    <n v="211"/>
    <s v="1MITAULA 2"/>
    <x v="3"/>
    <x v="1"/>
    <s v="2°1°2112TLT2"/>
    <s v="LENGUAJES TECNOLOGICOS"/>
    <x v="10"/>
    <m/>
    <s v="MI"/>
    <s v="CONTRATURNO"/>
    <s v="VILLALVA ESTEBAN  CUIT 20338123125 "/>
    <s v="2°1°2112TLT2MI"/>
  </r>
  <r>
    <s v="2°1°"/>
    <x v="155"/>
    <n v="212"/>
    <s v="1MIT45"/>
    <x v="3"/>
    <x v="1"/>
    <s v="2°1°2122TST2"/>
    <s v="SISTEMAS TECNOLOGICOS"/>
    <x v="8"/>
    <m/>
    <s v="MI"/>
    <s v="CONTRATURNO"/>
    <s v="VERA LORENA                        "/>
    <s v="2°1°2122TST2MI"/>
  </r>
  <r>
    <s v="2°1°"/>
    <x v="156"/>
    <n v="0"/>
    <s v="1VIM"/>
    <x v="4"/>
    <x v="0"/>
    <s v="2°1°2PLG"/>
    <s v="PRACTICA DEL LENGUAJE"/>
    <x v="7"/>
    <m/>
    <s v="VI"/>
    <m/>
    <s v="CAÑETE YOHANA"/>
    <s v="2°1°2PLGVI"/>
  </r>
  <r>
    <s v="2°1°"/>
    <x v="157"/>
    <n v="211"/>
    <s v="1viT47"/>
    <x v="4"/>
    <x v="1"/>
    <s v="2°1°2112TST2"/>
    <s v="SISTEMAS TECNOLOGICOS"/>
    <x v="2"/>
    <m/>
    <s v="VI"/>
    <s v="CONTRATURNO"/>
    <s v="CRUZ DAVID   "/>
    <s v="2°1°2112TST2vi"/>
  </r>
  <r>
    <s v="2°1°"/>
    <x v="158"/>
    <n v="0"/>
    <s v="2JUM"/>
    <x v="5"/>
    <x v="0"/>
    <s v="2°1°2GEO"/>
    <s v="GEOGRAFIA"/>
    <x v="7"/>
    <m/>
    <s v="JU"/>
    <m/>
    <s v="OSTRIZ GISELA JORGELINA"/>
    <s v="2°1°2GEOJU"/>
  </r>
  <r>
    <s v="2°1°"/>
    <x v="159"/>
    <n v="212"/>
    <s v="2JUTHERRERIA"/>
    <x v="5"/>
    <x v="1"/>
    <s v="2°1°2122TPT2"/>
    <s v="PROCEDIMIENTOS TECNICOS"/>
    <x v="6"/>
    <m/>
    <s v="JU"/>
    <s v="CONTRATURNO"/>
    <s v="CHAMORRO CRISTIAN                        "/>
    <s v="2°1°2122TPT2JU"/>
  </r>
  <r>
    <s v="2°1°"/>
    <x v="160"/>
    <n v="0"/>
    <s v="2LUM"/>
    <x v="9"/>
    <x v="0"/>
    <s v="2°1°2MAT"/>
    <s v="MATEMATICA"/>
    <x v="7"/>
    <m/>
    <s v="LU"/>
    <m/>
    <s v="GARCIA. C."/>
    <s v="2°1°2MATLU"/>
  </r>
  <r>
    <s v="2°1°"/>
    <x v="161"/>
    <n v="211"/>
    <s v="2LUTCARPINTERIA"/>
    <x v="9"/>
    <x v="1"/>
    <s v="2°1°2112TPT2"/>
    <s v="PROCEDIMIENTOS TECNICOS"/>
    <x v="5"/>
    <m/>
    <s v="LU"/>
    <s v="CONTRATURNO"/>
    <s v="RODRIGUEZ RAUL                            "/>
    <s v="2°1°2112TPT2LU"/>
  </r>
  <r>
    <s v="2°1°"/>
    <x v="162"/>
    <n v="0"/>
    <s v="2MAM"/>
    <x v="10"/>
    <x v="0"/>
    <s v="2°1°2PLG"/>
    <s v="PRACTICA DEL LENGUAJE"/>
    <x v="7"/>
    <m/>
    <s v="MA"/>
    <m/>
    <s v="CAÑETE YOHANA"/>
    <s v="2°1°2PLGMA"/>
  </r>
  <r>
    <s v="2°1°"/>
    <x v="163"/>
    <n v="0"/>
    <s v="2MIM"/>
    <x v="11"/>
    <x v="0"/>
    <s v="2°1°2HIS"/>
    <s v="HISTORIA"/>
    <x v="7"/>
    <m/>
    <s v="MI"/>
    <m/>
    <s v="TORRES LUIS                    "/>
    <s v="2°1°2HISMI"/>
  </r>
  <r>
    <s v="2°1°"/>
    <x v="164"/>
    <n v="211"/>
    <s v="2MITAULA 2"/>
    <x v="11"/>
    <x v="1"/>
    <s v="2°1°2112TLT2"/>
    <s v="LENGUAJES TECNOLOGICOS"/>
    <x v="10"/>
    <m/>
    <s v="MI"/>
    <s v="CONTRATURNO"/>
    <s v="VILLALVA ESTEBAN  CUIT 20338123125 "/>
    <s v="2°1°2112TLT2MI"/>
  </r>
  <r>
    <s v="2°1°"/>
    <x v="165"/>
    <n v="212"/>
    <s v="2MIT45"/>
    <x v="11"/>
    <x v="1"/>
    <s v="2°1°2122TST2"/>
    <s v="SISTEMAS TECNOLOGICOS"/>
    <x v="8"/>
    <m/>
    <s v="MI"/>
    <s v="CONTRATURNO"/>
    <s v="VERA LORENA                        "/>
    <s v="2°1°2122TST2MI"/>
  </r>
  <r>
    <s v="2°1°"/>
    <x v="166"/>
    <n v="0"/>
    <s v="2VIM"/>
    <x v="8"/>
    <x v="0"/>
    <s v="2°1°2PLG"/>
    <s v="PRACTICA DEL LENGUAJE"/>
    <x v="7"/>
    <m/>
    <s v="VI"/>
    <m/>
    <s v="CAÑETE YOHANA"/>
    <s v="2°1°2PLGVI"/>
  </r>
  <r>
    <s v="2°1°"/>
    <x v="167"/>
    <n v="211"/>
    <s v="2viT47"/>
    <x v="8"/>
    <x v="1"/>
    <s v="2°1°2112TST2"/>
    <s v="SISTEMAS TECNOLOGICOS"/>
    <x v="2"/>
    <m/>
    <s v="VI"/>
    <s v="CONTRATURNO"/>
    <s v="CRUZ DAVID   "/>
    <s v="2°1°2112TST2vi"/>
  </r>
  <r>
    <s v="2°1°"/>
    <x v="168"/>
    <n v="0"/>
    <s v="3JUM"/>
    <x v="12"/>
    <x v="0"/>
    <s v="2°1°2MAT"/>
    <s v="MATEMATICA"/>
    <x v="7"/>
    <m/>
    <s v="JU"/>
    <m/>
    <s v="GARCIA. C."/>
    <s v="2°1°2MATJU"/>
  </r>
  <r>
    <s v="2°1°"/>
    <x v="169"/>
    <n v="0"/>
    <s v="3LUM"/>
    <x v="13"/>
    <x v="0"/>
    <s v="2°1°2ING"/>
    <s v="INGLÉS"/>
    <x v="7"/>
    <m/>
    <s v="LU"/>
    <m/>
    <s v="BONELLI PAMELA                                "/>
    <s v="2°1°2INGLU"/>
  </r>
  <r>
    <s v="2°1°"/>
    <x v="170"/>
    <n v="211"/>
    <s v="3LUTCARPINTERIA"/>
    <x v="13"/>
    <x v="1"/>
    <s v="2°1°2112TPT2"/>
    <s v="PROCEDIMIENTOS TECNICOS"/>
    <x v="5"/>
    <m/>
    <s v="LU"/>
    <s v="CONTRATURNO"/>
    <s v="RODRIGUEZ RAUL                            "/>
    <s v="2°1°2112TPT2LU"/>
  </r>
  <r>
    <s v="2°1°"/>
    <x v="171"/>
    <n v="0"/>
    <s v="3MAM"/>
    <x v="14"/>
    <x v="0"/>
    <s v="2°1°2FI/QUI"/>
    <s v="FISICO-QUIMICA"/>
    <x v="7"/>
    <m/>
    <s v="MA"/>
    <m/>
    <s v="ESPINDOLA SERGIO                          "/>
    <s v="2°1°2FI/QUIMA"/>
  </r>
  <r>
    <s v="2°1°"/>
    <x v="172"/>
    <n v="0"/>
    <s v="3juTPATIO"/>
    <x v="12"/>
    <x v="1"/>
    <s v="2°1°2EFI"/>
    <s v="EDUCACIÓN FISICA"/>
    <x v="12"/>
    <m/>
    <s v="JU"/>
    <s v="CONTRATURNO"/>
    <s v="LUDUEÑA NELSON           "/>
    <s v="2°1°2EFIju"/>
  </r>
  <r>
    <s v="2°1°"/>
    <x v="173"/>
    <n v="0"/>
    <s v="3MIM"/>
    <x v="15"/>
    <x v="0"/>
    <s v="2°1°2BIO"/>
    <s v="BIOLOGIA"/>
    <x v="7"/>
    <m/>
    <s v="MI"/>
    <m/>
    <s v="FARIAS CLAUDIA ANTONIA MAD 2026  "/>
    <s v="2°1°2BIOMI"/>
  </r>
  <r>
    <s v="2°1°"/>
    <x v="174"/>
    <n v="211"/>
    <s v="3miT47"/>
    <x v="15"/>
    <x v="1"/>
    <s v="2°1°2112TPT2"/>
    <s v="PROCEDIMIENTOS TECNICOS"/>
    <x v="2"/>
    <m/>
    <s v="MI"/>
    <s v="CONTRATURNO"/>
    <s v="RODRIGUEZ RAUL                            "/>
    <s v="2°1°2112TPT2mi"/>
  </r>
  <r>
    <s v="2°1°"/>
    <x v="175"/>
    <n v="212"/>
    <s v="3MITCARPINTERIA"/>
    <x v="15"/>
    <x v="1"/>
    <s v="2°1°2122TPT2"/>
    <s v="PROCEDIMIENTOS TECNICOS"/>
    <x v="5"/>
    <m/>
    <s v="MI"/>
    <s v="CONTRATURNO"/>
    <s v="CHAMORRO CRISTIAN                        "/>
    <s v="2°1°2122TPT2MI"/>
  </r>
  <r>
    <s v="2°1°"/>
    <x v="176"/>
    <n v="0"/>
    <s v="3VIM"/>
    <x v="6"/>
    <x v="0"/>
    <s v="2°1°2ART"/>
    <s v="EDUCACION ARTISTICA (PLASTICA)"/>
    <x v="7"/>
    <m/>
    <s v="VI"/>
    <m/>
    <s v="ISSETTA LORENA                        "/>
    <s v="2°1°2ARTVI"/>
  </r>
  <r>
    <s v="2°1°"/>
    <x v="177"/>
    <n v="212"/>
    <s v="3VITaula 4"/>
    <x v="6"/>
    <x v="1"/>
    <s v="2°1°2122TLT2"/>
    <s v="LENGUAJES TECNOLOGICOS"/>
    <x v="1"/>
    <m/>
    <s v="VI"/>
    <s v="CONTRATURNO"/>
    <s v="VERA LORENA                        "/>
    <s v="2°1°2122TLT2VI"/>
  </r>
  <r>
    <s v="2°1°"/>
    <x v="178"/>
    <n v="0"/>
    <s v="4JUM"/>
    <x v="16"/>
    <x v="0"/>
    <s v="2°1°2MAT"/>
    <s v="MATEMATICA"/>
    <x v="7"/>
    <m/>
    <s v="JU"/>
    <m/>
    <s v="GARCIA. C."/>
    <s v="2°1°2MATJU"/>
  </r>
  <r>
    <s v="2°1°"/>
    <x v="179"/>
    <n v="0"/>
    <s v="4LUM"/>
    <x v="17"/>
    <x v="0"/>
    <s v="2°1°2ING"/>
    <s v="INGLÉS"/>
    <x v="7"/>
    <m/>
    <s v="LU"/>
    <m/>
    <s v="BONELLI PAMELA                                "/>
    <s v="2°1°2INGLU"/>
  </r>
  <r>
    <s v="2°1°"/>
    <x v="180"/>
    <n v="0"/>
    <s v="4MAM"/>
    <x v="18"/>
    <x v="0"/>
    <s v="2°1°2FI/QUI"/>
    <s v="FISICO-QUIMICA"/>
    <x v="7"/>
    <m/>
    <s v="MA"/>
    <m/>
    <s v="ESPINDOLA SERGIO                          "/>
    <s v="2°1°2FI/QUIMA"/>
  </r>
  <r>
    <s v="2°1°"/>
    <x v="181"/>
    <n v="0"/>
    <s v="4juTPATIO"/>
    <x v="16"/>
    <x v="1"/>
    <s v="2°1°2EFI"/>
    <s v="EDUCACIÓN FISICA"/>
    <x v="12"/>
    <m/>
    <s v="JU"/>
    <s v="CONTRATURNO"/>
    <s v="LUDUEÑA NELSON           "/>
    <s v="2°1°2EFIju"/>
  </r>
  <r>
    <s v="2°1°"/>
    <x v="182"/>
    <n v="0"/>
    <s v="4MIM"/>
    <x v="19"/>
    <x v="0"/>
    <s v="2°1°2BIO"/>
    <s v="BIOLOGIA"/>
    <x v="7"/>
    <m/>
    <s v="MI"/>
    <m/>
    <s v="FARIAS CLAUDIA ANTONIA MAD 2026  "/>
    <s v="2°1°2BIOMI"/>
  </r>
  <r>
    <s v="2°1°"/>
    <x v="183"/>
    <n v="212"/>
    <s v="4MITCARPINTERIA"/>
    <x v="19"/>
    <x v="1"/>
    <s v="2°1°2122TPT2"/>
    <s v="PROCEDIMIENTOS TECNICOS"/>
    <x v="5"/>
    <m/>
    <s v="MI"/>
    <s v="CONTRATURNO"/>
    <s v="CHAMORRO CRISTIAN                        "/>
    <s v="2°1°2122TPT2MI"/>
  </r>
  <r>
    <s v="2°1°"/>
    <x v="184"/>
    <n v="0"/>
    <s v="4VIM"/>
    <x v="7"/>
    <x v="0"/>
    <s v="2°1°2ART"/>
    <s v="EDUCACION ARTISTICA (PLASTICA)"/>
    <x v="7"/>
    <m/>
    <s v="VI"/>
    <m/>
    <s v="ISSETTA LORENA                        "/>
    <s v="2°1°2ARTVI"/>
  </r>
  <r>
    <s v="2°1°"/>
    <x v="185"/>
    <n v="212"/>
    <s v="4VITaula 4"/>
    <x v="7"/>
    <x v="1"/>
    <s v="2°1°2122TLT2"/>
    <s v="LENGUAJES TECNOLOGICOS"/>
    <x v="1"/>
    <m/>
    <s v="VI"/>
    <s v="CONTRATURNO"/>
    <s v="VERA LORENA                        "/>
    <s v="2°1°2122TLT2VI"/>
  </r>
  <r>
    <s v="2°1°"/>
    <x v="186"/>
    <n v="0"/>
    <s v="5LUM"/>
    <x v="21"/>
    <x v="0"/>
    <s v="2°1°2CCD"/>
    <s v="CONSTRUCCION DE LA CIUDADANIA"/>
    <x v="7"/>
    <m/>
    <s v="LU"/>
    <m/>
    <s v="AMAYA SILVIA                        "/>
    <s v="2°1°2CCDLU"/>
  </r>
  <r>
    <s v="2°1°"/>
    <x v="187"/>
    <n v="0"/>
    <s v="5VIM"/>
    <x v="25"/>
    <x v="0"/>
    <s v="2°1°2CCD"/>
    <s v="CONSTRUCCION DE LA CIUDADANIA"/>
    <x v="7"/>
    <m/>
    <s v="VI"/>
    <m/>
    <s v="AMAYA SILVIA                        "/>
    <s v="2°1°2CCDVI"/>
  </r>
  <r>
    <s v="2°2°"/>
    <x v="188"/>
    <n v="222"/>
    <s v="1JUMCARPINTERIA"/>
    <x v="0"/>
    <x v="0"/>
    <s v="2°2°2222TPT2"/>
    <s v="PROCEDIMIENTOS TECNICOS"/>
    <x v="5"/>
    <m/>
    <s v="JU"/>
    <s v="CONTRATURNO"/>
    <s v="ETCHEVERRY MARTIN                            "/>
    <s v="2°2°2222TPT2JU"/>
  </r>
  <r>
    <s v="2°2°"/>
    <x v="189"/>
    <n v="0"/>
    <s v="1JUT"/>
    <x v="0"/>
    <x v="1"/>
    <s v="2°2°2ART"/>
    <s v="EDUCACION ARTISTICA (PLASTICA)"/>
    <x v="7"/>
    <m/>
    <s v="JU"/>
    <m/>
    <s v="MELGAREJO, PAULA"/>
    <s v="2°2°2ARTJU"/>
  </r>
  <r>
    <s v="2°2°"/>
    <x v="190"/>
    <n v="221"/>
    <s v="1LUMCARPINTERIA"/>
    <x v="1"/>
    <x v="0"/>
    <s v="2°2°2212TPT2"/>
    <s v="PROCEDIMIENTOS TECNICOS"/>
    <x v="5"/>
    <m/>
    <s v="LU"/>
    <s v="CONTRATURNO"/>
    <s v="CRUZ DAVID"/>
    <s v="2°2°2212TPT2LU"/>
  </r>
  <r>
    <s v="2°2°"/>
    <x v="191"/>
    <n v="0"/>
    <s v="1LUT"/>
    <x v="1"/>
    <x v="1"/>
    <s v="2°2°2FI/QUI"/>
    <s v="FISICO-QUIMICA"/>
    <x v="7"/>
    <m/>
    <s v="LU"/>
    <m/>
    <s v="AGUIRRE VALERIA                            "/>
    <s v="2°2°2FI/QUILU"/>
  </r>
  <r>
    <s v="2°2°"/>
    <x v="192"/>
    <n v="0"/>
    <s v="1viMPATIO2"/>
    <x v="4"/>
    <x v="0"/>
    <s v="2°2°2EFI"/>
    <s v="EDUCACIÓN FISICA"/>
    <x v="3"/>
    <m/>
    <s v="VI"/>
    <s v="CONTRATURNO"/>
    <s v="LUDUEÑA NELSON           "/>
    <s v="2°2°2EFIvi"/>
  </r>
  <r>
    <s v="2°2°"/>
    <x v="193"/>
    <n v="0"/>
    <s v="1MAT"/>
    <x v="2"/>
    <x v="1"/>
    <s v="2°2°2ING"/>
    <s v="INGLÉS"/>
    <x v="7"/>
    <m/>
    <s v="MA"/>
    <m/>
    <s v="RAMIREZ GISELE"/>
    <s v="2°2°2INGMA"/>
  </r>
  <r>
    <s v="2°2°"/>
    <x v="194"/>
    <n v="222"/>
    <s v="1MIMAULA 2"/>
    <x v="3"/>
    <x v="0"/>
    <s v="2°2°2222TLT2"/>
    <s v="LENGUAJES TECNOLOGICOS"/>
    <x v="10"/>
    <m/>
    <s v="MI"/>
    <s v="CONTRATURNO"/>
    <s v="RIVAROLA NORMA              "/>
    <s v="2°2°2222TLT2MI"/>
  </r>
  <r>
    <s v="2°2°"/>
    <x v="195"/>
    <n v="0"/>
    <s v="PREHORAMAT"/>
    <x v="22"/>
    <x v="1"/>
    <s v="2°2°2BIO"/>
    <s v="BIOLOGIA"/>
    <x v="7"/>
    <m/>
    <s v="MA"/>
    <m/>
    <s v=" ARIAS YANINA"/>
    <s v="2°2°2BIOMA"/>
  </r>
  <r>
    <s v="2°2°"/>
    <x v="196"/>
    <n v="0"/>
    <s v="1miT"/>
    <x v="3"/>
    <x v="1"/>
    <s v="2°2°2GEO"/>
    <s v="GEOGRAFIA"/>
    <x v="7"/>
    <m/>
    <s v="MI"/>
    <m/>
    <s v="AYALA VICORIA"/>
    <s v="2°2°2GEOmi"/>
  </r>
  <r>
    <s v="2°2°"/>
    <x v="197"/>
    <n v="222"/>
    <s v="2JUMCARPINTERIA"/>
    <x v="5"/>
    <x v="0"/>
    <s v="2°2°2222TPT2"/>
    <s v="PROCEDIMIENTOS TECNICOS"/>
    <x v="5"/>
    <m/>
    <s v="JU"/>
    <s v="CONTRATURNO"/>
    <s v="ETCHEVERRY MARTIN                            "/>
    <s v="2°2°2222TPT2JU"/>
  </r>
  <r>
    <s v="2°2°"/>
    <x v="198"/>
    <n v="0"/>
    <s v="2JUT"/>
    <x v="5"/>
    <x v="1"/>
    <s v="2°2°2ART"/>
    <s v="EDUCACION ARTISTICA (PLASTICA)"/>
    <x v="7"/>
    <m/>
    <s v="JU"/>
    <m/>
    <s v="MELGAREJO, PAULA"/>
    <s v="2°2°2ARTJU"/>
  </r>
  <r>
    <s v="2°2°"/>
    <x v="199"/>
    <n v="221"/>
    <s v="2LUMCARPINTERIA"/>
    <x v="9"/>
    <x v="0"/>
    <s v="2°2°2212TPT2"/>
    <s v="PROCEDIMIENTOS TECNICOS"/>
    <x v="5"/>
    <m/>
    <s v="LU"/>
    <s v="CONTRATURNO"/>
    <s v="CRUZ DAVID"/>
    <s v="2°2°2212TPT2LU"/>
  </r>
  <r>
    <s v="2°2°"/>
    <x v="200"/>
    <n v="0"/>
    <s v="2LUT"/>
    <x v="9"/>
    <x v="1"/>
    <s v="2°2°2FI/QUI"/>
    <s v="FISICO-QUIMICA"/>
    <x v="7"/>
    <m/>
    <s v="LU"/>
    <m/>
    <s v="AGUIRRE VALERIA                            "/>
    <s v="2°2°2FI/QUILU"/>
  </r>
  <r>
    <s v="2°2°"/>
    <x v="201"/>
    <n v="0"/>
    <s v="2viMPATIO2"/>
    <x v="8"/>
    <x v="0"/>
    <s v="2°2°2EFI"/>
    <s v="EDUCACIÓN FISICA"/>
    <x v="3"/>
    <m/>
    <s v="VI"/>
    <s v="CONTRATURNO"/>
    <s v="LUDUEÑA NELSON           "/>
    <s v="2°2°2EFIvi"/>
  </r>
  <r>
    <s v="2°2°"/>
    <x v="202"/>
    <n v="0"/>
    <s v="2MAT"/>
    <x v="10"/>
    <x v="1"/>
    <s v="2°2°2ING"/>
    <s v="INGLÉS"/>
    <x v="7"/>
    <m/>
    <s v="MA"/>
    <m/>
    <s v="RAMIREZ GISELE"/>
    <s v="2°2°2INGMA"/>
  </r>
  <r>
    <s v="2°2°"/>
    <x v="203"/>
    <n v="222"/>
    <s v="2MIMAULA 2"/>
    <x v="11"/>
    <x v="0"/>
    <s v="2°2°2222TLT2"/>
    <s v="LENGUAJES TECNOLOGICOS"/>
    <x v="10"/>
    <m/>
    <s v="MI"/>
    <s v="CONTRATURNO"/>
    <s v="RIVAROLA NORMA              "/>
    <s v="2°2°2222TLT2MI"/>
  </r>
  <r>
    <s v="2°2°"/>
    <x v="204"/>
    <n v="0"/>
    <s v="PREHORAJUT"/>
    <x v="26"/>
    <x v="1"/>
    <s v="2°2°2BIO"/>
    <s v="BIOLOGIA"/>
    <x v="7"/>
    <m/>
    <s v="JU"/>
    <m/>
    <s v=" ARIAS YANINA"/>
    <s v="2°2°2BIOJU"/>
  </r>
  <r>
    <s v="2°2°"/>
    <x v="205"/>
    <n v="0"/>
    <s v="2miT"/>
    <x v="11"/>
    <x v="1"/>
    <s v="2°2°2GEO"/>
    <s v="GEOGRAFIA"/>
    <x v="7"/>
    <m/>
    <s v="MI"/>
    <m/>
    <s v="AYALA VICORIA"/>
    <s v="2°2°2GEOmi"/>
  </r>
  <r>
    <s v="2°2°"/>
    <x v="206"/>
    <n v="222"/>
    <s v="3JUMCARPINTERIA"/>
    <x v="12"/>
    <x v="0"/>
    <s v="2°2°2222TPT2"/>
    <s v="PROCEDIMIENTOS TECNICOS"/>
    <x v="5"/>
    <m/>
    <s v="JU"/>
    <s v="CONTRATURNO"/>
    <s v="ETCHEVERRY MARTIN                            "/>
    <s v="2°2°2222TPT2JU"/>
  </r>
  <r>
    <s v="2°2°"/>
    <x v="207"/>
    <n v="0"/>
    <s v="3JUT"/>
    <x v="12"/>
    <x v="1"/>
    <s v="2°2°2PLG"/>
    <s v="PRACTICA DEL LENGUAJE"/>
    <x v="7"/>
    <m/>
    <s v="JU"/>
    <m/>
    <s v="GONZALEZ DANIELA                                 "/>
    <s v="2°2°2PLGJU"/>
  </r>
  <r>
    <s v="2°2°"/>
    <x v="208"/>
    <n v="221"/>
    <s v="3LUMCARPINTERIA"/>
    <x v="13"/>
    <x v="0"/>
    <s v="2°2°2212TPT2"/>
    <s v="PROCEDIMIENTOS TECNICOS"/>
    <x v="5"/>
    <m/>
    <s v="LU"/>
    <s v="CONTRATURNO"/>
    <s v="CRUZ DAVID"/>
    <s v="2°2°2212TPT2LU"/>
  </r>
  <r>
    <s v="2°2°"/>
    <x v="209"/>
    <n v="0"/>
    <s v="3LUT"/>
    <x v="13"/>
    <x v="1"/>
    <s v="2°2°2MAT"/>
    <s v="MATEMATICA"/>
    <x v="7"/>
    <m/>
    <s v="LU"/>
    <m/>
    <s v="VARCHETTA, GABRIEL"/>
    <s v="2°2°2MATLU"/>
  </r>
  <r>
    <s v="2°2°"/>
    <x v="210"/>
    <n v="221"/>
    <s v="3MAMsuperpuesto"/>
    <x v="14"/>
    <x v="0"/>
    <s v="2°2°2212TST2"/>
    <s v="SISTEMAS TECNOLOGICOS"/>
    <x v="13"/>
    <m/>
    <s v="MA"/>
    <s v="CONTRATURNO"/>
    <s v="GOMEZ ANALIA                                     "/>
    <s v="2°2°2212TST2MA"/>
  </r>
  <r>
    <s v="2°2°"/>
    <x v="211"/>
    <n v="0"/>
    <s v="3MAT"/>
    <x v="14"/>
    <x v="1"/>
    <s v="2°2°2MAT"/>
    <s v="MATEMATICA"/>
    <x v="7"/>
    <m/>
    <s v="MA"/>
    <m/>
    <s v="VARCHETTA, GABRIEL"/>
    <s v="2°2°2MATMA"/>
  </r>
  <r>
    <s v="2°2°"/>
    <x v="212"/>
    <n v="221"/>
    <s v="3MIMAULA 2"/>
    <x v="15"/>
    <x v="0"/>
    <s v="2°2°2212TLT2"/>
    <s v="LENGUAJES TECNOLOGICOS"/>
    <x v="10"/>
    <m/>
    <s v="MI"/>
    <s v="CONTRATURNO"/>
    <s v="RIVAROLA NORMA                            "/>
    <s v="2°2°2212TLT2MI"/>
  </r>
  <r>
    <s v="2°2°"/>
    <x v="213"/>
    <n v="222"/>
    <s v="3MIMAULA 4"/>
    <x v="15"/>
    <x v="0"/>
    <s v="2°2°2222TST2"/>
    <s v="SISTEMAS TECNOLOGICOS"/>
    <x v="1"/>
    <m/>
    <s v="MI"/>
    <s v="CONTRATURNO"/>
    <s v="RODRIGUEZ PABLO"/>
    <s v="2°2°2222TST2MI"/>
  </r>
  <r>
    <s v="2°2°"/>
    <x v="214"/>
    <n v="0"/>
    <s v="3MIT"/>
    <x v="15"/>
    <x v="1"/>
    <s v="2°2°2CCD"/>
    <s v="CONSTRUCCION DE LA CIUDADANIA"/>
    <x v="7"/>
    <m/>
    <s v="MI"/>
    <m/>
    <s v="HERRERA CARMEN                   "/>
    <s v="2°2°2CCDMI"/>
  </r>
  <r>
    <s v="2°2°"/>
    <x v="215"/>
    <n v="0"/>
    <s v="3VIT"/>
    <x v="6"/>
    <x v="1"/>
    <s v="2°2°2PLG"/>
    <s v="PRACTICA DEL LENGUAJE"/>
    <x v="7"/>
    <m/>
    <s v="VI"/>
    <m/>
    <s v="GONZALEZ DANIELA                                 "/>
    <s v="2°2°2PLGVI"/>
  </r>
  <r>
    <s v="2°2°"/>
    <x v="216"/>
    <n v="222"/>
    <s v="4JUMCARPINTERIA"/>
    <x v="16"/>
    <x v="0"/>
    <s v="2°2°2222TPT2"/>
    <s v="PROCEDIMIENTOS TECNICOS"/>
    <x v="5"/>
    <m/>
    <s v="JU"/>
    <s v="CONTRATURNO"/>
    <s v="ETCHEVERRY MARTIN                            "/>
    <s v="2°2°2222TPT2JU"/>
  </r>
  <r>
    <s v="2°2°"/>
    <x v="217"/>
    <n v="0"/>
    <s v="4JUT"/>
    <x v="16"/>
    <x v="1"/>
    <s v="2°2°2PLG"/>
    <s v="PRACTICA DEL LENGUAJE"/>
    <x v="7"/>
    <m/>
    <s v="JU"/>
    <m/>
    <s v="GONZALEZ DANIELA                                 "/>
    <s v="2°2°2PLGJU"/>
  </r>
  <r>
    <s v="2°2°"/>
    <x v="218"/>
    <n v="221"/>
    <s v="4LUMCARPINTERIA"/>
    <x v="17"/>
    <x v="0"/>
    <s v="2°2°2212TPT2"/>
    <s v="PROCEDIMIENTOS TECNICOS"/>
    <x v="5"/>
    <m/>
    <s v="LU"/>
    <s v="CONTRATURNO"/>
    <s v="CRUZ DAVID"/>
    <s v="2°2°2212TPT2LU"/>
  </r>
  <r>
    <s v="2°2°"/>
    <x v="219"/>
    <n v="0"/>
    <s v="4LUT"/>
    <x v="17"/>
    <x v="1"/>
    <s v="2°2°2MAT"/>
    <s v="MATEMATICA"/>
    <x v="7"/>
    <m/>
    <s v="LU"/>
    <m/>
    <s v="VARCHETTA, GABRIEL"/>
    <s v="2°2°2MATLU"/>
  </r>
  <r>
    <s v="2°2°"/>
    <x v="220"/>
    <n v="221"/>
    <s v="4MAMsuperpuesto"/>
    <x v="18"/>
    <x v="0"/>
    <s v="2°2°2212TST2"/>
    <s v="SISTEMAS TECNOLOGICOS"/>
    <x v="13"/>
    <m/>
    <s v="MA"/>
    <s v="CONTRATURNO"/>
    <s v="GOMEZ ANALIA                                     "/>
    <s v="2°2°2212TST2MA"/>
  </r>
  <r>
    <s v="2°2°"/>
    <x v="221"/>
    <n v="0"/>
    <s v="4MAT"/>
    <x v="18"/>
    <x v="1"/>
    <s v="2°2°2MAT"/>
    <s v="MATEMATICA"/>
    <x v="7"/>
    <m/>
    <s v="MA"/>
    <m/>
    <s v="VARCHETTA, GABRIEL"/>
    <s v="2°2°2MATMA"/>
  </r>
  <r>
    <s v="2°2°"/>
    <x v="222"/>
    <n v="221"/>
    <s v="4MIMAULA 2"/>
    <x v="19"/>
    <x v="0"/>
    <s v="2°2°2212TLT2"/>
    <s v="LENGUAJES TECNOLOGICOS"/>
    <x v="10"/>
    <m/>
    <s v="MI"/>
    <s v="CONTRATURNO"/>
    <s v="RIVAROLA NORMA                            "/>
    <s v="2°2°2212TLT2MI"/>
  </r>
  <r>
    <s v="2°2°"/>
    <x v="223"/>
    <n v="222"/>
    <s v="4MIMAULA 4"/>
    <x v="19"/>
    <x v="0"/>
    <s v="2°2°2222TST2"/>
    <s v="SISTEMAS TECNOLOGICOS"/>
    <x v="1"/>
    <m/>
    <s v="MI"/>
    <s v="CONTRATURNO"/>
    <s v="RODRIGUEZ PABLO"/>
    <s v="2°2°2222TST2MI"/>
  </r>
  <r>
    <s v="2°2°"/>
    <x v="224"/>
    <n v="0"/>
    <s v="4MIT"/>
    <x v="19"/>
    <x v="1"/>
    <s v="2°2°2CCD"/>
    <s v="CONSTRUCCION DE LA CIUDADANIA"/>
    <x v="7"/>
    <m/>
    <s v="MI"/>
    <m/>
    <s v="HERRERA CARMEN                   "/>
    <s v="2°2°2CCDMI"/>
  </r>
  <r>
    <s v="2°2°"/>
    <x v="225"/>
    <n v="0"/>
    <s v="4VIT"/>
    <x v="7"/>
    <x v="1"/>
    <s v="2°2°2PLG"/>
    <s v="PRACTICA DEL LENGUAJE"/>
    <x v="7"/>
    <m/>
    <s v="VI"/>
    <m/>
    <s v="GONZALEZ DANIELA                                 "/>
    <s v="2°2°2PLGVI"/>
  </r>
  <r>
    <s v="2°2°"/>
    <x v="226"/>
    <n v="0"/>
    <s v="1VIT"/>
    <x v="4"/>
    <x v="1"/>
    <s v="2°2°2HIS"/>
    <s v="HISTORIA"/>
    <x v="7"/>
    <m/>
    <s v="VI"/>
    <m/>
    <s v="JUAREZ NORMA "/>
    <s v="2°2°2HISVI"/>
  </r>
  <r>
    <s v="2°2°"/>
    <x v="227"/>
    <n v="0"/>
    <s v="2VIT"/>
    <x v="8"/>
    <x v="1"/>
    <s v="2°2°2HIS"/>
    <s v="HISTORIA"/>
    <x v="7"/>
    <m/>
    <s v="VI"/>
    <m/>
    <s v="JUAREZ NORMA "/>
    <s v="2°2°2HISVI"/>
  </r>
  <r>
    <s v="2°3°"/>
    <x v="228"/>
    <n v="0"/>
    <s v="1JUM"/>
    <x v="0"/>
    <x v="0"/>
    <s v="2°3°2MAT"/>
    <s v="MATEMATICA"/>
    <x v="7"/>
    <m/>
    <s v="JU"/>
    <m/>
    <s v="ALARCON, MARIA"/>
    <s v="2°3°2MATJU"/>
  </r>
  <r>
    <s v="2°3°"/>
    <x v="229"/>
    <n v="0"/>
    <s v="1LUM"/>
    <x v="1"/>
    <x v="0"/>
    <s v="2°3°2MAT"/>
    <s v="MATEMATICA"/>
    <x v="7"/>
    <m/>
    <s v="LU"/>
    <m/>
    <s v="ALARCON, MARIA"/>
    <s v="2°3°2MATLU"/>
  </r>
  <r>
    <s v="2°3°"/>
    <x v="230"/>
    <n v="0"/>
    <s v="1MAM"/>
    <x v="2"/>
    <x v="0"/>
    <s v="2°3°2FI/QUI"/>
    <s v="FISICO-QUIMICA"/>
    <x v="7"/>
    <m/>
    <s v="MA"/>
    <m/>
    <s v="PEREYRA MARISA ALEJANDR "/>
    <s v="2°3°2FI/QUIMA"/>
  </r>
  <r>
    <s v="2°3°"/>
    <x v="231"/>
    <n v="231"/>
    <s v="1MAT47"/>
    <x v="2"/>
    <x v="1"/>
    <s v="2°3°2312TST2"/>
    <s v="SISTEMAS TECNOLOGICOS"/>
    <x v="2"/>
    <m/>
    <s v="MA"/>
    <s v="CONTRATURNO"/>
    <s v="GOMEZ ANALIA "/>
    <s v="2°3°2312TST2MA"/>
  </r>
  <r>
    <s v="2°3°"/>
    <x v="232"/>
    <n v="0"/>
    <s v="1MIM"/>
    <x v="3"/>
    <x v="0"/>
    <s v="2°3°2BIO"/>
    <s v="BIOLOGIA"/>
    <x v="7"/>
    <m/>
    <s v="MI"/>
    <m/>
    <s v="PERALTA LOURDES MARIA EUGE"/>
    <s v="2°3°2BIOMI"/>
  </r>
  <r>
    <s v="2°3°"/>
    <x v="233"/>
    <n v="231"/>
    <s v="1MITCARPINTERIA"/>
    <x v="3"/>
    <x v="1"/>
    <s v="2°3°2312TPT2"/>
    <s v="PROCEDIMIENTOS TECNICOS"/>
    <x v="5"/>
    <m/>
    <s v="MI"/>
    <s v="CONTRATURNO"/>
    <s v="CHAMORRO CRISTIAN"/>
    <s v="2°3°2312TPT2MI"/>
  </r>
  <r>
    <s v="2°3°"/>
    <x v="234"/>
    <n v="232"/>
    <s v="1MITHERRERIA"/>
    <x v="3"/>
    <x v="1"/>
    <s v="2°3°2322TPT2"/>
    <s v="PROCEDIMIENTOS TECNICOS"/>
    <x v="6"/>
    <m/>
    <s v="MI"/>
    <s v="CONTRATURNO"/>
    <s v="CAMBULE, PEDRO"/>
    <s v="2°3°2322TPT2MI"/>
  </r>
  <r>
    <s v="2°3°"/>
    <x v="235"/>
    <n v="0"/>
    <s v="1VIM"/>
    <x v="4"/>
    <x v="0"/>
    <s v="2°3°2ING"/>
    <s v="INGLÉS"/>
    <x v="7"/>
    <m/>
    <s v="VI"/>
    <m/>
    <s v="RAMIREZ GISELE"/>
    <s v="2°3°2INGVI"/>
  </r>
  <r>
    <s v="2°3°"/>
    <x v="236"/>
    <n v="232"/>
    <s v="1MATaula 4"/>
    <x v="2"/>
    <x v="1"/>
    <s v="2°3°2322TLT2"/>
    <s v="LENGUAJES TECNOLOGICOS"/>
    <x v="1"/>
    <m/>
    <s v="MA"/>
    <s v="CONTRATURNO"/>
    <s v="CASTILLO MARISOL ANABEL "/>
    <s v="2°3°2322TLT2MA"/>
  </r>
  <r>
    <s v="2°3°"/>
    <x v="237"/>
    <n v="0"/>
    <s v="2JUM"/>
    <x v="5"/>
    <x v="0"/>
    <s v="2°3°2MAT"/>
    <s v="MATEMATICA"/>
    <x v="7"/>
    <m/>
    <s v="JU"/>
    <m/>
    <s v="ALARCON, MARIA"/>
    <s v="2°3°2MATJU"/>
  </r>
  <r>
    <s v="2°3°"/>
    <x v="238"/>
    <n v="0"/>
    <s v="2LUM"/>
    <x v="9"/>
    <x v="0"/>
    <s v="2°3°2MAT"/>
    <s v="MATEMATICA"/>
    <x v="7"/>
    <m/>
    <s v="LU"/>
    <m/>
    <s v="ALARCON, MARIA"/>
    <s v="2°3°2MATLU"/>
  </r>
  <r>
    <s v="2°3°"/>
    <x v="239"/>
    <n v="0"/>
    <s v="2MAM"/>
    <x v="10"/>
    <x v="0"/>
    <s v="2°3°2FI/QUI"/>
    <s v="FISICO-QUIMICA"/>
    <x v="7"/>
    <m/>
    <s v="MA"/>
    <m/>
    <s v="PEREYRA MARISA ALEJANDR "/>
    <s v="2°3°2FI/QUIMA"/>
  </r>
  <r>
    <s v="2°3°"/>
    <x v="240"/>
    <n v="231"/>
    <s v="2MAT47"/>
    <x v="10"/>
    <x v="1"/>
    <s v="2°3°2312TST2"/>
    <s v="SISTEMAS TECNOLOGICOS"/>
    <x v="2"/>
    <m/>
    <s v="MA"/>
    <s v="CONTRATURNO"/>
    <s v="GOMEZ ANALIA "/>
    <s v="2°3°2312TST2MA"/>
  </r>
  <r>
    <s v="2°3°"/>
    <x v="241"/>
    <n v="0"/>
    <s v="2MIM"/>
    <x v="11"/>
    <x v="0"/>
    <s v="2°3°2BIO"/>
    <s v="BIOLOGIA"/>
    <x v="7"/>
    <m/>
    <s v="MI"/>
    <m/>
    <s v="PERALTA LOURDES MARIA EUGE"/>
    <s v="2°3°2BIOMI"/>
  </r>
  <r>
    <s v="2°3°"/>
    <x v="242"/>
    <n v="231"/>
    <s v="2MITCARPINTERIA"/>
    <x v="11"/>
    <x v="1"/>
    <s v="2°3°2312TPT2"/>
    <s v="PROCEDIMIENTOS TECNICOS"/>
    <x v="5"/>
    <m/>
    <s v="MI"/>
    <s v="CONTRATURNO"/>
    <s v="CHAMORRO CRISTIAN"/>
    <s v="2°3°2312TPT2MI"/>
  </r>
  <r>
    <s v="2°3°"/>
    <x v="243"/>
    <n v="232"/>
    <s v="2MITHERRERIA"/>
    <x v="11"/>
    <x v="1"/>
    <s v="2°3°2322TPT2"/>
    <s v="PROCEDIMIENTOS TECNICOS"/>
    <x v="6"/>
    <m/>
    <s v="MI"/>
    <s v="CONTRATURNO"/>
    <s v="CAMBULE, PEDRO"/>
    <s v="2°3°2322TPT2MI"/>
  </r>
  <r>
    <s v="2°3°"/>
    <x v="244"/>
    <n v="0"/>
    <s v="2VIM"/>
    <x v="8"/>
    <x v="0"/>
    <s v="2°3°2ING"/>
    <s v="INGLÉS"/>
    <x v="7"/>
    <m/>
    <s v="VI"/>
    <m/>
    <s v="RAMIREZ GISELE"/>
    <s v="2°3°2INGVI"/>
  </r>
  <r>
    <s v="2°3°"/>
    <x v="245"/>
    <n v="232"/>
    <s v="2MATaula 4"/>
    <x v="10"/>
    <x v="1"/>
    <s v="2°3°2322TLT2"/>
    <s v="LENGUAJES TECNOLOGICOS"/>
    <x v="1"/>
    <m/>
    <s v="MA"/>
    <s v="CONTRATURNO"/>
    <s v="CASTILLO MARISOL ANABEL "/>
    <s v="2°3°2322TLT2MA"/>
  </r>
  <r>
    <s v="2°3°"/>
    <x v="246"/>
    <n v="0"/>
    <s v="3JUM"/>
    <x v="12"/>
    <x v="0"/>
    <s v="2°3°2GEO"/>
    <s v="GEOGRAFIA"/>
    <x v="7"/>
    <m/>
    <s v="JU"/>
    <m/>
    <s v="ANTONELLO, FERNANDO"/>
    <s v="2°3°2GEOJU"/>
  </r>
  <r>
    <s v="2°3°"/>
    <x v="247"/>
    <n v="231"/>
    <s v="3JUTCARPINTERIA"/>
    <x v="12"/>
    <x v="1"/>
    <s v="2°3°2312TPT2"/>
    <s v="PROCEDIMIENTOS TECNICOS"/>
    <x v="5"/>
    <m/>
    <s v="JU"/>
    <s v="CONTRATURNO"/>
    <s v="CHAMORRO CRISTIAN"/>
    <s v="2°3°2312TPT2JU"/>
  </r>
  <r>
    <s v="2°3°"/>
    <x v="248"/>
    <n v="0"/>
    <s v="3LUM"/>
    <x v="13"/>
    <x v="0"/>
    <s v="2°3°2PLG"/>
    <s v="PRACTICA DEL LENGUAJE"/>
    <x v="7"/>
    <m/>
    <s v="LU"/>
    <m/>
    <s v="VELAZQUEZ VALERIA"/>
    <s v="2°3°2PLGLU"/>
  </r>
  <r>
    <s v="2°3°"/>
    <x v="249"/>
    <n v="0"/>
    <s v="3MAM"/>
    <x v="14"/>
    <x v="0"/>
    <s v="2°3°2HIS"/>
    <s v="HISTORIA"/>
    <x v="7"/>
    <m/>
    <s v="MA"/>
    <m/>
    <s v="JUAREZ NORMA"/>
    <s v="2°3°2HISMA"/>
  </r>
  <r>
    <s v="2°3°"/>
    <x v="250"/>
    <n v="232"/>
    <s v="3MAT47"/>
    <x v="14"/>
    <x v="1"/>
    <s v="2°3°2322TST2"/>
    <s v="SISTEMAS TECNOLOGICOS"/>
    <x v="2"/>
    <m/>
    <s v="MA"/>
    <s v="CONTRATURNO"/>
    <s v=" AVILA MAURO GASTÓN"/>
    <s v="2°3°2322TST2MA"/>
  </r>
  <r>
    <s v="2°3°"/>
    <x v="251"/>
    <n v="0"/>
    <s v="3MIM"/>
    <x v="15"/>
    <x v="0"/>
    <s v="2°3°2ART"/>
    <s v="EDUCACION ARTISTICA (PLASTICA)"/>
    <x v="7"/>
    <m/>
    <s v="MI"/>
    <m/>
    <s v="QUEVEDO"/>
    <s v="2°3°2ARTMI"/>
  </r>
  <r>
    <s v="2°3°"/>
    <x v="252"/>
    <n v="231"/>
    <s v="3MITAULA 2"/>
    <x v="15"/>
    <x v="1"/>
    <s v="2°3°2312TLT2"/>
    <s v="LENGUAJES TECNOLOGICOS"/>
    <x v="10"/>
    <m/>
    <s v="MI"/>
    <s v="CONTRATURNO"/>
    <s v="ROCHA JULIETA"/>
    <s v="2°3°2312TLT2MI"/>
  </r>
  <r>
    <s v="2°3°"/>
    <x v="253"/>
    <n v="232"/>
    <s v="3MITHERRERIA"/>
    <x v="15"/>
    <x v="1"/>
    <s v="2°3°2322TPT2"/>
    <s v="PROCEDIMIENTOS TECNICOS"/>
    <x v="6"/>
    <m/>
    <s v="MI"/>
    <s v="CONTRATURNO"/>
    <s v="CAMBULE, PEDRO"/>
    <s v="2°3°2322TPT2MI"/>
  </r>
  <r>
    <s v="2°3°"/>
    <x v="254"/>
    <n v="0"/>
    <s v="3VIM"/>
    <x v="6"/>
    <x v="0"/>
    <s v="2°3°2PLG"/>
    <s v="PRACTICA DEL LENGUAJE"/>
    <x v="7"/>
    <m/>
    <s v="VI"/>
    <m/>
    <s v="VELAZQUEZ VALERIA"/>
    <s v="2°3°2PLGVI"/>
  </r>
  <r>
    <s v="2°3°"/>
    <x v="255"/>
    <n v="0"/>
    <s v="1LUTPATIO2"/>
    <x v="1"/>
    <x v="1"/>
    <s v="2°3°2EFI"/>
    <s v="EDUCACIÓN FISICA"/>
    <x v="3"/>
    <m/>
    <s v="LU"/>
    <s v="CONTRATURNO"/>
    <s v="AMAYA SILVIA "/>
    <s v="2°3°2EFILU"/>
  </r>
  <r>
    <s v="2°3°"/>
    <x v="256"/>
    <n v="0"/>
    <s v="4JUM"/>
    <x v="16"/>
    <x v="0"/>
    <s v="2°3°2GEO"/>
    <s v="GEOGRAFIA"/>
    <x v="7"/>
    <m/>
    <s v="JU"/>
    <m/>
    <s v="ANTONELLO, FERNANDO"/>
    <s v="2°3°2GEOJU"/>
  </r>
  <r>
    <s v="2°3°"/>
    <x v="257"/>
    <n v="231"/>
    <s v="4JUTCARPINTERIA"/>
    <x v="16"/>
    <x v="1"/>
    <s v="2°3°2312TPT2"/>
    <s v="PROCEDIMIENTOS TECNICOS"/>
    <x v="5"/>
    <m/>
    <s v="JU"/>
    <s v="CONTRATURNO"/>
    <s v="CHAMORRO CRISTIAN"/>
    <s v="2°3°2312TPT2JU"/>
  </r>
  <r>
    <s v="2°3°"/>
    <x v="258"/>
    <n v="0"/>
    <s v="4LUM"/>
    <x v="17"/>
    <x v="0"/>
    <s v="2°3°2PLG"/>
    <s v="PRACTICA DEL LENGUAJE"/>
    <x v="7"/>
    <m/>
    <s v="LU"/>
    <m/>
    <s v="VELAZQUEZ VALERIA"/>
    <s v="2°3°2PLGLU"/>
  </r>
  <r>
    <s v="2°3°"/>
    <x v="259"/>
    <n v="0"/>
    <s v="4MAM"/>
    <x v="18"/>
    <x v="0"/>
    <s v="2°3°2HIS"/>
    <s v="HISTORIA"/>
    <x v="7"/>
    <m/>
    <s v="MA"/>
    <m/>
    <s v="JUAREZ NORMA"/>
    <s v="2°3°2HISMA"/>
  </r>
  <r>
    <s v="2°3°"/>
    <x v="260"/>
    <n v="232"/>
    <s v="4MAT47"/>
    <x v="18"/>
    <x v="1"/>
    <s v="2°3°2322TST2"/>
    <s v="SISTEMAS TECNOLOGICOS"/>
    <x v="2"/>
    <m/>
    <s v="MA"/>
    <s v="CONTRATURNO"/>
    <s v=" AVILA MAURO GASTÓN"/>
    <s v="2°3°2322TST2MA"/>
  </r>
  <r>
    <s v="2°3°"/>
    <x v="261"/>
    <n v="0"/>
    <s v="4MIM"/>
    <x v="19"/>
    <x v="0"/>
    <s v="2°3°2ART"/>
    <s v="EDUCACION ARTISTICA (PLASTICA)"/>
    <x v="7"/>
    <m/>
    <s v="MI"/>
    <m/>
    <s v="QUEVEDO"/>
    <s v="2°3°2ARTMI"/>
  </r>
  <r>
    <s v="2°3°"/>
    <x v="262"/>
    <n v="231"/>
    <s v="4MITAULA 2"/>
    <x v="19"/>
    <x v="1"/>
    <s v="2°3°2312TLT2"/>
    <s v="LENGUAJES TECNOLOGICOS"/>
    <x v="10"/>
    <m/>
    <s v="MI"/>
    <s v="CONTRATURNO"/>
    <s v="ROCHA JULIETA"/>
    <s v="2°3°2312TLT2MI"/>
  </r>
  <r>
    <s v="2°3°"/>
    <x v="263"/>
    <n v="232"/>
    <s v="4MITHERRERIA"/>
    <x v="19"/>
    <x v="1"/>
    <s v="2°3°2322TPT2"/>
    <s v="PROCEDIMIENTOS TECNICOS"/>
    <x v="6"/>
    <m/>
    <s v="MI"/>
    <s v="CONTRATURNO"/>
    <s v="CAMBULE, PEDRO"/>
    <s v="2°3°2322TPT2MI"/>
  </r>
  <r>
    <s v="2°3°"/>
    <x v="264"/>
    <n v="0"/>
    <s v="4VIM"/>
    <x v="7"/>
    <x v="0"/>
    <s v="2°3°2PLG"/>
    <s v="PRACTICA DEL LENGUAJE"/>
    <x v="7"/>
    <m/>
    <s v="VI"/>
    <m/>
    <s v="VELAZQUEZ VALERIA"/>
    <s v="2°3°2PLGVI"/>
  </r>
  <r>
    <s v="2°3°"/>
    <x v="265"/>
    <n v="0"/>
    <s v="2LUTPATIO2"/>
    <x v="9"/>
    <x v="1"/>
    <s v="2°3°2EFI"/>
    <s v="EDUCACIÓN FISICA"/>
    <x v="3"/>
    <m/>
    <s v="LU"/>
    <s v="CONTRATURNO"/>
    <s v="AMAYA SILVIA "/>
    <s v="2°3°2EFILU"/>
  </r>
  <r>
    <s v="2°3°"/>
    <x v="266"/>
    <n v="0"/>
    <s v="5JUM"/>
    <x v="20"/>
    <x v="0"/>
    <s v="2°3°2CCD"/>
    <s v="CONSTRUCCION DE LA CIUDADANIA"/>
    <x v="7"/>
    <m/>
    <s v="JU"/>
    <m/>
    <s v="ARCE MIRTA"/>
    <s v="2°3°2CCDJU"/>
  </r>
  <r>
    <s v="2°3°"/>
    <x v="267"/>
    <n v="0"/>
    <s v="5LUM"/>
    <x v="21"/>
    <x v="0"/>
    <s v="2°3°2CCD"/>
    <s v="CONSTRUCCION DE LA CIUDADANIA"/>
    <x v="7"/>
    <m/>
    <s v="LU"/>
    <m/>
    <s v="ARCE MIRTA"/>
    <s v="2°3°2CCDLU"/>
  </r>
  <r>
    <s v="2°4°"/>
    <x v="268"/>
    <n v="0"/>
    <s v="1JUMPATIO"/>
    <x v="0"/>
    <x v="0"/>
    <s v="2°4°2EFI"/>
    <s v="EDUCACIÓN FISICA"/>
    <x v="12"/>
    <m/>
    <s v="JU"/>
    <s v="CONTRATURNO"/>
    <s v="SANCHEZ CARLOS"/>
    <s v="2°4°2EFIJU"/>
  </r>
  <r>
    <s v="2°4°"/>
    <x v="269"/>
    <n v="0"/>
    <s v="1JUT"/>
    <x v="0"/>
    <x v="1"/>
    <s v="2°4°2MAT"/>
    <s v="MATEMATICA"/>
    <x v="7"/>
    <m/>
    <s v="JU"/>
    <m/>
    <s v="FERRARIS OJEDA JULIETA"/>
    <s v="2°4°2MATJU"/>
  </r>
  <r>
    <s v="2°4°"/>
    <x v="270"/>
    <n v="242"/>
    <s v="1LUM45"/>
    <x v="1"/>
    <x v="0"/>
    <s v="2°4°2422TST2"/>
    <s v="SISTEMAS TECNOLOGICOS"/>
    <x v="8"/>
    <m/>
    <s v="LU"/>
    <s v="CONTRATURNO"/>
    <s v="ETCHEVERRY MARTIN  "/>
    <s v="2°4°2422TST2LU"/>
  </r>
  <r>
    <s v="2°4°"/>
    <x v="271"/>
    <n v="0"/>
    <s v="1LUT"/>
    <x v="1"/>
    <x v="1"/>
    <s v="2°4°2FI/QUI"/>
    <s v="FISICO-QUIMICA"/>
    <x v="7"/>
    <m/>
    <s v="LU"/>
    <m/>
    <s v="DA CHILE IGLESIAS V                 "/>
    <s v="2°4°2FI/QUILU"/>
  </r>
  <r>
    <s v="2°4°"/>
    <x v="272"/>
    <n v="241"/>
    <s v="1maM33"/>
    <x v="2"/>
    <x v="0"/>
    <s v="2°4°2412TST2"/>
    <s v="SISTEMAS TECNOLOGICOS"/>
    <x v="14"/>
    <m/>
    <s v="MA"/>
    <s v="CONTRATURNO"/>
    <s v="AVILA "/>
    <s v="2°4°2412TST2ma"/>
  </r>
  <r>
    <s v="2°4°"/>
    <x v="273"/>
    <n v="242"/>
    <s v="1MAMHERRERIA"/>
    <x v="2"/>
    <x v="0"/>
    <s v="2°4°2422TPT2"/>
    <s v="PROCEDIMIENTOS TECNICOS"/>
    <x v="6"/>
    <m/>
    <s v="MA"/>
    <s v="CONTRATURNO"/>
    <s v="CRUZ DAVID"/>
    <s v="2°4°2422TPT2MA"/>
  </r>
  <r>
    <s v="2°4°"/>
    <x v="274"/>
    <n v="0"/>
    <s v="1MAT"/>
    <x v="2"/>
    <x v="1"/>
    <s v="2°4°2ART"/>
    <s v="EDUCACION ARTISTICA (PLASTICA)"/>
    <x v="7"/>
    <m/>
    <s v="MA"/>
    <m/>
    <s v="QUEVEDO OMAR "/>
    <s v="2°4°2ARTMA"/>
  </r>
  <r>
    <s v="2°4°"/>
    <x v="275"/>
    <n v="241"/>
    <s v="1MIMAULA 4"/>
    <x v="3"/>
    <x v="0"/>
    <s v="2°4°2412TLT2"/>
    <s v="LENGUAJES TECNOLOGICOS"/>
    <x v="1"/>
    <m/>
    <s v="MI"/>
    <s v="CONTRATURNO"/>
    <s v="FISTER, VICTOR"/>
    <s v="2°4°2412TLT2MI"/>
  </r>
  <r>
    <s v="2°4°"/>
    <x v="276"/>
    <n v="242"/>
    <s v="3miM45"/>
    <x v="15"/>
    <x v="0"/>
    <s v="2°4°2422TLT2"/>
    <s v="LENGUAJES TECNOLOGICOS"/>
    <x v="8"/>
    <m/>
    <s v="MI"/>
    <s v="CONTRATURNO"/>
    <s v="LEYES RICARDO  "/>
    <s v="2°4°2422TLT2mi"/>
  </r>
  <r>
    <s v="2°4°"/>
    <x v="277"/>
    <n v="0"/>
    <s v="1MIT"/>
    <x v="3"/>
    <x v="1"/>
    <s v="2°4°2CCD"/>
    <s v="CONSTRUCCION DE LA CIUDADANIA"/>
    <x v="7"/>
    <m/>
    <s v="MI"/>
    <m/>
    <s v="AMAYA SILVIA"/>
    <s v="2°4°2CCDMI"/>
  </r>
  <r>
    <s v="2°4°"/>
    <x v="278"/>
    <n v="241"/>
    <s v="1VIMHERRERIA"/>
    <x v="4"/>
    <x v="0"/>
    <s v="2°4°2412TPT2"/>
    <s v="PROCEDIMIENTOS TECNICOS"/>
    <x v="6"/>
    <m/>
    <s v="VI"/>
    <s v="CONTRATURNO"/>
    <s v="CRUZ DAVID"/>
    <s v="2°4°2412TPT2VI"/>
  </r>
  <r>
    <s v="2°4°"/>
    <x v="279"/>
    <n v="0"/>
    <s v="1VIT"/>
    <x v="4"/>
    <x v="1"/>
    <s v="2°4°2PLG"/>
    <s v="PRACTICA DEL LENGUAJE"/>
    <x v="7"/>
    <m/>
    <s v="VI"/>
    <m/>
    <s v="ARANDA NELIDA"/>
    <s v="2°4°2PLGVI"/>
  </r>
  <r>
    <s v="2°4°"/>
    <x v="280"/>
    <n v="0"/>
    <s v="2JUMPATIO"/>
    <x v="5"/>
    <x v="0"/>
    <s v="2°4°2EFI"/>
    <s v="EDUCACIÓN FISICA"/>
    <x v="12"/>
    <m/>
    <s v="JU"/>
    <s v="CONTRATURNO"/>
    <s v="SANCHEZ CARLOS"/>
    <s v="2°4°2EFIJU"/>
  </r>
  <r>
    <s v="2°4°"/>
    <x v="281"/>
    <n v="0"/>
    <s v="2JUT"/>
    <x v="5"/>
    <x v="1"/>
    <s v="2°4°2MAT"/>
    <s v="MATEMATICA"/>
    <x v="7"/>
    <m/>
    <s v="JU"/>
    <m/>
    <s v="FERRARIS OJEDA JULIETA"/>
    <s v="2°4°2MATJU"/>
  </r>
  <r>
    <s v="2°4°"/>
    <x v="282"/>
    <n v="242"/>
    <s v="2LUM45"/>
    <x v="9"/>
    <x v="0"/>
    <s v="2°4°2422TST2"/>
    <s v="SISTEMAS TECNOLOGICOS"/>
    <x v="8"/>
    <m/>
    <s v="LU"/>
    <s v="CONTRATURNO"/>
    <s v="ETCHEVERRY MARTIN  "/>
    <s v="2°4°2422TST2LU"/>
  </r>
  <r>
    <s v="2°4°"/>
    <x v="283"/>
    <n v="0"/>
    <s v="2LUT"/>
    <x v="9"/>
    <x v="1"/>
    <s v="2°4°2FI/QUI"/>
    <s v="FISICO-QUIMICA"/>
    <x v="7"/>
    <m/>
    <s v="LU"/>
    <m/>
    <s v="DA CHILE IGLESIAS V                 "/>
    <s v="2°4°2FI/QUILU"/>
  </r>
  <r>
    <s v="2°4°"/>
    <x v="284"/>
    <n v="241"/>
    <s v="2maM33"/>
    <x v="10"/>
    <x v="0"/>
    <s v="2°4°2412TST2"/>
    <s v="SISTEMAS TECNOLOGICOS"/>
    <x v="14"/>
    <m/>
    <s v="MA"/>
    <s v="CONTRATURNO"/>
    <s v="AVILA "/>
    <s v="2°4°2412TST2ma"/>
  </r>
  <r>
    <s v="2°4°"/>
    <x v="285"/>
    <n v="242"/>
    <s v="2MAMHERRERIA"/>
    <x v="10"/>
    <x v="0"/>
    <s v="2°4°2422TPT2"/>
    <s v="PROCEDIMIENTOS TECNICOS"/>
    <x v="6"/>
    <m/>
    <s v="MA"/>
    <s v="CONTRATURNO"/>
    <s v="CRUZ DAVID"/>
    <s v="2°4°2422TPT2MA"/>
  </r>
  <r>
    <s v="2°4°"/>
    <x v="286"/>
    <n v="0"/>
    <s v="2MAT"/>
    <x v="10"/>
    <x v="1"/>
    <s v="2°4°2ART"/>
    <s v="EDUCACION ARTISTICA (PLASTICA)"/>
    <x v="7"/>
    <m/>
    <s v="MA"/>
    <m/>
    <s v="QUEVEDO OMAR "/>
    <s v="2°4°2ARTMA"/>
  </r>
  <r>
    <s v="2°4°"/>
    <x v="287"/>
    <n v="241"/>
    <s v="2MIMAULA 4"/>
    <x v="11"/>
    <x v="0"/>
    <s v="2°4°2412TLT2"/>
    <s v="LENGUAJES TECNOLOGICOS"/>
    <x v="1"/>
    <m/>
    <s v="MI"/>
    <s v="CONTRATURNO"/>
    <s v="FISTER, VICTOR"/>
    <s v="2°4°2412TLT2MI"/>
  </r>
  <r>
    <s v="2°4°"/>
    <x v="288"/>
    <n v="242"/>
    <s v="4miM45"/>
    <x v="19"/>
    <x v="0"/>
    <s v="2°4°2422TLT2"/>
    <s v="LENGUAJES TECNOLOGICOS"/>
    <x v="8"/>
    <m/>
    <s v="MI"/>
    <s v="CONTRATURNO"/>
    <s v="LEYES RICARDO  "/>
    <s v="2°4°2422TLT2mi"/>
  </r>
  <r>
    <s v="2°4°"/>
    <x v="289"/>
    <n v="0"/>
    <s v="2MIT"/>
    <x v="11"/>
    <x v="1"/>
    <s v="2°4°2CCD"/>
    <s v="CONSTRUCCION DE LA CIUDADANIA"/>
    <x v="7"/>
    <m/>
    <s v="MI"/>
    <m/>
    <s v="AMAYA SILVIA"/>
    <s v="2°4°2CCDMI"/>
  </r>
  <r>
    <s v="2°4°"/>
    <x v="290"/>
    <n v="241"/>
    <s v="2VIMHERRERIA"/>
    <x v="8"/>
    <x v="0"/>
    <s v="2°4°2412TPT2"/>
    <s v="PROCEDIMIENTOS TECNICOS"/>
    <x v="6"/>
    <m/>
    <s v="VI"/>
    <s v="CONTRATURNO"/>
    <s v="CRUZ DAVID"/>
    <s v="2°4°2412TPT2VI"/>
  </r>
  <r>
    <s v="2°4°"/>
    <x v="291"/>
    <n v="0"/>
    <s v="2VIT"/>
    <x v="8"/>
    <x v="1"/>
    <s v="2°4°2PLG"/>
    <s v="PRACTICA DEL LENGUAJE"/>
    <x v="7"/>
    <m/>
    <s v="VI"/>
    <m/>
    <s v="ARANDA NELIDA"/>
    <s v="2°4°2PLGVI"/>
  </r>
  <r>
    <s v="2°4°"/>
    <x v="292"/>
    <n v="0"/>
    <s v="3JUT"/>
    <x v="12"/>
    <x v="1"/>
    <s v="2°4°2PLG"/>
    <s v="PRACTICA DEL LENGUAJE"/>
    <x v="7"/>
    <m/>
    <s v="JU"/>
    <m/>
    <s v="ARANDA NELIDA"/>
    <s v="2°4°2PLGJU"/>
  </r>
  <r>
    <s v="2°4°"/>
    <x v="293"/>
    <n v="0"/>
    <s v="3LUT"/>
    <x v="13"/>
    <x v="1"/>
    <s v="2°4°2HIS"/>
    <s v="HISTORIA"/>
    <x v="7"/>
    <m/>
    <s v="LU"/>
    <m/>
    <s v="TORRES LUIS                    "/>
    <s v="2°4°2HISLU"/>
  </r>
  <r>
    <s v="2°4°"/>
    <x v="294"/>
    <n v="242"/>
    <s v="3MAMHERRERIA"/>
    <x v="14"/>
    <x v="0"/>
    <s v="2°4°2422TPT2"/>
    <s v="PROCEDIMIENTOS TECNICOS"/>
    <x v="6"/>
    <m/>
    <s v="MA"/>
    <s v="CONTRATURNO"/>
    <s v="CRUZ DAVID"/>
    <s v="2°4°2422TPT2MA"/>
  </r>
  <r>
    <s v="2°4°"/>
    <x v="295"/>
    <n v="0"/>
    <s v="3MAT"/>
    <x v="14"/>
    <x v="1"/>
    <s v="2°4°2BIO"/>
    <s v="BIOLOGIA"/>
    <x v="7"/>
    <m/>
    <s v="MA"/>
    <m/>
    <s v="BARRIONUEVO MARIANELA"/>
    <s v="2°4°2BIOMA"/>
  </r>
  <r>
    <s v="2°4°"/>
    <x v="296"/>
    <n v="0"/>
    <s v="3MIT"/>
    <x v="15"/>
    <x v="1"/>
    <s v="2°4°2GEO"/>
    <s v="GEOGRAFIA"/>
    <x v="7"/>
    <m/>
    <s v="MI"/>
    <m/>
    <s v="OSTRIZ GISELA JORGELINA"/>
    <s v="2°4°2GEOMI"/>
  </r>
  <r>
    <s v="2°4°"/>
    <x v="297"/>
    <n v="241"/>
    <s v="3VIMHERRERIA"/>
    <x v="6"/>
    <x v="0"/>
    <s v="2°4°2412TPT2"/>
    <s v="PROCEDIMIENTOS TECNICOS"/>
    <x v="6"/>
    <m/>
    <s v="VI"/>
    <s v="CONTRATURNO"/>
    <s v="CRUZ DAVID"/>
    <s v="2°4°2412TPT2VI"/>
  </r>
  <r>
    <s v="2°4°"/>
    <x v="298"/>
    <n v="0"/>
    <s v="3VIT"/>
    <x v="6"/>
    <x v="1"/>
    <s v="2°4°2ING"/>
    <s v="INGLÉS"/>
    <x v="7"/>
    <m/>
    <s v="VI"/>
    <m/>
    <s v="GOMEZ HERNANDEZ MARIANA   27275092180 "/>
    <s v="2°4°2INGVI"/>
  </r>
  <r>
    <s v="2°4°"/>
    <x v="299"/>
    <n v="0"/>
    <s v="4JUT"/>
    <x v="16"/>
    <x v="1"/>
    <s v="2°4°2PLG"/>
    <s v="PRACTICA DEL LENGUAJE"/>
    <x v="7"/>
    <m/>
    <s v="JU"/>
    <m/>
    <s v="ARANDA NELIDA"/>
    <s v="2°4°2PLGJU"/>
  </r>
  <r>
    <s v="2°4°"/>
    <x v="300"/>
    <n v="0"/>
    <s v="4LUT"/>
    <x v="17"/>
    <x v="1"/>
    <s v="2°4°2HIS"/>
    <s v="HISTORIA"/>
    <x v="7"/>
    <m/>
    <s v="LU"/>
    <m/>
    <s v="TORRES LUIS                    "/>
    <s v="2°4°2HISLU"/>
  </r>
  <r>
    <s v="2°4°"/>
    <x v="301"/>
    <n v="242"/>
    <s v="4MAMHERRERIA"/>
    <x v="18"/>
    <x v="0"/>
    <s v="2°4°2422TPT2"/>
    <s v="PROCEDIMIENTOS TECNICOS"/>
    <x v="6"/>
    <m/>
    <s v="MA"/>
    <s v="CONTRATURNO"/>
    <s v="CRUZ DAVID"/>
    <s v="2°4°2422TPT2MA"/>
  </r>
  <r>
    <s v="2°4°"/>
    <x v="302"/>
    <n v="0"/>
    <s v="4MAT"/>
    <x v="18"/>
    <x v="1"/>
    <s v="2°4°2BIO"/>
    <s v="BIOLOGIA"/>
    <x v="7"/>
    <m/>
    <s v="MA"/>
    <m/>
    <s v="BARRIONUEVO MARIANELA"/>
    <s v="2°4°2BIOMA"/>
  </r>
  <r>
    <s v="2°4°"/>
    <x v="303"/>
    <n v="0"/>
    <s v="4MIT"/>
    <x v="19"/>
    <x v="1"/>
    <s v="2°4°2GEO"/>
    <s v="GEOGRAFIA"/>
    <x v="7"/>
    <m/>
    <s v="MI"/>
    <m/>
    <s v="OSTRIZ GISELA JORGELINA"/>
    <s v="2°4°2GEOMI"/>
  </r>
  <r>
    <s v="2°4°"/>
    <x v="304"/>
    <n v="241"/>
    <s v="4VIMHERRERIA"/>
    <x v="7"/>
    <x v="0"/>
    <s v="2°4°2412TPT2"/>
    <s v="PROCEDIMIENTOS TECNICOS"/>
    <x v="6"/>
    <m/>
    <s v="VI"/>
    <s v="CONTRATURNO"/>
    <s v="CRUZ DAVID"/>
    <s v="2°4°2412TPT2VI"/>
  </r>
  <r>
    <s v="2°4°"/>
    <x v="305"/>
    <n v="0"/>
    <s v="4VIT"/>
    <x v="7"/>
    <x v="1"/>
    <s v="2°4°2ING"/>
    <s v="INGLÉS"/>
    <x v="7"/>
    <m/>
    <s v="VI"/>
    <m/>
    <s v="GOMEZ HERNANDEZ MARIANA   27275092180 "/>
    <s v="2°4°2INGVI"/>
  </r>
  <r>
    <s v="2°4°"/>
    <x v="306"/>
    <n v="0"/>
    <s v="PREHORALUT"/>
    <x v="27"/>
    <x v="1"/>
    <s v="2°4°2MAT"/>
    <s v="MATEMATICA"/>
    <x v="7"/>
    <m/>
    <s v="LU"/>
    <m/>
    <s v="FERRARIS OJEDA JULIETA"/>
    <s v="2°4°2MATLU"/>
  </r>
  <r>
    <s v="2°4°"/>
    <x v="307"/>
    <n v="0"/>
    <s v="PREHORAMAT"/>
    <x v="22"/>
    <x v="1"/>
    <s v="2°4°2MAT"/>
    <s v="MATEMATICA"/>
    <x v="7"/>
    <m/>
    <s v="MA"/>
    <m/>
    <s v="FERRARIS OJEDA JULIETA"/>
    <s v="2°4°2MATMA"/>
  </r>
  <r>
    <s v="2°5°"/>
    <x v="308"/>
    <n v="0"/>
    <s v="1JUM"/>
    <x v="0"/>
    <x v="0"/>
    <s v="2°5°2FI/QUI"/>
    <s v="FISICO-QUIMICA"/>
    <x v="7"/>
    <m/>
    <s v="JU"/>
    <m/>
    <s v="MARTINEZ, CARLA"/>
    <s v="2°5°2FI/QUIJU"/>
  </r>
  <r>
    <s v="2°5°"/>
    <x v="309"/>
    <n v="0"/>
    <s v="1LUM"/>
    <x v="1"/>
    <x v="0"/>
    <s v="2°5°2HIS"/>
    <s v="HISTORIA"/>
    <x v="7"/>
    <m/>
    <s v="LU"/>
    <m/>
    <s v="LOPEZ NARINA"/>
    <s v="2°5°2HISLU"/>
  </r>
  <r>
    <s v="2°5°"/>
    <x v="310"/>
    <n v="0"/>
    <s v="1MAM"/>
    <x v="2"/>
    <x v="0"/>
    <s v="2°5°2ART"/>
    <s v="EDUCACION ARTISTICA (PLASTICA)"/>
    <x v="7"/>
    <m/>
    <s v="MA"/>
    <m/>
    <s v="ISSETTA LORENA "/>
    <s v="2°5°2ARTMA"/>
  </r>
  <r>
    <s v="2°5°"/>
    <x v="311"/>
    <n v="0"/>
    <s v="1MIM"/>
    <x v="3"/>
    <x v="0"/>
    <s v="2°5°2MAT"/>
    <s v="MATEMATICA"/>
    <x v="7"/>
    <m/>
    <s v="MI"/>
    <m/>
    <s v="CENTURION SILVIA BEATRIZ   "/>
    <s v="2°5°2MATMI"/>
  </r>
  <r>
    <s v="2°5°"/>
    <x v="312"/>
    <n v="0"/>
    <s v="3VIM"/>
    <x v="6"/>
    <x v="0"/>
    <s v="2°5°2BIO"/>
    <s v="BIOLOGIA"/>
    <x v="7"/>
    <m/>
    <s v="VI"/>
    <m/>
    <s v="FARIAS CLAUDIA ANTONIA"/>
    <s v="2°5°2BIOVI"/>
  </r>
  <r>
    <s v="2°5°"/>
    <x v="313"/>
    <n v="252"/>
    <s v="1viT12"/>
    <x v="4"/>
    <x v="1"/>
    <s v="2°5°2522TLT2"/>
    <s v="LENGUAJES TECNOLOGICOS"/>
    <x v="15"/>
    <m/>
    <s v="VI"/>
    <m/>
    <s v="BELIZAN JUAN"/>
    <s v="2°5°2522TLT2vi"/>
  </r>
  <r>
    <s v="2°5°"/>
    <x v="314"/>
    <n v="0"/>
    <s v="2JUM"/>
    <x v="5"/>
    <x v="0"/>
    <s v="2°5°2FI/QUI"/>
    <s v="FISICO-QUIMICA"/>
    <x v="7"/>
    <m/>
    <s v="JU"/>
    <m/>
    <s v="MARTINEZ, CARLA"/>
    <s v="2°5°2FI/QUIJU"/>
  </r>
  <r>
    <s v="2°5°"/>
    <x v="315"/>
    <n v="0"/>
    <s v="2LUM"/>
    <x v="9"/>
    <x v="0"/>
    <s v="2°5°2HIS"/>
    <s v="HISTORIA"/>
    <x v="7"/>
    <m/>
    <s v="LU"/>
    <m/>
    <s v="LOPEZ NARINA"/>
    <s v="2°5°2HISLU"/>
  </r>
  <r>
    <s v="2°5°"/>
    <x v="316"/>
    <n v="0"/>
    <s v="2MAM"/>
    <x v="10"/>
    <x v="0"/>
    <s v="2°5°2ART"/>
    <s v="EDUCACION ARTISTICA (PLASTICA)"/>
    <x v="7"/>
    <m/>
    <s v="MA"/>
    <m/>
    <s v="ISSETTA LORENA "/>
    <s v="2°5°2ARTMA"/>
  </r>
  <r>
    <s v="2°5°"/>
    <x v="317"/>
    <n v="0"/>
    <s v="2MIM"/>
    <x v="11"/>
    <x v="0"/>
    <s v="2°5°2MAT"/>
    <s v="MATEMATICA"/>
    <x v="7"/>
    <m/>
    <s v="MI"/>
    <m/>
    <s v="CENTURION SILVIA BEATRIZ   "/>
    <s v="2°5°2MATMI"/>
  </r>
  <r>
    <s v="2°5°"/>
    <x v="318"/>
    <n v="0"/>
    <s v="4VIM"/>
    <x v="7"/>
    <x v="0"/>
    <s v="2°5°2BIO"/>
    <s v="BIOLOGIA"/>
    <x v="7"/>
    <m/>
    <s v="VI"/>
    <m/>
    <s v="FARIAS CLAUDIA ANTONIA"/>
    <s v="2°5°2BIOVI"/>
  </r>
  <r>
    <s v="2°5°"/>
    <x v="319"/>
    <n v="252"/>
    <s v="2viT12"/>
    <x v="8"/>
    <x v="1"/>
    <s v="2°5°2522TLT2"/>
    <s v="LENGUAJES TECNOLOGICOS"/>
    <x v="15"/>
    <m/>
    <s v="VI"/>
    <m/>
    <s v="BELIZAN JUAN"/>
    <s v="2°5°2522TLT2vi"/>
  </r>
  <r>
    <s v="2°5°"/>
    <x v="320"/>
    <n v="0"/>
    <s v="3JUM"/>
    <x v="12"/>
    <x v="0"/>
    <s v="2°5°2PLG"/>
    <s v="PRACTICA DEL LENGUAJE"/>
    <x v="7"/>
    <m/>
    <s v="JU"/>
    <m/>
    <s v="MEDINA, CLAUDIA B  "/>
    <s v="2°5°2PLGJU"/>
  </r>
  <r>
    <s v="2°5°"/>
    <x v="321"/>
    <n v="0"/>
    <s v="3JUTPATIO"/>
    <x v="12"/>
    <x v="1"/>
    <s v="2°5°2EFI"/>
    <s v="EDUCACIÓN FISICA"/>
    <x v="12"/>
    <m/>
    <s v="JU"/>
    <m/>
    <s v="GUERRERO DANIEL "/>
    <s v="2°5°2EFIJU"/>
  </r>
  <r>
    <s v="2°5°"/>
    <x v="322"/>
    <n v="0"/>
    <s v="3LUM"/>
    <x v="13"/>
    <x v="0"/>
    <s v="2°5°2PLG"/>
    <s v="PRACTICA DEL LENGUAJE"/>
    <x v="7"/>
    <m/>
    <s v="LU"/>
    <m/>
    <s v="MEDINA, CLAUDIA B  "/>
    <s v="2°5°2PLGLU"/>
  </r>
  <r>
    <s v="2°5°"/>
    <x v="323"/>
    <n v="0"/>
    <s v="3MIM"/>
    <x v="15"/>
    <x v="0"/>
    <s v="2°5°2GEO"/>
    <s v="GEOGRAFIA"/>
    <x v="7"/>
    <m/>
    <s v="MI"/>
    <m/>
    <s v="ANTONELLO, FERNANDO"/>
    <s v="2°5°2GEOMI"/>
  </r>
  <r>
    <s v="2°5°"/>
    <x v="324"/>
    <n v="0"/>
    <s v="1VIM"/>
    <x v="4"/>
    <x v="0"/>
    <s v="2°5°2MAT"/>
    <s v="MATEMATICA"/>
    <x v="7"/>
    <m/>
    <s v="VI"/>
    <m/>
    <s v="CENTURION SILVIA BEATRIZ   "/>
    <s v="2°5°2MATVI"/>
  </r>
  <r>
    <s v="2°5°"/>
    <x v="325"/>
    <n v="0"/>
    <s v="4JUM"/>
    <x v="16"/>
    <x v="0"/>
    <s v="2°5°2PLG"/>
    <s v="PRACTICA DEL LENGUAJE"/>
    <x v="7"/>
    <m/>
    <s v="JU"/>
    <m/>
    <s v="MEDINA, CLAUDIA B  "/>
    <s v="2°5°2PLGJU"/>
  </r>
  <r>
    <s v="2°5°"/>
    <x v="326"/>
    <n v="0"/>
    <s v="4JUTPATIO"/>
    <x v="16"/>
    <x v="1"/>
    <s v="2°5°2EFI"/>
    <s v="EDUCACIÓN FISICA"/>
    <x v="12"/>
    <m/>
    <s v="JU"/>
    <m/>
    <s v="GUERRERO DANIEL "/>
    <s v="2°5°2EFIJU"/>
  </r>
  <r>
    <s v="2°5°"/>
    <x v="327"/>
    <n v="0"/>
    <s v="4LUM"/>
    <x v="17"/>
    <x v="0"/>
    <s v="2°5°2PLG"/>
    <s v="PRACTICA DEL LENGUAJE"/>
    <x v="7"/>
    <m/>
    <s v="LU"/>
    <m/>
    <s v="MEDINA, CLAUDIA B  "/>
    <s v="2°5°2PLGLU"/>
  </r>
  <r>
    <s v="2°5°"/>
    <x v="328"/>
    <n v="0"/>
    <s v="4MIM"/>
    <x v="19"/>
    <x v="0"/>
    <s v="2°5°2GEO"/>
    <s v="GEOGRAFIA"/>
    <x v="7"/>
    <m/>
    <s v="MI"/>
    <m/>
    <s v="ANTONELLO, FERNANDO"/>
    <s v="2°5°2GEOMI"/>
  </r>
  <r>
    <s v="2°5°"/>
    <x v="329"/>
    <n v="0"/>
    <s v="2VIM"/>
    <x v="8"/>
    <x v="0"/>
    <s v="2°5°2MAT"/>
    <s v="MATEMATICA"/>
    <x v="7"/>
    <m/>
    <s v="VI"/>
    <m/>
    <s v="CENTURION SILVIA BEATRIZ   "/>
    <s v="2°5°2MATVI"/>
  </r>
  <r>
    <s v="2°5°"/>
    <x v="330"/>
    <n v="0"/>
    <s v="5MAM"/>
    <x v="28"/>
    <x v="0"/>
    <s v="2°5°2ING"/>
    <s v="INGLÉS"/>
    <x v="7"/>
    <m/>
    <s v="MA"/>
    <m/>
    <s v=" MONTOYA SONIA ISABEL"/>
    <s v="2°5°2INGMA"/>
  </r>
  <r>
    <s v="2°5°"/>
    <x v="331"/>
    <n v="0"/>
    <s v="5VIM"/>
    <x v="25"/>
    <x v="0"/>
    <s v="2°5°2ING"/>
    <s v="INGLÉS"/>
    <x v="7"/>
    <m/>
    <s v="VI"/>
    <m/>
    <s v=" MONTOYA SONIA ISABEL"/>
    <s v="2°5°2INGVI"/>
  </r>
  <r>
    <s v="3°1°"/>
    <x v="332"/>
    <n v="0"/>
    <s v="1JUM"/>
    <x v="0"/>
    <x v="0"/>
    <s v="3°1°3PLG"/>
    <s v="PRACTICA DEL LENGUAJE"/>
    <x v="7"/>
    <m/>
    <s v="JU"/>
    <m/>
    <s v="SANTILLAN ESTELA ISIDORA   "/>
    <s v="3°1°3PLGJU"/>
  </r>
  <r>
    <s v="3°1°"/>
    <x v="333"/>
    <n v="311"/>
    <s v="1MATcarpinteria"/>
    <x v="2"/>
    <x v="1"/>
    <s v="3°1°3113TPT3"/>
    <s v="PROCEDIMIENTOS TECNICOS"/>
    <x v="5"/>
    <m/>
    <s v="MA"/>
    <s v="CONTRATURNO"/>
    <s v="CRUZ DAVID FRANCISCO"/>
    <s v="3°1°3113TPT3MA"/>
  </r>
  <r>
    <s v="3°1°"/>
    <x v="334"/>
    <n v="312"/>
    <s v="1JUT45"/>
    <x v="0"/>
    <x v="1"/>
    <s v="3°1°3123TST3"/>
    <s v="SISTEMAS TECNOLOGICOS"/>
    <x v="8"/>
    <m/>
    <s v="JU"/>
    <s v="CONTRATURNO"/>
    <s v="CAMBULE PEDRO"/>
    <s v="3°1°3123TST3JU"/>
  </r>
  <r>
    <s v="3°1°"/>
    <x v="335"/>
    <n v="0"/>
    <s v="1LUM"/>
    <x v="1"/>
    <x v="0"/>
    <s v="3°1°3ING"/>
    <s v="INGLÉS"/>
    <x v="7"/>
    <m/>
    <s v="LU"/>
    <m/>
    <s v="BONELLI PAMELA   "/>
    <s v="3°1°3INGLU"/>
  </r>
  <r>
    <s v="3°1°"/>
    <x v="336"/>
    <n v="311"/>
    <s v="1LUT46"/>
    <x v="1"/>
    <x v="1"/>
    <s v="3°1°3113TST3"/>
    <s v="SISTEMAS TECNOLOGICOS"/>
    <x v="16"/>
    <m/>
    <s v="LU"/>
    <s v="CONTRATURNO"/>
    <s v="ECHAZU FARIAS  ANALIA"/>
    <s v="3°1°3113TST3LU"/>
  </r>
  <r>
    <s v="3°1°"/>
    <x v="337"/>
    <n v="0"/>
    <s v="1MAM"/>
    <x v="2"/>
    <x v="0"/>
    <s v="3°1°3HIS"/>
    <s v="HISTORIA"/>
    <x v="7"/>
    <m/>
    <s v="MA"/>
    <m/>
    <s v="JUAREZ NORMA"/>
    <s v="3°1°3HISMA"/>
  </r>
  <r>
    <s v="3°1°"/>
    <x v="338"/>
    <n v="312"/>
    <s v="1MATHERRERIA"/>
    <x v="2"/>
    <x v="1"/>
    <s v="3°1°3123TPT3"/>
    <s v="PROCEDIMIENTOS TECNICOS"/>
    <x v="6"/>
    <m/>
    <s v="MA"/>
    <s v="CONTRATURNO"/>
    <s v="CAMBULE PEDRO"/>
    <s v="3°1°3123TPT3MA"/>
  </r>
  <r>
    <s v="3°1°"/>
    <x v="339"/>
    <n v="0"/>
    <s v="1MIM"/>
    <x v="3"/>
    <x v="0"/>
    <s v="3°1°3GEO"/>
    <s v="GEOGRAFIA"/>
    <x v="7"/>
    <m/>
    <s v="MI"/>
    <m/>
    <s v="BLANCO NOGUEIRAS MICAELA E"/>
    <s v="3°1°3GEOMI"/>
  </r>
  <r>
    <s v="3°1°"/>
    <x v="340"/>
    <n v="312"/>
    <s v="1MITAULA 4"/>
    <x v="3"/>
    <x v="1"/>
    <s v="3°1°3123TLT3"/>
    <s v="LENGUAJES TECNOLOGICOS"/>
    <x v="1"/>
    <m/>
    <s v="MI"/>
    <s v="CONTRATURNO"/>
    <s v="GUTIERREZ FERNANDO"/>
    <s v="3°1°3123TLT3MI"/>
  </r>
  <r>
    <s v="3°1°"/>
    <x v="341"/>
    <n v="0"/>
    <s v="1VIM"/>
    <x v="4"/>
    <x v="0"/>
    <s v="3°1°3ART"/>
    <s v="EDUCACION ARTISTICA (PLASTICA)"/>
    <x v="7"/>
    <m/>
    <s v="VI"/>
    <m/>
    <s v="ISSETTA LORENA"/>
    <s v="3°1°3ARTVI"/>
  </r>
  <r>
    <s v="3°1°"/>
    <x v="342"/>
    <n v="0"/>
    <s v="2JUM"/>
    <x v="5"/>
    <x v="0"/>
    <s v="3°1°3PLG"/>
    <s v="PRACTICA DEL LENGUAJE"/>
    <x v="7"/>
    <m/>
    <s v="JU"/>
    <m/>
    <s v="SANTILLAN ESTELA ISIDORA   "/>
    <s v="3°1°3PLGJU"/>
  </r>
  <r>
    <s v="3°1°"/>
    <x v="343"/>
    <n v="311"/>
    <s v="2MATcarpinteria"/>
    <x v="10"/>
    <x v="1"/>
    <s v="3°1°3113TPT3"/>
    <s v="PROCEDIMIENTOS TECNICOS"/>
    <x v="5"/>
    <m/>
    <s v="MA"/>
    <s v="CONTRATURNO"/>
    <s v="CRUZ DAVID FRANCISCO"/>
    <s v="3°1°3113TPT3MA"/>
  </r>
  <r>
    <s v="3°1°"/>
    <x v="344"/>
    <n v="312"/>
    <s v="2JUT45"/>
    <x v="5"/>
    <x v="1"/>
    <s v="3°1°3123TST3"/>
    <s v="SISTEMAS TECNOLOGICOS"/>
    <x v="8"/>
    <m/>
    <s v="JU"/>
    <s v="CONTRATURNO"/>
    <s v="CAMBULE PEDRO"/>
    <s v="3°1°3123TST3JU"/>
  </r>
  <r>
    <s v="3°1°"/>
    <x v="345"/>
    <n v="0"/>
    <s v="2LUM"/>
    <x v="9"/>
    <x v="0"/>
    <s v="3°1°3ING"/>
    <s v="INGLÉS"/>
    <x v="7"/>
    <m/>
    <s v="LU"/>
    <m/>
    <s v="BONELLI PAMELA   "/>
    <s v="3°1°3INGLU"/>
  </r>
  <r>
    <s v="3°1°"/>
    <x v="346"/>
    <n v="311"/>
    <s v="2LUT46"/>
    <x v="9"/>
    <x v="1"/>
    <s v="3°1°3113TST3"/>
    <s v="SISTEMAS TECNOLOGICOS"/>
    <x v="16"/>
    <m/>
    <s v="LU"/>
    <s v="CONTRATURNO"/>
    <s v="ECHAZU FARIAS  ANALIA"/>
    <s v="3°1°3113TST3LU"/>
  </r>
  <r>
    <s v="3°1°"/>
    <x v="347"/>
    <n v="0"/>
    <s v="2MAM"/>
    <x v="10"/>
    <x v="0"/>
    <s v="3°1°3HIS"/>
    <s v="HISTORIA"/>
    <x v="7"/>
    <m/>
    <s v="MA"/>
    <m/>
    <s v="JUAREZ NORMA"/>
    <s v="3°1°3HISMA"/>
  </r>
  <r>
    <s v="3°1°"/>
    <x v="348"/>
    <n v="312"/>
    <s v="2MATHERRERIA"/>
    <x v="10"/>
    <x v="1"/>
    <s v="3°1°3123TPT3"/>
    <s v="PROCEDIMIENTOS TECNICOS"/>
    <x v="6"/>
    <m/>
    <s v="MA"/>
    <s v="CONTRATURNO"/>
    <s v="CAMBULE PEDRO"/>
    <s v="3°1°3123TPT3MA"/>
  </r>
  <r>
    <s v="3°1°"/>
    <x v="349"/>
    <n v="0"/>
    <s v="2MIM"/>
    <x v="11"/>
    <x v="0"/>
    <s v="3°1°3GEO"/>
    <s v="GEOGRAFIA"/>
    <x v="7"/>
    <m/>
    <s v="MI"/>
    <m/>
    <s v="BLANCO NOGUEIRAS MICAELA E"/>
    <s v="3°1°3GEOMI"/>
  </r>
  <r>
    <s v="3°1°"/>
    <x v="350"/>
    <n v="312"/>
    <s v="2MITAULA 4"/>
    <x v="11"/>
    <x v="1"/>
    <s v="3°1°3123TLT3"/>
    <s v="LENGUAJES TECNOLOGICOS"/>
    <x v="1"/>
    <m/>
    <s v="MI"/>
    <s v="CONTRATURNO"/>
    <s v="GUTIERREZ FERNANDO"/>
    <s v="3°1°3123TLT3MI"/>
  </r>
  <r>
    <s v="3°1°"/>
    <x v="351"/>
    <n v="0"/>
    <s v="2VIM"/>
    <x v="8"/>
    <x v="0"/>
    <s v="3°1°3ART"/>
    <s v="EDUCACION ARTISTICA (PLASTICA)"/>
    <x v="7"/>
    <m/>
    <s v="VI"/>
    <m/>
    <s v="ISSETTA LORENA"/>
    <s v="3°1°3ARTVI"/>
  </r>
  <r>
    <s v="3°1°"/>
    <x v="352"/>
    <n v="0"/>
    <s v="3JUM"/>
    <x v="12"/>
    <x v="0"/>
    <s v="3°1°3MAT"/>
    <s v="MATEMATICA"/>
    <x v="7"/>
    <m/>
    <s v="JU"/>
    <m/>
    <s v="MARTINEZ, GISELA       "/>
    <s v="3°1°3MATJU"/>
  </r>
  <r>
    <s v="3°1°"/>
    <x v="353"/>
    <n v="312"/>
    <s v="3JUT45"/>
    <x v="12"/>
    <x v="1"/>
    <s v="3°1°3123TST3"/>
    <s v="SISTEMAS TECNOLOGICOS"/>
    <x v="8"/>
    <m/>
    <s v="JU"/>
    <s v="CONTRATURNO"/>
    <s v="CAMBULE PEDRO"/>
    <s v="3°1°3123TST3JU"/>
  </r>
  <r>
    <s v="3°1°"/>
    <x v="354"/>
    <n v="0"/>
    <s v="3LUM"/>
    <x v="13"/>
    <x v="0"/>
    <s v="3°1°3FI/QUI"/>
    <s v="FISICO-QUIMICA"/>
    <x v="7"/>
    <m/>
    <s v="LU"/>
    <m/>
    <s v="ESPINDOLA SERGIO                          "/>
    <s v="3°1°3FI/QUILU"/>
  </r>
  <r>
    <s v="3°1°"/>
    <x v="355"/>
    <n v="311"/>
    <s v="3LUT46"/>
    <x v="13"/>
    <x v="1"/>
    <s v="3°1°3113TST3"/>
    <s v="SISTEMAS TECNOLOGICOS"/>
    <x v="16"/>
    <m/>
    <s v="LU"/>
    <s v="CONTRATURNO"/>
    <s v="ECHAZU FARIAS  ANALIA"/>
    <s v="3°1°3113TST3LU"/>
  </r>
  <r>
    <s v="3°1°"/>
    <x v="356"/>
    <n v="0"/>
    <s v="3MAM"/>
    <x v="14"/>
    <x v="0"/>
    <s v="3°1°3BIO"/>
    <s v="BIOLOGIA"/>
    <x v="7"/>
    <m/>
    <s v="MA"/>
    <m/>
    <s v="FARIAS CLAUDIA ANTONIA "/>
    <s v="3°1°3BIOMA"/>
  </r>
  <r>
    <s v="3°1°"/>
    <x v="357"/>
    <n v="0"/>
    <s v="3MIM"/>
    <x v="15"/>
    <x v="0"/>
    <s v="3°1°3MAT"/>
    <s v="MATEMATICA"/>
    <x v="7"/>
    <m/>
    <s v="MI"/>
    <m/>
    <s v="MARTINEZ, GISELA       "/>
    <s v="3°1°3MATMI"/>
  </r>
  <r>
    <s v="3°1°"/>
    <x v="358"/>
    <n v="311"/>
    <s v="3MITAULA 4"/>
    <x v="15"/>
    <x v="1"/>
    <s v="3°1°3113TLT3"/>
    <s v="LENGUAJES TECNOLOGICOS"/>
    <x v="1"/>
    <m/>
    <s v="MI"/>
    <s v="CONTRATURNO"/>
    <s v="GUTIERREZ FERNANDO  "/>
    <s v="3°1°3113TLT3MI"/>
  </r>
  <r>
    <s v="3°1°"/>
    <x v="359"/>
    <n v="0"/>
    <s v="3VIM"/>
    <x v="6"/>
    <x v="0"/>
    <s v="3°1°3PLG"/>
    <s v="PRACTICA DEL LENGUAJE"/>
    <x v="7"/>
    <m/>
    <s v="VI"/>
    <m/>
    <s v="SANTILLAN ESTELA ISIDORA   "/>
    <s v="3°1°3PLGVI"/>
  </r>
  <r>
    <s v="3°1°"/>
    <x v="360"/>
    <n v="0"/>
    <s v="4JUM"/>
    <x v="16"/>
    <x v="0"/>
    <s v="3°1°3MAT"/>
    <s v="MATEMATICA"/>
    <x v="7"/>
    <m/>
    <s v="JU"/>
    <m/>
    <s v="MARTINEZ, GISELA       "/>
    <s v="3°1°3MATJU"/>
  </r>
  <r>
    <s v="3°1°"/>
    <x v="361"/>
    <n v="312"/>
    <s v="4JUT45"/>
    <x v="16"/>
    <x v="1"/>
    <s v="3°1°3123TST3"/>
    <s v="SISTEMAS TECNOLOGICOS"/>
    <x v="8"/>
    <m/>
    <s v="JU"/>
    <s v="CONTRATURNO"/>
    <s v="CAMBULE PEDRO"/>
    <s v="3°1°3123TST3JU"/>
  </r>
  <r>
    <s v="3°1°"/>
    <x v="362"/>
    <n v="0"/>
    <s v="4LUM"/>
    <x v="17"/>
    <x v="0"/>
    <s v="3°1°3FI/QUI"/>
    <s v="FISICO-QUIMICA"/>
    <x v="7"/>
    <m/>
    <s v="LU"/>
    <m/>
    <s v="ESPINDOLA SERGIO                          "/>
    <s v="3°1°3FI/QUILU"/>
  </r>
  <r>
    <s v="3°1°"/>
    <x v="363"/>
    <n v="311"/>
    <s v="4LUT46"/>
    <x v="17"/>
    <x v="1"/>
    <s v="3°1°3113TST3"/>
    <s v="SISTEMAS TECNOLOGICOS"/>
    <x v="16"/>
    <m/>
    <s v="LU"/>
    <s v="CONTRATURNO"/>
    <s v="ECHAZU FARIAS  ANALIA"/>
    <s v="3°1°3113TST3LU"/>
  </r>
  <r>
    <s v="3°1°"/>
    <x v="364"/>
    <n v="0"/>
    <s v="4MAM"/>
    <x v="18"/>
    <x v="0"/>
    <s v="3°1°3BIO"/>
    <s v="BIOLOGIA"/>
    <x v="7"/>
    <m/>
    <s v="MA"/>
    <m/>
    <s v="FARIAS CLAUDIA ANTONIA "/>
    <s v="3°1°3BIOMA"/>
  </r>
  <r>
    <s v="3°1°"/>
    <x v="365"/>
    <n v="0"/>
    <s v="4MIM"/>
    <x v="19"/>
    <x v="0"/>
    <s v="3°1°3MAT"/>
    <s v="MATEMATICA"/>
    <x v="7"/>
    <m/>
    <s v="MI"/>
    <m/>
    <s v="MARTINEZ, GISELA       "/>
    <s v="3°1°3MATMI"/>
  </r>
  <r>
    <s v="3°1°"/>
    <x v="366"/>
    <n v="311"/>
    <s v="4MITAULA 4"/>
    <x v="19"/>
    <x v="1"/>
    <s v="3°1°3113TLT3"/>
    <s v="LENGUAJES TECNOLOGICOS"/>
    <x v="1"/>
    <m/>
    <s v="MI"/>
    <s v="CONTRATURNO"/>
    <s v="GUTIERREZ FERNANDO  "/>
    <s v="3°1°3113TLT3MI"/>
  </r>
  <r>
    <s v="3°1°"/>
    <x v="367"/>
    <n v="0"/>
    <s v="4VIM"/>
    <x v="7"/>
    <x v="0"/>
    <s v="3°1°3PLG"/>
    <s v="PRACTICA DEL LENGUAJE"/>
    <x v="7"/>
    <m/>
    <s v="VI"/>
    <m/>
    <s v="SANTILLAN ESTELA ISIDORA   "/>
    <s v="3°1°3PLGVI"/>
  </r>
  <r>
    <s v="3°1°"/>
    <x v="368"/>
    <n v="0"/>
    <s v="5LUMPATIO"/>
    <x v="21"/>
    <x v="0"/>
    <s v="3°1°3EFI"/>
    <s v="EDUCACIÓN FISICA"/>
    <x v="12"/>
    <m/>
    <s v="LU"/>
    <m/>
    <s v="SANCHEZ CARLOS "/>
    <s v="3°1°3EFILU"/>
  </r>
  <r>
    <s v="3°1°"/>
    <x v="369"/>
    <n v="0"/>
    <s v="5MAM"/>
    <x v="28"/>
    <x v="0"/>
    <s v="3°1°3CCD"/>
    <s v="CONSTRUCCION DE LA CIUDADANIA"/>
    <x v="7"/>
    <m/>
    <s v="MA"/>
    <m/>
    <s v="TORRES GABRIEL "/>
    <s v="3°1°3CCDMA"/>
  </r>
  <r>
    <s v="3°1°"/>
    <x v="370"/>
    <n v="0"/>
    <s v="5MIMPATIO2"/>
    <x v="24"/>
    <x v="0"/>
    <s v="3°1°3EFI"/>
    <s v="EDUCACIÓN FISICA"/>
    <x v="3"/>
    <m/>
    <s v="MI"/>
    <m/>
    <s v="SANCHEZ CARLOS "/>
    <s v="3°1°3EFIMI"/>
  </r>
  <r>
    <s v="3°1°"/>
    <x v="371"/>
    <n v="0"/>
    <s v="5VIM"/>
    <x v="25"/>
    <x v="0"/>
    <s v="3°1°3CCD"/>
    <s v="CONSTRUCCION DE LA CIUDADANIA"/>
    <x v="7"/>
    <m/>
    <s v="VI"/>
    <m/>
    <s v="TORRES GABRIEL "/>
    <s v="3°1°3CCDVI"/>
  </r>
  <r>
    <s v="3°2°"/>
    <x v="372"/>
    <n v="0"/>
    <s v="1JUT"/>
    <x v="0"/>
    <x v="1"/>
    <s v="3°2°3PLG"/>
    <s v="PRACTICA DEL LENGUAJE"/>
    <x v="7"/>
    <m/>
    <s v="JU"/>
    <m/>
    <s v="GONZALEZ DANIELA"/>
    <s v="3°2°3PLGJU"/>
  </r>
  <r>
    <s v="3°2°"/>
    <x v="373"/>
    <n v="322"/>
    <s v="1JUVcarpinteria"/>
    <x v="0"/>
    <x v="2"/>
    <s v="3°2°3223TST3"/>
    <s v="SISTEMAS TECNOLOGICOS"/>
    <x v="5"/>
    <m/>
    <s v="JU"/>
    <s v="CONTRATURNO"/>
    <s v="PAZ DANIEL"/>
    <s v="3°2°3223TST3JU"/>
  </r>
  <r>
    <s v="3°2°"/>
    <x v="374"/>
    <n v="0"/>
    <s v="1LUT"/>
    <x v="1"/>
    <x v="1"/>
    <s v="3°2°3MAT"/>
    <s v="MATEMATICA"/>
    <x v="7"/>
    <m/>
    <s v="LU"/>
    <m/>
    <s v="VARCHETTA, GABRIEL OMAR   "/>
    <s v="3°2°3MATLU"/>
  </r>
  <r>
    <s v="3°2°"/>
    <x v="375"/>
    <n v="322"/>
    <s v="1MAMaula 4"/>
    <x v="2"/>
    <x v="0"/>
    <s v="3°2°3223TLT3"/>
    <s v="LENGUAJES TECNOLOGICOS"/>
    <x v="1"/>
    <m/>
    <s v="MA"/>
    <s v="CONTRATURNO"/>
    <s v="TITO JUAN MANUEL"/>
    <s v="3°2°3223TLT3MA"/>
  </r>
  <r>
    <s v="3°2°"/>
    <x v="376"/>
    <n v="0"/>
    <s v="1MAT"/>
    <x v="2"/>
    <x v="1"/>
    <s v="3°2°3GEO"/>
    <s v="GEOGRAFIA"/>
    <x v="7"/>
    <m/>
    <s v="MA"/>
    <m/>
    <s v="ZAMBRANO GAMBOA JOSHUA"/>
    <s v="3°2°3GEOMA"/>
  </r>
  <r>
    <s v="3°2°"/>
    <x v="377"/>
    <n v="0"/>
    <s v="3MAMPATIO2"/>
    <x v="14"/>
    <x v="0"/>
    <s v="3°2°3EFI"/>
    <s v="EDUCACIÓN FISICA"/>
    <x v="3"/>
    <m/>
    <s v="MA"/>
    <s v="CONTRATURNO"/>
    <s v="DE LA FUENTE F."/>
    <s v="3°2°3EFIMA"/>
  </r>
  <r>
    <s v="3°2°"/>
    <x v="378"/>
    <n v="0"/>
    <s v="1MIT"/>
    <x v="3"/>
    <x v="1"/>
    <s v="3°2°3MAT"/>
    <s v="MATEMATICA"/>
    <x v="7"/>
    <m/>
    <s v="MI"/>
    <m/>
    <s v="VARCHETTA, GABRIEL OMAR   "/>
    <s v="3°2°3MATMI"/>
  </r>
  <r>
    <s v="3°2°"/>
    <x v="379"/>
    <n v="321"/>
    <s v="1VIMAULA 2"/>
    <x v="4"/>
    <x v="0"/>
    <s v="3°2°3213TLT3"/>
    <s v="LENGUAJES TECNOLOGICOS"/>
    <x v="10"/>
    <m/>
    <s v="VI"/>
    <s v="CONTRATURNO"/>
    <s v="TITO JUAN MANUEL"/>
    <s v="3°2°3213TLT3VI"/>
  </r>
  <r>
    <s v="3°2°"/>
    <x v="380"/>
    <n v="322"/>
    <s v="1VIMsuperpuesto"/>
    <x v="4"/>
    <x v="0"/>
    <s v="3°2°3223TPT3"/>
    <s v="PROCEDIMIENTOS TECNICOS"/>
    <x v="13"/>
    <m/>
    <s v="VI"/>
    <s v="CONTRATURNO"/>
    <s v="ETCHEVERRY MARTIN                            "/>
    <s v="3°2°3223TPT3VI"/>
  </r>
  <r>
    <s v="3°2°"/>
    <x v="381"/>
    <n v="0"/>
    <s v="1VIT"/>
    <x v="4"/>
    <x v="1"/>
    <s v="3°2°3PLG"/>
    <s v="PRACTICA DEL LENGUAJE"/>
    <x v="7"/>
    <m/>
    <s v="VI"/>
    <m/>
    <s v="GONZALEZ DANIELA"/>
    <s v="3°2°3PLGVI"/>
  </r>
  <r>
    <s v="3°2°"/>
    <x v="382"/>
    <n v="0"/>
    <s v="2JUT"/>
    <x v="5"/>
    <x v="1"/>
    <s v="3°2°3PLG"/>
    <s v="PRACTICA DEL LENGUAJE"/>
    <x v="7"/>
    <m/>
    <s v="JU"/>
    <m/>
    <s v="GONZALEZ DANIELA"/>
    <s v="3°2°3PLGJU"/>
  </r>
  <r>
    <s v="3°2°"/>
    <x v="383"/>
    <n v="322"/>
    <s v="2JUVcarpinteria"/>
    <x v="5"/>
    <x v="2"/>
    <s v="3°2°3223TST3"/>
    <s v="SISTEMAS TECNOLOGICOS"/>
    <x v="5"/>
    <m/>
    <s v="JU"/>
    <s v="CONTRATURNO"/>
    <s v="PAZ DANIEL"/>
    <s v="3°2°3223TST3JU"/>
  </r>
  <r>
    <s v="3°2°"/>
    <x v="384"/>
    <n v="0"/>
    <s v="2LUT"/>
    <x v="9"/>
    <x v="1"/>
    <s v="3°2°3MAT"/>
    <s v="MATEMATICA"/>
    <x v="7"/>
    <m/>
    <s v="LU"/>
    <m/>
    <s v="VARCHETTA, GABRIEL OMAR   "/>
    <s v="3°2°3MATLU"/>
  </r>
  <r>
    <s v="3°2°"/>
    <x v="385"/>
    <n v="322"/>
    <s v="2MAMaula 4"/>
    <x v="10"/>
    <x v="0"/>
    <s v="3°2°3223TLT3"/>
    <s v="LENGUAJES TECNOLOGICOS"/>
    <x v="1"/>
    <m/>
    <s v="MA"/>
    <s v="CONTRATURNO"/>
    <s v="TITO JUAN MANUEL"/>
    <s v="3°2°3223TLT3MA"/>
  </r>
  <r>
    <s v="3°2°"/>
    <x v="386"/>
    <n v="0"/>
    <s v="2MAT"/>
    <x v="10"/>
    <x v="1"/>
    <s v="3°2°3GEO"/>
    <s v="GEOGRAFIA"/>
    <x v="7"/>
    <m/>
    <s v="MA"/>
    <m/>
    <s v="ZAMBRANO GAMBOA JOSHUA"/>
    <s v="3°2°3GEOMA"/>
  </r>
  <r>
    <s v="3°2°"/>
    <x v="387"/>
    <n v="0"/>
    <s v="4MAMPATIO2"/>
    <x v="18"/>
    <x v="0"/>
    <s v="3°2°3EFI"/>
    <s v="EDUCACIÓN FISICA"/>
    <x v="3"/>
    <m/>
    <s v="MA"/>
    <s v="CONTRATURNO"/>
    <s v="DE LA FUENTE F."/>
    <s v="3°2°3EFIMA"/>
  </r>
  <r>
    <s v="3°2°"/>
    <x v="388"/>
    <n v="0"/>
    <s v="2MIT"/>
    <x v="11"/>
    <x v="1"/>
    <s v="3°2°3MAT"/>
    <s v="MATEMATICA"/>
    <x v="7"/>
    <m/>
    <s v="MI"/>
    <m/>
    <s v="VARCHETTA, GABRIEL OMAR   "/>
    <s v="3°2°3MATMI"/>
  </r>
  <r>
    <s v="3°2°"/>
    <x v="389"/>
    <n v="321"/>
    <s v="2VIMAULA 2"/>
    <x v="8"/>
    <x v="0"/>
    <s v="3°2°3213TLT3"/>
    <s v="LENGUAJES TECNOLOGICOS"/>
    <x v="10"/>
    <m/>
    <s v="VI"/>
    <s v="CONTRATURNO"/>
    <s v="TITO JUAN MANUEL"/>
    <s v="3°2°3213TLT3VI"/>
  </r>
  <r>
    <s v="3°2°"/>
    <x v="390"/>
    <n v="322"/>
    <s v="2VIMsuperpuesto"/>
    <x v="8"/>
    <x v="0"/>
    <s v="3°2°3223TPT3"/>
    <s v="PROCEDIMIENTOS TECNICOS"/>
    <x v="13"/>
    <m/>
    <s v="VI"/>
    <s v="CONTRATURNO"/>
    <s v="ETCHEVERRY MARTIN                            "/>
    <s v="3°2°3223TPT3VI"/>
  </r>
  <r>
    <s v="3°2°"/>
    <x v="391"/>
    <n v="0"/>
    <s v="2VIT"/>
    <x v="8"/>
    <x v="1"/>
    <s v="3°2°3PLG"/>
    <s v="PRACTICA DEL LENGUAJE"/>
    <x v="7"/>
    <m/>
    <s v="VI"/>
    <m/>
    <s v="GONZALEZ DANIELA"/>
    <s v="3°2°3PLGVI"/>
  </r>
  <r>
    <s v="3°2°"/>
    <x v="392"/>
    <n v="321"/>
    <s v="1MIMaula 1"/>
    <x v="3"/>
    <x v="0"/>
    <s v="3°2°3213TST3"/>
    <s v="SISTEMAS TECNOLOGICOS"/>
    <x v="9"/>
    <m/>
    <s v="MI"/>
    <s v="CONTRATURNO"/>
    <s v="CRUZ JESUS"/>
    <s v="3°2°3213TST3MI"/>
  </r>
  <r>
    <s v="3°2°"/>
    <x v="393"/>
    <n v="0"/>
    <s v="3JUT"/>
    <x v="12"/>
    <x v="1"/>
    <s v="3°2°3ART"/>
    <s v="EDUCACION ARTISTICA (PLASTICA)"/>
    <x v="7"/>
    <m/>
    <s v="JU"/>
    <m/>
    <s v="TAPIA EVANGELINA EMILCE  "/>
    <s v="3°2°3ARTJU"/>
  </r>
  <r>
    <s v="3°2°"/>
    <x v="394"/>
    <n v="322"/>
    <s v="3JUVcarpinteria"/>
    <x v="12"/>
    <x v="2"/>
    <s v="3°2°3223TST3"/>
    <s v="SISTEMAS TECNOLOGICOS"/>
    <x v="5"/>
    <m/>
    <s v="JU"/>
    <s v="CONTRATURNO"/>
    <s v="PAZ DANIEL"/>
    <s v="3°2°3223TST3JU"/>
  </r>
  <r>
    <s v="3°2°"/>
    <x v="395"/>
    <n v="321"/>
    <s v="3LUMHERRERIA"/>
    <x v="13"/>
    <x v="0"/>
    <s v="3°2°3213TPT3"/>
    <s v="PROCEDIMIENTOS TECNICOS"/>
    <x v="6"/>
    <m/>
    <s v="LU"/>
    <s v="CONTRATURNO"/>
    <s v="LEYES RICARDO"/>
    <s v="3°2°3213TPT3LU"/>
  </r>
  <r>
    <s v="3°2°"/>
    <x v="396"/>
    <n v="0"/>
    <s v="3LUT"/>
    <x v="13"/>
    <x v="1"/>
    <s v="3°2°3FI/QUI"/>
    <s v="FISICO-QUIMICA"/>
    <x v="7"/>
    <m/>
    <s v="LU"/>
    <m/>
    <s v="AGUIRRE VALERIA "/>
    <s v="3°2°3FI/QUILU"/>
  </r>
  <r>
    <s v="3°2°"/>
    <x v="397"/>
    <n v="0"/>
    <s v="3MAT"/>
    <x v="14"/>
    <x v="1"/>
    <s v="3°2°3CCD"/>
    <s v="CONSTRUCCION DE LA CIUDADANIA"/>
    <x v="7"/>
    <m/>
    <s v="MA"/>
    <m/>
    <s v="TORRES GABRIEL "/>
    <s v="3°2°3CCDMA"/>
  </r>
  <r>
    <s v="3°2°"/>
    <x v="398"/>
    <n v="321"/>
    <s v="2MIMaula 1"/>
    <x v="11"/>
    <x v="0"/>
    <s v="3°2°3213TST3"/>
    <s v="SISTEMAS TECNOLOGICOS"/>
    <x v="9"/>
    <m/>
    <s v="MI"/>
    <s v="CONTRATURNO"/>
    <s v="CRUZ JESUS"/>
    <s v="3°2°3213TST3MI"/>
  </r>
  <r>
    <s v="3°2°"/>
    <x v="399"/>
    <n v="0"/>
    <s v="3MIT"/>
    <x v="15"/>
    <x v="1"/>
    <s v="3°2°3HIS"/>
    <s v="HISTORIA"/>
    <x v="7"/>
    <m/>
    <s v="MI"/>
    <m/>
    <s v="TORRES LUIS                    "/>
    <s v="3°2°3HISMI"/>
  </r>
  <r>
    <s v="3°2°"/>
    <x v="400"/>
    <n v="0"/>
    <s v="3VIT"/>
    <x v="6"/>
    <x v="1"/>
    <s v="3°2°3BIO"/>
    <s v="BIOLOGIA"/>
    <x v="7"/>
    <m/>
    <s v="VI"/>
    <m/>
    <s v="ARIAS, YANINA"/>
    <s v="3°2°3BIOVI"/>
  </r>
  <r>
    <s v="3°2°"/>
    <x v="401"/>
    <n v="321"/>
    <s v="3MIMaula 1"/>
    <x v="15"/>
    <x v="0"/>
    <s v="3°2°3213TST3"/>
    <s v="SISTEMAS TECNOLOGICOS"/>
    <x v="9"/>
    <m/>
    <s v="MI"/>
    <s v="CONTRATURNO"/>
    <s v="CRUZ JESUS"/>
    <s v="3°2°3213TST3MI"/>
  </r>
  <r>
    <s v="3°2°"/>
    <x v="402"/>
    <n v="0"/>
    <s v="4JUT"/>
    <x v="16"/>
    <x v="1"/>
    <s v="3°2°3ART"/>
    <s v="EDUCACION ARTISTICA (PLASTICA)"/>
    <x v="7"/>
    <m/>
    <s v="JU"/>
    <m/>
    <s v="TAPIA EVANGELINA EMILCE  "/>
    <s v="3°2°3ARTJU"/>
  </r>
  <r>
    <s v="3°2°"/>
    <x v="403"/>
    <n v="322"/>
    <s v="4JUVcarpinteria"/>
    <x v="16"/>
    <x v="2"/>
    <s v="3°2°3223TST3"/>
    <s v="SISTEMAS TECNOLOGICOS"/>
    <x v="5"/>
    <m/>
    <s v="JU"/>
    <s v="CONTRATURNO"/>
    <s v="PAZ DANIEL"/>
    <s v="3°2°3223TST3JU"/>
  </r>
  <r>
    <s v="3°2°"/>
    <x v="404"/>
    <n v="321"/>
    <s v="4LUMHERRERIA"/>
    <x v="17"/>
    <x v="0"/>
    <s v="3°2°3213TPT3"/>
    <s v="PROCEDIMIENTOS TECNICOS"/>
    <x v="6"/>
    <m/>
    <s v="LU"/>
    <s v="CONTRATURNO"/>
    <s v="LEYES RICARDO"/>
    <s v="3°2°3213TPT3LU"/>
  </r>
  <r>
    <s v="3°2°"/>
    <x v="405"/>
    <n v="0"/>
    <s v="4LUT"/>
    <x v="17"/>
    <x v="1"/>
    <s v="3°2°3FI/QUI"/>
    <s v="FISICO-QUIMICA"/>
    <x v="7"/>
    <m/>
    <s v="LU"/>
    <m/>
    <s v="AGUIRRE VALERIA "/>
    <s v="3°2°3FI/QUILU"/>
  </r>
  <r>
    <s v="3°2°"/>
    <x v="406"/>
    <n v="0"/>
    <s v="4MAT"/>
    <x v="18"/>
    <x v="1"/>
    <s v="3°2°3CCD"/>
    <s v="CONSTRUCCION DE LA CIUDADANIA"/>
    <x v="7"/>
    <m/>
    <s v="MA"/>
    <m/>
    <s v="TORRES GABRIEL "/>
    <s v="3°2°3CCDMA"/>
  </r>
  <r>
    <s v="3°2°"/>
    <x v="407"/>
    <n v="321"/>
    <s v="4MIMaula 1"/>
    <x v="19"/>
    <x v="0"/>
    <s v="3°2°3213TST3"/>
    <s v="SISTEMAS TECNOLOGICOS"/>
    <x v="9"/>
    <m/>
    <s v="MI"/>
    <s v="CONTRATURNO"/>
    <s v="CRUZ JESUS"/>
    <s v="3°2°3213TST3MI"/>
  </r>
  <r>
    <s v="3°2°"/>
    <x v="408"/>
    <n v="0"/>
    <s v="4MIT"/>
    <x v="19"/>
    <x v="1"/>
    <s v="3°2°3HIS"/>
    <s v="HISTORIA"/>
    <x v="7"/>
    <m/>
    <s v="MI"/>
    <m/>
    <s v="TORRES LUIS                    "/>
    <s v="3°2°3HISMI"/>
  </r>
  <r>
    <s v="3°2°"/>
    <x v="409"/>
    <n v="0"/>
    <s v="4VIT"/>
    <x v="7"/>
    <x v="1"/>
    <s v="3°2°3BIO"/>
    <s v="BIOLOGIA"/>
    <x v="7"/>
    <m/>
    <s v="VI"/>
    <m/>
    <s v="ARIAS, YANINA"/>
    <s v="3°2°3BIOVI"/>
  </r>
  <r>
    <s v="3°2°"/>
    <x v="410"/>
    <n v="0"/>
    <s v="5LUT"/>
    <x v="21"/>
    <x v="1"/>
    <s v="3°2°3ING"/>
    <s v="INGLÉS"/>
    <x v="7"/>
    <m/>
    <s v="LU"/>
    <m/>
    <s v="ARCE KARINA "/>
    <s v="3°2°3INGLU"/>
  </r>
  <r>
    <s v="3°2°"/>
    <x v="411"/>
    <n v="0"/>
    <s v="5MAT"/>
    <x v="28"/>
    <x v="1"/>
    <s v="3°2°3ING"/>
    <s v="INGLÉS"/>
    <x v="7"/>
    <m/>
    <s v="MA"/>
    <m/>
    <s v="ARCE KARINA "/>
    <s v="3°2°3INGMA"/>
  </r>
  <r>
    <s v="3°3°"/>
    <x v="412"/>
    <n v="0"/>
    <s v="1JUM"/>
    <x v="0"/>
    <x v="0"/>
    <s v="3°3°3HIS"/>
    <s v="HISTORIA"/>
    <x v="7"/>
    <m/>
    <s v="JU"/>
    <m/>
    <s v="TORRES LUIS                    "/>
    <s v="3°3°3HISJU"/>
  </r>
  <r>
    <s v="3°3°"/>
    <x v="413"/>
    <n v="0"/>
    <s v="1LUM"/>
    <x v="1"/>
    <x v="0"/>
    <s v="3°3°3PLG"/>
    <s v="PRACTICA DEL LENGUAJE"/>
    <x v="7"/>
    <m/>
    <s v="LU"/>
    <m/>
    <s v="CARESTIA, NOEMI"/>
    <s v="3°3°3PLGLU"/>
  </r>
  <r>
    <s v="3°3°"/>
    <x v="414"/>
    <n v="331"/>
    <s v="1LUTHERRERIA"/>
    <x v="1"/>
    <x v="1"/>
    <s v="3°3°3313TPT3"/>
    <s v="PROCEDIMIENTOS TECNICOS"/>
    <x v="6"/>
    <m/>
    <s v="LU"/>
    <s v="CONTRATURNO"/>
    <s v="CHAMORRO CRISTIAN "/>
    <s v="3°3°3313TPT3LU"/>
  </r>
  <r>
    <s v="3°3°"/>
    <x v="415"/>
    <n v="0"/>
    <s v="1MAM"/>
    <x v="2"/>
    <x v="0"/>
    <s v="3°3°3ING"/>
    <s v="INGLÉS"/>
    <x v="7"/>
    <m/>
    <s v="MA"/>
    <m/>
    <s v="LEGUIZAMON ANA "/>
    <s v="3°3°3INGMA"/>
  </r>
  <r>
    <s v="3°3°"/>
    <x v="416"/>
    <n v="331"/>
    <s v="1MATALULA 4"/>
    <x v="2"/>
    <x v="1"/>
    <s v="3°3°3313TLT3"/>
    <s v="LENGUAJES TECNOLOGICOS"/>
    <x v="17"/>
    <m/>
    <s v="MA"/>
    <s v="CONTRATURNO"/>
    <s v="GUTIERREZ FERNANDO "/>
    <s v="3°3°3313TLT3MA"/>
  </r>
  <r>
    <s v="3°3°"/>
    <x v="417"/>
    <n v="332"/>
    <s v="1MAT46"/>
    <x v="2"/>
    <x v="1"/>
    <s v="3°3°3323TST3"/>
    <s v="SISTEMAS TECNOLOGICOS"/>
    <x v="16"/>
    <m/>
    <s v="MA"/>
    <s v="CONTRATURNO"/>
    <s v="CORDOBA ALEJANDRO"/>
    <s v="3°3°3323TST3MA"/>
  </r>
  <r>
    <s v="3°3°"/>
    <x v="418"/>
    <n v="0"/>
    <s v="1MIM"/>
    <x v="3"/>
    <x v="0"/>
    <s v="3°3°3MAT"/>
    <s v="MATEMATICA"/>
    <x v="7"/>
    <m/>
    <s v="MI"/>
    <m/>
    <s v="VARCHETTA, GABRIEL OMAR "/>
    <s v="3°3°3MATMI"/>
  </r>
  <r>
    <s v="3°3°"/>
    <x v="419"/>
    <n v="0"/>
    <s v="1juTPATIO"/>
    <x v="0"/>
    <x v="1"/>
    <s v="3°3°3EFI"/>
    <s v="EDUCACIÓN FISICA"/>
    <x v="12"/>
    <m/>
    <s v="JU"/>
    <s v="CONTRATURNO"/>
    <s v="RIOS, LEONARDO  "/>
    <s v="3°3°3EFIju"/>
  </r>
  <r>
    <s v="3°3°"/>
    <x v="420"/>
    <n v="0"/>
    <s v="1VIM"/>
    <x v="4"/>
    <x v="0"/>
    <s v="3°3°3PLG"/>
    <s v="PRACTICA DEL LENGUAJE"/>
    <x v="7"/>
    <m/>
    <s v="VI"/>
    <m/>
    <s v="CARESTIA, NOEMI"/>
    <s v="3°3°3PLGVI"/>
  </r>
  <r>
    <s v="3°3°"/>
    <x v="421"/>
    <n v="332"/>
    <s v="1VITALULA 4"/>
    <x v="4"/>
    <x v="1"/>
    <s v="3°3°3323TLT3"/>
    <s v="LENGUAJES TECNOLOGICOS"/>
    <x v="17"/>
    <m/>
    <s v="VI"/>
    <s v="CONTRATURNO"/>
    <s v="PROCHOR PABLO  "/>
    <s v="3°3°3323TLT3VI"/>
  </r>
  <r>
    <s v="3°3°"/>
    <x v="422"/>
    <n v="331"/>
    <s v="1VIVCARPINTERIA"/>
    <x v="4"/>
    <x v="2"/>
    <s v="3°3°3313TST3"/>
    <s v="SISTEMAS TECNOLOGICOS"/>
    <x v="5"/>
    <m/>
    <s v="VI"/>
    <s v="CONTRATURNO"/>
    <s v="DANIEL PAZ"/>
    <s v="3°3°3313TST3VI"/>
  </r>
  <r>
    <s v="3°3°"/>
    <x v="423"/>
    <n v="0"/>
    <s v="2JUM"/>
    <x v="5"/>
    <x v="0"/>
    <s v="3°3°3HIS"/>
    <s v="HISTORIA"/>
    <x v="7"/>
    <m/>
    <s v="JU"/>
    <m/>
    <s v="TORRES LUIS                    "/>
    <s v="3°3°3HISJU"/>
  </r>
  <r>
    <s v="3°3°"/>
    <x v="424"/>
    <n v="0"/>
    <s v="2LUM"/>
    <x v="9"/>
    <x v="0"/>
    <s v="3°3°3PLG"/>
    <s v="PRACTICA DEL LENGUAJE"/>
    <x v="7"/>
    <m/>
    <s v="LU"/>
    <m/>
    <s v="CARESTIA, NOEMI"/>
    <s v="3°3°3PLGLU"/>
  </r>
  <r>
    <s v="3°3°"/>
    <x v="425"/>
    <n v="331"/>
    <s v="2LUTHERRERIA"/>
    <x v="9"/>
    <x v="1"/>
    <s v="3°3°3313TPT3"/>
    <s v="PROCEDIMIENTOS TECNICOS"/>
    <x v="6"/>
    <m/>
    <s v="LU"/>
    <s v="CONTRATURNO"/>
    <s v="CHAMORRO CRISTIAN "/>
    <s v="3°3°3313TPT3LU"/>
  </r>
  <r>
    <s v="3°3°"/>
    <x v="426"/>
    <n v="0"/>
    <s v="2MAM"/>
    <x v="10"/>
    <x v="0"/>
    <s v="3°3°3ING"/>
    <s v="INGLÉS"/>
    <x v="7"/>
    <m/>
    <s v="MA"/>
    <m/>
    <s v="LEGUIZAMON ANA "/>
    <s v="3°3°3INGMA"/>
  </r>
  <r>
    <s v="3°3°"/>
    <x v="427"/>
    <n v="331"/>
    <s v="2MATALULA 4"/>
    <x v="10"/>
    <x v="1"/>
    <s v="3°3°3313TLT3"/>
    <s v="LENGUAJES TECNOLOGICOS"/>
    <x v="17"/>
    <m/>
    <s v="MA"/>
    <s v="CONTRATURNO"/>
    <s v="GUTIERREZ FERNANDO "/>
    <s v="3°3°3313TLT3MA"/>
  </r>
  <r>
    <s v="3°3°"/>
    <x v="428"/>
    <n v="332"/>
    <s v="2MAT46"/>
    <x v="10"/>
    <x v="1"/>
    <s v="3°3°3323TST3"/>
    <s v="SISTEMAS TECNOLOGICOS"/>
    <x v="16"/>
    <m/>
    <s v="MA"/>
    <s v="CONTRATURNO"/>
    <s v="CORDOBA ALEJANDRO"/>
    <s v="3°3°3323TST3MA"/>
  </r>
  <r>
    <s v="3°3°"/>
    <x v="429"/>
    <n v="0"/>
    <s v="2MIM"/>
    <x v="11"/>
    <x v="0"/>
    <s v="3°3°3MAT"/>
    <s v="MATEMATICA"/>
    <x v="7"/>
    <m/>
    <s v="MI"/>
    <m/>
    <s v="VARCHETTA, GABRIEL OMAR "/>
    <s v="3°3°3MATMI"/>
  </r>
  <r>
    <s v="3°3°"/>
    <x v="430"/>
    <n v="0"/>
    <s v="2juTPATIO"/>
    <x v="5"/>
    <x v="1"/>
    <s v="3°3°3EFI"/>
    <s v="EDUCACIÓN FISICA"/>
    <x v="12"/>
    <m/>
    <s v="JU"/>
    <s v="CONTRATURNO"/>
    <s v="RIOS, LEONARDO  "/>
    <s v="3°3°3EFIju"/>
  </r>
  <r>
    <s v="3°3°"/>
    <x v="431"/>
    <n v="0"/>
    <s v="2VIM"/>
    <x v="8"/>
    <x v="0"/>
    <s v="3°3°3PLG"/>
    <s v="PRACTICA DEL LENGUAJE"/>
    <x v="7"/>
    <m/>
    <s v="VI"/>
    <m/>
    <s v="CARESTIA, NOEMI"/>
    <s v="3°3°3PLGVI"/>
  </r>
  <r>
    <s v="3°3°"/>
    <x v="432"/>
    <n v="332"/>
    <s v="2VITALULA 4"/>
    <x v="8"/>
    <x v="1"/>
    <s v="3°3°3323TLT3"/>
    <s v="LENGUAJES TECNOLOGICOS"/>
    <x v="17"/>
    <m/>
    <s v="VI"/>
    <s v="CONTRATURNO"/>
    <s v="PROCHOR PABLO  "/>
    <s v="3°3°3323TLT3VI"/>
  </r>
  <r>
    <s v="3°3°"/>
    <x v="433"/>
    <n v="331"/>
    <s v="2VIVCARPINTERIA"/>
    <x v="8"/>
    <x v="2"/>
    <s v="3°3°3313TST3"/>
    <s v="SISTEMAS TECNOLOGICOS"/>
    <x v="5"/>
    <m/>
    <s v="VI"/>
    <s v="CONTRATURNO"/>
    <s v="DANIEL PAZ"/>
    <s v="3°3°3313TST3VI"/>
  </r>
  <r>
    <s v="3°3°"/>
    <x v="434"/>
    <n v="0"/>
    <s v="3JUM"/>
    <x v="12"/>
    <x v="0"/>
    <s v="3°3°3CCD"/>
    <s v="CONSTRUCCION DE LA CIUDADANIA"/>
    <x v="7"/>
    <m/>
    <s v="JU"/>
    <m/>
    <s v="HERRERA CARMEN"/>
    <s v="3°3°3CCDJU"/>
  </r>
  <r>
    <s v="3°3°"/>
    <x v="435"/>
    <n v="0"/>
    <s v="3LUM"/>
    <x v="13"/>
    <x v="0"/>
    <s v="3°3°3MAT"/>
    <s v="MATEMATICA"/>
    <x v="7"/>
    <m/>
    <s v="LU"/>
    <m/>
    <s v="VARCHETTA, GABRIEL OMAR "/>
    <s v="3°3°3MATLU"/>
  </r>
  <r>
    <s v="3°3°"/>
    <x v="436"/>
    <n v="0"/>
    <s v="3MAM"/>
    <x v="14"/>
    <x v="0"/>
    <s v="3°3°3ART"/>
    <s v="EDUCACION ARTISTICA (PLASTICA)"/>
    <x v="7"/>
    <m/>
    <s v="MA"/>
    <m/>
    <s v="PERALTA GISELA"/>
    <s v="3°3°3ARTMA"/>
  </r>
  <r>
    <s v="3°3°"/>
    <x v="437"/>
    <n v="332"/>
    <s v="3MAT46"/>
    <x v="14"/>
    <x v="1"/>
    <s v="3°3°3323TST3"/>
    <s v="SISTEMAS TECNOLOGICOS"/>
    <x v="16"/>
    <m/>
    <s v="MA"/>
    <s v="CONTRATURNO"/>
    <s v="CORDOBA ALEJANDRO"/>
    <s v="3°3°3323TST3MA"/>
  </r>
  <r>
    <s v="3°3°"/>
    <x v="438"/>
    <n v="0"/>
    <s v="3MIM"/>
    <x v="15"/>
    <x v="0"/>
    <s v="3°3°3GEO"/>
    <s v="GEOGRAFIA"/>
    <x v="7"/>
    <m/>
    <s v="MI"/>
    <m/>
    <s v=" ROJAS SOLEDAD"/>
    <s v="3°3°3GEOMI"/>
  </r>
  <r>
    <s v="3°3°"/>
    <x v="439"/>
    <n v="0"/>
    <s v="3VIM"/>
    <x v="6"/>
    <x v="0"/>
    <s v="3°3°3BIO"/>
    <s v="BIOLOGIA"/>
    <x v="7"/>
    <m/>
    <s v="VI"/>
    <m/>
    <s v="CANCELA GONZALEZ M "/>
    <s v="3°3°3BIOVI"/>
  </r>
  <r>
    <s v="3°3°"/>
    <x v="440"/>
    <n v="332"/>
    <s v="3VITHERRERIA"/>
    <x v="6"/>
    <x v="1"/>
    <s v="3°3°3323TPT3"/>
    <s v="PROCEDIMIENTOS TECNICOS"/>
    <x v="6"/>
    <s v="SUPERPUESTO"/>
    <s v="VI"/>
    <s v="CONTRATURNO"/>
    <s v="CRUZ DAVID"/>
    <s v="3°3°3323TPT3VI"/>
  </r>
  <r>
    <s v="3°3°"/>
    <x v="441"/>
    <n v="331"/>
    <s v="3VIVCARPINTERIA"/>
    <x v="6"/>
    <x v="2"/>
    <s v="3°3°3313TST3"/>
    <s v="SISTEMAS TECNOLOGICOS"/>
    <x v="5"/>
    <m/>
    <s v="VI"/>
    <s v="CONTRATURNO"/>
    <s v="DANIEL PAZ"/>
    <s v="3°3°3313TST3VI"/>
  </r>
  <r>
    <s v="3°3°"/>
    <x v="442"/>
    <n v="0"/>
    <s v="4JUM"/>
    <x v="16"/>
    <x v="0"/>
    <s v="3°3°3CCD"/>
    <s v="CONSTRUCCION DE LA CIUDADANIA"/>
    <x v="7"/>
    <m/>
    <s v="JU"/>
    <m/>
    <s v="HERRERA CARMEN"/>
    <s v="3°3°3CCDJU"/>
  </r>
  <r>
    <s v="3°3°"/>
    <x v="443"/>
    <n v="0"/>
    <s v="4LUM"/>
    <x v="17"/>
    <x v="0"/>
    <s v="3°3°3MAT"/>
    <s v="MATEMATICA"/>
    <x v="7"/>
    <m/>
    <s v="LU"/>
    <m/>
    <s v="VARCHETTA, GABRIEL OMAR "/>
    <s v="3°3°3MATLU"/>
  </r>
  <r>
    <s v="3°3°"/>
    <x v="444"/>
    <n v="0"/>
    <s v="4MAM"/>
    <x v="18"/>
    <x v="0"/>
    <s v="3°3°3ART"/>
    <s v="EDUCACION ARTISTICA (PLASTICA)"/>
    <x v="7"/>
    <m/>
    <s v="MA"/>
    <m/>
    <s v="PERALTA GISELA"/>
    <s v="3°3°3ARTMA"/>
  </r>
  <r>
    <s v="3°3°"/>
    <x v="445"/>
    <n v="332"/>
    <s v="4MAT46"/>
    <x v="18"/>
    <x v="1"/>
    <s v="3°3°3323TST3"/>
    <s v="SISTEMAS TECNOLOGICOS"/>
    <x v="16"/>
    <m/>
    <s v="MA"/>
    <s v="CONTRATURNO"/>
    <s v="CORDOBA ALEJANDRO"/>
    <s v="3°3°3323TST3MA"/>
  </r>
  <r>
    <s v="3°3°"/>
    <x v="446"/>
    <n v="0"/>
    <s v="4MIM"/>
    <x v="19"/>
    <x v="0"/>
    <s v="3°3°3GEO"/>
    <s v="GEOGRAFIA"/>
    <x v="7"/>
    <m/>
    <s v="MI"/>
    <m/>
    <s v=" ROJAS SOLEDAD"/>
    <s v="3°3°3GEOMI"/>
  </r>
  <r>
    <s v="3°3°"/>
    <x v="447"/>
    <n v="0"/>
    <s v="4VIM"/>
    <x v="7"/>
    <x v="0"/>
    <s v="3°3°3BIO"/>
    <s v="BIOLOGIA"/>
    <x v="7"/>
    <m/>
    <s v="VI"/>
    <m/>
    <s v="CANCELA GONZALEZ M "/>
    <s v="3°3°3BIOVI"/>
  </r>
  <r>
    <s v="3°3°"/>
    <x v="448"/>
    <n v="332"/>
    <s v="4VITHERRERIA"/>
    <x v="7"/>
    <x v="1"/>
    <s v="3°3°3323TPT3"/>
    <s v="PROCEDIMIENTOS TECNICOS"/>
    <x v="6"/>
    <s v="SUPERPUESTO"/>
    <s v="VI"/>
    <s v="CONTRATURNO"/>
    <s v="CRUZ DAVID"/>
    <s v="3°3°3323TPT3VI"/>
  </r>
  <r>
    <s v="3°3°"/>
    <x v="449"/>
    <n v="331"/>
    <s v="4VIVCARPINTERIA"/>
    <x v="7"/>
    <x v="2"/>
    <s v="3°3°3313TST3"/>
    <s v="SISTEMAS TECNOLOGICOS"/>
    <x v="5"/>
    <m/>
    <s v="VI"/>
    <s v="CONTRATURNO"/>
    <s v="DANIEL PAZ"/>
    <s v="3°3°3313TST3VI"/>
  </r>
  <r>
    <s v="3°3°"/>
    <x v="450"/>
    <n v="0"/>
    <s v="5LUM"/>
    <x v="21"/>
    <x v="0"/>
    <s v="3°3°3FI/QUI"/>
    <s v="FISICO-QUIMICA"/>
    <x v="7"/>
    <m/>
    <s v="LU"/>
    <m/>
    <s v="DIEGO UGALDEA"/>
    <s v="3°3°3FI/QUILU"/>
  </r>
  <r>
    <s v="3°3°"/>
    <x v="451"/>
    <n v="0"/>
    <s v="5MIM"/>
    <x v="24"/>
    <x v="0"/>
    <s v="3°3°3FI/QUI"/>
    <s v="FISICO-QUIMICA"/>
    <x v="7"/>
    <m/>
    <s v="MI"/>
    <m/>
    <s v="DIEGO UGALDEA"/>
    <s v="3°3°3FI/QUIMI"/>
  </r>
  <r>
    <s v="3°4°"/>
    <x v="452"/>
    <n v="342"/>
    <s v="1JUMHERRERIA"/>
    <x v="0"/>
    <x v="0"/>
    <s v="3°4°3423TPT3"/>
    <s v="PROCEDIMIENTOS TECNICOS"/>
    <x v="6"/>
    <m/>
    <s v="JU"/>
    <s v="CONTRATURNO"/>
    <s v="LEYES RICARDO"/>
    <s v="3°4°3423TPT3JU"/>
  </r>
  <r>
    <s v="3°4°"/>
    <x v="453"/>
    <n v="0"/>
    <s v="1JUT"/>
    <x v="0"/>
    <x v="1"/>
    <s v="3°4°3MAT"/>
    <s v="MATEMATICA"/>
    <x v="7"/>
    <m/>
    <s v="JU"/>
    <m/>
    <s v="GARCIA CLAUDIA "/>
    <s v="3°4°3MATJU"/>
  </r>
  <r>
    <s v="3°4°"/>
    <x v="454"/>
    <n v="341"/>
    <s v="1LUMaula 1"/>
    <x v="1"/>
    <x v="0"/>
    <s v="3°4°3413TST3"/>
    <s v="SISTEMAS TECNOLOGICOS"/>
    <x v="9"/>
    <m/>
    <s v="LU"/>
    <s v="CONTRATURNO"/>
    <s v="GOMEZ ANALIA"/>
    <s v="3°4°3413TST3LU"/>
  </r>
  <r>
    <s v="3°4°"/>
    <x v="455"/>
    <n v="342"/>
    <s v="1juVAULA 2"/>
    <x v="0"/>
    <x v="2"/>
    <s v="3°4°3423TST3"/>
    <s v="SISTEMAS TECNOLOGICOS"/>
    <x v="10"/>
    <m/>
    <s v="JU"/>
    <s v="CONTRATURNO"/>
    <s v="ROTOLO, LUCIANO "/>
    <s v="3°4°3423TST3ju"/>
  </r>
  <r>
    <s v="3°4°"/>
    <x v="456"/>
    <n v="0"/>
    <s v="1luT"/>
    <x v="1"/>
    <x v="1"/>
    <s v="3°4°3BIO"/>
    <s v="BIOLOGIA"/>
    <x v="7"/>
    <m/>
    <s v="LU"/>
    <m/>
    <s v="OLIVIERI, ROMINA DE LOS MILAGR"/>
    <s v="3°4°3BIOlu"/>
  </r>
  <r>
    <s v="3°4°"/>
    <x v="457"/>
    <n v="341"/>
    <s v="1MAMaula 2"/>
    <x v="2"/>
    <x v="0"/>
    <s v="3°4°3413TLT3"/>
    <s v="LENGUAJES TECNOLOGICOS"/>
    <x v="10"/>
    <m/>
    <s v="MA"/>
    <s v="CONTRATURNO"/>
    <s v="PROCHOR JUAN PABLO"/>
    <s v="3°4°3413TLT3MA"/>
  </r>
  <r>
    <s v="3°4°"/>
    <x v="458"/>
    <n v="0"/>
    <s v="1MAT"/>
    <x v="2"/>
    <x v="1"/>
    <s v="3°4°3PLG"/>
    <s v="PRACTICA DEL LENGUAJE"/>
    <x v="7"/>
    <m/>
    <s v="MA"/>
    <m/>
    <s v="SANTILLAN ESTELA "/>
    <s v="3°4°3PLGMA"/>
  </r>
  <r>
    <s v="3°4°"/>
    <x v="459"/>
    <n v="341"/>
    <s v="1MIMHERRERIA"/>
    <x v="3"/>
    <x v="0"/>
    <s v="3°4°3413TPT3"/>
    <s v="PROCEDIMIENTOS TECNICOS"/>
    <x v="6"/>
    <m/>
    <s v="MI"/>
    <s v="CONTRATURNO"/>
    <s v="CRUZ DAVID"/>
    <s v="3°4°3413TPT3MI"/>
  </r>
  <r>
    <s v="3°4°"/>
    <x v="460"/>
    <n v="0"/>
    <s v="1MIT"/>
    <x v="3"/>
    <x v="1"/>
    <s v="3°4°3HIS"/>
    <s v="HISTORIA"/>
    <x v="7"/>
    <m/>
    <s v="MI"/>
    <m/>
    <s v="TORRES LUIS                    "/>
    <s v="3°4°3HISMI"/>
  </r>
  <r>
    <s v="3°4°"/>
    <x v="461"/>
    <n v="0"/>
    <s v="1VIT"/>
    <x v="4"/>
    <x v="1"/>
    <s v="3°4°3FI/QUI"/>
    <s v="FISICO-QUIMICA"/>
    <x v="7"/>
    <m/>
    <s v="VI"/>
    <m/>
    <s v="PORQUERES, MATIAS "/>
    <s v="3°4°3FI/QUIVI"/>
  </r>
  <r>
    <s v="3°4°"/>
    <x v="462"/>
    <n v="342"/>
    <s v="2JUMHERRERIA"/>
    <x v="5"/>
    <x v="0"/>
    <s v="3°4°3423TPT3"/>
    <s v="PROCEDIMIENTOS TECNICOS"/>
    <x v="6"/>
    <m/>
    <s v="JU"/>
    <s v="CONTRATURNO"/>
    <s v="LEYES RICARDO"/>
    <s v="3°4°3423TPT3JU"/>
  </r>
  <r>
    <s v="3°4°"/>
    <x v="463"/>
    <n v="0"/>
    <s v="2JUT"/>
    <x v="5"/>
    <x v="1"/>
    <s v="3°4°3MAT"/>
    <s v="MATEMATICA"/>
    <x v="7"/>
    <m/>
    <s v="JU"/>
    <m/>
    <s v="GARCIA CLAUDIA "/>
    <s v="3°4°3MATJU"/>
  </r>
  <r>
    <s v="3°4°"/>
    <x v="464"/>
    <n v="341"/>
    <s v="2LUMaula 1"/>
    <x v="9"/>
    <x v="0"/>
    <s v="3°4°3413TST3"/>
    <s v="SISTEMAS TECNOLOGICOS"/>
    <x v="9"/>
    <m/>
    <s v="LU"/>
    <s v="CONTRATURNO"/>
    <s v="GOMEZ ANALIA"/>
    <s v="3°4°3413TST3LU"/>
  </r>
  <r>
    <s v="3°4°"/>
    <x v="465"/>
    <n v="342"/>
    <s v="2juVAULA 2"/>
    <x v="5"/>
    <x v="2"/>
    <s v="3°4°3423TST3"/>
    <s v="SISTEMAS TECNOLOGICOS"/>
    <x v="10"/>
    <m/>
    <s v="JU"/>
    <s v="CONTRATURNO"/>
    <s v="ROTOLO, LUCIANO "/>
    <s v="3°4°3423TST3ju"/>
  </r>
  <r>
    <s v="3°4°"/>
    <x v="466"/>
    <n v="0"/>
    <s v="2luT"/>
    <x v="9"/>
    <x v="1"/>
    <s v="3°4°3BIO"/>
    <s v="BIOLOGIA"/>
    <x v="7"/>
    <m/>
    <s v="LU"/>
    <m/>
    <s v="OLIVIERI, ROMINA DE LOS MILAGR"/>
    <s v="3°4°3BIOlu"/>
  </r>
  <r>
    <s v="3°4°"/>
    <x v="467"/>
    <n v="341"/>
    <s v="2MAMaula 2"/>
    <x v="10"/>
    <x v="0"/>
    <s v="3°4°3413TLT3"/>
    <s v="LENGUAJES TECNOLOGICOS"/>
    <x v="10"/>
    <m/>
    <s v="MA"/>
    <s v="CONTRATURNO"/>
    <s v="PROCHOR JUAN PABLO"/>
    <s v="3°4°3413TLT3MA"/>
  </r>
  <r>
    <s v="3°4°"/>
    <x v="468"/>
    <n v="0"/>
    <s v="2MAT"/>
    <x v="10"/>
    <x v="1"/>
    <s v="3°4°3PLG"/>
    <s v="PRACTICA DEL LENGUAJE"/>
    <x v="7"/>
    <m/>
    <s v="MA"/>
    <m/>
    <s v="SANTILLAN ESTELA "/>
    <s v="3°4°3PLGMA"/>
  </r>
  <r>
    <s v="3°4°"/>
    <x v="469"/>
    <n v="341"/>
    <s v="2MIMHERRERIA"/>
    <x v="11"/>
    <x v="0"/>
    <s v="3°4°3413TPT3"/>
    <s v="PROCEDIMIENTOS TECNICOS"/>
    <x v="6"/>
    <m/>
    <s v="MI"/>
    <s v="CONTRATURNO"/>
    <s v="CRUZ DAVID"/>
    <s v="3°4°3413TPT3MI"/>
  </r>
  <r>
    <s v="3°4°"/>
    <x v="470"/>
    <n v="0"/>
    <s v="2MIT"/>
    <x v="11"/>
    <x v="1"/>
    <s v="3°4°3HIS"/>
    <s v="HISTORIA"/>
    <x v="7"/>
    <m/>
    <s v="MI"/>
    <m/>
    <s v="TORRES LUIS                    "/>
    <s v="3°4°3HISMI"/>
  </r>
  <r>
    <s v="3°4°"/>
    <x v="471"/>
    <n v="0"/>
    <s v="2VIT"/>
    <x v="8"/>
    <x v="1"/>
    <s v="3°4°3FI/QUI"/>
    <s v="FISICO-QUIMICA"/>
    <x v="7"/>
    <m/>
    <s v="VI"/>
    <m/>
    <s v="PORQUERES, MATIAS "/>
    <s v="3°4°3FI/QUIVI"/>
  </r>
  <r>
    <s v="3°4°"/>
    <x v="472"/>
    <n v="0"/>
    <s v="3JUT"/>
    <x v="12"/>
    <x v="1"/>
    <s v="3°4°3ING"/>
    <s v="INGLÉS"/>
    <x v="7"/>
    <m/>
    <s v="JU"/>
    <m/>
    <s v="ARCE KARINA "/>
    <s v="3°4°3INGJU"/>
  </r>
  <r>
    <s v="3°4°"/>
    <x v="473"/>
    <n v="341"/>
    <s v="3LUMaula 1"/>
    <x v="13"/>
    <x v="0"/>
    <s v="3°4°3413TST3"/>
    <s v="SISTEMAS TECNOLOGICOS"/>
    <x v="9"/>
    <m/>
    <s v="LU"/>
    <s v="CONTRATURNO"/>
    <s v="GOMEZ ANALIA"/>
    <s v="3°4°3413TST3LU"/>
  </r>
  <r>
    <s v="3°4°"/>
    <x v="474"/>
    <n v="342"/>
    <s v="3juVAULA 2"/>
    <x v="12"/>
    <x v="2"/>
    <s v="3°4°3423TST3"/>
    <s v="SISTEMAS TECNOLOGICOS"/>
    <x v="10"/>
    <m/>
    <s v="JU"/>
    <s v="CONTRATURNO"/>
    <s v="ROTOLO, LUCIANO "/>
    <s v="3°4°3423TST3ju"/>
  </r>
  <r>
    <s v="3°4°"/>
    <x v="475"/>
    <n v="0"/>
    <s v="3LUT"/>
    <x v="13"/>
    <x v="1"/>
    <s v="3°4°3MAT"/>
    <s v="MATEMATICA"/>
    <x v="7"/>
    <m/>
    <s v="LU"/>
    <m/>
    <s v="GARCIA CLAUDIA "/>
    <s v="3°4°3MATLU"/>
  </r>
  <r>
    <s v="3°4°"/>
    <x v="476"/>
    <n v="342"/>
    <s v="3JUMaula 2"/>
    <x v="12"/>
    <x v="0"/>
    <s v="3°4°3423TLT3"/>
    <s v="LENGUAJES TECNOLOGICOS"/>
    <x v="10"/>
    <m/>
    <s v="JU"/>
    <s v="CONTRATURNO"/>
    <s v="PROCHOR JUAN PABLO   "/>
    <s v="3°4°3423TLT3JU"/>
  </r>
  <r>
    <s v="3°4°"/>
    <x v="477"/>
    <n v="0"/>
    <s v="3MAT"/>
    <x v="14"/>
    <x v="1"/>
    <s v="3°4°3ART"/>
    <s v="EDUCACION ARTISTICA (PLASTICA)"/>
    <x v="7"/>
    <m/>
    <s v="MA"/>
    <m/>
    <s v="BRENDT YANINA"/>
    <s v="3°4°3ARTMA"/>
  </r>
  <r>
    <s v="3°4°"/>
    <x v="478"/>
    <n v="0"/>
    <s v="3MIMPATIO"/>
    <x v="15"/>
    <x v="0"/>
    <s v="3°4°3EFI"/>
    <s v="EDUCACIÓN FISICA"/>
    <x v="12"/>
    <m/>
    <s v="MI"/>
    <s v="CONTRATURNO"/>
    <s v="PERALTA ARIANA INT 2026"/>
    <s v="3°4°3EFIMI"/>
  </r>
  <r>
    <s v="3°4°"/>
    <x v="479"/>
    <n v="0"/>
    <s v="3MIT"/>
    <x v="15"/>
    <x v="1"/>
    <s v="3°4°3CCD"/>
    <s v="CONSTRUCCION DE LA CIUDADANIA"/>
    <x v="7"/>
    <m/>
    <s v="MI"/>
    <m/>
    <s v="GORDILLO NORA "/>
    <s v="3°4°3CCDMI"/>
  </r>
  <r>
    <s v="3°4°"/>
    <x v="480"/>
    <n v="0"/>
    <s v="3VIT"/>
    <x v="6"/>
    <x v="1"/>
    <s v="3°4°3PLG"/>
    <s v="PRACTICA DEL LENGUAJE"/>
    <x v="7"/>
    <m/>
    <s v="VI"/>
    <m/>
    <s v="SANTILLAN ESTELA "/>
    <s v="3°4°3PLGVI"/>
  </r>
  <r>
    <s v="3°4°"/>
    <x v="481"/>
    <n v="0"/>
    <s v="4JUT"/>
    <x v="16"/>
    <x v="1"/>
    <s v="3°4°3ING"/>
    <s v="INGLÉS"/>
    <x v="7"/>
    <m/>
    <s v="JU"/>
    <m/>
    <s v="ARCE KARINA "/>
    <s v="3°4°3INGJU"/>
  </r>
  <r>
    <s v="3°4°"/>
    <x v="482"/>
    <n v="341"/>
    <s v="4LUMaula 1"/>
    <x v="17"/>
    <x v="0"/>
    <s v="3°4°3413TST3"/>
    <s v="SISTEMAS TECNOLOGICOS"/>
    <x v="9"/>
    <m/>
    <s v="LU"/>
    <s v="CONTRATURNO"/>
    <s v="GOMEZ ANALIA"/>
    <s v="3°4°3413TST3LU"/>
  </r>
  <r>
    <s v="3°4°"/>
    <x v="483"/>
    <n v="342"/>
    <s v="4juVAULA 2"/>
    <x v="16"/>
    <x v="2"/>
    <s v="3°4°3423TST3"/>
    <s v="SISTEMAS TECNOLOGICOS"/>
    <x v="10"/>
    <m/>
    <s v="JU"/>
    <s v="CONTRATURNO"/>
    <s v="ROTOLO, LUCIANO "/>
    <s v="3°4°3423TST3ju"/>
  </r>
  <r>
    <s v="3°4°"/>
    <x v="484"/>
    <n v="0"/>
    <s v="4LUT"/>
    <x v="17"/>
    <x v="1"/>
    <s v="3°4°3MAT"/>
    <s v="MATEMATICA"/>
    <x v="7"/>
    <m/>
    <s v="LU"/>
    <m/>
    <s v="GARCIA CLAUDIA "/>
    <s v="3°4°3MATLU"/>
  </r>
  <r>
    <s v="3°4°"/>
    <x v="485"/>
    <n v="342"/>
    <s v="4JUMaula 2"/>
    <x v="16"/>
    <x v="0"/>
    <s v="3°4°3423TLT3"/>
    <s v="LENGUAJES TECNOLOGICOS"/>
    <x v="10"/>
    <m/>
    <s v="JU"/>
    <s v="CONTRATURNO"/>
    <s v="PROCHOR JUAN PABLO   "/>
    <s v="3°4°3423TLT3JU"/>
  </r>
  <r>
    <s v="3°4°"/>
    <x v="486"/>
    <n v="0"/>
    <s v="4MAT"/>
    <x v="18"/>
    <x v="1"/>
    <s v="3°4°3ART"/>
    <s v="EDUCACION ARTISTICA (PLASTICA)"/>
    <x v="7"/>
    <m/>
    <s v="MA"/>
    <m/>
    <s v="BRENDT YANINA"/>
    <s v="3°4°3ARTMA"/>
  </r>
  <r>
    <s v="3°4°"/>
    <x v="487"/>
    <n v="0"/>
    <s v="4MIMPATIO"/>
    <x v="19"/>
    <x v="0"/>
    <s v="3°4°3EFI"/>
    <s v="EDUCACIÓN FISICA"/>
    <x v="12"/>
    <m/>
    <s v="MI"/>
    <s v="CONTRATURNO"/>
    <s v="PERALTA ARIANA INT 2026"/>
    <s v="3°4°3EFIMI"/>
  </r>
  <r>
    <s v="3°4°"/>
    <x v="488"/>
    <n v="0"/>
    <s v="4MIT"/>
    <x v="19"/>
    <x v="1"/>
    <s v="3°4°3CCD"/>
    <s v="CONSTRUCCION DE LA CIUDADANIA"/>
    <x v="7"/>
    <m/>
    <s v="MI"/>
    <m/>
    <s v="GORDILLO NORA "/>
    <s v="3°4°3CCDMI"/>
  </r>
  <r>
    <s v="3°4°"/>
    <x v="489"/>
    <n v="0"/>
    <s v="4VIT"/>
    <x v="7"/>
    <x v="1"/>
    <s v="3°4°3PLG"/>
    <s v="PRACTICA DEL LENGUAJE"/>
    <x v="7"/>
    <m/>
    <s v="VI"/>
    <m/>
    <s v="SANTILLAN ESTELA "/>
    <s v="3°4°3PLGVI"/>
  </r>
  <r>
    <s v="3°4°"/>
    <x v="490"/>
    <n v="0"/>
    <s v="PHORAMIT"/>
    <x v="29"/>
    <x v="1"/>
    <s v="3°4°3GEO"/>
    <s v="GEOGRAFIA"/>
    <x v="7"/>
    <m/>
    <s v="MI"/>
    <m/>
    <s v="ROJAS SOLEDAD"/>
    <s v="3°4°3GEOMI"/>
  </r>
  <r>
    <s v="3°4°"/>
    <x v="491"/>
    <n v="0"/>
    <s v="prehorAVIT"/>
    <x v="30"/>
    <x v="1"/>
    <s v="3°4°3GEO"/>
    <s v="GEOGRAFIA"/>
    <x v="7"/>
    <m/>
    <s v="VI"/>
    <m/>
    <s v="ROJAS SOLEDAD"/>
    <s v="3°4°3GEOVI"/>
  </r>
  <r>
    <s v="3°5°"/>
    <x v="492"/>
    <n v="0"/>
    <s v="1JUM"/>
    <x v="0"/>
    <x v="0"/>
    <s v="3°5°3BIO"/>
    <s v="BIOLOGIA"/>
    <x v="7"/>
    <m/>
    <s v="JU"/>
    <m/>
    <s v="FARIAS CLAUDIA"/>
    <s v="3°5°3BIOJU"/>
  </r>
  <r>
    <s v="3°5°"/>
    <x v="493"/>
    <n v="0"/>
    <s v="1LUM"/>
    <x v="1"/>
    <x v="0"/>
    <s v="3°5°3MAT"/>
    <s v="MATEMATICA"/>
    <x v="7"/>
    <m/>
    <s v="LU"/>
    <m/>
    <s v=" FERRARIS OJEDA JULIETA MAR"/>
    <s v="3°5°3MATLU"/>
  </r>
  <r>
    <s v="3°5°"/>
    <x v="494"/>
    <n v="352"/>
    <s v="1maVCARPINTERIA"/>
    <x v="2"/>
    <x v="2"/>
    <s v="3°5°3523TST3"/>
    <s v="SISTEMAS TECNOLOGICOS"/>
    <x v="5"/>
    <m/>
    <s v="MA"/>
    <s v="CONTRATURNO"/>
    <s v="ARNALDO ESCALADA"/>
    <s v="3°5°3523TST3ma"/>
  </r>
  <r>
    <s v="3°5°"/>
    <x v="495"/>
    <n v="0"/>
    <s v="1MAM"/>
    <x v="2"/>
    <x v="0"/>
    <s v="3°5°3ING"/>
    <s v="INGLÉS"/>
    <x v="7"/>
    <m/>
    <s v="MA"/>
    <m/>
    <s v="LOPEZ LILIANA CUIT 27176913881"/>
    <s v="3°5°3INGMA"/>
  </r>
  <r>
    <s v="3°5°"/>
    <x v="496"/>
    <n v="351"/>
    <s v="1MAT45"/>
    <x v="2"/>
    <x v="1"/>
    <s v="3°5°3513TST3"/>
    <s v="SISTEMAS TECNOLOGICOS"/>
    <x v="8"/>
    <m/>
    <s v="MA"/>
    <s v="CONTRATURNO"/>
    <s v="CRUZ JESUS  NAZARENO"/>
    <s v="3°5°3513TST3MA"/>
  </r>
  <r>
    <s v="3°5°"/>
    <x v="497"/>
    <n v="0"/>
    <s v="1MIM"/>
    <x v="3"/>
    <x v="0"/>
    <s v="3°5°3ART"/>
    <s v="EDUCACION ARTISTICA (PLASTICA)"/>
    <x v="7"/>
    <m/>
    <s v="MI"/>
    <m/>
    <s v="ISSETTA LORENA "/>
    <s v="3°5°3ARTMI"/>
  </r>
  <r>
    <s v="3°5°"/>
    <x v="498"/>
    <n v="0"/>
    <s v="1MITPATIO2"/>
    <x v="3"/>
    <x v="1"/>
    <s v="3°5°3EFI"/>
    <s v="EDUCACIÓN FISICA"/>
    <x v="3"/>
    <m/>
    <s v="MI"/>
    <s v="CONTRATURNO"/>
    <s v="LUDUEÑA NELSON "/>
    <s v="3°5°3EFIMI"/>
  </r>
  <r>
    <s v="3°5°"/>
    <x v="499"/>
    <n v="0"/>
    <s v="1VIM"/>
    <x v="4"/>
    <x v="0"/>
    <s v="3°5°3FI/QUI"/>
    <s v="FISICO-QUIMICA"/>
    <x v="7"/>
    <m/>
    <s v="VI"/>
    <m/>
    <s v="CANTONI PABLO MARTIN"/>
    <s v="3°5°3FI/QUIVI"/>
  </r>
  <r>
    <s v="3°5°"/>
    <x v="500"/>
    <n v="351"/>
    <s v="3VITCARPINTERIA"/>
    <x v="6"/>
    <x v="1"/>
    <s v="3°5°3513TPT3"/>
    <s v="PROCEDIMIENTOS TECNICOS"/>
    <x v="5"/>
    <m/>
    <s v="VI"/>
    <s v="CONTRATURNO"/>
    <s v="CRUZ JESUS NAZARENO "/>
    <s v="3°5°3513TPT3VI"/>
  </r>
  <r>
    <s v="3°5°"/>
    <x v="501"/>
    <n v="0"/>
    <s v="2JUM"/>
    <x v="5"/>
    <x v="0"/>
    <s v="3°5°3BIO"/>
    <s v="BIOLOGIA"/>
    <x v="7"/>
    <m/>
    <s v="JU"/>
    <m/>
    <s v="FARIAS CLAUDIA"/>
    <s v="3°5°3BIOJU"/>
  </r>
  <r>
    <s v="3°5°"/>
    <x v="502"/>
    <n v="0"/>
    <s v="2LUM"/>
    <x v="9"/>
    <x v="0"/>
    <s v="3°5°3MAT"/>
    <s v="MATEMATICA"/>
    <x v="7"/>
    <m/>
    <s v="LU"/>
    <m/>
    <s v=" FERRARIS OJEDA JULIETA MAR"/>
    <s v="3°5°3MATLU"/>
  </r>
  <r>
    <s v="3°5°"/>
    <x v="503"/>
    <n v="352"/>
    <s v="2maVCARPINTERIA"/>
    <x v="10"/>
    <x v="2"/>
    <s v="3°5°3523TST3"/>
    <s v="SISTEMAS TECNOLOGICOS"/>
    <x v="5"/>
    <m/>
    <s v="MA"/>
    <s v="CONTRATURNO"/>
    <s v="ARNALDO ESCALADA"/>
    <s v="3°5°3523TST3ma"/>
  </r>
  <r>
    <s v="3°5°"/>
    <x v="504"/>
    <n v="0"/>
    <s v="2MAM"/>
    <x v="10"/>
    <x v="0"/>
    <s v="3°5°3ING"/>
    <s v="INGLÉS"/>
    <x v="7"/>
    <m/>
    <s v="MA"/>
    <m/>
    <s v="LOPEZ LILIANA CUIT 27176913881"/>
    <s v="3°5°3INGMA"/>
  </r>
  <r>
    <s v="3°5°"/>
    <x v="505"/>
    <n v="351"/>
    <s v="2MAT45"/>
    <x v="10"/>
    <x v="1"/>
    <s v="3°5°3513TST3"/>
    <s v="SISTEMAS TECNOLOGICOS"/>
    <x v="8"/>
    <m/>
    <s v="MA"/>
    <s v="CONTRATURNO"/>
    <s v="CRUZ JESUS  NAZARENO"/>
    <s v="3°5°3513TST3MA"/>
  </r>
  <r>
    <s v="3°5°"/>
    <x v="506"/>
    <n v="0"/>
    <s v="2MIM"/>
    <x v="11"/>
    <x v="0"/>
    <s v="3°5°3ART"/>
    <s v="EDUCACION ARTISTICA (PLASTICA)"/>
    <x v="7"/>
    <m/>
    <s v="MI"/>
    <m/>
    <s v="ISSETTA LORENA "/>
    <s v="3°5°3ARTMI"/>
  </r>
  <r>
    <s v="3°5°"/>
    <x v="507"/>
    <n v="0"/>
    <s v="2MITPATIO2"/>
    <x v="11"/>
    <x v="1"/>
    <s v="3°5°3EFI"/>
    <s v="EDUCACIÓN FISICA"/>
    <x v="3"/>
    <m/>
    <s v="MI"/>
    <s v="CONTRATURNO"/>
    <s v="LUDUEÑA NELSON "/>
    <s v="3°5°3EFIMI"/>
  </r>
  <r>
    <s v="3°5°"/>
    <x v="508"/>
    <n v="0"/>
    <s v="2VIM"/>
    <x v="8"/>
    <x v="0"/>
    <s v="3°5°3FI/QUI"/>
    <s v="FISICO-QUIMICA"/>
    <x v="7"/>
    <m/>
    <s v="VI"/>
    <m/>
    <s v="CANTONI PABLO MARTIN"/>
    <s v="3°5°3FI/QUIVI"/>
  </r>
  <r>
    <s v="3°5°"/>
    <x v="509"/>
    <n v="351"/>
    <s v="4VITCARPINTERIA"/>
    <x v="7"/>
    <x v="1"/>
    <s v="3°5°3513TPT3"/>
    <s v="PROCEDIMIENTOS TECNICOS"/>
    <x v="5"/>
    <m/>
    <s v="VI"/>
    <s v="CONTRATURNO"/>
    <s v="CRUZ JESUS NAZARENO "/>
    <s v="3°5°3513TPT3VI"/>
  </r>
  <r>
    <s v="3°5°"/>
    <x v="510"/>
    <n v="0"/>
    <s v="3JUM"/>
    <x v="12"/>
    <x v="0"/>
    <s v="3°5°3MAT"/>
    <s v="MATEMATICA"/>
    <x v="7"/>
    <m/>
    <s v="JU"/>
    <m/>
    <s v=" FERRARIS OJEDA JULIETA MAR"/>
    <s v="3°5°3MATJU"/>
  </r>
  <r>
    <s v="3°5°"/>
    <x v="511"/>
    <n v="351"/>
    <s v="3juTAULA 4"/>
    <x v="12"/>
    <x v="1"/>
    <s v="3°5°3513TLT3"/>
    <s v="LENGUAJES TECNOLOGICOS"/>
    <x v="1"/>
    <m/>
    <s v="JU"/>
    <s v="CONTRATURNO"/>
    <s v="PROCHOR JUAN PABLO   "/>
    <s v="3°5°3513TLT3ju"/>
  </r>
  <r>
    <s v="3°5°"/>
    <x v="512"/>
    <n v="0"/>
    <s v="3LUM"/>
    <x v="13"/>
    <x v="0"/>
    <s v="3°5°3HIS"/>
    <s v="HISTORIA"/>
    <x v="7"/>
    <m/>
    <s v="LU"/>
    <m/>
    <s v="LOPEZ MARINA  "/>
    <s v="3°5°3HISLU"/>
  </r>
  <r>
    <s v="3°5°"/>
    <x v="513"/>
    <n v="352"/>
    <s v="3maVCARPINTERIA"/>
    <x v="14"/>
    <x v="2"/>
    <s v="3°5°3523TST3"/>
    <s v="SISTEMAS TECNOLOGICOS"/>
    <x v="5"/>
    <m/>
    <s v="MA"/>
    <s v="CONTRATURNO"/>
    <s v="ARNALDO ESCALADA"/>
    <s v="3°5°3523TST3ma"/>
  </r>
  <r>
    <s v="3°5°"/>
    <x v="514"/>
    <n v="0"/>
    <s v="3MAM"/>
    <x v="14"/>
    <x v="0"/>
    <s v="3°5°3GEO"/>
    <s v="GEOGRAFIA"/>
    <x v="7"/>
    <m/>
    <s v="MA"/>
    <m/>
    <s v="MOURA FACUNDO"/>
    <s v="3°5°3GEOMA"/>
  </r>
  <r>
    <s v="3°5°"/>
    <x v="515"/>
    <n v="351"/>
    <s v="3MAT45"/>
    <x v="14"/>
    <x v="1"/>
    <s v="3°5°3513TST3"/>
    <s v="SISTEMAS TECNOLOGICOS"/>
    <x v="8"/>
    <m/>
    <s v="MA"/>
    <s v="CONTRATURNO"/>
    <s v="CRUZ JESUS  NAZARENO"/>
    <s v="3°5°3513TST3MA"/>
  </r>
  <r>
    <s v="3°5°"/>
    <x v="516"/>
    <n v="0"/>
    <s v="3MIM"/>
    <x v="15"/>
    <x v="0"/>
    <s v="3°5°3PLG"/>
    <s v="PRACTICA DEL LENGUAJE"/>
    <x v="7"/>
    <m/>
    <s v="MI"/>
    <m/>
    <s v="CARESTIA, NOEMI "/>
    <s v="3°5°3PLGMI"/>
  </r>
  <r>
    <s v="3°5°"/>
    <x v="517"/>
    <n v="0"/>
    <s v="3VIM"/>
    <x v="6"/>
    <x v="0"/>
    <s v="3°5°3PLG"/>
    <s v="PRACTICA DEL LENGUAJE"/>
    <x v="7"/>
    <m/>
    <s v="VI"/>
    <m/>
    <s v="CARESTIA, NOEMI "/>
    <s v="3°5°3PLGVI"/>
  </r>
  <r>
    <s v="3°5°"/>
    <x v="518"/>
    <n v="0"/>
    <s v="4JUM"/>
    <x v="16"/>
    <x v="0"/>
    <s v="3°5°3MAT"/>
    <s v="MATEMATICA"/>
    <x v="7"/>
    <m/>
    <s v="JU"/>
    <m/>
    <s v=" FERRARIS OJEDA JULIETA MAR"/>
    <s v="3°5°3MATJU"/>
  </r>
  <r>
    <s v="3°5°"/>
    <x v="519"/>
    <n v="351"/>
    <s v="4juTAULA 4"/>
    <x v="16"/>
    <x v="1"/>
    <s v="3°5°3513TLT3"/>
    <s v="LENGUAJES TECNOLOGICOS"/>
    <x v="1"/>
    <m/>
    <s v="JU"/>
    <s v="CONTRATURNO"/>
    <s v="PROCHOR JUAN PABLO   "/>
    <s v="3°5°3513TLT3ju"/>
  </r>
  <r>
    <s v="3°5°"/>
    <x v="520"/>
    <n v="0"/>
    <s v="4LUM"/>
    <x v="17"/>
    <x v="0"/>
    <s v="3°5°3HIS"/>
    <s v="HISTORIA"/>
    <x v="7"/>
    <m/>
    <s v="LU"/>
    <m/>
    <s v="LOPEZ MARINA  "/>
    <s v="3°5°3HISLU"/>
  </r>
  <r>
    <s v="3°5°"/>
    <x v="521"/>
    <n v="352"/>
    <s v="4maVCARPINTERIA"/>
    <x v="18"/>
    <x v="2"/>
    <s v="3°5°3523TST3"/>
    <s v="SISTEMAS TECNOLOGICOS"/>
    <x v="5"/>
    <m/>
    <s v="MA"/>
    <s v="CONTRATURNO"/>
    <s v="ARNALDO ESCALADA"/>
    <s v="3°5°3523TST3ma"/>
  </r>
  <r>
    <s v="3°5°"/>
    <x v="522"/>
    <n v="0"/>
    <s v="4MAM"/>
    <x v="18"/>
    <x v="0"/>
    <s v="3°5°3GEO"/>
    <s v="GEOGRAFIA"/>
    <x v="7"/>
    <m/>
    <s v="MA"/>
    <m/>
    <s v="MOURA FACUNDO"/>
    <s v="3°5°3GEOMA"/>
  </r>
  <r>
    <s v="3°5°"/>
    <x v="523"/>
    <n v="351"/>
    <s v="4MAT45"/>
    <x v="18"/>
    <x v="1"/>
    <s v="3°5°3513TST3"/>
    <s v="SISTEMAS TECNOLOGICOS"/>
    <x v="8"/>
    <m/>
    <s v="MA"/>
    <s v="CONTRATURNO"/>
    <s v="CRUZ JESUS  NAZARENO"/>
    <s v="3°5°3513TST3MA"/>
  </r>
  <r>
    <s v="3°5°"/>
    <x v="524"/>
    <n v="0"/>
    <s v="4MIM"/>
    <x v="19"/>
    <x v="0"/>
    <s v="3°5°3PLG"/>
    <s v="PRACTICA DEL LENGUAJE"/>
    <x v="7"/>
    <m/>
    <s v="MI"/>
    <m/>
    <s v="CARESTIA, NOEMI "/>
    <s v="3°5°3PLGMI"/>
  </r>
  <r>
    <s v="3°5°"/>
    <x v="525"/>
    <n v="0"/>
    <s v="4VIM"/>
    <x v="7"/>
    <x v="0"/>
    <s v="3°5°3PLG"/>
    <s v="PRACTICA DEL LENGUAJE"/>
    <x v="7"/>
    <m/>
    <s v="VI"/>
    <m/>
    <s v="CARESTIA, NOEMI "/>
    <s v="3°5°3PLGVI"/>
  </r>
  <r>
    <s v="3°5°"/>
    <x v="526"/>
    <n v="0"/>
    <s v="5JUM"/>
    <x v="20"/>
    <x v="0"/>
    <s v="3°5°3CCD"/>
    <s v="CONSTRUCCION DE LA CIUDADANIA"/>
    <x v="7"/>
    <m/>
    <s v="JU"/>
    <m/>
    <s v="AMAYA SILVIA                      "/>
    <s v="3°5°3CCDJU"/>
  </r>
  <r>
    <s v="3°5°"/>
    <x v="527"/>
    <n v="0"/>
    <s v="5MIM"/>
    <x v="24"/>
    <x v="0"/>
    <s v="3°5°3CCD"/>
    <s v="CONSTRUCCION DE LA CIUDADANIA"/>
    <x v="7"/>
    <m/>
    <s v="MI"/>
    <m/>
    <s v="AMAYA SILVIA                      "/>
    <s v="3°5°3CCDMI"/>
  </r>
  <r>
    <s v="4°1°"/>
    <x v="528"/>
    <n v="0"/>
    <s v="1JUM"/>
    <x v="0"/>
    <x v="0"/>
    <s v="4°1°4ISADS"/>
    <s v="SALUD Y ADOLESCENCIA"/>
    <x v="7"/>
    <m/>
    <s v="JU"/>
    <m/>
    <s v="DIAZ HECTOR"/>
    <s v="4°1°4ISADSJU"/>
  </r>
  <r>
    <s v="4°1°"/>
    <x v="529"/>
    <n v="411"/>
    <s v="1JUV41"/>
    <x v="0"/>
    <x v="2"/>
    <s v="4°1°4114IFTLA4"/>
    <s v="LAB DE APLICACIONES"/>
    <x v="18"/>
    <m/>
    <s v="JU"/>
    <s v="CONTRATURNO"/>
    <s v=" AGUIRRE ISABEL ITATI"/>
    <s v="4°1°4114IFTLA4JU"/>
  </r>
  <r>
    <s v="4°1°"/>
    <x v="530"/>
    <n v="0"/>
    <s v="1LUM"/>
    <x v="1"/>
    <x v="0"/>
    <s v="4°1°4IFIS"/>
    <s v="FISICA"/>
    <x v="7"/>
    <m/>
    <s v="LU"/>
    <m/>
    <s v="ESPINDOLA SERGIO                          "/>
    <s v="4°1°4IFISLU"/>
  </r>
  <r>
    <s v="4°1°"/>
    <x v="531"/>
    <n v="411"/>
    <s v="1LUV31"/>
    <x v="1"/>
    <x v="2"/>
    <s v="4°1°4114IFTLS4"/>
    <s v="LAB DE SIST OPERATIVOS   "/>
    <x v="19"/>
    <m/>
    <s v="LU"/>
    <s v="CONTRATURNO"/>
    <s v="HERRERA LEONEL"/>
    <s v="4°1°4114IFTLS4LU"/>
  </r>
  <r>
    <s v="4°1°"/>
    <x v="532"/>
    <n v="412"/>
    <s v="1LUV40"/>
    <x v="1"/>
    <x v="2"/>
    <s v="4°1°4124IFTLS4"/>
    <s v="LAB DE SIST OPERATIVOS   "/>
    <x v="20"/>
    <m/>
    <s v="LU"/>
    <s v="CONTRATURNO"/>
    <s v="BARCENILLA, JAVIER "/>
    <s v="4°1°4124IFTLS4LU"/>
  </r>
  <r>
    <s v="4°1°"/>
    <x v="533"/>
    <n v="0"/>
    <s v="1MAM"/>
    <x v="2"/>
    <x v="0"/>
    <s v="4°1°4IMATES"/>
    <s v="MATEMATICA"/>
    <x v="7"/>
    <m/>
    <s v="MA"/>
    <m/>
    <s v="WEBBER JONATHAN"/>
    <s v="4°1°4IMATESMA"/>
  </r>
  <r>
    <s v="4°1°"/>
    <x v="534"/>
    <n v="412"/>
    <s v="1VIVHARDWARE"/>
    <x v="4"/>
    <x v="2"/>
    <s v="4°1°4124IFTLH4"/>
    <s v="LAB DE HARDWARE"/>
    <x v="21"/>
    <m/>
    <s v="VI"/>
    <s v="CONTRATURNO"/>
    <s v="AGUIRRE ISABEL"/>
    <s v="4°1°4124IFTLH4VI"/>
  </r>
  <r>
    <s v="4°1°"/>
    <x v="535"/>
    <n v="411"/>
    <s v="1maVHARDWARE"/>
    <x v="2"/>
    <x v="2"/>
    <s v="4°1°4114IFTLH4"/>
    <s v="LAB DE HARDWARE"/>
    <x v="21"/>
    <m/>
    <s v="MA"/>
    <s v="CONTRATURNO"/>
    <s v="HERRERA STELLA 27- 29.873.235-7"/>
    <s v="4°1°4114IFTLH4ma"/>
  </r>
  <r>
    <s v="4°1°"/>
    <x v="536"/>
    <n v="0"/>
    <s v="1MIM"/>
    <x v="3"/>
    <x v="0"/>
    <s v="4°1°4IHIS"/>
    <s v="HISTORIA"/>
    <x v="7"/>
    <m/>
    <s v="MI"/>
    <m/>
    <s v="LOPEZ MARINA  "/>
    <s v="4°1°4IHISMI"/>
  </r>
  <r>
    <s v="4°1°"/>
    <x v="537"/>
    <n v="412"/>
    <s v="1juV40"/>
    <x v="0"/>
    <x v="2"/>
    <s v="4°1°4124IFTLP4"/>
    <s v="LAB DE PROGRAM"/>
    <x v="20"/>
    <m/>
    <s v="JU"/>
    <s v="CONTRATURNO"/>
    <s v="HERRERA STELLA MARIS"/>
    <s v="4°1°4124IFTLP4ju"/>
  </r>
  <r>
    <s v="4°1°"/>
    <x v="538"/>
    <n v="0"/>
    <s v="1MIVPATIO2"/>
    <x v="3"/>
    <x v="2"/>
    <s v="4°1°4IEFIS"/>
    <s v="EDUCACIÓN FISICA"/>
    <x v="3"/>
    <m/>
    <s v="MI"/>
    <s v="CONTRATURNO"/>
    <s v="RIOS LEOINARDO "/>
    <s v="4°1°4IEFISMI"/>
  </r>
  <r>
    <s v="4°1°"/>
    <x v="539"/>
    <n v="0"/>
    <s v="1VIM"/>
    <x v="4"/>
    <x v="0"/>
    <s v="4°1°4IMATES"/>
    <s v="MATEMATICA"/>
    <x v="7"/>
    <m/>
    <s v="VI"/>
    <m/>
    <s v="WEBBER JONATHAN"/>
    <s v="4°1°4IMATESVI"/>
  </r>
  <r>
    <s v="4°1°"/>
    <x v="540"/>
    <n v="412"/>
    <s v="1VIT30"/>
    <x v="4"/>
    <x v="1"/>
    <s v="4°1°4124IFTLA4"/>
    <s v="LAB DE APLICACIONES"/>
    <x v="22"/>
    <m/>
    <s v="VI"/>
    <s v="CONTRATURNO"/>
    <s v="PROCHOR GLORIA "/>
    <s v="4°1°4124IFTLA4VI"/>
  </r>
  <r>
    <s v="4°1°"/>
    <x v="541"/>
    <n v="411"/>
    <s v="3juV30"/>
    <x v="12"/>
    <x v="2"/>
    <s v="4°1°4114IFTLP4"/>
    <s v="LAB DE PROGRAM"/>
    <x v="22"/>
    <m/>
    <s v="JU"/>
    <s v="CONTRATURNO"/>
    <s v="HERRERA STELLA MARIS"/>
    <s v="4°1°4114IFTLP4ju"/>
  </r>
  <r>
    <s v="4°1°"/>
    <x v="542"/>
    <n v="0"/>
    <s v="2JUM"/>
    <x v="5"/>
    <x v="0"/>
    <s v="4°1°4ISADS"/>
    <s v="SALUD Y ADOLESCENCIA"/>
    <x v="7"/>
    <m/>
    <s v="JU"/>
    <m/>
    <s v="DIAZ HECTOR"/>
    <s v="4°1°4ISADSJU"/>
  </r>
  <r>
    <s v="4°1°"/>
    <x v="543"/>
    <n v="411"/>
    <s v="2JUV41"/>
    <x v="5"/>
    <x v="2"/>
    <s v="4°1°4114IFTLA4"/>
    <s v="LAB DE APLICACIONES"/>
    <x v="18"/>
    <m/>
    <s v="JU"/>
    <s v="CONTRATURNO"/>
    <s v=" AGUIRRE ISABEL ITATI"/>
    <s v="4°1°4114IFTLA4JU"/>
  </r>
  <r>
    <s v="4°1°"/>
    <x v="544"/>
    <n v="0"/>
    <s v="2LUM"/>
    <x v="9"/>
    <x v="0"/>
    <s v="4°1°4IFIS"/>
    <s v="FISICA"/>
    <x v="7"/>
    <m/>
    <s v="LU"/>
    <m/>
    <s v="ESPINDOLA SERGIO                          "/>
    <s v="4°1°4IFISLU"/>
  </r>
  <r>
    <s v="4°1°"/>
    <x v="545"/>
    <n v="411"/>
    <s v="2LUV31"/>
    <x v="9"/>
    <x v="2"/>
    <s v="4°1°4114IFTLS4"/>
    <s v="LAB DE SIST OPERATIVOS   "/>
    <x v="19"/>
    <m/>
    <s v="LU"/>
    <s v="CONTRATURNO"/>
    <s v="HERRERA LEONEL"/>
    <s v="4°1°4114IFTLS4LU"/>
  </r>
  <r>
    <s v="4°1°"/>
    <x v="546"/>
    <n v="412"/>
    <s v="2LUV40"/>
    <x v="9"/>
    <x v="2"/>
    <s v="4°1°4124IFTLS4"/>
    <s v="LAB DE SIST OPERATIVOS   "/>
    <x v="20"/>
    <m/>
    <s v="LU"/>
    <s v="CONTRATURNO"/>
    <s v="BARCENILLA, JAVIER "/>
    <s v="4°1°4124IFTLS4LU"/>
  </r>
  <r>
    <s v="4°1°"/>
    <x v="547"/>
    <n v="0"/>
    <s v="2MAM"/>
    <x v="10"/>
    <x v="0"/>
    <s v="4°1°4IMATES"/>
    <s v="MATEMATICA"/>
    <x v="7"/>
    <m/>
    <s v="MA"/>
    <m/>
    <s v="WEBBER JONATHAN"/>
    <s v="4°1°4IMATESMA"/>
  </r>
  <r>
    <s v="4°1°"/>
    <x v="548"/>
    <n v="412"/>
    <s v="2VIVHARDWARE"/>
    <x v="8"/>
    <x v="2"/>
    <s v="4°1°4124IFTLH4"/>
    <s v="LAB DE HARDWARE"/>
    <x v="21"/>
    <m/>
    <s v="VI"/>
    <s v="CONTRATURNO"/>
    <s v="AGUIRRE ISABEL"/>
    <s v="4°1°4124IFTLH4VI"/>
  </r>
  <r>
    <s v="4°1°"/>
    <x v="549"/>
    <n v="411"/>
    <s v="2MaVHARDWARE"/>
    <x v="10"/>
    <x v="2"/>
    <s v="4°1°4114IFTLH4"/>
    <s v="LAB DE HARDWARE"/>
    <x v="21"/>
    <m/>
    <s v="MA"/>
    <s v="CONTRATURNO"/>
    <s v="HERRERA STELLA 27- 29.873.235-7"/>
    <s v="4°1°4114IFTLH4ma"/>
  </r>
  <r>
    <s v="4°1°"/>
    <x v="550"/>
    <n v="0"/>
    <s v="2MIM"/>
    <x v="11"/>
    <x v="0"/>
    <s v="4°1°4IHIS"/>
    <s v="HISTORIA"/>
    <x v="7"/>
    <m/>
    <s v="MI"/>
    <m/>
    <s v="LOPEZ MARINA  "/>
    <s v="4°1°4IHISMI"/>
  </r>
  <r>
    <s v="4°1°"/>
    <x v="551"/>
    <n v="412"/>
    <s v="2juV40"/>
    <x v="5"/>
    <x v="2"/>
    <s v="4°1°4124IFTLP4"/>
    <s v="LAB DE PROGRAM"/>
    <x v="20"/>
    <m/>
    <s v="JU"/>
    <s v="CONTRATURNO"/>
    <s v="HERRERA STELLA MARIS"/>
    <s v="4°1°4124IFTLP4ju"/>
  </r>
  <r>
    <s v="4°1°"/>
    <x v="552"/>
    <n v="0"/>
    <s v="2MIVPATIO2"/>
    <x v="11"/>
    <x v="2"/>
    <s v="4°1°4IEFIS"/>
    <s v="EDUCACIÓN FISICA"/>
    <x v="3"/>
    <m/>
    <s v="MI"/>
    <s v="CONTRATURNO"/>
    <s v="RIOS LEOINARDO "/>
    <s v="4°1°4IEFISMI"/>
  </r>
  <r>
    <s v="4°1°"/>
    <x v="553"/>
    <n v="0"/>
    <s v="2VIM"/>
    <x v="8"/>
    <x v="0"/>
    <s v="4°1°4IMATES"/>
    <s v="MATEMATICA"/>
    <x v="7"/>
    <m/>
    <s v="VI"/>
    <m/>
    <s v="WEBBER JONATHAN"/>
    <s v="4°1°4IMATESVI"/>
  </r>
  <r>
    <s v="4°1°"/>
    <x v="554"/>
    <n v="412"/>
    <s v="2VIT30"/>
    <x v="8"/>
    <x v="1"/>
    <s v="4°1°4124IFTLA4"/>
    <s v="LAB DE APLICACIONES"/>
    <x v="22"/>
    <m/>
    <s v="VI"/>
    <s v="CONTRATURNO"/>
    <s v="PROCHOR GLORIA "/>
    <s v="4°1°4124IFTLA4VI"/>
  </r>
  <r>
    <s v="4°1°"/>
    <x v="555"/>
    <n v="411"/>
    <s v="4juV30"/>
    <x v="16"/>
    <x v="2"/>
    <s v="4°1°4114IFTLP4"/>
    <s v="LAB DE PROGRAM"/>
    <x v="22"/>
    <m/>
    <s v="JU"/>
    <s v="CONTRATURNO"/>
    <s v="HERRERA STELLA MARIS"/>
    <s v="4°1°4114IFTLP4ju"/>
  </r>
  <r>
    <s v="4°1°"/>
    <x v="556"/>
    <n v="0"/>
    <s v="3JUM"/>
    <x v="12"/>
    <x v="0"/>
    <s v="4°1°4IINGS"/>
    <s v="INGLÉS"/>
    <x v="7"/>
    <m/>
    <s v="JU"/>
    <m/>
    <s v="LEGUIZAMON ANA "/>
    <s v="4°1°4IINGSJU"/>
  </r>
  <r>
    <s v="4°1°"/>
    <x v="557"/>
    <n v="0"/>
    <s v="3LUM"/>
    <x v="13"/>
    <x v="0"/>
    <s v="4°1°4ILITS"/>
    <s v="LITERATURA"/>
    <x v="7"/>
    <m/>
    <s v="LU"/>
    <m/>
    <s v="CARESTIA, NOEMI"/>
    <s v="4°1°4ILITSLU"/>
  </r>
  <r>
    <s v="4°1°"/>
    <x v="558"/>
    <n v="411"/>
    <s v="3LUV31"/>
    <x v="13"/>
    <x v="2"/>
    <s v="4°1°4114IFTLS4"/>
    <s v="LAB DE SIST OPERATIVOS   "/>
    <x v="19"/>
    <m/>
    <s v="LU"/>
    <s v="CONTRATURNO"/>
    <s v="HERRERA LEONEL"/>
    <s v="4°1°4114IFTLS4LU"/>
  </r>
  <r>
    <s v="4°1°"/>
    <x v="559"/>
    <n v="412"/>
    <s v="3LUV40"/>
    <x v="13"/>
    <x v="2"/>
    <s v="4°1°4124IFTLS4"/>
    <s v="LAB DE SIST OPERATIVOS   "/>
    <x v="20"/>
    <m/>
    <s v="LU"/>
    <s v="CONTRATURNO"/>
    <s v="BARCENILLA, JAVIER "/>
    <s v="4°1°4124IFTLS4LU"/>
  </r>
  <r>
    <s v="4°1°"/>
    <x v="560"/>
    <n v="0"/>
    <s v="3MAM"/>
    <x v="14"/>
    <x v="0"/>
    <s v="4°1°4IGEOS"/>
    <s v="GEOGRAFIA"/>
    <x v="7"/>
    <m/>
    <s v="MA"/>
    <m/>
    <s v="JUAREZ VANESA"/>
    <s v="4°1°4IGEOSMA"/>
  </r>
  <r>
    <s v="4°1°"/>
    <x v="561"/>
    <n v="412"/>
    <s v="3VIVHARDWARE"/>
    <x v="6"/>
    <x v="2"/>
    <s v="4°1°4124IFTLH4"/>
    <s v="LAB DE HARDWARE"/>
    <x v="21"/>
    <m/>
    <s v="VI"/>
    <s v="CONTRATURNO"/>
    <s v="AGUIRRE ISABEL"/>
    <s v="4°1°4124IFTLH4VI"/>
  </r>
  <r>
    <s v="4°1°"/>
    <x v="562"/>
    <n v="411"/>
    <s v="3maVHARDWARE"/>
    <x v="14"/>
    <x v="2"/>
    <s v="4°1°4114IFTLH4"/>
    <s v="LAB DE HARDWARE"/>
    <x v="21"/>
    <m/>
    <s v="MA"/>
    <s v="CONTRATURNO"/>
    <s v="HERRERA STELLA 27- 29.873.235-7"/>
    <s v="4°1°4114IFTLH4ma"/>
  </r>
  <r>
    <s v="4°1°"/>
    <x v="563"/>
    <n v="0"/>
    <s v="3MIM"/>
    <x v="15"/>
    <x v="0"/>
    <s v="4°1°4IQUIS"/>
    <s v="QUIMICA"/>
    <x v="7"/>
    <m/>
    <s v="MI"/>
    <m/>
    <s v="RODRIGUEZ MERCEDES NATALIA"/>
    <s v="4°1°4IQUISMI"/>
  </r>
  <r>
    <s v="4°1°"/>
    <x v="564"/>
    <n v="0"/>
    <s v="3VIM"/>
    <x v="6"/>
    <x v="0"/>
    <s v="4°1°4ITELE"/>
    <s v="TECNOLOGIAS ELECTRONICAS"/>
    <x v="7"/>
    <m/>
    <s v="VI"/>
    <m/>
    <s v="FEDERICO GAUNA"/>
    <s v="4°1°4ITELEVI"/>
  </r>
  <r>
    <s v="4°1°"/>
    <x v="565"/>
    <n v="0"/>
    <s v="4JUM"/>
    <x v="16"/>
    <x v="0"/>
    <s v="4°1°4IINGS"/>
    <s v="INGLÉS"/>
    <x v="7"/>
    <m/>
    <s v="JU"/>
    <m/>
    <s v="LEGUIZAMON ANA "/>
    <s v="4°1°4IINGSJU"/>
  </r>
  <r>
    <s v="4°1°"/>
    <x v="566"/>
    <n v="0"/>
    <s v="4LUM"/>
    <x v="17"/>
    <x v="0"/>
    <s v="4°1°4ILITS"/>
    <s v="LITERATURA"/>
    <x v="7"/>
    <m/>
    <s v="LU"/>
    <m/>
    <s v="CARESTIA, NOEMI"/>
    <s v="4°1°4ILITSLU"/>
  </r>
  <r>
    <s v="4°1°"/>
    <x v="567"/>
    <n v="411"/>
    <s v="4LUV31"/>
    <x v="17"/>
    <x v="2"/>
    <s v="4°1°4114IFTLS4"/>
    <s v="LAB DE SIST OPERATIVOS   "/>
    <x v="19"/>
    <m/>
    <s v="LU"/>
    <s v="CONTRATURNO"/>
    <s v="HERRERA LEONEL"/>
    <s v="4°1°4114IFTLS4LU"/>
  </r>
  <r>
    <s v="4°1°"/>
    <x v="568"/>
    <n v="412"/>
    <s v="4LUV40"/>
    <x v="17"/>
    <x v="2"/>
    <s v="4°1°4124IFTLS4"/>
    <s v="LAB DE SIST OPERATIVOS   "/>
    <x v="20"/>
    <m/>
    <s v="LU"/>
    <s v="CONTRATURNO"/>
    <s v="BARCENILLA, JAVIER "/>
    <s v="4°1°4124IFTLS4LU"/>
  </r>
  <r>
    <s v="4°1°"/>
    <x v="569"/>
    <n v="0"/>
    <s v="4MAM"/>
    <x v="18"/>
    <x v="0"/>
    <s v="4°1°4IGEOS"/>
    <s v="GEOGRAFIA"/>
    <x v="7"/>
    <m/>
    <s v="MA"/>
    <m/>
    <s v="JUAREZ VANESA"/>
    <s v="4°1°4IGEOSMA"/>
  </r>
  <r>
    <s v="4°1°"/>
    <x v="570"/>
    <n v="412"/>
    <s v="4VIvHARDWARE"/>
    <x v="7"/>
    <x v="2"/>
    <s v="4°1°4124IFTLH4"/>
    <s v="LAB DE HARDWARE"/>
    <x v="21"/>
    <m/>
    <s v="VI"/>
    <s v="CONTRATURNO"/>
    <s v="AGUIRRE ISABEL"/>
    <s v="4°1°4124IFTLH4VI"/>
  </r>
  <r>
    <s v="4°1°"/>
    <x v="571"/>
    <n v="411"/>
    <s v="4maVHARDWARE"/>
    <x v="18"/>
    <x v="2"/>
    <s v="4°1°4114IFTLH4"/>
    <s v="LAB DE HARDWARE"/>
    <x v="21"/>
    <m/>
    <s v="MA"/>
    <s v="CONTRATURNO"/>
    <s v="HERRERA STELLA 27- 29.873.235-7"/>
    <s v="4°1°4114IFTLH4ma"/>
  </r>
  <r>
    <s v="4°1°"/>
    <x v="572"/>
    <n v="0"/>
    <s v="4MIM"/>
    <x v="19"/>
    <x v="0"/>
    <s v="4°1°4IQUIS"/>
    <s v="QUIMICA"/>
    <x v="7"/>
    <m/>
    <s v="MI"/>
    <m/>
    <s v="RODRIGUEZ MERCEDES NATALIA"/>
    <s v="4°1°4IQUISMI"/>
  </r>
  <r>
    <s v="4°1°"/>
    <x v="573"/>
    <n v="0"/>
    <s v="4VIM"/>
    <x v="7"/>
    <x v="0"/>
    <s v="4°1°4ITELE"/>
    <s v="TECNOLOGIAS ELECTRONICAS"/>
    <x v="7"/>
    <m/>
    <s v="VI"/>
    <m/>
    <s v="FEDERICO GAUNA"/>
    <s v="4°1°4ITELEVI"/>
  </r>
  <r>
    <s v="4°1°"/>
    <x v="574"/>
    <n v="0"/>
    <s v="5MAM"/>
    <x v="28"/>
    <x v="0"/>
    <s v="4°1°4IFIS"/>
    <s v="FISICA"/>
    <x v="7"/>
    <m/>
    <s v="MA"/>
    <m/>
    <s v="ESPINDOLA SERGIO                          "/>
    <s v="4°1°4IFISMA"/>
  </r>
  <r>
    <s v="4°2°"/>
    <x v="575"/>
    <n v="421"/>
    <s v="1JUM31"/>
    <x v="0"/>
    <x v="0"/>
    <s v="4°2°4214IFTLS4"/>
    <s v="LAB DE SIST OPERATIVOS   "/>
    <x v="19"/>
    <m/>
    <s v="JU"/>
    <s v="CONTRATURNO"/>
    <s v="GOMEZ ANALIA "/>
    <s v="4°2°4214IFTLS4JU"/>
  </r>
  <r>
    <s v="4°2°"/>
    <x v="576"/>
    <n v="422"/>
    <s v="1JUM41"/>
    <x v="0"/>
    <x v="0"/>
    <s v="4°2°4224IFTLA4"/>
    <s v="LAB DE APLICACIONES"/>
    <x v="18"/>
    <m/>
    <s v="JU"/>
    <s v="CONTRATURNO"/>
    <s v="HERRERA STELLA      "/>
    <s v="4°2°4224IFTLA4JU"/>
  </r>
  <r>
    <s v="4°2°"/>
    <x v="577"/>
    <n v="0"/>
    <s v="PrehoramiT"/>
    <x v="23"/>
    <x v="1"/>
    <s v="4°2°4IMATES"/>
    <s v="MATEMATICA"/>
    <x v="7"/>
    <m/>
    <s v="MI"/>
    <m/>
    <s v="GARCIA CLAUDIA "/>
    <s v="4°2°4IMATESmi"/>
  </r>
  <r>
    <s v="4°2°"/>
    <x v="578"/>
    <n v="422"/>
    <s v="1LUM31"/>
    <x v="1"/>
    <x v="0"/>
    <s v="4°2°4224IFTLS4"/>
    <s v="LAB DE SIST OPERATIVOS   "/>
    <x v="19"/>
    <m/>
    <s v="LU"/>
    <s v="CONTRATURNO"/>
    <s v="AGUIRRE ISABEL ITATI"/>
    <s v="4°2°4224IFTLS4LU"/>
  </r>
  <r>
    <s v="4°2°"/>
    <x v="579"/>
    <n v="0"/>
    <s v="prehoraviT"/>
    <x v="30"/>
    <x v="1"/>
    <s v="4°2°4IMATES"/>
    <s v="MATEMATICA"/>
    <x v="7"/>
    <m/>
    <s v="VI"/>
    <m/>
    <s v="GARCIA CLAUDIA "/>
    <s v="4°2°4IMATESvi"/>
  </r>
  <r>
    <s v="4°2°"/>
    <x v="580"/>
    <n v="421"/>
    <s v="1juV31"/>
    <x v="0"/>
    <x v="2"/>
    <s v="4°2°4214IFTLH4"/>
    <s v="LAB DE HARDWARE"/>
    <x v="19"/>
    <m/>
    <s v="JU"/>
    <s v="CONTRATURNO"/>
    <s v="GAUNA FEDERICO"/>
    <s v="4°2°4214IFTLH4ju"/>
  </r>
  <r>
    <s v="4°2°"/>
    <x v="581"/>
    <n v="0"/>
    <s v="1MAT"/>
    <x v="2"/>
    <x v="1"/>
    <s v="4°2°4ILITS"/>
    <s v="LITERATURA"/>
    <x v="7"/>
    <m/>
    <s v="MA"/>
    <m/>
    <s v="ALONSO, MARIA"/>
    <s v="4°2°4ILITSMA"/>
  </r>
  <r>
    <s v="4°2°"/>
    <x v="582"/>
    <n v="422"/>
    <s v="1MIMHARDWARE"/>
    <x v="3"/>
    <x v="0"/>
    <s v="4°2°4224IFTLH4"/>
    <s v="LAB DE HARDWARE"/>
    <x v="21"/>
    <m/>
    <s v="MI"/>
    <s v="CONTRATURNO"/>
    <s v="HERRERA STELLA MARIS"/>
    <s v="4°2°4224IFTLH4MI"/>
  </r>
  <r>
    <s v="4°2°"/>
    <x v="583"/>
    <n v="0"/>
    <s v="1JUT"/>
    <x v="0"/>
    <x v="1"/>
    <s v="4°2°4ITELE"/>
    <s v="TECNOLOGIAS ELECTRONICAS"/>
    <x v="7"/>
    <m/>
    <s v="JU"/>
    <m/>
    <s v="BARONI, ROBERTO"/>
    <s v="4°2°4ITELEJU"/>
  </r>
  <r>
    <s v="4°2°"/>
    <x v="584"/>
    <n v="421"/>
    <s v="1VIM30"/>
    <x v="4"/>
    <x v="0"/>
    <s v="4°2°4214IFTLP4"/>
    <s v="LAB DE PROGRAM"/>
    <x v="22"/>
    <m/>
    <s v="VI"/>
    <s v="CONTRATURNO"/>
    <s v="PROCHOR GLORIA"/>
    <s v="4°2°4214IFTLP4VI"/>
  </r>
  <r>
    <s v="4°2°"/>
    <x v="585"/>
    <n v="422"/>
    <s v="1VIMHARDWARE"/>
    <x v="4"/>
    <x v="0"/>
    <s v="4°2°4224IFTLH4"/>
    <s v="LAB DE HARDWARE"/>
    <x v="21"/>
    <m/>
    <s v="VI"/>
    <s v="CONTRATURNO"/>
    <s v="HERRERA STELLA MARIS"/>
    <s v="4°2°4224IFTLH4VI"/>
  </r>
  <r>
    <s v="4°2°"/>
    <x v="586"/>
    <n v="0"/>
    <s v="1VIT"/>
    <x v="4"/>
    <x v="1"/>
    <s v="4°2°4IFIS"/>
    <s v="FISICA"/>
    <x v="7"/>
    <m/>
    <s v="VI"/>
    <m/>
    <s v="ESPINDOLA, S"/>
    <s v="4°2°4IFISVI"/>
  </r>
  <r>
    <s v="4°2°"/>
    <x v="587"/>
    <n v="421"/>
    <s v="2JUM31"/>
    <x v="5"/>
    <x v="0"/>
    <s v="4°2°4214IFTLS4"/>
    <s v="LAB DE SIST OPERATIVOS   "/>
    <x v="19"/>
    <m/>
    <s v="JU"/>
    <s v="CONTRATURNO"/>
    <s v="GOMEZ ANALIA "/>
    <s v="4°2°4214IFTLS4JU"/>
  </r>
  <r>
    <s v="4°2°"/>
    <x v="588"/>
    <n v="422"/>
    <s v="2JUM41"/>
    <x v="5"/>
    <x v="0"/>
    <s v="4°2°4224IFTLA4"/>
    <s v="LAB DE APLICACIONES"/>
    <x v="18"/>
    <m/>
    <s v="JU"/>
    <s v="CONTRATURNO"/>
    <s v="HERRERA STELLA      "/>
    <s v="4°2°4224IFTLA4JU"/>
  </r>
  <r>
    <s v="4°2°"/>
    <x v="589"/>
    <n v="0"/>
    <s v="1miT"/>
    <x v="3"/>
    <x v="1"/>
    <s v="4°2°4IMATES"/>
    <s v="MATEMATICA"/>
    <x v="7"/>
    <m/>
    <s v="MI"/>
    <m/>
    <s v="GARCIA CLAUDIA "/>
    <s v="4°2°4IMATESmi"/>
  </r>
  <r>
    <s v="4°2°"/>
    <x v="590"/>
    <n v="422"/>
    <s v="2LUM31"/>
    <x v="9"/>
    <x v="0"/>
    <s v="4°2°4224IFTLS4"/>
    <s v="LAB DE SIST OPERATIVOS   "/>
    <x v="19"/>
    <m/>
    <s v="LU"/>
    <s v="CONTRATURNO"/>
    <s v="AGUIRRE ISABEL ITATI"/>
    <s v="4°2°4224IFTLS4LU"/>
  </r>
  <r>
    <s v="4°2°"/>
    <x v="591"/>
    <n v="0"/>
    <s v="2miT"/>
    <x v="11"/>
    <x v="1"/>
    <s v="4°2°4IMATES"/>
    <s v="MATEMATICA"/>
    <x v="7"/>
    <m/>
    <s v="MI"/>
    <m/>
    <s v="GARCIA CLAUDIA "/>
    <s v="4°2°4IMATESmi"/>
  </r>
  <r>
    <s v="4°2°"/>
    <x v="592"/>
    <n v="421"/>
    <s v="2juV31"/>
    <x v="5"/>
    <x v="2"/>
    <s v="4°2°4214IFTLH4"/>
    <s v="LAB DE HARDWARE"/>
    <x v="19"/>
    <m/>
    <s v="JU"/>
    <s v="CONTRATURNO"/>
    <s v="GAUNA FEDERICO"/>
    <s v="4°2°4214IFTLH4ju"/>
  </r>
  <r>
    <s v="4°2°"/>
    <x v="593"/>
    <n v="0"/>
    <s v="2MAT"/>
    <x v="10"/>
    <x v="1"/>
    <s v="4°2°4ILITS"/>
    <s v="LITERATURA"/>
    <x v="7"/>
    <m/>
    <s v="MA"/>
    <m/>
    <s v="ALONSO, MARIA"/>
    <s v="4°2°4ILITSMA"/>
  </r>
  <r>
    <s v="4°2°"/>
    <x v="594"/>
    <n v="422"/>
    <s v="2MIMHARDWARE"/>
    <x v="11"/>
    <x v="0"/>
    <s v="4°2°4224IFTLH4"/>
    <s v="LAB DE HARDWARE"/>
    <x v="21"/>
    <m/>
    <s v="MI"/>
    <s v="CONTRATURNO"/>
    <s v="HERRERA STELLA MARIS"/>
    <s v="4°2°4224IFTLH4MI"/>
  </r>
  <r>
    <s v="4°2°"/>
    <x v="595"/>
    <n v="0"/>
    <s v="2JUT"/>
    <x v="5"/>
    <x v="1"/>
    <s v="4°2°4ITELE"/>
    <s v="TECNOLOGIAS ELECTRONICAS"/>
    <x v="7"/>
    <m/>
    <s v="JU"/>
    <m/>
    <s v="BARONI, ROBERTO"/>
    <s v="4°2°4ITELEJU"/>
  </r>
  <r>
    <s v="4°2°"/>
    <x v="596"/>
    <n v="421"/>
    <s v="2VIM30"/>
    <x v="8"/>
    <x v="0"/>
    <s v="4°2°4214IFTLP4"/>
    <s v="LAB DE PROGRAM"/>
    <x v="22"/>
    <m/>
    <s v="VI"/>
    <s v="CONTRATURNO"/>
    <s v="PROCHOR GLORIA"/>
    <s v="4°2°4214IFTLP4VI"/>
  </r>
  <r>
    <s v="4°2°"/>
    <x v="597"/>
    <n v="422"/>
    <s v="2VIMHARDWARE"/>
    <x v="8"/>
    <x v="0"/>
    <s v="4°2°4224IFTLH4"/>
    <s v="LAB DE HARDWARE"/>
    <x v="21"/>
    <m/>
    <s v="VI"/>
    <s v="CONTRATURNO"/>
    <s v="HERRERA STELLA MARIS"/>
    <s v="4°2°4224IFTLH4VI"/>
  </r>
  <r>
    <s v="4°2°"/>
    <x v="598"/>
    <n v="0"/>
    <s v="2VIT"/>
    <x v="8"/>
    <x v="1"/>
    <s v="4°2°4IFIS"/>
    <s v="FISICA"/>
    <x v="7"/>
    <m/>
    <s v="VI"/>
    <m/>
    <s v="ESPINDOLA, S"/>
    <s v="4°2°4IFISVI"/>
  </r>
  <r>
    <s v="4°2°"/>
    <x v="599"/>
    <n v="421"/>
    <s v="3JUM31"/>
    <x v="12"/>
    <x v="0"/>
    <s v="4°2°4214IFTLS4"/>
    <s v="LAB DE SIST OPERATIVOS   "/>
    <x v="19"/>
    <m/>
    <s v="JU"/>
    <s v="CONTRATURNO"/>
    <s v="GOMEZ ANALIA "/>
    <s v="4°2°4214IFTLS4JU"/>
  </r>
  <r>
    <s v="4°2°"/>
    <x v="600"/>
    <n v="422"/>
    <s v="3JUM41"/>
    <x v="12"/>
    <x v="0"/>
    <s v="4°2°4224IFTLP4"/>
    <s v="LAB DE PROGRAM"/>
    <x v="18"/>
    <m/>
    <s v="JU"/>
    <s v="CONTRATURNO"/>
    <s v="HERRERA STELLA MARIS   "/>
    <s v="4°2°4224IFTLP4JU"/>
  </r>
  <r>
    <s v="4°2°"/>
    <x v="601"/>
    <n v="0"/>
    <s v="3JUT"/>
    <x v="12"/>
    <x v="1"/>
    <s v="4°2°4IHIS"/>
    <s v="HISTORIA"/>
    <x v="7"/>
    <m/>
    <s v="JU"/>
    <m/>
    <s v="VIEYRA CARLOS"/>
    <s v="4°2°4IHISJU"/>
  </r>
  <r>
    <s v="4°2°"/>
    <x v="602"/>
    <n v="422"/>
    <s v="3LUM31"/>
    <x v="13"/>
    <x v="0"/>
    <s v="4°2°4224IFTLS4"/>
    <s v="LAB DE SIST OPERATIVOS   "/>
    <x v="19"/>
    <m/>
    <s v="LU"/>
    <s v="CONTRATURNO"/>
    <s v="AGUIRRE ISABEL ITATI"/>
    <s v="4°2°4224IFTLS4LU"/>
  </r>
  <r>
    <s v="4°2°"/>
    <x v="603"/>
    <n v="0"/>
    <s v="3LUT"/>
    <x v="13"/>
    <x v="1"/>
    <s v="4°2°4IINGS"/>
    <s v="INGLÉS"/>
    <x v="7"/>
    <m/>
    <s v="LU"/>
    <m/>
    <s v="ARCE KARINA "/>
    <s v="4°2°4IINGSLU"/>
  </r>
  <r>
    <s v="4°2°"/>
    <x v="604"/>
    <n v="421"/>
    <s v="3juV31"/>
    <x v="12"/>
    <x v="2"/>
    <s v="4°2°4214IFTLH4"/>
    <s v="LAB DE HARDWARE"/>
    <x v="19"/>
    <m/>
    <s v="JU"/>
    <s v="CONTRATURNO"/>
    <s v="GAUNA FEDERICO"/>
    <s v="4°2°4214IFTLH4ju"/>
  </r>
  <r>
    <s v="4°2°"/>
    <x v="605"/>
    <n v="0"/>
    <s v="3MAT"/>
    <x v="14"/>
    <x v="1"/>
    <s v="4°2°4IGEOS"/>
    <s v="GEOGRAFIA"/>
    <x v="7"/>
    <m/>
    <s v="MA"/>
    <m/>
    <s v="ANTONELLO, FERNANDO"/>
    <s v="4°2°4IGEOSMA"/>
  </r>
  <r>
    <s v="4°2°"/>
    <x v="606"/>
    <n v="0"/>
    <s v="3MIMPATIO2"/>
    <x v="15"/>
    <x v="0"/>
    <s v="4°2°4IEFIS"/>
    <s v="EDUCACIÓN FISICA"/>
    <x v="3"/>
    <m/>
    <s v="MI"/>
    <s v="CONTRATURNO"/>
    <s v="RIOS, LEONARDO"/>
    <s v="4°2°4IEFISMI"/>
  </r>
  <r>
    <s v="4°2°"/>
    <x v="607"/>
    <n v="0"/>
    <s v="3MIT"/>
    <x v="15"/>
    <x v="1"/>
    <s v="4°2°4ISADS"/>
    <s v="SALUD Y ADOLESCENCIA"/>
    <x v="7"/>
    <m/>
    <s v="MI"/>
    <m/>
    <s v="RODRIGUEZ GUTIERRES, PAOLA"/>
    <s v="4°2°4ISADSMI"/>
  </r>
  <r>
    <s v="4°2°"/>
    <x v="608"/>
    <n v="421"/>
    <s v="3VIM30"/>
    <x v="6"/>
    <x v="0"/>
    <s v="4°2°4214IFTLA4"/>
    <s v="LAB DE APLICACIONES"/>
    <x v="22"/>
    <m/>
    <s v="VI"/>
    <s v="CONTRATURNO"/>
    <s v="PROCHOR GLORIA"/>
    <s v="4°2°4214IFTLA4VI"/>
  </r>
  <r>
    <s v="4°2°"/>
    <x v="609"/>
    <n v="0"/>
    <s v="3VIT"/>
    <x v="6"/>
    <x v="1"/>
    <s v="4°2°4IQUIS"/>
    <s v="QUIMICA"/>
    <x v="7"/>
    <m/>
    <s v="VI"/>
    <m/>
    <s v="CASCIANO CLAUDIO RUBEN"/>
    <s v="4°2°4IQUISVI"/>
  </r>
  <r>
    <s v="4°2°"/>
    <x v="610"/>
    <n v="421"/>
    <s v="4JUM31"/>
    <x v="16"/>
    <x v="0"/>
    <s v="4°2°4214IFTLS4"/>
    <s v="LAB DE SIST OPERATIVOS   "/>
    <x v="19"/>
    <m/>
    <s v="JU"/>
    <s v="CONTRATURNO"/>
    <s v="GOMEZ ANALIA "/>
    <s v="4°2°4214IFTLS4JU"/>
  </r>
  <r>
    <s v="4°2°"/>
    <x v="611"/>
    <n v="422"/>
    <s v="4JUM41"/>
    <x v="16"/>
    <x v="0"/>
    <s v="4°2°4224IFTLP4"/>
    <s v="LAB DE PROGRAM"/>
    <x v="18"/>
    <m/>
    <s v="JU"/>
    <s v="CONTRATURNO"/>
    <s v="HERRERA STELLA MARIS   "/>
    <s v="4°2°4224IFTLP4JU"/>
  </r>
  <r>
    <s v="4°2°"/>
    <x v="612"/>
    <n v="0"/>
    <s v="4JUT"/>
    <x v="16"/>
    <x v="1"/>
    <s v="4°2°4IHIS"/>
    <s v="HISTORIA"/>
    <x v="7"/>
    <m/>
    <s v="JU"/>
    <m/>
    <s v="VIEYRA CARLOS"/>
    <s v="4°2°4IHISJU"/>
  </r>
  <r>
    <s v="4°2°"/>
    <x v="613"/>
    <n v="422"/>
    <s v="4LUM31"/>
    <x v="17"/>
    <x v="0"/>
    <s v="4°2°4224IFTLS4"/>
    <s v="LAB DE SIST OPERATIVOS   "/>
    <x v="19"/>
    <m/>
    <s v="LU"/>
    <s v="CONTRATURNO"/>
    <s v="AGUIRRE ISABEL ITATI"/>
    <s v="4°2°4224IFTLS4LU"/>
  </r>
  <r>
    <s v="4°2°"/>
    <x v="614"/>
    <n v="0"/>
    <s v="4LUT"/>
    <x v="17"/>
    <x v="1"/>
    <s v="4°2°4IINGS"/>
    <s v="INGLÉS"/>
    <x v="7"/>
    <m/>
    <s v="LU"/>
    <m/>
    <s v="ARCE KARINA "/>
    <s v="4°2°4IINGSLU"/>
  </r>
  <r>
    <s v="4°2°"/>
    <x v="615"/>
    <n v="421"/>
    <s v="4juV31"/>
    <x v="16"/>
    <x v="2"/>
    <s v="4°2°4214IFTLH4"/>
    <s v="LAB DE HARDWARE"/>
    <x v="19"/>
    <m/>
    <s v="JU"/>
    <s v="CONTRATURNO"/>
    <s v="GAUNA FEDERICO"/>
    <s v="4°2°4214IFTLH4ju"/>
  </r>
  <r>
    <s v="4°2°"/>
    <x v="616"/>
    <n v="0"/>
    <s v="4MAT"/>
    <x v="18"/>
    <x v="1"/>
    <s v="4°2°4IGEOS"/>
    <s v="GEOGRAFIA"/>
    <x v="7"/>
    <m/>
    <s v="MA"/>
    <m/>
    <s v="ANTONELLO, FERNANDO"/>
    <s v="4°2°4IGEOSMA"/>
  </r>
  <r>
    <s v="4°2°"/>
    <x v="617"/>
    <n v="0"/>
    <s v="4MIMPATIO2"/>
    <x v="19"/>
    <x v="0"/>
    <s v="4°2°4IEFIS"/>
    <s v="EDUCACIÓN FISICA"/>
    <x v="3"/>
    <m/>
    <s v="MI"/>
    <s v="CONTRATURNO"/>
    <s v="RIOS, LEONARDO"/>
    <s v="4°2°4IEFISMI"/>
  </r>
  <r>
    <s v="4°2°"/>
    <x v="618"/>
    <n v="0"/>
    <s v="4MIT"/>
    <x v="19"/>
    <x v="1"/>
    <s v="4°2°4ISADS"/>
    <s v="SALUD Y ADOLESCENCIA"/>
    <x v="7"/>
    <m/>
    <s v="MI"/>
    <m/>
    <s v="RODRIGUEZ GUTIERRES, PAOLA"/>
    <s v="4°2°4ISADSMI"/>
  </r>
  <r>
    <s v="4°2°"/>
    <x v="619"/>
    <n v="421"/>
    <s v="4VIM30"/>
    <x v="7"/>
    <x v="0"/>
    <s v="4°2°4214IFTLA4"/>
    <s v="LAB DE APLICACIONES"/>
    <x v="22"/>
    <m/>
    <s v="VI"/>
    <s v="CONTRATURNO"/>
    <s v="PROCHOR GLORIA"/>
    <s v="4°2°4214IFTLA4VI"/>
  </r>
  <r>
    <s v="4°2°"/>
    <x v="620"/>
    <n v="0"/>
    <s v="4VIT"/>
    <x v="7"/>
    <x v="1"/>
    <s v="4°2°4IQUIS"/>
    <s v="QUIMICA"/>
    <x v="7"/>
    <m/>
    <s v="VI"/>
    <m/>
    <s v="CASCIANO CLAUDIO RUBEN"/>
    <s v="4°2°4IQUISVI"/>
  </r>
  <r>
    <s v="4°2°"/>
    <x v="621"/>
    <n v="0"/>
    <s v="prehorajuT"/>
    <x v="26"/>
    <x v="1"/>
    <s v="4°2°4IFIS"/>
    <s v="FISICA"/>
    <x v="7"/>
    <m/>
    <s v="JU"/>
    <m/>
    <s v="ESPINDOLA, S"/>
    <s v="4°2°4IFISju"/>
  </r>
  <r>
    <s v="4°2°"/>
    <x v="622"/>
    <n v="423"/>
    <s v="V31"/>
    <x v="31"/>
    <x v="2"/>
    <s v="4°2°4234IFTLP4"/>
    <s v="LAB DE PROGRAM"/>
    <x v="19"/>
    <m/>
    <s v=""/>
    <s v="CONTRATURNO"/>
    <e v="#N/A"/>
    <m/>
  </r>
  <r>
    <s v="4°2°"/>
    <x v="622"/>
    <n v="423"/>
    <s v="V31"/>
    <x v="31"/>
    <x v="2"/>
    <s v="4°2°4234IFTLP4"/>
    <s v="LAB DE PROGRAM"/>
    <x v="19"/>
    <m/>
    <s v=""/>
    <s v="CONTRATURNO"/>
    <e v="#N/A"/>
    <m/>
  </r>
  <r>
    <s v="4°2°"/>
    <x v="622"/>
    <n v="423"/>
    <s v="V41"/>
    <x v="31"/>
    <x v="2"/>
    <s v="4°2°4234IFTLA4"/>
    <s v="LAB DE APLICACIONES"/>
    <x v="18"/>
    <m/>
    <s v=""/>
    <s v="CONTRATURNO"/>
    <e v="#N/A"/>
    <m/>
  </r>
  <r>
    <s v="4°2°"/>
    <x v="622"/>
    <n v="423"/>
    <s v="V41"/>
    <x v="31"/>
    <x v="2"/>
    <s v="4°2°4234IFTLA4"/>
    <s v="LAB DE APLICACIONES"/>
    <x v="18"/>
    <m/>
    <s v=""/>
    <s v="CONTRATURNO"/>
    <e v="#N/A"/>
    <m/>
  </r>
  <r>
    <s v="4°3°"/>
    <x v="623"/>
    <n v="0"/>
    <s v="1JUM"/>
    <x v="0"/>
    <x v="0"/>
    <s v="4°3°4EINGS"/>
    <s v="INGLÉS"/>
    <x v="7"/>
    <m/>
    <s v="JU"/>
    <m/>
    <s v="LEGUIZAMO ANA "/>
    <s v="4°3°4EINGSJU"/>
  </r>
  <r>
    <s v="4°3°"/>
    <x v="624"/>
    <n v="431"/>
    <s v="1miV46"/>
    <x v="3"/>
    <x v="2"/>
    <s v="4°3°4314EFTAE4"/>
    <s v="APLIC ELECT ANALOG "/>
    <x v="16"/>
    <m/>
    <s v="MI"/>
    <s v="CONTRATURNO"/>
    <s v="escalada arnaldo"/>
    <s v="4°3°4314EFTAE4mi"/>
  </r>
  <r>
    <s v="4°3°"/>
    <x v="625"/>
    <n v="432"/>
    <s v="1JUT44"/>
    <x v="0"/>
    <x v="1"/>
    <s v="4°3°4324EFTAE4"/>
    <s v="APLIC ELECT ANALOG "/>
    <x v="23"/>
    <m/>
    <s v="JU"/>
    <s v="CONTRATURNO"/>
    <s v="GAUNA FEDERICO"/>
    <s v="4°3°4324EFTAE4JU"/>
  </r>
  <r>
    <s v="4°3°"/>
    <x v="626"/>
    <n v="0"/>
    <s v="1LUM"/>
    <x v="1"/>
    <x v="0"/>
    <s v="4°3°4EHIS"/>
    <s v="HISTORIA"/>
    <x v="7"/>
    <m/>
    <s v="LU"/>
    <m/>
    <s v="PALACIOS GUSTAVO"/>
    <s v="4°3°4EHISLU"/>
  </r>
  <r>
    <s v="4°3°"/>
    <x v="627"/>
    <n v="431"/>
    <s v="1LUT44"/>
    <x v="1"/>
    <x v="1"/>
    <s v="4°3°4314EFTMP4"/>
    <s v="MONTAJE DE PROYECTO ELECTRONICOS "/>
    <x v="23"/>
    <m/>
    <s v="LU"/>
    <s v="CONTRATURNO"/>
    <s v="SAUCEDO GUSTAVO "/>
    <s v="4°3°4314EFTMP4LU"/>
  </r>
  <r>
    <s v="4°3°"/>
    <x v="628"/>
    <n v="0"/>
    <s v="1MAM"/>
    <x v="2"/>
    <x v="0"/>
    <s v="4°3°4EFMC"/>
    <s v="FUNDAMENTOS DE LOS MODELOS CIRCUITALES"/>
    <x v="7"/>
    <m/>
    <s v="MA"/>
    <m/>
    <s v="VIANA MAURO                  "/>
    <s v="4°3°4EFMCMA"/>
  </r>
  <r>
    <s v="4°3°"/>
    <x v="629"/>
    <n v="0"/>
    <s v="3VIM"/>
    <x v="6"/>
    <x v="0"/>
    <s v="4°3°4EGEOS"/>
    <s v="GEOGRAFIA"/>
    <x v="7"/>
    <m/>
    <s v="VI"/>
    <m/>
    <s v="ROJAS SOLEDAD "/>
    <s v="4°3°4EGEOSVI"/>
  </r>
  <r>
    <s v="4°3°"/>
    <x v="630"/>
    <n v="432"/>
    <s v="1miT46"/>
    <x v="3"/>
    <x v="1"/>
    <s v="4°3°4324EFTMP4"/>
    <s v="MONTAJE DE PROYECTO ELECTRONICOS "/>
    <x v="16"/>
    <m/>
    <s v="MI"/>
    <s v="CONTRATURNO"/>
    <s v="FERREYRA JESICA"/>
    <s v="4°3°4324EFTMP4mi"/>
  </r>
  <r>
    <s v="4°3°"/>
    <x v="631"/>
    <n v="0"/>
    <s v="1VIM"/>
    <x v="4"/>
    <x v="0"/>
    <s v="4°3°4EQUIS"/>
    <s v="QUIMICA"/>
    <x v="7"/>
    <m/>
    <s v="VI"/>
    <m/>
    <s v="PEREYRA MARISA "/>
    <s v="4°3°4EQUISVI"/>
  </r>
  <r>
    <s v="4°3°"/>
    <x v="632"/>
    <n v="431"/>
    <s v="1VIT44"/>
    <x v="4"/>
    <x v="1"/>
    <s v="4°3°4314EFTED4"/>
    <s v="APLIC ELECTR DIGITAL"/>
    <x v="23"/>
    <m/>
    <s v="VI"/>
    <s v="CONTRATURNO"/>
    <s v="CORDOBA ERNESTO"/>
    <s v="4°3°4314EFTED4VI"/>
  </r>
  <r>
    <s v="4°3°"/>
    <x v="633"/>
    <n v="432"/>
    <s v="1MIV46"/>
    <x v="3"/>
    <x v="2"/>
    <s v="4°3°4324EFTED4"/>
    <s v="APLIC ELECTR DIGITAL"/>
    <x v="16"/>
    <m/>
    <s v="MI"/>
    <s v="CONTRATURNO"/>
    <s v="BULACIO ARIEL"/>
    <s v="4°3°4324EFTED4MI"/>
  </r>
  <r>
    <s v="4°3°"/>
    <x v="634"/>
    <n v="0"/>
    <s v="2JUM"/>
    <x v="5"/>
    <x v="0"/>
    <s v="4°3°4EINGS"/>
    <s v="INGLÉS"/>
    <x v="7"/>
    <m/>
    <s v="JU"/>
    <m/>
    <s v="LEGUIZAMO ANA "/>
    <s v="4°3°4EINGSJU"/>
  </r>
  <r>
    <s v="4°3°"/>
    <x v="635"/>
    <n v="431"/>
    <s v="2miV46"/>
    <x v="11"/>
    <x v="2"/>
    <s v="4°3°4314EFTAE4"/>
    <s v="APLIC ELECT ANALOG "/>
    <x v="16"/>
    <m/>
    <s v="MI"/>
    <s v="CONTRATURNO"/>
    <s v="escalada arnaldo"/>
    <s v="4°3°4314EFTAE4mi"/>
  </r>
  <r>
    <s v="4°3°"/>
    <x v="636"/>
    <n v="432"/>
    <s v="2JUT44"/>
    <x v="5"/>
    <x v="1"/>
    <s v="4°3°4324EFTAE4"/>
    <s v="APLIC ELECT ANALOG "/>
    <x v="23"/>
    <m/>
    <s v="JU"/>
    <s v="CONTRATURNO"/>
    <s v="GAUNA FEDERICO"/>
    <s v="4°3°4324EFTAE4JU"/>
  </r>
  <r>
    <s v="4°3°"/>
    <x v="637"/>
    <n v="0"/>
    <s v="2LUM"/>
    <x v="9"/>
    <x v="0"/>
    <s v="4°3°4EHIS"/>
    <s v="HISTORIA"/>
    <x v="7"/>
    <m/>
    <s v="LU"/>
    <m/>
    <s v="PALACIOS GUSTAVO"/>
    <s v="4°3°4EHISLU"/>
  </r>
  <r>
    <s v="4°3°"/>
    <x v="638"/>
    <n v="431"/>
    <s v="2LUT44"/>
    <x v="9"/>
    <x v="1"/>
    <s v="4°3°4314EFTMP4"/>
    <s v="MONTAJE DE PROYECTO ELECTRONICOS "/>
    <x v="23"/>
    <m/>
    <s v="LU"/>
    <s v="CONTRATURNO"/>
    <s v="SAUCEDO GUSTAVO "/>
    <s v="4°3°4314EFTMP4LU"/>
  </r>
  <r>
    <s v="4°3°"/>
    <x v="639"/>
    <n v="0"/>
    <s v="2MAM"/>
    <x v="10"/>
    <x v="0"/>
    <s v="4°3°4EFMC"/>
    <s v="FUNDAMENTOS DE LOS MODELOS CIRCUITALES"/>
    <x v="7"/>
    <m/>
    <s v="MA"/>
    <m/>
    <s v="VIANA MAURO                  "/>
    <s v="4°3°4EFMCMA"/>
  </r>
  <r>
    <s v="4°3°"/>
    <x v="640"/>
    <n v="0"/>
    <s v="4VIM"/>
    <x v="7"/>
    <x v="0"/>
    <s v="4°3°4EGEOS"/>
    <s v="GEOGRAFIA"/>
    <x v="7"/>
    <m/>
    <s v="VI"/>
    <m/>
    <s v="ROJAS SOLEDAD "/>
    <s v="4°3°4EGEOSVI"/>
  </r>
  <r>
    <s v="4°3°"/>
    <x v="641"/>
    <n v="432"/>
    <s v="2miT46"/>
    <x v="11"/>
    <x v="1"/>
    <s v="4°3°4324EFTMP4"/>
    <s v="MONTAJE DE PROYECTO ELECTRONICOS "/>
    <x v="16"/>
    <m/>
    <s v="MI"/>
    <s v="CONTRATURNO"/>
    <s v="FERREYRA JESICA"/>
    <s v="4°3°4324EFTMP4mi"/>
  </r>
  <r>
    <s v="4°3°"/>
    <x v="642"/>
    <n v="0"/>
    <s v="2VIM"/>
    <x v="8"/>
    <x v="0"/>
    <s v="4°3°4EQUIS"/>
    <s v="QUIMICA"/>
    <x v="7"/>
    <m/>
    <s v="VI"/>
    <m/>
    <s v="PEREYRA MARISA "/>
    <s v="4°3°4EQUISVI"/>
  </r>
  <r>
    <s v="4°3°"/>
    <x v="643"/>
    <n v="431"/>
    <s v="2VIT44"/>
    <x v="8"/>
    <x v="1"/>
    <s v="4°3°4314EFTED4"/>
    <s v="APLIC ELECTR DIGITAL"/>
    <x v="23"/>
    <m/>
    <s v="VI"/>
    <s v="CONTRATURNO"/>
    <s v="CORDOBA ERNESTO"/>
    <s v="4°3°4314EFTED4VI"/>
  </r>
  <r>
    <s v="4°3°"/>
    <x v="644"/>
    <n v="432"/>
    <s v="2MIV46"/>
    <x v="11"/>
    <x v="2"/>
    <s v="4°3°4324EFTED4"/>
    <s v="APLIC ELECTR DIGITAL"/>
    <x v="16"/>
    <m/>
    <s v="MI"/>
    <s v="CONTRATURNO"/>
    <s v="BULACIO ARIEL"/>
    <s v="4°3°4324EFTED4MI"/>
  </r>
  <r>
    <s v="4°3°"/>
    <x v="645"/>
    <n v="0"/>
    <s v="3JUM"/>
    <x v="12"/>
    <x v="0"/>
    <s v="4°3°4ETELE"/>
    <s v="TECNOLOGIAS ELECTRONICAS"/>
    <x v="7"/>
    <m/>
    <s v="JU"/>
    <m/>
    <s v="ATAMAÑUK, FLORENCIA"/>
    <s v="4°3°4ETELEJU"/>
  </r>
  <r>
    <s v="4°3°"/>
    <x v="646"/>
    <n v="431"/>
    <s v="3miV46"/>
    <x v="15"/>
    <x v="2"/>
    <s v="4°3°4314EFTAE4"/>
    <s v="APLIC ELECT ANALOG "/>
    <x v="16"/>
    <m/>
    <s v="MI"/>
    <s v="CONTRATURNO"/>
    <s v="escalada arnaldo"/>
    <s v="4°3°4314EFTAE4mi"/>
  </r>
  <r>
    <s v="4°3°"/>
    <x v="647"/>
    <n v="432"/>
    <s v="3JUT44"/>
    <x v="12"/>
    <x v="1"/>
    <s v="4°3°4324EFTAE4"/>
    <s v="APLIC ELECT ANALOG "/>
    <x v="23"/>
    <m/>
    <s v="JU"/>
    <s v="CONTRATURNO"/>
    <s v="GAUNA FEDERICO"/>
    <s v="4°3°4324EFTAE4JU"/>
  </r>
  <r>
    <s v="4°3°"/>
    <x v="648"/>
    <n v="0"/>
    <s v="3LUM"/>
    <x v="13"/>
    <x v="0"/>
    <s v="4°3°4ESADS"/>
    <s v="SALUD Y ADOLESCENCIA"/>
    <x v="7"/>
    <m/>
    <s v="LU"/>
    <m/>
    <s v="CANCELA GONZALEZ M "/>
    <s v="4°3°4ESADSLU"/>
  </r>
  <r>
    <s v="4°3°"/>
    <x v="649"/>
    <n v="431"/>
    <s v="3LUT44"/>
    <x v="13"/>
    <x v="1"/>
    <s v="4°3°4314EFTMP4"/>
    <s v="MONTAJE DE PROYECTO ELECTRONICOS "/>
    <x v="23"/>
    <m/>
    <s v="LU"/>
    <s v="CONTRATURNO"/>
    <s v="SAUCEDO GUSTAVO "/>
    <s v="4°3°4314EFTMP4LU"/>
  </r>
  <r>
    <s v="4°3°"/>
    <x v="650"/>
    <n v="0"/>
    <s v="3MAM"/>
    <x v="14"/>
    <x v="0"/>
    <s v="4°3°4EMATES"/>
    <s v="MATEMATICA"/>
    <x v="7"/>
    <m/>
    <s v="MA"/>
    <m/>
    <s v="LENCINAS NOELIA"/>
    <s v="4°3°4EMATESMA"/>
  </r>
  <r>
    <s v="4°3°"/>
    <x v="651"/>
    <n v="0"/>
    <s v="3MIM"/>
    <x v="15"/>
    <x v="0"/>
    <s v="4°3°4EMATES"/>
    <s v="MATEMATICA"/>
    <x v="7"/>
    <m/>
    <s v="MI"/>
    <m/>
    <s v="LENCINAS NOELIA"/>
    <s v="4°3°4EMATESMI"/>
  </r>
  <r>
    <s v="4°3°"/>
    <x v="652"/>
    <n v="432"/>
    <s v="3miT46"/>
    <x v="15"/>
    <x v="1"/>
    <s v="4°3°4324EFTMP4"/>
    <s v="MONTAJE DE PROYECTO ELECTRONICOS "/>
    <x v="16"/>
    <m/>
    <s v="MI"/>
    <s v="CONTRATURNO"/>
    <s v="FERREYRA JESICA"/>
    <s v="4°3°4324EFTMP4mi"/>
  </r>
  <r>
    <s v="4°3°"/>
    <x v="653"/>
    <n v="0"/>
    <s v="1MIM"/>
    <x v="3"/>
    <x v="0"/>
    <s v="4°3°4EFIS"/>
    <s v="FISICA"/>
    <x v="7"/>
    <m/>
    <s v="MI"/>
    <m/>
    <s v="ESPINDOLA SERGIO                          "/>
    <s v="4°3°4EFISMI"/>
  </r>
  <r>
    <s v="4°3°"/>
    <x v="654"/>
    <n v="431"/>
    <s v="3VIT44"/>
    <x v="6"/>
    <x v="1"/>
    <s v="4°3°4314EFTED4"/>
    <s v="APLIC ELECTR DIGITAL"/>
    <x v="23"/>
    <m/>
    <s v="VI"/>
    <s v="CONTRATURNO"/>
    <s v="CORDOBA ERNESTO"/>
    <s v="4°3°4314EFTED4VI"/>
  </r>
  <r>
    <s v="4°3°"/>
    <x v="655"/>
    <n v="432"/>
    <s v="3MIV46"/>
    <x v="15"/>
    <x v="2"/>
    <s v="4°3°4324EFTED4"/>
    <s v="APLIC ELECTR DIGITAL"/>
    <x v="16"/>
    <m/>
    <s v="MI"/>
    <s v="CONTRATURNO"/>
    <s v="BULACIO ARIEL"/>
    <s v="4°3°4324EFTED4MI"/>
  </r>
  <r>
    <s v="4°3°"/>
    <x v="656"/>
    <n v="0"/>
    <s v="4JUM"/>
    <x v="16"/>
    <x v="0"/>
    <s v="4°3°4ETELE"/>
    <s v="TECNOLOGIAS ELECTRONICAS"/>
    <x v="7"/>
    <m/>
    <s v="JU"/>
    <m/>
    <s v="ATAMAÑUK, FLORENCIA"/>
    <s v="4°3°4ETELEJU"/>
  </r>
  <r>
    <s v="4°3°"/>
    <x v="657"/>
    <n v="431"/>
    <s v="4miV46"/>
    <x v="19"/>
    <x v="2"/>
    <s v="4°3°4314EFTAE4"/>
    <s v="APLIC ELECT ANALOG "/>
    <x v="16"/>
    <m/>
    <s v="MI"/>
    <s v="CONTRATURNO"/>
    <s v="escalada arnaldo"/>
    <s v="4°3°4314EFTAE4mi"/>
  </r>
  <r>
    <s v="4°3°"/>
    <x v="658"/>
    <n v="432"/>
    <s v="4JUT44"/>
    <x v="16"/>
    <x v="1"/>
    <s v="4°3°4324EFTAE4"/>
    <s v="APLIC ELECT ANALOG "/>
    <x v="23"/>
    <m/>
    <s v="JU"/>
    <s v="CONTRATURNO"/>
    <s v="GAUNA FEDERICO"/>
    <s v="4°3°4324EFTAE4JU"/>
  </r>
  <r>
    <s v="4°3°"/>
    <x v="659"/>
    <n v="0"/>
    <s v="4LUM"/>
    <x v="17"/>
    <x v="0"/>
    <s v="4°3°4ESADS"/>
    <s v="SALUD Y ADOLESCENCIA"/>
    <x v="7"/>
    <m/>
    <s v="LU"/>
    <m/>
    <s v="CANCELA GONZALEZ M "/>
    <s v="4°3°4ESADSLU"/>
  </r>
  <r>
    <s v="4°3°"/>
    <x v="660"/>
    <n v="431"/>
    <s v="4LUT44"/>
    <x v="17"/>
    <x v="1"/>
    <s v="4°3°4314EFTMP4"/>
    <s v="MONTAJE DE PROYECTO ELECTRONICOS "/>
    <x v="23"/>
    <m/>
    <s v="LU"/>
    <s v="CONTRATURNO"/>
    <s v="SAUCEDO GUSTAVO "/>
    <s v="4°3°4314EFTMP4LU"/>
  </r>
  <r>
    <s v="4°3°"/>
    <x v="661"/>
    <n v="0"/>
    <s v="4MAM"/>
    <x v="18"/>
    <x v="0"/>
    <s v="4°3°4EMATES"/>
    <s v="MATEMATICA"/>
    <x v="7"/>
    <m/>
    <s v="MA"/>
    <m/>
    <s v="LENCINAS NOELIA"/>
    <s v="4°3°4EMATESMA"/>
  </r>
  <r>
    <s v="4°3°"/>
    <x v="662"/>
    <n v="0"/>
    <s v="4MATPATIO2"/>
    <x v="18"/>
    <x v="1"/>
    <s v="4°3°4EEFIS"/>
    <s v="EDUCACIÓN FISICA"/>
    <x v="3"/>
    <m/>
    <s v="MA"/>
    <s v="CONTRATURNO"/>
    <s v="SANCHEZ CARLOS "/>
    <s v="4°3°4EEFISMA"/>
  </r>
  <r>
    <s v="4°3°"/>
    <x v="663"/>
    <n v="0"/>
    <s v="4MIM"/>
    <x v="19"/>
    <x v="0"/>
    <s v="4°3°4EMATES"/>
    <s v="MATEMATICA"/>
    <x v="7"/>
    <m/>
    <s v="MI"/>
    <m/>
    <s v="LENCINAS NOELIA"/>
    <s v="4°3°4EMATESMI"/>
  </r>
  <r>
    <s v="4°3°"/>
    <x v="664"/>
    <n v="432"/>
    <s v="4miT46"/>
    <x v="19"/>
    <x v="1"/>
    <s v="4°3°4324EFTMP4"/>
    <s v="MONTAJE DE PROYECTO ELECTRONICOS "/>
    <x v="16"/>
    <m/>
    <s v="MI"/>
    <s v="CONTRATURNO"/>
    <s v="FERREYRA JESICA"/>
    <s v="4°3°4324EFTMP4mi"/>
  </r>
  <r>
    <s v="4°3°"/>
    <x v="665"/>
    <n v="0"/>
    <s v="2MIM"/>
    <x v="11"/>
    <x v="0"/>
    <s v="4°3°4EFIS"/>
    <s v="FISICA"/>
    <x v="7"/>
    <m/>
    <s v="MI"/>
    <m/>
    <s v="ESPINDOLA SERGIO                          "/>
    <s v="4°3°4EFISMI"/>
  </r>
  <r>
    <s v="4°3°"/>
    <x v="666"/>
    <n v="431"/>
    <s v="4VIT44"/>
    <x v="7"/>
    <x v="1"/>
    <s v="4°3°4314EFTED4"/>
    <s v="APLIC ELECTR DIGITAL"/>
    <x v="23"/>
    <m/>
    <s v="VI"/>
    <s v="CONTRATURNO"/>
    <s v="CORDOBA ERNESTO"/>
    <s v="4°3°4314EFTED4VI"/>
  </r>
  <r>
    <s v="4°3°"/>
    <x v="667"/>
    <n v="432"/>
    <s v="4MIV46"/>
    <x v="19"/>
    <x v="2"/>
    <s v="4°3°4324EFTED4"/>
    <s v="APLIC ELECTR DIGITAL"/>
    <x v="16"/>
    <m/>
    <s v="MI"/>
    <s v="CONTRATURNO"/>
    <s v="BULACIO ARIEL"/>
    <s v="4°3°4324EFTED4MI"/>
  </r>
  <r>
    <s v="4°3°"/>
    <x v="668"/>
    <n v="0"/>
    <s v="5JUM"/>
    <x v="20"/>
    <x v="0"/>
    <s v="4°3°4ELITS"/>
    <s v="LITERATURA"/>
    <x v="7"/>
    <m/>
    <s v="JU"/>
    <m/>
    <s v="SANTILLAN ESTELA   "/>
    <s v="4°3°4ELITSJU"/>
  </r>
  <r>
    <s v="4°3°"/>
    <x v="669"/>
    <n v="0"/>
    <s v="5LUM"/>
    <x v="21"/>
    <x v="0"/>
    <s v="4°3°4ELITS"/>
    <s v="LITERATURA"/>
    <x v="7"/>
    <m/>
    <s v="LU"/>
    <m/>
    <s v="SANTILLAN ESTELA   "/>
    <s v="4°3°4ELITSLU"/>
  </r>
  <r>
    <s v="4°3°"/>
    <x v="670"/>
    <n v="0"/>
    <s v="5MATPATIO2"/>
    <x v="28"/>
    <x v="1"/>
    <s v="4°3°4EEFIS"/>
    <s v="EDUCACIÓN FISICA"/>
    <x v="3"/>
    <m/>
    <s v="MA"/>
    <s v="CONTRATURNO"/>
    <s v="SANCHEZ CARLOS "/>
    <s v="4°3°4EEFISMA"/>
  </r>
  <r>
    <s v="4°3°"/>
    <x v="671"/>
    <n v="0"/>
    <s v="5MIM"/>
    <x v="24"/>
    <x v="0"/>
    <s v="4°3°4EFIS"/>
    <s v="FISICA"/>
    <x v="7"/>
    <m/>
    <s v="MI"/>
    <m/>
    <s v="ESPINDOLA SERGIO                          "/>
    <s v="4°3°4EFISMI"/>
  </r>
  <r>
    <s v="4°4°"/>
    <x v="672"/>
    <n v="0"/>
    <s v="1JUV"/>
    <x v="0"/>
    <x v="2"/>
    <s v="4°4°4EMATES"/>
    <s v="MATEMATICA"/>
    <x v="7"/>
    <m/>
    <s v="JU"/>
    <m/>
    <s v="FISTER VICTOR"/>
    <s v="4°4°4EMATESJU"/>
  </r>
  <r>
    <s v="4°4°"/>
    <x v="673"/>
    <n v="441"/>
    <s v="1LUM46"/>
    <x v="1"/>
    <x v="0"/>
    <s v="4°4°4414EFTAE4"/>
    <s v="APLIC ELECT ANALOG "/>
    <x v="16"/>
    <m/>
    <s v="LU"/>
    <s v="CONTRATURNO"/>
    <s v="VELAZQUEZ GERARDO "/>
    <s v="4°4°4414EFTAE4LU"/>
  </r>
  <r>
    <s v="4°4°"/>
    <x v="674"/>
    <n v="0"/>
    <s v="1LUV"/>
    <x v="1"/>
    <x v="2"/>
    <s v="4°4°4ELITS"/>
    <s v="LITERATURA"/>
    <x v="7"/>
    <m/>
    <s v="LU"/>
    <m/>
    <s v="CARESTIA, NOEMI"/>
    <s v="4°4°4ELITSLU"/>
  </r>
  <r>
    <s v="4°4°"/>
    <x v="675"/>
    <n v="441"/>
    <s v="1MAM45"/>
    <x v="2"/>
    <x v="0"/>
    <s v="4°4°4414EFTED4"/>
    <s v="APLIC ELECTR DIGITAL"/>
    <x v="8"/>
    <m/>
    <s v="MA"/>
    <s v="CONTRATURNO"/>
    <s v="MARTINEZ, SILVIO"/>
    <s v="4°4°4414EFTED4MA"/>
  </r>
  <r>
    <s v="4°4°"/>
    <x v="676"/>
    <n v="442"/>
    <s v="1luMHARDWARE"/>
    <x v="1"/>
    <x v="0"/>
    <s v="4°4°4424EFTAE4"/>
    <s v="APLIC ELECT ANALOG "/>
    <x v="21"/>
    <m/>
    <s v="LU"/>
    <s v="CONTRATURNO"/>
    <s v="ARNALDO ESCALADA"/>
    <s v="4°4°4424EFTAE4lu"/>
  </r>
  <r>
    <s v="4°4°"/>
    <x v="677"/>
    <n v="0"/>
    <s v="1MAV"/>
    <x v="2"/>
    <x v="2"/>
    <s v="4°4°4EHIS"/>
    <s v="HISTORIA"/>
    <x v="7"/>
    <m/>
    <s v="MA"/>
    <m/>
    <s v="PALACIOS GUSTAVO "/>
    <s v="4°4°4EHISMA"/>
  </r>
  <r>
    <s v="4°4°"/>
    <x v="678"/>
    <n v="442"/>
    <s v="1viT46"/>
    <x v="4"/>
    <x v="1"/>
    <s v="4°4°4424EFTED4"/>
    <s v="APLIC ELECTR DIGITAL"/>
    <x v="16"/>
    <m/>
    <s v="VI"/>
    <s v="CONTRATURNO"/>
    <s v="FISTER (Serv.Prov)         "/>
    <s v="4°4°4424EFTED4vi"/>
  </r>
  <r>
    <s v="4°4°"/>
    <x v="679"/>
    <n v="0"/>
    <s v="1MIV"/>
    <x v="3"/>
    <x v="2"/>
    <s v="4°4°4EGEOS"/>
    <s v="GEOGRAFIA"/>
    <x v="7"/>
    <m/>
    <s v="MI"/>
    <m/>
    <s v="ANTONELLO, FERNANDO"/>
    <s v="4°4°4EGEOSMI"/>
  </r>
  <r>
    <s v="4°4°"/>
    <x v="680"/>
    <n v="441"/>
    <s v="1VIM46"/>
    <x v="4"/>
    <x v="0"/>
    <s v="4°4°4414EFTMP4"/>
    <s v="MONTAJE DE PROYECTO ELECTRONICOS "/>
    <x v="16"/>
    <m/>
    <s v="VI"/>
    <s v="CONTRATURNO"/>
    <s v="QUINTANA RAMON "/>
    <s v="4°4°4414EFTMP4VI"/>
  </r>
  <r>
    <s v="4°4°"/>
    <x v="681"/>
    <n v="442"/>
    <s v="1VIMaula 4"/>
    <x v="4"/>
    <x v="0"/>
    <s v="4°4°4424EFTMP4"/>
    <s v="MONTAJE DE PROYECTO ELECTRONICOS "/>
    <x v="1"/>
    <m/>
    <s v="VI"/>
    <s v="CONTRATURNO"/>
    <s v="VELAZQUEZ GERARDO "/>
    <s v="4°4°4424EFTMP4VI"/>
  </r>
  <r>
    <s v="4°4°"/>
    <x v="682"/>
    <n v="0"/>
    <s v="1VIV"/>
    <x v="4"/>
    <x v="2"/>
    <s v="4°4°4EINGS"/>
    <s v="INGLÉS"/>
    <x v="7"/>
    <m/>
    <s v="VI"/>
    <m/>
    <s v="ARCE KARINA "/>
    <s v="4°4°4EINGSVI"/>
  </r>
  <r>
    <s v="4°4°"/>
    <x v="683"/>
    <n v="0"/>
    <s v="2JUV"/>
    <x v="5"/>
    <x v="2"/>
    <s v="4°4°4EMATES"/>
    <s v="MATEMATICA"/>
    <x v="7"/>
    <m/>
    <s v="JU"/>
    <m/>
    <s v="FISTER VICTOR"/>
    <s v="4°4°4EMATESJU"/>
  </r>
  <r>
    <s v="4°4°"/>
    <x v="684"/>
    <n v="441"/>
    <s v="2LUM46"/>
    <x v="9"/>
    <x v="0"/>
    <s v="4°4°4414EFTAE4"/>
    <s v="APLIC ELECT ANALOG "/>
    <x v="16"/>
    <m/>
    <s v="LU"/>
    <s v="CONTRATURNO"/>
    <s v="VELAZQUEZ GERARDO "/>
    <s v="4°4°4414EFTAE4LU"/>
  </r>
  <r>
    <s v="4°4°"/>
    <x v="685"/>
    <n v="0"/>
    <s v="2LUV"/>
    <x v="9"/>
    <x v="2"/>
    <s v="4°4°4ELITS"/>
    <s v="LITERATURA"/>
    <x v="7"/>
    <m/>
    <s v="LU"/>
    <m/>
    <s v="CARESTIA, NOEMI"/>
    <s v="4°4°4ELITSLU"/>
  </r>
  <r>
    <s v="4°4°"/>
    <x v="686"/>
    <n v="441"/>
    <s v="2MAM45"/>
    <x v="10"/>
    <x v="0"/>
    <s v="4°4°4414EFTED4"/>
    <s v="APLIC ELECTR DIGITAL"/>
    <x v="8"/>
    <m/>
    <s v="MA"/>
    <s v="CONTRATURNO"/>
    <s v="MARTINEZ, SILVIO"/>
    <s v="4°4°4414EFTED4MA"/>
  </r>
  <r>
    <s v="4°4°"/>
    <x v="687"/>
    <n v="442"/>
    <s v="2luMHARDWARE"/>
    <x v="9"/>
    <x v="0"/>
    <s v="4°4°4424EFTAE4"/>
    <s v="APLIC ELECT ANALOG "/>
    <x v="21"/>
    <m/>
    <s v="LU"/>
    <s v="CONTRATURNO"/>
    <s v="ARNALDO ESCALADA"/>
    <s v="4°4°4424EFTAE4lu"/>
  </r>
  <r>
    <s v="4°4°"/>
    <x v="688"/>
    <n v="0"/>
    <s v="2MAV"/>
    <x v="10"/>
    <x v="2"/>
    <s v="4°4°4EFIS"/>
    <s v="FISICA"/>
    <x v="7"/>
    <m/>
    <s v="MA"/>
    <m/>
    <s v="PROCHOR JUAN"/>
    <s v="4°4°4EFISMA"/>
  </r>
  <r>
    <s v="4°4°"/>
    <x v="689"/>
    <n v="442"/>
    <s v="2viT46"/>
    <x v="8"/>
    <x v="1"/>
    <s v="4°4°4424EFTED4"/>
    <s v="APLIC ELECTR DIGITAL"/>
    <x v="16"/>
    <m/>
    <s v="VI"/>
    <s v="CONTRATURNO"/>
    <s v="FISTER (Serv.Prov)         "/>
    <s v="4°4°4424EFTED4vi"/>
  </r>
  <r>
    <s v="4°4°"/>
    <x v="690"/>
    <n v="0"/>
    <s v="2MIV"/>
    <x v="11"/>
    <x v="2"/>
    <s v="4°4°4EGEOS"/>
    <s v="GEOGRAFIA"/>
    <x v="7"/>
    <m/>
    <s v="MI"/>
    <m/>
    <s v="ANTONELLO, FERNANDO"/>
    <s v="4°4°4EGEOSMI"/>
  </r>
  <r>
    <s v="4°4°"/>
    <x v="691"/>
    <n v="441"/>
    <s v="2VIM46"/>
    <x v="8"/>
    <x v="0"/>
    <s v="4°4°4414EFTMP4"/>
    <s v="MONTAJE DE PROYECTO ELECTRONICOS "/>
    <x v="16"/>
    <m/>
    <s v="VI"/>
    <s v="CONTRATURNO"/>
    <s v="QUINTANA RAMON "/>
    <s v="4°4°4414EFTMP4VI"/>
  </r>
  <r>
    <s v="4°4°"/>
    <x v="692"/>
    <n v="442"/>
    <s v="2VIMaula 4"/>
    <x v="8"/>
    <x v="0"/>
    <s v="4°4°4424EFTMP4"/>
    <s v="MONTAJE DE PROYECTO ELECTRONICOS "/>
    <x v="1"/>
    <m/>
    <s v="VI"/>
    <s v="CONTRATURNO"/>
    <s v="VELAZQUEZ GERARDO "/>
    <s v="4°4°4424EFTMP4VI"/>
  </r>
  <r>
    <s v="4°4°"/>
    <x v="693"/>
    <n v="0"/>
    <s v="PHEHORAJUV"/>
    <x v="32"/>
    <x v="2"/>
    <s v="4°4°4EMATES"/>
    <s v="MATEMATICA"/>
    <x v="7"/>
    <m/>
    <s v="JU"/>
    <m/>
    <s v="FISTER VICTOR"/>
    <s v="4°4°4EMATESJU"/>
  </r>
  <r>
    <s v="4°4°"/>
    <x v="694"/>
    <n v="0"/>
    <s v="3JUMPATIO"/>
    <x v="12"/>
    <x v="0"/>
    <s v="4°4°4EEFIS"/>
    <s v="EDUCACIÓN FISICA"/>
    <x v="12"/>
    <m/>
    <s v="JU"/>
    <s v="CONTRATURNO"/>
    <s v="SANCHEZ CARLOS"/>
    <s v="4°4°4EEFISJU"/>
  </r>
  <r>
    <s v="4°4°"/>
    <x v="695"/>
    <n v="0"/>
    <s v="3JUV"/>
    <x v="12"/>
    <x v="2"/>
    <s v="4°4°4EFMC"/>
    <s v="FUNDAMENTOS DE LOS MODELOS CIRCUITALES"/>
    <x v="7"/>
    <m/>
    <s v="JU"/>
    <m/>
    <s v="FISTER VICTOR             "/>
    <s v="4°4°4EFMCJU"/>
  </r>
  <r>
    <s v="4°4°"/>
    <x v="696"/>
    <n v="441"/>
    <s v="3LUM46"/>
    <x v="13"/>
    <x v="0"/>
    <s v="4°4°4414EFTAE4"/>
    <s v="APLIC ELECT ANALOG "/>
    <x v="16"/>
    <m/>
    <s v="LU"/>
    <s v="CONTRATURNO"/>
    <s v="VELAZQUEZ GERARDO "/>
    <s v="4°4°4414EFTAE4LU"/>
  </r>
  <r>
    <s v="4°4°"/>
    <x v="697"/>
    <n v="0"/>
    <s v="3LUV"/>
    <x v="13"/>
    <x v="2"/>
    <s v="4°4°4ETELE"/>
    <s v="TECNOLOGIAS ELECTRONICAS"/>
    <x v="7"/>
    <m/>
    <s v="LU"/>
    <m/>
    <s v="SERENO, LEONEL"/>
    <s v="4°4°4ETELELU"/>
  </r>
  <r>
    <s v="4°4°"/>
    <x v="698"/>
    <n v="441"/>
    <s v="3MAM45"/>
    <x v="14"/>
    <x v="0"/>
    <s v="4°4°4414EFTED4"/>
    <s v="APLIC ELECTR DIGITAL"/>
    <x v="8"/>
    <m/>
    <s v="MA"/>
    <s v="CONTRATURNO"/>
    <s v="MARTINEZ, SILVIO"/>
    <s v="4°4°4414EFTED4MA"/>
  </r>
  <r>
    <s v="4°4°"/>
    <x v="699"/>
    <n v="442"/>
    <s v="3luMHARDWARE"/>
    <x v="13"/>
    <x v="0"/>
    <s v="4°4°4424EFTAE4"/>
    <s v="APLIC ELECT ANALOG "/>
    <x v="21"/>
    <m/>
    <s v="LU"/>
    <s v="CONTRATURNO"/>
    <s v="ARNALDO ESCALADA"/>
    <s v="4°4°4424EFTAE4lu"/>
  </r>
  <r>
    <s v="4°4°"/>
    <x v="700"/>
    <n v="0"/>
    <s v="3MAV"/>
    <x v="14"/>
    <x v="2"/>
    <s v="4°4°4EFIS"/>
    <s v="FISICA"/>
    <x v="7"/>
    <m/>
    <s v="MA"/>
    <m/>
    <s v="PROCHOR JUAN"/>
    <s v="4°4°4EFISMA"/>
  </r>
  <r>
    <s v="4°4°"/>
    <x v="701"/>
    <n v="442"/>
    <s v="3viT46"/>
    <x v="6"/>
    <x v="1"/>
    <s v="4°4°4424EFTED4"/>
    <s v="APLIC ELECTR DIGITAL"/>
    <x v="16"/>
    <m/>
    <s v="VI"/>
    <s v="CONTRATURNO"/>
    <s v="FISTER (Serv.Prov)         "/>
    <s v="4°4°4424EFTED4vi"/>
  </r>
  <r>
    <s v="4°4°"/>
    <x v="702"/>
    <n v="0"/>
    <s v="3MIV"/>
    <x v="15"/>
    <x v="2"/>
    <s v="4°4°4ESADS"/>
    <s v="SALUD Y ADOLESCENCIA"/>
    <x v="7"/>
    <m/>
    <s v="MI"/>
    <m/>
    <s v="TORRES VANINA"/>
    <s v="4°4°4ESADSMI"/>
  </r>
  <r>
    <s v="4°4°"/>
    <x v="703"/>
    <n v="441"/>
    <s v="3VIM46"/>
    <x v="6"/>
    <x v="0"/>
    <s v="4°4°4414EFTMP4"/>
    <s v="MONTAJE DE PROYECTO ELECTRONICOS "/>
    <x v="16"/>
    <m/>
    <s v="VI"/>
    <s v="CONTRATURNO"/>
    <s v="QUINTANA RAMON "/>
    <s v="4°4°4414EFTMP4VI"/>
  </r>
  <r>
    <s v="4°4°"/>
    <x v="704"/>
    <n v="442"/>
    <s v="3VIMaula 4"/>
    <x v="6"/>
    <x v="0"/>
    <s v="4°4°4424EFTMP4"/>
    <s v="MONTAJE DE PROYECTO ELECTRONICOS "/>
    <x v="1"/>
    <m/>
    <s v="VI"/>
    <s v="CONTRATURNO"/>
    <s v="VELAZQUEZ GERARDO "/>
    <s v="4°4°4424EFTMP4VI"/>
  </r>
  <r>
    <s v="4°4°"/>
    <x v="705"/>
    <n v="0"/>
    <s v="3VIV"/>
    <x v="6"/>
    <x v="2"/>
    <s v="4°4°4EQUIS"/>
    <s v="QUIMICA"/>
    <x v="7"/>
    <m/>
    <s v="VI"/>
    <m/>
    <s v="STEIN PAMELA "/>
    <s v="4°4°4EQUISVI"/>
  </r>
  <r>
    <s v="4°4°"/>
    <x v="706"/>
    <n v="0"/>
    <s v="4JUMPATIO"/>
    <x v="16"/>
    <x v="0"/>
    <s v="4°4°4EEFIS"/>
    <s v="EDUCACIÓN FISICA"/>
    <x v="12"/>
    <m/>
    <s v="JU"/>
    <s v="CONTRATURNO"/>
    <s v="SANCHEZ CARLOS"/>
    <s v="4°4°4EEFISJU"/>
  </r>
  <r>
    <s v="4°4°"/>
    <x v="707"/>
    <n v="0"/>
    <s v="4JUV"/>
    <x v="16"/>
    <x v="2"/>
    <s v="4°4°4EFMC"/>
    <s v="FUNDAMENTOS DE LOS MODELOS CIRCUITALES"/>
    <x v="7"/>
    <m/>
    <s v="JU"/>
    <m/>
    <s v="FISTER VICTOR             "/>
    <s v="4°4°4EFMCJU"/>
  </r>
  <r>
    <s v="4°4°"/>
    <x v="708"/>
    <n v="441"/>
    <s v="4LUM46"/>
    <x v="17"/>
    <x v="0"/>
    <s v="4°4°4414EFTAE4"/>
    <s v="APLIC ELECT ANALOG "/>
    <x v="16"/>
    <m/>
    <s v="LU"/>
    <s v="CONTRATURNO"/>
    <s v="VELAZQUEZ GERARDO "/>
    <s v="4°4°4414EFTAE4LU"/>
  </r>
  <r>
    <s v="4°4°"/>
    <x v="709"/>
    <n v="0"/>
    <s v="4LUV"/>
    <x v="17"/>
    <x v="2"/>
    <s v="4°4°4ETELE"/>
    <s v="TECNOLOGIAS ELECTRONICAS"/>
    <x v="7"/>
    <m/>
    <s v="LU"/>
    <m/>
    <s v="SERENO, LEONEL"/>
    <s v="4°4°4ETELELU"/>
  </r>
  <r>
    <s v="4°4°"/>
    <x v="710"/>
    <n v="441"/>
    <s v="4MAM45"/>
    <x v="18"/>
    <x v="0"/>
    <s v="4°4°4414EFTED4"/>
    <s v="APLIC ELECTR DIGITAL"/>
    <x v="8"/>
    <m/>
    <s v="MA"/>
    <s v="CONTRATURNO"/>
    <s v="MARTINEZ, SILVIO"/>
    <s v="4°4°4414EFTED4MA"/>
  </r>
  <r>
    <s v="4°4°"/>
    <x v="711"/>
    <n v="442"/>
    <s v="4luMHARDWARE"/>
    <x v="17"/>
    <x v="0"/>
    <s v="4°4°4424EFTAE4"/>
    <s v="APLIC ELECT ANALOG "/>
    <x v="21"/>
    <m/>
    <s v="LU"/>
    <s v="CONTRATURNO"/>
    <s v="ARNALDO ESCALADA"/>
    <s v="4°4°4424EFTAE4lu"/>
  </r>
  <r>
    <s v="4°4°"/>
    <x v="712"/>
    <n v="0"/>
    <s v="4MAV"/>
    <x v="18"/>
    <x v="2"/>
    <s v="4°4°4EFIS"/>
    <s v="FISICA"/>
    <x v="7"/>
    <m/>
    <s v="MA"/>
    <m/>
    <s v="PROCHOR JUAN"/>
    <s v="4°4°4EFISMA"/>
  </r>
  <r>
    <s v="4°4°"/>
    <x v="713"/>
    <n v="442"/>
    <s v="4viT46"/>
    <x v="7"/>
    <x v="1"/>
    <s v="4°4°4424EFTED4"/>
    <s v="APLIC ELECTR DIGITAL"/>
    <x v="16"/>
    <m/>
    <s v="VI"/>
    <s v="CONTRATURNO"/>
    <s v="FISTER (Serv.Prov)         "/>
    <s v="4°4°4424EFTED4vi"/>
  </r>
  <r>
    <s v="4°4°"/>
    <x v="714"/>
    <n v="0"/>
    <s v="4MIV"/>
    <x v="19"/>
    <x v="2"/>
    <s v="4°4°4ESADS"/>
    <s v="SALUD Y ADOLESCENCIA"/>
    <x v="7"/>
    <m/>
    <s v="MI"/>
    <m/>
    <s v="TORRES VANINA"/>
    <s v="4°4°4ESADSMI"/>
  </r>
  <r>
    <s v="4°4°"/>
    <x v="715"/>
    <n v="441"/>
    <s v="4VIM46"/>
    <x v="7"/>
    <x v="0"/>
    <s v="4°4°4414EFTMP4"/>
    <s v="MONTAJE DE PROYECTO ELECTRONICOS "/>
    <x v="16"/>
    <m/>
    <s v="VI"/>
    <s v="CONTRATURNO"/>
    <s v="QUINTANA RAMON "/>
    <s v="4°4°4414EFTMP4VI"/>
  </r>
  <r>
    <s v="4°4°"/>
    <x v="716"/>
    <n v="442"/>
    <s v="4VIMaula 4"/>
    <x v="7"/>
    <x v="0"/>
    <s v="4°4°4424EFTMP4"/>
    <s v="MONTAJE DE PROYECTO ELECTRONICOS "/>
    <x v="1"/>
    <m/>
    <s v="VI"/>
    <s v="CONTRATURNO"/>
    <s v="VELAZQUEZ GERARDO "/>
    <s v="4°4°4424EFTMP4VI"/>
  </r>
  <r>
    <s v="4°4°"/>
    <x v="717"/>
    <n v="0"/>
    <s v="4VIV"/>
    <x v="7"/>
    <x v="2"/>
    <s v="4°4°4EQUIS"/>
    <s v="QUIMICA"/>
    <x v="7"/>
    <m/>
    <s v="VI"/>
    <m/>
    <s v="STEIN PAMELA "/>
    <s v="4°4°4EQUISVI"/>
  </r>
  <r>
    <s v="4°4°"/>
    <x v="718"/>
    <n v="0"/>
    <s v="PREHORAMIV"/>
    <x v="23"/>
    <x v="2"/>
    <s v="4°4°4EMATES"/>
    <s v="MATEMATICA"/>
    <x v="7"/>
    <m/>
    <s v="MI"/>
    <m/>
    <s v="FISTER VICTOR"/>
    <s v="4°4°4EMATESMI"/>
  </r>
  <r>
    <s v="4°4°"/>
    <x v="719"/>
    <n v="0"/>
    <s v="PREHORAMAV"/>
    <x v="22"/>
    <x v="2"/>
    <s v="4°4°4EHIS"/>
    <s v="HISTORIA"/>
    <x v="7"/>
    <m/>
    <s v="MA"/>
    <m/>
    <s v="PALACIOS GUSTAVO "/>
    <s v="4°4°4EHISMA"/>
  </r>
  <r>
    <s v="4°4°"/>
    <x v="720"/>
    <n v="0"/>
    <s v="PREHORAVIV"/>
    <x v="30"/>
    <x v="2"/>
    <s v="4°4°4EINGS"/>
    <s v="INGLÉS"/>
    <x v="7"/>
    <m/>
    <s v="VI"/>
    <m/>
    <s v="ARCE KARINA "/>
    <s v="4°4°4EINGSVI"/>
  </r>
  <r>
    <s v="5°5°"/>
    <x v="721"/>
    <n v="552"/>
    <s v="1maMSUPERPUESTO"/>
    <x v="2"/>
    <x v="0"/>
    <s v="5°5°5525IFTLP5"/>
    <s v="LAB DE PROGRAM "/>
    <x v="13"/>
    <m/>
    <s v="MA"/>
    <s v="CONTRATURNO"/>
    <s v="WITT GERARDO"/>
    <s v="5°5°5525IFTLP5ma"/>
  </r>
  <r>
    <s v="5°5°"/>
    <x v="722"/>
    <n v="552"/>
    <s v="1JUT31"/>
    <x v="0"/>
    <x v="1"/>
    <s v="5°5°5525IFTLS5"/>
    <s v="LAB DE SIST OPERATIVOS"/>
    <x v="19"/>
    <m/>
    <s v="JU"/>
    <s v="CONTRATURNO"/>
    <s v="BERTOSSI MAXIMILIANO H"/>
    <s v="5°5°5525IFTLS5JU"/>
  </r>
  <r>
    <s v="5°5°"/>
    <x v="723"/>
    <n v="0"/>
    <s v="1JUV"/>
    <x v="0"/>
    <x v="2"/>
    <s v="5°5°5IANMAT"/>
    <s v="ANALISIS MATEMATICO"/>
    <x v="7"/>
    <m/>
    <s v="JU"/>
    <m/>
    <s v="GARCIA CLAUDIA"/>
    <s v="5°5°5IANMATJU"/>
  </r>
  <r>
    <s v="5°5°"/>
    <x v="724"/>
    <n v="551"/>
    <s v="1LUT30"/>
    <x v="1"/>
    <x v="1"/>
    <s v="5°5°5515IFTLS5"/>
    <s v="LAB DE SIST OPERATIVOS"/>
    <x v="22"/>
    <m/>
    <s v="LU"/>
    <s v="CONTRATURNO"/>
    <s v="WITT  GERARDO"/>
    <s v="5°5°5515IFTLS5LU"/>
  </r>
  <r>
    <s v="5°5°"/>
    <x v="725"/>
    <n v="552"/>
    <s v="1LUT40"/>
    <x v="1"/>
    <x v="1"/>
    <s v="5°5°5525IFTLH5"/>
    <s v="LAB DE HARDWARE "/>
    <x v="20"/>
    <m/>
    <s v="LU"/>
    <s v="CONTRATURNO"/>
    <s v="FISTER (Serv.Prov)         "/>
    <s v="5°5°5525IFTLH5LU"/>
  </r>
  <r>
    <s v="5°5°"/>
    <x v="726"/>
    <n v="0"/>
    <s v="1LUV"/>
    <x v="1"/>
    <x v="2"/>
    <s v="5°5°5IANMAT"/>
    <s v="ANALISIS MATEMATICO"/>
    <x v="7"/>
    <m/>
    <s v="LU"/>
    <m/>
    <s v="GARCIA CLAUDIA"/>
    <s v="5°5°5IANMATLU"/>
  </r>
  <r>
    <s v="5°5°"/>
    <x v="727"/>
    <n v="551"/>
    <s v="5MIM40"/>
    <x v="24"/>
    <x v="0"/>
    <s v="5°5°5515IFTLP5"/>
    <s v="LAB DE PROGRAM "/>
    <x v="20"/>
    <m/>
    <s v="MI"/>
    <s v="CONTRATURNO"/>
    <s v="WITT  GERARDO"/>
    <s v="5°5°5515IFTLP5MI"/>
  </r>
  <r>
    <s v="5°5°"/>
    <x v="728"/>
    <n v="0"/>
    <s v="1MATPATIO"/>
    <x v="2"/>
    <x v="1"/>
    <s v="5°5°5IEFIS"/>
    <s v="EDUCACIÓN FISICA"/>
    <x v="12"/>
    <m/>
    <s v="MA"/>
    <s v="CONTRATURNO"/>
    <s v="LUDUEÑA NELSON"/>
    <s v="5°5°5IEFISMA"/>
  </r>
  <r>
    <s v="5°5°"/>
    <x v="729"/>
    <n v="0"/>
    <s v="1MAV"/>
    <x v="2"/>
    <x v="2"/>
    <s v="5°5°5IINGS"/>
    <s v="INGLÉS"/>
    <x v="7"/>
    <m/>
    <s v="MA"/>
    <m/>
    <s v="BARBIERI MARIA 27361711800"/>
    <s v="5°5°5IINGSMA"/>
  </r>
  <r>
    <s v="5°5°"/>
    <x v="730"/>
    <n v="551"/>
    <s v="1MIT40"/>
    <x v="3"/>
    <x v="1"/>
    <s v="5°5°5515IFTLA5"/>
    <s v="LAB DE APLICACIONES "/>
    <x v="20"/>
    <m/>
    <s v="MI"/>
    <s v="CONTRATURNO"/>
    <s v=" HERRERA STELLA MARIS"/>
    <s v="5°5°5515IFTLA5MI"/>
  </r>
  <r>
    <s v="5°5°"/>
    <x v="731"/>
    <n v="0"/>
    <s v="1MIV"/>
    <x v="3"/>
    <x v="2"/>
    <s v="5°5°5IGEOS5"/>
    <s v="GEOGRAFIA"/>
    <x v="7"/>
    <m/>
    <s v="MI"/>
    <m/>
    <s v=" ROJAS SOLEDAD"/>
    <s v="5°5°5IGEOS5MI"/>
  </r>
  <r>
    <s v="5°5°"/>
    <x v="732"/>
    <n v="0"/>
    <s v="1VIV"/>
    <x v="4"/>
    <x v="2"/>
    <s v="5°5°5IHIS5"/>
    <s v="HISTORIA"/>
    <x v="7"/>
    <m/>
    <s v="VI"/>
    <m/>
    <s v="GONZALEZ ROCIO NATALIA"/>
    <s v="5°5°5IHIS5VI"/>
  </r>
  <r>
    <s v="5°5°"/>
    <x v="733"/>
    <n v="552"/>
    <s v="2maMSUPERPUESTO"/>
    <x v="10"/>
    <x v="0"/>
    <s v="5°5°5525IFTLP5"/>
    <s v="LAB DE PROGRAM "/>
    <x v="13"/>
    <m/>
    <s v="MA"/>
    <s v="CONTRATURNO"/>
    <s v="WITT GERARDO"/>
    <s v="5°5°5525IFTLP5ma"/>
  </r>
  <r>
    <s v="5°5°"/>
    <x v="734"/>
    <n v="552"/>
    <s v="2JUT31"/>
    <x v="5"/>
    <x v="1"/>
    <s v="5°5°5525IFTLS5"/>
    <s v="LAB DE SIST OPERATIVOS"/>
    <x v="19"/>
    <m/>
    <s v="JU"/>
    <s v="CONTRATURNO"/>
    <s v="BERTOSSI MAXIMILIANO H"/>
    <s v="5°5°5525IFTLS5JU"/>
  </r>
  <r>
    <s v="5°5°"/>
    <x v="735"/>
    <n v="0"/>
    <s v="2JUV"/>
    <x v="5"/>
    <x v="2"/>
    <s v="5°5°5IANMAT"/>
    <s v="ANALISIS MATEMATICO"/>
    <x v="7"/>
    <m/>
    <s v="JU"/>
    <m/>
    <s v="GARCIA CLAUDIA"/>
    <s v="5°5°5IANMATJU"/>
  </r>
  <r>
    <s v="5°5°"/>
    <x v="736"/>
    <n v="551"/>
    <s v="2LUT30"/>
    <x v="9"/>
    <x v="1"/>
    <s v="5°5°5515IFTLS5"/>
    <s v="LAB DE SIST OPERATIVOS"/>
    <x v="22"/>
    <m/>
    <s v="LU"/>
    <s v="CONTRATURNO"/>
    <s v="WITT  GERARDO"/>
    <s v="5°5°5515IFTLS5LU"/>
  </r>
  <r>
    <s v="5°5°"/>
    <x v="737"/>
    <n v="552"/>
    <s v="2LUT40"/>
    <x v="9"/>
    <x v="1"/>
    <s v="5°5°5525IFTLH5"/>
    <s v="LAB DE HARDWARE "/>
    <x v="20"/>
    <m/>
    <s v="LU"/>
    <s v="CONTRATURNO"/>
    <s v="FISTER (Serv.Prov)         "/>
    <s v="5°5°5525IFTLH5LU"/>
  </r>
  <r>
    <s v="5°5°"/>
    <x v="738"/>
    <n v="0"/>
    <s v="2LUV"/>
    <x v="9"/>
    <x v="2"/>
    <s v="5°5°5IANMAT"/>
    <s v="ANALISIS MATEMATICO"/>
    <x v="7"/>
    <m/>
    <s v="LU"/>
    <m/>
    <s v="GARCIA CLAUDIA"/>
    <s v="5°5°5IANMATLU"/>
  </r>
  <r>
    <s v="5°5°"/>
    <x v="739"/>
    <n v="551"/>
    <s v="4MIM40"/>
    <x v="19"/>
    <x v="0"/>
    <s v="5°5°5515IFTLP5"/>
    <s v="LAB DE PROGRAM "/>
    <x v="20"/>
    <m/>
    <s v="MI"/>
    <s v="CONTRATURNO"/>
    <s v="WITT  GERARDO"/>
    <s v="5°5°5515IFTLP5MI"/>
  </r>
  <r>
    <s v="5°5°"/>
    <x v="740"/>
    <n v="0"/>
    <s v="2MATPATIO"/>
    <x v="10"/>
    <x v="1"/>
    <s v="5°5°5IEFIS"/>
    <s v="EDUCACIÓN FISICA"/>
    <x v="12"/>
    <m/>
    <s v="MA"/>
    <s v="CONTRATURNO"/>
    <s v="LUDUEÑA NELSON"/>
    <s v="5°5°5IEFISMA"/>
  </r>
  <r>
    <s v="5°5°"/>
    <x v="741"/>
    <n v="0"/>
    <s v="2MAV"/>
    <x v="10"/>
    <x v="2"/>
    <s v="5°5°5IINGS"/>
    <s v="INGLÉS"/>
    <x v="7"/>
    <m/>
    <s v="MA"/>
    <m/>
    <s v="BARBIERI MARIA 27361711800"/>
    <s v="5°5°5IINGSMA"/>
  </r>
  <r>
    <s v="5°5°"/>
    <x v="742"/>
    <n v="551"/>
    <s v="2MIT40"/>
    <x v="11"/>
    <x v="1"/>
    <s v="5°5°5515IFTLA5"/>
    <s v="LAB DE APLICACIONES "/>
    <x v="20"/>
    <m/>
    <s v="MI"/>
    <s v="CONTRATURNO"/>
    <s v=" HERRERA STELLA MARIS"/>
    <s v="5°5°5515IFTLA5MI"/>
  </r>
  <r>
    <s v="5°5°"/>
    <x v="743"/>
    <n v="0"/>
    <s v="2MIV"/>
    <x v="11"/>
    <x v="2"/>
    <s v="5°5°5IGEOS5"/>
    <s v="GEOGRAFIA"/>
    <x v="7"/>
    <m/>
    <s v="MI"/>
    <m/>
    <s v=" ROJAS SOLEDAD"/>
    <s v="5°5°5IGEOS5MI"/>
  </r>
  <r>
    <s v="5°5°"/>
    <x v="744"/>
    <n v="0"/>
    <s v="2VIV"/>
    <x v="8"/>
    <x v="2"/>
    <s v="5°5°5ISIDI4"/>
    <s v="SISTEMA DIGITAL"/>
    <x v="7"/>
    <m/>
    <s v="VI"/>
    <m/>
    <s v="HERNER, CRISTIAN "/>
    <s v="5°5°5ISIDI4VI"/>
  </r>
  <r>
    <s v="5°5°"/>
    <x v="745"/>
    <n v="552"/>
    <s v="3JUT31"/>
    <x v="12"/>
    <x v="1"/>
    <s v="5°5°5525IFTLS5"/>
    <s v="LAB DE SIST OPERATIVOS"/>
    <x v="19"/>
    <m/>
    <s v="JU"/>
    <s v="CONTRATURNO"/>
    <s v="BERTOSSI MAXIMILIANO H"/>
    <s v="5°5°5525IFTLS5JU"/>
  </r>
  <r>
    <s v="5°5°"/>
    <x v="746"/>
    <n v="0"/>
    <s v="3JUV"/>
    <x v="12"/>
    <x v="2"/>
    <s v="5°5°5IPYCS"/>
    <s v="POLITICA Y CIUDADANIA"/>
    <x v="7"/>
    <m/>
    <s v="JU"/>
    <m/>
    <s v="ANTONIO VALLE, INEES "/>
    <s v="5°5°5IPYCSJU"/>
  </r>
  <r>
    <s v="5°5°"/>
    <x v="747"/>
    <n v="551"/>
    <s v="3LUT30"/>
    <x v="13"/>
    <x v="1"/>
    <s v="5°5°5515IFTLS5"/>
    <s v="LAB DE SIST OPERATIVOS"/>
    <x v="22"/>
    <m/>
    <s v="LU"/>
    <s v="CONTRATURNO"/>
    <s v="WITT  GERARDO"/>
    <s v="5°5°5515IFTLS5LU"/>
  </r>
  <r>
    <s v="5°5°"/>
    <x v="748"/>
    <n v="552"/>
    <s v="3LUT40"/>
    <x v="13"/>
    <x v="1"/>
    <s v="5°5°5525IFTLH5"/>
    <s v="LAB DE HARDWARE "/>
    <x v="20"/>
    <m/>
    <s v="LU"/>
    <s v="CONTRATURNO"/>
    <s v="FISTER (Serv.Prov)         "/>
    <s v="5°5°5525IFTLH5LU"/>
  </r>
  <r>
    <s v="5°5°"/>
    <x v="749"/>
    <n v="0"/>
    <s v="3LUV"/>
    <x v="13"/>
    <x v="2"/>
    <s v="5°5°5ILITS"/>
    <s v="LITERATURA"/>
    <x v="7"/>
    <m/>
    <s v="LU"/>
    <m/>
    <s v="NEGRETE, DANIELA"/>
    <s v="5°5°5ILITSLU"/>
  </r>
  <r>
    <s v="5°5°"/>
    <x v="750"/>
    <n v="551"/>
    <s v="3MAT40"/>
    <x v="14"/>
    <x v="1"/>
    <s v="5°5°5515IFTLH5"/>
    <s v="LAB DE HARDWARE "/>
    <x v="20"/>
    <m/>
    <s v="MA"/>
    <s v="CONTRATURNO"/>
    <s v="HERRERA, STELLA"/>
    <s v="5°5°5515IFTLH5MA"/>
  </r>
  <r>
    <s v="5°5°"/>
    <x v="751"/>
    <n v="0"/>
    <s v="3MAV"/>
    <x v="14"/>
    <x v="2"/>
    <s v="5°5°5ISIDI4"/>
    <s v="SISTEMA DIGITAL"/>
    <x v="7"/>
    <m/>
    <s v="MA"/>
    <m/>
    <s v="HERNER, CRISTIAN "/>
    <s v="5°5°5ISIDI4MA"/>
  </r>
  <r>
    <s v="5°5°"/>
    <x v="752"/>
    <n v="551"/>
    <s v="3MITHARDWARE"/>
    <x v="15"/>
    <x v="1"/>
    <s v="5°5°5515IFTLH5"/>
    <s v="LAB DE HARDWARE "/>
    <x v="21"/>
    <m/>
    <s v="MI"/>
    <s v="CONTRATURNO"/>
    <s v="HERRERA, STELLA"/>
    <s v="5°5°5515IFTLH5MI"/>
  </r>
  <r>
    <s v="5°5°"/>
    <x v="753"/>
    <n v="552"/>
    <s v="3MIT30"/>
    <x v="15"/>
    <x v="1"/>
    <s v="5°5°5525IFTLA5"/>
    <s v="LAB DE APLICACIONES "/>
    <x v="22"/>
    <m/>
    <s v="MI"/>
    <s v="CONTRATURNO"/>
    <s v="BARCENILLA, JAVIER "/>
    <s v="5°5°5525IFTLA5MI"/>
  </r>
  <r>
    <s v="5°5°"/>
    <x v="754"/>
    <n v="0"/>
    <s v="3MIV"/>
    <x v="15"/>
    <x v="2"/>
    <s v="5°5°5ITELEI"/>
    <s v="TELEINFORMATICA"/>
    <x v="7"/>
    <m/>
    <s v="MI"/>
    <m/>
    <s v="GONANO, GERMAN "/>
    <s v="5°5°5ITELEIMI"/>
  </r>
  <r>
    <s v="5°5°"/>
    <x v="755"/>
    <n v="0"/>
    <s v="3VIV"/>
    <x v="6"/>
    <x v="2"/>
    <s v="5°5°5ITELEI"/>
    <s v="TELEINFORMATICA"/>
    <x v="7"/>
    <m/>
    <s v="VI"/>
    <m/>
    <s v="GONANO, GERMAN "/>
    <s v="5°5°5ITELEIVI"/>
  </r>
  <r>
    <s v="5°5°"/>
    <x v="756"/>
    <n v="552"/>
    <s v="4JUT31"/>
    <x v="16"/>
    <x v="1"/>
    <s v="5°5°5525IFTLS5"/>
    <s v="LAB DE SIST OPERATIVOS"/>
    <x v="19"/>
    <m/>
    <s v="JU"/>
    <s v="CONTRATURNO"/>
    <s v="BERTOSSI MAXIMILIANO H"/>
    <s v="5°5°5525IFTLS5JU"/>
  </r>
  <r>
    <s v="5°5°"/>
    <x v="757"/>
    <n v="0"/>
    <s v="4JUV"/>
    <x v="16"/>
    <x v="2"/>
    <s v="5°5°5IPYCS"/>
    <s v="POLITICA Y CIUDADANIA"/>
    <x v="7"/>
    <m/>
    <s v="JU"/>
    <m/>
    <s v="ANTONIO VALLE, INEES "/>
    <s v="5°5°5IPYCSJU"/>
  </r>
  <r>
    <s v="5°5°"/>
    <x v="758"/>
    <n v="551"/>
    <s v="4LUT30"/>
    <x v="17"/>
    <x v="1"/>
    <s v="5°5°5515IFTLS5"/>
    <s v="LAB DE SIST OPERATIVOS"/>
    <x v="22"/>
    <m/>
    <s v="LU"/>
    <s v="CONTRATURNO"/>
    <s v="WITT  GERARDO"/>
    <s v="5°5°5515IFTLS5LU"/>
  </r>
  <r>
    <s v="5°5°"/>
    <x v="759"/>
    <n v="552"/>
    <s v="4LUT40"/>
    <x v="17"/>
    <x v="1"/>
    <s v="5°5°5525IFTLH5"/>
    <s v="LAB DE HARDWARE "/>
    <x v="20"/>
    <m/>
    <s v="LU"/>
    <s v="CONTRATURNO"/>
    <s v="FISTER (Serv.Prov)         "/>
    <s v="5°5°5525IFTLH5LU"/>
  </r>
  <r>
    <s v="5°5°"/>
    <x v="760"/>
    <n v="0"/>
    <s v="4LUV"/>
    <x v="17"/>
    <x v="2"/>
    <s v="5°5°5ILITS"/>
    <s v="LITERATURA"/>
    <x v="7"/>
    <m/>
    <s v="LU"/>
    <m/>
    <s v="NEGRETE, DANIELA"/>
    <s v="5°5°5ILITSLU"/>
  </r>
  <r>
    <s v="5°5°"/>
    <x v="761"/>
    <n v="551"/>
    <s v="4MAT40"/>
    <x v="18"/>
    <x v="1"/>
    <s v="5°5°5515IFTLH5"/>
    <s v="LAB DE HARDWARE "/>
    <x v="20"/>
    <m/>
    <s v="MA"/>
    <s v="CONTRATURNO"/>
    <s v="HERRERA, STELLA"/>
    <s v="5°5°5515IFTLH5MA"/>
  </r>
  <r>
    <s v="5°5°"/>
    <x v="762"/>
    <n v="0"/>
    <s v="4MAV"/>
    <x v="18"/>
    <x v="2"/>
    <s v="5°5°5ISIDI4"/>
    <s v="SISTEMA DIGITAL"/>
    <x v="7"/>
    <m/>
    <s v="MA"/>
    <m/>
    <s v="HERNER, CRISTIAN "/>
    <s v="5°5°5ISIDI4MA"/>
  </r>
  <r>
    <s v="5°5°"/>
    <x v="763"/>
    <n v="551"/>
    <s v="4MITHARDWARE"/>
    <x v="19"/>
    <x v="1"/>
    <s v="5°5°5515IFTLH5"/>
    <s v="LAB DE HARDWARE "/>
    <x v="21"/>
    <m/>
    <s v="MI"/>
    <s v="CONTRATURNO"/>
    <s v="HERRERA, STELLA"/>
    <s v="5°5°5515IFTLH5MI"/>
  </r>
  <r>
    <s v="5°5°"/>
    <x v="764"/>
    <n v="552"/>
    <s v="4MIT30"/>
    <x v="19"/>
    <x v="1"/>
    <s v="5°5°5525IFTLA5"/>
    <s v="LAB DE APLICACIONES "/>
    <x v="22"/>
    <m/>
    <s v="MI"/>
    <s v="CONTRATURNO"/>
    <s v="BARCENILLA, JAVIER "/>
    <s v="5°5°5525IFTLA5MI"/>
  </r>
  <r>
    <s v="5°5°"/>
    <x v="765"/>
    <n v="0"/>
    <s v="4MIV"/>
    <x v="19"/>
    <x v="2"/>
    <s v="5°5°5ITELEI"/>
    <s v="TELEINFORMATICA"/>
    <x v="7"/>
    <m/>
    <s v="MI"/>
    <m/>
    <s v="GONANO, GERMAN "/>
    <s v="5°5°5ITELEIMI"/>
  </r>
  <r>
    <s v="5°5°"/>
    <x v="766"/>
    <n v="0"/>
    <s v="4VIV"/>
    <x v="7"/>
    <x v="2"/>
    <s v="5°5°5ITELEI"/>
    <s v="TELEINFORMATICA"/>
    <x v="7"/>
    <m/>
    <s v="VI"/>
    <m/>
    <s v="GONANO, GERMAN "/>
    <s v="5°5°5ITELEIVI"/>
  </r>
  <r>
    <s v="5°5°"/>
    <x v="767"/>
    <n v="0"/>
    <s v="PREHORAVIV"/>
    <x v="30"/>
    <x v="2"/>
    <s v="5°5°5IHIS5"/>
    <s v="HISTORIA"/>
    <x v="7"/>
    <m/>
    <s v="VI"/>
    <m/>
    <s v="GONZALEZ ROCIO NATALIA"/>
    <s v="5°5°5IHIS5VI"/>
  </r>
  <r>
    <s v="5°3°"/>
    <x v="768"/>
    <n v="531"/>
    <s v="1JUM45"/>
    <x v="0"/>
    <x v="0"/>
    <s v="5°3°5315EFTED5"/>
    <s v="APLIC ELECTR DIGITAL"/>
    <x v="8"/>
    <m/>
    <s v="JU"/>
    <s v="CONTRATURNO"/>
    <s v="SERENO, LEONEL"/>
    <s v="5°3°5315EFTED5JU"/>
  </r>
  <r>
    <s v="5°3°"/>
    <x v="769"/>
    <n v="532"/>
    <s v="1JUM46"/>
    <x v="0"/>
    <x v="0"/>
    <s v="5°3°5325EFTED5"/>
    <s v="APLIC ELECTR DIGITAL"/>
    <x v="16"/>
    <m/>
    <s v="JU"/>
    <s v="CONTRATURNO"/>
    <s v="FISTER VICTOR "/>
    <s v="5°3°5325EFTED5JU"/>
  </r>
  <r>
    <s v="5°3°"/>
    <x v="770"/>
    <n v="0"/>
    <s v="1JUV"/>
    <x v="0"/>
    <x v="2"/>
    <s v="5°3°5EAMC"/>
    <s v="ANALISIS DE LOS MODELOS CIRCUITALES"/>
    <x v="7"/>
    <m/>
    <s v="JU"/>
    <m/>
    <s v="ATAMAÑUK, FLORENCIA "/>
    <s v="5°3°5EAMCJU"/>
  </r>
  <r>
    <s v="5°3°"/>
    <x v="771"/>
    <n v="0"/>
    <s v="1LUV"/>
    <x v="1"/>
    <x v="2"/>
    <s v="5°3°5ELENE"/>
    <s v="LENGUAJES ELECTRONICOS"/>
    <x v="7"/>
    <m/>
    <s v="LU"/>
    <m/>
    <s v="BARBOZA, SILVIO"/>
    <s v="5°3°5ELENELU"/>
  </r>
  <r>
    <s v="5°3°"/>
    <x v="772"/>
    <n v="531"/>
    <s v="1MAM52"/>
    <x v="2"/>
    <x v="0"/>
    <s v="5°3°5315EFTMP5"/>
    <s v="MONTAJE DE PROYECTO ELECTRONICOS "/>
    <x v="24"/>
    <m/>
    <s v="MA"/>
    <s v="CONTRATURNO"/>
    <s v="SCHROEDER MATÍAS"/>
    <s v="5°3°5315EFTMP5MA"/>
  </r>
  <r>
    <s v="5°3°"/>
    <x v="773"/>
    <n v="532"/>
    <s v="1MAM46"/>
    <x v="2"/>
    <x v="0"/>
    <s v="5°3°5325EFTAE5"/>
    <s v="APLIC ELECT ANALOG "/>
    <x v="16"/>
    <m/>
    <s v="MA"/>
    <s v="CONTRATURNO"/>
    <s v="ESCALADA ARNALDO     "/>
    <s v="5°3°5325EFTAE5MA"/>
  </r>
  <r>
    <s v="5°3°"/>
    <x v="774"/>
    <n v="0"/>
    <s v="1VIV"/>
    <x v="4"/>
    <x v="2"/>
    <s v="5°3°5EPYCS"/>
    <s v="POLITICA Y CIUDADANIA"/>
    <x v="7"/>
    <m/>
    <s v="VI"/>
    <m/>
    <s v="ARBORIO"/>
    <s v="5°3°5EPYCSVI"/>
  </r>
  <r>
    <s v="5°3°"/>
    <x v="775"/>
    <n v="532"/>
    <s v="1MIM44"/>
    <x v="3"/>
    <x v="0"/>
    <s v="5°3°5325EFTMP5"/>
    <s v="MONTAJE DE PROYECTO ELECTRONICOS "/>
    <x v="23"/>
    <m/>
    <s v="MI"/>
    <s v="CONTRATURNO"/>
    <s v="SERENO, LEONEL"/>
    <s v="5°3°5325EFTMP5MI"/>
  </r>
  <r>
    <s v="5°3°"/>
    <x v="770"/>
    <n v="0"/>
    <s v="1JUV"/>
    <x v="0"/>
    <x v="2"/>
    <s v="5°3°5EANMAT"/>
    <s v="ANALISIS MATEMATICO"/>
    <x v="7"/>
    <m/>
    <s v="JU"/>
    <m/>
    <s v="ESPINDOLA SERGIO DANIEL"/>
    <s v="5°3°5EANMATJU"/>
  </r>
  <r>
    <s v="5°3°"/>
    <x v="776"/>
    <n v="531"/>
    <s v="1VIM45"/>
    <x v="4"/>
    <x v="0"/>
    <s v="5°3°5315EFTAE5"/>
    <s v="APLIC ELECT ANALOG "/>
    <x v="8"/>
    <m/>
    <s v="VI"/>
    <s v="CONTRATURNO"/>
    <s v="MARTINEZ, SILVIO"/>
    <s v="5°3°5315EFTAE5VI"/>
  </r>
  <r>
    <s v="5°3°"/>
    <x v="777"/>
    <n v="532"/>
    <s v="1viMrobotica"/>
    <x v="4"/>
    <x v="0"/>
    <s v="5°3°5325EDASE"/>
    <s v="DISEÑO ASIST Y SIMUL ELECT "/>
    <x v="11"/>
    <m/>
    <s v="VI"/>
    <s v="CONTRATURNO"/>
    <s v="ESCALADA ARNALDO"/>
    <s v="5°3°5325EDASEvi"/>
  </r>
  <r>
    <s v="5°3°"/>
    <x v="774"/>
    <n v="0"/>
    <s v="1VIV"/>
    <x v="4"/>
    <x v="2"/>
    <s v="5°3°5EINGS"/>
    <s v="INGLÉS"/>
    <x v="7"/>
    <m/>
    <s v="VI"/>
    <m/>
    <s v="BAIMA KUNTZ MARCELA PAOLA  "/>
    <s v="5°3°5EINGSVI"/>
  </r>
  <r>
    <s v="5°3°"/>
    <x v="778"/>
    <n v="531"/>
    <s v="2JUM45"/>
    <x v="5"/>
    <x v="0"/>
    <s v="5°3°5315EFTED5"/>
    <s v="APLIC ELECTR DIGITAL"/>
    <x v="8"/>
    <m/>
    <s v="JU"/>
    <s v="CONTRATURNO"/>
    <s v="SERENO, LEONEL"/>
    <s v="5°3°5315EFTED5JU"/>
  </r>
  <r>
    <s v="5°3°"/>
    <x v="779"/>
    <n v="532"/>
    <s v="2JUM46"/>
    <x v="5"/>
    <x v="0"/>
    <s v="5°3°5325EFTED5"/>
    <s v="APLIC ELECTR DIGITAL"/>
    <x v="16"/>
    <m/>
    <s v="JU"/>
    <s v="CONTRATURNO"/>
    <s v="FISTER VICTOR "/>
    <s v="5°3°5325EFTED5JU"/>
  </r>
  <r>
    <s v="5°3°"/>
    <x v="780"/>
    <n v="0"/>
    <s v="2JUV"/>
    <x v="5"/>
    <x v="2"/>
    <s v="5°3°5EAMC"/>
    <s v="ANALISIS DE LOS MODELOS CIRCUITALES"/>
    <x v="7"/>
    <m/>
    <s v="JU"/>
    <m/>
    <s v="ATAMAÑUK, FLORENCIA "/>
    <s v="5°3°5EAMCJU"/>
  </r>
  <r>
    <s v="5°3°"/>
    <x v="781"/>
    <n v="0"/>
    <s v="2LUV"/>
    <x v="9"/>
    <x v="2"/>
    <s v="5°3°5ELENE"/>
    <s v="LENGUAJES ELECTRONICOS"/>
    <x v="7"/>
    <m/>
    <s v="LU"/>
    <m/>
    <s v="BARBOZA, SILVIO"/>
    <s v="5°3°5ELENELU"/>
  </r>
  <r>
    <s v="5°3°"/>
    <x v="782"/>
    <n v="531"/>
    <s v="2MAM52"/>
    <x v="10"/>
    <x v="0"/>
    <s v="5°3°5315EFTMP5"/>
    <s v="MONTAJE DE PROYECTO ELECTRONICOS "/>
    <x v="24"/>
    <m/>
    <s v="MA"/>
    <s v="CONTRATURNO"/>
    <s v="SCHROEDER MATÍAS"/>
    <s v="5°3°5315EFTMP5MA"/>
  </r>
  <r>
    <s v="5°3°"/>
    <x v="783"/>
    <n v="532"/>
    <s v="2MAM46"/>
    <x v="10"/>
    <x v="0"/>
    <s v="5°3°5325EFTAE5"/>
    <s v="APLIC ELECT ANALOG "/>
    <x v="16"/>
    <m/>
    <s v="MA"/>
    <s v="CONTRATURNO"/>
    <s v="ESCALADA ARNALDO     "/>
    <s v="5°3°5325EFTAE5MA"/>
  </r>
  <r>
    <s v="5°3°"/>
    <x v="784"/>
    <n v="0"/>
    <s v="2MATPATIO2"/>
    <x v="10"/>
    <x v="1"/>
    <s v="5°3°5EEFIS"/>
    <s v="EDUCACIÓN FISICA"/>
    <x v="3"/>
    <m/>
    <s v="MA"/>
    <s v="CONTRATURNO"/>
    <s v="SANCHEZ CARLOS"/>
    <s v="5°3°5EEFISMA"/>
  </r>
  <r>
    <s v="5°3°"/>
    <x v="785"/>
    <n v="0"/>
    <s v="2VIV"/>
    <x v="8"/>
    <x v="2"/>
    <s v="5°3°5EPYCS"/>
    <s v="POLITICA Y CIUDADANIA"/>
    <x v="7"/>
    <m/>
    <s v="VI"/>
    <m/>
    <s v="ARBORIO"/>
    <s v="5°3°5EPYCSVI"/>
  </r>
  <r>
    <s v="5°3°"/>
    <x v="786"/>
    <n v="532"/>
    <s v="2MIM44"/>
    <x v="11"/>
    <x v="0"/>
    <s v="5°3°5325EFTMP5"/>
    <s v="MONTAJE DE PROYECTO ELECTRONICOS "/>
    <x v="23"/>
    <m/>
    <s v="MI"/>
    <s v="CONTRATURNO"/>
    <s v="SERENO, LEONEL"/>
    <s v="5°3°5325EFTMP5MI"/>
  </r>
  <r>
    <s v="5°3°"/>
    <x v="780"/>
    <n v="0"/>
    <s v="2JUV"/>
    <x v="5"/>
    <x v="2"/>
    <s v="5°3°5EANMAT"/>
    <s v="ANALISIS MATEMATICO"/>
    <x v="7"/>
    <m/>
    <s v="JU"/>
    <m/>
    <s v="ESPINDOLA SERGIO DANIEL"/>
    <s v="5°3°5EANMATJU"/>
  </r>
  <r>
    <s v="5°3°"/>
    <x v="787"/>
    <n v="531"/>
    <s v="2VIM45"/>
    <x v="8"/>
    <x v="0"/>
    <s v="5°3°5315EFTAE5"/>
    <s v="APLIC ELECT ANALOG "/>
    <x v="8"/>
    <m/>
    <s v="VI"/>
    <s v="CONTRATURNO"/>
    <s v="MARTINEZ, SILVIO"/>
    <s v="5°3°5315EFTAE5VI"/>
  </r>
  <r>
    <s v="5°3°"/>
    <x v="788"/>
    <n v="532"/>
    <s v="2viMrobotica"/>
    <x v="8"/>
    <x v="0"/>
    <s v="5°3°5325EDASE"/>
    <s v="DISEÑO ASIST Y SIMUL ELECT "/>
    <x v="11"/>
    <m/>
    <s v="VI"/>
    <s v="CONTRATURNO"/>
    <s v="ESCALADA ARNALDO"/>
    <s v="5°3°5325EDASEvi"/>
  </r>
  <r>
    <s v="5°3°"/>
    <x v="785"/>
    <n v="0"/>
    <s v="2VIV"/>
    <x v="8"/>
    <x v="2"/>
    <s v="5°3°5EINGS"/>
    <s v="INGLÉS"/>
    <x v="7"/>
    <m/>
    <s v="VI"/>
    <m/>
    <s v="BAIMA KUNTZ MARCELA PAOLA  "/>
    <s v="5°3°5EINGSVI"/>
  </r>
  <r>
    <s v="5°3°"/>
    <x v="789"/>
    <n v="531"/>
    <s v="3JUM45"/>
    <x v="12"/>
    <x v="0"/>
    <s v="5°3°5315EFTED5"/>
    <s v="APLIC ELECTR DIGITAL"/>
    <x v="8"/>
    <m/>
    <s v="JU"/>
    <s v="CONTRATURNO"/>
    <s v="SERENO, LEONEL"/>
    <s v="5°3°5315EFTED5JU"/>
  </r>
  <r>
    <s v="5°3°"/>
    <x v="790"/>
    <n v="532"/>
    <s v="3JUM46"/>
    <x v="12"/>
    <x v="0"/>
    <s v="5°3°5325EFTED5"/>
    <s v="APLIC ELECTR DIGITAL"/>
    <x v="16"/>
    <m/>
    <s v="JU"/>
    <s v="CONTRATURNO"/>
    <s v="FISTER VICTOR "/>
    <s v="5°3°5325EFTED5JU"/>
  </r>
  <r>
    <s v="5°3°"/>
    <x v="791"/>
    <n v="0"/>
    <s v="3JUV"/>
    <x v="12"/>
    <x v="2"/>
    <s v="5°3°5EAMC"/>
    <s v="ANALISIS DE LOS MODELOS CIRCUITALES"/>
    <x v="7"/>
    <m/>
    <s v="JU"/>
    <m/>
    <s v="ATAMAÑUK, FLORENCIA "/>
    <s v="5°3°5EAMCJU"/>
  </r>
  <r>
    <s v="5°3°"/>
    <x v="792"/>
    <n v="531"/>
    <s v="3LUMrobotica"/>
    <x v="13"/>
    <x v="0"/>
    <s v="5°3°5315EDASE"/>
    <s v="DISEÑO ASIST Y SIMUL ELECT "/>
    <x v="11"/>
    <m/>
    <s v="LU"/>
    <s v="CONTRATURNO"/>
    <s v="GUTIERREZ NICOLAS"/>
    <s v="5°3°5315EDASELU"/>
  </r>
  <r>
    <s v="5°3°"/>
    <x v="793"/>
    <n v="0"/>
    <s v="3LUV"/>
    <x v="13"/>
    <x v="2"/>
    <s v="5°3°5EHIS5"/>
    <s v="HISTORIA"/>
    <x v="7"/>
    <m/>
    <s v="LU"/>
    <m/>
    <s v="JUAREZ NORMA"/>
    <s v="5°3°5EHIS5LU"/>
  </r>
  <r>
    <s v="5°3°"/>
    <x v="794"/>
    <n v="531"/>
    <s v="3MAM52"/>
    <x v="14"/>
    <x v="0"/>
    <s v="5°3°5315EFTMP5"/>
    <s v="MONTAJE DE PROYECTO ELECTRONICOS "/>
    <x v="24"/>
    <m/>
    <s v="MA"/>
    <s v="CONTRATURNO"/>
    <s v="SCHROEDER MATÍAS"/>
    <s v="5°3°5315EFTMP5MA"/>
  </r>
  <r>
    <s v="5°3°"/>
    <x v="795"/>
    <n v="532"/>
    <s v="3MAM46"/>
    <x v="14"/>
    <x v="0"/>
    <s v="5°3°5325EFTAE5"/>
    <s v="APLIC ELECT ANALOG "/>
    <x v="16"/>
    <m/>
    <s v="MA"/>
    <s v="CONTRATURNO"/>
    <s v="ESCALADA ARNALDO     "/>
    <s v="5°3°5325EFTAE5MA"/>
  </r>
  <r>
    <s v="5°3°"/>
    <x v="796"/>
    <n v="0"/>
    <s v="3MATPATIO2"/>
    <x v="14"/>
    <x v="1"/>
    <s v="5°3°5EEFIS"/>
    <s v="EDUCACIÓN FISICA"/>
    <x v="3"/>
    <m/>
    <s v="MA"/>
    <s v="CONTRATURNO"/>
    <s v="SANCHEZ CARLOS"/>
    <s v="5°3°5EEFISMA"/>
  </r>
  <r>
    <s v="5°3°"/>
    <x v="797"/>
    <n v="0"/>
    <s v="3MAV"/>
    <x v="14"/>
    <x v="2"/>
    <s v="5°3°5ELITS"/>
    <s v="LITERATURA"/>
    <x v="7"/>
    <m/>
    <s v="MA"/>
    <m/>
    <s v="SORIA, HERNAN MAXIMILIANO"/>
    <s v="5°3°5ELITSMA"/>
  </r>
  <r>
    <s v="5°3°"/>
    <x v="798"/>
    <n v="532"/>
    <s v="3MIM44"/>
    <x v="15"/>
    <x v="0"/>
    <s v="5°3°5325EFTMP5"/>
    <s v="MONTAJE DE PROYECTO ELECTRONICOS "/>
    <x v="23"/>
    <m/>
    <s v="MI"/>
    <s v="CONTRATURNO"/>
    <s v="SERENO, LEONEL"/>
    <s v="5°3°5325EFTMP5MI"/>
  </r>
  <r>
    <s v="5°3°"/>
    <x v="799"/>
    <n v="0"/>
    <s v="3MIV"/>
    <x v="15"/>
    <x v="2"/>
    <s v="5°3°5EGEOS5"/>
    <s v="GEOGRAFIA"/>
    <x v="7"/>
    <m/>
    <s v="MI"/>
    <m/>
    <s v=" DIAZ MARCOS"/>
    <s v="5°3°5EGEOS5MI"/>
  </r>
  <r>
    <s v="5°3°"/>
    <x v="800"/>
    <n v="531"/>
    <s v="3VIM45"/>
    <x v="6"/>
    <x v="0"/>
    <s v="5°3°5315EFTAE5"/>
    <s v="APLIC ELECT ANALOG "/>
    <x v="8"/>
    <m/>
    <s v="VI"/>
    <s v="CONTRATURNO"/>
    <s v="MARTINEZ, SILVIO"/>
    <s v="5°3°5315EFTAE5VI"/>
  </r>
  <r>
    <s v="5°3°"/>
    <x v="801"/>
    <n v="0"/>
    <s v="1MAV"/>
    <x v="2"/>
    <x v="2"/>
    <s v="5°3°5EANMAT"/>
    <s v="ANALISIS MATEMATICO"/>
    <x v="7"/>
    <m/>
    <s v="MA"/>
    <m/>
    <s v="ESPINDOLA SERGIO DANIEL"/>
    <s v="5°3°5EANMATMA"/>
  </r>
  <r>
    <s v="5°3°"/>
    <x v="802"/>
    <n v="531"/>
    <s v="4JUM45"/>
    <x v="16"/>
    <x v="0"/>
    <s v="5°3°5315EFTED5"/>
    <s v="APLIC ELECTR DIGITAL"/>
    <x v="8"/>
    <m/>
    <s v="JU"/>
    <s v="CONTRATURNO"/>
    <s v="SERENO, LEONEL"/>
    <s v="5°3°5315EFTED5JU"/>
  </r>
  <r>
    <s v="5°3°"/>
    <x v="803"/>
    <n v="532"/>
    <s v="4JUM46"/>
    <x v="16"/>
    <x v="0"/>
    <s v="5°3°5325EFTED5"/>
    <s v="APLIC ELECTR DIGITAL"/>
    <x v="16"/>
    <m/>
    <s v="JU"/>
    <s v="CONTRATURNO"/>
    <s v="FISTER VICTOR "/>
    <s v="5°3°5325EFTED5JU"/>
  </r>
  <r>
    <s v="5°3°"/>
    <x v="804"/>
    <n v="531"/>
    <s v="4LUMrobotica"/>
    <x v="17"/>
    <x v="0"/>
    <s v="5°3°5315EDASE"/>
    <s v="DISEÑO ASIST Y SIMUL ELECT "/>
    <x v="11"/>
    <m/>
    <s v="LU"/>
    <s v="CONTRATURNO"/>
    <s v="GUTIERREZ NICOLAS"/>
    <s v="5°3°5315EDASELU"/>
  </r>
  <r>
    <s v="5°3°"/>
    <x v="805"/>
    <n v="0"/>
    <s v="4LUV"/>
    <x v="17"/>
    <x v="2"/>
    <s v="5°3°5EHIS5"/>
    <s v="HISTORIA"/>
    <x v="7"/>
    <m/>
    <s v="LU"/>
    <m/>
    <s v="JUAREZ NORMA"/>
    <s v="5°3°5EHIS5LU"/>
  </r>
  <r>
    <s v="5°3°"/>
    <x v="806"/>
    <n v="531"/>
    <s v="4MAM52"/>
    <x v="18"/>
    <x v="0"/>
    <s v="5°3°5315EFTMP5"/>
    <s v="MONTAJE DE PROYECTO ELECTRONICOS "/>
    <x v="24"/>
    <m/>
    <s v="MA"/>
    <s v="CONTRATURNO"/>
    <s v="SCHROEDER MATÍAS"/>
    <s v="5°3°5315EFTMP5MA"/>
  </r>
  <r>
    <s v="5°3°"/>
    <x v="807"/>
    <n v="532"/>
    <s v="4MAM46"/>
    <x v="18"/>
    <x v="0"/>
    <s v="5°3°5325EFTAE5"/>
    <s v="APLIC ELECT ANALOG "/>
    <x v="16"/>
    <m/>
    <s v="MA"/>
    <s v="CONTRATURNO"/>
    <s v="ESCALADA ARNALDO     "/>
    <s v="5°3°5325EFTAE5MA"/>
  </r>
  <r>
    <s v="5°3°"/>
    <x v="808"/>
    <n v="0"/>
    <s v="4MAV"/>
    <x v="18"/>
    <x v="2"/>
    <s v="5°3°5ELITS"/>
    <s v="LITERATURA"/>
    <x v="7"/>
    <m/>
    <s v="MA"/>
    <m/>
    <s v="SORIA, HERNAN MAXIMILIANO"/>
    <s v="5°3°5ELITSMA"/>
  </r>
  <r>
    <s v="5°3°"/>
    <x v="809"/>
    <n v="532"/>
    <s v="4MIM44"/>
    <x v="19"/>
    <x v="0"/>
    <s v="5°3°5325EFTMP5"/>
    <s v="MONTAJE DE PROYECTO ELECTRONICOS "/>
    <x v="23"/>
    <m/>
    <s v="MI"/>
    <s v="CONTRATURNO"/>
    <s v="SERENO, LEONEL"/>
    <s v="5°3°5325EFTMP5MI"/>
  </r>
  <r>
    <s v="5°3°"/>
    <x v="810"/>
    <n v="0"/>
    <s v="4MIV"/>
    <x v="19"/>
    <x v="2"/>
    <s v="5°3°5EGEOS5"/>
    <s v="GEOGRAFIA"/>
    <x v="7"/>
    <m/>
    <s v="MI"/>
    <m/>
    <s v=" DIAZ MARCOS"/>
    <s v="5°3°5EGEOS5MI"/>
  </r>
  <r>
    <s v="5°3°"/>
    <x v="811"/>
    <n v="531"/>
    <s v="4VIM45"/>
    <x v="7"/>
    <x v="0"/>
    <s v="5°3°5315EFTAE5"/>
    <s v="APLIC ELECT ANALOG "/>
    <x v="8"/>
    <m/>
    <s v="VI"/>
    <s v="CONTRATURNO"/>
    <s v="MARTINEZ, SILVIO"/>
    <s v="5°3°5315EFTAE5VI"/>
  </r>
  <r>
    <s v="5°3°"/>
    <x v="812"/>
    <n v="0"/>
    <s v="2MAV"/>
    <x v="10"/>
    <x v="2"/>
    <s v="5°3°5EANMAT"/>
    <s v="ANALISIS MATEMATICO"/>
    <x v="7"/>
    <m/>
    <s v="MA"/>
    <m/>
    <s v="ESPINDOLA SERGIO DANIEL"/>
    <s v="5°3°5EANMATMA"/>
  </r>
  <r>
    <s v="5°4°"/>
    <x v="813"/>
    <n v="0"/>
    <s v="1JUT"/>
    <x v="0"/>
    <x v="1"/>
    <s v="5°4°5ELITS"/>
    <s v="LITERATURA"/>
    <x v="7"/>
    <m/>
    <s v="JU"/>
    <m/>
    <s v="ALONSO, MARIA"/>
    <s v="5°4°5ELITSJU"/>
  </r>
  <r>
    <s v="5°4°"/>
    <x v="814"/>
    <n v="541"/>
    <s v="1JUV46"/>
    <x v="0"/>
    <x v="2"/>
    <s v="5°4°5415EFTAE5"/>
    <s v="APLIC ELECT ANALOG "/>
    <x v="16"/>
    <m/>
    <s v="JU"/>
    <s v="CONTRATURNO"/>
    <s v="BARONI ROBERTO"/>
    <s v="5°4°5415EFTAE5JU"/>
  </r>
  <r>
    <s v="5°4°"/>
    <x v="815"/>
    <n v="542"/>
    <s v="1JUV44"/>
    <x v="0"/>
    <x v="2"/>
    <s v="5°4°5425EFTMP5"/>
    <s v="MONTAJE DE PROYECTO ELECTRONICOS "/>
    <x v="23"/>
    <m/>
    <s v="JU"/>
    <s v="CONTRATURNO"/>
    <s v="SAUCEDO GUSTAVO"/>
    <s v="5°4°5425EFTMP5JU"/>
  </r>
  <r>
    <s v="5°4°"/>
    <x v="816"/>
    <n v="0"/>
    <s v="1LUT"/>
    <x v="1"/>
    <x v="1"/>
    <s v="5°4°5EPYCS"/>
    <s v="POLITICA Y CIUDADANIA"/>
    <x v="7"/>
    <m/>
    <s v="LU"/>
    <m/>
    <s v="GAUTO, ALICIA "/>
    <s v="5°4°5EPYCSLU"/>
  </r>
  <r>
    <s v="5°4°"/>
    <x v="817"/>
    <n v="542"/>
    <s v="1VIVHERRERIA"/>
    <x v="4"/>
    <x v="2"/>
    <s v="5°4°5425EFTAE5"/>
    <s v="APLIC ELECT ANALOG "/>
    <x v="6"/>
    <m/>
    <s v="VI"/>
    <s v="CONTRATURNO"/>
    <s v="FISTER VICTOR"/>
    <s v="5°4°5425EFTAE5VI"/>
  </r>
  <r>
    <s v="5°4°"/>
    <x v="818"/>
    <n v="541"/>
    <s v="1MAM44"/>
    <x v="2"/>
    <x v="0"/>
    <s v="5°4°5415EFTMP5"/>
    <s v="MONTAJE DE PROYECTO ELECTRONICOS "/>
    <x v="23"/>
    <m/>
    <s v="MA"/>
    <s v="CONTRATURNO"/>
    <s v="SAUCEDO GUSTAVO "/>
    <s v="5°4°5415EFTMP5MA"/>
  </r>
  <r>
    <s v="5°4°"/>
    <x v="819"/>
    <n v="0"/>
    <s v="1MAT"/>
    <x v="2"/>
    <x v="1"/>
    <s v="5°4°5EINGS"/>
    <s v="INGLÉS"/>
    <x v="7"/>
    <m/>
    <s v="MA"/>
    <m/>
    <s v="ARCE KARINA "/>
    <s v="5°4°5EINGSMA"/>
  </r>
  <r>
    <s v="5°4°"/>
    <x v="820"/>
    <n v="0"/>
    <s v="1MIT"/>
    <x v="3"/>
    <x v="1"/>
    <s v="5°4°5EANMAT"/>
    <s v="ANALISIS MATEMATICO"/>
    <x v="7"/>
    <m/>
    <s v="MI"/>
    <m/>
    <s v=" KEMPER, NATALIA"/>
    <s v="5°4°5EANMATMI"/>
  </r>
  <r>
    <s v="5°4°"/>
    <x v="821"/>
    <n v="541"/>
    <s v="1MAV46"/>
    <x v="2"/>
    <x v="2"/>
    <s v="5°4°5415EDASE"/>
    <s v="DISEÑO ASIST Y SIMUL ELECT "/>
    <x v="16"/>
    <m/>
    <s v="MA"/>
    <s v="CONTRATURNO"/>
    <s v="GAUNA FEDERICO"/>
    <s v="5°4°5415EDASEMA"/>
  </r>
  <r>
    <s v="5°4°"/>
    <x v="822"/>
    <n v="542"/>
    <s v="1MIV44"/>
    <x v="3"/>
    <x v="2"/>
    <s v="5°4°5425EFTED5"/>
    <s v="APLIC ELECTR DIGITAL"/>
    <x v="23"/>
    <m/>
    <s v="MI"/>
    <s v="CONTRATURNO"/>
    <s v="SERENO, LEONEL"/>
    <s v="5°4°5425EFTED5MI"/>
  </r>
  <r>
    <s v="5°4°"/>
    <x v="823"/>
    <n v="0"/>
    <s v="1VIMPATIO"/>
    <x v="4"/>
    <x v="0"/>
    <s v="5°4°5EEFIS"/>
    <s v="EDUCACIÓN FISICA"/>
    <x v="12"/>
    <m/>
    <s v="VI"/>
    <s v="CONTRATURNO"/>
    <s v="FERNANDEZ MARCELO"/>
    <s v="5°4°5EEFISVI"/>
  </r>
  <r>
    <s v="5°4°"/>
    <x v="824"/>
    <n v="541"/>
    <s v="1VIV45"/>
    <x v="4"/>
    <x v="2"/>
    <s v="5°4°5415EFTED5"/>
    <s v="APLIC ELECTR DIGITAL"/>
    <x v="8"/>
    <m/>
    <s v="VI"/>
    <s v="CONTRATURNO"/>
    <s v="MARTINEZ, SILVIO "/>
    <s v="5°4°5415EFTED5VI"/>
  </r>
  <r>
    <s v="5°4°"/>
    <x v="825"/>
    <n v="0"/>
    <s v="2JUT"/>
    <x v="5"/>
    <x v="1"/>
    <s v="5°4°5ELITS"/>
    <s v="LITERATURA"/>
    <x v="7"/>
    <m/>
    <s v="JU"/>
    <m/>
    <s v="ALONSO, MARIA"/>
    <s v="5°4°5ELITSJU"/>
  </r>
  <r>
    <s v="5°4°"/>
    <x v="826"/>
    <n v="541"/>
    <s v="2JUV46"/>
    <x v="5"/>
    <x v="2"/>
    <s v="5°4°5415EFTAE5"/>
    <s v="APLIC ELECT ANALOG "/>
    <x v="16"/>
    <m/>
    <s v="JU"/>
    <s v="CONTRATURNO"/>
    <s v="BARONI ROBERTO"/>
    <s v="5°4°5415EFTAE5JU"/>
  </r>
  <r>
    <s v="5°4°"/>
    <x v="827"/>
    <n v="542"/>
    <s v="2JUV44"/>
    <x v="5"/>
    <x v="2"/>
    <s v="5°4°5425EFTMP5"/>
    <s v="MONTAJE DE PROYECTO ELECTRONICOS "/>
    <x v="23"/>
    <m/>
    <s v="JU"/>
    <s v="CONTRATURNO"/>
    <s v="SAUCEDO GUSTAVO"/>
    <s v="5°4°5425EFTMP5JU"/>
  </r>
  <r>
    <s v="5°4°"/>
    <x v="828"/>
    <n v="0"/>
    <s v="2LUT"/>
    <x v="9"/>
    <x v="1"/>
    <s v="5°4°5EPYCS"/>
    <s v="POLITICA Y CIUDADANIA"/>
    <x v="7"/>
    <m/>
    <s v="LU"/>
    <m/>
    <s v="GAUTO, ALICIA "/>
    <s v="5°4°5EPYCSLU"/>
  </r>
  <r>
    <s v="5°4°"/>
    <x v="829"/>
    <n v="542"/>
    <s v="2VIVHERRERIA"/>
    <x v="8"/>
    <x v="2"/>
    <s v="5°4°5425EFTAE5"/>
    <s v="APLIC ELECT ANALOG "/>
    <x v="6"/>
    <m/>
    <s v="VI"/>
    <s v="CONTRATURNO"/>
    <s v="FISTER VICTOR"/>
    <s v="5°4°5425EFTAE5VI"/>
  </r>
  <r>
    <s v="5°4°"/>
    <x v="830"/>
    <n v="541"/>
    <s v="2MAM44"/>
    <x v="10"/>
    <x v="0"/>
    <s v="5°4°5415EFTMP5"/>
    <s v="MONTAJE DE PROYECTO ELECTRONICOS "/>
    <x v="23"/>
    <m/>
    <s v="MA"/>
    <s v="CONTRATURNO"/>
    <s v="SAUCEDO GUSTAVO "/>
    <s v="5°4°5415EFTMP5MA"/>
  </r>
  <r>
    <s v="5°4°"/>
    <x v="831"/>
    <n v="0"/>
    <s v="2MAT"/>
    <x v="10"/>
    <x v="1"/>
    <s v="5°4°5EINGS"/>
    <s v="INGLÉS"/>
    <x v="7"/>
    <m/>
    <s v="MA"/>
    <m/>
    <s v="ARCE KARINA "/>
    <s v="5°4°5EINGSMA"/>
  </r>
  <r>
    <s v="5°4°"/>
    <x v="832"/>
    <n v="542"/>
    <s v="2MAV45"/>
    <x v="10"/>
    <x v="2"/>
    <s v="5°4°5425EDASE"/>
    <s v="DISEÑO ASIST Y SIMUL ELECT "/>
    <x v="8"/>
    <m/>
    <s v="MA"/>
    <s v="CONTRATURNO"/>
    <s v="MARTINEZ, SILVIO "/>
    <s v="5°4°5425EDASEMA"/>
  </r>
  <r>
    <s v="5°4°"/>
    <x v="833"/>
    <n v="0"/>
    <s v="2MIT"/>
    <x v="11"/>
    <x v="1"/>
    <s v="5°4°5EANMAT"/>
    <s v="ANALISIS MATEMATICO"/>
    <x v="7"/>
    <m/>
    <s v="MI"/>
    <m/>
    <s v=" KEMPER, NATALIA"/>
    <s v="5°4°5EANMATMI"/>
  </r>
  <r>
    <s v="5°4°"/>
    <x v="834"/>
    <n v="541"/>
    <s v="2MAV46"/>
    <x v="10"/>
    <x v="2"/>
    <s v="5°4°5415EDASE"/>
    <s v="DISEÑO ASIST Y SIMUL ELECT "/>
    <x v="16"/>
    <m/>
    <s v="MA"/>
    <s v="CONTRATURNO"/>
    <s v="GAUNA FEDERICO"/>
    <s v="5°4°5415EDASEMA"/>
  </r>
  <r>
    <s v="5°4°"/>
    <x v="835"/>
    <n v="542"/>
    <s v="2MIV44"/>
    <x v="11"/>
    <x v="2"/>
    <s v="5°4°5425EFTED5"/>
    <s v="APLIC ELECTR DIGITAL"/>
    <x v="23"/>
    <m/>
    <s v="MI"/>
    <s v="CONTRATURNO"/>
    <s v="SERENO, LEONEL"/>
    <s v="5°4°5425EFTED5MI"/>
  </r>
  <r>
    <s v="5°4°"/>
    <x v="836"/>
    <n v="0"/>
    <s v="2VIMPATIO"/>
    <x v="8"/>
    <x v="0"/>
    <s v="5°4°5EEFIS"/>
    <s v="EDUCACIÓN FISICA"/>
    <x v="12"/>
    <m/>
    <s v="VI"/>
    <s v="CONTRATURNO"/>
    <s v="FERNANDEZ MARCELO"/>
    <s v="5°4°5EEFISVI"/>
  </r>
  <r>
    <s v="5°4°"/>
    <x v="837"/>
    <n v="541"/>
    <s v="2VIV45"/>
    <x v="8"/>
    <x v="2"/>
    <s v="5°4°5415EFTED5"/>
    <s v="APLIC ELECTR DIGITAL"/>
    <x v="8"/>
    <m/>
    <s v="VI"/>
    <s v="CONTRATURNO"/>
    <s v="MARTINEZ, SILVIO "/>
    <s v="5°4°5415EFTED5VI"/>
  </r>
  <r>
    <s v="5°4°"/>
    <x v="838"/>
    <n v="0"/>
    <s v="3JUT"/>
    <x v="12"/>
    <x v="1"/>
    <s v="5°4°5EHIS5"/>
    <s v="HISTORIA"/>
    <x v="7"/>
    <m/>
    <s v="JU"/>
    <m/>
    <s v="TORRES LUIS                    "/>
    <s v="5°4°5EHIS5JU"/>
  </r>
  <r>
    <s v="5°4°"/>
    <x v="839"/>
    <n v="541"/>
    <s v="3JUV46"/>
    <x v="12"/>
    <x v="2"/>
    <s v="5°4°5415EFTAE5"/>
    <s v="APLIC ELECT ANALOG "/>
    <x v="16"/>
    <m/>
    <s v="JU"/>
    <s v="CONTRATURNO"/>
    <s v="BARONI ROBERTO"/>
    <s v="5°4°5415EFTAE5JU"/>
  </r>
  <r>
    <s v="5°4°"/>
    <x v="840"/>
    <n v="542"/>
    <s v="3JUV44"/>
    <x v="12"/>
    <x v="2"/>
    <s v="5°4°5425EFTMP5"/>
    <s v="MONTAJE DE PROYECTO ELECTRONICOS "/>
    <x v="23"/>
    <m/>
    <s v="JU"/>
    <s v="CONTRATURNO"/>
    <s v="SAUCEDO GUSTAVO"/>
    <s v="5°4°5425EFTMP5JU"/>
  </r>
  <r>
    <s v="5°4°"/>
    <x v="841"/>
    <n v="0"/>
    <s v="3LUT"/>
    <x v="13"/>
    <x v="1"/>
    <s v="5°4°5EGEOS5"/>
    <s v="GEOGRAFIA"/>
    <x v="7"/>
    <m/>
    <s v="LU"/>
    <m/>
    <s v="SPERONI, ADRIAN "/>
    <s v="5°4°5EGEOS5LU"/>
  </r>
  <r>
    <s v="5°4°"/>
    <x v="842"/>
    <n v="542"/>
    <s v="3VIVHERRERIA"/>
    <x v="6"/>
    <x v="2"/>
    <s v="5°4°5425EFTAE5"/>
    <s v="APLIC ELECT ANALOG "/>
    <x v="6"/>
    <m/>
    <s v="VI"/>
    <s v="CONTRATURNO"/>
    <s v="FISTER VICTOR"/>
    <s v="5°4°5425EFTAE5VI"/>
  </r>
  <r>
    <s v="5°4°"/>
    <x v="843"/>
    <n v="541"/>
    <s v="3MAM44"/>
    <x v="14"/>
    <x v="0"/>
    <s v="5°4°5415EFTMP5"/>
    <s v="MONTAJE DE PROYECTO ELECTRONICOS "/>
    <x v="23"/>
    <m/>
    <s v="MA"/>
    <s v="CONTRATURNO"/>
    <s v="SAUCEDO GUSTAVO "/>
    <s v="5°4°5415EFTMP5MA"/>
  </r>
  <r>
    <s v="5°4°"/>
    <x v="844"/>
    <n v="0"/>
    <s v="3MAT"/>
    <x v="14"/>
    <x v="1"/>
    <s v="5°4°5EANMAT"/>
    <s v="ANALISIS MATEMATICO"/>
    <x v="7"/>
    <m/>
    <s v="MA"/>
    <m/>
    <s v=" KEMPER, NATALIA"/>
    <s v="5°4°5EANMATMA"/>
  </r>
  <r>
    <s v="5°4°"/>
    <x v="845"/>
    <n v="542"/>
    <s v="3MAV45"/>
    <x v="14"/>
    <x v="2"/>
    <s v="5°4°5425EDASE"/>
    <s v="DISEÑO ASIST Y SIMUL ELECT "/>
    <x v="8"/>
    <m/>
    <s v="MA"/>
    <s v="CONTRATURNO"/>
    <s v="MARTINEZ, SILVIO "/>
    <s v="5°4°5425EDASEMA"/>
  </r>
  <r>
    <s v="5°4°"/>
    <x v="846"/>
    <n v="0"/>
    <s v="3MIT"/>
    <x v="15"/>
    <x v="1"/>
    <s v="5°4°5EAMC"/>
    <s v="ANALISIS DE LOS MODELOS CIRCUITALES"/>
    <x v="7"/>
    <m/>
    <s v="MI"/>
    <m/>
    <s v="GUTIERREZ NICOLAS"/>
    <s v="5°4°5EAMCMI"/>
  </r>
  <r>
    <s v="5°4°"/>
    <x v="847"/>
    <n v="542"/>
    <s v="3MIV44"/>
    <x v="15"/>
    <x v="2"/>
    <s v="5°4°5425EFTED5"/>
    <s v="APLIC ELECTR DIGITAL"/>
    <x v="23"/>
    <m/>
    <s v="MI"/>
    <s v="CONTRATURNO"/>
    <s v="SERENO, LEONEL"/>
    <s v="5°4°5425EFTED5MI"/>
  </r>
  <r>
    <s v="5°4°"/>
    <x v="848"/>
    <n v="0"/>
    <s v="3VIT"/>
    <x v="6"/>
    <x v="1"/>
    <s v="5°4°5ELENE"/>
    <s v="LENGUAJES ELECTRONICOS"/>
    <x v="7"/>
    <m/>
    <s v="VI"/>
    <m/>
    <s v="PROCHOR JUAN"/>
    <s v="5°4°5ELENEVI"/>
  </r>
  <r>
    <s v="5°4°"/>
    <x v="849"/>
    <n v="541"/>
    <s v="3VIV45"/>
    <x v="6"/>
    <x v="2"/>
    <s v="5°4°5415EFTED5"/>
    <s v="APLIC ELECTR DIGITAL"/>
    <x v="8"/>
    <m/>
    <s v="VI"/>
    <s v="CONTRATURNO"/>
    <s v="MARTINEZ, SILVIO "/>
    <s v="5°4°5415EFTED5VI"/>
  </r>
  <r>
    <s v="5°4°"/>
    <x v="850"/>
    <n v="0"/>
    <s v="4JUT"/>
    <x v="16"/>
    <x v="1"/>
    <s v="5°4°5EHIS5"/>
    <s v="HISTORIA"/>
    <x v="7"/>
    <m/>
    <s v="JU"/>
    <m/>
    <s v="TORRES LUIS                    "/>
    <s v="5°4°5EHIS5JU"/>
  </r>
  <r>
    <s v="5°4°"/>
    <x v="851"/>
    <n v="541"/>
    <s v="4JUV46"/>
    <x v="16"/>
    <x v="2"/>
    <s v="5°4°5415EFTAE5"/>
    <s v="APLIC ELECT ANALOG "/>
    <x v="16"/>
    <m/>
    <s v="JU"/>
    <s v="CONTRATURNO"/>
    <s v="BARONI ROBERTO"/>
    <s v="5°4°5415EFTAE5JU"/>
  </r>
  <r>
    <s v="5°4°"/>
    <x v="852"/>
    <n v="542"/>
    <s v="4JUV44"/>
    <x v="16"/>
    <x v="2"/>
    <s v="5°4°5425EFTMP5"/>
    <s v="MONTAJE DE PROYECTO ELECTRONICOS "/>
    <x v="23"/>
    <m/>
    <s v="JU"/>
    <s v="CONTRATURNO"/>
    <s v="SAUCEDO GUSTAVO"/>
    <s v="5°4°5425EFTMP5JU"/>
  </r>
  <r>
    <s v="5°4°"/>
    <x v="853"/>
    <n v="0"/>
    <s v="4LUT"/>
    <x v="17"/>
    <x v="1"/>
    <s v="5°4°5EGEOS5"/>
    <s v="GEOGRAFIA"/>
    <x v="7"/>
    <m/>
    <s v="LU"/>
    <m/>
    <s v="SPERONI, ADRIAN "/>
    <s v="5°4°5EGEOS5LU"/>
  </r>
  <r>
    <s v="5°4°"/>
    <x v="854"/>
    <n v="542"/>
    <s v="4VIVHERRERIA"/>
    <x v="7"/>
    <x v="2"/>
    <s v="5°4°5425EFTAE5"/>
    <s v="APLIC ELECT ANALOG "/>
    <x v="6"/>
    <m/>
    <s v="VI"/>
    <s v="CONTRATURNO"/>
    <s v="FISTER VICTOR"/>
    <s v="5°4°5425EFTAE5VI"/>
  </r>
  <r>
    <s v="5°4°"/>
    <x v="855"/>
    <n v="541"/>
    <s v="4MAM44"/>
    <x v="18"/>
    <x v="0"/>
    <s v="5°4°5415EFTMP5"/>
    <s v="MONTAJE DE PROYECTO ELECTRONICOS "/>
    <x v="23"/>
    <m/>
    <s v="MA"/>
    <s v="CONTRATURNO"/>
    <s v="SAUCEDO GUSTAVO "/>
    <s v="5°4°5415EFTMP5MA"/>
  </r>
  <r>
    <s v="5°4°"/>
    <x v="856"/>
    <n v="0"/>
    <s v="4MAT"/>
    <x v="18"/>
    <x v="1"/>
    <s v="5°4°5EANMAT"/>
    <s v="ANALISIS MATEMATICO"/>
    <x v="7"/>
    <m/>
    <s v="MA"/>
    <m/>
    <s v=" KEMPER, NATALIA"/>
    <s v="5°4°5EANMATMA"/>
  </r>
  <r>
    <s v="5°4°"/>
    <x v="857"/>
    <n v="0"/>
    <s v="4MIT"/>
    <x v="19"/>
    <x v="1"/>
    <s v="5°4°5EAMC"/>
    <s v="ANALISIS DE LOS MODELOS CIRCUITALES"/>
    <x v="7"/>
    <m/>
    <s v="MI"/>
    <m/>
    <s v="GUTIERREZ NICOLAS"/>
    <s v="5°4°5EAMCMI"/>
  </r>
  <r>
    <s v="5°4°"/>
    <x v="858"/>
    <n v="542"/>
    <s v="4MIV44"/>
    <x v="19"/>
    <x v="2"/>
    <s v="5°4°5425EFTED5"/>
    <s v="APLIC ELECTR DIGITAL"/>
    <x v="23"/>
    <m/>
    <s v="MI"/>
    <s v="CONTRATURNO"/>
    <s v="SERENO, LEONEL"/>
    <s v="5°4°5425EFTED5MI"/>
  </r>
  <r>
    <s v="5°4°"/>
    <x v="859"/>
    <n v="0"/>
    <s v="4VIT"/>
    <x v="7"/>
    <x v="1"/>
    <s v="5°4°5ELENE"/>
    <s v="LENGUAJES ELECTRONICOS"/>
    <x v="7"/>
    <m/>
    <s v="VI"/>
    <m/>
    <s v="PROCHOR JUAN"/>
    <s v="5°4°5ELENEVI"/>
  </r>
  <r>
    <s v="5°4°"/>
    <x v="860"/>
    <n v="541"/>
    <s v="4VIV45"/>
    <x v="7"/>
    <x v="2"/>
    <s v="5°4°5415EFTED5"/>
    <s v="APLIC ELECTR DIGITAL"/>
    <x v="8"/>
    <m/>
    <s v="VI"/>
    <s v="CONTRATURNO"/>
    <s v="MARTINEZ, SILVIO "/>
    <s v="5°4°5415EFTED5VI"/>
  </r>
  <r>
    <s v="5°4°"/>
    <x v="861"/>
    <n v="0"/>
    <s v="PREHORAMIT"/>
    <x v="23"/>
    <x v="1"/>
    <s v="5°4°5EAMC"/>
    <s v="ANALISIS DE LOS MODELOS CIRCUITALES"/>
    <x v="7"/>
    <m/>
    <s v="MI"/>
    <m/>
    <s v="GUTIERREZ NICOLAS"/>
    <s v="5°4°5EAMCMI"/>
  </r>
  <r>
    <s v="5°1°"/>
    <x v="862"/>
    <n v="0"/>
    <s v="1JUM"/>
    <x v="0"/>
    <x v="0"/>
    <s v="5°1°5IANMAT"/>
    <s v="ANALISIS MATEMATICO"/>
    <x v="7"/>
    <m/>
    <s v="JU"/>
    <m/>
    <s v="CENTURION SILVIA"/>
    <s v="5°1°5IANMATJU"/>
  </r>
  <r>
    <s v="5°1°"/>
    <x v="863"/>
    <n v="511"/>
    <s v="1juV31"/>
    <x v="0"/>
    <x v="2"/>
    <s v="5°1°5115IFTLH5"/>
    <s v="LAB DE HARDWARE "/>
    <x v="19"/>
    <m/>
    <s v="JU"/>
    <s v="CONTRATURNO"/>
    <s v="DELGADO ARIEL"/>
    <s v="5°1°5115IFTLH5ju"/>
  </r>
  <r>
    <s v="5°1°"/>
    <x v="864"/>
    <n v="0"/>
    <s v="1LUM"/>
    <x v="1"/>
    <x v="0"/>
    <s v="5°1°5IANMAT"/>
    <s v="ANALISIS MATEMATICO"/>
    <x v="7"/>
    <m/>
    <s v="LU"/>
    <m/>
    <s v="CENTURION SILVIA"/>
    <s v="5°1°5IANMATLU"/>
  </r>
  <r>
    <s v="5°1°"/>
    <x v="865"/>
    <n v="511"/>
    <s v="1LUV41"/>
    <x v="1"/>
    <x v="2"/>
    <s v="5°1°5115IFTLS5"/>
    <s v="LAB DE SIST OPERATIVOS"/>
    <x v="18"/>
    <m/>
    <s v="LU"/>
    <s v="CONTRATURNO"/>
    <s v="FERREYRA JESICA"/>
    <s v="5°1°5115IFTLS5LU"/>
  </r>
  <r>
    <s v="5°1°"/>
    <x v="866"/>
    <n v="512"/>
    <s v="1LUV42"/>
    <x v="1"/>
    <x v="2"/>
    <s v="5°1°5125IFTLH5"/>
    <s v="LAB DE HARDWARE "/>
    <x v="25"/>
    <m/>
    <s v="LU"/>
    <s v="CONTRATURNO"/>
    <s v="FISTER (Serv.Prov)         "/>
    <s v="5°1°5125IFTLH5LU"/>
  </r>
  <r>
    <s v="5°1°"/>
    <x v="867"/>
    <n v="0"/>
    <s v="1maM"/>
    <x v="2"/>
    <x v="0"/>
    <s v="5°1°5IHIS5"/>
    <s v="HISTORIA"/>
    <x v="7"/>
    <m/>
    <s v="MA"/>
    <m/>
    <s v="PALACIOS GUSTAVO"/>
    <s v="5°1°5IHIS5ma"/>
  </r>
  <r>
    <s v="5°1°"/>
    <x v="868"/>
    <n v="512"/>
    <s v="1viV52"/>
    <x v="4"/>
    <x v="2"/>
    <s v="5°1°5125IFTLS5"/>
    <s v="LAB DE SIST OPERATIVOS"/>
    <x v="24"/>
    <m/>
    <s v="VI"/>
    <s v="CONTRATURNO"/>
    <s v="RIVERA MARCELO"/>
    <s v="5°1°5125IFTLS5vi"/>
  </r>
  <r>
    <s v="5°1°"/>
    <x v="869"/>
    <n v="0"/>
    <s v="1MiM"/>
    <x v="3"/>
    <x v="0"/>
    <s v="5°1°5IGEOS5"/>
    <s v="GEOGRAFIA"/>
    <x v="7"/>
    <m/>
    <s v="MI"/>
    <m/>
    <s v="SPERONI, ADRIAN "/>
    <s v="5°1°5IGEOS5Mi"/>
  </r>
  <r>
    <s v="5°1°"/>
    <x v="870"/>
    <n v="511"/>
    <s v="1miT30"/>
    <x v="3"/>
    <x v="1"/>
    <s v="5°1°5115IFTLA5"/>
    <s v="LAB DE APLICACIONES "/>
    <x v="22"/>
    <m/>
    <s v="MI"/>
    <s v="CONTRATURNO"/>
    <s v="BARCENILLA, JAVIER "/>
    <s v="5°1°5115IFTLA5mi"/>
  </r>
  <r>
    <s v="5°1°"/>
    <x v="871"/>
    <n v="512"/>
    <s v="1MIV41"/>
    <x v="3"/>
    <x v="2"/>
    <s v="5°1°5125IFTLA5"/>
    <s v="LAB DE APLICACIONES "/>
    <x v="18"/>
    <m/>
    <s v="MI"/>
    <s v="CONTRATURNO"/>
    <s v="WITT GERARDO"/>
    <s v="5°1°5125IFTLA5MI"/>
  </r>
  <r>
    <s v="5°1°"/>
    <x v="872"/>
    <n v="0"/>
    <s v="1viM"/>
    <x v="4"/>
    <x v="0"/>
    <s v="5°1°5IINGS"/>
    <s v="INGLÉS"/>
    <x v="7"/>
    <m/>
    <s v="VI"/>
    <m/>
    <s v="ARCE KARINA "/>
    <s v="5°1°5IINGSvi"/>
  </r>
  <r>
    <s v="5°1°"/>
    <x v="873"/>
    <n v="0"/>
    <s v="2JUM"/>
    <x v="5"/>
    <x v="0"/>
    <s v="5°1°5IANMAT"/>
    <s v="ANALISIS MATEMATICO"/>
    <x v="7"/>
    <m/>
    <s v="JU"/>
    <m/>
    <s v="CENTURION SILVIA"/>
    <s v="5°1°5IANMATJU"/>
  </r>
  <r>
    <s v="5°1°"/>
    <x v="874"/>
    <n v="511"/>
    <s v="2juV31"/>
    <x v="5"/>
    <x v="2"/>
    <s v="5°1°5115IFTLH5"/>
    <s v="LAB DE HARDWARE "/>
    <x v="19"/>
    <m/>
    <s v="JU"/>
    <s v="CONTRATURNO"/>
    <s v="DELGADO ARIEL"/>
    <s v="5°1°5115IFTLH5ju"/>
  </r>
  <r>
    <s v="5°1°"/>
    <x v="875"/>
    <n v="0"/>
    <s v="2LUM"/>
    <x v="9"/>
    <x v="0"/>
    <s v="5°1°5IANMAT"/>
    <s v="ANALISIS MATEMATICO"/>
    <x v="7"/>
    <m/>
    <s v="LU"/>
    <m/>
    <s v="CENTURION SILVIA"/>
    <s v="5°1°5IANMATLU"/>
  </r>
  <r>
    <s v="5°1°"/>
    <x v="876"/>
    <n v="511"/>
    <s v="2luV41"/>
    <x v="9"/>
    <x v="2"/>
    <s v="5°1°5115IFTLS5"/>
    <s v="LAB DE SIST OPERATIVOS"/>
    <x v="18"/>
    <m/>
    <s v="LU"/>
    <s v="CONTRATURNO"/>
    <s v="FERREYRA JESICA"/>
    <s v="5°1°5115IFTLS5lu"/>
  </r>
  <r>
    <s v="5°1°"/>
    <x v="877"/>
    <n v="512"/>
    <s v="2LUV42"/>
    <x v="9"/>
    <x v="2"/>
    <s v="5°1°5125IFTLH5"/>
    <s v="LAB DE HARDWARE "/>
    <x v="25"/>
    <m/>
    <s v="LU"/>
    <s v="CONTRATURNO"/>
    <s v="FISTER (Serv.Prov)         "/>
    <s v="5°1°5125IFTLH5LU"/>
  </r>
  <r>
    <s v="5°1°"/>
    <x v="878"/>
    <n v="0"/>
    <s v="2maM"/>
    <x v="10"/>
    <x v="0"/>
    <s v="5°1°5IHIS5"/>
    <s v="HISTORIA"/>
    <x v="7"/>
    <m/>
    <s v="MA"/>
    <m/>
    <s v="PALACIOS GUSTAVO"/>
    <s v="5°1°5IHIS5ma"/>
  </r>
  <r>
    <s v="5°1°"/>
    <x v="879"/>
    <n v="512"/>
    <s v="2viV52"/>
    <x v="8"/>
    <x v="2"/>
    <s v="5°1°5125IFTLS5"/>
    <s v="LAB DE SIST OPERATIVOS"/>
    <x v="24"/>
    <m/>
    <s v="VI"/>
    <s v="CONTRATURNO"/>
    <s v="RIVERA MARCELO"/>
    <s v="5°1°5125IFTLS5vi"/>
  </r>
  <r>
    <s v="5°1°"/>
    <x v="880"/>
    <n v="0"/>
    <s v="2MiM"/>
    <x v="11"/>
    <x v="0"/>
    <s v="5°1°5IGEOS5"/>
    <s v="GEOGRAFIA"/>
    <x v="7"/>
    <m/>
    <s v="MI"/>
    <m/>
    <s v="SPERONI, ADRIAN "/>
    <s v="5°1°5IGEOS5Mi"/>
  </r>
  <r>
    <s v="5°1°"/>
    <x v="881"/>
    <n v="511"/>
    <s v="2miT30"/>
    <x v="11"/>
    <x v="1"/>
    <s v="5°1°5115IFTLA5"/>
    <s v="LAB DE APLICACIONES "/>
    <x v="22"/>
    <m/>
    <s v="MI"/>
    <s v="CONTRATURNO"/>
    <s v="BARCENILLA, JAVIER "/>
    <s v="5°1°5115IFTLA5mi"/>
  </r>
  <r>
    <s v="5°1°"/>
    <x v="882"/>
    <n v="512"/>
    <s v="2MIV41"/>
    <x v="11"/>
    <x v="2"/>
    <s v="5°1°5125IFTLA5"/>
    <s v="LAB DE APLICACIONES "/>
    <x v="18"/>
    <m/>
    <s v="MI"/>
    <s v="CONTRATURNO"/>
    <s v="WITT GERARDO"/>
    <s v="5°1°5125IFTLA5MI"/>
  </r>
  <r>
    <s v="5°1°"/>
    <x v="883"/>
    <n v="0"/>
    <s v="2viM"/>
    <x v="8"/>
    <x v="0"/>
    <s v="5°1°5IINGS"/>
    <s v="INGLÉS"/>
    <x v="7"/>
    <m/>
    <s v="VI"/>
    <m/>
    <s v="ARCE KARINA "/>
    <s v="5°1°5IINGSvi"/>
  </r>
  <r>
    <s v="5°1°"/>
    <x v="884"/>
    <n v="0"/>
    <s v="3JUM"/>
    <x v="12"/>
    <x v="0"/>
    <s v="5°1°5IPYCS"/>
    <s v="POLITICA Y CIUDADANIA"/>
    <x v="7"/>
    <m/>
    <s v="JU"/>
    <m/>
    <s v="GONZALEZ GONZALEZ ROMINA "/>
    <s v="5°1°5IPYCSJU"/>
  </r>
  <r>
    <s v="5°1°"/>
    <x v="885"/>
    <n v="511"/>
    <s v="3juV31"/>
    <x v="12"/>
    <x v="2"/>
    <s v="5°1°5115IFTLH5"/>
    <s v="LAB DE HARDWARE "/>
    <x v="19"/>
    <m/>
    <s v="JU"/>
    <s v="CONTRATURNO"/>
    <s v="DELGADO ARIEL"/>
    <s v="5°1°5115IFTLH5ju"/>
  </r>
  <r>
    <s v="5°1°"/>
    <x v="886"/>
    <n v="0"/>
    <s v="3LUM"/>
    <x v="13"/>
    <x v="0"/>
    <s v="5°1°5ILITS"/>
    <s v="LITERATURA"/>
    <x v="7"/>
    <m/>
    <s v="LU"/>
    <m/>
    <s v="MIRAFIORI, N   0"/>
    <s v="5°1°5ILITSLU"/>
  </r>
  <r>
    <s v="5°1°"/>
    <x v="887"/>
    <n v="511"/>
    <s v="3luV41"/>
    <x v="13"/>
    <x v="2"/>
    <s v="5°1°5115IFTLS5"/>
    <s v="LAB DE SIST OPERATIVOS"/>
    <x v="18"/>
    <m/>
    <s v="LU"/>
    <s v="CONTRATURNO"/>
    <s v="FERREYRA JESICA"/>
    <s v="5°1°5115IFTLS5lu"/>
  </r>
  <r>
    <s v="5°1°"/>
    <x v="888"/>
    <n v="512"/>
    <s v="3LUV42"/>
    <x v="13"/>
    <x v="2"/>
    <s v="5°1°5125IFTLH5"/>
    <s v="LAB DE HARDWARE "/>
    <x v="25"/>
    <m/>
    <s v="LU"/>
    <s v="CONTRATURNO"/>
    <s v="FISTER (Serv.Prov)         "/>
    <s v="5°1°5125IFTLH5LU"/>
  </r>
  <r>
    <s v="5°1°"/>
    <x v="889"/>
    <n v="0"/>
    <s v="3MAM"/>
    <x v="14"/>
    <x v="0"/>
    <s v="5°1°5ISIDI4"/>
    <s v="SISTEMA DIGITAL"/>
    <x v="7"/>
    <m/>
    <s v="MA"/>
    <m/>
    <s v="MONTENEGRO CLAUDIA"/>
    <s v="5°1°5ISIDI4MA"/>
  </r>
  <r>
    <s v="5°1°"/>
    <x v="890"/>
    <n v="512"/>
    <s v="3maT30"/>
    <x v="14"/>
    <x v="1"/>
    <s v="5°1°5125IFTLP5"/>
    <s v="LAB DE PROGRAM "/>
    <x v="22"/>
    <m/>
    <s v="MA"/>
    <s v="CONTRATURNO"/>
    <s v="WITT GERARDO"/>
    <s v="5°1°5125IFTLP5ma"/>
  </r>
  <r>
    <s v="5°1°"/>
    <x v="891"/>
    <n v="512"/>
    <s v="3viV52"/>
    <x v="6"/>
    <x v="2"/>
    <s v="5°1°5125IFTLS5"/>
    <s v="LAB DE SIST OPERATIVOS"/>
    <x v="24"/>
    <m/>
    <s v="VI"/>
    <s v="CONTRATURNO"/>
    <s v="RIVERA MARCELO"/>
    <s v="5°1°5125IFTLS5vi"/>
  </r>
  <r>
    <s v="5°1°"/>
    <x v="892"/>
    <n v="0"/>
    <s v="3MIM"/>
    <x v="15"/>
    <x v="0"/>
    <s v="5°1°5ITELEI"/>
    <s v="TELEINFORMATICA"/>
    <x v="7"/>
    <m/>
    <s v="MI"/>
    <m/>
    <s v="MONTENEGRO CLAUDIA"/>
    <s v="5°1°5ITELEIMI"/>
  </r>
  <r>
    <s v="5°1°"/>
    <x v="893"/>
    <n v="511"/>
    <s v="3MIV41"/>
    <x v="15"/>
    <x v="2"/>
    <s v="5°1°5115IFTLP5"/>
    <s v="LAB DE PROGRAM "/>
    <x v="18"/>
    <m/>
    <s v="MI"/>
    <s v="CONTRATURNO"/>
    <s v="WITT  GERARDO"/>
    <s v="5°1°5115IFTLP5MI"/>
  </r>
  <r>
    <s v="5°1°"/>
    <x v="894"/>
    <n v="0"/>
    <s v="3VIM"/>
    <x v="6"/>
    <x v="0"/>
    <s v="5°1°5ITELEI"/>
    <s v="TELEINFORMATICA"/>
    <x v="7"/>
    <m/>
    <s v="VI"/>
    <m/>
    <s v="MONTENEGRO CLAUDIA"/>
    <s v="5°1°5ITELEIVI"/>
  </r>
  <r>
    <s v="5°1°"/>
    <x v="895"/>
    <n v="0"/>
    <s v="4JUM"/>
    <x v="16"/>
    <x v="0"/>
    <s v="5°1°5IPYCS"/>
    <s v="POLITICA Y CIUDADANIA"/>
    <x v="7"/>
    <m/>
    <s v="JU"/>
    <m/>
    <s v="GONZALEZ GONZALEZ ROMINA "/>
    <s v="5°1°5IPYCSJU"/>
  </r>
  <r>
    <s v="5°1°"/>
    <x v="896"/>
    <n v="511"/>
    <s v="4juV31"/>
    <x v="16"/>
    <x v="2"/>
    <s v="5°1°5115IFTLH5"/>
    <s v="LAB DE HARDWARE "/>
    <x v="19"/>
    <m/>
    <s v="JU"/>
    <s v="CONTRATURNO"/>
    <s v="DELGADO ARIEL"/>
    <s v="5°1°5115IFTLH5ju"/>
  </r>
  <r>
    <s v="5°1°"/>
    <x v="897"/>
    <n v="0"/>
    <s v="4LUM"/>
    <x v="17"/>
    <x v="0"/>
    <s v="5°1°5ILITS"/>
    <s v="LITERATURA"/>
    <x v="7"/>
    <m/>
    <s v="LU"/>
    <m/>
    <s v="MIRAFIORI, N   0"/>
    <s v="5°1°5ILITSLU"/>
  </r>
  <r>
    <s v="5°1°"/>
    <x v="898"/>
    <n v="511"/>
    <s v="4luV41"/>
    <x v="17"/>
    <x v="2"/>
    <s v="5°1°5115IFTLS5"/>
    <s v="LAB DE SIST OPERATIVOS"/>
    <x v="18"/>
    <m/>
    <s v="LU"/>
    <s v="CONTRATURNO"/>
    <s v="FERREYRA JESICA"/>
    <s v="5°1°5115IFTLS5lu"/>
  </r>
  <r>
    <s v="5°1°"/>
    <x v="899"/>
    <n v="512"/>
    <s v="4LUV42"/>
    <x v="17"/>
    <x v="2"/>
    <s v="5°1°5125IFTLH5"/>
    <s v="LAB DE HARDWARE "/>
    <x v="25"/>
    <m/>
    <s v="LU"/>
    <s v="CONTRATURNO"/>
    <s v="FISTER (Serv.Prov)         "/>
    <s v="5°1°5125IFTLH5LU"/>
  </r>
  <r>
    <s v="5°1°"/>
    <x v="900"/>
    <n v="0"/>
    <s v="4MAM"/>
    <x v="18"/>
    <x v="0"/>
    <s v="5°1°5ISIDI4"/>
    <s v="SISTEMA DIGITAL"/>
    <x v="7"/>
    <m/>
    <s v="MA"/>
    <m/>
    <s v="MONTENEGRO CLAUDIA"/>
    <s v="5°1°5ISIDI4MA"/>
  </r>
  <r>
    <s v="5°1°"/>
    <x v="901"/>
    <n v="512"/>
    <s v="4maT30"/>
    <x v="18"/>
    <x v="1"/>
    <s v="5°1°5125IFTLP5"/>
    <s v="LAB DE PROGRAM "/>
    <x v="22"/>
    <m/>
    <s v="MA"/>
    <s v="CONTRATURNO"/>
    <s v="WITT GERARDO"/>
    <s v="5°1°5125IFTLP5ma"/>
  </r>
  <r>
    <s v="5°1°"/>
    <x v="902"/>
    <n v="512"/>
    <s v="4viV52"/>
    <x v="7"/>
    <x v="2"/>
    <s v="5°1°5125IFTLS5"/>
    <s v="LAB DE SIST OPERATIVOS"/>
    <x v="24"/>
    <m/>
    <s v="VI"/>
    <s v="CONTRATURNO"/>
    <s v="RIVERA MARCELO"/>
    <s v="5°1°5125IFTLS5vi"/>
  </r>
  <r>
    <s v="5°1°"/>
    <x v="903"/>
    <n v="0"/>
    <s v="4MIM"/>
    <x v="19"/>
    <x v="0"/>
    <s v="5°1°5ITELEI"/>
    <s v="TELEINFORMATICA"/>
    <x v="7"/>
    <m/>
    <s v="MI"/>
    <m/>
    <s v="MONTENEGRO CLAUDIA"/>
    <s v="5°1°5ITELEIMI"/>
  </r>
  <r>
    <s v="5°1°"/>
    <x v="904"/>
    <n v="511"/>
    <s v="4MIV41"/>
    <x v="19"/>
    <x v="2"/>
    <s v="5°1°5115IFTLP5"/>
    <s v="LAB DE PROGRAM "/>
    <x v="18"/>
    <m/>
    <s v="MI"/>
    <s v="CONTRATURNO"/>
    <s v="WITT  GERARDO"/>
    <s v="5°1°5115IFTLP5MI"/>
  </r>
  <r>
    <s v="5°1°"/>
    <x v="905"/>
    <n v="0"/>
    <s v="4VIM"/>
    <x v="7"/>
    <x v="0"/>
    <s v="5°1°5ITELEI"/>
    <s v="TELEINFORMATICA"/>
    <x v="7"/>
    <m/>
    <s v="VI"/>
    <m/>
    <s v="MONTENEGRO CLAUDIA"/>
    <s v="5°1°5ITELEIVI"/>
  </r>
  <r>
    <s v="5°1°"/>
    <x v="906"/>
    <n v="0"/>
    <s v="5MAM"/>
    <x v="28"/>
    <x v="0"/>
    <s v="5°1°5ISIDI4"/>
    <s v="SISTEMA DIGITAL"/>
    <x v="7"/>
    <m/>
    <s v="MA"/>
    <m/>
    <s v="MONTENEGRO CLAUDIA"/>
    <s v="5°1°5ISIDI4MA"/>
  </r>
  <r>
    <s v="5°1°"/>
    <x v="907"/>
    <n v="0"/>
    <s v="5MIMPATIO"/>
    <x v="24"/>
    <x v="0"/>
    <s v="5°1°5IEFIS"/>
    <s v="EDUCACIÓN FISICA"/>
    <x v="12"/>
    <m/>
    <s v="MI"/>
    <m/>
    <s v="LUDUEÑA NELSON"/>
    <s v="5°1°5IEFISMI"/>
  </r>
  <r>
    <s v="5°1°"/>
    <x v="908"/>
    <n v="0"/>
    <s v="5VIMPATIO"/>
    <x v="25"/>
    <x v="0"/>
    <s v="5°1°5IEFIS"/>
    <s v="EDUCACIÓN FISICA"/>
    <x v="12"/>
    <m/>
    <s v="VI"/>
    <m/>
    <s v="LUDUEÑA NELSON"/>
    <s v="5°1°5IEFISVI"/>
  </r>
  <r>
    <s v="6°1°"/>
    <x v="909"/>
    <n v="0"/>
    <s v="1JUV"/>
    <x v="0"/>
    <x v="2"/>
    <s v="6°1°6IINGS"/>
    <s v="INGLÉS"/>
    <x v="7"/>
    <m/>
    <s v="JU"/>
    <m/>
    <s v="RAMIREZ GISELE"/>
    <s v="6°1°6IINGSJU"/>
  </r>
  <r>
    <s v="6°1°"/>
    <x v="910"/>
    <n v="611"/>
    <s v="1LUT41"/>
    <x v="1"/>
    <x v="1"/>
    <s v="6°1°6116IFTLH6"/>
    <s v="LAB DE HARDWARE "/>
    <x v="18"/>
    <m/>
    <s v="LU"/>
    <s v="CONTRATURNO"/>
    <s v="ROCHA JULIETA"/>
    <s v="6°1°6116IFTLH6LU"/>
  </r>
  <r>
    <s v="6°1°"/>
    <x v="911"/>
    <n v="612"/>
    <s v="1miT41"/>
    <x v="3"/>
    <x v="1"/>
    <s v="6°1°6126IFTLH6"/>
    <s v="LAB DE HARDWARE "/>
    <x v="18"/>
    <m/>
    <s v="MI"/>
    <s v="CONTRATURNO"/>
    <s v="MONTENEGRO CLAUIDA"/>
    <s v="6°1°6126IFTLH6mi"/>
  </r>
  <r>
    <s v="6°1°"/>
    <x v="912"/>
    <n v="0"/>
    <s v="1LUV"/>
    <x v="1"/>
    <x v="2"/>
    <s v="6°1°6IDETRA"/>
    <s v="DERECHO DE TRABAJO"/>
    <x v="7"/>
    <m/>
    <s v="LU"/>
    <m/>
    <s v="KUSNIER CUPAIOLO NATALIA N "/>
    <s v="6°1°6IDETRALU"/>
  </r>
  <r>
    <s v="6°1°"/>
    <x v="913"/>
    <n v="611"/>
    <s v="1MAT40"/>
    <x v="2"/>
    <x v="1"/>
    <s v="6°1°6116IFHLS6"/>
    <s v="LAB DE SIST OPERATIVOS "/>
    <x v="20"/>
    <m/>
    <s v="MA"/>
    <s v="CONTRATURNO"/>
    <s v="VILLALVA ESTEBAN"/>
    <s v="6°1°6116IFHLS6MA"/>
  </r>
  <r>
    <s v="6°1°"/>
    <x v="914"/>
    <n v="0"/>
    <s v="1MAV"/>
    <x v="2"/>
    <x v="2"/>
    <s v="6°1°6ISIDI6"/>
    <s v="SISTEMA DIGITAL"/>
    <x v="7"/>
    <m/>
    <s v="MA"/>
    <m/>
    <s v="MONTES IVAN"/>
    <s v="6°1°6ISIDI6MA"/>
  </r>
  <r>
    <s v="6°1°"/>
    <x v="915"/>
    <n v="0"/>
    <s v="1MIMPATIO3"/>
    <x v="3"/>
    <x v="0"/>
    <s v="6°1°6IEFIS"/>
    <s v="EDUCACIÓN FISICA"/>
    <x v="26"/>
    <m/>
    <s v="MI"/>
    <m/>
    <s v="MONTENEGRO LUIS   "/>
    <s v="6°1°6IEFISMI"/>
  </r>
  <r>
    <s v="6°1°"/>
    <x v="916"/>
    <n v="612"/>
    <s v="1MAT41"/>
    <x v="2"/>
    <x v="1"/>
    <s v="6°1°6126IFHLS6"/>
    <s v="LAB DE SIST OPERATIVOS "/>
    <x v="18"/>
    <m/>
    <s v="MA"/>
    <s v="CONTRATURNO"/>
    <s v="FERREYRA YESICA"/>
    <s v="6°1°6126IFHLS6MA"/>
  </r>
  <r>
    <s v="6°1°"/>
    <x v="917"/>
    <n v="0"/>
    <s v="1MIV"/>
    <x v="3"/>
    <x v="2"/>
    <s v="6°1°6IFILO"/>
    <s v="FILOSOFIA"/>
    <x v="7"/>
    <m/>
    <s v="MI"/>
    <m/>
    <s v="LETIERI, MANUEL"/>
    <s v="6°1°6IFILOMI"/>
  </r>
  <r>
    <s v="6°1°"/>
    <x v="918"/>
    <n v="611"/>
    <s v="3miM40"/>
    <x v="15"/>
    <x v="0"/>
    <s v="6°1°6116IFTLP6"/>
    <s v="LAB DE PROGRAM "/>
    <x v="20"/>
    <m/>
    <s v="MI"/>
    <s v="CONTRATURNO"/>
    <s v="FERREYRA JESICA"/>
    <s v="6°1°6116IFTLP6mi"/>
  </r>
  <r>
    <s v="6°1°"/>
    <x v="919"/>
    <n v="0"/>
    <s v="1VIV"/>
    <x v="4"/>
    <x v="2"/>
    <s v="6°1°6ISEIN"/>
    <s v="SEGURIDAD INFORMATICA"/>
    <x v="7"/>
    <m/>
    <s v="VI"/>
    <m/>
    <s v="MONTENEGRO CLAUIDA"/>
    <s v="6°1°6ISEINVI"/>
  </r>
  <r>
    <s v="6°1°"/>
    <x v="920"/>
    <n v="0"/>
    <s v="2JUT47"/>
    <x v="5"/>
    <x v="1"/>
    <s v="6°1°6IINVOP"/>
    <s v="INVESTIGACION OPERATIVA"/>
    <x v="2"/>
    <m/>
    <s v="JU"/>
    <s v="CONTRATURNO"/>
    <s v="VALDES MARIA"/>
    <s v="6°1°6IINVOPJU"/>
  </r>
  <r>
    <s v="6°1°"/>
    <x v="921"/>
    <n v="0"/>
    <s v="2JUV"/>
    <x v="5"/>
    <x v="2"/>
    <s v="6°1°6IINGS"/>
    <s v="INGLÉS"/>
    <x v="7"/>
    <m/>
    <s v="JU"/>
    <m/>
    <s v="RAMIREZ GISELE"/>
    <s v="6°1°6IINGSJU"/>
  </r>
  <r>
    <s v="6°1°"/>
    <x v="922"/>
    <n v="611"/>
    <s v="2LUT41"/>
    <x v="9"/>
    <x v="1"/>
    <s v="6°1°6116IFTLH6"/>
    <s v="LAB DE HARDWARE "/>
    <x v="18"/>
    <m/>
    <s v="LU"/>
    <s v="CONTRATURNO"/>
    <s v="ROCHA JULIETA"/>
    <s v="6°1°6116IFTLH6LU"/>
  </r>
  <r>
    <s v="6°1°"/>
    <x v="923"/>
    <n v="612"/>
    <s v="2miT41"/>
    <x v="11"/>
    <x v="1"/>
    <s v="6°1°6126IFTLH6"/>
    <s v="LAB DE HARDWARE "/>
    <x v="18"/>
    <m/>
    <s v="MI"/>
    <s v="CONTRATURNO"/>
    <s v="MONTENEGRO CLAUIDA"/>
    <s v="6°1°6126IFTLH6mi"/>
  </r>
  <r>
    <s v="6°1°"/>
    <x v="924"/>
    <n v="0"/>
    <s v="2LUV"/>
    <x v="9"/>
    <x v="2"/>
    <s v="6°1°6IDETRA"/>
    <s v="DERECHO DE TRABAJO"/>
    <x v="7"/>
    <m/>
    <s v="LU"/>
    <m/>
    <s v="KUSNIER CUPAIOLO NATALIA N "/>
    <s v="6°1°6IDETRALU"/>
  </r>
  <r>
    <s v="6°1°"/>
    <x v="925"/>
    <n v="611"/>
    <s v="2MAT40"/>
    <x v="10"/>
    <x v="1"/>
    <s v="6°1°6116IFHLS6"/>
    <s v="LAB DE SIST OPERATIVOS "/>
    <x v="20"/>
    <m/>
    <s v="MA"/>
    <s v="CONTRATURNO"/>
    <s v="VILLALVA ESTEBAN"/>
    <s v="6°1°6116IFHLS6MA"/>
  </r>
  <r>
    <s v="6°1°"/>
    <x v="926"/>
    <n v="0"/>
    <s v="2MAV"/>
    <x v="10"/>
    <x v="2"/>
    <s v="6°1°6ISIDI6"/>
    <s v="SISTEMA DIGITAL"/>
    <x v="7"/>
    <m/>
    <s v="MA"/>
    <m/>
    <s v="MONTES IVAN"/>
    <s v="6°1°6ISIDI6MA"/>
  </r>
  <r>
    <s v="6°1°"/>
    <x v="927"/>
    <n v="0"/>
    <s v="2MIMPATIO3"/>
    <x v="11"/>
    <x v="0"/>
    <s v="6°1°6IEFIS"/>
    <s v="EDUCACIÓN FISICA"/>
    <x v="26"/>
    <m/>
    <s v="MI"/>
    <m/>
    <s v="MONTENEGRO LUIS   "/>
    <s v="6°1°6IEFISMI"/>
  </r>
  <r>
    <s v="6°1°"/>
    <x v="928"/>
    <n v="612"/>
    <s v="2MAT41"/>
    <x v="10"/>
    <x v="1"/>
    <s v="6°1°6126IFHLS6"/>
    <s v="LAB DE SIST OPERATIVOS "/>
    <x v="18"/>
    <m/>
    <s v="MA"/>
    <s v="CONTRATURNO"/>
    <s v="FERREYRA YESICA"/>
    <s v="6°1°6126IFHLS6MA"/>
  </r>
  <r>
    <s v="6°1°"/>
    <x v="929"/>
    <n v="0"/>
    <s v="2MIV"/>
    <x v="11"/>
    <x v="2"/>
    <s v="6°1°6IFILO"/>
    <s v="FILOSOFIA"/>
    <x v="7"/>
    <m/>
    <s v="MI"/>
    <m/>
    <s v="LETIERI, MANUEL"/>
    <s v="6°1°6IFILOMI"/>
  </r>
  <r>
    <s v="6°1°"/>
    <x v="930"/>
    <n v="611"/>
    <s v="4miM40"/>
    <x v="19"/>
    <x v="0"/>
    <s v="6°1°6116IFTLP6"/>
    <s v="LAB DE PROGRAM "/>
    <x v="20"/>
    <m/>
    <s v="MI"/>
    <s v="CONTRATURNO"/>
    <s v="FERREYRA JESICA"/>
    <s v="6°1°6116IFTLP6mi"/>
  </r>
  <r>
    <s v="6°1°"/>
    <x v="931"/>
    <n v="0"/>
    <s v="2VIV"/>
    <x v="8"/>
    <x v="2"/>
    <s v="6°1°6ISEIN"/>
    <s v="SEGURIDAD INFORMATICA"/>
    <x v="7"/>
    <m/>
    <s v="VI"/>
    <m/>
    <s v="MONTENEGRO CLAUIDA"/>
    <s v="6°1°6ISEINVI"/>
  </r>
  <r>
    <s v="6°1°"/>
    <x v="932"/>
    <n v="0"/>
    <s v="3JUT47"/>
    <x v="12"/>
    <x v="1"/>
    <s v="6°1°6IINVOP"/>
    <s v="INVESTIGACION OPERATIVA"/>
    <x v="2"/>
    <m/>
    <s v="JU"/>
    <s v="CONTRATURNO"/>
    <s v="VALDES MARIA"/>
    <s v="6°1°6IINVOPJU"/>
  </r>
  <r>
    <s v="6°1°"/>
    <x v="933"/>
    <n v="0"/>
    <s v="3JUV"/>
    <x v="12"/>
    <x v="2"/>
    <s v="6°1°6ILITS"/>
    <s v="LITERATURA"/>
    <x v="7"/>
    <m/>
    <s v="JU"/>
    <m/>
    <s v="ALFONSO D INT 2026"/>
    <s v="6°1°6ILITSJU"/>
  </r>
  <r>
    <s v="6°1°"/>
    <x v="934"/>
    <n v="611"/>
    <s v="3LUT41"/>
    <x v="13"/>
    <x v="1"/>
    <s v="6°1°6116IFTLH6"/>
    <s v="LAB DE HARDWARE "/>
    <x v="18"/>
    <m/>
    <s v="LU"/>
    <s v="CONTRATURNO"/>
    <s v="ROCHA JULIETA"/>
    <s v="6°1°6116IFTLH6LU"/>
  </r>
  <r>
    <s v="6°1°"/>
    <x v="935"/>
    <n v="612"/>
    <s v="3miT41"/>
    <x v="15"/>
    <x v="1"/>
    <s v="6°1°6126IFTLH6"/>
    <s v="LAB DE HARDWARE "/>
    <x v="18"/>
    <m/>
    <s v="MI"/>
    <s v="CONTRATURNO"/>
    <s v="MONTENEGRO CLAUIDA"/>
    <s v="6°1°6126IFTLH6mi"/>
  </r>
  <r>
    <s v="6°1°"/>
    <x v="936"/>
    <n v="0"/>
    <s v="3LUV"/>
    <x v="13"/>
    <x v="2"/>
    <s v="6°1°6IARTE"/>
    <s v="ARTE"/>
    <x v="7"/>
    <m/>
    <s v="LU"/>
    <m/>
    <s v="GOMEZ MARCELA"/>
    <s v="6°1°6IARTELU"/>
  </r>
  <r>
    <s v="6°1°"/>
    <x v="937"/>
    <n v="611"/>
    <s v="3MAT40"/>
    <x v="14"/>
    <x v="1"/>
    <s v="6°1°6116IFHLS6"/>
    <s v="LAB DE SIST OPERATIVOS "/>
    <x v="20"/>
    <m/>
    <s v="MA"/>
    <s v="CONTRATURNO"/>
    <s v="VILLALVA ESTEBAN"/>
    <s v="6°1°6116IFHLS6MA"/>
  </r>
  <r>
    <s v="6°1°"/>
    <x v="938"/>
    <n v="0"/>
    <s v="3MAV"/>
    <x v="14"/>
    <x v="2"/>
    <s v="6°1°6ISIDI6"/>
    <s v="SISTEMA DIGITAL"/>
    <x v="7"/>
    <m/>
    <s v="MA"/>
    <m/>
    <s v="MONTES IVAN"/>
    <s v="6°1°6ISIDI6MA"/>
  </r>
  <r>
    <s v="6°1°"/>
    <x v="939"/>
    <n v="611"/>
    <s v="3MIT30"/>
    <x v="15"/>
    <x v="1"/>
    <s v="6°1°6116IFTLA6"/>
    <s v="LAB DE APLICACIONES "/>
    <x v="22"/>
    <m/>
    <s v="MI"/>
    <s v="CONTRATURNO"/>
    <s v="VILLALVA ESTEBAN"/>
    <s v="6°1°6116IFTLA6MI"/>
  </r>
  <r>
    <s v="6°1°"/>
    <x v="940"/>
    <n v="612"/>
    <s v="3viT40"/>
    <x v="6"/>
    <x v="1"/>
    <s v="6°1°6126IFTLA6"/>
    <s v="LAB DE APLICACIONES "/>
    <x v="20"/>
    <m/>
    <s v="VI"/>
    <s v="CONTRATURNO"/>
    <s v="HERRERA STELLA"/>
    <s v="6°1°6126IFTLA6vi"/>
  </r>
  <r>
    <s v="6°1°"/>
    <x v="941"/>
    <n v="612"/>
    <s v="3MAT41"/>
    <x v="14"/>
    <x v="1"/>
    <s v="6°1°6126IFHLS6"/>
    <s v="LAB DE SIST OPERATIVOS "/>
    <x v="18"/>
    <m/>
    <s v="MA"/>
    <s v="CONTRATURNO"/>
    <s v="FERREYRA YESICA"/>
    <s v="6°1°6126IFHLS6MA"/>
  </r>
  <r>
    <s v="6°1°"/>
    <x v="942"/>
    <n v="0"/>
    <s v="3MIV"/>
    <x v="15"/>
    <x v="2"/>
    <s v="6°1°6IMATAP"/>
    <s v="MATEMATICA APLICADA"/>
    <x v="7"/>
    <m/>
    <s v="MI"/>
    <m/>
    <s v="GARCIA CLAUDIA"/>
    <s v="6°1°6IMATAPMI"/>
  </r>
  <r>
    <s v="6°1°"/>
    <x v="943"/>
    <n v="612"/>
    <s v="1viT40"/>
    <x v="4"/>
    <x v="1"/>
    <s v="6°1°6126IFTLP6"/>
    <s v="LAB DE PROGRAM "/>
    <x v="20"/>
    <m/>
    <s v="VI"/>
    <s v="CONTRATURNO"/>
    <s v="MONTENEGRO CLAUIDA"/>
    <s v="6°1°6126IFTLP6vi"/>
  </r>
  <r>
    <s v="6°1°"/>
    <x v="944"/>
    <n v="0"/>
    <s v="3VIV"/>
    <x v="6"/>
    <x v="2"/>
    <s v="6°1°6ISEIN"/>
    <s v="SEGURIDAD INFORMATICA"/>
    <x v="7"/>
    <m/>
    <s v="VI"/>
    <m/>
    <s v="MONTENEGRO CLAUIDA"/>
    <s v="6°1°6ISEINVI"/>
  </r>
  <r>
    <s v="6°1°"/>
    <x v="945"/>
    <n v="0"/>
    <s v="4JUT47"/>
    <x v="16"/>
    <x v="1"/>
    <s v="6°1°6IINVOP"/>
    <s v="INVESTIGACION OPERATIVA"/>
    <x v="2"/>
    <m/>
    <s v="JU"/>
    <s v="CONTRATURNO"/>
    <s v="VALDES MARIA"/>
    <s v="6°1°6IINVOPJU"/>
  </r>
  <r>
    <s v="6°1°"/>
    <x v="946"/>
    <n v="0"/>
    <s v="4JUV"/>
    <x v="16"/>
    <x v="2"/>
    <s v="6°1°6ILITS"/>
    <s v="LITERATURA"/>
    <x v="7"/>
    <m/>
    <s v="JU"/>
    <m/>
    <s v="ALFONSO D INT 2026"/>
    <s v="6°1°6ILITSJU"/>
  </r>
  <r>
    <s v="6°1°"/>
    <x v="947"/>
    <n v="611"/>
    <s v="4LUT41"/>
    <x v="17"/>
    <x v="1"/>
    <s v="6°1°6116IFTLH6"/>
    <s v="LAB DE HARDWARE "/>
    <x v="18"/>
    <m/>
    <s v="LU"/>
    <s v="CONTRATURNO"/>
    <s v="ROCHA JULIETA"/>
    <s v="6°1°6116IFTLH6LU"/>
  </r>
  <r>
    <s v="6°1°"/>
    <x v="948"/>
    <n v="612"/>
    <s v="4miT41"/>
    <x v="19"/>
    <x v="1"/>
    <s v="6°1°6126IFTLH6"/>
    <s v="LAB DE HARDWARE "/>
    <x v="18"/>
    <m/>
    <s v="MI"/>
    <s v="CONTRATURNO"/>
    <s v="MONTENEGRO CLAUIDA"/>
    <s v="6°1°6126IFTLH6mi"/>
  </r>
  <r>
    <s v="6°1°"/>
    <x v="949"/>
    <n v="0"/>
    <s v="4LUV"/>
    <x v="17"/>
    <x v="2"/>
    <s v="6°1°6IARTE"/>
    <s v="ARTE"/>
    <x v="7"/>
    <m/>
    <s v="LU"/>
    <m/>
    <s v="GOMEZ MARCELA"/>
    <s v="6°1°6IARTELU"/>
  </r>
  <r>
    <s v="6°1°"/>
    <x v="950"/>
    <n v="611"/>
    <s v="4MAT40"/>
    <x v="18"/>
    <x v="1"/>
    <s v="6°1°6116IFHLS6"/>
    <s v="LAB DE SIST OPERATIVOS "/>
    <x v="20"/>
    <m/>
    <s v="MA"/>
    <s v="CONTRATURNO"/>
    <s v="VILLALVA ESTEBAN"/>
    <s v="6°1°6116IFHLS6MA"/>
  </r>
  <r>
    <s v="6°1°"/>
    <x v="951"/>
    <n v="611"/>
    <s v="4MIT30"/>
    <x v="19"/>
    <x v="1"/>
    <s v="6°1°6116IFTLA6"/>
    <s v="LAB DE APLICACIONES "/>
    <x v="22"/>
    <m/>
    <s v="MI"/>
    <s v="CONTRATURNO"/>
    <s v="VILLALVA ESTEBAN"/>
    <s v="6°1°6116IFTLA6MI"/>
  </r>
  <r>
    <s v="6°1°"/>
    <x v="952"/>
    <n v="612"/>
    <s v="4viT40"/>
    <x v="7"/>
    <x v="1"/>
    <s v="6°1°6126IFTLA6"/>
    <s v="LAB DE APLICACIONES "/>
    <x v="20"/>
    <m/>
    <s v="VI"/>
    <s v="CONTRATURNO"/>
    <s v="HERRERA STELLA"/>
    <s v="6°1°6126IFTLA6vi"/>
  </r>
  <r>
    <s v="6°1°"/>
    <x v="953"/>
    <n v="612"/>
    <s v="4MAT41"/>
    <x v="18"/>
    <x v="1"/>
    <s v="6°1°6126IFHLS6"/>
    <s v="LAB DE SIST OPERATIVOS "/>
    <x v="18"/>
    <m/>
    <s v="MA"/>
    <s v="CONTRATURNO"/>
    <s v="FERREYRA YESICA"/>
    <s v="6°1°6126IFHLS6MA"/>
  </r>
  <r>
    <s v="6°1°"/>
    <x v="954"/>
    <n v="0"/>
    <s v="4MIV"/>
    <x v="19"/>
    <x v="2"/>
    <s v="6°1°6IMATAP"/>
    <s v="MATEMATICA APLICADA"/>
    <x v="7"/>
    <m/>
    <s v="MI"/>
    <m/>
    <s v="GARCIA CLAUDIA"/>
    <s v="6°1°6IMATAPMI"/>
  </r>
  <r>
    <s v="6°1°"/>
    <x v="955"/>
    <n v="612"/>
    <s v="2viT40"/>
    <x v="8"/>
    <x v="1"/>
    <s v="6°1°6126IFTLP6"/>
    <s v="LAB DE PROGRAM "/>
    <x v="20"/>
    <m/>
    <s v="VI"/>
    <s v="CONTRATURNO"/>
    <s v="MONTENEGRO CLAUIDA"/>
    <s v="6°1°6126IFTLP6vi"/>
  </r>
  <r>
    <s v="6°2°"/>
    <x v="956"/>
    <n v="621"/>
    <s v="1JUM40"/>
    <x v="0"/>
    <x v="0"/>
    <s v="6°2°6216IFHLS6"/>
    <s v="LAB DE SIST OPERATIVOS "/>
    <x v="20"/>
    <m/>
    <s v="JU"/>
    <s v="CONTRATURNO"/>
    <s v="FERREYRA JESICA"/>
    <s v="6°2°6216IFHLS6JU"/>
  </r>
  <r>
    <s v="6°2°"/>
    <x v="957"/>
    <n v="621"/>
    <s v="1VIM31"/>
    <x v="4"/>
    <x v="0"/>
    <s v="6°2°6216IFTLH6"/>
    <s v="LAB DE HARDWARE "/>
    <x v="19"/>
    <m/>
    <s v="VI"/>
    <s v="CONTRATURNO"/>
    <s v="MONTENEGRO, CLAUDIA"/>
    <s v="6°2°6216IFTLH6VI"/>
  </r>
  <r>
    <s v="6°2°"/>
    <x v="958"/>
    <n v="0"/>
    <s v="1JUV"/>
    <x v="0"/>
    <x v="2"/>
    <s v="6°2°6IINVOP"/>
    <s v="INVESTIGACION OPERATIVA"/>
    <x v="7"/>
    <m/>
    <s v="JU"/>
    <m/>
    <s v="MONTENEGRO"/>
    <s v="6°2°6IINVOPJU"/>
  </r>
  <r>
    <s v="6°2°"/>
    <x v="959"/>
    <n v="0"/>
    <s v="1LUMPATIO"/>
    <x v="1"/>
    <x v="0"/>
    <s v="6°2°6IEFIS"/>
    <s v="EDUCACIÓN FISICA"/>
    <x v="12"/>
    <m/>
    <s v="LU"/>
    <s v="CONTRATURNO"/>
    <s v="BURELA, MERCEDES "/>
    <s v="6°2°6IEFISLU"/>
  </r>
  <r>
    <s v="6°2°"/>
    <x v="960"/>
    <n v="0"/>
    <s v="1LUV"/>
    <x v="1"/>
    <x v="2"/>
    <s v="6°2°6IMATAP"/>
    <s v="MATEMATICA APLICADA"/>
    <x v="7"/>
    <m/>
    <s v="LU"/>
    <m/>
    <s v="GUADAGNO CLAUDIA"/>
    <s v="6°2°6IMATAPLU"/>
  </r>
  <r>
    <s v="6°2°"/>
    <x v="961"/>
    <n v="621"/>
    <s v="2VIM31"/>
    <x v="8"/>
    <x v="0"/>
    <s v="6°2°6216IFTLH6"/>
    <s v="LAB DE HARDWARE "/>
    <x v="19"/>
    <m/>
    <s v="VI"/>
    <s v="CONTRATURNO"/>
    <s v="MONTENEGRO, CLAUDIA"/>
    <s v="6°2°6216IFTLH6VI"/>
  </r>
  <r>
    <s v="6°2°"/>
    <x v="962"/>
    <n v="622"/>
    <s v="1MAM41"/>
    <x v="2"/>
    <x v="0"/>
    <s v="6°2°6226IFTLA6"/>
    <s v="LAB DE APLICACIONES "/>
    <x v="18"/>
    <m/>
    <s v="MA"/>
    <s v="CONTRATURNO"/>
    <s v="GOMEZ ANALIA "/>
    <s v="6°2°6226IFTLA6MA"/>
  </r>
  <r>
    <s v="6°2°"/>
    <x v="963"/>
    <n v="621"/>
    <s v="1MAT30"/>
    <x v="2"/>
    <x v="1"/>
    <s v="6°2°6226IFTLP6"/>
    <s v="LAB DE PROGRAM "/>
    <x v="22"/>
    <m/>
    <s v="MA"/>
    <s v="CONTRATURNO"/>
    <s v="WITT  GERARDO"/>
    <s v="6°2°6226IFTLP6MA"/>
  </r>
  <r>
    <s v="6°2°"/>
    <x v="964"/>
    <n v="0"/>
    <s v="1MAV"/>
    <x v="2"/>
    <x v="2"/>
    <s v="6°2°6IARTE"/>
    <s v="ARTE"/>
    <x v="7"/>
    <m/>
    <s v="MA"/>
    <m/>
    <s v="GOMEZ, PATRICIA INT 2026"/>
    <s v="6°2°6IARTEMA"/>
  </r>
  <r>
    <s v="6°2°"/>
    <x v="965"/>
    <n v="622"/>
    <s v="1MIM31"/>
    <x v="3"/>
    <x v="0"/>
    <s v="6°2°6226IFHLS6"/>
    <s v="LAB DE SIST OPERATIVOS "/>
    <x v="19"/>
    <m/>
    <s v="MI"/>
    <s v="CONTRATURNO"/>
    <s v="BARCENILLA, JAVIER "/>
    <s v="6°2°6226IFHLS6MI"/>
  </r>
  <r>
    <s v="6°2°"/>
    <x v="966"/>
    <n v="0"/>
    <s v="1MIV"/>
    <x v="3"/>
    <x v="2"/>
    <s v="6°2°6ISIDI6"/>
    <s v="SISTEMA DIGITAL"/>
    <x v="7"/>
    <m/>
    <s v="MI"/>
    <m/>
    <s v="MONTES IVAN"/>
    <s v="6°2°6ISIDI6MI"/>
  </r>
  <r>
    <s v="6°2°"/>
    <x v="967"/>
    <n v="0"/>
    <s v="1VIVaula 2"/>
    <x v="4"/>
    <x v="2"/>
    <s v="6°2°6ILITS"/>
    <s v="LITERATURA"/>
    <x v="10"/>
    <m/>
    <s v="VI"/>
    <m/>
    <s v="LOGUZZO, LORENA BEATRIZ"/>
    <s v="6°2°6ILITSVI"/>
  </r>
  <r>
    <s v="6°2°"/>
    <x v="968"/>
    <n v="621"/>
    <s v="2JUM40"/>
    <x v="5"/>
    <x v="0"/>
    <s v="6°2°6216IFHLS6"/>
    <s v="LAB DE SIST OPERATIVOS "/>
    <x v="20"/>
    <m/>
    <s v="JU"/>
    <s v="CONTRATURNO"/>
    <s v="FERREYRA JESICA"/>
    <s v="6°2°6216IFHLS6JU"/>
  </r>
  <r>
    <s v="6°2°"/>
    <x v="969"/>
    <n v="621"/>
    <s v="1maM40"/>
    <x v="2"/>
    <x v="0"/>
    <s v="6°2°6216IFTLH6"/>
    <s v="LAB DE HARDWARE "/>
    <x v="20"/>
    <m/>
    <s v="MA"/>
    <s v="CONTRATURNO"/>
    <s v="MONTENEGRO, CLAUDIA"/>
    <s v="6°2°6216IFTLH6ma"/>
  </r>
  <r>
    <s v="6°2°"/>
    <x v="970"/>
    <n v="0"/>
    <s v="2JUV"/>
    <x v="5"/>
    <x v="2"/>
    <s v="6°2°6IINVOP"/>
    <s v="INVESTIGACION OPERATIVA"/>
    <x v="7"/>
    <m/>
    <s v="JU"/>
    <m/>
    <s v="MONTENEGRO"/>
    <s v="6°2°6IINVOPJU"/>
  </r>
  <r>
    <s v="6°2°"/>
    <x v="971"/>
    <n v="0"/>
    <s v="2LUMPATIO"/>
    <x v="9"/>
    <x v="0"/>
    <s v="6°2°6IEFIS"/>
    <s v="EDUCACIÓN FISICA"/>
    <x v="12"/>
    <m/>
    <s v="LU"/>
    <s v="CONTRATURNO"/>
    <s v="BURELA, MERCEDES "/>
    <s v="6°2°6IEFISLU"/>
  </r>
  <r>
    <s v="6°2°"/>
    <x v="972"/>
    <n v="0"/>
    <s v="2LUV"/>
    <x v="9"/>
    <x v="2"/>
    <s v="6°2°6IMATAP"/>
    <s v="MATEMATICA APLICADA"/>
    <x v="7"/>
    <m/>
    <s v="LU"/>
    <m/>
    <s v="GUADAGNO CLAUDIA"/>
    <s v="6°2°6IMATAPLU"/>
  </r>
  <r>
    <s v="6°2°"/>
    <x v="973"/>
    <n v="621"/>
    <s v="2maM40"/>
    <x v="10"/>
    <x v="0"/>
    <s v="6°2°6216IFTLH6"/>
    <s v="LAB DE HARDWARE "/>
    <x v="20"/>
    <m/>
    <s v="MA"/>
    <s v="CONTRATURNO"/>
    <s v="MONTENEGRO, CLAUDIA"/>
    <s v="6°2°6216IFTLH6ma"/>
  </r>
  <r>
    <s v="6°2°"/>
    <x v="974"/>
    <n v="622"/>
    <s v="2MAM41"/>
    <x v="10"/>
    <x v="0"/>
    <s v="6°2°6226IFTLA6"/>
    <s v="LAB DE APLICACIONES "/>
    <x v="18"/>
    <m/>
    <s v="MA"/>
    <s v="CONTRATURNO"/>
    <s v="GOMEZ ANALIA "/>
    <s v="6°2°6226IFTLA6MA"/>
  </r>
  <r>
    <s v="6°2°"/>
    <x v="975"/>
    <n v="621"/>
    <s v="2MAT30"/>
    <x v="10"/>
    <x v="1"/>
    <s v="6°2°6226IFTLP6"/>
    <s v="LAB DE PROGRAM "/>
    <x v="22"/>
    <m/>
    <s v="MA"/>
    <s v="CONTRATURNO"/>
    <s v="WITT  GERARDO"/>
    <s v="6°2°6226IFTLP6MA"/>
  </r>
  <r>
    <s v="6°2°"/>
    <x v="976"/>
    <n v="0"/>
    <s v="2MAV"/>
    <x v="10"/>
    <x v="2"/>
    <s v="6°2°6IARTE"/>
    <s v="ARTE"/>
    <x v="7"/>
    <m/>
    <s v="MA"/>
    <m/>
    <s v="GOMEZ, PATRICIA INT 2026"/>
    <s v="6°2°6IARTEMA"/>
  </r>
  <r>
    <s v="6°2°"/>
    <x v="977"/>
    <n v="622"/>
    <s v="2MIM31"/>
    <x v="11"/>
    <x v="0"/>
    <s v="6°2°6226IFHLS6"/>
    <s v="LAB DE SIST OPERATIVOS "/>
    <x v="19"/>
    <m/>
    <s v="MI"/>
    <s v="CONTRATURNO"/>
    <s v="BARCENILLA, JAVIER "/>
    <s v="6°2°6226IFHLS6MI"/>
  </r>
  <r>
    <s v="6°2°"/>
    <x v="978"/>
    <n v="0"/>
    <s v="2MIV"/>
    <x v="11"/>
    <x v="2"/>
    <s v="6°2°6ISIDI6"/>
    <s v="SISTEMA DIGITAL"/>
    <x v="7"/>
    <m/>
    <s v="MI"/>
    <m/>
    <s v="MONTES IVAN"/>
    <s v="6°2°6ISIDI6MI"/>
  </r>
  <r>
    <s v="6°2°"/>
    <x v="979"/>
    <n v="0"/>
    <s v="2VIV"/>
    <x v="8"/>
    <x v="2"/>
    <s v="6°2°6ISEIN"/>
    <s v="SEGURIDAD INFORMATICA"/>
    <x v="7"/>
    <m/>
    <s v="VI"/>
    <m/>
    <s v="PALAVECINO"/>
    <s v="6°2°6ISEINVI"/>
  </r>
  <r>
    <s v="6°2°"/>
    <x v="980"/>
    <n v="621"/>
    <s v="3JUM40"/>
    <x v="12"/>
    <x v="0"/>
    <s v="6°2°6216IFHLS6"/>
    <s v="LAB DE SIST OPERATIVOS "/>
    <x v="20"/>
    <m/>
    <s v="JU"/>
    <s v="CONTRATURNO"/>
    <s v="FERREYRA JESICA"/>
    <s v="6°2°6216IFHLS6JU"/>
  </r>
  <r>
    <s v="6°2°"/>
    <x v="981"/>
    <n v="622"/>
    <s v="1JUM30"/>
    <x v="0"/>
    <x v="0"/>
    <s v="6°2°6226IFTLH6"/>
    <s v="LAB DE HARDWARE "/>
    <x v="22"/>
    <m/>
    <s v="JU"/>
    <s v="CONTRATURNO"/>
    <s v="MONTENEGRO"/>
    <s v="6°2°6226IFTLH6JU"/>
  </r>
  <r>
    <s v="6°2°"/>
    <x v="982"/>
    <n v="0"/>
    <s v="3JUV"/>
    <x v="12"/>
    <x v="2"/>
    <s v="6°2°6IINVOP"/>
    <s v="INVESTIGACION OPERATIVA"/>
    <x v="7"/>
    <m/>
    <s v="JU"/>
    <m/>
    <s v="MONTENEGRO"/>
    <s v="6°2°6IINVOPJU"/>
  </r>
  <r>
    <s v="6°2°"/>
    <x v="983"/>
    <n v="622"/>
    <s v="2JUM30"/>
    <x v="5"/>
    <x v="0"/>
    <s v="6°2°6226IFTLH6"/>
    <s v="LAB DE HARDWARE "/>
    <x v="22"/>
    <m/>
    <s v="JU"/>
    <s v="CONTRATURNO"/>
    <s v="MONTENEGRO"/>
    <s v="6°2°6226IFTLH6JU"/>
  </r>
  <r>
    <s v="6°2°"/>
    <x v="984"/>
    <n v="0"/>
    <s v="3LUV"/>
    <x v="13"/>
    <x v="2"/>
    <s v="6°2°6IDETRA"/>
    <s v="DERECHO DE TRABAJO"/>
    <x v="7"/>
    <m/>
    <s v="LU"/>
    <m/>
    <s v="PEREYRA LORENA   "/>
    <s v="6°2°6IDETRALU"/>
  </r>
  <r>
    <s v="6°2°"/>
    <x v="985"/>
    <n v="622"/>
    <s v="3MAM30"/>
    <x v="14"/>
    <x v="0"/>
    <s v="6°2°6216IFTLP6"/>
    <s v="LAB DE PROGRAM "/>
    <x v="22"/>
    <m/>
    <s v="MA"/>
    <s v="CONTRATURNO"/>
    <s v="WITT GERARDO"/>
    <s v="6°2°6216IFTLP6MA"/>
  </r>
  <r>
    <s v="6°2°"/>
    <x v="986"/>
    <n v="0"/>
    <s v="3MAV"/>
    <x v="14"/>
    <x v="2"/>
    <s v="6°2°6IINGS"/>
    <s v="INGLÉS"/>
    <x v="7"/>
    <m/>
    <s v="MA"/>
    <m/>
    <s v="MARTINS RUTH MARIA DEL ROS"/>
    <s v="6°2°6IINGSMA"/>
  </r>
  <r>
    <s v="6°2°"/>
    <x v="987"/>
    <n v="622"/>
    <s v="3MIM31"/>
    <x v="15"/>
    <x v="0"/>
    <s v="6°2°6226IFHLS6"/>
    <s v="LAB DE SIST OPERATIVOS "/>
    <x v="19"/>
    <m/>
    <s v="MI"/>
    <s v="CONTRATURNO"/>
    <s v="BARCENILLA, JAVIER "/>
    <s v="6°2°6226IFHLS6MI"/>
  </r>
  <r>
    <s v="6°2°"/>
    <x v="988"/>
    <n v="0"/>
    <s v="3MIV"/>
    <x v="15"/>
    <x v="2"/>
    <s v="6°2°6IFILO"/>
    <s v="FILOSOFIA"/>
    <x v="7"/>
    <m/>
    <s v="MI"/>
    <m/>
    <s v="ESCALANTE RUTH"/>
    <s v="6°2°6IFILOMI"/>
  </r>
  <r>
    <s v="6°2°"/>
    <x v="989"/>
    <n v="621"/>
    <s v="3VIM41"/>
    <x v="6"/>
    <x v="0"/>
    <s v="6°2°6216IFTLA6"/>
    <s v="LAB DE APLICACIONES "/>
    <x v="18"/>
    <m/>
    <s v="VI"/>
    <s v="CONTRATURNO"/>
    <s v="HERRERA STELLA"/>
    <s v="6°2°6216IFTLA6VI"/>
  </r>
  <r>
    <s v="6°2°"/>
    <x v="990"/>
    <n v="0"/>
    <s v="3VIV"/>
    <x v="6"/>
    <x v="2"/>
    <s v="6°2°6ISEIN"/>
    <s v="SEGURIDAD INFORMATICA"/>
    <x v="7"/>
    <m/>
    <s v="VI"/>
    <m/>
    <s v="PALAVECINO"/>
    <s v="6°2°6ISEINVI"/>
  </r>
  <r>
    <s v="6°2°"/>
    <x v="991"/>
    <n v="621"/>
    <s v="4JUM40"/>
    <x v="16"/>
    <x v="0"/>
    <s v="6°2°6216IFHLS6"/>
    <s v="LAB DE SIST OPERATIVOS "/>
    <x v="20"/>
    <m/>
    <s v="JU"/>
    <s v="CONTRATURNO"/>
    <s v="FERREYRA JESICA"/>
    <s v="6°2°6216IFHLS6JU"/>
  </r>
  <r>
    <s v="6°2°"/>
    <x v="992"/>
    <n v="622"/>
    <s v="3JUM30"/>
    <x v="12"/>
    <x v="0"/>
    <s v="6°2°6226IFTLH6"/>
    <s v="LAB DE HARDWARE "/>
    <x v="22"/>
    <m/>
    <s v="JU"/>
    <s v="CONTRATURNO"/>
    <s v="MONTENEGRO"/>
    <s v="6°2°6226IFTLH6JU"/>
  </r>
  <r>
    <s v="6°2°"/>
    <x v="993"/>
    <n v="0"/>
    <s v="4JUV"/>
    <x v="16"/>
    <x v="2"/>
    <s v="6°2°6ISIDI6"/>
    <s v="SISTEMA DIGITAL"/>
    <x v="7"/>
    <m/>
    <s v="JU"/>
    <m/>
    <s v="MONTES IVAN"/>
    <s v="6°2°6ISIDI6JU"/>
  </r>
  <r>
    <s v="6°2°"/>
    <x v="994"/>
    <n v="622"/>
    <s v="4JUM30"/>
    <x v="16"/>
    <x v="0"/>
    <s v="6°2°6226IFTLH6"/>
    <s v="LAB DE HARDWARE "/>
    <x v="22"/>
    <m/>
    <s v="JU"/>
    <s v="CONTRATURNO"/>
    <s v="MONTENEGRO"/>
    <s v="6°2°6226IFTLH6JU"/>
  </r>
  <r>
    <s v="6°2°"/>
    <x v="995"/>
    <n v="0"/>
    <s v="4LUV"/>
    <x v="17"/>
    <x v="2"/>
    <s v="6°2°6IDETRA"/>
    <s v="DERECHO DE TRABAJO"/>
    <x v="7"/>
    <m/>
    <s v="LU"/>
    <m/>
    <s v="PEREYRA LORENA   "/>
    <s v="6°2°6IDETRALU"/>
  </r>
  <r>
    <s v="6°2°"/>
    <x v="996"/>
    <n v="622"/>
    <s v="4MAM30"/>
    <x v="18"/>
    <x v="0"/>
    <s v="6°2°6216IFTLP6"/>
    <s v="LAB DE PROGRAM "/>
    <x v="22"/>
    <m/>
    <s v="MA"/>
    <s v="CONTRATURNO"/>
    <s v="WITT GERARDO"/>
    <s v="6°2°6216IFTLP6MA"/>
  </r>
  <r>
    <s v="6°2°"/>
    <x v="997"/>
    <n v="0"/>
    <s v="4MAV"/>
    <x v="18"/>
    <x v="2"/>
    <s v="6°2°6IINGS"/>
    <s v="INGLÉS"/>
    <x v="7"/>
    <m/>
    <s v="MA"/>
    <m/>
    <s v="MARTINS RUTH MARIA DEL ROS"/>
    <s v="6°2°6IINGSMA"/>
  </r>
  <r>
    <s v="6°2°"/>
    <x v="998"/>
    <n v="622"/>
    <s v="4MIM31"/>
    <x v="19"/>
    <x v="0"/>
    <s v="6°2°6226IFHLS6"/>
    <s v="LAB DE SIST OPERATIVOS "/>
    <x v="19"/>
    <m/>
    <s v="MI"/>
    <s v="CONTRATURNO"/>
    <s v="BARCENILLA, JAVIER "/>
    <s v="6°2°6226IFHLS6MI"/>
  </r>
  <r>
    <s v="6°2°"/>
    <x v="999"/>
    <n v="0"/>
    <s v="4MIV"/>
    <x v="19"/>
    <x v="2"/>
    <s v="6°2°6IFILO"/>
    <s v="FILOSOFIA"/>
    <x v="7"/>
    <m/>
    <s v="MI"/>
    <m/>
    <s v="ESCALANTE RUTH"/>
    <s v="6°2°6IFILOMI"/>
  </r>
  <r>
    <s v="6°2°"/>
    <x v="1000"/>
    <n v="621"/>
    <s v="4VIM41"/>
    <x v="7"/>
    <x v="0"/>
    <s v="6°2°6216IFTLA6"/>
    <s v="LAB DE APLICACIONES "/>
    <x v="18"/>
    <m/>
    <s v="VI"/>
    <s v="CONTRATURNO"/>
    <s v="HERRERA STELLA"/>
    <s v="6°2°6216IFTLA6VI"/>
  </r>
  <r>
    <s v="6°2°"/>
    <x v="1001"/>
    <n v="0"/>
    <s v="4VIV"/>
    <x v="7"/>
    <x v="2"/>
    <s v="6°2°6ISEIN"/>
    <s v="SEGURIDAD INFORMATICA"/>
    <x v="7"/>
    <m/>
    <s v="VI"/>
    <m/>
    <s v="PALAVECINO"/>
    <s v="6°2°6ISEINVI"/>
  </r>
  <r>
    <s v="6°2°"/>
    <x v="1002"/>
    <n v="0"/>
    <s v="prehoraviV"/>
    <x v="30"/>
    <x v="2"/>
    <s v="6°2°6ILITS"/>
    <s v="LITERATURA"/>
    <x v="7"/>
    <m/>
    <s v="VI"/>
    <m/>
    <s v="LOGUZZO, LORENA BEATRIZ"/>
    <s v="6°2°6ILITSvi"/>
  </r>
  <r>
    <s v="6°3°"/>
    <x v="1003"/>
    <n v="0"/>
    <s v="1JUMAULA 3"/>
    <x v="0"/>
    <x v="0"/>
    <s v="6°3°6ESIPRO"/>
    <s v="SISTEMA PRODUCTIVO"/>
    <x v="4"/>
    <m/>
    <s v="JU"/>
    <m/>
    <s v="IBARRA ALEJANDRO   "/>
    <s v="6°3°6ESIPROJU"/>
  </r>
  <r>
    <s v="6°3°"/>
    <x v="1004"/>
    <n v="631"/>
    <s v="1JUTROBOTICA"/>
    <x v="0"/>
    <x v="1"/>
    <s v="6°3°6316EFTMP6"/>
    <s v="MONTAJE DE PROYECTO ELECTRONICOS "/>
    <x v="11"/>
    <n v="40"/>
    <s v="JU"/>
    <s v="CONTRATURNO"/>
    <s v="GUTIERREZ NICOLAS"/>
    <s v="6°3°6316EFTMP6JU"/>
  </r>
  <r>
    <s v="6°3°"/>
    <x v="1005"/>
    <n v="632"/>
    <s v="1JUVSUPERPUESTO"/>
    <x v="0"/>
    <x v="2"/>
    <s v="6°3°6326EFTMP6"/>
    <s v="MONTAJE DE PROYECTO ELECTRONICOS "/>
    <x v="13"/>
    <m/>
    <s v="JU"/>
    <s v="CONTRATURNO"/>
    <s v="GUTIERREZ NICOLAS"/>
    <s v="6°3°6326EFTMP6JU"/>
  </r>
  <r>
    <s v="6°3°"/>
    <x v="1006"/>
    <n v="0"/>
    <s v="1luMROBOTICA"/>
    <x v="1"/>
    <x v="0"/>
    <s v="6°3°6EINSMA"/>
    <s v="INSTALACIONES Y MAQUINAS ELECTRICAS"/>
    <x v="11"/>
    <m/>
    <s v="LU"/>
    <m/>
    <s v="GUTIERREZ NICOLAS"/>
    <s v="6°3°6EINSMAlu"/>
  </r>
  <r>
    <s v="6°3°"/>
    <x v="1007"/>
    <n v="0"/>
    <s v="1MAMROBOTICA"/>
    <x v="2"/>
    <x v="0"/>
    <s v="6°3°6EINSMA"/>
    <s v="INSTALACIONES Y MAQUINAS ELECTRICAS"/>
    <x v="11"/>
    <m/>
    <s v="MA"/>
    <m/>
    <s v="GUTIERREZ NICOLAS"/>
    <s v="6°3°6EINSMAMA"/>
  </r>
  <r>
    <s v="6°3°"/>
    <x v="1008"/>
    <n v="631"/>
    <s v="1MAV52"/>
    <x v="2"/>
    <x v="2"/>
    <s v="6°3°6316EFTED6"/>
    <s v="APLIC ELECTR DIGITAL "/>
    <x v="24"/>
    <m/>
    <s v="MA"/>
    <s v="CONTRATURNO"/>
    <s v="FISTER (Serv.Prov) "/>
    <s v="6°3°6316EFTED6MA"/>
  </r>
  <r>
    <s v="6°3°"/>
    <x v="1009"/>
    <n v="632"/>
    <s v="1MAV44"/>
    <x v="2"/>
    <x v="2"/>
    <s v="6°3°6326EFTED6"/>
    <s v="APLIC ELECTR DIGITAL "/>
    <x v="23"/>
    <m/>
    <s v="MA"/>
    <s v="CONTRATURNO"/>
    <s v="GONANO, GERMAN S"/>
    <s v="6°3°6326EFTED6MA"/>
  </r>
  <r>
    <s v="6°3°"/>
    <x v="1010"/>
    <n v="0"/>
    <s v="1MIMAULA 3"/>
    <x v="3"/>
    <x v="0"/>
    <s v="6°3°6EINGS"/>
    <s v="INGLÉS"/>
    <x v="4"/>
    <m/>
    <s v="MI"/>
    <m/>
    <s v="RAMIREZ GISELE"/>
    <s v="6°3°6EINGSMI"/>
  </r>
  <r>
    <s v="6°3°"/>
    <x v="1011"/>
    <n v="631"/>
    <s v="1MIV30"/>
    <x v="3"/>
    <x v="2"/>
    <s v="6°3°6316ELENE6"/>
    <s v="LENGUAJES ELECTRONICOS"/>
    <x v="22"/>
    <m/>
    <s v="MI"/>
    <s v="CONTRATURNO"/>
    <s v="BARONI, ROBERTO "/>
    <s v="6°3°6316ELENE6MI"/>
  </r>
  <r>
    <s v="6°3°"/>
    <x v="1012"/>
    <n v="632"/>
    <s v="1MIVHARDWARE"/>
    <x v="3"/>
    <x v="2"/>
    <s v="6°3°6326ELENE6"/>
    <s v="LENGUAJES ELECTRONICOS"/>
    <x v="21"/>
    <m/>
    <s v="MI"/>
    <s v="CONTRATURNO"/>
    <s v="HERRERA, STELLA"/>
    <s v="6°3°6326ELENE6MI"/>
  </r>
  <r>
    <s v="6°3°"/>
    <x v="1013"/>
    <n v="0"/>
    <s v="1VIMAULA 3"/>
    <x v="4"/>
    <x v="0"/>
    <s v="6°3°6EDETRA"/>
    <s v="DERECHO DE TRABAJO"/>
    <x v="4"/>
    <m/>
    <s v="VI"/>
    <m/>
    <s v="IRIGOYTIA PECCORELLI JULIE"/>
    <s v="6°3°6EDETRAVI"/>
  </r>
  <r>
    <s v="6°3°"/>
    <x v="1014"/>
    <n v="631"/>
    <s v="1VITSUPERPUESTO"/>
    <x v="4"/>
    <x v="1"/>
    <s v="6°3°6316EFTAE6"/>
    <s v="APLIC ELECT ANALOG"/>
    <x v="13"/>
    <m/>
    <s v="VI"/>
    <s v="CONTRATURNO"/>
    <s v="GUTIERREZ NICOLAS"/>
    <s v="6°3°6316EFTAE6VI"/>
  </r>
  <r>
    <s v="6°3°"/>
    <x v="1015"/>
    <n v="632"/>
    <s v="1VITrobotica"/>
    <x v="4"/>
    <x v="1"/>
    <s v="6°3°6326EFTAE6"/>
    <s v="APLIC ELECT ANALOG"/>
    <x v="11"/>
    <m/>
    <s v="VI"/>
    <s v="CONTRATURNO"/>
    <s v="LOPEZ, JONATHAN"/>
    <s v="6°3°6326EFTAE6VI"/>
  </r>
  <r>
    <s v="6°3°"/>
    <x v="1016"/>
    <n v="0"/>
    <s v="2JUMAULA 3"/>
    <x v="5"/>
    <x v="0"/>
    <s v="6°3°6ESIPRO"/>
    <s v="SISTEMA PRODUCTIVO"/>
    <x v="4"/>
    <m/>
    <s v="JU"/>
    <m/>
    <s v="IBARRA ALEJANDRO   "/>
    <s v="6°3°6ESIPROJU"/>
  </r>
  <r>
    <s v="6°3°"/>
    <x v="1017"/>
    <n v="631"/>
    <s v="2JUTROBOTICA"/>
    <x v="5"/>
    <x v="1"/>
    <s v="6°3°6316EFTMP6"/>
    <s v="MONTAJE DE PROYECTO ELECTRONICOS "/>
    <x v="11"/>
    <m/>
    <s v="JU"/>
    <s v="CONTRATURNO"/>
    <s v="GUTIERREZ NICOLAS"/>
    <s v="6°3°6316EFTMP6JU"/>
  </r>
  <r>
    <s v="6°3°"/>
    <x v="1018"/>
    <n v="632"/>
    <s v="2JUVSUPERPUESTO"/>
    <x v="5"/>
    <x v="2"/>
    <s v="6°3°6326EFTMP6"/>
    <s v="MONTAJE DE PROYECTO ELECTRONICOS "/>
    <x v="13"/>
    <m/>
    <s v="JU"/>
    <s v="CONTRATURNO"/>
    <s v="GUTIERREZ NICOLAS"/>
    <s v="6°3°6326EFTMP6JU"/>
  </r>
  <r>
    <s v="6°3°"/>
    <x v="1019"/>
    <n v="0"/>
    <s v="2LUMROBOTICA"/>
    <x v="9"/>
    <x v="0"/>
    <s v="6°3°6EINSMA"/>
    <s v="INSTALACIONES Y MAQUINAS ELECTRICAS"/>
    <x v="11"/>
    <m/>
    <s v="LU"/>
    <m/>
    <s v="GUTIERREZ NICOLAS"/>
    <s v="6°3°6EINSMALU"/>
  </r>
  <r>
    <s v="6°3°"/>
    <x v="1020"/>
    <n v="0"/>
    <s v="2MAMROBOTICA"/>
    <x v="10"/>
    <x v="0"/>
    <s v="6°3°6EINSMA"/>
    <s v="INSTALACIONES Y MAQUINAS ELECTRICAS"/>
    <x v="11"/>
    <m/>
    <s v="MA"/>
    <m/>
    <s v="GUTIERREZ NICOLAS"/>
    <s v="6°3°6EINSMAMA"/>
  </r>
  <r>
    <s v="6°3°"/>
    <x v="1021"/>
    <n v="631"/>
    <s v="2MAV52"/>
    <x v="10"/>
    <x v="2"/>
    <s v="6°3°6316EFTED6"/>
    <s v="APLIC ELECTR DIGITAL "/>
    <x v="24"/>
    <m/>
    <s v="MA"/>
    <s v="CONTRATURNO"/>
    <s v="FISTER (Serv.Prov) "/>
    <s v="6°3°6316EFTED6MA"/>
  </r>
  <r>
    <s v="6°3°"/>
    <x v="1022"/>
    <n v="632"/>
    <s v="2MAV44"/>
    <x v="10"/>
    <x v="2"/>
    <s v="6°3°6326EFTED6"/>
    <s v="APLIC ELECTR DIGITAL "/>
    <x v="23"/>
    <m/>
    <s v="MA"/>
    <s v="CONTRATURNO"/>
    <s v="GONANO, GERMAN S"/>
    <s v="6°3°6326EFTED6MA"/>
  </r>
  <r>
    <s v="6°3°"/>
    <x v="1023"/>
    <n v="0"/>
    <s v="2MIMAULA 3"/>
    <x v="11"/>
    <x v="0"/>
    <s v="6°3°6EINGS"/>
    <s v="INGLÉS"/>
    <x v="4"/>
    <m/>
    <s v="MI"/>
    <m/>
    <s v="RAMIREZ GISELE"/>
    <s v="6°3°6EINGSMI"/>
  </r>
  <r>
    <s v="6°3°"/>
    <x v="1024"/>
    <n v="631"/>
    <s v="2MIV30"/>
    <x v="11"/>
    <x v="2"/>
    <s v="6°3°6316ELENE6"/>
    <s v="LENGUAJES ELECTRONICOS"/>
    <x v="22"/>
    <m/>
    <s v="MI"/>
    <s v="CONTRATURNO"/>
    <s v="BARONI, ROBERTO "/>
    <s v="6°3°6316ELENE6MI"/>
  </r>
  <r>
    <s v="6°3°"/>
    <x v="1025"/>
    <n v="632"/>
    <s v="2MIVHARDWARE"/>
    <x v="11"/>
    <x v="2"/>
    <s v="6°3°6326ELENE6"/>
    <s v="LENGUAJES ELECTRONICOS"/>
    <x v="21"/>
    <m/>
    <s v="MI"/>
    <s v="CONTRATURNO"/>
    <s v="HERRERA, STELLA"/>
    <s v="6°3°6326ELENE6MI"/>
  </r>
  <r>
    <s v="6°3°"/>
    <x v="1026"/>
    <n v="0"/>
    <s v="2VIMAULA 3"/>
    <x v="8"/>
    <x v="0"/>
    <s v="6°3°6EDETRA"/>
    <s v="DERECHO DE TRABAJO"/>
    <x v="4"/>
    <m/>
    <s v="VI"/>
    <m/>
    <s v="IRIGOYTIA PECCORELLI JULIE"/>
    <s v="6°3°6EDETRAVI"/>
  </r>
  <r>
    <s v="6°3°"/>
    <x v="1027"/>
    <n v="631"/>
    <s v="2VITSUPERPUESTO"/>
    <x v="8"/>
    <x v="1"/>
    <s v="6°3°6316EFTAE6"/>
    <s v="APLIC ELECT ANALOG"/>
    <x v="13"/>
    <m/>
    <s v="VI"/>
    <s v="CONTRATURNO"/>
    <s v="GUTIERREZ NICOLAS"/>
    <s v="6°3°6316EFTAE6VI"/>
  </r>
  <r>
    <s v="6°3°"/>
    <x v="1028"/>
    <n v="632"/>
    <s v="2VITrobotica"/>
    <x v="8"/>
    <x v="1"/>
    <s v="6°3°6326EFTAE6"/>
    <s v="APLIC ELECT ANALOG"/>
    <x v="11"/>
    <m/>
    <s v="VI"/>
    <s v="CONTRATURNO"/>
    <s v="LOPEZ, JONATHAN"/>
    <s v="6°3°6326EFTAE6VI"/>
  </r>
  <r>
    <s v="6°3°"/>
    <x v="1029"/>
    <n v="0"/>
    <s v="3JUMAULA 3"/>
    <x v="12"/>
    <x v="0"/>
    <s v="6°3°6EARTE"/>
    <s v="ARTE"/>
    <x v="4"/>
    <m/>
    <s v="JU"/>
    <m/>
    <s v="MANSILLA SANTIAGO "/>
    <s v="6°3°6EARTEJU"/>
  </r>
  <r>
    <s v="6°3°"/>
    <x v="1030"/>
    <n v="631"/>
    <s v="3JUTROBOTICA"/>
    <x v="12"/>
    <x v="1"/>
    <s v="6°3°6316EFTMP6"/>
    <s v="MONTAJE DE PROYECTO ELECTRONICOS "/>
    <x v="11"/>
    <m/>
    <s v="JU"/>
    <s v="CONTRATURNO"/>
    <s v="GUTIERREZ NICOLAS"/>
    <s v="6°3°6316EFTMP6JU"/>
  </r>
  <r>
    <s v="6°3°"/>
    <x v="1031"/>
    <n v="632"/>
    <s v="3JUVSUPERPUESTO"/>
    <x v="12"/>
    <x v="2"/>
    <s v="6°3°6326EFTMP6"/>
    <s v="MONTAJE DE PROYECTO ELECTRONICOS "/>
    <x v="13"/>
    <m/>
    <s v="JU"/>
    <s v="CONTRATURNO"/>
    <s v="GUTIERREZ NICOLAS"/>
    <s v="6°3°6326EFTMP6JU"/>
  </r>
  <r>
    <s v="6°3°"/>
    <x v="1032"/>
    <n v="0"/>
    <s v="3LUMAULA 3"/>
    <x v="13"/>
    <x v="0"/>
    <s v="6°3°6ELITS"/>
    <s v="LITERATURA"/>
    <x v="4"/>
    <m/>
    <s v="LU"/>
    <m/>
    <s v="ARANDA NELIDA 27-"/>
    <s v="6°3°6ELITSLU"/>
  </r>
  <r>
    <s v="6°3°"/>
    <x v="1033"/>
    <n v="0"/>
    <s v="3MAM33"/>
    <x v="14"/>
    <x v="0"/>
    <s v="6°3°6ESISCO"/>
    <s v="SISTEMA DE COMUNICACIONES"/>
    <x v="14"/>
    <m/>
    <s v="MA"/>
    <m/>
    <s v="PARTOR SOLORZANO"/>
    <s v="6°3°6ESISCOMA"/>
  </r>
  <r>
    <s v="6°3°"/>
    <x v="1034"/>
    <n v="631"/>
    <s v="3MAV52"/>
    <x v="14"/>
    <x v="2"/>
    <s v="6°3°6316EFTED6"/>
    <s v="APLIC ELECTR DIGITAL "/>
    <x v="24"/>
    <m/>
    <s v="MA"/>
    <s v="CONTRATURNO"/>
    <s v="FISTER (Serv.Prov) "/>
    <s v="6°3°6316EFTED6MA"/>
  </r>
  <r>
    <s v="6°3°"/>
    <x v="1035"/>
    <n v="632"/>
    <s v="3MAV44"/>
    <x v="14"/>
    <x v="2"/>
    <s v="6°3°6326EFTED6"/>
    <s v="APLIC ELECTR DIGITAL "/>
    <x v="23"/>
    <m/>
    <s v="MA"/>
    <s v="CONTRATURNO"/>
    <s v="GONANO, GERMAN S"/>
    <s v="6°3°6326EFTED6MA"/>
  </r>
  <r>
    <s v="6°3°"/>
    <x v="1036"/>
    <n v="0"/>
    <s v="3miMAULA 3"/>
    <x v="15"/>
    <x v="0"/>
    <s v="6°3°6EFILO"/>
    <s v="FILOSOFIA"/>
    <x v="4"/>
    <m/>
    <s v="MI"/>
    <m/>
    <s v="LETIERI, MANUEL"/>
    <s v="6°3°6EFILOmi"/>
  </r>
  <r>
    <s v="6°3°"/>
    <x v="1037"/>
    <n v="0"/>
    <s v="3MITPATIO2"/>
    <x v="15"/>
    <x v="1"/>
    <s v="6°3°6EEFIS"/>
    <s v="EDUCACIÓN FISICA"/>
    <x v="3"/>
    <m/>
    <s v="MI"/>
    <s v="CONTRATURNO"/>
    <s v="LUDUEÑA NELSON "/>
    <s v="6°3°6EEFISMI"/>
  </r>
  <r>
    <s v="6°3°"/>
    <x v="1038"/>
    <n v="0"/>
    <s v="3VIMAULA 3"/>
    <x v="6"/>
    <x v="0"/>
    <s v="6°3°6EMATAP"/>
    <s v="MATEMATICA APLICADA"/>
    <x v="4"/>
    <m/>
    <s v="VI"/>
    <m/>
    <s v="GARCIA CLAUDIA"/>
    <s v="6°3°6EMATAPVI"/>
  </r>
  <r>
    <s v="6°3°"/>
    <x v="1039"/>
    <n v="631"/>
    <s v="3VITSUPERPUESTO"/>
    <x v="6"/>
    <x v="1"/>
    <s v="6°3°6316EFTAE6"/>
    <s v="APLIC ELECT ANALOG"/>
    <x v="13"/>
    <m/>
    <s v="VI"/>
    <s v="CONTRATURNO"/>
    <s v="GUTIERREZ NICOLAS"/>
    <s v="6°3°6316EFTAE6VI"/>
  </r>
  <r>
    <s v="6°3°"/>
    <x v="1040"/>
    <n v="632"/>
    <s v="3VITrobotica"/>
    <x v="6"/>
    <x v="1"/>
    <s v="6°3°6326EFTAE6"/>
    <s v="APLIC ELECT ANALOG"/>
    <x v="11"/>
    <m/>
    <s v="VI"/>
    <s v="CONTRATURNO"/>
    <s v="LOPEZ, JONATHAN"/>
    <s v="6°3°6326EFTAE6VI"/>
  </r>
  <r>
    <s v="6°3°"/>
    <x v="1041"/>
    <n v="0"/>
    <s v="4JUMAULA 3"/>
    <x v="16"/>
    <x v="0"/>
    <s v="6°3°6EARTE"/>
    <s v="ARTE"/>
    <x v="4"/>
    <m/>
    <s v="JU"/>
    <m/>
    <s v="MANSILLA SANTIAGO "/>
    <s v="6°3°6EARTEJU"/>
  </r>
  <r>
    <s v="6°3°"/>
    <x v="1042"/>
    <n v="631"/>
    <s v="4JUTROBOTICA"/>
    <x v="16"/>
    <x v="1"/>
    <s v="6°3°6316EFTMP6"/>
    <s v="MONTAJE DE PROYECTO ELECTRONICOS "/>
    <x v="11"/>
    <m/>
    <s v="JU"/>
    <s v="CONTRATURNO"/>
    <s v="GUTIERREZ NICOLAS"/>
    <s v="6°3°6316EFTMP6JU"/>
  </r>
  <r>
    <s v="6°3°"/>
    <x v="1043"/>
    <n v="632"/>
    <s v="4JUVSUPERPUESTO"/>
    <x v="16"/>
    <x v="2"/>
    <s v="6°3°6326EFTMP6"/>
    <s v="MONTAJE DE PROYECTO ELECTRONICOS "/>
    <x v="13"/>
    <m/>
    <s v="JU"/>
    <s v="CONTRATURNO"/>
    <s v="GUTIERREZ NICOLAS"/>
    <s v="6°3°6326EFTMP6JU"/>
  </r>
  <r>
    <s v="6°3°"/>
    <x v="1044"/>
    <n v="0"/>
    <s v="4LUMAULA 3"/>
    <x v="17"/>
    <x v="0"/>
    <s v="6°3°6ELITS"/>
    <s v="LITERATURA"/>
    <x v="4"/>
    <m/>
    <s v="LU"/>
    <m/>
    <s v="ARANDA NELIDA 27-"/>
    <s v="6°3°6ELITSLU"/>
  </r>
  <r>
    <s v="6°3°"/>
    <x v="1045"/>
    <n v="0"/>
    <s v="4MAM33"/>
    <x v="18"/>
    <x v="0"/>
    <s v="6°3°6ESISCO"/>
    <s v="SISTEMA DE COMUNICACIONES"/>
    <x v="14"/>
    <m/>
    <s v="MA"/>
    <m/>
    <s v="PARTOR SOLORZANO"/>
    <s v="6°3°6ESISCOMA"/>
  </r>
  <r>
    <s v="6°3°"/>
    <x v="1046"/>
    <n v="631"/>
    <s v="4MAV52"/>
    <x v="18"/>
    <x v="2"/>
    <s v="6°3°6316EFTED6"/>
    <s v="APLIC ELECTR DIGITAL "/>
    <x v="24"/>
    <m/>
    <s v="MA"/>
    <s v="CONTRATURNO"/>
    <s v="FISTER (Serv.Prov) "/>
    <s v="6°3°6316EFTED6MA"/>
  </r>
  <r>
    <s v="6°3°"/>
    <x v="1047"/>
    <n v="632"/>
    <s v="4MAV44"/>
    <x v="18"/>
    <x v="2"/>
    <s v="6°3°6326EFTED6"/>
    <s v="APLIC ELECTR DIGITAL "/>
    <x v="23"/>
    <m/>
    <s v="MA"/>
    <s v="CONTRATURNO"/>
    <s v="GONANO, GERMAN S"/>
    <s v="6°3°6326EFTED6MA"/>
  </r>
  <r>
    <s v="6°3°"/>
    <x v="1048"/>
    <n v="0"/>
    <s v="4miMAULA 3"/>
    <x v="19"/>
    <x v="0"/>
    <s v="6°3°6EFILO"/>
    <s v="FILOSOFIA"/>
    <x v="4"/>
    <m/>
    <s v="MI"/>
    <m/>
    <s v="LETIERI, MANUEL"/>
    <s v="6°3°6EFILOmi"/>
  </r>
  <r>
    <s v="6°3°"/>
    <x v="1049"/>
    <n v="0"/>
    <s v="4MITPATIO2"/>
    <x v="19"/>
    <x v="1"/>
    <s v="6°3°6EEFIS"/>
    <s v="EDUCACIÓN FISICA"/>
    <x v="3"/>
    <m/>
    <s v="MI"/>
    <s v="CONTRATURNO"/>
    <s v="LUDUEÑA NELSON "/>
    <s v="6°3°6EEFISMI"/>
  </r>
  <r>
    <s v="6°3°"/>
    <x v="1050"/>
    <n v="0"/>
    <s v="4VIMAULA 3"/>
    <x v="7"/>
    <x v="0"/>
    <s v="6°3°6EMATAP"/>
    <s v="MATEMATICA APLICADA"/>
    <x v="4"/>
    <m/>
    <s v="VI"/>
    <m/>
    <s v="GARCIA CLAUDIA"/>
    <s v="6°3°6EMATAPVI"/>
  </r>
  <r>
    <s v="6°3°"/>
    <x v="1051"/>
    <n v="631"/>
    <s v="4VITSUPERPUESTO"/>
    <x v="7"/>
    <x v="1"/>
    <s v="6°3°6316EFTAE6"/>
    <s v="APLIC ELECT ANALOG"/>
    <x v="13"/>
    <m/>
    <s v="VI"/>
    <s v="CONTRATURNO"/>
    <s v="GUTIERREZ NICOLAS"/>
    <s v="6°3°6316EFTAE6VI"/>
  </r>
  <r>
    <s v="6°3°"/>
    <x v="1052"/>
    <n v="632"/>
    <s v="4VITrobotica"/>
    <x v="7"/>
    <x v="1"/>
    <s v="6°3°6326EFTAE6"/>
    <s v="APLIC ELECT ANALOG"/>
    <x v="11"/>
    <m/>
    <s v="VI"/>
    <s v="CONTRATURNO"/>
    <s v="LOPEZ, JONATHAN"/>
    <s v="6°3°6326EFTAE6VI"/>
  </r>
  <r>
    <s v="6°3°"/>
    <x v="1053"/>
    <n v="0"/>
    <s v="5MAM33"/>
    <x v="28"/>
    <x v="0"/>
    <s v="6°3°6ESISCO"/>
    <s v="SISTEMA DE COMUNICACIONES"/>
    <x v="14"/>
    <m/>
    <s v="MA"/>
    <m/>
    <s v="PARTOR SOLORZANO"/>
    <s v="6°3°6ESISCOMA"/>
  </r>
  <r>
    <s v="6°4°"/>
    <x v="1054"/>
    <n v="0"/>
    <s v="1JUT"/>
    <x v="0"/>
    <x v="1"/>
    <s v="6°4°6EINGS"/>
    <s v="INGLÉS"/>
    <x v="7"/>
    <m/>
    <s v="JU"/>
    <m/>
    <s v="ARCE KARINA "/>
    <s v="6°4°6EINGSJU"/>
  </r>
  <r>
    <s v="6°4°"/>
    <x v="1055"/>
    <n v="641"/>
    <s v="1JUV45"/>
    <x v="0"/>
    <x v="2"/>
    <s v="6°4°6416EFTAE6"/>
    <s v="APLIC ELECT ANALOG"/>
    <x v="8"/>
    <m/>
    <s v="JU"/>
    <s v="CONTRATURNO"/>
    <s v="MARTINEZ, SILVIO "/>
    <s v="6°4°6416EFTAE6JU"/>
  </r>
  <r>
    <s v="6°4°"/>
    <x v="1056"/>
    <n v="642"/>
    <s v="1juVHERRERIA"/>
    <x v="0"/>
    <x v="2"/>
    <s v="6°4°6426EFTAE6"/>
    <s v="APLIC ELECT ANALOG"/>
    <x v="6"/>
    <m/>
    <s v="JU"/>
    <s v="CONTRATURNO"/>
    <s v="BULACIO ARIEL"/>
    <s v="6°4°6426EFTAE6ju"/>
  </r>
  <r>
    <s v="6°4°"/>
    <x v="1057"/>
    <n v="641"/>
    <s v="1LUM44"/>
    <x v="1"/>
    <x v="0"/>
    <s v="6°4°6416EFTMP6"/>
    <s v="MONTAJE DE PROYECTO ELECTRONICOS "/>
    <x v="23"/>
    <m/>
    <s v="LU"/>
    <s v="CONTRATURNO"/>
    <s v="SAUCEDO GUSTAVO"/>
    <s v="6°4°6416EFTMP6LU"/>
  </r>
  <r>
    <s v="6°4°"/>
    <x v="1058"/>
    <n v="0"/>
    <s v="1LUT"/>
    <x v="1"/>
    <x v="1"/>
    <s v="6°4°6EARTE"/>
    <s v="ARTE"/>
    <x v="7"/>
    <m/>
    <s v="LU"/>
    <m/>
    <s v="FERNANDEZ MAXIMILIANO"/>
    <s v="6°4°6EARTELU"/>
  </r>
  <r>
    <s v="6°4°"/>
    <x v="1059"/>
    <n v="0"/>
    <s v="1LUV33"/>
    <x v="1"/>
    <x v="2"/>
    <s v="6°4°6ESISCO"/>
    <s v="SISTEMA DE COMUNICACIONES"/>
    <x v="14"/>
    <m/>
    <s v="LU"/>
    <s v="CONTRATURNO"/>
    <s v="DELGADO ARIEL"/>
    <s v="6°4°6ESISCOLU"/>
  </r>
  <r>
    <s v="6°4°"/>
    <x v="1060"/>
    <n v="642"/>
    <s v="1MAMHARDWARE"/>
    <x v="2"/>
    <x v="0"/>
    <s v="6°4°6426EFTED6"/>
    <s v="APLIC ELECTR DIGITAL "/>
    <x v="21"/>
    <m/>
    <s v="MA"/>
    <s v="CONTRATURNO"/>
    <s v="BARONI ROBERTO ALEJANDRO"/>
    <s v="6°4°6426EFTED6MA"/>
  </r>
  <r>
    <s v="6°4°"/>
    <x v="1061"/>
    <n v="0"/>
    <s v="1MAT"/>
    <x v="2"/>
    <x v="1"/>
    <s v="6°4°6EINSMA"/>
    <s v="INSTALACIONES Y MAQUINAS ELECTRICAS"/>
    <x v="7"/>
    <m/>
    <s v="MA"/>
    <m/>
    <s v="SAUCEDO GUSTAVO "/>
    <s v="6°4°6EINSMAMA"/>
  </r>
  <r>
    <s v="6°4°"/>
    <x v="1062"/>
    <n v="0"/>
    <s v="1MIT"/>
    <x v="3"/>
    <x v="1"/>
    <s v="6°4°6EDETRA"/>
    <s v="DERECHO DE TRABAJO"/>
    <x v="7"/>
    <m/>
    <s v="MI"/>
    <m/>
    <s v="GORDILLO NORA "/>
    <s v="6°4°6EDETRAMI"/>
  </r>
  <r>
    <s v="6°4°"/>
    <x v="1063"/>
    <n v="642"/>
    <s v="1VIM44"/>
    <x v="4"/>
    <x v="0"/>
    <s v="6°4°6426EFTMP6"/>
    <s v="MONTAJE DE PROYECTO ELECTRONICOS "/>
    <x v="23"/>
    <m/>
    <s v="VI"/>
    <s v="CONTRATURNO"/>
    <s v="SAUCEDO GUSTAVO"/>
    <s v="6°4°6426EFTMP6VI"/>
  </r>
  <r>
    <s v="6°4°"/>
    <x v="1064"/>
    <n v="0"/>
    <s v="3JUT"/>
    <x v="12"/>
    <x v="1"/>
    <s v="6°4°6EFILO"/>
    <s v="FILOSOFIA"/>
    <x v="7"/>
    <m/>
    <s v="JU"/>
    <m/>
    <s v="LETIERI, MANUEL"/>
    <s v="6°4°6EFILOJU"/>
  </r>
  <r>
    <s v="6°4°"/>
    <x v="1065"/>
    <n v="641"/>
    <s v="1VIVrobotica"/>
    <x v="4"/>
    <x v="2"/>
    <s v="6°4°6416EFTED6"/>
    <s v="APLIC ELECTR DIGITAL "/>
    <x v="11"/>
    <m/>
    <s v="VI"/>
    <s v="CONTRATURNO"/>
    <s v="GAUNA FEDERICO"/>
    <s v="6°4°6416EFTED6VI"/>
  </r>
  <r>
    <s v="6°4°"/>
    <x v="1066"/>
    <n v="642"/>
    <s v="3miV30"/>
    <x v="15"/>
    <x v="2"/>
    <s v="6°4°6426ELENE6"/>
    <s v="LENGUAJES ELECTRONICOS"/>
    <x v="22"/>
    <m/>
    <s v="MI"/>
    <s v="CONTRATURNO"/>
    <s v="GONANO GERMAN"/>
    <s v="6°4°6426ELENE6mi"/>
  </r>
  <r>
    <s v="6°4°"/>
    <x v="1067"/>
    <n v="0"/>
    <s v="2JUT"/>
    <x v="5"/>
    <x v="1"/>
    <s v="6°4°6EINGS"/>
    <s v="INGLÉS"/>
    <x v="7"/>
    <m/>
    <s v="JU"/>
    <m/>
    <s v="ARCE KARINA "/>
    <s v="6°4°6EINGSJU"/>
  </r>
  <r>
    <s v="6°4°"/>
    <x v="1068"/>
    <n v="641"/>
    <s v="2JUV45"/>
    <x v="5"/>
    <x v="2"/>
    <s v="6°4°6416EFTAE6"/>
    <s v="APLIC ELECT ANALOG"/>
    <x v="8"/>
    <m/>
    <s v="JU"/>
    <s v="CONTRATURNO"/>
    <s v="MARTINEZ, SILVIO "/>
    <s v="6°4°6416EFTAE6JU"/>
  </r>
  <r>
    <s v="6°4°"/>
    <x v="1069"/>
    <n v="642"/>
    <s v="2juVHERRERIA"/>
    <x v="5"/>
    <x v="2"/>
    <s v="6°4°6426EFTAE6"/>
    <s v="APLIC ELECT ANALOG"/>
    <x v="6"/>
    <m/>
    <s v="JU"/>
    <s v="CONTRATURNO"/>
    <s v="BULACIO ARIEL"/>
    <s v="6°4°6426EFTAE6ju"/>
  </r>
  <r>
    <s v="6°4°"/>
    <x v="1070"/>
    <n v="641"/>
    <s v="2LUM44"/>
    <x v="9"/>
    <x v="0"/>
    <s v="6°4°6416EFTMP6"/>
    <s v="MONTAJE DE PROYECTO ELECTRONICOS "/>
    <x v="23"/>
    <m/>
    <s v="LU"/>
    <s v="CONTRATURNO"/>
    <s v="SAUCEDO GUSTAVO"/>
    <s v="6°4°6416EFTMP6LU"/>
  </r>
  <r>
    <s v="6°4°"/>
    <x v="1071"/>
    <n v="0"/>
    <s v="2LUT"/>
    <x v="9"/>
    <x v="1"/>
    <s v="6°4°6EARTE"/>
    <s v="ARTE"/>
    <x v="7"/>
    <m/>
    <s v="LU"/>
    <m/>
    <s v="FERNANDEZ MAXIMILIANO"/>
    <s v="6°4°6EARTELU"/>
  </r>
  <r>
    <s v="6°4°"/>
    <x v="1072"/>
    <n v="0"/>
    <s v="2LUV33"/>
    <x v="9"/>
    <x v="2"/>
    <s v="6°4°6ESISCO"/>
    <s v="SISTEMA DE COMUNICACIONES"/>
    <x v="14"/>
    <m/>
    <s v="LU"/>
    <s v="CONTRATURNO"/>
    <s v="DELGADO ARIEL"/>
    <s v="6°4°6ESISCOLU"/>
  </r>
  <r>
    <s v="6°4°"/>
    <x v="1073"/>
    <n v="642"/>
    <s v="2MAMHARDWARE"/>
    <x v="10"/>
    <x v="0"/>
    <s v="6°4°6426EFTED6"/>
    <s v="APLIC ELECTR DIGITAL "/>
    <x v="21"/>
    <m/>
    <s v="MA"/>
    <s v="CONTRATURNO"/>
    <s v="BARONI ROBERTO ALEJANDRO"/>
    <s v="6°4°6426EFTED6MA"/>
  </r>
  <r>
    <s v="6°4°"/>
    <x v="1074"/>
    <n v="0"/>
    <s v="2MAT"/>
    <x v="10"/>
    <x v="1"/>
    <s v="6°4°6EINSMA"/>
    <s v="INSTALACIONES Y MAQUINAS ELECTRICAS"/>
    <x v="7"/>
    <m/>
    <s v="MA"/>
    <m/>
    <s v="SAUCEDO GUSTAVO "/>
    <s v="6°4°6EINSMAMA"/>
  </r>
  <r>
    <s v="6°4°"/>
    <x v="1075"/>
    <n v="0"/>
    <s v="2MIT"/>
    <x v="11"/>
    <x v="1"/>
    <s v="6°4°6EDETRA"/>
    <s v="DERECHO DE TRABAJO"/>
    <x v="7"/>
    <m/>
    <s v="MI"/>
    <m/>
    <s v="GORDILLO NORA "/>
    <s v="6°4°6EDETRAMI"/>
  </r>
  <r>
    <s v="6°4°"/>
    <x v="1076"/>
    <n v="642"/>
    <s v="2VIM44"/>
    <x v="8"/>
    <x v="0"/>
    <s v="6°4°6426EFTMP6"/>
    <s v="MONTAJE DE PROYECTO ELECTRONICOS "/>
    <x v="23"/>
    <m/>
    <s v="VI"/>
    <s v="CONTRATURNO"/>
    <s v="SAUCEDO GUSTAVO"/>
    <s v="6°4°6426EFTMP6VI"/>
  </r>
  <r>
    <s v="6°4°"/>
    <x v="1077"/>
    <n v="0"/>
    <s v="4JUT"/>
    <x v="16"/>
    <x v="1"/>
    <s v="6°4°6EFILO"/>
    <s v="FILOSOFIA"/>
    <x v="7"/>
    <m/>
    <s v="JU"/>
    <m/>
    <s v="LETIERI, MANUEL"/>
    <s v="6°4°6EFILOJU"/>
  </r>
  <r>
    <s v="6°4°"/>
    <x v="1078"/>
    <n v="641"/>
    <s v="2VIVrobotica"/>
    <x v="8"/>
    <x v="2"/>
    <s v="6°4°6416EFTED6"/>
    <s v="APLIC ELECTR DIGITAL "/>
    <x v="11"/>
    <m/>
    <s v="VI"/>
    <s v="CONTRATURNO"/>
    <s v="GAUNA FEDERICO"/>
    <s v="6°4°6416EFTED6VI"/>
  </r>
  <r>
    <s v="6°4°"/>
    <x v="1079"/>
    <n v="642"/>
    <s v="4miV30"/>
    <x v="19"/>
    <x v="2"/>
    <s v="6°4°6426ELENE6"/>
    <s v="LENGUAJES ELECTRONICOS"/>
    <x v="22"/>
    <m/>
    <s v="MI"/>
    <s v="CONTRATURNO"/>
    <s v="GONANO GERMAN"/>
    <s v="6°4°6426ELENE6mi"/>
  </r>
  <r>
    <s v="6°4°"/>
    <x v="1080"/>
    <n v="0"/>
    <s v="1VIT"/>
    <x v="4"/>
    <x v="1"/>
    <s v="6°4°6ESIPRO"/>
    <s v="SISTEMA PRODUCTIVO"/>
    <x v="7"/>
    <m/>
    <s v="VI"/>
    <m/>
    <s v="VERON, DAIANA A 27-34985561-0"/>
    <s v="6°4°6ESIPROVI"/>
  </r>
  <r>
    <s v="6°4°"/>
    <x v="1081"/>
    <n v="641"/>
    <s v="3JUV45"/>
    <x v="12"/>
    <x v="2"/>
    <s v="6°4°6416EFTAE6"/>
    <s v="APLIC ELECT ANALOG"/>
    <x v="8"/>
    <m/>
    <s v="JU"/>
    <s v="CONTRATURNO"/>
    <s v="MARTINEZ, SILVIO "/>
    <s v="6°4°6416EFTAE6JU"/>
  </r>
  <r>
    <s v="6°4°"/>
    <x v="1082"/>
    <n v="642"/>
    <s v="3juVHERRERIA"/>
    <x v="12"/>
    <x v="2"/>
    <s v="6°4°6426EFTAE6"/>
    <s v="APLIC ELECT ANALOG"/>
    <x v="6"/>
    <m/>
    <s v="JU"/>
    <s v="CONTRATURNO"/>
    <s v="BULACIO ARIEL"/>
    <s v="6°4°6426EFTAE6ju"/>
  </r>
  <r>
    <s v="6°4°"/>
    <x v="1083"/>
    <n v="641"/>
    <s v="3LUM44"/>
    <x v="13"/>
    <x v="0"/>
    <s v="6°4°6416EFTMP6"/>
    <s v="MONTAJE DE PROYECTO ELECTRONICOS "/>
    <x v="23"/>
    <m/>
    <s v="LU"/>
    <s v="CONTRATURNO"/>
    <s v="SAUCEDO GUSTAVO"/>
    <s v="6°4°6416EFTMP6LU"/>
  </r>
  <r>
    <s v="6°4°"/>
    <x v="1084"/>
    <n v="0"/>
    <s v="3LUT"/>
    <x v="13"/>
    <x v="1"/>
    <s v="6°4°6EMATAP"/>
    <s v="MATEMATICA APLICADA"/>
    <x v="7"/>
    <m/>
    <s v="LU"/>
    <m/>
    <s v="WEBBER BRIAN"/>
    <s v="6°4°6EMATAPLU"/>
  </r>
  <r>
    <s v="6°4°"/>
    <x v="1085"/>
    <n v="0"/>
    <s v="3LUV33"/>
    <x v="13"/>
    <x v="2"/>
    <s v="6°4°6ESISCO"/>
    <s v="SISTEMA DE COMUNICACIONES"/>
    <x v="14"/>
    <m/>
    <s v="LU"/>
    <s v="CONTRATURNO"/>
    <s v="DELGADO ARIEL"/>
    <s v="6°4°6ESISCOLU"/>
  </r>
  <r>
    <s v="6°4°"/>
    <x v="1086"/>
    <n v="642"/>
    <s v="3maMHARDWARE"/>
    <x v="14"/>
    <x v="0"/>
    <s v="6°4°6426EFTED6"/>
    <s v="APLIC ELECTR DIGITAL "/>
    <x v="21"/>
    <m/>
    <s v="MA"/>
    <s v=" CONTRATURNO"/>
    <s v="BARONI ROBERTO ALEJANDRO"/>
    <s v="6°4°6426EFTED6ma"/>
  </r>
  <r>
    <s v="6°4°"/>
    <x v="1087"/>
    <n v="0"/>
    <s v="3MAT"/>
    <x v="14"/>
    <x v="1"/>
    <s v="6°4°6EINSMA"/>
    <s v="INSTALACIONES Y MAQUINAS ELECTRICAS"/>
    <x v="7"/>
    <m/>
    <s v="MA"/>
    <m/>
    <s v="SAUCEDO GUSTAVO "/>
    <s v="6°4°6EINSMAMA"/>
  </r>
  <r>
    <s v="6°4°"/>
    <x v="1088"/>
    <n v="641"/>
    <s v="1MIM30"/>
    <x v="3"/>
    <x v="0"/>
    <s v="6°4°6416ELENE6"/>
    <s v="LENGUAJES ELECTRONICOS"/>
    <x v="22"/>
    <m/>
    <s v="MI"/>
    <s v="CONTRATURNO"/>
    <s v="GONANO, GERMAN S"/>
    <s v="6°4°6416ELENE6MI"/>
  </r>
  <r>
    <s v="6°4°"/>
    <x v="1089"/>
    <n v="0"/>
    <s v="3viT"/>
    <x v="6"/>
    <x v="1"/>
    <s v="6°4°6ELITS"/>
    <s v="LITERATURA"/>
    <x v="7"/>
    <m/>
    <s v="VI"/>
    <m/>
    <s v="ALFONSO"/>
    <s v="6°4°6ELITSvi"/>
  </r>
  <r>
    <s v="6°4°"/>
    <x v="1090"/>
    <n v="642"/>
    <s v="3VIM44"/>
    <x v="6"/>
    <x v="0"/>
    <s v="6°4°6426EFTMP6"/>
    <s v="MONTAJE DE PROYECTO ELECTRONICOS "/>
    <x v="23"/>
    <m/>
    <s v="VI"/>
    <s v="CONTRATURNO"/>
    <s v="SAUCEDO GUSTAVO"/>
    <s v="6°4°6426EFTMP6VI"/>
  </r>
  <r>
    <s v="6°4°"/>
    <x v="1091"/>
    <n v="0"/>
    <s v="3miTPATIO"/>
    <x v="15"/>
    <x v="1"/>
    <s v="6°4°6EEFIS"/>
    <s v="EDUCACIÓN FISICA"/>
    <x v="12"/>
    <m/>
    <s v="MI"/>
    <m/>
    <s v="RIOS, LEONARDO  20-34020185-0"/>
    <s v="6°4°6EEFISmi"/>
  </r>
  <r>
    <s v="6°4°"/>
    <x v="1092"/>
    <n v="641"/>
    <s v="3VIVrobotica"/>
    <x v="6"/>
    <x v="2"/>
    <s v="6°4°6416EFTED6"/>
    <s v="APLIC ELECTR DIGITAL "/>
    <x v="11"/>
    <m/>
    <s v="VI"/>
    <s v="CONTRATURNO"/>
    <s v="GAUNA FEDERICO"/>
    <s v="6°4°6416EFTED6VI"/>
  </r>
  <r>
    <s v="6°4°"/>
    <x v="1093"/>
    <n v="0"/>
    <s v="2VIT"/>
    <x v="8"/>
    <x v="1"/>
    <s v="6°4°6ESIPRO"/>
    <s v="SISTEMA PRODUCTIVO"/>
    <x v="7"/>
    <m/>
    <s v="VI"/>
    <m/>
    <s v="VERON, DAIANA A 27-34985561-0"/>
    <s v="6°4°6ESIPROVI"/>
  </r>
  <r>
    <s v="6°4°"/>
    <x v="1094"/>
    <n v="641"/>
    <s v="4JUV45"/>
    <x v="16"/>
    <x v="2"/>
    <s v="6°4°6416EFTAE6"/>
    <s v="APLIC ELECT ANALOG"/>
    <x v="8"/>
    <m/>
    <s v="JU"/>
    <s v="CONTRATURNO"/>
    <s v="MARTINEZ, SILVIO "/>
    <s v="6°4°6416EFTAE6JU"/>
  </r>
  <r>
    <s v="6°4°"/>
    <x v="1095"/>
    <n v="642"/>
    <s v="4juVHERRERIA"/>
    <x v="16"/>
    <x v="2"/>
    <s v="6°4°6426EFTAE6"/>
    <s v="APLIC ELECT ANALOG"/>
    <x v="6"/>
    <m/>
    <s v="JU"/>
    <s v="CONTRATURNO"/>
    <s v="BULACIO ARIEL"/>
    <s v="6°4°6426EFTAE6ju"/>
  </r>
  <r>
    <s v="6°4°"/>
    <x v="1096"/>
    <n v="641"/>
    <s v="4LUM44"/>
    <x v="17"/>
    <x v="0"/>
    <s v="6°4°6416EFTMP6"/>
    <s v="MONTAJE DE PROYECTO ELECTRONICOS "/>
    <x v="23"/>
    <m/>
    <s v="LU"/>
    <s v="CONTRATURNO"/>
    <s v="SAUCEDO GUSTAVO"/>
    <s v="6°4°6416EFTMP6LU"/>
  </r>
  <r>
    <s v="6°4°"/>
    <x v="1097"/>
    <n v="0"/>
    <s v="4LUT"/>
    <x v="17"/>
    <x v="1"/>
    <s v="6°4°6EMATAP"/>
    <s v="MATEMATICA APLICADA"/>
    <x v="7"/>
    <m/>
    <s v="LU"/>
    <m/>
    <s v="WEBBER BRIAN"/>
    <s v="6°4°6EMATAPLU"/>
  </r>
  <r>
    <s v="6°4°"/>
    <x v="1098"/>
    <n v="642"/>
    <s v="4maMHARDWARE"/>
    <x v="18"/>
    <x v="0"/>
    <s v="6°4°6426EFTED6"/>
    <s v="APLIC ELECTR DIGITAL "/>
    <x v="21"/>
    <m/>
    <s v="MA"/>
    <s v="CONTRATURNO"/>
    <s v="BARONI ROBERTO ALEJANDRO"/>
    <s v="6°4°6426EFTED6ma"/>
  </r>
  <r>
    <s v="6°4°"/>
    <x v="1099"/>
    <n v="0"/>
    <s v="4MAT"/>
    <x v="18"/>
    <x v="1"/>
    <s v="6°4°6EINSMA"/>
    <s v="INSTALACIONES Y MAQUINAS ELECTRICAS"/>
    <x v="7"/>
    <m/>
    <s v="MA"/>
    <m/>
    <s v="SAUCEDO GUSTAVO "/>
    <s v="6°4°6EINSMAMA"/>
  </r>
  <r>
    <s v="6°4°"/>
    <x v="1100"/>
    <n v="641"/>
    <s v="2MIM30"/>
    <x v="11"/>
    <x v="0"/>
    <s v="6°4°6416ELENE6"/>
    <s v="LENGUAJES ELECTRONICOS"/>
    <x v="22"/>
    <m/>
    <s v="MI"/>
    <s v="CONTRATURNO"/>
    <s v="GONANO, GERMAN S"/>
    <s v="6°4°6416ELENE6MI"/>
  </r>
  <r>
    <s v="6°4°"/>
    <x v="1101"/>
    <n v="0"/>
    <s v="4viT"/>
    <x v="7"/>
    <x v="1"/>
    <s v="6°4°6ELITS"/>
    <s v="LITERATURA"/>
    <x v="7"/>
    <m/>
    <s v="VI"/>
    <m/>
    <s v="ALFONSO"/>
    <s v="6°4°6ELITSvi"/>
  </r>
  <r>
    <s v="6°4°"/>
    <x v="1102"/>
    <n v="642"/>
    <s v="4VIM44"/>
    <x v="7"/>
    <x v="0"/>
    <s v="6°4°6426EFTMP6"/>
    <s v="MONTAJE DE PROYECTO ELECTRONICOS "/>
    <x v="23"/>
    <m/>
    <s v="VI"/>
    <s v="CONTRATURNO"/>
    <s v="SAUCEDO GUSTAVO"/>
    <s v="6°4°6426EFTMP6VI"/>
  </r>
  <r>
    <s v="6°4°"/>
    <x v="1103"/>
    <n v="0"/>
    <s v="4miTPATIO"/>
    <x v="19"/>
    <x v="1"/>
    <s v="6°4°6EEFIS"/>
    <s v="EDUCACIÓN FISICA"/>
    <x v="12"/>
    <m/>
    <s v="MI"/>
    <m/>
    <s v="RIOS, LEONARDO  20-34020185-0"/>
    <s v="6°4°6EEFISmi"/>
  </r>
  <r>
    <s v="6°4°"/>
    <x v="1104"/>
    <n v="641"/>
    <s v="4VIVrobotica"/>
    <x v="7"/>
    <x v="2"/>
    <s v="6°4°6416EFTED6"/>
    <s v="APLIC ELECTR DIGITAL "/>
    <x v="11"/>
    <m/>
    <s v="VI"/>
    <s v="CONTRATURNO"/>
    <s v="GAUNA FEDERICO"/>
    <s v="6°4°6416EFTED6VI"/>
  </r>
  <r>
    <s v="7°1°"/>
    <x v="1105"/>
    <n v="711"/>
    <s v="1juT40"/>
    <x v="0"/>
    <x v="1"/>
    <s v="7°1°7117IIMRSC"/>
    <s v="INSTALACION, MANTENIMIENTO Y REPARACION DE SISTEMAS COMPUTACIONALES-"/>
    <x v="20"/>
    <m/>
    <s v="JU"/>
    <s v="CONTRATURNO"/>
    <s v="AÑASCO, GABRIEL  20-36089659-6"/>
    <s v="7°1°7117IIMRSCju"/>
  </r>
  <r>
    <s v="7°1°"/>
    <x v="1106"/>
    <n v="711"/>
    <s v="1JUVAULA 3"/>
    <x v="0"/>
    <x v="2"/>
    <s v="7°1°7117IPDISC"/>
    <s v="PROYECTO, DISEÑO E IMPLEMENTACION DE SISTEMAS COMPUTACIONALES"/>
    <x v="4"/>
    <m/>
    <s v="JU"/>
    <s v="CONTRATURNO"/>
    <s v="CARPITELLA FABIAN"/>
    <s v="7°1°7117IPDISCJU"/>
  </r>
  <r>
    <s v="7°1°"/>
    <x v="1107"/>
    <n v="712"/>
    <s v="1MIM52"/>
    <x v="3"/>
    <x v="0"/>
    <s v="7°1°7127IIMRRI"/>
    <s v="INSTALACION, MANTENIMIENTO Y REPARACION DE REDES INFORMATICAS- "/>
    <x v="24"/>
    <m/>
    <s v="MI"/>
    <s v="CONTRATURNO"/>
    <s v="DELLA VECCHIA I"/>
    <s v="7°1°7127IIMRRIMI"/>
  </r>
  <r>
    <s v="7°1°"/>
    <x v="1108"/>
    <n v="0"/>
    <s v="1miV"/>
    <x v="3"/>
    <x v="2"/>
    <s v="7°1°7IEVPRO"/>
    <s v="EVALUACION DE PROYECTO"/>
    <x v="7"/>
    <m/>
    <s v="MI"/>
    <m/>
    <s v="ROCHA JULIETA"/>
    <s v="7°1°7IEVPROmi"/>
  </r>
  <r>
    <s v="7°1°"/>
    <x v="1109"/>
    <n v="711"/>
    <s v="1VIM52"/>
    <x v="4"/>
    <x v="0"/>
    <s v="7°1°7117IIMRRI"/>
    <s v="INSTALACION, MANTENIMIENTO Y REPARACION DE REDES INFORMATICAS- "/>
    <x v="24"/>
    <m/>
    <s v="VI"/>
    <s v="CONTRATURNO"/>
    <s v="DELLA VECCHIA"/>
    <s v="7°1°7117IIMRRIVI"/>
  </r>
  <r>
    <s v="7°1°"/>
    <x v="1110"/>
    <n v="712"/>
    <s v="1VIM40"/>
    <x v="4"/>
    <x v="0"/>
    <s v="7°1°7127IIMRSC"/>
    <s v="INSTALACION, MANTENIMIENTO Y REPARACION DE SISTEMAS COMPUTACIONALES-"/>
    <x v="20"/>
    <m/>
    <s v="VI"/>
    <s v="CONTRATURNO"/>
    <s v="MELGARJO. VERONICA"/>
    <s v="7°1°7127IIMRSCVI"/>
  </r>
  <r>
    <s v="7°1°"/>
    <x v="1111"/>
    <n v="712"/>
    <s v="1VIV41"/>
    <x v="4"/>
    <x v="2"/>
    <s v="7°1°7127IPDISC"/>
    <s v="PROYECTO, DISEÑO E IMPLEMENTACION DE SISTEMAS COMPUTACIONALES"/>
    <x v="18"/>
    <m/>
    <s v="VI"/>
    <s v="CONTRATURNO"/>
    <s v="CARPITELLA FABIAN"/>
    <s v="7°1°7127IPDISCVI"/>
  </r>
  <r>
    <s v="7°1°"/>
    <x v="1112"/>
    <n v="711"/>
    <s v="2juT40"/>
    <x v="5"/>
    <x v="1"/>
    <s v="7°1°7117IIMRSC"/>
    <s v="INSTALACION, MANTENIMIENTO Y REPARACION DE SISTEMAS COMPUTACIONALES-"/>
    <x v="20"/>
    <m/>
    <s v="JU"/>
    <s v="CONTRATURNO"/>
    <s v="AÑASCO, GABRIEL  20-36089659-6"/>
    <s v="7°1°7117IIMRSCju"/>
  </r>
  <r>
    <s v="7°1°"/>
    <x v="1113"/>
    <n v="711"/>
    <s v="2JUVAULA 3"/>
    <x v="5"/>
    <x v="2"/>
    <s v="7°1°7117IPDISC"/>
    <s v="PROYECTO, DISEÑO E IMPLEMENTACION DE SISTEMAS COMPUTACIONALES"/>
    <x v="4"/>
    <m/>
    <s v="JU"/>
    <s v="CONTRATURNO"/>
    <s v="CARPITELLA FABIAN"/>
    <s v="7°1°7117IPDISCJU"/>
  </r>
  <r>
    <s v="7°1°"/>
    <x v="1114"/>
    <n v="712"/>
    <s v="2MIM52"/>
    <x v="11"/>
    <x v="0"/>
    <s v="7°1°7127IIMRRI"/>
    <s v="INSTALACION, MANTENIMIENTO Y REPARACION DE REDES INFORMATICAS- "/>
    <x v="24"/>
    <m/>
    <s v="MI"/>
    <s v="CONTRATURNO"/>
    <s v="DELLA VECCHIA I"/>
    <s v="7°1°7127IIMRRIMI"/>
  </r>
  <r>
    <s v="7°1°"/>
    <x v="1115"/>
    <n v="0"/>
    <s v="2miV"/>
    <x v="11"/>
    <x v="2"/>
    <s v="7°1°7IEVPRO"/>
    <s v="EVALUACION DE PROYECTO"/>
    <x v="7"/>
    <m/>
    <s v="MI"/>
    <m/>
    <s v="ROCHA JULIETA"/>
    <s v="7°1°7IEVPROmi"/>
  </r>
  <r>
    <s v="7°1°"/>
    <x v="1116"/>
    <n v="711"/>
    <s v="2VIM52"/>
    <x v="8"/>
    <x v="0"/>
    <s v="7°1°7117IIMRRI"/>
    <s v="INSTALACION, MANTENIMIENTO Y REPARACION DE REDES INFORMATICAS- "/>
    <x v="24"/>
    <m/>
    <s v="VI"/>
    <s v="CONTRATURNO"/>
    <s v="DELLA VECCHIA"/>
    <s v="7°1°7117IIMRRIVI"/>
  </r>
  <r>
    <s v="7°1°"/>
    <x v="1117"/>
    <n v="712"/>
    <s v="2VIM40"/>
    <x v="8"/>
    <x v="0"/>
    <s v="7°1°7127IIMRSC"/>
    <s v="INSTALACION, MANTENIMIENTO Y REPARACION DE SISTEMAS COMPUTACIONALES-"/>
    <x v="20"/>
    <m/>
    <s v="VI"/>
    <s v="CONTRATURNO"/>
    <s v="MELGARJO. VERONICA"/>
    <s v="7°1°7127IIMRSCVI"/>
  </r>
  <r>
    <s v="7°1°"/>
    <x v="1118"/>
    <n v="712"/>
    <s v="2VIV41"/>
    <x v="8"/>
    <x v="2"/>
    <s v="7°1°7127IPDISC"/>
    <s v="PROYECTO, DISEÑO E IMPLEMENTACION DE SISTEMAS COMPUTACIONALES"/>
    <x v="18"/>
    <m/>
    <s v="VI"/>
    <s v="CONTRATURNO"/>
    <s v="CARPITELLA FABIAN"/>
    <s v="7°1°7127IPDISCVI"/>
  </r>
  <r>
    <s v="7°1°"/>
    <x v="1119"/>
    <n v="711"/>
    <s v="3juT40"/>
    <x v="12"/>
    <x v="1"/>
    <s v="7°1°7117IIMRSC"/>
    <s v="INSTALACION, MANTENIMIENTO Y REPARACION DE SISTEMAS COMPUTACIONALES-"/>
    <x v="20"/>
    <m/>
    <s v="JU"/>
    <s v="CONTRATURNO"/>
    <s v="AÑASCO, GABRIEL  20-36089659-6"/>
    <s v="7°1°7117IIMRSCju"/>
  </r>
  <r>
    <s v="7°1°"/>
    <x v="1120"/>
    <n v="711"/>
    <s v="3JUVAULA 3"/>
    <x v="12"/>
    <x v="2"/>
    <s v="7°1°7117IPDISC"/>
    <s v="PROYECTO, DISEÑO E IMPLEMENTACION DE SISTEMAS COMPUTACIONALES"/>
    <x v="4"/>
    <m/>
    <s v="JU"/>
    <s v="CONTRATURNO"/>
    <s v="CARPITELLA FABIAN"/>
    <s v="7°1°7117IPDISCJU"/>
  </r>
  <r>
    <s v="7°1°"/>
    <x v="1121"/>
    <n v="0"/>
    <s v="1LUM"/>
    <x v="1"/>
    <x v="0"/>
    <s v="7°1°7IBADAT"/>
    <s v="BASE DE DATOS"/>
    <x v="7"/>
    <m/>
    <s v="LU"/>
    <s v="CONTRATURNO"/>
    <s v="WITT  GERARDO"/>
    <s v="7°1°7IBADATLU"/>
  </r>
  <r>
    <s v="7°1°"/>
    <x v="1122"/>
    <n v="0"/>
    <s v="2LUM"/>
    <x v="9"/>
    <x v="0"/>
    <s v="7°1°7IBADAT"/>
    <s v="BASE DE DATOS"/>
    <x v="7"/>
    <m/>
    <s v="LU"/>
    <s v="CONTRATURNO"/>
    <s v="WITT  GERARDO"/>
    <s v="7°1°7IBADATLU"/>
  </r>
  <r>
    <s v="7°1°"/>
    <x v="1123"/>
    <n v="0"/>
    <s v="3luV"/>
    <x v="13"/>
    <x v="2"/>
    <s v="7°1°7IPPDLO"/>
    <s v="EMPRENDIMIENTO PRODUCTIVO Y DESARROLLO LOCAL"/>
    <x v="7"/>
    <m/>
    <s v="LU"/>
    <m/>
    <s v="CARPITELLA FABIAN"/>
    <s v="7°1°7IPPDLOlu"/>
  </r>
  <r>
    <s v="7°1°"/>
    <x v="1124"/>
    <n v="712"/>
    <s v="3MIM52"/>
    <x v="15"/>
    <x v="0"/>
    <s v="7°1°7127IIMRRI"/>
    <s v="INSTALACION, MANTENIMIENTO Y REPARACION DE REDES INFORMATICAS- "/>
    <x v="24"/>
    <m/>
    <s v="MI"/>
    <s v="CONTRATURNO"/>
    <s v="DELLA VECCHIA I"/>
    <s v="7°1°7127IIMRRIMI"/>
  </r>
  <r>
    <s v="7°1°"/>
    <x v="1125"/>
    <n v="0"/>
    <s v="3MIV"/>
    <x v="15"/>
    <x v="2"/>
    <s v="7°1°7IMOSIS"/>
    <s v="MODELOS Y SISTEMAS"/>
    <x v="7"/>
    <m/>
    <s v="MI"/>
    <m/>
    <s v="ROCHA JULIETA"/>
    <s v="7°1°7IMOSISMI"/>
  </r>
  <r>
    <s v="7°1°"/>
    <x v="1126"/>
    <n v="711"/>
    <s v="3VIM52"/>
    <x v="6"/>
    <x v="0"/>
    <s v="7°1°7117IIMRRI"/>
    <s v="INSTALACION, MANTENIMIENTO Y REPARACION DE REDES INFORMATICAS- "/>
    <x v="24"/>
    <m/>
    <s v="VI"/>
    <s v="CONTRATURNO"/>
    <s v="DELLA VECCHIA"/>
    <s v="7°1°7117IIMRRIVI"/>
  </r>
  <r>
    <s v="7°1°"/>
    <x v="1127"/>
    <n v="712"/>
    <s v="3VIM40"/>
    <x v="6"/>
    <x v="0"/>
    <s v="7°1°7127IIMRSC"/>
    <s v="INSTALACION, MANTENIMIENTO Y REPARACION DE SISTEMAS COMPUTACIONALES-"/>
    <x v="20"/>
    <m/>
    <s v="VI"/>
    <s v="CONTRATURNO"/>
    <s v="MELGARJO. VERONICA"/>
    <s v="7°1°7127IIMRSCVI"/>
  </r>
  <r>
    <s v="7°1°"/>
    <x v="1128"/>
    <n v="712"/>
    <s v="3VIV41"/>
    <x v="6"/>
    <x v="2"/>
    <s v="7°1°7127IPDISC"/>
    <s v="PROYECTO, DISEÑO E IMPLEMENTACION DE SISTEMAS COMPUTACIONALES"/>
    <x v="18"/>
    <m/>
    <s v="VI"/>
    <s v="CONTRATURNO"/>
    <s v="CARPITELLA FABIAN"/>
    <s v="7°1°7127IPDISCVI"/>
  </r>
  <r>
    <s v="7°1°"/>
    <x v="1129"/>
    <n v="711"/>
    <s v="4juT40"/>
    <x v="16"/>
    <x v="1"/>
    <s v="7°1°7117IIMRSC"/>
    <s v="INSTALACION, MANTENIMIENTO Y REPARACION DE SISTEMAS COMPUTACIONALES-"/>
    <x v="20"/>
    <m/>
    <s v="JU"/>
    <s v="CONTRATURNO"/>
    <s v="AÑASCO, GABRIEL  20-36089659-6"/>
    <s v="7°1°7117IIMRSCju"/>
  </r>
  <r>
    <s v="7°1°"/>
    <x v="1130"/>
    <n v="711"/>
    <s v="4JUVAULA 3"/>
    <x v="16"/>
    <x v="2"/>
    <s v="7°1°7117IPDISC"/>
    <s v="PROYECTO, DISEÑO E IMPLEMENTACION DE SISTEMAS COMPUTACIONALES"/>
    <x v="4"/>
    <m/>
    <s v="JU"/>
    <s v="CONTRATURNO"/>
    <s v="CARPITELLA FABIAN"/>
    <s v="7°1°7117IPDISCJU"/>
  </r>
  <r>
    <s v="7°1°"/>
    <x v="1131"/>
    <n v="0"/>
    <s v="3LUM"/>
    <x v="13"/>
    <x v="0"/>
    <s v="7°1°7IBADAT"/>
    <s v="BASE DE DATOS"/>
    <x v="7"/>
    <m/>
    <s v="LU"/>
    <s v="CONTRATURNO"/>
    <s v="WITT  GERARDO"/>
    <s v="7°1°7IBADATLU"/>
  </r>
  <r>
    <s v="7°1°"/>
    <x v="1132"/>
    <n v="0"/>
    <s v="4luV"/>
    <x v="17"/>
    <x v="2"/>
    <s v="7°1°7IPPDLO"/>
    <s v="EMPRENDIMIENTO PRODUCTIVO Y DESARROLLO LOCAL"/>
    <x v="7"/>
    <m/>
    <s v="LU"/>
    <m/>
    <s v="CARPITELLA FABIAN"/>
    <s v="7°1°7IPPDLOlu"/>
  </r>
  <r>
    <s v="7°1°"/>
    <x v="1133"/>
    <n v="712"/>
    <s v="4MIM52"/>
    <x v="19"/>
    <x v="0"/>
    <s v="7°1°7127IIMRRI"/>
    <s v="INSTALACION, MANTENIMIENTO Y REPARACION DE REDES INFORMATICAS- "/>
    <x v="24"/>
    <m/>
    <s v="MI"/>
    <s v="CONTRATURNO"/>
    <s v="DELLA VECCHIA I"/>
    <s v="7°1°7127IIMRRIMI"/>
  </r>
  <r>
    <s v="7°1°"/>
    <x v="1134"/>
    <n v="0"/>
    <s v="4MIV"/>
    <x v="19"/>
    <x v="2"/>
    <s v="7°1°7IMOSIS"/>
    <s v="MODELOS Y SISTEMAS"/>
    <x v="7"/>
    <m/>
    <s v="MI"/>
    <m/>
    <s v="ROCHA JULIETA"/>
    <s v="7°1°7IMOSISMI"/>
  </r>
  <r>
    <s v="7°1°"/>
    <x v="1135"/>
    <n v="711"/>
    <s v="4VIM52"/>
    <x v="7"/>
    <x v="0"/>
    <s v="7°1°7117IIMRRI"/>
    <s v="INSTALACION, MANTENIMIENTO Y REPARACION DE REDES INFORMATICAS- "/>
    <x v="24"/>
    <n v="41"/>
    <s v="VI"/>
    <s v="CONTRATURNO"/>
    <s v="DELLA VECCHIA"/>
    <s v="7°1°7117IIMRRIVI"/>
  </r>
  <r>
    <s v="7°1°"/>
    <x v="1136"/>
    <n v="712"/>
    <s v="4VIM40"/>
    <x v="7"/>
    <x v="0"/>
    <s v="7°1°7127IIMRSC"/>
    <s v="INSTALACION, MANTENIMIENTO Y REPARACION DE SISTEMAS COMPUTACIONALES-"/>
    <x v="20"/>
    <m/>
    <s v="VI"/>
    <s v="CONTRATURNO"/>
    <s v="MELGARJO. VERONICA"/>
    <s v="7°1°7127IIMRSCVI"/>
  </r>
  <r>
    <s v="7°1°"/>
    <x v="1137"/>
    <n v="712"/>
    <s v="4VIV41"/>
    <x v="7"/>
    <x v="2"/>
    <s v="7°1°7127IPDISC"/>
    <s v="PROYECTO, DISEÑO E IMPLEMENTACION DE SISTEMAS COMPUTACIONALES"/>
    <x v="18"/>
    <m/>
    <s v="VI"/>
    <s v="CONTRATURNO"/>
    <s v="CARPITELLA FABIAN"/>
    <s v="7°1°7127IPDISCVI"/>
  </r>
  <r>
    <s v="7°2°"/>
    <x v="1138"/>
    <n v="721"/>
    <s v="1JUM44"/>
    <x v="0"/>
    <x v="0"/>
    <s v="7°2°7217EINSIN"/>
    <s v="INSTALACIONES INDUSTRIALES"/>
    <x v="23"/>
    <m/>
    <s v="JU"/>
    <s v="CONTRATURNO"/>
    <s v="SAUCEDO GUSTAVO"/>
    <s v="7°2°7217EINSINJU"/>
  </r>
  <r>
    <s v="7°2°"/>
    <x v="1139"/>
    <n v="722"/>
    <s v="1juV33"/>
    <x v="0"/>
    <x v="2"/>
    <s v="7°2°7227EINSIN"/>
    <s v="INSTALACIONES INDUSTRIALES"/>
    <x v="14"/>
    <m/>
    <s v="JU"/>
    <s v="CONTRATURNO"/>
    <s v="SERENO, LEONEL"/>
    <s v="7°2°7227EINSINju"/>
  </r>
  <r>
    <s v="7°2°"/>
    <x v="1140"/>
    <n v="721"/>
    <s v="1MITROBOTICA"/>
    <x v="3"/>
    <x v="1"/>
    <s v="7°2°7217EPRODE"/>
    <s v="PROYECTO Y DISEÑO ELECTRONICO "/>
    <x v="11"/>
    <m/>
    <s v="MI"/>
    <s v="CONTRATURNO"/>
    <s v="GUTIERREZ NICOLAS"/>
    <s v="7°2°7217EPRODEMI"/>
  </r>
  <r>
    <s v="7°2°"/>
    <x v="1141"/>
    <n v="722"/>
    <s v="1LUV46"/>
    <x v="1"/>
    <x v="2"/>
    <s v="7°2°7227EPRODE"/>
    <s v="PROYECTO Y DISEÑO ELECTRONICO "/>
    <x v="16"/>
    <m/>
    <s v="LU"/>
    <s v="CONTRATURNO"/>
    <s v="CORDOBA ALEJANDRO"/>
    <s v="7°2°7227EPRODELU"/>
  </r>
  <r>
    <s v="7°2°"/>
    <x v="1142"/>
    <n v="722"/>
    <s v="1MATrobotica"/>
    <x v="2"/>
    <x v="1"/>
    <s v="7°2°7227EELEAP"/>
    <s v="ELECTRONICA APLICADA"/>
    <x v="11"/>
    <m/>
    <s v="MA"/>
    <s v="CONTRATURNO"/>
    <s v="GUTIERREZ NICOLAS"/>
    <s v="7°2°7227EELEAPMA"/>
  </r>
  <r>
    <s v="7°2°"/>
    <x v="1143"/>
    <n v="0"/>
    <s v="1MAVAULA 4"/>
    <x v="2"/>
    <x v="2"/>
    <s v="7°2°7ESISDC"/>
    <s v="SISTEMAS DE COMUNICACIONES"/>
    <x v="1"/>
    <m/>
    <s v="MA"/>
    <s v="CONTRATURNO"/>
    <s v="SERENO, LEONEL"/>
    <s v="7°2°7ESISDCMA"/>
  </r>
  <r>
    <s v="7°2°"/>
    <x v="1144"/>
    <n v="0"/>
    <s v="1VIV44"/>
    <x v="4"/>
    <x v="2"/>
    <s v="7°2°7ESIDCO"/>
    <s v="SISTEMA DE CONTROL"/>
    <x v="23"/>
    <m/>
    <s v="VI"/>
    <m/>
    <s v="SAUCEDO GUSTAVO"/>
    <s v="7°2°7ESIDCOVI"/>
  </r>
  <r>
    <s v="7°2°"/>
    <x v="1145"/>
    <n v="721"/>
    <s v="2JUM44"/>
    <x v="5"/>
    <x v="0"/>
    <s v="7°2°7217EINSIN"/>
    <s v="INSTALACIONES INDUSTRIALES"/>
    <x v="23"/>
    <m/>
    <s v="JU"/>
    <s v="CONTRATURNO"/>
    <s v="SAUCEDO GUSTAVO"/>
    <s v="7°2°7217EINSINJU"/>
  </r>
  <r>
    <s v="7°2°"/>
    <x v="1146"/>
    <n v="722"/>
    <s v="2juV33"/>
    <x v="5"/>
    <x v="2"/>
    <s v="7°2°7227EINSIN"/>
    <s v="INSTALACIONES INDUSTRIALES"/>
    <x v="14"/>
    <m/>
    <s v="JU"/>
    <s v="CONTRATURNO"/>
    <s v="SERENO, LEONEL"/>
    <s v="7°2°7227EINSINju"/>
  </r>
  <r>
    <s v="7°2°"/>
    <x v="1147"/>
    <n v="721"/>
    <s v="2MITROBOTICA"/>
    <x v="11"/>
    <x v="1"/>
    <s v="7°2°7217EPRODE"/>
    <s v="PROYECTO Y DISEÑO ELECTRONICO "/>
    <x v="11"/>
    <m/>
    <s v="MI"/>
    <s v="CONTRATURNO"/>
    <s v="GUTIERREZ NICOLAS"/>
    <s v="7°2°7217EPRODEMI"/>
  </r>
  <r>
    <s v="7°2°"/>
    <x v="1148"/>
    <n v="721"/>
    <s v="2LUV44"/>
    <x v="9"/>
    <x v="2"/>
    <s v="7°2°7217EELEAP"/>
    <s v="ELECTRONICA APLICADA"/>
    <x v="23"/>
    <m/>
    <s v="LU"/>
    <s v="CONTRATURNO"/>
    <s v="GUTIERREZ NICOLAS"/>
    <s v="7°2°7217EELEAPLU"/>
  </r>
  <r>
    <s v="7°2°"/>
    <x v="1149"/>
    <n v="722"/>
    <s v="2LUV46"/>
    <x v="9"/>
    <x v="2"/>
    <s v="7°2°7227EPRODE"/>
    <s v="PROYECTO Y DISEÑO ELECTRONICO "/>
    <x v="16"/>
    <m/>
    <s v="LU"/>
    <s v="CONTRATURNO"/>
    <s v="CORDOBA ALEJANDRO"/>
    <s v="7°2°7227EPRODELU"/>
  </r>
  <r>
    <s v="7°2°"/>
    <x v="1150"/>
    <n v="722"/>
    <s v="2MATrobotica"/>
    <x v="10"/>
    <x v="1"/>
    <s v="7°2°7227EELEAP"/>
    <s v="ELECTRONICA APLICADA"/>
    <x v="11"/>
    <m/>
    <s v="MA"/>
    <s v="CONTRATURNO"/>
    <s v="GUTIERREZ NICOLAS"/>
    <s v="7°2°7227EELEAPMA"/>
  </r>
  <r>
    <s v="7°2°"/>
    <x v="1151"/>
    <n v="0"/>
    <s v="2MAVAULA 4"/>
    <x v="10"/>
    <x v="2"/>
    <s v="7°2°7ESISDC"/>
    <s v="SISTEMAS DE COMUNICACIONES"/>
    <x v="1"/>
    <m/>
    <s v="MA"/>
    <s v="CONTRATURNO"/>
    <s v="SERENO, LEONEL"/>
    <s v="7°2°7ESISDCMA"/>
  </r>
  <r>
    <s v="7°2°"/>
    <x v="1152"/>
    <n v="0"/>
    <s v="1miV"/>
    <x v="3"/>
    <x v="2"/>
    <s v="7°2°7ESEHPA"/>
    <s v="SEGURIDAD, HIGIENE Y PROTECCION AMBIENTAL"/>
    <x v="7"/>
    <m/>
    <s v="MI"/>
    <m/>
    <s v="ARGAÑARAZ ANGEL"/>
    <s v="7°2°7ESEHPAmi"/>
  </r>
  <r>
    <s v="7°2°"/>
    <x v="1153"/>
    <n v="0"/>
    <s v="2VIV44"/>
    <x v="8"/>
    <x v="2"/>
    <s v="7°2°7ESIDCO"/>
    <s v="SISTEMA DE CONTROL"/>
    <x v="23"/>
    <m/>
    <s v="VI"/>
    <m/>
    <s v="SAUCEDO GUSTAVO"/>
    <s v="7°2°7ESIDCOVI"/>
  </r>
  <r>
    <s v="7°2°"/>
    <x v="1154"/>
    <n v="721"/>
    <s v="3JUM44"/>
    <x v="12"/>
    <x v="0"/>
    <s v="7°2°7217EINSIN"/>
    <s v="INSTALACIONES INDUSTRIALES"/>
    <x v="23"/>
    <m/>
    <s v="JU"/>
    <s v="CONTRATURNO"/>
    <s v="SAUCEDO GUSTAVO"/>
    <s v="7°2°7217EINSINJU"/>
  </r>
  <r>
    <s v="7°2°"/>
    <x v="1155"/>
    <n v="722"/>
    <s v="3juV33"/>
    <x v="12"/>
    <x v="2"/>
    <s v="7°2°7227EINSIN"/>
    <s v="INSTALACIONES INDUSTRIALES"/>
    <x v="14"/>
    <m/>
    <s v="JU"/>
    <s v="CONTRATURNO"/>
    <s v="SERENO, LEONEL"/>
    <s v="7°2°7227EINSINju"/>
  </r>
  <r>
    <s v="7°2°"/>
    <x v="1156"/>
    <n v="721"/>
    <s v="3MITROBOTICA"/>
    <x v="15"/>
    <x v="1"/>
    <s v="7°2°7217EPRODE"/>
    <s v="PROYECTO Y DISEÑO ELECTRONICO "/>
    <x v="11"/>
    <m/>
    <s v="MI"/>
    <s v="CONTRATURNO"/>
    <s v="GUTIERREZ NICOLAS"/>
    <s v="7°2°7217EPRODEMI"/>
  </r>
  <r>
    <s v="7°2°"/>
    <x v="1157"/>
    <n v="721"/>
    <s v="3LUV44"/>
    <x v="13"/>
    <x v="2"/>
    <s v="7°2°7217EELEAP"/>
    <s v="ELECTRONICA APLICADA"/>
    <x v="23"/>
    <m/>
    <s v="LU"/>
    <s v="CONTRATURNO"/>
    <s v="GUTIERREZ NICOLAS"/>
    <s v="7°2°7217EELEAPLU"/>
  </r>
  <r>
    <s v="7°2°"/>
    <x v="1158"/>
    <n v="722"/>
    <s v="3LUV46"/>
    <x v="13"/>
    <x v="2"/>
    <s v="7°2°7227EPRODE"/>
    <s v="PROYECTO Y DISEÑO ELECTRONICO "/>
    <x v="16"/>
    <m/>
    <s v="LU"/>
    <s v="CONTRATURNO"/>
    <s v="CORDOBA ALEJANDRO"/>
    <s v="7°2°7227EPRODELU"/>
  </r>
  <r>
    <s v="7°2°"/>
    <x v="1159"/>
    <n v="0"/>
    <s v="3miVROBOTICA"/>
    <x v="15"/>
    <x v="2"/>
    <s v="7°2°7EPPDLO"/>
    <s v="EMPRENDIMIENTO PRODUCTIVO Y DESARROLLO LOCAL"/>
    <x v="11"/>
    <m/>
    <s v="MI"/>
    <s v="CONTRATURNO"/>
    <s v="GUTIERREZ NICOLAS"/>
    <s v="7°2°7EPPDLOmi"/>
  </r>
  <r>
    <s v="7°2°"/>
    <x v="1160"/>
    <n v="722"/>
    <s v="3MATrobotica"/>
    <x v="14"/>
    <x v="1"/>
    <s v="7°2°7227EELEAP"/>
    <s v="ELECTRONICA APLICADA"/>
    <x v="11"/>
    <m/>
    <s v="MA"/>
    <s v="CONTRATURNO"/>
    <s v="GUTIERREZ NICOLAS"/>
    <s v="7°2°7227EELEAPMA"/>
  </r>
  <r>
    <s v="7°2°"/>
    <x v="1161"/>
    <n v="0"/>
    <s v="3MAVAULA 4"/>
    <x v="14"/>
    <x v="2"/>
    <s v="7°2°7ESISDC"/>
    <s v="SISTEMAS DE COMUNICACIONES"/>
    <x v="1"/>
    <m/>
    <s v="MA"/>
    <s v="CONTRATURNO"/>
    <s v="SERENO, LEONEL"/>
    <s v="7°2°7ESISDCMA"/>
  </r>
  <r>
    <s v="7°2°"/>
    <x v="1162"/>
    <n v="0"/>
    <s v="2miV"/>
    <x v="11"/>
    <x v="2"/>
    <s v="7°2°7ESEHPA"/>
    <s v="SEGURIDAD, HIGIENE Y PROTECCION AMBIENTAL"/>
    <x v="7"/>
    <m/>
    <s v="MI"/>
    <m/>
    <s v="ARGAÑARAZ ANGEL"/>
    <s v="7°2°7ESEHPAmi"/>
  </r>
  <r>
    <s v="7°2°"/>
    <x v="1163"/>
    <n v="0"/>
    <s v="3VIV44"/>
    <x v="6"/>
    <x v="2"/>
    <s v="7°2°7ESIDCO"/>
    <s v="SISTEMA DE CONTROL"/>
    <x v="23"/>
    <m/>
    <s v="VI"/>
    <m/>
    <s v="SAUCEDO GUSTAVO"/>
    <s v="7°2°7ESIDCOVI"/>
  </r>
  <r>
    <s v="7°2°"/>
    <x v="1164"/>
    <n v="721"/>
    <s v="4JUM44"/>
    <x v="16"/>
    <x v="0"/>
    <s v="7°2°7217EINSIN"/>
    <s v="INSTALACIONES INDUSTRIALES"/>
    <x v="23"/>
    <m/>
    <s v="JU"/>
    <s v="CONTRATURNO"/>
    <s v="SAUCEDO GUSTAVO"/>
    <s v="7°2°7217EINSINJU"/>
  </r>
  <r>
    <s v="7°2°"/>
    <x v="1165"/>
    <n v="722"/>
    <s v="4juV33"/>
    <x v="16"/>
    <x v="2"/>
    <s v="7°2°7227EINSIN"/>
    <s v="INSTALACIONES INDUSTRIALES"/>
    <x v="14"/>
    <m/>
    <s v="JU"/>
    <s v="CONTRATURNO"/>
    <s v="SERENO, LEONEL"/>
    <s v="7°2°7227EINSINju"/>
  </r>
  <r>
    <s v="7°2°"/>
    <x v="1166"/>
    <n v="721"/>
    <s v="4MITROBOTICA"/>
    <x v="19"/>
    <x v="1"/>
    <s v="7°2°7217EPRODE"/>
    <s v="PROYECTO Y DISEÑO ELECTRONICO "/>
    <x v="11"/>
    <m/>
    <s v="MI"/>
    <s v="CONTRATURNO"/>
    <s v="GUTIERREZ NICOLAS"/>
    <s v="7°2°7217EPRODEMI"/>
  </r>
  <r>
    <s v="7°2°"/>
    <x v="1167"/>
    <n v="721"/>
    <s v="4LUV44"/>
    <x v="17"/>
    <x v="2"/>
    <s v="7°2°7217EELEAP"/>
    <s v="ELECTRONICA APLICADA"/>
    <x v="23"/>
    <m/>
    <s v="LU"/>
    <s v="CONTRATURNO"/>
    <s v="GUTIERREZ NICOLAS"/>
    <s v="7°2°7217EELEAPLU"/>
  </r>
  <r>
    <s v="7°2°"/>
    <x v="1168"/>
    <n v="722"/>
    <s v="4LUV46"/>
    <x v="17"/>
    <x v="2"/>
    <s v="7°2°7227EPRODE"/>
    <s v="PROYECTO Y DISEÑO ELECTRONICO "/>
    <x v="16"/>
    <m/>
    <s v="LU"/>
    <s v="CONTRATURNO"/>
    <s v="CORDOBA ALEJANDRO"/>
    <s v="7°2°7227EPRODELU"/>
  </r>
  <r>
    <s v="7°2°"/>
    <x v="1169"/>
    <n v="0"/>
    <s v="4miVROBOTICA"/>
    <x v="19"/>
    <x v="2"/>
    <s v="7°2°7EPPDLO"/>
    <s v="EMPRENDIMIENTO PRODUCTIVO Y DESARROLLO LOCAL"/>
    <x v="11"/>
    <m/>
    <s v="MI"/>
    <s v="CONTRATURNO"/>
    <s v="GUTIERREZ NICOLAS"/>
    <m/>
  </r>
  <r>
    <s v="7°2°"/>
    <x v="1170"/>
    <n v="722"/>
    <s v="4MATrobotica"/>
    <x v="18"/>
    <x v="1"/>
    <s v="7°2°7227EELEAP"/>
    <s v="ELECTRONICA APLICADA"/>
    <x v="11"/>
    <m/>
    <s v="MA"/>
    <s v="CONTRATURNO"/>
    <s v="GUTIERREZ NICOLAS"/>
    <s v="7°2°7227EELEAPMA"/>
  </r>
  <r>
    <s v="7°2°"/>
    <x v="1171"/>
    <n v="0"/>
    <s v="4MAVAULA 4"/>
    <x v="18"/>
    <x v="2"/>
    <s v="7°2°7ESISDC"/>
    <s v="SISTEMAS DE COMUNICACIONES"/>
    <x v="1"/>
    <m/>
    <s v="MA"/>
    <s v="CONTRATURNO"/>
    <s v="SERENO, LEONEL"/>
    <s v="7°2°7ESISDCMA"/>
  </r>
  <r>
    <s v="7°2°"/>
    <x v="1172"/>
    <n v="0"/>
    <s v="4VIV44"/>
    <x v="7"/>
    <x v="2"/>
    <s v="7°2°7ESIDCO"/>
    <s v="SISTEMA DE CONTROL"/>
    <x v="23"/>
    <m/>
    <s v="VI"/>
    <m/>
    <s v="SAUCEDO GUSTAVO"/>
    <s v="7°2°7ESIDCOVI"/>
  </r>
  <r>
    <s v="7°2°"/>
    <x v="1173"/>
    <n v="721"/>
    <s v="1LU"/>
    <x v="21"/>
    <x v="2"/>
    <s v="7°2°7217EELEAP"/>
    <s v="ELECTRONICA APLICADA"/>
    <x v="16"/>
    <m/>
    <s v="LU"/>
    <s v="CONTRATURNO"/>
    <s v="GUTIERREZ NICOLAS"/>
    <s v="7°2°7217EELEAPLU"/>
  </r>
  <r>
    <s v="7°3°"/>
    <x v="1174"/>
    <n v="731"/>
    <s v="1juV"/>
    <x v="0"/>
    <x v="2"/>
    <s v="7°3°7317IIMRRI"/>
    <s v="INSTALACION, MANTENIMIENTO Y REPARACION DE REDES INFORMATICAS- "/>
    <x v="7"/>
    <m/>
    <s v="JU"/>
    <s v="CONTRATURNO"/>
    <s v="BECERRO MARIO "/>
    <s v="7°3°7317IIMRRIju"/>
  </r>
  <r>
    <s v="7°3°"/>
    <x v="1175"/>
    <n v="732"/>
    <s v="1JUV40"/>
    <x v="0"/>
    <x v="2"/>
    <s v="7°3°7327IIMRSC"/>
    <s v="INSTALACION, MANTENIMIENTO Y REPARACION DE SISTEMAS COMPUTACIONALES-"/>
    <x v="20"/>
    <m/>
    <s v="JU"/>
    <s v="CONTRATURNO"/>
    <s v="VILLALVA ESTEBAN"/>
    <s v="7°3°7327IIMRSCJU"/>
  </r>
  <r>
    <s v="7°3°"/>
    <x v="1176"/>
    <n v="0"/>
    <s v="1LUV"/>
    <x v="1"/>
    <x v="2"/>
    <s v="7°3°7IMOSIS"/>
    <s v="MODELOS Y SISTEMAS"/>
    <x v="7"/>
    <m/>
    <s v="LU"/>
    <m/>
    <s v="MONTENEGRO CLAUDIA "/>
    <s v="7°3°7IMOSISLU"/>
  </r>
  <r>
    <s v="7°3°"/>
    <x v="1177"/>
    <n v="0"/>
    <s v="1MAV"/>
    <x v="2"/>
    <x v="2"/>
    <s v="7°3°7IEVPRO"/>
    <s v="EVALUACION DE PROYECTO"/>
    <x v="7"/>
    <m/>
    <s v="MA"/>
    <m/>
    <s v="ROCHA JULIETA "/>
    <s v="7°3°7IEVPROMA"/>
  </r>
  <r>
    <s v="7°3°"/>
    <x v="1178"/>
    <n v="0"/>
    <s v="1mim"/>
    <x v="3"/>
    <x v="0"/>
    <s v="7°3°7IBADAT"/>
    <s v="BASE DE DATOS"/>
    <x v="7"/>
    <m/>
    <s v="MI"/>
    <s v="CONTRATURNO"/>
    <s v="WITT GERARDO "/>
    <s v="7°3°7IBADATmi"/>
  </r>
  <r>
    <s v="7°3°"/>
    <x v="1179"/>
    <n v="731"/>
    <s v="1miV40"/>
    <x v="3"/>
    <x v="2"/>
    <s v="7°3°7317IIMRSC"/>
    <s v="INSTALACION, MANTENIMIENTO Y REPARACION DE SISTEMAS COMPUTACIONALES-"/>
    <x v="20"/>
    <m/>
    <s v="MI"/>
    <s v="CONTRATURNO"/>
    <s v=" GUZZO HUGO DANIEL"/>
    <s v="7°3°7317IIMRSCmi"/>
  </r>
  <r>
    <s v="7°3°"/>
    <x v="1180"/>
    <n v="732"/>
    <s v="1MIVROBOTICA"/>
    <x v="3"/>
    <x v="2"/>
    <s v="7°3°7327IPDISC"/>
    <s v="PROYECTO, DISEÑO E IMPLEMENTACION DE SISTEMAS COMPUTACIONALES"/>
    <x v="11"/>
    <m/>
    <s v="MI"/>
    <s v="CONTRATURNO"/>
    <s v="GUTIERREZ ANGEL"/>
    <s v="7°3°7327IPDISCMI"/>
  </r>
  <r>
    <s v="7°3°"/>
    <x v="1181"/>
    <n v="731"/>
    <s v="1VIV"/>
    <x v="4"/>
    <x v="2"/>
    <s v="7°3°7317IPDISC"/>
    <s v="PROYECTO, DISEÑO E IMPLEMENTACION DE SISTEMAS COMPUTACIONALES"/>
    <x v="7"/>
    <m/>
    <s v="VI"/>
    <s v="CONTRATURNO"/>
    <s v="GUTIERREZ ANGEL"/>
    <s v="7°3°7317IPDISCVI"/>
  </r>
  <r>
    <s v="7°3°"/>
    <x v="1182"/>
    <n v="732"/>
    <s v="1VIV40"/>
    <x v="4"/>
    <x v="2"/>
    <s v="7°3°7327IIMRRI"/>
    <s v="INSTALACION, MANTENIMIENTO Y REPARACION DE REDES INFORMATICAS- "/>
    <x v="20"/>
    <m/>
    <s v="VI"/>
    <s v="CONTRATURNO"/>
    <s v="BECERRO MARIO "/>
    <s v="7°3°7327IIMRRIVI"/>
  </r>
  <r>
    <s v="7°3°"/>
    <x v="1183"/>
    <n v="731"/>
    <s v="2juV"/>
    <x v="5"/>
    <x v="2"/>
    <s v="7°3°7317IIMRRI"/>
    <s v="INSTALACION, MANTENIMIENTO Y REPARACION DE REDES INFORMATICAS- "/>
    <x v="7"/>
    <m/>
    <s v="JU"/>
    <s v="CONTRATURNO"/>
    <s v="BECERRO MARIO "/>
    <s v="7°3°7317IIMRRIju"/>
  </r>
  <r>
    <s v="7°3°"/>
    <x v="1184"/>
    <n v="732"/>
    <s v="2JUV40"/>
    <x v="5"/>
    <x v="2"/>
    <s v="7°3°7327IIMRSC"/>
    <s v="INSTALACION, MANTENIMIENTO Y REPARACION DE SISTEMAS COMPUTACIONALES-"/>
    <x v="20"/>
    <m/>
    <s v="JU"/>
    <s v="CONTRATURNO"/>
    <s v="VILLALVA ESTEBAN"/>
    <s v="7°3°7327IIMRSCJU"/>
  </r>
  <r>
    <s v="7°3°"/>
    <x v="1185"/>
    <n v="0"/>
    <s v="2LUV"/>
    <x v="9"/>
    <x v="2"/>
    <s v="7°3°7IMOSIS"/>
    <s v="MODELOS Y SISTEMAS"/>
    <x v="7"/>
    <m/>
    <s v="LU"/>
    <m/>
    <s v="MONTENEGRO CLAUDIA "/>
    <s v="7°3°7IMOSISLU"/>
  </r>
  <r>
    <s v="7°3°"/>
    <x v="1186"/>
    <n v="0"/>
    <s v="2MAV"/>
    <x v="10"/>
    <x v="2"/>
    <s v="7°3°7IEVPRO"/>
    <s v="EVALUACION DE PROYECTO"/>
    <x v="7"/>
    <m/>
    <s v="MA"/>
    <m/>
    <s v="ROCHA JULIETA "/>
    <s v="7°3°7IEVPROMA"/>
  </r>
  <r>
    <s v="7°3°"/>
    <x v="1187"/>
    <n v="0"/>
    <s v="2mim"/>
    <x v="11"/>
    <x v="0"/>
    <s v="7°3°7IBADAT"/>
    <s v="BASE DE DATOS"/>
    <x v="7"/>
    <m/>
    <s v="MI"/>
    <s v="CONTRATURNO"/>
    <s v="WITT GERARDO "/>
    <s v="7°3°7IBADATmi"/>
  </r>
  <r>
    <s v="7°3°"/>
    <x v="1188"/>
    <n v="731"/>
    <s v="2miV40"/>
    <x v="11"/>
    <x v="2"/>
    <s v="7°3°7317IIMRSC"/>
    <s v="INSTALACION, MANTENIMIENTO Y REPARACION DE SISTEMAS COMPUTACIONALES-"/>
    <x v="20"/>
    <m/>
    <s v="MI"/>
    <s v="CONTRATURNO"/>
    <s v=" GUZZO HUGO DANIEL"/>
    <s v="7°3°7317IIMRSCmi"/>
  </r>
  <r>
    <s v="7°3°"/>
    <x v="1189"/>
    <n v="732"/>
    <s v="2MIVROBOTICA"/>
    <x v="11"/>
    <x v="2"/>
    <s v="7°3°7327IPDISC"/>
    <s v="PROYECTO, DISEÑO E IMPLEMENTACION DE SISTEMAS COMPUTACIONALES"/>
    <x v="11"/>
    <m/>
    <s v="MI"/>
    <s v="CONTRATURNO"/>
    <s v="GUTIERREZ ANGEL"/>
    <s v="7°3°7327IPDISCMI"/>
  </r>
  <r>
    <s v="7°3°"/>
    <x v="1190"/>
    <n v="731"/>
    <s v="2VIV"/>
    <x v="8"/>
    <x v="2"/>
    <s v="7°3°7317IPDISC"/>
    <s v="PROYECTO, DISEÑO E IMPLEMENTACION DE SISTEMAS COMPUTACIONALES"/>
    <x v="7"/>
    <m/>
    <s v="VI"/>
    <s v="CONTRATURNO"/>
    <s v="GUTIERREZ ANGEL"/>
    <s v="7°3°7317IPDISCVI"/>
  </r>
  <r>
    <s v="7°3°"/>
    <x v="1191"/>
    <n v="732"/>
    <s v="2VIV40"/>
    <x v="8"/>
    <x v="2"/>
    <s v="7°3°7327IIMRRI"/>
    <s v="INSTALACION, MANTENIMIENTO Y REPARACION DE REDES INFORMATICAS- "/>
    <x v="20"/>
    <m/>
    <s v="VI"/>
    <s v="CONTRATURNO"/>
    <s v="BECERRO MARIO "/>
    <s v="7°3°7327IIMRRIVI"/>
  </r>
  <r>
    <s v="7°3°"/>
    <x v="1192"/>
    <n v="731"/>
    <s v="3juV"/>
    <x v="12"/>
    <x v="2"/>
    <s v="7°3°7317IIMRRI"/>
    <s v="INSTALACION, MANTENIMIENTO Y REPARACION DE REDES INFORMATICAS- "/>
    <x v="7"/>
    <m/>
    <s v="JU"/>
    <s v="CONTRATURNO"/>
    <s v="BECERRO MARIO "/>
    <s v="7°3°7317IIMRRIju"/>
  </r>
  <r>
    <s v="7°3°"/>
    <x v="1193"/>
    <n v="732"/>
    <s v="3JUV40"/>
    <x v="12"/>
    <x v="2"/>
    <s v="7°3°7327IIMRSC"/>
    <s v="INSTALACION, MANTENIMIENTO Y REPARACION DE SISTEMAS COMPUTACIONALES-"/>
    <x v="20"/>
    <m/>
    <s v="JU"/>
    <s v="CONTRATURNO"/>
    <s v="VILLALVA ESTEBAN"/>
    <s v="7°3°7327IIMRSCJU"/>
  </r>
  <r>
    <s v="7°3°"/>
    <x v="1194"/>
    <n v="0"/>
    <s v="3MAV"/>
    <x v="14"/>
    <x v="2"/>
    <s v="7°3°7IPPDLO"/>
    <s v="EMPRENDIMIENTO PRODUCTIVO Y DESARROLLO LOCAL"/>
    <x v="7"/>
    <m/>
    <s v="MA"/>
    <m/>
    <s v="ROCHA JULIETA "/>
    <s v="7°3°7IPPDLOMA"/>
  </r>
  <r>
    <s v="7°3°"/>
    <x v="1195"/>
    <n v="0"/>
    <s v="3mim"/>
    <x v="15"/>
    <x v="0"/>
    <s v="7°3°7IBADAT"/>
    <s v="BASE DE DATOS"/>
    <x v="7"/>
    <m/>
    <s v="MI"/>
    <s v="CONTRATURNO"/>
    <s v="WITT GERARDO "/>
    <s v="7°3°7IBADATmi"/>
  </r>
  <r>
    <s v="7°3°"/>
    <x v="1196"/>
    <n v="731"/>
    <s v="3miV40"/>
    <x v="15"/>
    <x v="2"/>
    <s v="7°3°7317IIMRSC"/>
    <s v="INSTALACION, MANTENIMIENTO Y REPARACION DE SISTEMAS COMPUTACIONALES-"/>
    <x v="20"/>
    <m/>
    <s v="MI"/>
    <s v="CONTRATURNO"/>
    <s v=" GUZZO HUGO DANIEL"/>
    <s v="7°3°7317IIMRSCmi"/>
  </r>
  <r>
    <s v="7°3°"/>
    <x v="1197"/>
    <n v="732"/>
    <s v="3MIVROBOTICA"/>
    <x v="15"/>
    <x v="2"/>
    <s v="7°3°7327IPDISC"/>
    <s v="PROYECTO, DISEÑO E IMPLEMENTACION DE SISTEMAS COMPUTACIONALES"/>
    <x v="11"/>
    <m/>
    <s v="MI"/>
    <s v="CONTRATURNO"/>
    <s v="GUTIERREZ ANGEL"/>
    <s v="7°3°7327IPDISCMI"/>
  </r>
  <r>
    <s v="7°3°"/>
    <x v="1198"/>
    <n v="731"/>
    <s v="3VIV"/>
    <x v="6"/>
    <x v="2"/>
    <s v="7°3°7317IPDISC"/>
    <s v="PROYECTO, DISEÑO E IMPLEMENTACION DE SISTEMAS COMPUTACIONALES"/>
    <x v="7"/>
    <m/>
    <s v="VI"/>
    <s v="CONTRATURNO"/>
    <s v="GUTIERREZ ANGEL"/>
    <s v="7°3°7317IPDISCVI"/>
  </r>
  <r>
    <s v="7°3°"/>
    <x v="1199"/>
    <n v="732"/>
    <s v="3VIV40"/>
    <x v="6"/>
    <x v="2"/>
    <s v="7°3°7327IIMRRI"/>
    <s v="INSTALACION, MANTENIMIENTO Y REPARACION DE REDES INFORMATICAS- "/>
    <x v="20"/>
    <m/>
    <s v="VI"/>
    <s v="CONTRATURNO"/>
    <s v="BECERRO MARIO "/>
    <s v="7°3°7327IIMRRIVI"/>
  </r>
  <r>
    <s v="7°3°"/>
    <x v="1200"/>
    <n v="731"/>
    <s v="4juV"/>
    <x v="16"/>
    <x v="2"/>
    <s v="7°3°7317IIMRRI"/>
    <s v="INSTALACION, MANTENIMIENTO Y REPARACION DE REDES INFORMATICAS- "/>
    <x v="7"/>
    <m/>
    <s v="JU"/>
    <s v="CONTRATURNO"/>
    <s v="BECERRO MARIO "/>
    <s v="7°3°7317IIMRRIju"/>
  </r>
  <r>
    <s v="7°3°"/>
    <x v="1201"/>
    <n v="732"/>
    <s v="4JUV40"/>
    <x v="16"/>
    <x v="2"/>
    <s v="7°3°7327IIMRSC"/>
    <s v="INSTALACION, MANTENIMIENTO Y REPARACION DE SISTEMAS COMPUTACIONALES-"/>
    <x v="20"/>
    <m/>
    <s v="JU"/>
    <s v="CONTRATURNO"/>
    <s v="VILLALVA ESTEBAN"/>
    <s v="7°3°7327IIMRSCJU"/>
  </r>
  <r>
    <s v="7°3°"/>
    <x v="1202"/>
    <n v="0"/>
    <s v="4MAV"/>
    <x v="18"/>
    <x v="2"/>
    <s v="7°3°7IPPDLO"/>
    <s v="EMPRENDIMIENTO PRODUCTIVO Y DESARROLLO LOCAL"/>
    <x v="7"/>
    <m/>
    <s v="MA"/>
    <m/>
    <s v="ROCHA JULIETA "/>
    <s v="7°3°7IPPDLOMA"/>
  </r>
  <r>
    <s v="7°3°"/>
    <x v="1203"/>
    <n v="731"/>
    <s v="4miV40"/>
    <x v="19"/>
    <x v="2"/>
    <s v="7°3°7317IIMRSC"/>
    <s v="INSTALACION, MANTENIMIENTO Y REPARACION DE SISTEMAS COMPUTACIONALES-"/>
    <x v="20"/>
    <m/>
    <s v="MI"/>
    <s v="CONTRATURNO"/>
    <s v=" GUZZO HUGO DANIEL"/>
    <s v="7°3°7317IIMRSCmi"/>
  </r>
  <r>
    <s v="7°3°"/>
    <x v="1204"/>
    <n v="732"/>
    <s v="4MIVROBOTICA"/>
    <x v="19"/>
    <x v="2"/>
    <s v="7°3°7327IPDISC"/>
    <s v="PROYECTO, DISEÑO E IMPLEMENTACION DE SISTEMAS COMPUTACIONALES"/>
    <x v="11"/>
    <m/>
    <s v="MI"/>
    <s v="CONTRATURNO"/>
    <s v="GUTIERREZ ANGEL"/>
    <s v="7°3°7327IPDISCMI"/>
  </r>
  <r>
    <s v="7°3°"/>
    <x v="1205"/>
    <n v="731"/>
    <s v="4VIV"/>
    <x v="7"/>
    <x v="2"/>
    <s v="7°3°7317IPDISC"/>
    <s v="PROYECTO, DISEÑO E IMPLEMENTACION DE SISTEMAS COMPUTACIONALES"/>
    <x v="7"/>
    <m/>
    <s v="VI"/>
    <s v="CONTRATURNO"/>
    <s v="GUTIERREZ ANGEL"/>
    <s v="7°3°7317IPDISCVI"/>
  </r>
  <r>
    <s v="7°3°"/>
    <x v="1206"/>
    <n v="732"/>
    <s v="4VIV40"/>
    <x v="7"/>
    <x v="2"/>
    <s v="7°3°7327IIMRRI"/>
    <s v="INSTALACION, MANTENIMIENTO Y REPARACION DE REDES INFORMATICAS- "/>
    <x v="20"/>
    <m/>
    <s v="VI"/>
    <s v="CONTRATURNO"/>
    <s v="BECERRO MARIO "/>
    <s v="7°3°7327IIMRRIVI"/>
  </r>
  <r>
    <m/>
    <x v="1207"/>
    <m/>
    <m/>
    <x v="31"/>
    <x v="3"/>
    <m/>
    <m/>
    <x v="7"/>
    <m/>
    <m/>
    <m/>
    <m/>
    <m/>
  </r>
  <r>
    <m/>
    <x v="1207"/>
    <m/>
    <m/>
    <x v="31"/>
    <x v="3"/>
    <m/>
    <m/>
    <x v="7"/>
    <m/>
    <m/>
    <m/>
    <m/>
    <m/>
  </r>
  <r>
    <m/>
    <x v="1207"/>
    <m/>
    <m/>
    <x v="31"/>
    <x v="3"/>
    <m/>
    <m/>
    <x v="7"/>
    <m/>
    <m/>
    <m/>
    <m/>
    <m/>
  </r>
  <r>
    <m/>
    <x v="1207"/>
    <m/>
    <m/>
    <x v="31"/>
    <x v="3"/>
    <m/>
    <m/>
    <x v="7"/>
    <m/>
    <m/>
    <m/>
    <m/>
    <m/>
  </r>
  <r>
    <m/>
    <x v="1207"/>
    <m/>
    <m/>
    <x v="31"/>
    <x v="3"/>
    <m/>
    <m/>
    <x v="7"/>
    <m/>
    <m/>
    <m/>
    <m/>
    <m/>
  </r>
  <r>
    <m/>
    <x v="1207"/>
    <m/>
    <m/>
    <x v="31"/>
    <x v="3"/>
    <m/>
    <m/>
    <x v="7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1000000}" name="TablaDinámica10" cacheId="0" applyNumberFormats="0" applyBorderFormats="0" applyFontFormats="0" applyPatternFormats="0" applyAlignmentFormats="0" applyWidthHeightFormats="1" dataCaption="Valores" updatedVersion="5" minRefreshableVersion="3" useAutoFormatting="1" rowGrandTotals="0" colGrandTotals="0" itemPrintTitles="1" createdVersion="6" indent="0" outline="1" outlineData="1" multipleFieldFilters="0">
  <location ref="G3:G16" firstHeaderRow="1" firstDataRow="1" firstDataCol="1"/>
  <pivotFields count="12">
    <pivotField axis="axisRow" showAll="0" sortType="ascending">
      <items count="37">
        <item m="1" x="30"/>
        <item x="0"/>
        <item x="2"/>
        <item x="3"/>
        <item x="4"/>
        <item m="1" x="33"/>
        <item m="1" x="34"/>
        <item x="5"/>
        <item x="6"/>
        <item x="7"/>
        <item x="8"/>
        <item x="9"/>
        <item x="10"/>
        <item x="11"/>
        <item x="12"/>
        <item x="13"/>
        <item x="1"/>
        <item x="14"/>
        <item x="15"/>
        <item x="16"/>
        <item x="17"/>
        <item x="21"/>
        <item m="1" x="31"/>
        <item x="19"/>
        <item x="20"/>
        <item x="18"/>
        <item x="22"/>
        <item x="23"/>
        <item x="24"/>
        <item x="25"/>
        <item x="26"/>
        <item x="27"/>
        <item x="28"/>
        <item m="1" x="35"/>
        <item m="1" x="32"/>
        <item x="29"/>
        <item t="default"/>
      </items>
    </pivotField>
    <pivotField showAll="0"/>
    <pivotField showAll="0"/>
    <pivotField showAll="0"/>
    <pivotField showAll="0"/>
    <pivotField axis="axisRow" showAll="0">
      <items count="6">
        <item h="1" x="0"/>
        <item h="1" x="1"/>
        <item x="2"/>
        <item h="1" x="3"/>
        <item h="1" m="1" x="4"/>
        <item t="default"/>
      </items>
    </pivotField>
    <pivotField showAll="0" defaultSubtotal="0"/>
    <pivotField showAll="0"/>
    <pivotField showAll="0"/>
    <pivotField showAll="0"/>
    <pivotField axis="axisRow" showAll="0" sortType="ascending">
      <items count="11">
        <item h="1" x="5"/>
        <item h="1" m="1" x="9"/>
        <item h="1" m="1" x="7"/>
        <item x="0"/>
        <item h="1" x="1"/>
        <item h="1" x="2"/>
        <item h="1" x="3"/>
        <item h="1" m="1" x="8"/>
        <item h="1" x="4"/>
        <item h="1" x="6"/>
        <item t="default"/>
      </items>
    </pivotField>
    <pivotField axis="axisRow" showAll="0" defaultSubtotal="0">
      <items count="4">
        <item x="1"/>
        <item h="1" x="0"/>
        <item h="1" m="1" x="3"/>
        <item h="1" x="2"/>
      </items>
    </pivotField>
  </pivotFields>
  <rowFields count="4">
    <field x="11"/>
    <field x="5"/>
    <field x="10"/>
    <field x="0"/>
  </rowFields>
  <rowItems count="13">
    <i>
      <x/>
    </i>
    <i r="1">
      <x v="2"/>
    </i>
    <i r="2">
      <x v="3"/>
    </i>
    <i r="3">
      <x v="13"/>
    </i>
    <i r="3">
      <x v="15"/>
    </i>
    <i r="3">
      <x v="17"/>
    </i>
    <i r="3">
      <x v="21"/>
    </i>
    <i r="3">
      <x v="24"/>
    </i>
    <i r="3">
      <x v="28"/>
    </i>
    <i r="3">
      <x v="29"/>
    </i>
    <i r="3">
      <x v="30"/>
    </i>
    <i r="3">
      <x v="31"/>
    </i>
    <i r="3">
      <x v="32"/>
    </i>
  </rowItems>
  <colItems count="1">
    <i/>
  </colItems>
  <formats count="2">
    <format dxfId="19">
      <pivotArea dataOnly="0" outline="0" fieldPosition="0">
        <references count="1">
          <reference field="10" count="1">
            <x v="4"/>
          </reference>
        </references>
      </pivotArea>
    </format>
    <format dxfId="18">
      <pivotArea dataOnly="0" labelOnly="1" fieldPosition="0">
        <references count="3">
          <reference field="5" count="1" selected="0">
            <x v="0"/>
          </reference>
          <reference field="10" count="1">
            <x v="4"/>
          </reference>
          <reference field="11" count="0" selected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TablaDinámica9" cacheId="0" applyNumberFormats="0" applyBorderFormats="0" applyFontFormats="0" applyPatternFormats="0" applyAlignmentFormats="0" applyWidthHeightFormats="1" dataCaption="Valores" updatedVersion="5" minRefreshableVersion="3" useAutoFormatting="1" rowGrandTotals="0" colGrandTotals="0" itemPrintTitles="1" createdVersion="6" indent="0" outline="1" outlineData="1" multipleFieldFilters="0">
  <location ref="E3:E14" firstHeaderRow="1" firstDataRow="1" firstDataCol="1"/>
  <pivotFields count="12">
    <pivotField axis="axisRow" showAll="0" sortType="ascending">
      <items count="37">
        <item m="1" x="30"/>
        <item x="0"/>
        <item x="2"/>
        <item x="3"/>
        <item x="4"/>
        <item m="1" x="33"/>
        <item m="1" x="34"/>
        <item x="5"/>
        <item x="6"/>
        <item x="7"/>
        <item x="8"/>
        <item x="9"/>
        <item x="10"/>
        <item x="11"/>
        <item x="12"/>
        <item x="13"/>
        <item x="1"/>
        <item x="14"/>
        <item x="15"/>
        <item x="16"/>
        <item x="17"/>
        <item x="21"/>
        <item m="1" x="31"/>
        <item x="19"/>
        <item x="20"/>
        <item x="18"/>
        <item x="22"/>
        <item x="23"/>
        <item x="24"/>
        <item x="25"/>
        <item x="26"/>
        <item x="27"/>
        <item x="28"/>
        <item m="1" x="35"/>
        <item m="1" x="32"/>
        <item x="29"/>
        <item t="default"/>
      </items>
    </pivotField>
    <pivotField showAll="0"/>
    <pivotField showAll="0"/>
    <pivotField showAll="0"/>
    <pivotField showAll="0"/>
    <pivotField axis="axisRow" showAll="0">
      <items count="6">
        <item h="1" x="0"/>
        <item h="1" x="1"/>
        <item x="2"/>
        <item h="1" x="3"/>
        <item h="1" m="1" x="4"/>
        <item t="default"/>
      </items>
    </pivotField>
    <pivotField showAll="0" defaultSubtotal="0"/>
    <pivotField showAll="0"/>
    <pivotField showAll="0"/>
    <pivotField showAll="0"/>
    <pivotField axis="axisRow" showAll="0" sortType="descending">
      <items count="11">
        <item h="1" x="6"/>
        <item h="1" x="4"/>
        <item h="1" m="1" x="8"/>
        <item x="3"/>
        <item h="1" x="2"/>
        <item h="1" x="1"/>
        <item h="1" x="0"/>
        <item h="1" m="1" x="7"/>
        <item h="1" m="1" x="9"/>
        <item h="1" x="5"/>
        <item t="default"/>
      </items>
    </pivotField>
    <pivotField axis="axisRow" showAll="0" sortType="descending" defaultSubtotal="0">
      <items count="4">
        <item h="1" x="0"/>
        <item h="1" m="1" x="3"/>
        <item x="1"/>
        <item h="1" x="2"/>
      </items>
    </pivotField>
  </pivotFields>
  <rowFields count="4">
    <field x="11"/>
    <field x="5"/>
    <field x="10"/>
    <field x="0"/>
  </rowFields>
  <rowItems count="11">
    <i>
      <x v="2"/>
    </i>
    <i r="1">
      <x v="2"/>
    </i>
    <i r="2">
      <x v="3"/>
    </i>
    <i r="3">
      <x v="17"/>
    </i>
    <i r="3">
      <x v="19"/>
    </i>
    <i r="3">
      <x v="21"/>
    </i>
    <i r="3">
      <x v="24"/>
    </i>
    <i r="3">
      <x v="28"/>
    </i>
    <i r="3">
      <x v="29"/>
    </i>
    <i r="3">
      <x v="31"/>
    </i>
    <i r="3">
      <x v="32"/>
    </i>
  </rowItems>
  <colItems count="1">
    <i/>
  </colItems>
  <formats count="2">
    <format dxfId="21">
      <pivotArea dataOnly="0" outline="0" fieldPosition="0">
        <references count="1">
          <reference field="10" count="1">
            <x v="5"/>
          </reference>
        </references>
      </pivotArea>
    </format>
    <format dxfId="20">
      <pivotArea dataOnly="0" labelOnly="1" fieldPosition="0">
        <references count="3">
          <reference field="5" count="1" selected="0">
            <x v="0"/>
          </reference>
          <reference field="10" count="1">
            <x v="5"/>
          </reference>
          <reference field="11" count="0" selected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4000000}" name="TablaDinámica8" cacheId="0" applyNumberFormats="0" applyBorderFormats="0" applyFontFormats="0" applyPatternFormats="0" applyAlignmentFormats="0" applyWidthHeightFormats="1" dataCaption="Valores" updatedVersion="5" minRefreshableVersion="3" useAutoFormatting="1" rowGrandTotals="0" colGrandTotals="0" itemPrintTitles="1" createdVersion="6" indent="0" outline="1" outlineData="1" multipleFieldFilters="0">
  <location ref="C3:C11" firstHeaderRow="1" firstDataRow="1" firstDataCol="1"/>
  <pivotFields count="12">
    <pivotField axis="axisRow" showAll="0">
      <items count="37">
        <item x="0"/>
        <item x="2"/>
        <item x="3"/>
        <item x="4"/>
        <item m="1" x="33"/>
        <item m="1" x="34"/>
        <item x="5"/>
        <item x="6"/>
        <item x="7"/>
        <item x="8"/>
        <item x="9"/>
        <item x="10"/>
        <item x="11"/>
        <item x="12"/>
        <item x="13"/>
        <item x="1"/>
        <item x="14"/>
        <item x="15"/>
        <item x="16"/>
        <item x="17"/>
        <item x="21"/>
        <item m="1" x="31"/>
        <item x="19"/>
        <item x="20"/>
        <item x="22"/>
        <item x="23"/>
        <item x="25"/>
        <item x="26"/>
        <item x="27"/>
        <item m="1" x="32"/>
        <item x="29"/>
        <item m="1" x="35"/>
        <item x="18"/>
        <item x="24"/>
        <item x="28"/>
        <item m="1" x="30"/>
        <item t="default"/>
      </items>
    </pivotField>
    <pivotField showAll="0"/>
    <pivotField showAll="0"/>
    <pivotField showAll="0"/>
    <pivotField showAll="0"/>
    <pivotField axis="axisRow" showAll="0">
      <items count="6">
        <item h="1" x="0"/>
        <item h="1" x="1"/>
        <item x="2"/>
        <item h="1" x="3"/>
        <item h="1" m="1" x="4"/>
        <item t="default"/>
      </items>
    </pivotField>
    <pivotField showAll="0" defaultSubtotal="0"/>
    <pivotField showAll="0"/>
    <pivotField showAll="0"/>
    <pivotField showAll="0"/>
    <pivotField axis="axisRow" showAll="0">
      <items count="11">
        <item h="1" m="1" x="7"/>
        <item h="1" x="1"/>
        <item x="2"/>
        <item h="1" x="3"/>
        <item h="1" m="1" x="8"/>
        <item h="1" x="0"/>
        <item h="1" x="4"/>
        <item h="1" x="6"/>
        <item h="1" m="1" x="9"/>
        <item h="1" x="5"/>
        <item t="default"/>
      </items>
    </pivotField>
    <pivotField axis="axisRow" showAll="0" defaultSubtotal="0">
      <items count="4">
        <item x="1"/>
        <item h="1" x="0"/>
        <item h="1" m="1" x="3"/>
        <item h="1" x="2"/>
      </items>
    </pivotField>
  </pivotFields>
  <rowFields count="4">
    <field x="11"/>
    <field x="5"/>
    <field x="10"/>
    <field x="0"/>
  </rowFields>
  <rowItems count="8">
    <i>
      <x/>
    </i>
    <i r="1">
      <x v="2"/>
    </i>
    <i r="2">
      <x v="2"/>
    </i>
    <i r="3">
      <x v="15"/>
    </i>
    <i r="3">
      <x v="16"/>
    </i>
    <i r="3">
      <x v="23"/>
    </i>
    <i r="3">
      <x v="28"/>
    </i>
    <i r="3">
      <x v="33"/>
    </i>
  </rowItems>
  <colItems count="1">
    <i/>
  </colItems>
  <formats count="2">
    <format dxfId="23">
      <pivotArea dataOnly="0" outline="0" fieldPosition="0">
        <references count="1">
          <reference field="10" count="1">
            <x v="1"/>
          </reference>
        </references>
      </pivotArea>
    </format>
    <format dxfId="22">
      <pivotArea dataOnly="0" labelOnly="1" fieldPosition="0">
        <references count="3">
          <reference field="5" count="1" selected="0">
            <x v="0"/>
          </reference>
          <reference field="10" count="1">
            <x v="1"/>
          </reference>
          <reference field="11" count="0" selected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3000000}" name="TablaDinámica5" cacheId="0" applyNumberFormats="0" applyBorderFormats="0" applyFontFormats="0" applyPatternFormats="0" applyAlignmentFormats="0" applyWidthHeightFormats="1" dataCaption="Valores" updatedVersion="5" minRefreshableVersion="3" useAutoFormatting="1" rowGrandTotals="0" colGrandTotals="0" itemPrintTitles="1" createdVersion="6" indent="0" outline="1" outlineData="1" multipleFieldFilters="0">
  <location ref="A3:A10" firstHeaderRow="1" firstDataRow="1" firstDataCol="1"/>
  <pivotFields count="12">
    <pivotField axis="axisRow" showAll="0" sortType="ascending">
      <items count="37">
        <item m="1" x="30"/>
        <item x="0"/>
        <item x="2"/>
        <item x="3"/>
        <item x="4"/>
        <item m="1" x="33"/>
        <item m="1" x="34"/>
        <item x="5"/>
        <item x="6"/>
        <item x="7"/>
        <item x="8"/>
        <item x="9"/>
        <item x="10"/>
        <item x="11"/>
        <item x="12"/>
        <item x="13"/>
        <item x="1"/>
        <item x="14"/>
        <item x="15"/>
        <item x="16"/>
        <item x="17"/>
        <item x="21"/>
        <item m="1" x="31"/>
        <item x="19"/>
        <item x="20"/>
        <item x="18"/>
        <item x="22"/>
        <item x="23"/>
        <item x="24"/>
        <item x="25"/>
        <item x="26"/>
        <item x="27"/>
        <item x="28"/>
        <item m="1" x="35"/>
        <item m="1" x="32"/>
        <item x="29"/>
        <item t="default"/>
      </items>
    </pivotField>
    <pivotField showAll="0"/>
    <pivotField showAll="0"/>
    <pivotField showAll="0"/>
    <pivotField showAll="0"/>
    <pivotField axis="axisRow" showAll="0">
      <items count="6">
        <item h="1" x="0"/>
        <item h="1" x="1"/>
        <item x="2"/>
        <item h="1" x="3"/>
        <item h="1" m="1" x="4"/>
        <item t="default"/>
      </items>
    </pivotField>
    <pivotField showAll="0" defaultSubtotal="0"/>
    <pivotField showAll="0"/>
    <pivotField showAll="0"/>
    <pivotField showAll="0"/>
    <pivotField axis="axisRow" showAll="0">
      <items count="11">
        <item h="1" m="1" x="7"/>
        <item x="1"/>
        <item h="1" x="2"/>
        <item h="1" x="3"/>
        <item h="1" m="1" x="8"/>
        <item h="1" x="0"/>
        <item h="1" x="4"/>
        <item h="1" x="6"/>
        <item h="1" m="1" x="9"/>
        <item h="1" x="5"/>
        <item t="default"/>
      </items>
    </pivotField>
    <pivotField axis="axisRow" showAll="0" defaultSubtotal="0">
      <items count="4">
        <item x="1"/>
        <item h="1" x="0"/>
        <item h="1" m="1" x="3"/>
        <item h="1" x="2"/>
      </items>
    </pivotField>
  </pivotFields>
  <rowFields count="4">
    <field x="11"/>
    <field x="5"/>
    <field x="10"/>
    <field x="0"/>
  </rowFields>
  <rowItems count="7">
    <i>
      <x/>
    </i>
    <i r="1">
      <x v="2"/>
    </i>
    <i r="2">
      <x v="1"/>
    </i>
    <i r="3">
      <x v="17"/>
    </i>
    <i r="3">
      <x v="21"/>
    </i>
    <i r="3">
      <x v="29"/>
    </i>
    <i r="3">
      <x v="31"/>
    </i>
  </rowItems>
  <colItems count="1">
    <i/>
  </colItems>
  <formats count="2">
    <format dxfId="25">
      <pivotArea dataOnly="0" outline="0" fieldPosition="0">
        <references count="1">
          <reference field="10" count="1">
            <x v="1"/>
          </reference>
        </references>
      </pivotArea>
    </format>
    <format dxfId="24">
      <pivotArea dataOnly="0" labelOnly="1" fieldPosition="0">
        <references count="3">
          <reference field="5" count="1" selected="0">
            <x v="0"/>
          </reference>
          <reference field="10" count="1">
            <x v="1"/>
          </reference>
          <reference field="11" count="0" selected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2000000}" name="TablaDinámica11" cacheId="0" applyNumberFormats="0" applyBorderFormats="0" applyFontFormats="0" applyPatternFormats="0" applyAlignmentFormats="0" applyWidthHeightFormats="1" dataCaption="Valores" updatedVersion="5" minRefreshableVersion="3" useAutoFormatting="1" rowGrandTotals="0" colGrandTotals="0" itemPrintTitles="1" createdVersion="6" indent="0" outline="1" outlineData="1" multipleFieldFilters="0">
  <location ref="I3:I12" firstHeaderRow="1" firstDataRow="1" firstDataCol="1"/>
  <pivotFields count="12">
    <pivotField axis="axisRow" showAll="0" sortType="ascending">
      <items count="37">
        <item m="1" x="30"/>
        <item x="0"/>
        <item x="2"/>
        <item x="3"/>
        <item x="4"/>
        <item m="1" x="33"/>
        <item m="1" x="34"/>
        <item x="5"/>
        <item x="6"/>
        <item x="7"/>
        <item x="8"/>
        <item x="9"/>
        <item x="10"/>
        <item x="11"/>
        <item x="12"/>
        <item x="13"/>
        <item x="1"/>
        <item x="14"/>
        <item x="15"/>
        <item x="16"/>
        <item x="17"/>
        <item x="21"/>
        <item m="1" x="31"/>
        <item x="19"/>
        <item x="20"/>
        <item x="18"/>
        <item x="22"/>
        <item x="23"/>
        <item x="24"/>
        <item x="25"/>
        <item x="26"/>
        <item x="27"/>
        <item x="28"/>
        <item m="1" x="35"/>
        <item m="1" x="32"/>
        <item x="29"/>
        <item t="default"/>
      </items>
    </pivotField>
    <pivotField showAll="0"/>
    <pivotField showAll="0"/>
    <pivotField showAll="0"/>
    <pivotField showAll="0"/>
    <pivotField axis="axisRow" showAll="0">
      <items count="6">
        <item h="1" x="0"/>
        <item h="1" x="1"/>
        <item x="2"/>
        <item h="1" x="3"/>
        <item h="1" m="1" x="4"/>
        <item t="default"/>
      </items>
    </pivotField>
    <pivotField showAll="0" defaultSubtotal="0"/>
    <pivotField showAll="0"/>
    <pivotField showAll="0"/>
    <pivotField showAll="0"/>
    <pivotField axis="axisRow" showAll="0">
      <items count="11">
        <item h="1" m="1" x="7"/>
        <item h="1" x="1"/>
        <item h="1" x="2"/>
        <item h="1" x="3"/>
        <item h="1" m="1" x="8"/>
        <item h="1" x="0"/>
        <item x="4"/>
        <item h="1" x="6"/>
        <item h="1" m="1" x="9"/>
        <item h="1" x="5"/>
        <item t="default"/>
      </items>
    </pivotField>
    <pivotField axis="axisRow" showAll="0" sortType="ascending" defaultSubtotal="0">
      <items count="4">
        <item h="1" x="2"/>
        <item x="1"/>
        <item h="1" m="1" x="3"/>
        <item h="1" x="0"/>
      </items>
    </pivotField>
  </pivotFields>
  <rowFields count="4">
    <field x="11"/>
    <field x="5"/>
    <field x="10"/>
    <field x="0"/>
  </rowFields>
  <rowItems count="9">
    <i>
      <x v="1"/>
    </i>
    <i r="1">
      <x v="2"/>
    </i>
    <i r="2">
      <x v="6"/>
    </i>
    <i r="3">
      <x v="14"/>
    </i>
    <i r="3">
      <x v="17"/>
    </i>
    <i r="3">
      <x v="21"/>
    </i>
    <i r="3">
      <x v="24"/>
    </i>
    <i r="3">
      <x v="30"/>
    </i>
    <i r="3">
      <x v="32"/>
    </i>
  </rowItems>
  <colItems count="1">
    <i/>
  </colItems>
  <formats count="2">
    <format dxfId="27">
      <pivotArea dataOnly="0" outline="0" fieldPosition="0">
        <references count="1">
          <reference field="10" count="1">
            <x v="1"/>
          </reference>
        </references>
      </pivotArea>
    </format>
    <format dxfId="26">
      <pivotArea dataOnly="0" labelOnly="1" fieldPosition="0">
        <references count="3">
          <reference field="5" count="1" selected="0">
            <x v="0"/>
          </reference>
          <reference field="10" count="1">
            <x v="1"/>
          </reference>
          <reference field="11" count="0" selected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8000000}" name="TablaDinámica9" cacheId="0" applyNumberFormats="0" applyBorderFormats="0" applyFontFormats="0" applyPatternFormats="0" applyAlignmentFormats="0" applyWidthHeightFormats="1" dataCaption="Valores" updatedVersion="5" minRefreshableVersion="3" useAutoFormatting="1" rowGrandTotals="0" colGrandTotals="0" itemPrintTitles="1" createdVersion="6" indent="0" outline="1" outlineData="1" multipleFieldFilters="0">
  <location ref="E3:E17" firstHeaderRow="1" firstDataRow="1" firstDataCol="1"/>
  <pivotFields count="12">
    <pivotField axis="axisRow" showAll="0">
      <items count="37">
        <item x="0"/>
        <item x="2"/>
        <item x="3"/>
        <item x="4"/>
        <item m="1" x="33"/>
        <item m="1" x="34"/>
        <item x="5"/>
        <item x="6"/>
        <item x="7"/>
        <item x="8"/>
        <item x="9"/>
        <item x="10"/>
        <item x="11"/>
        <item x="12"/>
        <item x="13"/>
        <item x="1"/>
        <item x="14"/>
        <item x="15"/>
        <item x="16"/>
        <item x="17"/>
        <item x="21"/>
        <item m="1" x="31"/>
        <item x="19"/>
        <item x="20"/>
        <item x="22"/>
        <item x="23"/>
        <item x="25"/>
        <item x="26"/>
        <item x="27"/>
        <item m="1" x="32"/>
        <item x="29"/>
        <item m="1" x="35"/>
        <item x="18"/>
        <item x="24"/>
        <item x="28"/>
        <item m="1" x="30"/>
        <item t="default"/>
      </items>
    </pivotField>
    <pivotField showAll="0"/>
    <pivotField showAll="0"/>
    <pivotField showAll="0"/>
    <pivotField showAll="0"/>
    <pivotField axis="axisRow" showAll="0">
      <items count="6">
        <item h="1" x="0"/>
        <item x="1"/>
        <item h="1" x="2"/>
        <item h="1" x="3"/>
        <item h="1" m="1" x="4"/>
        <item t="default"/>
      </items>
    </pivotField>
    <pivotField showAll="0" defaultSubtotal="0"/>
    <pivotField showAll="0"/>
    <pivotField showAll="0"/>
    <pivotField showAll="0"/>
    <pivotField axis="axisRow" showAll="0">
      <items count="11">
        <item h="1" m="1" x="7"/>
        <item h="1" x="1"/>
        <item h="1" x="2"/>
        <item x="3"/>
        <item h="1" m="1" x="8"/>
        <item h="1" x="0"/>
        <item h="1" x="4"/>
        <item h="1" x="6"/>
        <item h="1" m="1" x="9"/>
        <item h="1" x="5"/>
        <item t="default"/>
      </items>
    </pivotField>
    <pivotField axis="axisRow" showAll="0" defaultSubtotal="0">
      <items count="4">
        <item x="1"/>
        <item h="1" x="0"/>
        <item h="1" m="1" x="3"/>
        <item h="1" x="2"/>
      </items>
    </pivotField>
  </pivotFields>
  <rowFields count="4">
    <field x="11"/>
    <field x="5"/>
    <field x="10"/>
    <field x="0"/>
  </rowFields>
  <rowItems count="14">
    <i>
      <x/>
    </i>
    <i r="1">
      <x v="1"/>
    </i>
    <i r="2">
      <x v="3"/>
    </i>
    <i r="3">
      <x v="2"/>
    </i>
    <i r="3">
      <x v="6"/>
    </i>
    <i r="3">
      <x v="8"/>
    </i>
    <i r="3">
      <x v="11"/>
    </i>
    <i r="3">
      <x v="15"/>
    </i>
    <i r="3">
      <x v="18"/>
    </i>
    <i r="3">
      <x v="20"/>
    </i>
    <i r="3">
      <x v="24"/>
    </i>
    <i r="3">
      <x v="28"/>
    </i>
    <i r="3">
      <x v="32"/>
    </i>
    <i r="3">
      <x v="33"/>
    </i>
  </rowItems>
  <colItems count="1">
    <i/>
  </colItems>
  <formats count="2">
    <format dxfId="9">
      <pivotArea dataOnly="0" outline="0" fieldPosition="0">
        <references count="1">
          <reference field="10" count="1">
            <x v="1"/>
          </reference>
        </references>
      </pivotArea>
    </format>
    <format dxfId="8">
      <pivotArea dataOnly="0" labelOnly="1" fieldPosition="0">
        <references count="3">
          <reference field="5" count="1" selected="0">
            <x v="0"/>
          </reference>
          <reference field="10" count="1">
            <x v="1"/>
          </reference>
          <reference field="11" count="0" selected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7000000}" name="TablaDinámica10" cacheId="0" applyNumberFormats="0" applyBorderFormats="0" applyFontFormats="0" applyPatternFormats="0" applyAlignmentFormats="0" applyWidthHeightFormats="1" dataCaption="Valores" updatedVersion="5" minRefreshableVersion="3" useAutoFormatting="1" rowGrandTotals="0" colGrandTotals="0" itemPrintTitles="1" createdVersion="6" indent="0" outline="1" outlineData="1" multipleFieldFilters="0">
  <location ref="G3:G18" firstHeaderRow="1" firstDataRow="1" firstDataCol="1"/>
  <pivotFields count="12">
    <pivotField axis="axisRow" showAll="0">
      <items count="37">
        <item x="0"/>
        <item x="2"/>
        <item x="3"/>
        <item x="4"/>
        <item m="1" x="33"/>
        <item m="1" x="34"/>
        <item x="5"/>
        <item x="6"/>
        <item x="7"/>
        <item x="8"/>
        <item x="9"/>
        <item x="10"/>
        <item x="11"/>
        <item x="12"/>
        <item x="13"/>
        <item x="1"/>
        <item x="14"/>
        <item x="15"/>
        <item x="16"/>
        <item x="17"/>
        <item x="21"/>
        <item m="1" x="31"/>
        <item x="19"/>
        <item x="20"/>
        <item x="22"/>
        <item x="23"/>
        <item x="25"/>
        <item x="26"/>
        <item x="27"/>
        <item m="1" x="32"/>
        <item x="29"/>
        <item m="1" x="35"/>
        <item x="18"/>
        <item x="24"/>
        <item x="28"/>
        <item m="1" x="30"/>
        <item t="default"/>
      </items>
    </pivotField>
    <pivotField showAll="0"/>
    <pivotField showAll="0"/>
    <pivotField showAll="0"/>
    <pivotField showAll="0"/>
    <pivotField axis="axisRow" showAll="0">
      <items count="6">
        <item h="1" x="0"/>
        <item x="1"/>
        <item h="1" x="2"/>
        <item h="1" x="3"/>
        <item h="1" m="1" x="4"/>
        <item t="default"/>
      </items>
    </pivotField>
    <pivotField showAll="0" defaultSubtotal="0"/>
    <pivotField showAll="0"/>
    <pivotField showAll="0"/>
    <pivotField showAll="0"/>
    <pivotField axis="axisRow" showAll="0">
      <items count="11">
        <item h="1" m="1" x="7"/>
        <item h="1" x="1"/>
        <item h="1" x="2"/>
        <item h="1" x="3"/>
        <item h="1" m="1" x="8"/>
        <item x="0"/>
        <item h="1" x="4"/>
        <item h="1" x="6"/>
        <item h="1" m="1" x="9"/>
        <item h="1" x="5"/>
        <item t="default"/>
      </items>
    </pivotField>
    <pivotField axis="axisRow" showAll="0" defaultSubtotal="0">
      <items count="4">
        <item x="1"/>
        <item h="1" x="0"/>
        <item h="1" m="1" x="3"/>
        <item h="1" x="2"/>
      </items>
    </pivotField>
  </pivotFields>
  <rowFields count="4">
    <field x="11"/>
    <field x="5"/>
    <field x="10"/>
    <field x="0"/>
  </rowFields>
  <rowItems count="15">
    <i>
      <x/>
    </i>
    <i r="1">
      <x v="1"/>
    </i>
    <i r="2">
      <x v="5"/>
    </i>
    <i r="3">
      <x/>
    </i>
    <i r="3">
      <x v="2"/>
    </i>
    <i r="3">
      <x v="6"/>
    </i>
    <i r="3">
      <x v="8"/>
    </i>
    <i r="3">
      <x v="11"/>
    </i>
    <i r="3">
      <x v="13"/>
    </i>
    <i r="3">
      <x v="15"/>
    </i>
    <i r="3">
      <x v="18"/>
    </i>
    <i r="3">
      <x v="24"/>
    </i>
    <i r="3">
      <x v="27"/>
    </i>
    <i r="3">
      <x v="32"/>
    </i>
    <i r="3">
      <x v="33"/>
    </i>
  </rowItems>
  <colItems count="1">
    <i/>
  </colItems>
  <formats count="2">
    <format dxfId="11">
      <pivotArea dataOnly="0" outline="0" fieldPosition="0">
        <references count="1">
          <reference field="10" count="1">
            <x v="1"/>
          </reference>
        </references>
      </pivotArea>
    </format>
    <format dxfId="10">
      <pivotArea dataOnly="0" labelOnly="1" fieldPosition="0">
        <references count="3">
          <reference field="5" count="1" selected="0">
            <x v="0"/>
          </reference>
          <reference field="10" count="1">
            <x v="1"/>
          </reference>
          <reference field="11" count="0" selected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6000000}" name="TablaDinámica11" cacheId="0" applyNumberFormats="0" applyBorderFormats="0" applyFontFormats="0" applyPatternFormats="0" applyAlignmentFormats="0" applyWidthHeightFormats="1" dataCaption="Valores" updatedVersion="5" minRefreshableVersion="3" useAutoFormatting="1" rowGrandTotals="0" colGrandTotals="0" itemPrintTitles="1" createdVersion="6" indent="0" outline="1" outlineData="1" multipleFieldFilters="0">
  <location ref="I3:I15" firstHeaderRow="1" firstDataRow="1" firstDataCol="1"/>
  <pivotFields count="12">
    <pivotField axis="axisRow" showAll="0" sortType="ascending">
      <items count="37">
        <item m="1" x="30"/>
        <item x="0"/>
        <item x="2"/>
        <item x="3"/>
        <item x="4"/>
        <item m="1" x="33"/>
        <item m="1" x="34"/>
        <item x="5"/>
        <item x="6"/>
        <item x="7"/>
        <item x="8"/>
        <item x="9"/>
        <item x="10"/>
        <item x="11"/>
        <item x="12"/>
        <item x="13"/>
        <item x="1"/>
        <item x="14"/>
        <item x="15"/>
        <item x="16"/>
        <item x="17"/>
        <item x="21"/>
        <item m="1" x="31"/>
        <item x="19"/>
        <item x="20"/>
        <item x="18"/>
        <item x="22"/>
        <item x="23"/>
        <item x="24"/>
        <item x="25"/>
        <item x="26"/>
        <item x="27"/>
        <item x="28"/>
        <item m="1" x="35"/>
        <item m="1" x="32"/>
        <item x="29"/>
        <item t="default"/>
      </items>
    </pivotField>
    <pivotField showAll="0"/>
    <pivotField showAll="0"/>
    <pivotField showAll="0"/>
    <pivotField showAll="0"/>
    <pivotField axis="axisRow" showAll="0">
      <items count="6">
        <item h="1" x="0"/>
        <item x="1"/>
        <item h="1" x="2"/>
        <item h="1" x="3"/>
        <item h="1" m="1" x="4"/>
        <item t="default"/>
      </items>
    </pivotField>
    <pivotField showAll="0" defaultSubtotal="0"/>
    <pivotField showAll="0"/>
    <pivotField showAll="0"/>
    <pivotField showAll="0"/>
    <pivotField axis="axisRow" showAll="0">
      <items count="11">
        <item h="1" m="1" x="7"/>
        <item h="1" x="1"/>
        <item h="1" x="2"/>
        <item h="1" x="3"/>
        <item h="1" m="1" x="8"/>
        <item h="1" x="0"/>
        <item x="4"/>
        <item h="1" x="6"/>
        <item h="1" m="1" x="9"/>
        <item h="1" x="5"/>
        <item t="default"/>
      </items>
    </pivotField>
    <pivotField axis="axisRow" showAll="0" sortType="ascending" defaultSubtotal="0">
      <items count="4">
        <item h="1" x="2"/>
        <item x="1"/>
        <item h="1" m="1" x="3"/>
        <item h="1" x="0"/>
      </items>
    </pivotField>
  </pivotFields>
  <rowFields count="4">
    <field x="11"/>
    <field x="5"/>
    <field x="10"/>
    <field x="0"/>
  </rowFields>
  <rowItems count="12">
    <i>
      <x v="1"/>
    </i>
    <i r="1">
      <x v="1"/>
    </i>
    <i r="2">
      <x v="6"/>
    </i>
    <i r="3">
      <x v="3"/>
    </i>
    <i r="3">
      <x v="7"/>
    </i>
    <i r="3">
      <x v="14"/>
    </i>
    <i r="3">
      <x v="16"/>
    </i>
    <i r="3">
      <x v="17"/>
    </i>
    <i r="3">
      <x v="19"/>
    </i>
    <i r="3">
      <x v="20"/>
    </i>
    <i r="3">
      <x v="26"/>
    </i>
    <i r="3">
      <x v="28"/>
    </i>
  </rowItems>
  <colItems count="1">
    <i/>
  </colItems>
  <formats count="2">
    <format dxfId="13">
      <pivotArea dataOnly="0" outline="0" fieldPosition="0">
        <references count="1">
          <reference field="10" count="1">
            <x v="1"/>
          </reference>
        </references>
      </pivotArea>
    </format>
    <format dxfId="12">
      <pivotArea dataOnly="0" labelOnly="1" fieldPosition="0">
        <references count="3">
          <reference field="5" count="1" selected="0">
            <x v="0"/>
          </reference>
          <reference field="10" count="1">
            <x v="1"/>
          </reference>
          <reference field="11" count="0" selected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5000000}" name="TablaDinámica5" cacheId="0" applyNumberFormats="0" applyBorderFormats="0" applyFontFormats="0" applyPatternFormats="0" applyAlignmentFormats="0" applyWidthHeightFormats="1" dataCaption="Valores" updatedVersion="5" minRefreshableVersion="3" useAutoFormatting="1" rowGrandTotals="0" colGrandTotals="0" itemPrintTitles="1" createdVersion="6" indent="0" outline="1" outlineData="1" multipleFieldFilters="0">
  <location ref="A3:A15" firstHeaderRow="1" firstDataRow="1" firstDataCol="1"/>
  <pivotFields count="12">
    <pivotField axis="axisRow" showAll="0" sortType="ascending">
      <items count="37">
        <item m="1" x="30"/>
        <item x="0"/>
        <item x="2"/>
        <item x="3"/>
        <item x="4"/>
        <item m="1" x="33"/>
        <item m="1" x="34"/>
        <item x="5"/>
        <item x="6"/>
        <item x="7"/>
        <item x="8"/>
        <item x="9"/>
        <item x="10"/>
        <item x="11"/>
        <item x="12"/>
        <item x="13"/>
        <item x="1"/>
        <item x="14"/>
        <item x="15"/>
        <item x="16"/>
        <item x="17"/>
        <item x="21"/>
        <item m="1" x="31"/>
        <item x="19"/>
        <item x="20"/>
        <item x="18"/>
        <item x="22"/>
        <item x="23"/>
        <item x="24"/>
        <item x="25"/>
        <item x="26"/>
        <item x="27"/>
        <item x="28"/>
        <item m="1" x="35"/>
        <item m="1" x="32"/>
        <item x="29"/>
        <item t="default"/>
      </items>
    </pivotField>
    <pivotField showAll="0"/>
    <pivotField showAll="0"/>
    <pivotField showAll="0"/>
    <pivotField showAll="0"/>
    <pivotField axis="axisRow" showAll="0">
      <items count="6">
        <item h="1" x="0"/>
        <item x="1"/>
        <item h="1" x="2"/>
        <item h="1" x="3"/>
        <item h="1" m="1" x="4"/>
        <item t="default"/>
      </items>
    </pivotField>
    <pivotField showAll="0" defaultSubtotal="0"/>
    <pivotField showAll="0"/>
    <pivotField showAll="0"/>
    <pivotField showAll="0"/>
    <pivotField axis="axisRow" showAll="0">
      <items count="11">
        <item h="1" m="1" x="7"/>
        <item x="1"/>
        <item h="1" x="2"/>
        <item h="1" x="3"/>
        <item h="1" m="1" x="8"/>
        <item h="1" x="0"/>
        <item h="1" x="4"/>
        <item h="1" x="6"/>
        <item h="1" m="1" x="9"/>
        <item h="1" x="5"/>
        <item t="default"/>
      </items>
    </pivotField>
    <pivotField axis="axisRow" showAll="0" defaultSubtotal="0">
      <items count="4">
        <item x="1"/>
        <item h="1" x="0"/>
        <item h="1" m="1" x="3"/>
        <item h="1" x="2"/>
      </items>
    </pivotField>
  </pivotFields>
  <rowFields count="4">
    <field x="11"/>
    <field x="5"/>
    <field x="10"/>
    <field x="0"/>
  </rowFields>
  <rowItems count="12">
    <i>
      <x/>
    </i>
    <i r="1">
      <x v="1"/>
    </i>
    <i r="2">
      <x v="1"/>
    </i>
    <i r="3">
      <x v="1"/>
    </i>
    <i r="3">
      <x v="3"/>
    </i>
    <i r="3">
      <x v="7"/>
    </i>
    <i r="3">
      <x v="9"/>
    </i>
    <i r="3">
      <x v="12"/>
    </i>
    <i r="3">
      <x v="14"/>
    </i>
    <i r="3">
      <x v="19"/>
    </i>
    <i r="3">
      <x v="25"/>
    </i>
    <i r="3">
      <x v="26"/>
    </i>
  </rowItems>
  <colItems count="1">
    <i/>
  </colItems>
  <formats count="2">
    <format dxfId="15">
      <pivotArea dataOnly="0" outline="0" fieldPosition="0">
        <references count="1">
          <reference field="10" count="1">
            <x v="1"/>
          </reference>
        </references>
      </pivotArea>
    </format>
    <format dxfId="14">
      <pivotArea dataOnly="0" labelOnly="1" fieldPosition="0">
        <references count="3">
          <reference field="5" count="1" selected="0">
            <x v="0"/>
          </reference>
          <reference field="10" count="1">
            <x v="1"/>
          </reference>
          <reference field="11" count="0" selected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9000000}" name="TablaDinámica8" cacheId="0" applyNumberFormats="0" applyBorderFormats="0" applyFontFormats="0" applyPatternFormats="0" applyAlignmentFormats="0" applyWidthHeightFormats="1" dataCaption="Valores" updatedVersion="5" minRefreshableVersion="3" useAutoFormatting="1" rowGrandTotals="0" colGrandTotals="0" itemPrintTitles="1" createdVersion="6" indent="0" outline="1" outlineData="1" multipleFieldFilters="0">
  <location ref="C3:C18" firstHeaderRow="1" firstDataRow="1" firstDataCol="1"/>
  <pivotFields count="12">
    <pivotField axis="axisRow" showAll="0" sortType="ascending">
      <items count="37">
        <item m="1" x="30"/>
        <item x="0"/>
        <item x="2"/>
        <item x="3"/>
        <item x="4"/>
        <item m="1" x="33"/>
        <item m="1" x="34"/>
        <item x="5"/>
        <item x="6"/>
        <item x="7"/>
        <item x="8"/>
        <item x="9"/>
        <item x="10"/>
        <item x="11"/>
        <item x="12"/>
        <item x="13"/>
        <item x="1"/>
        <item x="14"/>
        <item x="15"/>
        <item x="16"/>
        <item x="17"/>
        <item x="21"/>
        <item m="1" x="31"/>
        <item x="19"/>
        <item x="20"/>
        <item x="18"/>
        <item x="22"/>
        <item x="23"/>
        <item x="24"/>
        <item x="25"/>
        <item x="26"/>
        <item x="27"/>
        <item x="28"/>
        <item m="1" x="35"/>
        <item m="1" x="32"/>
        <item x="29"/>
        <item t="default"/>
      </items>
    </pivotField>
    <pivotField showAll="0"/>
    <pivotField showAll="0"/>
    <pivotField showAll="0"/>
    <pivotField showAll="0"/>
    <pivotField axis="axisRow" showAll="0">
      <items count="6">
        <item h="1" x="0"/>
        <item x="1"/>
        <item h="1" x="2"/>
        <item h="1" x="3"/>
        <item h="1" m="1" x="4"/>
        <item t="default"/>
      </items>
    </pivotField>
    <pivotField showAll="0" defaultSubtotal="0"/>
    <pivotField showAll="0"/>
    <pivotField showAll="0"/>
    <pivotField showAll="0"/>
    <pivotField axis="axisRow" showAll="0">
      <items count="11">
        <item h="1" m="1" x="7"/>
        <item h="1" x="1"/>
        <item x="2"/>
        <item h="1" x="3"/>
        <item h="1" m="1" x="8"/>
        <item h="1" x="0"/>
        <item h="1" x="4"/>
        <item h="1" x="6"/>
        <item h="1" m="1" x="9"/>
        <item h="1" x="5"/>
        <item t="default"/>
      </items>
    </pivotField>
    <pivotField axis="axisRow" showAll="0" defaultSubtotal="0">
      <items count="4">
        <item x="1"/>
        <item h="1" x="0"/>
        <item h="1" m="1" x="3"/>
        <item h="1" x="2"/>
      </items>
    </pivotField>
  </pivotFields>
  <rowFields count="4">
    <field x="11"/>
    <field x="5"/>
    <field x="10"/>
    <field x="0"/>
  </rowFields>
  <rowItems count="15">
    <i>
      <x/>
    </i>
    <i r="1">
      <x v="1"/>
    </i>
    <i r="2">
      <x v="2"/>
    </i>
    <i r="3">
      <x v="1"/>
    </i>
    <i r="3">
      <x v="9"/>
    </i>
    <i r="3">
      <x v="12"/>
    </i>
    <i r="3">
      <x v="14"/>
    </i>
    <i r="3">
      <x v="16"/>
    </i>
    <i r="3">
      <x v="19"/>
    </i>
    <i r="3">
      <x v="21"/>
    </i>
    <i r="3">
      <x v="23"/>
    </i>
    <i r="3">
      <x v="25"/>
    </i>
    <i r="3">
      <x v="26"/>
    </i>
    <i r="3">
      <x v="27"/>
    </i>
    <i r="3">
      <x v="31"/>
    </i>
  </rowItems>
  <colItems count="1">
    <i/>
  </colItems>
  <formats count="2">
    <format dxfId="17">
      <pivotArea dataOnly="0" outline="0" fieldPosition="0">
        <references count="1">
          <reference field="10" count="1">
            <x v="1"/>
          </reference>
        </references>
      </pivotArea>
    </format>
    <format dxfId="16">
      <pivotArea dataOnly="0" labelOnly="1" fieldPosition="0">
        <references count="3">
          <reference field="5" count="1" selected="0">
            <x v="0"/>
          </reference>
          <reference field="10" count="1">
            <x v="1"/>
          </reference>
          <reference field="11" count="0" selected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B000000}" name="TablaDinámica11" cacheId="0" applyNumberFormats="0" applyBorderFormats="0" applyFontFormats="0" applyPatternFormats="0" applyAlignmentFormats="0" applyWidthHeightFormats="1" dataCaption="Valores" updatedVersion="5" minRefreshableVersion="3" useAutoFormatting="1" rowGrandTotals="0" colGrandTotals="0" itemPrintTitles="1" createdVersion="6" indent="0" outline="1" outlineData="1" multipleFieldFilters="0">
  <location ref="I3:I18" firstHeaderRow="1" firstDataRow="1" firstDataCol="1"/>
  <pivotFields count="12">
    <pivotField axis="axisRow" showAll="0">
      <items count="37">
        <item x="0"/>
        <item x="2"/>
        <item x="3"/>
        <item x="4"/>
        <item m="1" x="33"/>
        <item m="1" x="34"/>
        <item x="5"/>
        <item x="6"/>
        <item x="7"/>
        <item x="8"/>
        <item x="9"/>
        <item x="10"/>
        <item x="11"/>
        <item x="12"/>
        <item x="13"/>
        <item x="1"/>
        <item x="14"/>
        <item x="15"/>
        <item x="16"/>
        <item x="17"/>
        <item x="21"/>
        <item m="1" x="31"/>
        <item x="19"/>
        <item x="20"/>
        <item x="22"/>
        <item x="23"/>
        <item x="25"/>
        <item x="26"/>
        <item x="27"/>
        <item m="1" x="32"/>
        <item x="29"/>
        <item m="1" x="35"/>
        <item x="18"/>
        <item x="24"/>
        <item x="28"/>
        <item m="1" x="30"/>
        <item t="default"/>
      </items>
    </pivotField>
    <pivotField showAll="0"/>
    <pivotField showAll="0"/>
    <pivotField showAll="0"/>
    <pivotField showAll="0"/>
    <pivotField axis="axisRow" showAll="0">
      <items count="6">
        <item x="0"/>
        <item h="1" x="1"/>
        <item h="1" x="2"/>
        <item h="1" x="3"/>
        <item h="1" m="1" x="4"/>
        <item t="default"/>
      </items>
    </pivotField>
    <pivotField showAll="0" defaultSubtotal="0"/>
    <pivotField showAll="0"/>
    <pivotField showAll="0"/>
    <pivotField showAll="0"/>
    <pivotField axis="axisRow" showAll="0">
      <items count="11">
        <item h="1" m="1" x="7"/>
        <item h="1" x="1"/>
        <item h="1" x="2"/>
        <item h="1" x="3"/>
        <item h="1" m="1" x="8"/>
        <item h="1" x="0"/>
        <item x="4"/>
        <item h="1" x="6"/>
        <item h="1" m="1" x="9"/>
        <item h="1" x="5"/>
        <item t="default"/>
      </items>
    </pivotField>
    <pivotField axis="axisRow" showAll="0" defaultSubtotal="0">
      <items count="4">
        <item x="1"/>
        <item h="1" x="0"/>
        <item h="1" m="1" x="3"/>
        <item h="1" x="2"/>
      </items>
    </pivotField>
  </pivotFields>
  <rowFields count="4">
    <field x="11"/>
    <field x="5"/>
    <field x="10"/>
    <field x="0"/>
  </rowFields>
  <rowItems count="15">
    <i>
      <x/>
    </i>
    <i r="1">
      <x/>
    </i>
    <i r="2">
      <x v="6"/>
    </i>
    <i r="3">
      <x v="1"/>
    </i>
    <i r="3">
      <x v="3"/>
    </i>
    <i r="3">
      <x v="7"/>
    </i>
    <i r="3">
      <x v="9"/>
    </i>
    <i r="3">
      <x v="12"/>
    </i>
    <i r="3">
      <x v="17"/>
    </i>
    <i r="3">
      <x v="19"/>
    </i>
    <i r="3">
      <x v="22"/>
    </i>
    <i r="3">
      <x v="23"/>
    </i>
    <i r="3">
      <x v="25"/>
    </i>
    <i r="3">
      <x v="26"/>
    </i>
    <i r="3">
      <x v="27"/>
    </i>
  </rowItems>
  <colItems count="1">
    <i/>
  </colItems>
  <formats count="2">
    <format dxfId="1">
      <pivotArea dataOnly="0" outline="0" fieldPosition="0">
        <references count="1">
          <reference field="10" count="1">
            <x v="1"/>
          </reference>
        </references>
      </pivotArea>
    </format>
    <format dxfId="0">
      <pivotArea dataOnly="0" labelOnly="1" fieldPosition="0">
        <references count="3">
          <reference field="5" count="1" selected="0">
            <x v="0"/>
          </reference>
          <reference field="10" count="1">
            <x v="1"/>
          </reference>
          <reference field="11" count="0" selected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A000000}" name="TablaDinámica10" cacheId="0" applyNumberFormats="0" applyBorderFormats="0" applyFontFormats="0" applyPatternFormats="0" applyAlignmentFormats="0" applyWidthHeightFormats="1" dataCaption="Valores" updatedVersion="5" minRefreshableVersion="3" useAutoFormatting="1" rowGrandTotals="0" colGrandTotals="0" itemPrintTitles="1" createdVersion="6" indent="0" outline="1" outlineData="1" multipleFieldFilters="0">
  <location ref="G3:G16" firstHeaderRow="1" firstDataRow="1" firstDataCol="1"/>
  <pivotFields count="12">
    <pivotField axis="axisRow" showAll="0">
      <items count="37">
        <item x="0"/>
        <item x="2"/>
        <item x="3"/>
        <item x="4"/>
        <item m="1" x="33"/>
        <item m="1" x="34"/>
        <item x="5"/>
        <item x="6"/>
        <item x="7"/>
        <item x="8"/>
        <item x="9"/>
        <item x="10"/>
        <item x="11"/>
        <item x="12"/>
        <item x="13"/>
        <item x="1"/>
        <item x="14"/>
        <item x="15"/>
        <item x="16"/>
        <item x="17"/>
        <item x="21"/>
        <item m="1" x="31"/>
        <item x="19"/>
        <item x="20"/>
        <item x="22"/>
        <item x="23"/>
        <item x="25"/>
        <item x="26"/>
        <item x="27"/>
        <item m="1" x="32"/>
        <item x="29"/>
        <item m="1" x="35"/>
        <item x="18"/>
        <item x="24"/>
        <item x="28"/>
        <item m="1" x="30"/>
        <item t="default"/>
      </items>
    </pivotField>
    <pivotField showAll="0"/>
    <pivotField showAll="0"/>
    <pivotField showAll="0"/>
    <pivotField showAll="0"/>
    <pivotField axis="axisRow" showAll="0">
      <items count="6">
        <item x="0"/>
        <item h="1" x="1"/>
        <item h="1" x="2"/>
        <item h="1" x="3"/>
        <item h="1" m="1" x="4"/>
        <item t="default"/>
      </items>
    </pivotField>
    <pivotField showAll="0" defaultSubtotal="0"/>
    <pivotField showAll="0"/>
    <pivotField showAll="0"/>
    <pivotField showAll="0"/>
    <pivotField axis="axisRow" showAll="0">
      <items count="11">
        <item h="1" m="1" x="7"/>
        <item h="1" x="1"/>
        <item h="1" x="2"/>
        <item h="1" x="3"/>
        <item h="1" m="1" x="8"/>
        <item x="0"/>
        <item h="1" x="4"/>
        <item h="1" x="6"/>
        <item h="1" m="1" x="9"/>
        <item h="1" x="5"/>
        <item t="default"/>
      </items>
    </pivotField>
    <pivotField axis="axisRow" showAll="0" defaultSubtotal="0">
      <items count="4">
        <item x="1"/>
        <item h="1" x="0"/>
        <item h="1" m="1" x="3"/>
        <item h="1" x="2"/>
      </items>
    </pivotField>
  </pivotFields>
  <rowFields count="4">
    <field x="11"/>
    <field x="5"/>
    <field x="10"/>
    <field x="0"/>
  </rowFields>
  <rowItems count="13">
    <i>
      <x/>
    </i>
    <i r="1">
      <x/>
    </i>
    <i r="2">
      <x v="5"/>
    </i>
    <i r="3">
      <x v="1"/>
    </i>
    <i r="3">
      <x v="3"/>
    </i>
    <i r="3">
      <x v="7"/>
    </i>
    <i r="3">
      <x v="9"/>
    </i>
    <i r="3">
      <x v="14"/>
    </i>
    <i r="3">
      <x v="17"/>
    </i>
    <i r="3">
      <x v="19"/>
    </i>
    <i r="3">
      <x v="22"/>
    </i>
    <i r="3">
      <x v="25"/>
    </i>
    <i r="3">
      <x v="28"/>
    </i>
  </rowItems>
  <colItems count="1">
    <i/>
  </colItems>
  <formats count="2">
    <format dxfId="3">
      <pivotArea dataOnly="0" outline="0" fieldPosition="0">
        <references count="1">
          <reference field="10" count="1">
            <x v="1"/>
          </reference>
        </references>
      </pivotArea>
    </format>
    <format dxfId="2">
      <pivotArea dataOnly="0" labelOnly="1" fieldPosition="0">
        <references count="3">
          <reference field="5" count="1" selected="0">
            <x v="0"/>
          </reference>
          <reference field="10" count="1">
            <x v="1"/>
          </reference>
          <reference field="11" count="0" selected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E000000}" name="TablaDinámica9" cacheId="0" applyNumberFormats="0" applyBorderFormats="0" applyFontFormats="0" applyPatternFormats="0" applyAlignmentFormats="0" applyWidthHeightFormats="1" dataCaption="Valores" updatedVersion="5" minRefreshableVersion="3" useAutoFormatting="1" rowGrandTotals="0" colGrandTotals="0" itemPrintTitles="1" createdVersion="6" indent="0" outline="1" outlineData="1" multipleFieldFilters="0">
  <location ref="E3:E19" firstHeaderRow="1" firstDataRow="1" firstDataCol="1"/>
  <pivotFields count="12">
    <pivotField axis="axisRow" showAll="0">
      <items count="37">
        <item x="0"/>
        <item x="2"/>
        <item x="3"/>
        <item x="4"/>
        <item m="1" x="33"/>
        <item m="1" x="34"/>
        <item x="5"/>
        <item x="6"/>
        <item x="7"/>
        <item x="8"/>
        <item x="9"/>
        <item x="10"/>
        <item x="11"/>
        <item x="12"/>
        <item x="13"/>
        <item x="1"/>
        <item x="14"/>
        <item x="15"/>
        <item x="16"/>
        <item x="17"/>
        <item x="21"/>
        <item m="1" x="31"/>
        <item x="19"/>
        <item x="20"/>
        <item x="22"/>
        <item x="23"/>
        <item x="25"/>
        <item x="26"/>
        <item x="27"/>
        <item m="1" x="32"/>
        <item x="29"/>
        <item m="1" x="35"/>
        <item x="18"/>
        <item x="24"/>
        <item x="28"/>
        <item m="1" x="30"/>
        <item t="default"/>
      </items>
    </pivotField>
    <pivotField showAll="0"/>
    <pivotField showAll="0"/>
    <pivotField showAll="0"/>
    <pivotField showAll="0"/>
    <pivotField axis="axisRow" showAll="0">
      <items count="6">
        <item x="0"/>
        <item h="1" x="1"/>
        <item h="1" x="2"/>
        <item h="1" x="3"/>
        <item h="1" m="1" x="4"/>
        <item t="default"/>
      </items>
    </pivotField>
    <pivotField showAll="0" defaultSubtotal="0"/>
    <pivotField showAll="0"/>
    <pivotField showAll="0"/>
    <pivotField showAll="0"/>
    <pivotField axis="axisRow" showAll="0">
      <items count="11">
        <item h="1" m="1" x="7"/>
        <item h="1" x="1"/>
        <item h="1" x="2"/>
        <item x="3"/>
        <item h="1" m="1" x="8"/>
        <item h="1" x="0"/>
        <item h="1" x="4"/>
        <item h="1" x="6"/>
        <item h="1" m="1" x="9"/>
        <item h="1" x="5"/>
        <item t="default"/>
      </items>
    </pivotField>
    <pivotField axis="axisRow" showAll="0" defaultSubtotal="0">
      <items count="4">
        <item x="1"/>
        <item h="1" x="0"/>
        <item h="1" m="1" x="3"/>
        <item h="1" x="2"/>
      </items>
    </pivotField>
  </pivotFields>
  <rowFields count="4">
    <field x="11"/>
    <field x="5"/>
    <field x="10"/>
    <field x="0"/>
  </rowFields>
  <rowItems count="16">
    <i>
      <x/>
    </i>
    <i r="1">
      <x/>
    </i>
    <i r="2">
      <x v="3"/>
    </i>
    <i r="3">
      <x v="3"/>
    </i>
    <i r="3">
      <x v="7"/>
    </i>
    <i r="3">
      <x v="9"/>
    </i>
    <i r="3">
      <x v="12"/>
    </i>
    <i r="3">
      <x v="14"/>
    </i>
    <i r="3">
      <x v="17"/>
    </i>
    <i r="3">
      <x v="22"/>
    </i>
    <i r="3">
      <x v="24"/>
    </i>
    <i r="3">
      <x v="25"/>
    </i>
    <i r="3">
      <x v="26"/>
    </i>
    <i r="3">
      <x v="27"/>
    </i>
    <i r="3">
      <x v="32"/>
    </i>
    <i r="3">
      <x v="34"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D000000}" name="TablaDinámica8" cacheId="0" applyNumberFormats="0" applyBorderFormats="0" applyFontFormats="0" applyPatternFormats="0" applyAlignmentFormats="0" applyWidthHeightFormats="1" dataCaption="Valores" updatedVersion="5" minRefreshableVersion="3" useAutoFormatting="1" rowGrandTotals="0" colGrandTotals="0" itemPrintTitles="1" createdVersion="6" indent="0" outline="1" outlineData="1" multipleFieldFilters="0">
  <location ref="C3:C19" firstHeaderRow="1" firstDataRow="1" firstDataCol="1"/>
  <pivotFields count="12">
    <pivotField axis="axisRow" showAll="0">
      <items count="37">
        <item x="0"/>
        <item x="2"/>
        <item x="3"/>
        <item x="4"/>
        <item m="1" x="33"/>
        <item m="1" x="34"/>
        <item x="5"/>
        <item x="6"/>
        <item x="7"/>
        <item x="8"/>
        <item x="9"/>
        <item x="10"/>
        <item x="11"/>
        <item x="12"/>
        <item x="13"/>
        <item x="1"/>
        <item x="14"/>
        <item x="15"/>
        <item x="16"/>
        <item x="17"/>
        <item x="21"/>
        <item m="1" x="31"/>
        <item x="19"/>
        <item x="20"/>
        <item x="22"/>
        <item x="23"/>
        <item x="25"/>
        <item x="26"/>
        <item x="27"/>
        <item m="1" x="32"/>
        <item x="29"/>
        <item m="1" x="35"/>
        <item x="18"/>
        <item x="24"/>
        <item x="28"/>
        <item m="1" x="30"/>
        <item t="default"/>
      </items>
    </pivotField>
    <pivotField showAll="0"/>
    <pivotField showAll="0"/>
    <pivotField showAll="0"/>
    <pivotField showAll="0"/>
    <pivotField axis="axisRow" showAll="0">
      <items count="6">
        <item x="0"/>
        <item h="1" x="1"/>
        <item h="1" x="2"/>
        <item h="1" x="3"/>
        <item h="1" m="1" x="4"/>
        <item t="default"/>
      </items>
    </pivotField>
    <pivotField showAll="0" defaultSubtotal="0"/>
    <pivotField showAll="0"/>
    <pivotField showAll="0"/>
    <pivotField showAll="0"/>
    <pivotField axis="axisRow" showAll="0">
      <items count="11">
        <item h="1" m="1" x="7"/>
        <item h="1" x="1"/>
        <item x="2"/>
        <item h="1" x="3"/>
        <item h="1" m="1" x="8"/>
        <item h="1" x="0"/>
        <item h="1" x="4"/>
        <item h="1" x="6"/>
        <item h="1" m="1" x="9"/>
        <item h="1" x="5"/>
        <item t="default"/>
      </items>
    </pivotField>
    <pivotField axis="axisRow" showAll="0" defaultSubtotal="0">
      <items count="4">
        <item x="1"/>
        <item h="1" x="0"/>
        <item h="1" m="1" x="3"/>
        <item h="1" x="2"/>
      </items>
    </pivotField>
  </pivotFields>
  <rowFields count="4">
    <field x="11"/>
    <field x="5"/>
    <field x="10"/>
    <field x="0"/>
  </rowFields>
  <rowItems count="16">
    <i>
      <x/>
    </i>
    <i r="1">
      <x/>
    </i>
    <i r="2">
      <x v="2"/>
    </i>
    <i r="3">
      <x v="1"/>
    </i>
    <i r="3">
      <x v="3"/>
    </i>
    <i r="3">
      <x v="7"/>
    </i>
    <i r="3">
      <x v="9"/>
    </i>
    <i r="3">
      <x v="12"/>
    </i>
    <i r="3">
      <x v="14"/>
    </i>
    <i r="3">
      <x v="17"/>
    </i>
    <i r="3">
      <x v="19"/>
    </i>
    <i r="3">
      <x v="22"/>
    </i>
    <i r="3">
      <x v="23"/>
    </i>
    <i r="3">
      <x v="25"/>
    </i>
    <i r="3">
      <x v="26"/>
    </i>
    <i r="3">
      <x v="32"/>
    </i>
  </rowItems>
  <colItems count="1">
    <i/>
  </colItems>
  <formats count="2">
    <format dxfId="5">
      <pivotArea dataOnly="0" outline="0" fieldPosition="0">
        <references count="1">
          <reference field="10" count="1">
            <x v="1"/>
          </reference>
        </references>
      </pivotArea>
    </format>
    <format dxfId="4">
      <pivotArea dataOnly="0" labelOnly="1" fieldPosition="0">
        <references count="3">
          <reference field="5" count="1" selected="0">
            <x v="0"/>
          </reference>
          <reference field="10" count="1">
            <x v="1"/>
          </reference>
          <reference field="11" count="0" selected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C000000}" name="TablaDinámica5" cacheId="0" applyNumberFormats="0" applyBorderFormats="0" applyFontFormats="0" applyPatternFormats="0" applyAlignmentFormats="0" applyWidthHeightFormats="1" dataCaption="Valores" updatedVersion="5" minRefreshableVersion="3" useAutoFormatting="1" rowGrandTotals="0" colGrandTotals="0" itemPrintTitles="1" createdVersion="6" indent="0" outline="1" outlineData="1" multipleFieldFilters="0">
  <location ref="A3:A17" firstHeaderRow="1" firstDataRow="1" firstDataCol="1"/>
  <pivotFields count="12">
    <pivotField axis="axisRow" showAll="0">
      <items count="37">
        <item x="0"/>
        <item x="2"/>
        <item x="3"/>
        <item x="4"/>
        <item m="1" x="33"/>
        <item m="1" x="34"/>
        <item x="5"/>
        <item x="6"/>
        <item x="7"/>
        <item x="8"/>
        <item x="9"/>
        <item x="10"/>
        <item x="11"/>
        <item x="12"/>
        <item x="13"/>
        <item x="1"/>
        <item x="14"/>
        <item x="15"/>
        <item x="16"/>
        <item x="17"/>
        <item x="21"/>
        <item m="1" x="31"/>
        <item x="19"/>
        <item x="20"/>
        <item x="22"/>
        <item x="23"/>
        <item x="25"/>
        <item x="26"/>
        <item x="27"/>
        <item m="1" x="32"/>
        <item x="29"/>
        <item m="1" x="35"/>
        <item x="18"/>
        <item x="24"/>
        <item x="28"/>
        <item m="1" x="30"/>
        <item t="default"/>
      </items>
    </pivotField>
    <pivotField showAll="0"/>
    <pivotField showAll="0"/>
    <pivotField showAll="0"/>
    <pivotField showAll="0"/>
    <pivotField axis="axisRow" showAll="0">
      <items count="6">
        <item x="0"/>
        <item h="1" x="1"/>
        <item h="1" x="2"/>
        <item h="1" x="3"/>
        <item h="1" m="1" x="4"/>
        <item t="default"/>
      </items>
    </pivotField>
    <pivotField showAll="0" defaultSubtotal="0"/>
    <pivotField showAll="0"/>
    <pivotField showAll="0"/>
    <pivotField showAll="0"/>
    <pivotField axis="axisRow" showAll="0">
      <items count="11">
        <item h="1" m="1" x="7"/>
        <item x="1"/>
        <item h="1" x="2"/>
        <item h="1" x="3"/>
        <item h="1" m="1" x="8"/>
        <item h="1" x="0"/>
        <item h="1" x="4"/>
        <item h="1" x="6"/>
        <item h="1" m="1" x="9"/>
        <item h="1" x="5"/>
        <item t="default"/>
      </items>
    </pivotField>
    <pivotField axis="axisRow" showAll="0" defaultSubtotal="0">
      <items count="4">
        <item x="1"/>
        <item h="1" x="0"/>
        <item h="1" m="1" x="3"/>
        <item h="1" x="2"/>
      </items>
    </pivotField>
  </pivotFields>
  <rowFields count="4">
    <field x="11"/>
    <field x="5"/>
    <field x="10"/>
    <field x="0"/>
  </rowFields>
  <rowItems count="14">
    <i>
      <x/>
    </i>
    <i r="1">
      <x/>
    </i>
    <i r="2">
      <x v="1"/>
    </i>
    <i r="3">
      <x v="1"/>
    </i>
    <i r="3">
      <x v="7"/>
    </i>
    <i r="3">
      <x v="9"/>
    </i>
    <i r="3">
      <x v="12"/>
    </i>
    <i r="3">
      <x v="14"/>
    </i>
    <i r="3">
      <x v="17"/>
    </i>
    <i r="3">
      <x v="19"/>
    </i>
    <i r="3">
      <x v="22"/>
    </i>
    <i r="3">
      <x v="25"/>
    </i>
    <i r="3">
      <x v="26"/>
    </i>
    <i r="3">
      <x v="27"/>
    </i>
  </rowItems>
  <colItems count="1">
    <i/>
  </colItems>
  <formats count="2">
    <format dxfId="7">
      <pivotArea dataOnly="0" outline="0" fieldPosition="0">
        <references count="1">
          <reference field="10" count="1">
            <x v="1"/>
          </reference>
        </references>
      </pivotArea>
    </format>
    <format dxfId="6">
      <pivotArea dataOnly="0" labelOnly="1" fieldPosition="0">
        <references count="3">
          <reference field="5" count="1" selected="0">
            <x v="0"/>
          </reference>
          <reference field="10" count="1">
            <x v="1"/>
          </reference>
          <reference field="11" count="0" selected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F000000}" name="TablaDinámica1" cacheId="1" applyNumberFormats="0" applyBorderFormats="0" applyFontFormats="0" applyPatternFormats="0" applyAlignmentFormats="0" applyWidthHeightFormats="1" dataCaption="Valores" updatedVersion="5" minRefreshableVersion="3" useAutoFormatting="1" itemPrintTitles="1" createdVersion="6" indent="0" outline="1" outlineData="1" multipleFieldFilters="0">
  <location ref="A3:AI74" firstHeaderRow="1" firstDataRow="2" firstDataCol="1" rowPageCount="1" colPageCount="1"/>
  <pivotFields count="14">
    <pivotField showAll="0"/>
    <pivotField axis="axisPage" showAll="0">
      <items count="1895">
        <item x="0"/>
        <item m="1" x="1249"/>
        <item x="2"/>
        <item x="3"/>
        <item x="5"/>
        <item m="1" x="1484"/>
        <item m="1" x="1488"/>
        <item x="7"/>
        <item m="1" x="1494"/>
        <item x="9"/>
        <item x="10"/>
        <item m="1" x="1266"/>
        <item x="16"/>
        <item x="17"/>
        <item x="19"/>
        <item m="1" x="1490"/>
        <item m="1" x="1493"/>
        <item x="20"/>
        <item m="1" x="1502"/>
        <item x="22"/>
        <item x="23"/>
        <item x="24"/>
        <item x="27"/>
        <item m="1" x="1501"/>
        <item x="28"/>
        <item x="29"/>
        <item x="30"/>
        <item x="31"/>
        <item x="34"/>
        <item m="1" x="1503"/>
        <item x="35"/>
        <item x="36"/>
        <item x="37"/>
        <item x="38"/>
        <item x="40"/>
        <item x="41"/>
        <item x="58"/>
        <item x="43"/>
        <item x="44"/>
        <item x="45"/>
        <item m="1" x="1225"/>
        <item x="46"/>
        <item x="47"/>
        <item x="48"/>
        <item x="68"/>
        <item x="50"/>
        <item x="51"/>
        <item x="52"/>
        <item m="1" x="1231"/>
        <item x="53"/>
        <item x="55"/>
        <item x="56"/>
        <item x="57"/>
        <item x="42"/>
        <item m="1" x="1831"/>
        <item x="59"/>
        <item x="60"/>
        <item x="61"/>
        <item x="63"/>
        <item x="65"/>
        <item x="66"/>
        <item x="67"/>
        <item x="49"/>
        <item m="1" x="1832"/>
        <item x="69"/>
        <item x="70"/>
        <item x="71"/>
        <item x="73"/>
        <item m="1" x="1304"/>
        <item m="1" x="1605"/>
        <item x="76"/>
        <item x="77"/>
        <item x="78"/>
        <item x="79"/>
        <item x="80"/>
        <item x="81"/>
        <item m="1" x="1461"/>
        <item x="82"/>
        <item m="1" x="1550"/>
        <item x="84"/>
        <item x="86"/>
        <item x="87"/>
        <item x="88"/>
        <item x="89"/>
        <item x="90"/>
        <item x="91"/>
        <item m="1" x="1465"/>
        <item x="92"/>
        <item m="1" x="1560"/>
        <item x="94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m="1" x="1654"/>
        <item x="114"/>
        <item x="115"/>
        <item x="126"/>
        <item m="1" x="1834"/>
        <item x="117"/>
        <item x="118"/>
        <item x="119"/>
        <item x="120"/>
        <item m="1" x="1655"/>
        <item x="121"/>
        <item x="122"/>
        <item x="136"/>
        <item m="1" x="1835"/>
        <item x="124"/>
        <item x="125"/>
        <item m="1" x="1656"/>
        <item x="128"/>
        <item x="129"/>
        <item x="131"/>
        <item x="132"/>
        <item x="133"/>
        <item m="1" x="1240"/>
        <item x="135"/>
        <item m="1" x="1657"/>
        <item x="138"/>
        <item x="139"/>
        <item x="141"/>
        <item x="142"/>
        <item x="143"/>
        <item m="1" x="1259"/>
        <item x="145"/>
        <item x="146"/>
        <item x="147"/>
        <item m="1" x="1694"/>
        <item m="1" x="1841"/>
        <item m="1" x="1253"/>
        <item m="1" x="1695"/>
        <item m="1" x="1234"/>
        <item m="1" x="1544"/>
        <item m="1" x="1627"/>
        <item m="1" x="1552"/>
        <item m="1" x="1878"/>
        <item m="1" x="1696"/>
        <item m="1" x="1842"/>
        <item m="1" x="1270"/>
        <item m="1" x="1697"/>
        <item m="1" x="1252"/>
        <item m="1" x="1551"/>
        <item m="1" x="1633"/>
        <item m="1" x="1563"/>
        <item m="1" x="1889"/>
        <item m="1" x="1698"/>
        <item m="1" x="1843"/>
        <item m="1" x="1284"/>
        <item m="1" x="1844"/>
        <item m="1" x="1269"/>
        <item m="1" x="1562"/>
        <item m="1" x="1577"/>
        <item m="1" x="1892"/>
        <item m="1" x="1699"/>
        <item m="1" x="1845"/>
        <item m="1" x="1298"/>
        <item m="1" x="1846"/>
        <item m="1" x="1283"/>
        <item m="1" x="1576"/>
        <item m="1" x="1591"/>
        <item m="1" x="1210"/>
        <item m="1" x="1306"/>
        <item m="1" x="1590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m="1" x="1230"/>
        <item x="173"/>
        <item x="175"/>
        <item x="176"/>
        <item x="177"/>
        <item x="178"/>
        <item x="179"/>
        <item m="1" x="1545"/>
        <item x="180"/>
        <item m="1" x="1235"/>
        <item x="182"/>
        <item x="183"/>
        <item x="184"/>
        <item x="185"/>
        <item x="186"/>
        <item x="187"/>
        <item x="188"/>
        <item x="189"/>
        <item x="190"/>
        <item x="191"/>
        <item m="1" x="1277"/>
        <item x="193"/>
        <item x="194"/>
        <item x="196"/>
        <item x="226"/>
        <item x="197"/>
        <item x="198"/>
        <item x="199"/>
        <item x="200"/>
        <item m="1" x="1292"/>
        <item x="202"/>
        <item x="203"/>
        <item x="205"/>
        <item x="227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m="1" x="1640"/>
        <item m="1" x="1255"/>
        <item x="228"/>
        <item m="1" x="1508"/>
        <item x="229"/>
        <item x="255"/>
        <item x="230"/>
        <item x="231"/>
        <item x="232"/>
        <item x="233"/>
        <item x="234"/>
        <item x="235"/>
        <item m="1" x="1464"/>
        <item x="237"/>
        <item m="1" x="1511"/>
        <item x="238"/>
        <item x="265"/>
        <item x="239"/>
        <item x="240"/>
        <item x="241"/>
        <item x="242"/>
        <item x="243"/>
        <item x="244"/>
        <item m="1" x="1471"/>
        <item x="246"/>
        <item x="247"/>
        <item x="248"/>
        <item x="249"/>
        <item x="251"/>
        <item x="252"/>
        <item x="253"/>
        <item x="254"/>
        <item x="256"/>
        <item x="257"/>
        <item x="258"/>
        <item x="259"/>
        <item x="261"/>
        <item x="262"/>
        <item x="263"/>
        <item x="264"/>
        <item x="267"/>
        <item m="1" x="1377"/>
        <item x="268"/>
        <item x="269"/>
        <item x="271"/>
        <item x="272"/>
        <item x="273"/>
        <item x="274"/>
        <item x="275"/>
        <item x="277"/>
        <item x="278"/>
        <item x="279"/>
        <item x="280"/>
        <item x="281"/>
        <item x="283"/>
        <item x="284"/>
        <item x="285"/>
        <item x="286"/>
        <item x="287"/>
        <item x="289"/>
        <item x="290"/>
        <item x="291"/>
        <item m="1" x="1498"/>
        <item x="292"/>
        <item x="293"/>
        <item x="294"/>
        <item x="295"/>
        <item x="276"/>
        <item x="296"/>
        <item x="297"/>
        <item x="298"/>
        <item m="1" x="1499"/>
        <item x="299"/>
        <item x="300"/>
        <item x="301"/>
        <item x="302"/>
        <item x="288"/>
        <item x="303"/>
        <item x="304"/>
        <item x="305"/>
        <item m="1" x="1634"/>
        <item m="1" x="1258"/>
        <item x="308"/>
        <item m="1" x="1489"/>
        <item x="309"/>
        <item m="1" x="1483"/>
        <item x="310"/>
        <item m="1" x="1790"/>
        <item x="311"/>
        <item x="324"/>
        <item m="1" x="1443"/>
        <item x="314"/>
        <item m="1" x="1495"/>
        <item x="315"/>
        <item m="1" x="1487"/>
        <item x="316"/>
        <item m="1" x="1801"/>
        <item x="317"/>
        <item x="329"/>
        <item m="1" x="1446"/>
        <item x="320"/>
        <item x="321"/>
        <item x="322"/>
        <item m="1" x="1492"/>
        <item m="1" x="1303"/>
        <item m="1" x="1807"/>
        <item x="323"/>
        <item m="1" x="1817"/>
        <item x="312"/>
        <item m="1" x="1456"/>
        <item x="325"/>
        <item x="326"/>
        <item x="327"/>
        <item m="1" x="1500"/>
        <item m="1" x="1317"/>
        <item m="1" x="1816"/>
        <item x="328"/>
        <item m="1" x="1828"/>
        <item x="318"/>
        <item m="1" x="1460"/>
        <item m="1" x="1767"/>
        <item x="331"/>
        <item x="332"/>
        <item x="334"/>
        <item x="335"/>
        <item x="336"/>
        <item x="337"/>
        <item m="1" x="1808"/>
        <item m="1" x="1557"/>
        <item x="341"/>
        <item m="1" x="1847"/>
        <item x="342"/>
        <item x="344"/>
        <item x="345"/>
        <item x="346"/>
        <item x="347"/>
        <item m="1" x="1809"/>
        <item m="1" x="1571"/>
        <item x="351"/>
        <item m="1" x="1876"/>
        <item x="352"/>
        <item x="354"/>
        <item x="355"/>
        <item x="356"/>
        <item m="1" x="1599"/>
        <item m="1" x="1583"/>
        <item x="359"/>
        <item x="360"/>
        <item x="362"/>
        <item x="363"/>
        <item m="1" x="1273"/>
        <item x="364"/>
        <item m="1" x="1565"/>
        <item m="1" x="1600"/>
        <item m="1" x="1602"/>
        <item x="367"/>
        <item x="368"/>
        <item m="1" x="1289"/>
        <item x="369"/>
        <item m="1" x="1579"/>
        <item m="1" x="1619"/>
        <item x="371"/>
        <item x="372"/>
        <item m="1" x="1610"/>
        <item m="1" x="1811"/>
        <item x="374"/>
        <item m="1" x="1611"/>
        <item x="375"/>
        <item x="376"/>
        <item m="1" x="1630"/>
        <item x="378"/>
        <item x="379"/>
        <item x="380"/>
        <item x="381"/>
        <item x="382"/>
        <item m="1" x="1612"/>
        <item m="1" x="1812"/>
        <item x="384"/>
        <item m="1" x="1613"/>
        <item x="385"/>
        <item x="386"/>
        <item m="1" x="1636"/>
        <item x="388"/>
        <item x="389"/>
        <item x="390"/>
        <item x="391"/>
        <item x="393"/>
        <item m="1" x="1813"/>
        <item x="396"/>
        <item m="1" x="1614"/>
        <item x="397"/>
        <item x="399"/>
        <item x="400"/>
        <item x="402"/>
        <item m="1" x="1814"/>
        <item x="405"/>
        <item m="1" x="1615"/>
        <item x="406"/>
        <item x="408"/>
        <item x="409"/>
        <item x="410"/>
        <item x="411"/>
        <item x="412"/>
        <item x="419"/>
        <item x="413"/>
        <item x="414"/>
        <item x="415"/>
        <item x="416"/>
        <item x="417"/>
        <item x="418"/>
        <item m="1" x="1510"/>
        <item x="420"/>
        <item x="421"/>
        <item x="423"/>
        <item x="430"/>
        <item x="424"/>
        <item x="425"/>
        <item x="426"/>
        <item x="427"/>
        <item x="428"/>
        <item x="429"/>
        <item m="1" x="1517"/>
        <item x="431"/>
        <item x="432"/>
        <item x="434"/>
        <item x="435"/>
        <item x="436"/>
        <item x="437"/>
        <item x="438"/>
        <item m="1" x="1522"/>
        <item x="439"/>
        <item m="1" x="1833"/>
        <item x="442"/>
        <item x="443"/>
        <item x="444"/>
        <item x="445"/>
        <item x="446"/>
        <item m="1" x="1538"/>
        <item x="447"/>
        <item m="1" x="1838"/>
        <item m="1" x="1439"/>
        <item x="451"/>
        <item x="453"/>
        <item x="455"/>
        <item x="454"/>
        <item x="456"/>
        <item x="457"/>
        <item x="458"/>
        <item x="459"/>
        <item x="460"/>
        <item x="461"/>
        <item x="463"/>
        <item x="465"/>
        <item x="464"/>
        <item x="466"/>
        <item x="467"/>
        <item x="468"/>
        <item x="469"/>
        <item x="470"/>
        <item x="471"/>
        <item x="472"/>
        <item x="474"/>
        <item x="473"/>
        <item m="1" x="1822"/>
        <item x="475"/>
        <item m="1" x="1823"/>
        <item x="477"/>
        <item x="478"/>
        <item x="479"/>
        <item x="480"/>
        <item x="481"/>
        <item x="483"/>
        <item x="482"/>
        <item m="1" x="1825"/>
        <item x="484"/>
        <item m="1" x="1826"/>
        <item x="486"/>
        <item x="487"/>
        <item x="488"/>
        <item x="489"/>
        <item m="1" x="1607"/>
        <item m="1" x="1623"/>
        <item x="492"/>
        <item m="1" x="1840"/>
        <item x="493"/>
        <item m="1" x="1839"/>
        <item x="495"/>
        <item m="1" x="1727"/>
        <item x="497"/>
        <item x="498"/>
        <item x="499"/>
        <item x="13"/>
        <item x="501"/>
        <item m="1" x="1849"/>
        <item x="502"/>
        <item m="1" x="1848"/>
        <item x="504"/>
        <item m="1" x="1728"/>
        <item x="506"/>
        <item x="507"/>
        <item x="508"/>
        <item x="14"/>
        <item x="510"/>
        <item x="511"/>
        <item x="512"/>
        <item m="1" x="1877"/>
        <item x="514"/>
        <item m="1" x="1729"/>
        <item x="516"/>
        <item x="517"/>
        <item x="11"/>
        <item x="518"/>
        <item x="519"/>
        <item x="520"/>
        <item m="1" x="1888"/>
        <item x="522"/>
        <item m="1" x="1730"/>
        <item x="524"/>
        <item x="525"/>
        <item x="12"/>
        <item x="526"/>
        <item x="527"/>
        <item x="528"/>
        <item x="530"/>
        <item m="1" x="1629"/>
        <item x="533"/>
        <item m="1" x="1237"/>
        <item m="1" x="1248"/>
        <item x="536"/>
        <item m="1" x="1257"/>
        <item m="1" x="1265"/>
        <item x="539"/>
        <item m="1" x="1540"/>
        <item x="540"/>
        <item x="542"/>
        <item m="1" x="1641"/>
        <item x="544"/>
        <item m="1" x="1635"/>
        <item x="547"/>
        <item m="1" x="1256"/>
        <item m="1" x="1264"/>
        <item x="550"/>
        <item m="1" x="1272"/>
        <item m="1" x="1280"/>
        <item x="553"/>
        <item m="1" x="1548"/>
        <item x="554"/>
        <item x="556"/>
        <item m="1" x="1652"/>
        <item x="557"/>
        <item m="1" x="1647"/>
        <item x="560"/>
        <item m="1" x="1271"/>
        <item m="1" x="1279"/>
        <item x="563"/>
        <item x="564"/>
        <item m="1" x="1539"/>
        <item x="565"/>
        <item m="1" x="1690"/>
        <item x="566"/>
        <item m="1" x="1683"/>
        <item x="569"/>
        <item m="1" x="1286"/>
        <item m="1" x="1294"/>
        <item x="572"/>
        <item x="573"/>
        <item m="1" x="1546"/>
        <item m="1" x="1771"/>
        <item m="1" x="1707"/>
        <item x="575"/>
        <item x="576"/>
        <item x="583"/>
        <item x="578"/>
        <item m="1" x="1598"/>
        <item m="1" x="1335"/>
        <item x="581"/>
        <item m="1" x="1243"/>
        <item x="582"/>
        <item x="589"/>
        <item x="585"/>
        <item x="586"/>
        <item x="587"/>
        <item x="588"/>
        <item x="595"/>
        <item x="590"/>
        <item m="1" x="1617"/>
        <item m="1" x="1336"/>
        <item x="593"/>
        <item m="1" x="1245"/>
        <item x="594"/>
        <item x="591"/>
        <item x="597"/>
        <item x="598"/>
        <item x="599"/>
        <item x="600"/>
        <item x="601"/>
        <item x="602"/>
        <item x="603"/>
        <item m="1" x="1337"/>
        <item x="605"/>
        <item x="606"/>
        <item x="607"/>
        <item x="608"/>
        <item x="609"/>
        <item x="610"/>
        <item x="611"/>
        <item x="612"/>
        <item x="613"/>
        <item x="614"/>
        <item m="1" x="1338"/>
        <item x="616"/>
        <item x="617"/>
        <item x="618"/>
        <item x="619"/>
        <item x="620"/>
        <item m="1" x="1285"/>
        <item x="623"/>
        <item m="1" x="1580"/>
        <item x="625"/>
        <item x="626"/>
        <item x="627"/>
        <item x="628"/>
        <item x="653"/>
        <item x="630"/>
        <item x="631"/>
        <item x="632"/>
        <item m="1" x="1512"/>
        <item x="634"/>
        <item m="1" x="1597"/>
        <item x="636"/>
        <item x="637"/>
        <item x="638"/>
        <item x="639"/>
        <item x="665"/>
        <item x="641"/>
        <item x="642"/>
        <item x="643"/>
        <item m="1" x="1518"/>
        <item x="645"/>
        <item m="1" x="1616"/>
        <item x="647"/>
        <item x="648"/>
        <item x="649"/>
        <item x="650"/>
        <item m="1" x="1238"/>
        <item x="651"/>
        <item x="652"/>
        <item x="629"/>
        <item x="654"/>
        <item m="1" x="1519"/>
        <item x="656"/>
        <item m="1" x="1624"/>
        <item x="658"/>
        <item x="659"/>
        <item x="660"/>
        <item x="661"/>
        <item x="662"/>
        <item x="663"/>
        <item x="664"/>
        <item x="640"/>
        <item x="666"/>
        <item m="1" x="1537"/>
        <item x="668"/>
        <item x="669"/>
        <item x="671"/>
        <item m="1" x="1262"/>
        <item x="672"/>
        <item x="676"/>
        <item x="674"/>
        <item x="675"/>
        <item m="1" x="1473"/>
        <item x="677"/>
        <item m="1" x="1474"/>
        <item x="679"/>
        <item x="680"/>
        <item x="681"/>
        <item x="682"/>
        <item m="1" x="1263"/>
        <item x="683"/>
        <item x="687"/>
        <item x="685"/>
        <item x="686"/>
        <item m="1" x="1475"/>
        <item x="688"/>
        <item m="1" x="1476"/>
        <item x="690"/>
        <item x="691"/>
        <item x="692"/>
        <item m="1" x="1509"/>
        <item x="694"/>
        <item x="695"/>
        <item x="696"/>
        <item x="697"/>
        <item x="698"/>
        <item m="1" x="1477"/>
        <item x="700"/>
        <item m="1" x="1478"/>
        <item x="702"/>
        <item x="703"/>
        <item x="705"/>
        <item x="706"/>
        <item x="707"/>
        <item x="708"/>
        <item x="709"/>
        <item x="710"/>
        <item m="1" x="1479"/>
        <item x="712"/>
        <item m="1" x="1480"/>
        <item x="714"/>
        <item x="715"/>
        <item x="717"/>
        <item m="1" x="1521"/>
        <item x="719"/>
        <item x="720"/>
        <item m="1" x="1396"/>
        <item m="1" x="1399"/>
        <item m="1" x="1850"/>
        <item m="1" x="1378"/>
        <item m="1" x="1381"/>
        <item m="1" x="1851"/>
        <item m="1" x="1556"/>
        <item m="1" x="1852"/>
        <item x="870"/>
        <item m="1" x="1853"/>
        <item m="1" x="1251"/>
        <item m="1" x="1260"/>
        <item m="1" x="1854"/>
        <item m="1" x="1416"/>
        <item m="1" x="1419"/>
        <item m="1" x="1855"/>
        <item m="1" x="1395"/>
        <item m="1" x="1397"/>
        <item m="1" x="1856"/>
        <item m="1" x="1569"/>
        <item m="1" x="1857"/>
        <item x="881"/>
        <item m="1" x="1858"/>
        <item m="1" x="1268"/>
        <item m="1" x="1275"/>
        <item m="1" x="1859"/>
        <item m="1" x="1438"/>
        <item m="1" x="1441"/>
        <item m="1" x="1860"/>
        <item m="1" x="1417"/>
        <item m="1" x="1861"/>
        <item m="1" x="1658"/>
        <item m="1" x="1862"/>
        <item m="1" x="1704"/>
        <item m="1" x="1863"/>
        <item m="1" x="1864"/>
        <item m="1" x="1444"/>
        <item m="1" x="1445"/>
        <item m="1" x="1865"/>
        <item m="1" x="1440"/>
        <item m="1" x="1866"/>
        <item m="1" x="1692"/>
        <item m="1" x="1867"/>
        <item m="1" x="1732"/>
        <item m="1" x="1868"/>
        <item m="1" x="1869"/>
        <item m="1" x="1893"/>
        <item m="1" x="1282"/>
        <item m="1" x="1267"/>
        <item m="1" x="1671"/>
        <item m="1" x="1362"/>
        <item m="1" x="1558"/>
        <item m="1" x="1672"/>
        <item m="1" x="1363"/>
        <item m="1" x="1573"/>
        <item m="1" x="1673"/>
        <item m="1" x="1364"/>
        <item m="1" x="1890"/>
        <item m="1" x="1870"/>
        <item m="1" x="1297"/>
        <item m="1" x="1281"/>
        <item m="1" x="1674"/>
        <item m="1" x="1365"/>
        <item m="1" x="1572"/>
        <item m="1" x="1675"/>
        <item m="1" x="1366"/>
        <item m="1" x="1588"/>
        <item m="1" x="1676"/>
        <item m="1" x="1367"/>
        <item m="1" x="1208"/>
        <item m="1" x="1871"/>
        <item m="1" x="1305"/>
        <item m="1" x="1677"/>
        <item m="1" x="1295"/>
        <item m="1" x="1678"/>
        <item m="1" x="1368"/>
        <item m="1" x="1587"/>
        <item m="1" x="1606"/>
        <item m="1" x="1679"/>
        <item m="1" x="1369"/>
        <item m="1" x="1217"/>
        <item m="1" x="1370"/>
        <item m="1" x="1318"/>
        <item m="1" x="1680"/>
        <item m="1" x="1301"/>
        <item m="1" x="1681"/>
        <item m="1" x="1371"/>
        <item m="1" x="1604"/>
        <item m="1" x="1621"/>
        <item m="1" x="1682"/>
        <item m="1" x="1372"/>
        <item m="1" x="1223"/>
        <item m="1" x="1373"/>
        <item m="1" x="1620"/>
        <item x="768"/>
        <item x="769"/>
        <item x="770"/>
        <item x="771"/>
        <item x="772"/>
        <item x="773"/>
        <item m="1" x="1559"/>
        <item x="801"/>
        <item x="775"/>
        <item m="1" x="1872"/>
        <item x="776"/>
        <item x="774"/>
        <item x="778"/>
        <item x="779"/>
        <item x="780"/>
        <item x="781"/>
        <item x="782"/>
        <item x="783"/>
        <item x="784"/>
        <item x="812"/>
        <item x="786"/>
        <item m="1" x="1873"/>
        <item x="787"/>
        <item x="785"/>
        <item x="789"/>
        <item x="790"/>
        <item x="791"/>
        <item x="793"/>
        <item x="794"/>
        <item x="795"/>
        <item x="797"/>
        <item m="1" x="1567"/>
        <item x="798"/>
        <item x="799"/>
        <item x="800"/>
        <item m="1" x="1793"/>
        <item m="1" x="1874"/>
        <item x="802"/>
        <item x="803"/>
        <item x="805"/>
        <item x="806"/>
        <item x="807"/>
        <item x="808"/>
        <item m="1" x="1568"/>
        <item x="809"/>
        <item x="810"/>
        <item x="811"/>
        <item m="1" x="1794"/>
        <item m="1" x="1875"/>
        <item x="814"/>
        <item x="815"/>
        <item x="816"/>
        <item m="1" x="1401"/>
        <item x="819"/>
        <item x="821"/>
        <item m="1" x="1402"/>
        <item x="820"/>
        <item m="1" x="1718"/>
        <item x="822"/>
        <item m="1" x="1891"/>
        <item x="824"/>
        <item x="826"/>
        <item x="827"/>
        <item x="828"/>
        <item m="1" x="1403"/>
        <item x="831"/>
        <item x="834"/>
        <item x="832"/>
        <item x="833"/>
        <item m="1" x="1720"/>
        <item x="835"/>
        <item m="1" x="1209"/>
        <item x="837"/>
        <item x="838"/>
        <item x="839"/>
        <item x="840"/>
        <item x="841"/>
        <item m="1" x="1404"/>
        <item x="844"/>
        <item x="846"/>
        <item m="1" x="1723"/>
        <item x="847"/>
        <item m="1" x="1274"/>
        <item x="848"/>
        <item x="849"/>
        <item x="850"/>
        <item x="851"/>
        <item x="852"/>
        <item x="853"/>
        <item m="1" x="1405"/>
        <item x="856"/>
        <item x="857"/>
        <item m="1" x="1726"/>
        <item x="858"/>
        <item m="1" x="1290"/>
        <item x="859"/>
        <item x="860"/>
        <item m="1" x="1622"/>
        <item m="1" x="1625"/>
        <item x="909"/>
        <item x="910"/>
        <item m="1" x="1773"/>
        <item x="912"/>
        <item x="913"/>
        <item x="914"/>
        <item x="917"/>
        <item m="1" x="1447"/>
        <item x="919"/>
        <item x="920"/>
        <item x="921"/>
        <item x="922"/>
        <item m="1" x="1776"/>
        <item x="924"/>
        <item x="925"/>
        <item x="926"/>
        <item x="929"/>
        <item m="1" x="1448"/>
        <item x="931"/>
        <item x="932"/>
        <item x="933"/>
        <item x="934"/>
        <item m="1" x="1780"/>
        <item x="937"/>
        <item x="938"/>
        <item x="935"/>
        <item x="942"/>
        <item m="1" x="1449"/>
        <item m="1" x="1691"/>
        <item x="940"/>
        <item x="944"/>
        <item x="946"/>
        <item x="947"/>
        <item m="1" x="1791"/>
        <item x="950"/>
        <item m="1" x="1513"/>
        <item x="948"/>
        <item x="954"/>
        <item m="1" x="1450"/>
        <item m="1" x="1708"/>
        <item x="952"/>
        <item m="1" x="1514"/>
        <item m="1" x="1215"/>
        <item m="1" x="1216"/>
        <item m="1" x="1414"/>
        <item m="1" x="1608"/>
        <item x="956"/>
        <item x="981"/>
        <item x="958"/>
        <item m="1" x="1219"/>
        <item x="960"/>
        <item x="969"/>
        <item x="962"/>
        <item x="964"/>
        <item x="965"/>
        <item x="966"/>
        <item x="957"/>
        <item m="1" x="1452"/>
        <item x="967"/>
        <item x="968"/>
        <item x="983"/>
        <item x="970"/>
        <item m="1" x="1220"/>
        <item x="972"/>
        <item x="973"/>
        <item x="974"/>
        <item x="976"/>
        <item x="977"/>
        <item x="978"/>
        <item x="961"/>
        <item m="1" x="1453"/>
        <item x="979"/>
        <item x="980"/>
        <item x="982"/>
        <item m="1" x="1734"/>
        <item x="984"/>
        <item m="1" x="1221"/>
        <item x="985"/>
        <item x="986"/>
        <item x="988"/>
        <item m="1" x="1454"/>
        <item m="1" x="1547"/>
        <item x="991"/>
        <item x="993"/>
        <item m="1" x="1765"/>
        <item x="995"/>
        <item m="1" x="1222"/>
        <item x="996"/>
        <item x="997"/>
        <item x="999"/>
        <item m="1" x="1455"/>
        <item m="1" x="1555"/>
        <item m="1" x="1536"/>
        <item x="1054"/>
        <item x="1055"/>
        <item x="1056"/>
        <item x="1057"/>
        <item x="1058"/>
        <item x="1059"/>
        <item x="1061"/>
        <item x="1088"/>
        <item x="1062"/>
        <item m="1" x="1410"/>
        <item x="1063"/>
        <item x="1080"/>
        <item m="1" x="1738"/>
        <item x="1067"/>
        <item x="1068"/>
        <item x="1069"/>
        <item x="1070"/>
        <item x="1071"/>
        <item x="1072"/>
        <item x="1074"/>
        <item x="1100"/>
        <item x="1075"/>
        <item m="1" x="1411"/>
        <item m="1" x="1740"/>
        <item x="1076"/>
        <item x="1093"/>
        <item m="1" x="1741"/>
        <item x="1064"/>
        <item x="1081"/>
        <item x="1083"/>
        <item x="1084"/>
        <item x="1085"/>
        <item x="1087"/>
        <item x="1091"/>
        <item m="1" x="1412"/>
        <item x="1066"/>
        <item x="1090"/>
        <item x="1089"/>
        <item m="1" x="1743"/>
        <item x="1077"/>
        <item x="1094"/>
        <item x="1096"/>
        <item x="1097"/>
        <item x="1099"/>
        <item x="1103"/>
        <item m="1" x="1413"/>
        <item x="1079"/>
        <item x="1102"/>
        <item x="1101"/>
        <item m="1" x="1745"/>
        <item x="1105"/>
        <item m="1" x="1879"/>
        <item m="1" x="1278"/>
        <item m="1" x="1663"/>
        <item m="1" x="1354"/>
        <item m="1" x="1881"/>
        <item m="1" x="1787"/>
        <item x="1108"/>
        <item m="1" x="1664"/>
        <item x="1111"/>
        <item x="1112"/>
        <item m="1" x="1882"/>
        <item m="1" x="1293"/>
        <item m="1" x="1665"/>
        <item m="1" x="1356"/>
        <item m="1" x="1884"/>
        <item m="1" x="1798"/>
        <item x="1115"/>
        <item m="1" x="1666"/>
        <item x="1118"/>
        <item x="1119"/>
        <item m="1" x="1885"/>
        <item m="1" x="1667"/>
        <item m="1" x="1358"/>
        <item m="1" x="1886"/>
        <item m="1" x="1805"/>
        <item m="1" x="1668"/>
        <item x="1128"/>
        <item x="1129"/>
        <item m="1" x="1887"/>
        <item m="1" x="1669"/>
        <item m="1" x="1360"/>
        <item m="1" x="1810"/>
        <item m="1" x="1670"/>
        <item x="1137"/>
        <item x="1138"/>
        <item x="1139"/>
        <item m="1" x="1458"/>
        <item x="1141"/>
        <item x="1143"/>
        <item m="1" x="1774"/>
        <item x="1144"/>
        <item x="1145"/>
        <item x="1146"/>
        <item m="1" x="1462"/>
        <item x="1148"/>
        <item x="1149"/>
        <item x="1151"/>
        <item m="1" x="1777"/>
        <item x="1162"/>
        <item x="1153"/>
        <item x="1154"/>
        <item x="1155"/>
        <item m="1" x="1466"/>
        <item x="1157"/>
        <item x="1158"/>
        <item x="1161"/>
        <item m="1" x="1785"/>
        <item x="1159"/>
        <item m="1" x="1224"/>
        <item x="1163"/>
        <item x="1164"/>
        <item x="1165"/>
        <item m="1" x="1472"/>
        <item x="1167"/>
        <item x="1168"/>
        <item x="1171"/>
        <item m="1" x="1795"/>
        <item m="1" x="1228"/>
        <item x="1172"/>
        <item m="1" x="1288"/>
        <item m="1" x="1218"/>
        <item x="1207"/>
        <item x="174"/>
        <item m="1" x="1717"/>
        <item m="1" x="1719"/>
        <item m="1" x="1721"/>
        <item m="1" x="1724"/>
        <item m="1" x="1628"/>
        <item m="1" x="1525"/>
        <item m="1" x="1527"/>
        <item m="1" x="1529"/>
        <item m="1" x="1531"/>
        <item m="1" x="1806"/>
        <item m="1" x="1815"/>
        <item m="1" x="1789"/>
        <item m="1" x="1800"/>
        <item x="25"/>
        <item x="32"/>
        <item m="1" x="1836"/>
        <item m="1" x="1837"/>
        <item x="340"/>
        <item x="350"/>
        <item x="358"/>
        <item x="366"/>
        <item m="1" x="1737"/>
        <item m="1" x="1570"/>
        <item m="1" x="1582"/>
        <item m="1" x="1533"/>
        <item x="26"/>
        <item x="33"/>
        <item x="339"/>
        <item x="349"/>
        <item x="357"/>
        <item x="365"/>
        <item x="266"/>
        <item m="1" x="1393"/>
        <item m="1" x="1400"/>
        <item m="1" x="1420"/>
        <item m="1" x="1442"/>
        <item m="1" x="1376"/>
        <item m="1" x="1382"/>
        <item m="1" x="1398"/>
        <item m="1" x="1418"/>
        <item x="673"/>
        <item x="684"/>
        <item x="574"/>
        <item m="1" x="1631"/>
        <item m="1" x="1637"/>
        <item m="1" x="1649"/>
        <item m="1" x="1686"/>
        <item m="1" x="1705"/>
        <item x="370"/>
        <item m="1" x="1638"/>
        <item m="1" x="1650"/>
        <item m="1" x="1687"/>
        <item m="1" x="1706"/>
        <item m="1" x="1733"/>
        <item m="1" x="1241"/>
        <item m="1" x="1261"/>
        <item m="1" x="1276"/>
        <item m="1" x="1291"/>
        <item m="1" x="1300"/>
        <item x="704"/>
        <item x="716"/>
        <item m="1" x="1340"/>
        <item x="825"/>
        <item x="6"/>
        <item x="39"/>
        <item x="796"/>
        <item m="1" x="1601"/>
        <item m="1" x="1618"/>
        <item x="338"/>
        <item x="348"/>
        <item x="1142"/>
        <item x="1150"/>
        <item x="1160"/>
        <item x="1170"/>
        <item m="1" x="1609"/>
        <item m="1" x="1575"/>
        <item m="1" x="1589"/>
        <item m="1" x="1236"/>
        <item m="1" x="1254"/>
        <item m="1" x="1584"/>
        <item m="1" x="1603"/>
        <item x="440"/>
        <item x="448"/>
        <item m="1" x="1642"/>
        <item m="1" x="1653"/>
        <item m="1" x="1520"/>
        <item m="1" x="1320"/>
        <item m="1" x="1324"/>
        <item m="1" x="1328"/>
        <item m="1" x="1332"/>
        <item m="1" x="1343"/>
        <item m="1" x="1346"/>
        <item m="1" x="1349"/>
        <item m="1" x="1352"/>
        <item m="1" x="1747"/>
        <item m="1" x="1752"/>
        <item m="1" x="1757"/>
        <item m="1" x="1760"/>
        <item m="1" x="1421"/>
        <item m="1" x="1425"/>
        <item m="1" x="1429"/>
        <item m="1" x="1433"/>
        <item x="1106"/>
        <item x="1113"/>
        <item x="1120"/>
        <item x="1130"/>
        <item m="1" x="1353"/>
        <item m="1" x="1355"/>
        <item m="1" x="1357"/>
        <item m="1" x="1359"/>
        <item m="1" x="1880"/>
        <item m="1" x="1883"/>
        <item x="1123"/>
        <item x="1132"/>
        <item m="1" x="1322"/>
        <item m="1" x="1326"/>
        <item m="1" x="1330"/>
        <item m="1" x="1334"/>
        <item m="1" x="1341"/>
        <item m="1" x="1344"/>
        <item m="1" x="1347"/>
        <item m="1" x="1350"/>
        <item m="1" x="1748"/>
        <item m="1" x="1753"/>
        <item m="1" x="1758"/>
        <item m="1" x="1761"/>
        <item m="1" x="1423"/>
        <item m="1" x="1427"/>
        <item m="1" x="1431"/>
        <item m="1" x="1435"/>
        <item m="1" x="1736"/>
        <item m="1" x="1739"/>
        <item m="1" x="1742"/>
        <item m="1" x="1744"/>
        <item m="1" x="1329"/>
        <item m="1" x="1333"/>
        <item m="1" x="1348"/>
        <item m="1" x="1351"/>
        <item m="1" x="1750"/>
        <item m="1" x="1755"/>
        <item m="1" x="1759"/>
        <item m="1" x="1762"/>
        <item m="1" x="1424"/>
        <item m="1" x="1428"/>
        <item m="1" x="1432"/>
        <item m="1" x="1436"/>
        <item x="422"/>
        <item x="433"/>
        <item x="441"/>
        <item x="449"/>
        <item m="1" x="1321"/>
        <item m="1" x="1325"/>
        <item m="1" x="1342"/>
        <item m="1" x="1345"/>
        <item x="1065"/>
        <item x="1078"/>
        <item x="1092"/>
        <item x="1104"/>
        <item m="1" x="1685"/>
        <item m="1" x="1361"/>
        <item m="1" x="1379"/>
        <item x="54"/>
        <item x="64"/>
        <item x="532"/>
        <item x="546"/>
        <item x="559"/>
        <item x="568"/>
        <item x="83"/>
        <item x="93"/>
        <item m="1" x="1311"/>
        <item m="1" x="1313"/>
        <item m="1" x="1315"/>
        <item m="1" x="1316"/>
        <item x="85"/>
        <item x="95"/>
        <item x="1107"/>
        <item x="1114"/>
        <item x="1124"/>
        <item x="1133"/>
        <item x="1125"/>
        <item x="1134"/>
        <item m="1" x="1792"/>
        <item m="1" x="1802"/>
        <item x="1109"/>
        <item x="1116"/>
        <item x="1126"/>
        <item x="1135"/>
        <item m="1" x="1469"/>
        <item m="1" x="1481"/>
        <item m="1" x="1485"/>
        <item m="1" x="1491"/>
        <item m="1" x="1229"/>
        <item x="990"/>
        <item x="1001"/>
        <item m="1" x="1722"/>
        <item m="1" x="1725"/>
        <item x="330"/>
        <item x="373"/>
        <item x="383"/>
        <item x="394"/>
        <item x="403"/>
        <item m="1" x="1643"/>
        <item m="1" x="1644"/>
        <item m="1" x="1645"/>
        <item m="1" x="1646"/>
        <item m="1" x="1374"/>
        <item m="1" x="1380"/>
        <item m="1" x="1232"/>
        <item x="861"/>
        <item x="496"/>
        <item x="505"/>
        <item x="515"/>
        <item x="523"/>
        <item m="1" x="1700"/>
        <item m="1" x="1596"/>
        <item m="1" x="1307"/>
        <item m="1" x="1308"/>
        <item m="1" x="1309"/>
        <item m="1" x="1310"/>
        <item m="1" x="1504"/>
        <item m="1" x="1296"/>
        <item m="1" x="1302"/>
        <item m="1" x="1287"/>
        <item m="1" x="1299"/>
        <item m="1" x="1233"/>
        <item m="1" x="1250"/>
        <item x="1002"/>
        <item m="1" x="1592"/>
        <item m="1" x="1593"/>
        <item m="1" x="1594"/>
        <item m="1" x="1595"/>
        <item m="1" x="1242"/>
        <item m="1" x="1244"/>
        <item m="1" x="1246"/>
        <item m="1" x="1247"/>
        <item m="1" x="1796"/>
        <item m="1" x="1803"/>
        <item m="1" x="1384"/>
        <item m="1" x="1386"/>
        <item m="1" x="1388"/>
        <item m="1" x="1391"/>
        <item m="1" x="1711"/>
        <item m="1" x="1712"/>
        <item m="1" x="1713"/>
        <item m="1" x="1715"/>
        <item x="1010"/>
        <item x="1023"/>
        <item m="1" x="1239"/>
        <item x="1032"/>
        <item x="1044"/>
        <item m="1" x="1524"/>
        <item m="1" x="1542"/>
        <item m="1" x="1383"/>
        <item m="1" x="1385"/>
        <item m="1" x="1716"/>
        <item x="1009"/>
        <item x="1022"/>
        <item x="1035"/>
        <item x="1047"/>
        <item x="1008"/>
        <item x="1021"/>
        <item x="1034"/>
        <item x="1046"/>
        <item x="1012"/>
        <item x="1025"/>
        <item m="1" x="1714"/>
        <item m="1" x="1392"/>
        <item x="1011"/>
        <item x="1024"/>
        <item m="1" x="1389"/>
        <item x="1005"/>
        <item x="1018"/>
        <item x="353"/>
        <item x="361"/>
        <item m="1" x="1830"/>
        <item m="1" x="1211"/>
        <item m="1" x="1212"/>
        <item m="1" x="1213"/>
        <item m="1" x="1214"/>
        <item m="1" x="1626"/>
        <item m="1" x="1632"/>
        <item m="1" x="1639"/>
        <item m="1" x="1651"/>
        <item x="621"/>
        <item m="1" x="1566"/>
        <item m="1" x="1689"/>
        <item m="1" x="1459"/>
        <item m="1" x="1703"/>
        <item m="1" x="1731"/>
        <item m="1" x="1763"/>
        <item m="1" x="1768"/>
        <item m="1" x="1709"/>
        <item m="1" x="1735"/>
        <item m="1" x="1766"/>
        <item m="1" x="1772"/>
        <item x="1029"/>
        <item x="1041"/>
        <item x="1003"/>
        <item x="1016"/>
        <item x="1038"/>
        <item x="1050"/>
        <item x="1007"/>
        <item x="1020"/>
        <item x="1036"/>
        <item x="1048"/>
        <item x="1013"/>
        <item x="1026"/>
        <item x="1006"/>
        <item x="1019"/>
        <item m="1" x="1515"/>
        <item m="1" x="1516"/>
        <item x="1033"/>
        <item x="1045"/>
        <item x="1053"/>
        <item x="1031"/>
        <item x="1043"/>
        <item m="1" x="1387"/>
        <item m="1" x="1390"/>
        <item x="74"/>
        <item x="75"/>
        <item x="130"/>
        <item x="140"/>
        <item m="1" x="1581"/>
        <item x="270"/>
        <item x="282"/>
        <item m="1" x="1406"/>
        <item m="1" x="1407"/>
        <item m="1" x="1408"/>
        <item m="1" x="1409"/>
        <item m="1" x="1319"/>
        <item m="1" x="1323"/>
        <item m="1" x="1688"/>
        <item m="1" x="1327"/>
        <item m="1" x="1331"/>
        <item m="1" x="1764"/>
        <item m="1" x="1659"/>
        <item m="1" x="1467"/>
        <item m="1" x="1660"/>
        <item m="1" x="1468"/>
        <item m="1" x="1661"/>
        <item m="1" x="1662"/>
        <item m="1" x="1394"/>
        <item m="1" x="1693"/>
        <item m="1" x="1782"/>
        <item m="1" x="1710"/>
        <item m="1" x="1784"/>
        <item x="792"/>
        <item x="804"/>
        <item x="818"/>
        <item x="830"/>
        <item x="843"/>
        <item x="855"/>
        <item m="1" x="1422"/>
        <item m="1" x="1749"/>
        <item x="730"/>
        <item m="1" x="1426"/>
        <item m="1" x="1754"/>
        <item x="742"/>
        <item m="1" x="1430"/>
        <item m="1" x="1751"/>
        <item m="1" x="1564"/>
        <item m="1" x="1434"/>
        <item m="1" x="1756"/>
        <item m="1" x="1578"/>
        <item m="1" x="1775"/>
        <item m="1" x="1534"/>
        <item x="949"/>
        <item m="1" x="1779"/>
        <item x="936"/>
        <item m="1" x="1788"/>
        <item m="1" x="1799"/>
        <item x="992"/>
        <item x="994"/>
        <item m="1" x="1535"/>
        <item x="1014"/>
        <item x="1015"/>
        <item x="1027"/>
        <item x="1028"/>
        <item x="1039"/>
        <item x="1040"/>
        <item x="1051"/>
        <item x="1052"/>
        <item m="1" x="1778"/>
        <item m="1" x="1769"/>
        <item m="1" x="1786"/>
        <item m="1" x="1770"/>
        <item m="1" x="1797"/>
        <item m="1" x="1804"/>
        <item m="1" x="1463"/>
        <item m="1" x="1470"/>
        <item m="1" x="1482"/>
        <item m="1" x="1648"/>
        <item m="1" x="1486"/>
        <item m="1" x="1702"/>
        <item x="1"/>
        <item x="4"/>
        <item x="15"/>
        <item x="18"/>
        <item x="62"/>
        <item x="72"/>
        <item x="127"/>
        <item x="137"/>
        <item x="250"/>
        <item m="1" x="1523"/>
        <item x="260"/>
        <item m="1" x="1541"/>
        <item m="1" x="1496"/>
        <item m="1" x="1497"/>
        <item x="307"/>
        <item x="313"/>
        <item x="319"/>
        <item m="1" x="1451"/>
        <item m="1" x="1457"/>
        <item x="377"/>
        <item x="387"/>
        <item x="392"/>
        <item x="395"/>
        <item x="398"/>
        <item x="401"/>
        <item x="404"/>
        <item x="407"/>
        <item m="1" x="1561"/>
        <item m="1" x="1574"/>
        <item x="452"/>
        <item m="1" x="1818"/>
        <item x="462"/>
        <item m="1" x="1820"/>
        <item x="491"/>
        <item m="1" x="1829"/>
        <item m="1" x="1746"/>
        <item x="529"/>
        <item x="531"/>
        <item x="535"/>
        <item x="538"/>
        <item m="1" x="1312"/>
        <item x="543"/>
        <item x="545"/>
        <item x="549"/>
        <item x="552"/>
        <item m="1" x="1314"/>
        <item x="558"/>
        <item x="562"/>
        <item x="567"/>
        <item x="571"/>
        <item x="584"/>
        <item x="596"/>
        <item x="622"/>
        <item x="624"/>
        <item x="635"/>
        <item x="646"/>
        <item x="657"/>
        <item x="670"/>
        <item m="1" x="1781"/>
        <item m="1" x="1553"/>
        <item m="1" x="1783"/>
        <item m="1" x="1554"/>
        <item m="1" x="1415"/>
        <item m="1" x="1437"/>
        <item x="777"/>
        <item x="788"/>
        <item x="813"/>
        <item x="823"/>
        <item x="836"/>
        <item x="845"/>
        <item x="916"/>
        <item x="928"/>
        <item x="939"/>
        <item x="943"/>
        <item x="941"/>
        <item x="945"/>
        <item x="951"/>
        <item x="955"/>
        <item x="953"/>
        <item x="959"/>
        <item x="963"/>
        <item x="989"/>
        <item x="971"/>
        <item x="1000"/>
        <item x="975"/>
        <item x="987"/>
        <item x="998"/>
        <item x="1004"/>
        <item x="1017"/>
        <item x="1030"/>
        <item x="1037"/>
        <item x="1042"/>
        <item x="1049"/>
        <item x="1060"/>
        <item x="1073"/>
        <item x="1082"/>
        <item x="1086"/>
        <item m="1" x="1226"/>
        <item x="1095"/>
        <item x="1098"/>
        <item m="1" x="1227"/>
        <item x="1110"/>
        <item x="1117"/>
        <item x="1121"/>
        <item x="1122"/>
        <item x="1127"/>
        <item x="1131"/>
        <item x="1136"/>
        <item m="1" x="1684"/>
        <item m="1" x="1701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915"/>
        <item x="927"/>
        <item x="8"/>
        <item x="21"/>
        <item x="306"/>
        <item m="1" x="1543"/>
        <item m="1" x="1549"/>
        <item m="1" x="1819"/>
        <item m="1" x="1821"/>
        <item m="1" x="1824"/>
        <item m="1" x="1827"/>
        <item m="1" x="1506"/>
        <item m="1" x="1505"/>
        <item m="1" x="1507"/>
        <item x="699"/>
        <item x="711"/>
        <item x="721"/>
        <item x="722"/>
        <item x="723"/>
        <item x="724"/>
        <item x="725"/>
        <item x="726"/>
        <item x="727"/>
        <item x="728"/>
        <item x="729"/>
        <item m="1" x="1585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m="1" x="1586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817"/>
        <item x="829"/>
        <item x="842"/>
        <item x="854"/>
        <item x="862"/>
        <item x="863"/>
        <item x="864"/>
        <item x="865"/>
        <item x="866"/>
        <item x="867"/>
        <item x="868"/>
        <item x="869"/>
        <item x="871"/>
        <item x="872"/>
        <item x="873"/>
        <item x="874"/>
        <item x="875"/>
        <item x="876"/>
        <item x="877"/>
        <item x="878"/>
        <item x="879"/>
        <item x="880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18"/>
        <item x="930"/>
        <item m="1" x="1339"/>
        <item m="1" x="1375"/>
        <item x="192"/>
        <item x="201"/>
        <item x="494"/>
        <item x="503"/>
        <item x="513"/>
        <item x="500"/>
        <item x="521"/>
        <item x="509"/>
        <item x="633"/>
        <item x="644"/>
        <item x="655"/>
        <item x="667"/>
        <item x="678"/>
        <item x="689"/>
        <item x="701"/>
        <item x="713"/>
        <item x="911"/>
        <item x="923"/>
        <item m="1" x="1526"/>
        <item m="1" x="1528"/>
        <item x="1152"/>
        <item m="1" x="1530"/>
        <item m="1" x="1532"/>
        <item x="1169"/>
        <item x="116"/>
        <item x="123"/>
        <item x="134"/>
        <item x="144"/>
        <item x="172"/>
        <item x="181"/>
        <item x="195"/>
        <item x="204"/>
        <item x="236"/>
        <item x="245"/>
        <item x="333"/>
        <item x="343"/>
        <item x="450"/>
        <item x="476"/>
        <item x="485"/>
        <item x="490"/>
        <item x="534"/>
        <item x="537"/>
        <item x="541"/>
        <item x="548"/>
        <item x="551"/>
        <item x="555"/>
        <item x="561"/>
        <item x="570"/>
        <item x="577"/>
        <item x="579"/>
        <item x="580"/>
        <item x="592"/>
        <item x="604"/>
        <item x="615"/>
        <item x="693"/>
        <item x="718"/>
        <item x="1140"/>
        <item x="1147"/>
        <item x="1156"/>
        <item x="1166"/>
        <item t="default"/>
      </items>
    </pivotField>
    <pivotField showAll="0"/>
    <pivotField showAll="0"/>
    <pivotField axis="axisCol" showAll="0">
      <items count="39">
        <item x="0"/>
        <item x="1"/>
        <item x="2"/>
        <item x="3"/>
        <item x="4"/>
        <item x="5"/>
        <item x="9"/>
        <item x="10"/>
        <item x="11"/>
        <item x="8"/>
        <item x="12"/>
        <item x="13"/>
        <item x="14"/>
        <item x="15"/>
        <item x="6"/>
        <item x="16"/>
        <item x="17"/>
        <item x="18"/>
        <item x="19"/>
        <item x="7"/>
        <item x="20"/>
        <item x="21"/>
        <item x="28"/>
        <item x="24"/>
        <item x="25"/>
        <item m="1" x="34"/>
        <item m="1" x="35"/>
        <item m="1" x="36"/>
        <item x="27"/>
        <item x="22"/>
        <item x="23"/>
        <item x="30"/>
        <item m="1" x="37"/>
        <item x="31"/>
        <item x="26"/>
        <item m="1" x="33"/>
        <item x="29"/>
        <item x="32"/>
        <item t="default"/>
      </items>
    </pivotField>
    <pivotField axis="axisRow" showAll="0">
      <items count="6">
        <item x="0"/>
        <item x="1"/>
        <item x="2"/>
        <item x="3"/>
        <item m="1" x="4"/>
        <item t="default"/>
      </items>
    </pivotField>
    <pivotField showAll="0" defaultSubtotal="0"/>
    <pivotField showAll="0"/>
    <pivotField axis="axisRow" dataField="1" showAll="0">
      <items count="28">
        <item x="15"/>
        <item x="22"/>
        <item x="19"/>
        <item x="20"/>
        <item x="18"/>
        <item x="23"/>
        <item x="8"/>
        <item x="16"/>
        <item x="24"/>
        <item x="5"/>
        <item x="21"/>
        <item x="6"/>
        <item x="12"/>
        <item x="3"/>
        <item x="26"/>
        <item x="13"/>
        <item x="7"/>
        <item x="2"/>
        <item x="9"/>
        <item x="10"/>
        <item x="1"/>
        <item x="0"/>
        <item x="4"/>
        <item x="14"/>
        <item x="17"/>
        <item x="11"/>
        <item x="25"/>
        <item t="default"/>
      </items>
    </pivotField>
    <pivotField showAll="0"/>
    <pivotField showAll="0"/>
    <pivotField showAll="0"/>
    <pivotField showAll="0"/>
    <pivotField showAll="0"/>
  </pivotFields>
  <rowFields count="2">
    <field x="5"/>
    <field x="8"/>
  </rowFields>
  <rowItems count="70">
    <i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5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9"/>
    </i>
    <i r="1">
      <x v="10"/>
    </i>
    <i r="1">
      <x v="11"/>
    </i>
    <i r="1">
      <x v="12"/>
    </i>
    <i r="1">
      <x v="13"/>
    </i>
    <i r="1">
      <x v="15"/>
    </i>
    <i r="1">
      <x v="16"/>
    </i>
    <i r="1">
      <x v="17"/>
    </i>
    <i r="1">
      <x v="19"/>
    </i>
    <i r="1">
      <x v="20"/>
    </i>
    <i r="1">
      <x v="22"/>
    </i>
    <i r="1">
      <x v="24"/>
    </i>
    <i r="1">
      <x v="25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3"/>
    </i>
    <i r="1">
      <x v="15"/>
    </i>
    <i r="1">
      <x v="16"/>
    </i>
    <i r="1">
      <x v="19"/>
    </i>
    <i r="1">
      <x v="20"/>
    </i>
    <i r="1">
      <x v="22"/>
    </i>
    <i r="1">
      <x v="23"/>
    </i>
    <i r="1">
      <x v="25"/>
    </i>
    <i r="1">
      <x v="26"/>
    </i>
    <i>
      <x v="3"/>
    </i>
    <i r="1">
      <x v="16"/>
    </i>
    <i t="grand">
      <x/>
    </i>
  </rowItems>
  <colFields count="1">
    <field x="4"/>
  </colFields>
  <colItems count="3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8"/>
    </i>
    <i>
      <x v="29"/>
    </i>
    <i>
      <x v="30"/>
    </i>
    <i>
      <x v="31"/>
    </i>
    <i>
      <x v="33"/>
    </i>
    <i>
      <x v="34"/>
    </i>
    <i>
      <x v="36"/>
    </i>
    <i>
      <x v="37"/>
    </i>
    <i t="grand">
      <x/>
    </i>
  </colItems>
  <pageFields count="1">
    <pageField fld="1" hier="-1"/>
  </pageFields>
  <dataFields count="1">
    <dataField name="Cuenta de AULA" fld="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1:N3" totalsRowShown="0">
  <autoFilter ref="A1:N3" xr:uid="{00000000-0009-0000-0100-000001000000}"/>
  <tableColumns count="14">
    <tableColumn id="1" xr3:uid="{00000000-0010-0000-0000-000001000000}" name="CURSO"/>
    <tableColumn id="2" xr3:uid="{00000000-0010-0000-0000-000002000000}" name="CURSO2"/>
    <tableColumn id="3" xr3:uid="{00000000-0010-0000-0000-000003000000}" name="COM"/>
    <tableColumn id="4" xr3:uid="{00000000-0010-0000-0000-000004000000}" name="cod"/>
    <tableColumn id="5" xr3:uid="{00000000-0010-0000-0000-000005000000}" name="H_D"/>
    <tableColumn id="6" xr3:uid="{00000000-0010-0000-0000-000006000000}" name="turno"/>
    <tableColumn id="7" xr3:uid="{00000000-0010-0000-0000-000007000000}" name=" "/>
    <tableColumn id="8" xr3:uid="{00000000-0010-0000-0000-000008000000}" name="materia"/>
    <tableColumn id="9" xr3:uid="{00000000-0010-0000-0000-000009000000}" name="AULA"/>
    <tableColumn id="10" xr3:uid="{00000000-0010-0000-0000-00000A000000}" name="aula_mov"/>
    <tableColumn id="11" xr3:uid="{00000000-0010-0000-0000-00000B000000}" name="dia"/>
    <tableColumn id="12" xr3:uid="{00000000-0010-0000-0000-00000C000000}" name="MODALIDAD"/>
    <tableColumn id="13" xr3:uid="{00000000-0010-0000-0000-00000D000000}" name="DOCENTE"/>
    <tableColumn id="14" xr3:uid="{00000000-0010-0000-0000-00000E000000}" name="COD_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la3" displayName="Tabla3" ref="A1:N3" totalsRowShown="0">
  <autoFilter ref="A1:N3" xr:uid="{00000000-0009-0000-0100-000003000000}"/>
  <tableColumns count="14">
    <tableColumn id="1" xr3:uid="{00000000-0010-0000-0100-000001000000}" name="CURSO"/>
    <tableColumn id="2" xr3:uid="{00000000-0010-0000-0100-000002000000}" name="CURSO2"/>
    <tableColumn id="3" xr3:uid="{00000000-0010-0000-0100-000003000000}" name="COM"/>
    <tableColumn id="4" xr3:uid="{00000000-0010-0000-0100-000004000000}" name="cod"/>
    <tableColumn id="5" xr3:uid="{00000000-0010-0000-0100-000005000000}" name="H_D"/>
    <tableColumn id="6" xr3:uid="{00000000-0010-0000-0100-000006000000}" name="turno"/>
    <tableColumn id="7" xr3:uid="{00000000-0010-0000-0100-000007000000}" name=" "/>
    <tableColumn id="8" xr3:uid="{00000000-0010-0000-0100-000008000000}" name="materia"/>
    <tableColumn id="9" xr3:uid="{00000000-0010-0000-0100-000009000000}" name="AULA"/>
    <tableColumn id="10" xr3:uid="{00000000-0010-0000-0100-00000A000000}" name="aula_mov"/>
    <tableColumn id="11" xr3:uid="{00000000-0010-0000-0100-00000B000000}" name="dia"/>
    <tableColumn id="12" xr3:uid="{00000000-0010-0000-0100-00000C000000}" name="MODALIDAD"/>
    <tableColumn id="13" xr3:uid="{00000000-0010-0000-0100-00000D000000}" name="DOCENTE"/>
    <tableColumn id="14" xr3:uid="{00000000-0010-0000-0100-00000E000000}" name="COD_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Tabla2" displayName="Tabla2" ref="A1:K6" totalsRowShown="0" headerRowDxfId="41" headerRowBorderDxfId="40" tableBorderDxfId="39" totalsRowBorderDxfId="38">
  <autoFilter ref="A1:K6" xr:uid="{00000000-0009-0000-0100-000002000000}"/>
  <tableColumns count="11">
    <tableColumn id="1" xr3:uid="{00000000-0010-0000-0200-000001000000}" name="CURSO" dataDxfId="37"/>
    <tableColumn id="2" xr3:uid="{00000000-0010-0000-0200-000002000000}" name="COM" dataDxfId="36"/>
    <tableColumn id="3" xr3:uid="{00000000-0010-0000-0200-000003000000}" name="DIA" dataDxfId="35"/>
    <tableColumn id="4" xr3:uid="{00000000-0010-0000-0200-000004000000}" name="HORARIO" dataDxfId="34"/>
    <tableColumn id="5" xr3:uid="{00000000-0010-0000-0200-000005000000}" name="TURNO" dataDxfId="33"/>
    <tableColumn id="6" xr3:uid="{00000000-0010-0000-0200-000006000000}" name="MATERIA" dataDxfId="32"/>
    <tableColumn id="7" xr3:uid="{00000000-0010-0000-0200-000007000000}" name="DOCENTE" dataDxfId="31"/>
    <tableColumn id="8" xr3:uid="{00000000-0010-0000-0200-000008000000}" name="ESTADO" dataDxfId="30"/>
    <tableColumn id="9" xr3:uid="{00000000-0010-0000-0200-000009000000}" name="RECLAMO" dataDxfId="29"/>
    <tableColumn id="10" xr3:uid="{00000000-0010-0000-0200-00000A000000}" name="FECHA" dataDxfId="28"/>
    <tableColumn id="11" xr3:uid="{00000000-0010-0000-0200-00000B000000}" name="MEDIO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rinterSettings" Target="../printerSettings/printerSettings1.bin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8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Relationship Id="rId5" Type="http://schemas.openxmlformats.org/officeDocument/2006/relationships/pivotTable" Target="../pivotTables/pivotTable10.xml"/><Relationship Id="rId4" Type="http://schemas.openxmlformats.org/officeDocument/2006/relationships/pivotTable" Target="../pivotTables/pivotTable9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3.xml"/><Relationship Id="rId2" Type="http://schemas.openxmlformats.org/officeDocument/2006/relationships/pivotTable" Target="../pivotTables/pivotTable12.xml"/><Relationship Id="rId1" Type="http://schemas.openxmlformats.org/officeDocument/2006/relationships/pivotTable" Target="../pivotTables/pivotTable11.xml"/><Relationship Id="rId5" Type="http://schemas.openxmlformats.org/officeDocument/2006/relationships/pivotTable" Target="../pivotTables/pivotTable15.xml"/><Relationship Id="rId4" Type="http://schemas.openxmlformats.org/officeDocument/2006/relationships/pivotTable" Target="../pivotTables/pivotTable1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3:I16"/>
  <sheetViews>
    <sheetView zoomScale="85" zoomScaleNormal="85" workbookViewId="0">
      <selection activeCell="C10" sqref="C10"/>
    </sheetView>
  </sheetViews>
  <sheetFormatPr baseColWidth="10" defaultRowHeight="14.4" x14ac:dyDescent="0.3"/>
  <cols>
    <col min="1" max="1" width="17.5546875" customWidth="1"/>
    <col min="2" max="2" width="6.109375" customWidth="1"/>
    <col min="3" max="3" width="17.5546875" bestFit="1" customWidth="1"/>
    <col min="4" max="4" width="5.88671875" customWidth="1"/>
    <col min="5" max="5" width="17.5546875" bestFit="1" customWidth="1"/>
    <col min="6" max="6" width="4.5546875" customWidth="1"/>
    <col min="7" max="7" width="17.5546875" customWidth="1"/>
    <col min="8" max="8" width="6.5546875" customWidth="1"/>
    <col min="9" max="9" width="17.5546875" bestFit="1" customWidth="1"/>
  </cols>
  <sheetData>
    <row r="3" spans="1:9" x14ac:dyDescent="0.3">
      <c r="A3" s="9" t="s">
        <v>477</v>
      </c>
      <c r="C3" s="9" t="s">
        <v>477</v>
      </c>
      <c r="E3" s="9" t="s">
        <v>477</v>
      </c>
      <c r="G3" s="9" t="s">
        <v>477</v>
      </c>
      <c r="I3" s="9" t="s">
        <v>477</v>
      </c>
    </row>
    <row r="4" spans="1:9" x14ac:dyDescent="0.3">
      <c r="A4" s="10" t="s">
        <v>512</v>
      </c>
      <c r="C4" s="10" t="s">
        <v>512</v>
      </c>
      <c r="E4" s="10" t="s">
        <v>512</v>
      </c>
      <c r="G4" s="10" t="s">
        <v>512</v>
      </c>
      <c r="I4" s="10" t="s">
        <v>512</v>
      </c>
    </row>
    <row r="5" spans="1:9" x14ac:dyDescent="0.3">
      <c r="A5" s="11" t="s">
        <v>125</v>
      </c>
      <c r="C5" s="11" t="s">
        <v>125</v>
      </c>
      <c r="E5" s="11" t="s">
        <v>125</v>
      </c>
      <c r="G5" s="11" t="s">
        <v>125</v>
      </c>
      <c r="I5" s="11" t="s">
        <v>125</v>
      </c>
    </row>
    <row r="6" spans="1:9" x14ac:dyDescent="0.3">
      <c r="A6" s="15" t="s">
        <v>508</v>
      </c>
      <c r="C6" s="12" t="s">
        <v>509</v>
      </c>
      <c r="E6" s="12" t="s">
        <v>510</v>
      </c>
      <c r="G6" s="12" t="s">
        <v>507</v>
      </c>
      <c r="I6" s="12" t="s">
        <v>511</v>
      </c>
    </row>
    <row r="7" spans="1:9" x14ac:dyDescent="0.3">
      <c r="A7" s="14" t="s">
        <v>493</v>
      </c>
      <c r="C7" s="13" t="s">
        <v>492</v>
      </c>
      <c r="E7" s="13" t="s">
        <v>493</v>
      </c>
      <c r="G7" s="13" t="s">
        <v>489</v>
      </c>
      <c r="I7" s="13" t="s">
        <v>490</v>
      </c>
    </row>
    <row r="8" spans="1:9" x14ac:dyDescent="0.3">
      <c r="A8" s="14" t="s">
        <v>503</v>
      </c>
      <c r="C8" s="13" t="s">
        <v>493</v>
      </c>
      <c r="E8" s="13" t="s">
        <v>495</v>
      </c>
      <c r="G8" s="13" t="s">
        <v>491</v>
      </c>
      <c r="I8" s="13" t="s">
        <v>493</v>
      </c>
    </row>
    <row r="9" spans="1:9" x14ac:dyDescent="0.3">
      <c r="A9" s="14" t="s">
        <v>501</v>
      </c>
      <c r="C9" s="13" t="s">
        <v>498</v>
      </c>
      <c r="E9" s="13" t="s">
        <v>503</v>
      </c>
      <c r="G9" s="13" t="s">
        <v>493</v>
      </c>
      <c r="I9" s="13" t="s">
        <v>503</v>
      </c>
    </row>
    <row r="10" spans="1:9" x14ac:dyDescent="0.3">
      <c r="A10" s="14" t="s">
        <v>502</v>
      </c>
      <c r="C10" s="13" t="s">
        <v>502</v>
      </c>
      <c r="E10" s="13" t="s">
        <v>498</v>
      </c>
      <c r="G10" s="13" t="s">
        <v>503</v>
      </c>
      <c r="I10" s="13" t="s">
        <v>498</v>
      </c>
    </row>
    <row r="11" spans="1:9" x14ac:dyDescent="0.3">
      <c r="C11" s="13" t="s">
        <v>1466</v>
      </c>
      <c r="E11" s="13" t="s">
        <v>1466</v>
      </c>
      <c r="G11" s="13" t="s">
        <v>498</v>
      </c>
      <c r="I11" s="13" t="s">
        <v>505</v>
      </c>
    </row>
    <row r="12" spans="1:9" x14ac:dyDescent="0.3">
      <c r="E12" s="13" t="s">
        <v>501</v>
      </c>
      <c r="G12" s="13" t="s">
        <v>1466</v>
      </c>
      <c r="I12" s="13" t="s">
        <v>2773</v>
      </c>
    </row>
    <row r="13" spans="1:9" x14ac:dyDescent="0.3">
      <c r="E13" s="13" t="s">
        <v>502</v>
      </c>
      <c r="G13" s="13" t="s">
        <v>501</v>
      </c>
    </row>
    <row r="14" spans="1:9" x14ac:dyDescent="0.3">
      <c r="E14" s="13" t="s">
        <v>2773</v>
      </c>
      <c r="G14" s="13" t="s">
        <v>505</v>
      </c>
    </row>
    <row r="15" spans="1:9" x14ac:dyDescent="0.3">
      <c r="G15" s="13" t="s">
        <v>502</v>
      </c>
    </row>
    <row r="16" spans="1:9" x14ac:dyDescent="0.3">
      <c r="G16" s="13" t="s">
        <v>2773</v>
      </c>
    </row>
  </sheetData>
  <pageMargins left="0.7" right="0.7" top="0.75" bottom="0.75" header="0.3" footer="0.3"/>
  <pageSetup paperSize="9" orientation="portrait" horizontalDpi="0" verticalDpi="0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3:I18"/>
  <sheetViews>
    <sheetView zoomScaleNormal="100" workbookViewId="0">
      <selection activeCell="C16" sqref="C7:C18"/>
      <pivotSelection pane="bottomRight" showHeader="1" dimension="3" activeRow="15" activeCol="2" click="1" r:id="rId5">
        <pivotArea dataOnly="0" labelOnly="1" fieldPosition="0">
          <references count="1">
            <reference field="0" count="0"/>
          </references>
        </pivotArea>
      </pivotSelection>
    </sheetView>
  </sheetViews>
  <sheetFormatPr baseColWidth="10" defaultRowHeight="14.4" x14ac:dyDescent="0.3"/>
  <cols>
    <col min="1" max="1" width="17.5546875" customWidth="1"/>
    <col min="2" max="2" width="22.44140625" customWidth="1"/>
    <col min="3" max="3" width="17.5546875" bestFit="1" customWidth="1"/>
    <col min="4" max="4" width="25.5546875" customWidth="1"/>
    <col min="5" max="5" width="17.5546875" bestFit="1" customWidth="1"/>
    <col min="6" max="6" width="12" customWidth="1"/>
    <col min="7" max="7" width="17.5546875" customWidth="1"/>
    <col min="8" max="8" width="19.33203125" customWidth="1"/>
    <col min="9" max="9" width="17.5546875" bestFit="1" customWidth="1"/>
  </cols>
  <sheetData>
    <row r="3" spans="1:9" x14ac:dyDescent="0.3">
      <c r="A3" s="9" t="s">
        <v>477</v>
      </c>
      <c r="C3" s="9" t="s">
        <v>477</v>
      </c>
      <c r="E3" s="9" t="s">
        <v>477</v>
      </c>
      <c r="G3" s="9" t="s">
        <v>477</v>
      </c>
      <c r="I3" s="9" t="s">
        <v>477</v>
      </c>
    </row>
    <row r="4" spans="1:9" x14ac:dyDescent="0.3">
      <c r="A4" s="10" t="s">
        <v>512</v>
      </c>
      <c r="C4" s="10" t="s">
        <v>512</v>
      </c>
      <c r="E4" s="10" t="s">
        <v>512</v>
      </c>
      <c r="G4" s="10" t="s">
        <v>512</v>
      </c>
      <c r="I4" s="10" t="s">
        <v>512</v>
      </c>
    </row>
    <row r="5" spans="1:9" x14ac:dyDescent="0.3">
      <c r="A5" s="11" t="s">
        <v>10</v>
      </c>
      <c r="C5" s="11" t="s">
        <v>10</v>
      </c>
      <c r="E5" s="11" t="s">
        <v>10</v>
      </c>
      <c r="G5" s="11" t="s">
        <v>10</v>
      </c>
      <c r="I5" s="11" t="s">
        <v>10</v>
      </c>
    </row>
    <row r="6" spans="1:9" x14ac:dyDescent="0.3">
      <c r="A6" s="15" t="s">
        <v>508</v>
      </c>
      <c r="C6" s="12" t="s">
        <v>509</v>
      </c>
      <c r="E6" s="12" t="s">
        <v>510</v>
      </c>
      <c r="G6" s="12" t="s">
        <v>507</v>
      </c>
      <c r="I6" s="12" t="s">
        <v>511</v>
      </c>
    </row>
    <row r="7" spans="1:9" x14ac:dyDescent="0.3">
      <c r="A7" s="14" t="s">
        <v>478</v>
      </c>
      <c r="C7" s="13" t="s">
        <v>478</v>
      </c>
      <c r="E7" s="13" t="s">
        <v>480</v>
      </c>
      <c r="G7" s="13" t="s">
        <v>478</v>
      </c>
      <c r="I7" s="13" t="s">
        <v>480</v>
      </c>
    </row>
    <row r="8" spans="1:9" x14ac:dyDescent="0.3">
      <c r="A8" s="14" t="s">
        <v>480</v>
      </c>
      <c r="C8" s="13" t="s">
        <v>485</v>
      </c>
      <c r="E8" s="13" t="s">
        <v>483</v>
      </c>
      <c r="G8" s="13" t="s">
        <v>480</v>
      </c>
      <c r="I8" s="13" t="s">
        <v>483</v>
      </c>
    </row>
    <row r="9" spans="1:9" x14ac:dyDescent="0.3">
      <c r="A9" s="14" t="s">
        <v>483</v>
      </c>
      <c r="C9" s="13" t="s">
        <v>488</v>
      </c>
      <c r="E9" s="13" t="s">
        <v>485</v>
      </c>
      <c r="G9" s="13" t="s">
        <v>483</v>
      </c>
      <c r="I9" s="13" t="s">
        <v>490</v>
      </c>
    </row>
    <row r="10" spans="1:9" x14ac:dyDescent="0.3">
      <c r="A10" s="14" t="s">
        <v>485</v>
      </c>
      <c r="C10" s="13" t="s">
        <v>490</v>
      </c>
      <c r="E10" s="13" t="s">
        <v>488</v>
      </c>
      <c r="G10" s="13" t="s">
        <v>485</v>
      </c>
      <c r="I10" s="13" t="s">
        <v>492</v>
      </c>
    </row>
    <row r="11" spans="1:9" x14ac:dyDescent="0.3">
      <c r="A11" s="14" t="s">
        <v>488</v>
      </c>
      <c r="C11" s="13" t="s">
        <v>492</v>
      </c>
      <c r="E11" s="13" t="s">
        <v>492</v>
      </c>
      <c r="G11" s="13" t="s">
        <v>488</v>
      </c>
      <c r="I11" s="13" t="s">
        <v>493</v>
      </c>
    </row>
    <row r="12" spans="1:9" x14ac:dyDescent="0.3">
      <c r="A12" s="14" t="s">
        <v>490</v>
      </c>
      <c r="C12" s="13" t="s">
        <v>495</v>
      </c>
      <c r="E12" s="13" t="s">
        <v>495</v>
      </c>
      <c r="G12" s="13" t="s">
        <v>490</v>
      </c>
      <c r="I12" s="13" t="s">
        <v>495</v>
      </c>
    </row>
    <row r="13" spans="1:9" x14ac:dyDescent="0.3">
      <c r="A13" s="14" t="s">
        <v>495</v>
      </c>
      <c r="C13" s="13" t="s">
        <v>503</v>
      </c>
      <c r="E13" s="13" t="s">
        <v>503</v>
      </c>
      <c r="G13" s="13" t="s">
        <v>492</v>
      </c>
      <c r="I13" s="13" t="s">
        <v>496</v>
      </c>
    </row>
    <row r="14" spans="1:9" x14ac:dyDescent="0.3">
      <c r="A14" s="14" t="s">
        <v>1353</v>
      </c>
      <c r="C14" s="13" t="s">
        <v>497</v>
      </c>
      <c r="E14" s="13" t="s">
        <v>499</v>
      </c>
      <c r="G14" s="13" t="s">
        <v>495</v>
      </c>
      <c r="I14" s="13" t="s">
        <v>499</v>
      </c>
    </row>
    <row r="15" spans="1:9" x14ac:dyDescent="0.3">
      <c r="A15" s="14" t="s">
        <v>499</v>
      </c>
      <c r="C15" s="13" t="s">
        <v>1353</v>
      </c>
      <c r="E15" s="13" t="s">
        <v>502</v>
      </c>
      <c r="G15" s="13" t="s">
        <v>499</v>
      </c>
      <c r="I15" s="13" t="s">
        <v>1466</v>
      </c>
    </row>
    <row r="16" spans="1:9" x14ac:dyDescent="0.3">
      <c r="C16" s="13" t="s">
        <v>499</v>
      </c>
      <c r="E16" s="13" t="s">
        <v>1353</v>
      </c>
      <c r="G16" s="13" t="s">
        <v>505</v>
      </c>
    </row>
    <row r="17" spans="3:7" x14ac:dyDescent="0.3">
      <c r="C17" s="13" t="s">
        <v>500</v>
      </c>
      <c r="E17" s="13" t="s">
        <v>1466</v>
      </c>
      <c r="G17" s="13" t="s">
        <v>1353</v>
      </c>
    </row>
    <row r="18" spans="3:7" x14ac:dyDescent="0.3">
      <c r="C18" s="13" t="s">
        <v>502</v>
      </c>
      <c r="G18" s="13" t="s">
        <v>1466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3:I19"/>
  <sheetViews>
    <sheetView zoomScale="70" zoomScaleNormal="70" workbookViewId="0">
      <selection activeCell="C13" sqref="C13"/>
    </sheetView>
  </sheetViews>
  <sheetFormatPr baseColWidth="10" defaultRowHeight="14.4" x14ac:dyDescent="0.3"/>
  <cols>
    <col min="1" max="1" width="23.44140625" bestFit="1" customWidth="1"/>
    <col min="2" max="2" width="22.44140625" customWidth="1"/>
    <col min="3" max="3" width="23.44140625" bestFit="1" customWidth="1"/>
    <col min="4" max="4" width="25.5546875" customWidth="1"/>
    <col min="5" max="5" width="23.44140625" bestFit="1" customWidth="1"/>
    <col min="6" max="6" width="12" customWidth="1"/>
    <col min="7" max="7" width="23.44140625" customWidth="1"/>
    <col min="8" max="8" width="19.33203125" customWidth="1"/>
    <col min="9" max="9" width="23.44140625" bestFit="1" customWidth="1"/>
  </cols>
  <sheetData>
    <row r="3" spans="1:9" x14ac:dyDescent="0.3">
      <c r="A3" s="9" t="s">
        <v>477</v>
      </c>
      <c r="C3" s="9" t="s">
        <v>477</v>
      </c>
      <c r="E3" s="9" t="s">
        <v>477</v>
      </c>
      <c r="G3" s="9" t="s">
        <v>477</v>
      </c>
      <c r="I3" s="9" t="s">
        <v>477</v>
      </c>
    </row>
    <row r="4" spans="1:9" x14ac:dyDescent="0.3">
      <c r="A4" s="10" t="s">
        <v>512</v>
      </c>
      <c r="C4" s="10" t="s">
        <v>512</v>
      </c>
      <c r="E4" s="10" t="s">
        <v>512</v>
      </c>
      <c r="G4" s="10" t="s">
        <v>512</v>
      </c>
      <c r="I4" s="10" t="s">
        <v>512</v>
      </c>
    </row>
    <row r="5" spans="1:9" x14ac:dyDescent="0.3">
      <c r="A5" s="11" t="s">
        <v>27</v>
      </c>
      <c r="C5" s="11" t="s">
        <v>27</v>
      </c>
      <c r="E5" s="11" t="s">
        <v>27</v>
      </c>
      <c r="G5" s="11" t="s">
        <v>27</v>
      </c>
      <c r="I5" s="11" t="s">
        <v>27</v>
      </c>
    </row>
    <row r="6" spans="1:9" x14ac:dyDescent="0.3">
      <c r="A6" s="12" t="s">
        <v>508</v>
      </c>
      <c r="C6" s="12" t="s">
        <v>509</v>
      </c>
      <c r="E6" s="12" t="s">
        <v>510</v>
      </c>
      <c r="G6" s="12" t="s">
        <v>507</v>
      </c>
      <c r="I6" s="12" t="s">
        <v>511</v>
      </c>
    </row>
    <row r="7" spans="1:9" x14ac:dyDescent="0.3">
      <c r="A7" s="14" t="s">
        <v>479</v>
      </c>
      <c r="C7" s="13" t="s">
        <v>479</v>
      </c>
      <c r="E7" s="13" t="s">
        <v>481</v>
      </c>
      <c r="G7" s="13" t="s">
        <v>479</v>
      </c>
      <c r="I7" s="13" t="s">
        <v>479</v>
      </c>
    </row>
    <row r="8" spans="1:9" x14ac:dyDescent="0.3">
      <c r="A8" s="14" t="s">
        <v>484</v>
      </c>
      <c r="C8" s="13" t="s">
        <v>481</v>
      </c>
      <c r="E8" s="13" t="s">
        <v>484</v>
      </c>
      <c r="G8" s="13" t="s">
        <v>481</v>
      </c>
      <c r="I8" s="13" t="s">
        <v>481</v>
      </c>
    </row>
    <row r="9" spans="1:9" x14ac:dyDescent="0.3">
      <c r="A9" s="14" t="s">
        <v>486</v>
      </c>
      <c r="C9" s="13" t="s">
        <v>484</v>
      </c>
      <c r="E9" s="13" t="s">
        <v>486</v>
      </c>
      <c r="G9" s="13" t="s">
        <v>484</v>
      </c>
      <c r="I9" s="13" t="s">
        <v>484</v>
      </c>
    </row>
    <row r="10" spans="1:9" x14ac:dyDescent="0.3">
      <c r="A10" s="14" t="s">
        <v>489</v>
      </c>
      <c r="C10" s="13" t="s">
        <v>486</v>
      </c>
      <c r="E10" s="13" t="s">
        <v>489</v>
      </c>
      <c r="G10" s="13" t="s">
        <v>486</v>
      </c>
      <c r="I10" s="13" t="s">
        <v>486</v>
      </c>
    </row>
    <row r="11" spans="1:9" x14ac:dyDescent="0.3">
      <c r="A11" s="14" t="s">
        <v>491</v>
      </c>
      <c r="C11" s="13" t="s">
        <v>489</v>
      </c>
      <c r="E11" s="13" t="s">
        <v>491</v>
      </c>
      <c r="G11" s="13" t="s">
        <v>491</v>
      </c>
      <c r="I11" s="13" t="s">
        <v>489</v>
      </c>
    </row>
    <row r="12" spans="1:9" x14ac:dyDescent="0.3">
      <c r="A12" s="14" t="s">
        <v>494</v>
      </c>
      <c r="C12" s="13" t="s">
        <v>491</v>
      </c>
      <c r="E12" s="13" t="s">
        <v>494</v>
      </c>
      <c r="G12" s="13" t="s">
        <v>494</v>
      </c>
      <c r="I12" s="13" t="s">
        <v>494</v>
      </c>
    </row>
    <row r="13" spans="1:9" x14ac:dyDescent="0.3">
      <c r="A13" s="14" t="s">
        <v>496</v>
      </c>
      <c r="C13" s="13" t="s">
        <v>494</v>
      </c>
      <c r="E13" s="13" t="s">
        <v>497</v>
      </c>
      <c r="G13" s="13" t="s">
        <v>496</v>
      </c>
      <c r="I13" s="13" t="s">
        <v>496</v>
      </c>
    </row>
    <row r="14" spans="1:9" x14ac:dyDescent="0.3">
      <c r="A14" s="14" t="s">
        <v>497</v>
      </c>
      <c r="C14" s="13" t="s">
        <v>496</v>
      </c>
      <c r="E14" s="13" t="s">
        <v>499</v>
      </c>
      <c r="G14" s="13" t="s">
        <v>497</v>
      </c>
      <c r="I14" s="13" t="s">
        <v>497</v>
      </c>
    </row>
    <row r="15" spans="1:9" x14ac:dyDescent="0.3">
      <c r="A15" s="14" t="s">
        <v>500</v>
      </c>
      <c r="C15" s="13" t="s">
        <v>497</v>
      </c>
      <c r="E15" s="13" t="s">
        <v>500</v>
      </c>
      <c r="G15" s="13" t="s">
        <v>500</v>
      </c>
      <c r="I15" s="13" t="s">
        <v>498</v>
      </c>
    </row>
    <row r="16" spans="1:9" x14ac:dyDescent="0.3">
      <c r="A16" s="14" t="s">
        <v>501</v>
      </c>
      <c r="C16" s="13" t="s">
        <v>498</v>
      </c>
      <c r="E16" s="13" t="s">
        <v>501</v>
      </c>
      <c r="G16" s="13" t="s">
        <v>502</v>
      </c>
      <c r="I16" s="13" t="s">
        <v>500</v>
      </c>
    </row>
    <row r="17" spans="1:9" x14ac:dyDescent="0.3">
      <c r="A17" s="14" t="s">
        <v>505</v>
      </c>
      <c r="C17" s="13" t="s">
        <v>500</v>
      </c>
      <c r="E17" s="13" t="s">
        <v>505</v>
      </c>
      <c r="I17" s="13" t="s">
        <v>501</v>
      </c>
    </row>
    <row r="18" spans="1:9" x14ac:dyDescent="0.3">
      <c r="C18" s="13" t="s">
        <v>501</v>
      </c>
      <c r="E18" s="13" t="s">
        <v>1353</v>
      </c>
      <c r="I18" s="13" t="s">
        <v>505</v>
      </c>
    </row>
    <row r="19" spans="1:9" x14ac:dyDescent="0.3">
      <c r="C19" s="13" t="s">
        <v>1353</v>
      </c>
      <c r="E19" s="13" t="s">
        <v>2773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3"/>
  <sheetViews>
    <sheetView workbookViewId="0">
      <selection activeCell="M3" sqref="M3"/>
    </sheetView>
  </sheetViews>
  <sheetFormatPr baseColWidth="10" defaultRowHeight="14.4" x14ac:dyDescent="0.3"/>
  <cols>
    <col min="10" max="10" width="11.6640625" customWidth="1"/>
    <col min="12" max="12" width="14.33203125" customWidth="1"/>
  </cols>
  <sheetData>
    <row r="1" spans="1:14" x14ac:dyDescent="0.3">
      <c r="A1" t="s">
        <v>0</v>
      </c>
      <c r="B1" t="s">
        <v>1332</v>
      </c>
      <c r="C1" t="s">
        <v>1</v>
      </c>
      <c r="D1" t="s">
        <v>2</v>
      </c>
      <c r="E1" t="s">
        <v>3</v>
      </c>
      <c r="F1" t="s">
        <v>4</v>
      </c>
      <c r="G1" t="s">
        <v>1373</v>
      </c>
      <c r="H1" t="s">
        <v>6</v>
      </c>
      <c r="I1" t="s">
        <v>7</v>
      </c>
      <c r="J1" t="s">
        <v>8</v>
      </c>
      <c r="K1" t="s">
        <v>506</v>
      </c>
      <c r="L1" t="s">
        <v>513</v>
      </c>
      <c r="M1" t="s">
        <v>516</v>
      </c>
      <c r="N1" t="s">
        <v>554</v>
      </c>
    </row>
    <row r="2" spans="1:14" x14ac:dyDescent="0.3">
      <c r="A2" t="s">
        <v>498</v>
      </c>
      <c r="B2" t="s">
        <v>2796</v>
      </c>
      <c r="C2">
        <v>0</v>
      </c>
      <c r="D2" t="s">
        <v>2797</v>
      </c>
      <c r="E2" t="s">
        <v>59</v>
      </c>
      <c r="F2" t="s">
        <v>27</v>
      </c>
      <c r="G2" t="s">
        <v>261</v>
      </c>
      <c r="H2" t="s">
        <v>537</v>
      </c>
      <c r="I2" t="s">
        <v>241</v>
      </c>
      <c r="K2" t="s">
        <v>511</v>
      </c>
      <c r="L2" t="s">
        <v>512</v>
      </c>
      <c r="M2" t="s">
        <v>1244</v>
      </c>
      <c r="N2" t="s">
        <v>1245</v>
      </c>
    </row>
    <row r="3" spans="1:14" x14ac:dyDescent="0.3">
      <c r="A3" t="s">
        <v>484</v>
      </c>
      <c r="B3" t="s">
        <v>2798</v>
      </c>
      <c r="C3">
        <v>0</v>
      </c>
      <c r="D3" t="s">
        <v>2799</v>
      </c>
      <c r="E3" t="s">
        <v>59</v>
      </c>
      <c r="F3" t="s">
        <v>27</v>
      </c>
      <c r="G3" t="s">
        <v>317</v>
      </c>
      <c r="H3" t="s">
        <v>537</v>
      </c>
      <c r="I3" t="s">
        <v>241</v>
      </c>
      <c r="K3" t="s">
        <v>511</v>
      </c>
      <c r="L3" t="s">
        <v>512</v>
      </c>
      <c r="M3" t="s">
        <v>1260</v>
      </c>
      <c r="N3" t="s">
        <v>2800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3"/>
  <sheetViews>
    <sheetView workbookViewId="0">
      <selection activeCell="E11" sqref="E11"/>
    </sheetView>
  </sheetViews>
  <sheetFormatPr baseColWidth="10" defaultRowHeight="14.4" x14ac:dyDescent="0.3"/>
  <cols>
    <col min="10" max="10" width="11.6640625" customWidth="1"/>
    <col min="12" max="12" width="14.33203125" customWidth="1"/>
  </cols>
  <sheetData>
    <row r="1" spans="1:14" x14ac:dyDescent="0.3">
      <c r="A1" t="s">
        <v>0</v>
      </c>
      <c r="B1" t="s">
        <v>1332</v>
      </c>
      <c r="C1" t="s">
        <v>1</v>
      </c>
      <c r="D1" t="s">
        <v>2</v>
      </c>
      <c r="E1" t="s">
        <v>3</v>
      </c>
      <c r="F1" t="s">
        <v>4</v>
      </c>
      <c r="G1" t="s">
        <v>1373</v>
      </c>
      <c r="H1" t="s">
        <v>6</v>
      </c>
      <c r="I1" t="s">
        <v>7</v>
      </c>
      <c r="J1" t="s">
        <v>8</v>
      </c>
      <c r="K1" t="s">
        <v>506</v>
      </c>
      <c r="L1" t="s">
        <v>513</v>
      </c>
      <c r="M1" t="s">
        <v>516</v>
      </c>
      <c r="N1" t="s">
        <v>554</v>
      </c>
    </row>
    <row r="2" spans="1:14" x14ac:dyDescent="0.3">
      <c r="A2" t="s">
        <v>489</v>
      </c>
      <c r="B2" t="s">
        <v>2801</v>
      </c>
      <c r="C2">
        <v>322</v>
      </c>
      <c r="D2" t="s">
        <v>2802</v>
      </c>
      <c r="E2" t="s">
        <v>59</v>
      </c>
      <c r="F2" t="s">
        <v>27</v>
      </c>
      <c r="G2" t="s">
        <v>113</v>
      </c>
      <c r="H2" t="s">
        <v>519</v>
      </c>
      <c r="I2" t="s">
        <v>23</v>
      </c>
      <c r="K2" t="s">
        <v>511</v>
      </c>
      <c r="L2" t="s">
        <v>512</v>
      </c>
      <c r="M2" t="s">
        <v>517</v>
      </c>
      <c r="N2" t="s">
        <v>838</v>
      </c>
    </row>
    <row r="3" spans="1:14" x14ac:dyDescent="0.3">
      <c r="A3" t="s">
        <v>481</v>
      </c>
      <c r="B3" t="s">
        <v>2803</v>
      </c>
      <c r="C3">
        <v>141</v>
      </c>
      <c r="D3" t="s">
        <v>2802</v>
      </c>
      <c r="E3" t="s">
        <v>59</v>
      </c>
      <c r="F3" t="s">
        <v>27</v>
      </c>
      <c r="G3" t="s">
        <v>49</v>
      </c>
      <c r="H3" t="s">
        <v>519</v>
      </c>
      <c r="I3" t="s">
        <v>23</v>
      </c>
      <c r="K3" t="s">
        <v>511</v>
      </c>
      <c r="L3" t="s">
        <v>512</v>
      </c>
      <c r="M3" t="s">
        <v>635</v>
      </c>
      <c r="N3" t="s">
        <v>2804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5"/>
  <dimension ref="A1:AI74"/>
  <sheetViews>
    <sheetView zoomScale="85" zoomScaleNormal="85" workbookViewId="0">
      <selection activeCell="M14" sqref="M14"/>
    </sheetView>
  </sheetViews>
  <sheetFormatPr baseColWidth="10" defaultRowHeight="14.4" x14ac:dyDescent="0.3"/>
  <cols>
    <col min="1" max="1" width="17.5546875" bestFit="1" customWidth="1"/>
    <col min="2" max="2" width="22.44140625" bestFit="1" customWidth="1"/>
    <col min="3" max="3" width="4.33203125" bestFit="1" customWidth="1"/>
    <col min="4" max="4" width="5.109375" bestFit="1" customWidth="1"/>
    <col min="5" max="5" width="4.44140625" bestFit="1" customWidth="1"/>
    <col min="6" max="6" width="3.88671875" bestFit="1" customWidth="1"/>
    <col min="7" max="7" width="4.109375" bestFit="1" customWidth="1"/>
    <col min="8" max="8" width="4.33203125" bestFit="1" customWidth="1"/>
    <col min="9" max="9" width="5.109375" bestFit="1" customWidth="1"/>
    <col min="10" max="10" width="4.44140625" bestFit="1" customWidth="1"/>
    <col min="11" max="11" width="3.88671875" bestFit="1" customWidth="1"/>
    <col min="12" max="12" width="4.109375" bestFit="1" customWidth="1"/>
    <col min="13" max="13" width="4.33203125" bestFit="1" customWidth="1"/>
    <col min="14" max="14" width="4.88671875" bestFit="1" customWidth="1"/>
    <col min="15" max="15" width="4.44140625" bestFit="1" customWidth="1"/>
    <col min="16" max="16" width="3.88671875" bestFit="1" customWidth="1"/>
    <col min="17" max="17" width="4.109375" bestFit="1" customWidth="1"/>
    <col min="18" max="18" width="4.33203125" bestFit="1" customWidth="1"/>
    <col min="19" max="19" width="4.88671875" bestFit="1" customWidth="1"/>
    <col min="20" max="20" width="4.44140625" bestFit="1" customWidth="1"/>
    <col min="21" max="21" width="3.88671875" bestFit="1" customWidth="1"/>
    <col min="22" max="22" width="4.109375" bestFit="1" customWidth="1"/>
    <col min="23" max="23" width="4.33203125" bestFit="1" customWidth="1"/>
    <col min="24" max="24" width="5.109375" customWidth="1"/>
    <col min="25" max="25" width="4.44140625" bestFit="1" customWidth="1"/>
    <col min="26" max="26" width="3.88671875" bestFit="1" customWidth="1"/>
    <col min="27" max="27" width="11.6640625" bestFit="1" customWidth="1"/>
    <col min="28" max="28" width="12.5546875" bestFit="1" customWidth="1"/>
    <col min="29" max="29" width="11.88671875" bestFit="1" customWidth="1"/>
    <col min="30" max="30" width="10.109375" customWidth="1"/>
    <col min="31" max="31" width="11" bestFit="1" customWidth="1"/>
    <col min="32" max="32" width="11.5546875" bestFit="1" customWidth="1"/>
    <col min="33" max="33" width="9.6640625" customWidth="1"/>
    <col min="34" max="34" width="11.6640625" customWidth="1"/>
    <col min="35" max="35" width="12.5546875" customWidth="1"/>
    <col min="36" max="36" width="18.44140625" bestFit="1" customWidth="1"/>
  </cols>
  <sheetData>
    <row r="1" spans="1:35" x14ac:dyDescent="0.3">
      <c r="A1" s="9" t="s">
        <v>1332</v>
      </c>
      <c r="B1" t="s">
        <v>1333</v>
      </c>
    </row>
    <row r="3" spans="1:35" x14ac:dyDescent="0.3">
      <c r="A3" s="9" t="s">
        <v>1330</v>
      </c>
      <c r="B3" s="9" t="s">
        <v>1329</v>
      </c>
    </row>
    <row r="4" spans="1:35" x14ac:dyDescent="0.3">
      <c r="A4" s="9" t="s">
        <v>477</v>
      </c>
      <c r="B4" t="s">
        <v>43</v>
      </c>
      <c r="C4" t="s">
        <v>9</v>
      </c>
      <c r="D4" t="s">
        <v>17</v>
      </c>
      <c r="E4" t="s">
        <v>24</v>
      </c>
      <c r="F4" t="s">
        <v>57</v>
      </c>
      <c r="G4" t="s">
        <v>45</v>
      </c>
      <c r="H4" t="s">
        <v>12</v>
      </c>
      <c r="I4" t="s">
        <v>19</v>
      </c>
      <c r="J4" t="s">
        <v>26</v>
      </c>
      <c r="K4" t="s">
        <v>59</v>
      </c>
      <c r="L4" t="s">
        <v>46</v>
      </c>
      <c r="M4" t="s">
        <v>29</v>
      </c>
      <c r="N4" t="s">
        <v>1334</v>
      </c>
      <c r="O4" t="s">
        <v>50</v>
      </c>
      <c r="P4" t="s">
        <v>35</v>
      </c>
      <c r="Q4" t="s">
        <v>48</v>
      </c>
      <c r="R4" t="s">
        <v>31</v>
      </c>
      <c r="S4" t="s">
        <v>1335</v>
      </c>
      <c r="T4" t="s">
        <v>52</v>
      </c>
      <c r="U4" t="s">
        <v>36</v>
      </c>
      <c r="V4" t="s">
        <v>139</v>
      </c>
      <c r="W4" t="s">
        <v>102</v>
      </c>
      <c r="X4" t="s">
        <v>103</v>
      </c>
      <c r="Y4" t="s">
        <v>275</v>
      </c>
      <c r="Z4" t="s">
        <v>296</v>
      </c>
      <c r="AA4" t="s">
        <v>2775</v>
      </c>
      <c r="AB4" t="s">
        <v>430</v>
      </c>
      <c r="AC4" t="s">
        <v>448</v>
      </c>
      <c r="AD4" t="s">
        <v>2793</v>
      </c>
      <c r="AE4" t="s">
        <v>1327</v>
      </c>
      <c r="AF4" t="s">
        <v>2779</v>
      </c>
      <c r="AG4" t="s">
        <v>2795</v>
      </c>
      <c r="AH4" t="s">
        <v>2794</v>
      </c>
      <c r="AI4" t="s">
        <v>1328</v>
      </c>
    </row>
    <row r="5" spans="1:35" x14ac:dyDescent="0.3">
      <c r="A5" s="10" t="s">
        <v>27</v>
      </c>
      <c r="B5">
        <v>13</v>
      </c>
      <c r="C5">
        <v>11</v>
      </c>
      <c r="D5">
        <v>16</v>
      </c>
      <c r="E5">
        <v>13</v>
      </c>
      <c r="F5">
        <v>18</v>
      </c>
      <c r="G5">
        <v>13</v>
      </c>
      <c r="H5">
        <v>11</v>
      </c>
      <c r="I5">
        <v>16</v>
      </c>
      <c r="J5">
        <v>13</v>
      </c>
      <c r="K5">
        <v>18</v>
      </c>
      <c r="L5">
        <v>14</v>
      </c>
      <c r="M5">
        <v>12</v>
      </c>
      <c r="N5">
        <v>12</v>
      </c>
      <c r="O5">
        <v>13</v>
      </c>
      <c r="P5">
        <v>13</v>
      </c>
      <c r="Q5">
        <v>14</v>
      </c>
      <c r="R5">
        <v>12</v>
      </c>
      <c r="S5">
        <v>12</v>
      </c>
      <c r="T5">
        <v>14</v>
      </c>
      <c r="U5">
        <v>13</v>
      </c>
      <c r="V5">
        <v>1</v>
      </c>
      <c r="W5">
        <v>2</v>
      </c>
      <c r="X5">
        <v>1</v>
      </c>
      <c r="Y5">
        <v>3</v>
      </c>
      <c r="Z5">
        <v>1</v>
      </c>
      <c r="AI5">
        <v>279</v>
      </c>
    </row>
    <row r="6" spans="1:35" x14ac:dyDescent="0.3">
      <c r="A6" s="11">
        <v>30</v>
      </c>
      <c r="B6">
        <v>1</v>
      </c>
      <c r="E6">
        <v>1</v>
      </c>
      <c r="F6">
        <v>1</v>
      </c>
      <c r="G6">
        <v>1</v>
      </c>
      <c r="J6">
        <v>1</v>
      </c>
      <c r="K6">
        <v>1</v>
      </c>
      <c r="L6">
        <v>1</v>
      </c>
      <c r="N6">
        <v>1</v>
      </c>
      <c r="P6">
        <v>1</v>
      </c>
      <c r="Q6">
        <v>1</v>
      </c>
      <c r="S6">
        <v>1</v>
      </c>
      <c r="U6">
        <v>1</v>
      </c>
      <c r="AI6">
        <v>12</v>
      </c>
    </row>
    <row r="7" spans="1:35" x14ac:dyDescent="0.3">
      <c r="A7" s="11">
        <v>31</v>
      </c>
      <c r="B7">
        <v>1</v>
      </c>
      <c r="C7">
        <v>1</v>
      </c>
      <c r="E7">
        <v>1</v>
      </c>
      <c r="F7">
        <v>1</v>
      </c>
      <c r="G7">
        <v>1</v>
      </c>
      <c r="H7">
        <v>1</v>
      </c>
      <c r="J7">
        <v>1</v>
      </c>
      <c r="K7">
        <v>1</v>
      </c>
      <c r="L7">
        <v>1</v>
      </c>
      <c r="M7">
        <v>1</v>
      </c>
      <c r="O7">
        <v>1</v>
      </c>
      <c r="Q7">
        <v>1</v>
      </c>
      <c r="R7">
        <v>1</v>
      </c>
      <c r="T7">
        <v>1</v>
      </c>
      <c r="AI7">
        <v>14</v>
      </c>
    </row>
    <row r="8" spans="1:35" x14ac:dyDescent="0.3">
      <c r="A8" s="11">
        <v>40</v>
      </c>
      <c r="B8">
        <v>1</v>
      </c>
      <c r="D8">
        <v>1</v>
      </c>
      <c r="F8">
        <v>1</v>
      </c>
      <c r="G8">
        <v>1</v>
      </c>
      <c r="I8">
        <v>1</v>
      </c>
      <c r="K8">
        <v>1</v>
      </c>
      <c r="L8">
        <v>1</v>
      </c>
      <c r="O8">
        <v>1</v>
      </c>
      <c r="P8">
        <v>1</v>
      </c>
      <c r="Q8">
        <v>1</v>
      </c>
      <c r="T8">
        <v>2</v>
      </c>
      <c r="U8">
        <v>1</v>
      </c>
      <c r="Y8">
        <v>1</v>
      </c>
      <c r="AI8">
        <v>14</v>
      </c>
    </row>
    <row r="9" spans="1:35" x14ac:dyDescent="0.3">
      <c r="A9" s="11">
        <v>41</v>
      </c>
      <c r="B9">
        <v>1</v>
      </c>
      <c r="D9">
        <v>1</v>
      </c>
      <c r="G9">
        <v>1</v>
      </c>
      <c r="I9">
        <v>1</v>
      </c>
      <c r="L9">
        <v>1</v>
      </c>
      <c r="P9">
        <v>1</v>
      </c>
      <c r="Q9">
        <v>1</v>
      </c>
      <c r="U9">
        <v>1</v>
      </c>
      <c r="AI9">
        <v>8</v>
      </c>
    </row>
    <row r="10" spans="1:35" x14ac:dyDescent="0.3">
      <c r="A10" s="11">
        <v>44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AI10">
        <v>20</v>
      </c>
    </row>
    <row r="11" spans="1:35" x14ac:dyDescent="0.3">
      <c r="A11" s="11">
        <v>45</v>
      </c>
      <c r="B11">
        <v>1</v>
      </c>
      <c r="C11">
        <v>1</v>
      </c>
      <c r="D11">
        <v>1</v>
      </c>
      <c r="F11">
        <v>1</v>
      </c>
      <c r="G11">
        <v>1</v>
      </c>
      <c r="H11">
        <v>1</v>
      </c>
      <c r="I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AI11">
        <v>18</v>
      </c>
    </row>
    <row r="12" spans="1:35" x14ac:dyDescent="0.3">
      <c r="A12" s="11">
        <v>46</v>
      </c>
      <c r="B12">
        <v>1</v>
      </c>
      <c r="C12">
        <v>1</v>
      </c>
      <c r="D12">
        <v>1</v>
      </c>
      <c r="F12">
        <v>1</v>
      </c>
      <c r="G12">
        <v>1</v>
      </c>
      <c r="H12">
        <v>1</v>
      </c>
      <c r="I12">
        <v>1</v>
      </c>
      <c r="K12">
        <v>1</v>
      </c>
      <c r="L12">
        <v>1</v>
      </c>
      <c r="M12">
        <v>1</v>
      </c>
      <c r="N12">
        <v>1</v>
      </c>
      <c r="P12">
        <v>1</v>
      </c>
      <c r="Q12">
        <v>1</v>
      </c>
      <c r="R12">
        <v>1</v>
      </c>
      <c r="S12">
        <v>1</v>
      </c>
      <c r="U12">
        <v>1</v>
      </c>
      <c r="AI12">
        <v>16</v>
      </c>
    </row>
    <row r="13" spans="1:35" x14ac:dyDescent="0.3">
      <c r="A13" s="11">
        <v>52</v>
      </c>
      <c r="D13">
        <v>1</v>
      </c>
      <c r="E13">
        <v>1</v>
      </c>
      <c r="F13">
        <v>1</v>
      </c>
      <c r="I13">
        <v>1</v>
      </c>
      <c r="J13">
        <v>1</v>
      </c>
      <c r="K13">
        <v>1</v>
      </c>
      <c r="N13">
        <v>1</v>
      </c>
      <c r="O13">
        <v>1</v>
      </c>
      <c r="P13">
        <v>1</v>
      </c>
      <c r="S13">
        <v>1</v>
      </c>
      <c r="T13">
        <v>1</v>
      </c>
      <c r="U13">
        <v>1</v>
      </c>
      <c r="AI13">
        <v>12</v>
      </c>
    </row>
    <row r="14" spans="1:35" x14ac:dyDescent="0.3">
      <c r="A14" s="11" t="s">
        <v>23</v>
      </c>
      <c r="B14">
        <v>1</v>
      </c>
      <c r="C14">
        <v>1</v>
      </c>
      <c r="D14">
        <v>1</v>
      </c>
      <c r="F14">
        <v>1</v>
      </c>
      <c r="G14">
        <v>1</v>
      </c>
      <c r="H14">
        <v>1</v>
      </c>
      <c r="I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AI14">
        <v>18</v>
      </c>
    </row>
    <row r="15" spans="1:35" x14ac:dyDescent="0.3">
      <c r="A15" s="11" t="s">
        <v>38</v>
      </c>
      <c r="C15">
        <v>1</v>
      </c>
      <c r="D15">
        <v>1</v>
      </c>
      <c r="E15">
        <v>1</v>
      </c>
      <c r="F15">
        <v>1</v>
      </c>
      <c r="H15">
        <v>1</v>
      </c>
      <c r="I15">
        <v>1</v>
      </c>
      <c r="J15">
        <v>1</v>
      </c>
      <c r="K15">
        <v>1</v>
      </c>
      <c r="M15">
        <v>1</v>
      </c>
      <c r="N15">
        <v>1</v>
      </c>
      <c r="R15">
        <v>1</v>
      </c>
      <c r="S15">
        <v>1</v>
      </c>
      <c r="AI15">
        <v>12</v>
      </c>
    </row>
    <row r="16" spans="1:35" x14ac:dyDescent="0.3">
      <c r="A16" s="11" t="s">
        <v>21</v>
      </c>
      <c r="B16">
        <v>1</v>
      </c>
      <c r="D16">
        <v>1</v>
      </c>
      <c r="E16">
        <v>1</v>
      </c>
      <c r="F16">
        <v>1</v>
      </c>
      <c r="G16">
        <v>1</v>
      </c>
      <c r="I16">
        <v>1</v>
      </c>
      <c r="J16">
        <v>1</v>
      </c>
      <c r="K16">
        <v>1</v>
      </c>
      <c r="M16">
        <v>1</v>
      </c>
      <c r="N16">
        <v>1</v>
      </c>
      <c r="P16">
        <v>1</v>
      </c>
      <c r="R16">
        <v>1</v>
      </c>
      <c r="S16">
        <v>1</v>
      </c>
      <c r="U16">
        <v>1</v>
      </c>
      <c r="AI16">
        <v>14</v>
      </c>
    </row>
    <row r="17" spans="1:35" x14ac:dyDescent="0.3">
      <c r="A17" s="11" t="s">
        <v>241</v>
      </c>
      <c r="B17">
        <v>1</v>
      </c>
      <c r="C17">
        <v>1</v>
      </c>
      <c r="F17">
        <v>1</v>
      </c>
      <c r="G17">
        <v>1</v>
      </c>
      <c r="H17">
        <v>1</v>
      </c>
      <c r="K17">
        <v>1</v>
      </c>
      <c r="L17">
        <v>1</v>
      </c>
      <c r="O17">
        <v>1</v>
      </c>
      <c r="Q17">
        <v>1</v>
      </c>
      <c r="T17">
        <v>1</v>
      </c>
      <c r="W17">
        <v>1</v>
      </c>
      <c r="Y17">
        <v>1</v>
      </c>
      <c r="Z17">
        <v>1</v>
      </c>
      <c r="AI17">
        <v>13</v>
      </c>
    </row>
    <row r="18" spans="1:35" x14ac:dyDescent="0.3">
      <c r="A18" s="11" t="s">
        <v>295</v>
      </c>
      <c r="D18">
        <v>1</v>
      </c>
      <c r="F18">
        <v>1</v>
      </c>
      <c r="I18">
        <v>1</v>
      </c>
      <c r="K18">
        <v>1</v>
      </c>
      <c r="L18">
        <v>1</v>
      </c>
      <c r="N18">
        <v>1</v>
      </c>
      <c r="O18">
        <v>1</v>
      </c>
      <c r="Q18">
        <v>1</v>
      </c>
      <c r="S18">
        <v>1</v>
      </c>
      <c r="T18">
        <v>1</v>
      </c>
      <c r="Y18">
        <v>1</v>
      </c>
      <c r="AI18">
        <v>11</v>
      </c>
    </row>
    <row r="19" spans="1:35" x14ac:dyDescent="0.3">
      <c r="A19" s="11" t="s">
        <v>252</v>
      </c>
      <c r="E19">
        <v>1</v>
      </c>
      <c r="J19">
        <v>1</v>
      </c>
      <c r="AI19">
        <v>2</v>
      </c>
    </row>
    <row r="20" spans="1:35" x14ac:dyDescent="0.3">
      <c r="A20" s="11" t="s">
        <v>2761</v>
      </c>
      <c r="D20">
        <v>1</v>
      </c>
      <c r="F20">
        <v>1</v>
      </c>
      <c r="I20">
        <v>1</v>
      </c>
      <c r="K20">
        <v>1</v>
      </c>
      <c r="N20">
        <v>1</v>
      </c>
      <c r="S20">
        <v>1</v>
      </c>
      <c r="AI20">
        <v>6</v>
      </c>
    </row>
    <row r="21" spans="1:35" x14ac:dyDescent="0.3">
      <c r="A21" s="11" t="s">
        <v>1327</v>
      </c>
    </row>
    <row r="22" spans="1:35" x14ac:dyDescent="0.3">
      <c r="A22" s="11" t="s">
        <v>1489</v>
      </c>
      <c r="C22">
        <v>1</v>
      </c>
      <c r="E22">
        <v>1</v>
      </c>
      <c r="H22">
        <v>1</v>
      </c>
      <c r="J22">
        <v>1</v>
      </c>
      <c r="L22">
        <v>1</v>
      </c>
      <c r="M22">
        <v>1</v>
      </c>
      <c r="O22">
        <v>1</v>
      </c>
      <c r="P22">
        <v>1</v>
      </c>
      <c r="Q22">
        <v>1</v>
      </c>
      <c r="R22">
        <v>1</v>
      </c>
      <c r="T22">
        <v>1</v>
      </c>
      <c r="U22">
        <v>1</v>
      </c>
      <c r="AI22">
        <v>12</v>
      </c>
    </row>
    <row r="23" spans="1:35" x14ac:dyDescent="0.3">
      <c r="A23" s="11" t="s">
        <v>1438</v>
      </c>
      <c r="D23">
        <v>1</v>
      </c>
      <c r="E23">
        <v>1</v>
      </c>
      <c r="F23">
        <v>1</v>
      </c>
      <c r="I23">
        <v>1</v>
      </c>
      <c r="J23">
        <v>1</v>
      </c>
      <c r="K23">
        <v>1</v>
      </c>
      <c r="L23">
        <v>1</v>
      </c>
      <c r="O23">
        <v>1</v>
      </c>
      <c r="Q23">
        <v>1</v>
      </c>
      <c r="T23">
        <v>1</v>
      </c>
      <c r="AI23">
        <v>10</v>
      </c>
    </row>
    <row r="24" spans="1:35" x14ac:dyDescent="0.3">
      <c r="A24" s="11" t="s">
        <v>1437</v>
      </c>
      <c r="B24">
        <v>1</v>
      </c>
      <c r="C24">
        <v>1</v>
      </c>
      <c r="D24">
        <v>1</v>
      </c>
      <c r="E24">
        <v>2</v>
      </c>
      <c r="F24">
        <v>1</v>
      </c>
      <c r="G24">
        <v>1</v>
      </c>
      <c r="H24">
        <v>1</v>
      </c>
      <c r="I24">
        <v>1</v>
      </c>
      <c r="J24">
        <v>2</v>
      </c>
      <c r="K24">
        <v>1</v>
      </c>
      <c r="M24">
        <v>1</v>
      </c>
      <c r="O24">
        <v>1</v>
      </c>
      <c r="P24">
        <v>1</v>
      </c>
      <c r="R24">
        <v>1</v>
      </c>
      <c r="T24">
        <v>1</v>
      </c>
      <c r="U24">
        <v>1</v>
      </c>
      <c r="AI24">
        <v>18</v>
      </c>
    </row>
    <row r="25" spans="1:35" x14ac:dyDescent="0.3">
      <c r="A25" s="11" t="s">
        <v>1440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AI25">
        <v>22</v>
      </c>
    </row>
    <row r="26" spans="1:35" x14ac:dyDescent="0.3">
      <c r="A26" s="11" t="s">
        <v>2774</v>
      </c>
      <c r="B26">
        <v>1</v>
      </c>
      <c r="E26">
        <v>1</v>
      </c>
      <c r="F26">
        <v>1</v>
      </c>
      <c r="G26">
        <v>1</v>
      </c>
      <c r="J26">
        <v>1</v>
      </c>
      <c r="K26">
        <v>1</v>
      </c>
      <c r="L26">
        <v>1</v>
      </c>
      <c r="M26">
        <v>1</v>
      </c>
      <c r="O26">
        <v>1</v>
      </c>
      <c r="P26">
        <v>1</v>
      </c>
      <c r="Q26">
        <v>1</v>
      </c>
      <c r="R26">
        <v>1</v>
      </c>
      <c r="T26">
        <v>1</v>
      </c>
      <c r="U26">
        <v>1</v>
      </c>
      <c r="AI26">
        <v>14</v>
      </c>
    </row>
    <row r="27" spans="1:35" x14ac:dyDescent="0.3">
      <c r="A27" s="11">
        <v>33</v>
      </c>
      <c r="D27">
        <v>1</v>
      </c>
      <c r="I27">
        <v>1</v>
      </c>
      <c r="N27">
        <v>1</v>
      </c>
      <c r="S27">
        <v>1</v>
      </c>
      <c r="X27">
        <v>1</v>
      </c>
      <c r="AI27">
        <v>5</v>
      </c>
    </row>
    <row r="28" spans="1:35" x14ac:dyDescent="0.3">
      <c r="A28" s="11" t="s">
        <v>2759</v>
      </c>
      <c r="C28">
        <v>1</v>
      </c>
      <c r="D28">
        <v>1</v>
      </c>
      <c r="F28">
        <v>1</v>
      </c>
      <c r="H28">
        <v>1</v>
      </c>
      <c r="I28">
        <v>1</v>
      </c>
      <c r="K28">
        <v>1</v>
      </c>
      <c r="M28">
        <v>1</v>
      </c>
      <c r="R28">
        <v>1</v>
      </c>
      <c r="AI28">
        <v>8</v>
      </c>
    </row>
    <row r="29" spans="1:35" x14ac:dyDescent="0.3">
      <c r="A29" s="10" t="s">
        <v>10</v>
      </c>
      <c r="B29">
        <v>10</v>
      </c>
      <c r="C29">
        <v>12</v>
      </c>
      <c r="D29">
        <v>13</v>
      </c>
      <c r="E29">
        <v>12</v>
      </c>
      <c r="F29">
        <v>11</v>
      </c>
      <c r="G29">
        <v>11</v>
      </c>
      <c r="H29">
        <v>12</v>
      </c>
      <c r="I29">
        <v>13</v>
      </c>
      <c r="J29">
        <v>12</v>
      </c>
      <c r="K29">
        <v>11</v>
      </c>
      <c r="L29">
        <v>11</v>
      </c>
      <c r="M29">
        <v>8</v>
      </c>
      <c r="N29">
        <v>10</v>
      </c>
      <c r="O29">
        <v>13</v>
      </c>
      <c r="P29">
        <v>9</v>
      </c>
      <c r="Q29">
        <v>11</v>
      </c>
      <c r="R29">
        <v>7</v>
      </c>
      <c r="S29">
        <v>10</v>
      </c>
      <c r="T29">
        <v>12</v>
      </c>
      <c r="U29">
        <v>9</v>
      </c>
      <c r="X29">
        <v>1</v>
      </c>
      <c r="AB29">
        <v>1</v>
      </c>
      <c r="AI29">
        <v>219</v>
      </c>
    </row>
    <row r="30" spans="1:35" x14ac:dyDescent="0.3">
      <c r="A30" s="11">
        <v>12</v>
      </c>
      <c r="F30">
        <v>1</v>
      </c>
      <c r="K30">
        <v>1</v>
      </c>
      <c r="AI30">
        <v>2</v>
      </c>
    </row>
    <row r="31" spans="1:35" x14ac:dyDescent="0.3">
      <c r="A31" s="11">
        <v>30</v>
      </c>
      <c r="C31">
        <v>1</v>
      </c>
      <c r="D31">
        <v>1</v>
      </c>
      <c r="E31">
        <v>1</v>
      </c>
      <c r="F31">
        <v>1</v>
      </c>
      <c r="H31">
        <v>1</v>
      </c>
      <c r="I31">
        <v>1</v>
      </c>
      <c r="J31">
        <v>1</v>
      </c>
      <c r="K31">
        <v>1</v>
      </c>
      <c r="M31">
        <v>1</v>
      </c>
      <c r="N31">
        <v>1</v>
      </c>
      <c r="O31">
        <v>2</v>
      </c>
      <c r="R31">
        <v>1</v>
      </c>
      <c r="S31">
        <v>1</v>
      </c>
      <c r="T31">
        <v>2</v>
      </c>
      <c r="AI31">
        <v>16</v>
      </c>
    </row>
    <row r="32" spans="1:35" x14ac:dyDescent="0.3">
      <c r="A32" s="11">
        <v>31</v>
      </c>
      <c r="B32">
        <v>1</v>
      </c>
      <c r="G32">
        <v>1</v>
      </c>
      <c r="L32">
        <v>1</v>
      </c>
      <c r="Q32">
        <v>1</v>
      </c>
      <c r="AI32">
        <v>4</v>
      </c>
    </row>
    <row r="33" spans="1:35" x14ac:dyDescent="0.3">
      <c r="A33" s="11">
        <v>40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2</v>
      </c>
      <c r="P33">
        <v>1</v>
      </c>
      <c r="Q33">
        <v>1</v>
      </c>
      <c r="R33">
        <v>1</v>
      </c>
      <c r="S33">
        <v>2</v>
      </c>
      <c r="U33">
        <v>1</v>
      </c>
      <c r="AI33">
        <v>20</v>
      </c>
    </row>
    <row r="34" spans="1:35" x14ac:dyDescent="0.3">
      <c r="A34" s="11">
        <v>41</v>
      </c>
      <c r="C34">
        <v>1</v>
      </c>
      <c r="D34">
        <v>1</v>
      </c>
      <c r="E34">
        <v>1</v>
      </c>
      <c r="H34">
        <v>1</v>
      </c>
      <c r="I34">
        <v>1</v>
      </c>
      <c r="J34">
        <v>1</v>
      </c>
      <c r="M34">
        <v>1</v>
      </c>
      <c r="N34">
        <v>1</v>
      </c>
      <c r="O34">
        <v>1</v>
      </c>
      <c r="R34">
        <v>1</v>
      </c>
      <c r="S34">
        <v>1</v>
      </c>
      <c r="T34">
        <v>1</v>
      </c>
      <c r="AI34">
        <v>12</v>
      </c>
    </row>
    <row r="35" spans="1:35" x14ac:dyDescent="0.3">
      <c r="A35" s="11">
        <v>44</v>
      </c>
      <c r="B35">
        <v>1</v>
      </c>
      <c r="C35">
        <v>1</v>
      </c>
      <c r="F35">
        <v>1</v>
      </c>
      <c r="G35">
        <v>1</v>
      </c>
      <c r="H35">
        <v>1</v>
      </c>
      <c r="K35">
        <v>1</v>
      </c>
      <c r="L35">
        <v>1</v>
      </c>
      <c r="M35">
        <v>1</v>
      </c>
      <c r="P35">
        <v>1</v>
      </c>
      <c r="Q35">
        <v>1</v>
      </c>
      <c r="R35">
        <v>1</v>
      </c>
      <c r="U35">
        <v>1</v>
      </c>
      <c r="AI35">
        <v>12</v>
      </c>
    </row>
    <row r="36" spans="1:35" x14ac:dyDescent="0.3">
      <c r="A36" s="11">
        <v>45</v>
      </c>
      <c r="B36">
        <v>1</v>
      </c>
      <c r="D36">
        <v>1</v>
      </c>
      <c r="E36">
        <v>1</v>
      </c>
      <c r="G36">
        <v>1</v>
      </c>
      <c r="I36">
        <v>1</v>
      </c>
      <c r="J36">
        <v>1</v>
      </c>
      <c r="L36">
        <v>1</v>
      </c>
      <c r="N36">
        <v>1</v>
      </c>
      <c r="Q36">
        <v>1</v>
      </c>
      <c r="S36">
        <v>1</v>
      </c>
      <c r="AI36">
        <v>10</v>
      </c>
    </row>
    <row r="37" spans="1:35" x14ac:dyDescent="0.3">
      <c r="A37" s="11">
        <v>46</v>
      </c>
      <c r="C37">
        <v>1</v>
      </c>
      <c r="D37">
        <v>1</v>
      </c>
      <c r="E37">
        <v>1</v>
      </c>
      <c r="F37">
        <v>1</v>
      </c>
      <c r="H37">
        <v>1</v>
      </c>
      <c r="I37">
        <v>1</v>
      </c>
      <c r="J37">
        <v>1</v>
      </c>
      <c r="K37">
        <v>1</v>
      </c>
      <c r="M37">
        <v>1</v>
      </c>
      <c r="N37">
        <v>1</v>
      </c>
      <c r="O37">
        <v>1</v>
      </c>
      <c r="P37">
        <v>1</v>
      </c>
      <c r="R37">
        <v>1</v>
      </c>
      <c r="S37">
        <v>1</v>
      </c>
      <c r="T37">
        <v>1</v>
      </c>
      <c r="U37">
        <v>1</v>
      </c>
      <c r="AI37">
        <v>16</v>
      </c>
    </row>
    <row r="38" spans="1:35" x14ac:dyDescent="0.3">
      <c r="A38" s="11" t="s">
        <v>23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O38">
        <v>1</v>
      </c>
      <c r="P38">
        <v>1</v>
      </c>
      <c r="Q38">
        <v>1</v>
      </c>
      <c r="T38">
        <v>1</v>
      </c>
      <c r="U38">
        <v>1</v>
      </c>
      <c r="AI38">
        <v>17</v>
      </c>
    </row>
    <row r="39" spans="1:35" x14ac:dyDescent="0.3">
      <c r="A39" s="11" t="s">
        <v>38</v>
      </c>
      <c r="O39">
        <v>1</v>
      </c>
      <c r="T39">
        <v>1</v>
      </c>
      <c r="AI39">
        <v>2</v>
      </c>
    </row>
    <row r="40" spans="1:35" x14ac:dyDescent="0.3">
      <c r="A40" s="11" t="s">
        <v>21</v>
      </c>
      <c r="B40">
        <v>1</v>
      </c>
      <c r="C40">
        <v>1</v>
      </c>
      <c r="D40">
        <v>1</v>
      </c>
      <c r="E40">
        <v>1</v>
      </c>
      <c r="G40">
        <v>1</v>
      </c>
      <c r="H40">
        <v>1</v>
      </c>
      <c r="I40">
        <v>1</v>
      </c>
      <c r="J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AI40">
        <v>18</v>
      </c>
    </row>
    <row r="41" spans="1:35" x14ac:dyDescent="0.3">
      <c r="A41" s="11" t="s">
        <v>241</v>
      </c>
      <c r="B41">
        <v>1</v>
      </c>
      <c r="D41">
        <v>1</v>
      </c>
      <c r="F41">
        <v>1</v>
      </c>
      <c r="G41">
        <v>1</v>
      </c>
      <c r="I41">
        <v>1</v>
      </c>
      <c r="K41">
        <v>1</v>
      </c>
      <c r="L41">
        <v>2</v>
      </c>
      <c r="O41">
        <v>1</v>
      </c>
      <c r="Q41">
        <v>2</v>
      </c>
      <c r="T41">
        <v>1</v>
      </c>
      <c r="AI41">
        <v>12</v>
      </c>
    </row>
    <row r="42" spans="1:35" x14ac:dyDescent="0.3">
      <c r="A42" s="11" t="s">
        <v>295</v>
      </c>
      <c r="C42">
        <v>1</v>
      </c>
      <c r="D42">
        <v>1</v>
      </c>
      <c r="E42">
        <v>1</v>
      </c>
      <c r="H42">
        <v>1</v>
      </c>
      <c r="I42">
        <v>1</v>
      </c>
      <c r="J42">
        <v>1</v>
      </c>
      <c r="N42">
        <v>1</v>
      </c>
      <c r="O42">
        <v>1</v>
      </c>
      <c r="S42">
        <v>1</v>
      </c>
      <c r="T42">
        <v>1</v>
      </c>
      <c r="X42">
        <v>1</v>
      </c>
      <c r="AB42">
        <v>1</v>
      </c>
      <c r="AI42">
        <v>12</v>
      </c>
    </row>
    <row r="43" spans="1:35" x14ac:dyDescent="0.3">
      <c r="A43" s="11" t="s">
        <v>2761</v>
      </c>
      <c r="F43">
        <v>1</v>
      </c>
      <c r="K43">
        <v>1</v>
      </c>
      <c r="P43">
        <v>1</v>
      </c>
      <c r="U43">
        <v>1</v>
      </c>
      <c r="AI43">
        <v>4</v>
      </c>
    </row>
    <row r="44" spans="1:35" x14ac:dyDescent="0.3">
      <c r="A44" s="11" t="s">
        <v>1327</v>
      </c>
    </row>
    <row r="45" spans="1:35" x14ac:dyDescent="0.3">
      <c r="A45" s="11">
        <v>47</v>
      </c>
      <c r="C45">
        <v>1</v>
      </c>
      <c r="D45">
        <v>1</v>
      </c>
      <c r="F45">
        <v>1</v>
      </c>
      <c r="G45">
        <v>1</v>
      </c>
      <c r="H45">
        <v>1</v>
      </c>
      <c r="I45">
        <v>1</v>
      </c>
      <c r="K45">
        <v>1</v>
      </c>
      <c r="L45">
        <v>1</v>
      </c>
      <c r="N45">
        <v>1</v>
      </c>
      <c r="O45">
        <v>1</v>
      </c>
      <c r="Q45">
        <v>1</v>
      </c>
      <c r="S45">
        <v>1</v>
      </c>
      <c r="AI45">
        <v>12</v>
      </c>
    </row>
    <row r="46" spans="1:35" x14ac:dyDescent="0.3">
      <c r="A46" s="11" t="s">
        <v>1438</v>
      </c>
      <c r="C46">
        <v>1</v>
      </c>
      <c r="E46">
        <v>1</v>
      </c>
      <c r="H46">
        <v>1</v>
      </c>
      <c r="J46">
        <v>1</v>
      </c>
      <c r="M46">
        <v>1</v>
      </c>
      <c r="O46">
        <v>1</v>
      </c>
      <c r="R46">
        <v>1</v>
      </c>
      <c r="T46">
        <v>1</v>
      </c>
      <c r="AI46">
        <v>8</v>
      </c>
    </row>
    <row r="47" spans="1:35" x14ac:dyDescent="0.3">
      <c r="A47" s="11" t="s">
        <v>1437</v>
      </c>
      <c r="B47">
        <v>1</v>
      </c>
      <c r="C47">
        <v>1</v>
      </c>
      <c r="D47">
        <v>1</v>
      </c>
      <c r="E47">
        <v>1</v>
      </c>
      <c r="G47">
        <v>1</v>
      </c>
      <c r="H47">
        <v>1</v>
      </c>
      <c r="I47">
        <v>1</v>
      </c>
      <c r="J47">
        <v>1</v>
      </c>
      <c r="L47">
        <v>1</v>
      </c>
      <c r="O47">
        <v>1</v>
      </c>
      <c r="P47">
        <v>2</v>
      </c>
      <c r="Q47">
        <v>1</v>
      </c>
      <c r="T47">
        <v>1</v>
      </c>
      <c r="U47">
        <v>2</v>
      </c>
      <c r="AI47">
        <v>16</v>
      </c>
    </row>
    <row r="48" spans="1:35" x14ac:dyDescent="0.3">
      <c r="A48" s="11" t="s">
        <v>2774</v>
      </c>
      <c r="B48">
        <v>1</v>
      </c>
      <c r="C48">
        <v>1</v>
      </c>
      <c r="G48">
        <v>1</v>
      </c>
      <c r="H48">
        <v>1</v>
      </c>
      <c r="AI48">
        <v>4</v>
      </c>
    </row>
    <row r="49" spans="1:35" x14ac:dyDescent="0.3">
      <c r="A49" s="11" t="s">
        <v>2760</v>
      </c>
      <c r="D49">
        <v>1</v>
      </c>
      <c r="F49">
        <v>1</v>
      </c>
      <c r="I49">
        <v>1</v>
      </c>
      <c r="K49">
        <v>1</v>
      </c>
      <c r="AI49">
        <v>4</v>
      </c>
    </row>
    <row r="50" spans="1:35" x14ac:dyDescent="0.3">
      <c r="A50" s="11" t="s">
        <v>2759</v>
      </c>
      <c r="B50">
        <v>1</v>
      </c>
      <c r="D50">
        <v>1</v>
      </c>
      <c r="E50">
        <v>2</v>
      </c>
      <c r="F50">
        <v>1</v>
      </c>
      <c r="G50">
        <v>1</v>
      </c>
      <c r="I50">
        <v>1</v>
      </c>
      <c r="J50">
        <v>2</v>
      </c>
      <c r="K50">
        <v>1</v>
      </c>
      <c r="L50">
        <v>1</v>
      </c>
      <c r="N50">
        <v>1</v>
      </c>
      <c r="O50">
        <v>1</v>
      </c>
      <c r="P50">
        <v>1</v>
      </c>
      <c r="Q50">
        <v>1</v>
      </c>
      <c r="S50">
        <v>1</v>
      </c>
      <c r="T50">
        <v>1</v>
      </c>
      <c r="U50">
        <v>1</v>
      </c>
      <c r="AI50">
        <v>18</v>
      </c>
    </row>
    <row r="51" spans="1:35" x14ac:dyDescent="0.3">
      <c r="A51" s="10" t="s">
        <v>125</v>
      </c>
      <c r="B51">
        <v>14</v>
      </c>
      <c r="C51">
        <v>6</v>
      </c>
      <c r="D51">
        <v>6</v>
      </c>
      <c r="E51">
        <v>9</v>
      </c>
      <c r="F51">
        <v>10</v>
      </c>
      <c r="G51">
        <v>14</v>
      </c>
      <c r="H51">
        <v>7</v>
      </c>
      <c r="I51">
        <v>7</v>
      </c>
      <c r="J51">
        <v>9</v>
      </c>
      <c r="K51">
        <v>9</v>
      </c>
      <c r="L51">
        <v>13</v>
      </c>
      <c r="M51">
        <v>7</v>
      </c>
      <c r="N51">
        <v>6</v>
      </c>
      <c r="O51">
        <v>8</v>
      </c>
      <c r="P51">
        <v>9</v>
      </c>
      <c r="Q51">
        <v>13</v>
      </c>
      <c r="R51">
        <v>6</v>
      </c>
      <c r="S51">
        <v>5</v>
      </c>
      <c r="T51">
        <v>8</v>
      </c>
      <c r="U51">
        <v>9</v>
      </c>
      <c r="W51">
        <v>1</v>
      </c>
      <c r="AE51">
        <v>4</v>
      </c>
      <c r="AI51">
        <v>180</v>
      </c>
    </row>
    <row r="52" spans="1:35" x14ac:dyDescent="0.3">
      <c r="A52" s="11">
        <v>30</v>
      </c>
      <c r="E52">
        <v>1</v>
      </c>
      <c r="J52">
        <v>1</v>
      </c>
      <c r="L52">
        <v>1</v>
      </c>
      <c r="O52">
        <v>1</v>
      </c>
      <c r="Q52">
        <v>1</v>
      </c>
      <c r="T52">
        <v>1</v>
      </c>
      <c r="AI52">
        <v>6</v>
      </c>
    </row>
    <row r="53" spans="1:35" x14ac:dyDescent="0.3">
      <c r="A53" s="11">
        <v>31</v>
      </c>
      <c r="B53">
        <v>2</v>
      </c>
      <c r="C53">
        <v>1</v>
      </c>
      <c r="G53">
        <v>2</v>
      </c>
      <c r="H53">
        <v>1</v>
      </c>
      <c r="L53">
        <v>2</v>
      </c>
      <c r="M53">
        <v>1</v>
      </c>
      <c r="Q53">
        <v>2</v>
      </c>
      <c r="R53">
        <v>1</v>
      </c>
      <c r="AE53">
        <v>2</v>
      </c>
      <c r="AI53">
        <v>14</v>
      </c>
    </row>
    <row r="54" spans="1:35" x14ac:dyDescent="0.3">
      <c r="A54" s="11">
        <v>40</v>
      </c>
      <c r="B54">
        <v>2</v>
      </c>
      <c r="C54">
        <v>1</v>
      </c>
      <c r="E54">
        <v>1</v>
      </c>
      <c r="F54">
        <v>1</v>
      </c>
      <c r="G54">
        <v>2</v>
      </c>
      <c r="H54">
        <v>1</v>
      </c>
      <c r="J54">
        <v>1</v>
      </c>
      <c r="K54">
        <v>1</v>
      </c>
      <c r="L54">
        <v>1</v>
      </c>
      <c r="M54">
        <v>1</v>
      </c>
      <c r="O54">
        <v>1</v>
      </c>
      <c r="P54">
        <v>1</v>
      </c>
      <c r="Q54">
        <v>1</v>
      </c>
      <c r="R54">
        <v>1</v>
      </c>
      <c r="T54">
        <v>1</v>
      </c>
      <c r="U54">
        <v>1</v>
      </c>
      <c r="AI54">
        <v>18</v>
      </c>
    </row>
    <row r="55" spans="1:35" x14ac:dyDescent="0.3">
      <c r="A55" s="11">
        <v>41</v>
      </c>
      <c r="B55">
        <v>1</v>
      </c>
      <c r="C55">
        <v>1</v>
      </c>
      <c r="E55">
        <v>1</v>
      </c>
      <c r="F55">
        <v>1</v>
      </c>
      <c r="G55">
        <v>1</v>
      </c>
      <c r="H55">
        <v>1</v>
      </c>
      <c r="J55">
        <v>1</v>
      </c>
      <c r="K55">
        <v>1</v>
      </c>
      <c r="M55">
        <v>1</v>
      </c>
      <c r="O55">
        <v>1</v>
      </c>
      <c r="P55">
        <v>1</v>
      </c>
      <c r="R55">
        <v>1</v>
      </c>
      <c r="T55">
        <v>1</v>
      </c>
      <c r="U55">
        <v>1</v>
      </c>
      <c r="AE55">
        <v>2</v>
      </c>
      <c r="AI55">
        <v>16</v>
      </c>
    </row>
    <row r="56" spans="1:35" x14ac:dyDescent="0.3">
      <c r="A56" s="11">
        <v>44</v>
      </c>
      <c r="B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AI56">
        <v>19</v>
      </c>
    </row>
    <row r="57" spans="1:35" x14ac:dyDescent="0.3">
      <c r="A57" s="11">
        <v>45</v>
      </c>
      <c r="B57">
        <v>1</v>
      </c>
      <c r="F57">
        <v>1</v>
      </c>
      <c r="G57">
        <v>1</v>
      </c>
      <c r="I57">
        <v>1</v>
      </c>
      <c r="K57">
        <v>1</v>
      </c>
      <c r="L57">
        <v>1</v>
      </c>
      <c r="N57">
        <v>1</v>
      </c>
      <c r="P57">
        <v>1</v>
      </c>
      <c r="Q57">
        <v>1</v>
      </c>
      <c r="U57">
        <v>1</v>
      </c>
      <c r="AI57">
        <v>10</v>
      </c>
    </row>
    <row r="58" spans="1:35" x14ac:dyDescent="0.3">
      <c r="A58" s="11">
        <v>46</v>
      </c>
      <c r="B58">
        <v>1</v>
      </c>
      <c r="C58">
        <v>1</v>
      </c>
      <c r="D58">
        <v>1</v>
      </c>
      <c r="E58">
        <v>2</v>
      </c>
      <c r="G58">
        <v>1</v>
      </c>
      <c r="H58">
        <v>1</v>
      </c>
      <c r="I58">
        <v>1</v>
      </c>
      <c r="J58">
        <v>2</v>
      </c>
      <c r="L58">
        <v>1</v>
      </c>
      <c r="M58">
        <v>1</v>
      </c>
      <c r="O58">
        <v>2</v>
      </c>
      <c r="Q58">
        <v>1</v>
      </c>
      <c r="R58">
        <v>1</v>
      </c>
      <c r="T58">
        <v>2</v>
      </c>
      <c r="W58">
        <v>1</v>
      </c>
      <c r="AI58">
        <v>19</v>
      </c>
    </row>
    <row r="59" spans="1:35" x14ac:dyDescent="0.3">
      <c r="A59" s="11">
        <v>52</v>
      </c>
      <c r="D59">
        <v>1</v>
      </c>
      <c r="F59">
        <v>1</v>
      </c>
      <c r="I59">
        <v>1</v>
      </c>
      <c r="K59">
        <v>1</v>
      </c>
      <c r="N59">
        <v>1</v>
      </c>
      <c r="P59">
        <v>1</v>
      </c>
      <c r="S59">
        <v>1</v>
      </c>
      <c r="U59">
        <v>1</v>
      </c>
      <c r="AI59">
        <v>8</v>
      </c>
    </row>
    <row r="60" spans="1:35" x14ac:dyDescent="0.3">
      <c r="A60" s="11" t="s">
        <v>23</v>
      </c>
      <c r="B60">
        <v>1</v>
      </c>
      <c r="D60">
        <v>1</v>
      </c>
      <c r="F60">
        <v>1</v>
      </c>
      <c r="G60">
        <v>1</v>
      </c>
      <c r="I60">
        <v>1</v>
      </c>
      <c r="K60">
        <v>1</v>
      </c>
      <c r="L60">
        <v>1</v>
      </c>
      <c r="N60">
        <v>1</v>
      </c>
      <c r="P60">
        <v>1</v>
      </c>
      <c r="Q60">
        <v>1</v>
      </c>
      <c r="S60">
        <v>1</v>
      </c>
      <c r="U60">
        <v>1</v>
      </c>
      <c r="AI60">
        <v>12</v>
      </c>
    </row>
    <row r="61" spans="1:35" x14ac:dyDescent="0.3">
      <c r="A61" s="11" t="s">
        <v>38</v>
      </c>
      <c r="D61">
        <v>1</v>
      </c>
      <c r="E61">
        <v>1</v>
      </c>
      <c r="F61">
        <v>1</v>
      </c>
      <c r="I61">
        <v>1</v>
      </c>
      <c r="J61">
        <v>1</v>
      </c>
      <c r="K61">
        <v>1</v>
      </c>
      <c r="N61">
        <v>1</v>
      </c>
      <c r="P61">
        <v>1</v>
      </c>
      <c r="S61">
        <v>1</v>
      </c>
      <c r="U61">
        <v>1</v>
      </c>
      <c r="AI61">
        <v>10</v>
      </c>
    </row>
    <row r="62" spans="1:35" x14ac:dyDescent="0.3">
      <c r="A62" s="11" t="s">
        <v>21</v>
      </c>
      <c r="B62">
        <v>1</v>
      </c>
      <c r="F62">
        <v>1</v>
      </c>
      <c r="G62">
        <v>1</v>
      </c>
      <c r="K62">
        <v>1</v>
      </c>
      <c r="L62">
        <v>1</v>
      </c>
      <c r="P62">
        <v>1</v>
      </c>
      <c r="Q62">
        <v>1</v>
      </c>
      <c r="U62">
        <v>1</v>
      </c>
      <c r="AI62">
        <v>8</v>
      </c>
    </row>
    <row r="63" spans="1:35" x14ac:dyDescent="0.3">
      <c r="A63" s="11" t="s">
        <v>295</v>
      </c>
      <c r="E63">
        <v>1</v>
      </c>
      <c r="J63">
        <v>1</v>
      </c>
      <c r="AI63">
        <v>2</v>
      </c>
    </row>
    <row r="64" spans="1:35" x14ac:dyDescent="0.3">
      <c r="A64" s="11" t="s">
        <v>2761</v>
      </c>
      <c r="B64">
        <v>1</v>
      </c>
      <c r="G64">
        <v>1</v>
      </c>
      <c r="L64">
        <v>1</v>
      </c>
      <c r="Q64">
        <v>1</v>
      </c>
      <c r="AI64">
        <v>4</v>
      </c>
    </row>
    <row r="65" spans="1:35" x14ac:dyDescent="0.3">
      <c r="A65" s="11" t="s">
        <v>1327</v>
      </c>
    </row>
    <row r="66" spans="1:35" x14ac:dyDescent="0.3">
      <c r="A66" s="11" t="s">
        <v>1438</v>
      </c>
      <c r="B66">
        <v>1</v>
      </c>
      <c r="F66">
        <v>1</v>
      </c>
      <c r="G66">
        <v>1</v>
      </c>
      <c r="L66">
        <v>1</v>
      </c>
      <c r="Q66">
        <v>1</v>
      </c>
      <c r="AI66">
        <v>5</v>
      </c>
    </row>
    <row r="67" spans="1:35" x14ac:dyDescent="0.3">
      <c r="A67" s="11" t="s">
        <v>1437</v>
      </c>
      <c r="D67">
        <v>1</v>
      </c>
      <c r="I67">
        <v>1</v>
      </c>
      <c r="N67">
        <v>1</v>
      </c>
      <c r="S67">
        <v>1</v>
      </c>
      <c r="AI67">
        <v>4</v>
      </c>
    </row>
    <row r="68" spans="1:35" x14ac:dyDescent="0.3">
      <c r="A68" s="11" t="s">
        <v>2774</v>
      </c>
      <c r="B68">
        <v>1</v>
      </c>
      <c r="G68">
        <v>1</v>
      </c>
      <c r="L68">
        <v>1</v>
      </c>
      <c r="Q68">
        <v>1</v>
      </c>
      <c r="AI68">
        <v>4</v>
      </c>
    </row>
    <row r="69" spans="1:35" x14ac:dyDescent="0.3">
      <c r="A69" s="11">
        <v>33</v>
      </c>
      <c r="B69">
        <v>1</v>
      </c>
      <c r="C69">
        <v>1</v>
      </c>
      <c r="G69">
        <v>1</v>
      </c>
      <c r="H69">
        <v>1</v>
      </c>
      <c r="L69">
        <v>1</v>
      </c>
      <c r="M69">
        <v>1</v>
      </c>
      <c r="Q69">
        <v>1</v>
      </c>
      <c r="AI69">
        <v>7</v>
      </c>
    </row>
    <row r="70" spans="1:35" x14ac:dyDescent="0.3">
      <c r="A70" s="11" t="s">
        <v>2759</v>
      </c>
      <c r="E70">
        <v>1</v>
      </c>
      <c r="F70">
        <v>1</v>
      </c>
      <c r="J70">
        <v>1</v>
      </c>
      <c r="K70">
        <v>1</v>
      </c>
      <c r="O70">
        <v>2</v>
      </c>
      <c r="P70">
        <v>1</v>
      </c>
      <c r="T70">
        <v>2</v>
      </c>
      <c r="U70">
        <v>1</v>
      </c>
      <c r="AI70">
        <v>10</v>
      </c>
    </row>
    <row r="71" spans="1:35" x14ac:dyDescent="0.3">
      <c r="A71" s="11">
        <v>42</v>
      </c>
      <c r="C71">
        <v>1</v>
      </c>
      <c r="H71">
        <v>1</v>
      </c>
      <c r="M71">
        <v>1</v>
      </c>
      <c r="R71">
        <v>1</v>
      </c>
      <c r="AI71">
        <v>4</v>
      </c>
    </row>
    <row r="72" spans="1:35" x14ac:dyDescent="0.3">
      <c r="A72" s="10" t="s">
        <v>1327</v>
      </c>
    </row>
    <row r="73" spans="1:35" x14ac:dyDescent="0.3">
      <c r="A73" s="11" t="s">
        <v>1327</v>
      </c>
    </row>
    <row r="74" spans="1:35" x14ac:dyDescent="0.3">
      <c r="A74" s="10" t="s">
        <v>1328</v>
      </c>
      <c r="B74">
        <v>37</v>
      </c>
      <c r="C74">
        <v>29</v>
      </c>
      <c r="D74">
        <v>35</v>
      </c>
      <c r="E74">
        <v>34</v>
      </c>
      <c r="F74">
        <v>39</v>
      </c>
      <c r="G74">
        <v>38</v>
      </c>
      <c r="H74">
        <v>30</v>
      </c>
      <c r="I74">
        <v>36</v>
      </c>
      <c r="J74">
        <v>34</v>
      </c>
      <c r="K74">
        <v>38</v>
      </c>
      <c r="L74">
        <v>38</v>
      </c>
      <c r="M74">
        <v>27</v>
      </c>
      <c r="N74">
        <v>28</v>
      </c>
      <c r="O74">
        <v>34</v>
      </c>
      <c r="P74">
        <v>31</v>
      </c>
      <c r="Q74">
        <v>38</v>
      </c>
      <c r="R74">
        <v>25</v>
      </c>
      <c r="S74">
        <v>27</v>
      </c>
      <c r="T74">
        <v>34</v>
      </c>
      <c r="U74">
        <v>31</v>
      </c>
      <c r="V74">
        <v>1</v>
      </c>
      <c r="W74">
        <v>3</v>
      </c>
      <c r="X74">
        <v>2</v>
      </c>
      <c r="Y74">
        <v>3</v>
      </c>
      <c r="Z74">
        <v>1</v>
      </c>
      <c r="AB74">
        <v>1</v>
      </c>
      <c r="AE74">
        <v>4</v>
      </c>
      <c r="AI74">
        <v>678</v>
      </c>
    </row>
  </sheetData>
  <pageMargins left="0.7" right="0.7" top="0.75" bottom="0.75" header="0.3" footer="0.3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6" filterMode="1"/>
  <dimension ref="A1:XFD1211"/>
  <sheetViews>
    <sheetView zoomScale="85" zoomScaleNormal="85" workbookViewId="0">
      <selection activeCell="G1220" sqref="G1220"/>
    </sheetView>
  </sheetViews>
  <sheetFormatPr baseColWidth="10" defaultRowHeight="14.25" customHeight="1" x14ac:dyDescent="0.3"/>
  <cols>
    <col min="1" max="1" width="9.6640625" bestFit="1" customWidth="1"/>
    <col min="2" max="2" width="22.109375" customWidth="1"/>
    <col min="3" max="3" width="7.33203125" style="7" bestFit="1" customWidth="1"/>
    <col min="4" max="4" width="17.44140625" customWidth="1"/>
    <col min="5" max="5" width="15.5546875" style="7" customWidth="1"/>
    <col min="6" max="6" width="10.88671875" style="7" customWidth="1"/>
    <col min="7" max="7" width="15.33203125" style="7" customWidth="1"/>
    <col min="8" max="8" width="78.44140625" bestFit="1" customWidth="1"/>
    <col min="9" max="9" width="13.44140625" style="7" bestFit="1" customWidth="1"/>
    <col min="10" max="10" width="15.33203125" style="7" bestFit="1" customWidth="1"/>
    <col min="11" max="11" width="8" style="85" customWidth="1"/>
    <col min="12" max="12" width="14.109375" style="7" customWidth="1"/>
    <col min="13" max="13" width="32.33203125" style="10" customWidth="1"/>
    <col min="14" max="14" width="15.5546875" customWidth="1"/>
    <col min="15" max="15" width="31.6640625" customWidth="1"/>
    <col min="16" max="16" width="4" customWidth="1"/>
    <col min="17" max="17" width="10.109375" customWidth="1"/>
    <col min="18" max="18" width="12.6640625" style="7" bestFit="1" customWidth="1"/>
    <col min="21" max="21" width="111.109375" customWidth="1"/>
    <col min="22" max="22" width="10.88671875" customWidth="1"/>
    <col min="23" max="23" width="29.44140625" customWidth="1"/>
    <col min="24" max="24" width="6" customWidth="1"/>
    <col min="25" max="25" width="21.109375" customWidth="1"/>
    <col min="26" max="26" width="4.33203125" customWidth="1"/>
    <col min="27" max="27" width="4.44140625" customWidth="1"/>
    <col min="28" max="28" width="14.6640625" customWidth="1"/>
    <col min="29" max="29" width="8.33203125" customWidth="1"/>
    <col min="30" max="30" width="14.6640625" bestFit="1" customWidth="1"/>
    <col min="31" max="31" width="11.6640625" customWidth="1"/>
    <col min="37" max="37" width="5" customWidth="1"/>
  </cols>
  <sheetData>
    <row r="1" spans="1:39" s="7" customFormat="1" ht="16.5" customHeight="1" x14ac:dyDescent="0.25">
      <c r="A1" s="61" t="s">
        <v>0</v>
      </c>
      <c r="B1" s="75" t="s">
        <v>0</v>
      </c>
      <c r="C1" s="61" t="s">
        <v>1</v>
      </c>
      <c r="D1" s="67" t="s">
        <v>2</v>
      </c>
      <c r="E1" s="67" t="s">
        <v>3</v>
      </c>
      <c r="F1" s="24" t="s">
        <v>4</v>
      </c>
      <c r="G1" s="24" t="s">
        <v>1373</v>
      </c>
      <c r="H1" s="24" t="s">
        <v>6</v>
      </c>
      <c r="I1" s="24" t="s">
        <v>7</v>
      </c>
      <c r="J1" s="24" t="s">
        <v>8</v>
      </c>
      <c r="K1" s="79" t="s">
        <v>506</v>
      </c>
      <c r="L1" s="24" t="s">
        <v>513</v>
      </c>
      <c r="M1" s="89" t="s">
        <v>516</v>
      </c>
      <c r="N1" s="24" t="s">
        <v>554</v>
      </c>
      <c r="O1" s="24" t="s">
        <v>1355</v>
      </c>
      <c r="P1" s="24" t="s">
        <v>1413</v>
      </c>
      <c r="Q1" s="24" t="s">
        <v>1416</v>
      </c>
    </row>
    <row r="2" spans="1:39" s="56" customFormat="1" ht="14.25" hidden="1" customHeight="1" x14ac:dyDescent="0.3">
      <c r="A2" s="53" t="str">
        <f t="shared" ref="A2:A69" si="0">LEFT(B2,4)</f>
        <v>1°1°</v>
      </c>
      <c r="B2" s="54" t="str">
        <f t="shared" ref="B2:B69" si="1">CONCATENATE(LEFT(G2,4),E2,F2,C2)</f>
        <v>1°1°1JUMAÑANA0</v>
      </c>
      <c r="C2" s="62">
        <f>VLOOKUP(G2,[1]Hoja1!$A:$O,3,0)</f>
        <v>0</v>
      </c>
      <c r="D2" s="36" t="str">
        <f t="shared" ref="D2:D69" si="2">CONCATENATE(E2,LEFT(F2,1),I2)</f>
        <v>1JUMPB01</v>
      </c>
      <c r="E2" s="62" t="s">
        <v>43</v>
      </c>
      <c r="F2" s="62" t="s">
        <v>27</v>
      </c>
      <c r="G2" s="62" t="s">
        <v>267</v>
      </c>
      <c r="H2" s="54" t="str">
        <f>VLOOKUP(G2,[1]Hoja1!$A:$O,6,0)</f>
        <v>CIENCIAS SOCIALES</v>
      </c>
      <c r="I2" s="78" t="s">
        <v>1440</v>
      </c>
      <c r="J2" s="36"/>
      <c r="K2" s="80" t="str">
        <f t="shared" ref="K2:K18" si="3">RIGHT(E2,2)</f>
        <v>JU</v>
      </c>
      <c r="L2" s="36"/>
      <c r="M2" s="86" t="str">
        <f>VLOOKUP(G2,[1]Hoja1!$A:$O,15,0)</f>
        <v>PEREYRA, DANIEL</v>
      </c>
      <c r="N2" s="36" t="str">
        <f t="shared" ref="N2:N69" si="4">CONCATENATE(G2,LEFT(K2,2))</f>
        <v>1°1°1SOCJU</v>
      </c>
      <c r="O2" s="36"/>
      <c r="P2" s="55" t="str">
        <f>VLOOKUP(G2,[1]Hoja1!$A:$P,16,0)</f>
        <v xml:space="preserve"> </v>
      </c>
      <c r="Q2" s="55"/>
      <c r="S2" s="56">
        <f>VLOOKUP(G2,[1]Hoja1!$A:$O,5,0)</f>
        <v>733445</v>
      </c>
      <c r="U2" s="57" t="s">
        <v>2751</v>
      </c>
      <c r="V2" s="58">
        <f t="shared" ref="V2:V69" si="5">S2</f>
        <v>733445</v>
      </c>
      <c r="W2" s="59" t="s">
        <v>1519</v>
      </c>
      <c r="X2" s="58" t="str">
        <f t="shared" ref="X2:X69" si="6">IF(LEFT(E2,1)="p","prehora",LEFT(E2,1))</f>
        <v>1</v>
      </c>
      <c r="Y2" s="59" t="s">
        <v>1518</v>
      </c>
      <c r="Z2" s="58" t="str">
        <f t="shared" ref="Z2:Z69" si="7">LEFT(F2,1)</f>
        <v>M</v>
      </c>
      <c r="AA2" s="59" t="s">
        <v>2752</v>
      </c>
      <c r="AB2" s="58" t="str">
        <f t="shared" ref="AB2:AB69" si="8">IF(IF(LEFT(E2,1)="p",MID(E2,8,2),MID(E2,2,2))="lu","LUNES",IF(IF(LEFT(E2,1)="p",MID(E2,8,2),MID(E2,2,2))="ma","MARTES",IF(IF(LEFT(E2,1)="p",MID(E2,8,2),MID(E2,2,2))="MI","MIERCOLES",IF(IF(LEFT(E2,1)="p",MID(E2,8,2),MID(E2,2,2))="JU","JUEVES",IF(IF(LEFT(E2,1)="p",MID(E2,8,2),MID(E2,2,2))="vi","VIERNES","")))))</f>
        <v>JUEVES</v>
      </c>
      <c r="AC2" s="59" t="s">
        <v>2753</v>
      </c>
      <c r="AD2" s="56">
        <f t="shared" ref="AD2:AD69" si="9">L2</f>
        <v>0</v>
      </c>
      <c r="AE2" s="59" t="s">
        <v>2754</v>
      </c>
      <c r="AH2" s="56" t="str">
        <f t="shared" ref="AH2:AH69" si="10">U2&amp;V2&amp;W2&amp;X2&amp;Y2&amp;Z2&amp;AA2&amp;AB2&amp;AC2&amp;AD2&amp;AE2</f>
        <v>INSERT INTO horario_curso_materia (horario_curso_materia.FK_CUR_mat,horario_curso_materia.FK_HOR,horario_curso_materia.DIA,horario_curso_materia.tipo_turno) VALUES (  (SELECT curso_materia.ID_CUR_MAT FROM curso_materia WHERE curso_materia.CUPOF='733445' ) ,
    (SELECT horario.ID_HOR FROM horario WHERE horario.modulo='1 ' and horario.turno='M ' ),'JUEVES ' , '0 ' );</v>
      </c>
    </row>
    <row r="3" spans="1:39" ht="15" hidden="1" customHeight="1" x14ac:dyDescent="0.3">
      <c r="A3" s="1" t="str">
        <f t="shared" si="0"/>
        <v>1°1°</v>
      </c>
      <c r="B3" s="54" t="str">
        <f t="shared" si="1"/>
        <v>1°1°1juTARDE111</v>
      </c>
      <c r="C3" s="62">
        <f>VLOOKUP(G3,[1]Hoja1!$A:$O,3,0)</f>
        <v>111</v>
      </c>
      <c r="D3" s="2" t="str">
        <f t="shared" si="2"/>
        <v>1juTaula 4</v>
      </c>
      <c r="E3" s="62" t="s">
        <v>1348</v>
      </c>
      <c r="F3" s="62" t="s">
        <v>10</v>
      </c>
      <c r="G3" s="62" t="s">
        <v>18</v>
      </c>
      <c r="H3" s="8" t="str">
        <f>VLOOKUP(G3,[1]Hoja1!$A:$O,6,0)</f>
        <v>LENGUAJES TECNOLOGICOS</v>
      </c>
      <c r="I3" s="4" t="s">
        <v>1437</v>
      </c>
      <c r="J3" s="4"/>
      <c r="K3" s="80" t="str">
        <f t="shared" si="3"/>
        <v>ju</v>
      </c>
      <c r="L3" s="4" t="s">
        <v>512</v>
      </c>
      <c r="M3" s="86" t="str">
        <f>VLOOKUP(G3,[1]Hoja1!$A:$O,15,0)</f>
        <v>LEYES RICARDO</v>
      </c>
      <c r="N3" s="2" t="str">
        <f t="shared" si="4"/>
        <v>1°1°1111TLTju</v>
      </c>
      <c r="O3" s="2"/>
      <c r="P3" s="2" t="str">
        <f>VLOOKUP(G3,[1]Hoja1!$A:$P,16,0)</f>
        <v xml:space="preserve"> </v>
      </c>
      <c r="Q3" s="2"/>
      <c r="S3">
        <f>VLOOKUP(G3,[1]Hoja1!$A:$O,5,0)</f>
        <v>2673007</v>
      </c>
      <c r="U3" s="45" t="s">
        <v>2751</v>
      </c>
      <c r="V3" s="46">
        <f t="shared" si="5"/>
        <v>2673007</v>
      </c>
      <c r="W3" s="47" t="s">
        <v>1519</v>
      </c>
      <c r="X3" s="46" t="str">
        <f t="shared" si="6"/>
        <v>1</v>
      </c>
      <c r="Y3" s="47" t="s">
        <v>1518</v>
      </c>
      <c r="Z3" s="46" t="str">
        <f t="shared" si="7"/>
        <v>T</v>
      </c>
      <c r="AA3" s="47" t="s">
        <v>2752</v>
      </c>
      <c r="AB3" s="46" t="str">
        <f t="shared" si="8"/>
        <v>JUEVES</v>
      </c>
      <c r="AC3" s="47" t="s">
        <v>2753</v>
      </c>
      <c r="AD3" t="str">
        <f t="shared" si="9"/>
        <v>CONTRATURNO</v>
      </c>
      <c r="AE3" s="47" t="s">
        <v>2754</v>
      </c>
      <c r="AH3" t="str">
        <f t="shared" si="10"/>
        <v>INSERT INTO horario_curso_materia (horario_curso_materia.FK_CUR_mat,horario_curso_materia.FK_HOR,horario_curso_materia.DIA,horario_curso_materia.tipo_turno) VALUES (  (SELECT curso_materia.ID_CUR_MAT FROM curso_materia WHERE curso_materia.CUPOF='2673007' ) ,
    (SELECT horario.ID_HOR FROM horario WHERE horario.modulo='1 ' and horario.turno='T ' ),'JUEVES ' , 'CONTRATURNO ' );</v>
      </c>
    </row>
    <row r="4" spans="1:39" s="56" customFormat="1" ht="15" hidden="1" customHeight="1" x14ac:dyDescent="0.3">
      <c r="A4" s="53" t="str">
        <f t="shared" si="0"/>
        <v>1°1°</v>
      </c>
      <c r="B4" s="54" t="str">
        <f t="shared" si="1"/>
        <v>1°1°1LUMAÑANA0</v>
      </c>
      <c r="C4" s="62">
        <f>VLOOKUP(G4,[1]Hoja1!$A:$O,3,0)</f>
        <v>0</v>
      </c>
      <c r="D4" s="36" t="str">
        <f t="shared" si="2"/>
        <v>1LUMPB01</v>
      </c>
      <c r="E4" s="62" t="s">
        <v>9</v>
      </c>
      <c r="F4" s="62" t="s">
        <v>27</v>
      </c>
      <c r="G4" s="62" t="s">
        <v>262</v>
      </c>
      <c r="H4" s="54" t="str">
        <f>VLOOKUP(G4,[1]Hoja1!$A:$O,6,0)</f>
        <v>INGLÉS</v>
      </c>
      <c r="I4" s="78" t="s">
        <v>1440</v>
      </c>
      <c r="J4" s="36"/>
      <c r="K4" s="80" t="str">
        <f t="shared" si="3"/>
        <v>LU</v>
      </c>
      <c r="L4" s="36"/>
      <c r="M4" s="86" t="str">
        <f>VLOOKUP(G4,[1]Hoja1!$A:$O,15,0)</f>
        <v xml:space="preserve">LEGUIZAMO  ANA </v>
      </c>
      <c r="N4" s="36" t="str">
        <f t="shared" si="4"/>
        <v>1°1°1INGLU</v>
      </c>
      <c r="O4" s="36"/>
      <c r="P4" s="36" t="str">
        <f>VLOOKUP(G4,[1]Hoja1!$A:$P,16,0)</f>
        <v xml:space="preserve"> </v>
      </c>
      <c r="Q4" s="36"/>
      <c r="S4" s="56">
        <f>VLOOKUP(G4,[1]Hoja1!$A:$O,5,0)</f>
        <v>733462</v>
      </c>
      <c r="U4" s="57" t="s">
        <v>2751</v>
      </c>
      <c r="V4" s="58">
        <f t="shared" si="5"/>
        <v>733462</v>
      </c>
      <c r="W4" s="59" t="s">
        <v>1519</v>
      </c>
      <c r="X4" s="58" t="str">
        <f t="shared" si="6"/>
        <v>1</v>
      </c>
      <c r="Y4" s="59" t="s">
        <v>1518</v>
      </c>
      <c r="Z4" s="58" t="str">
        <f t="shared" si="7"/>
        <v>M</v>
      </c>
      <c r="AA4" s="59" t="s">
        <v>2752</v>
      </c>
      <c r="AB4" s="58" t="str">
        <f t="shared" si="8"/>
        <v>LUNES</v>
      </c>
      <c r="AC4" s="59" t="s">
        <v>2753</v>
      </c>
      <c r="AD4" s="56">
        <f t="shared" si="9"/>
        <v>0</v>
      </c>
      <c r="AE4" s="59" t="s">
        <v>2754</v>
      </c>
      <c r="AH4" s="56" t="str">
        <f t="shared" si="10"/>
        <v>INSERT INTO horario_curso_materia (horario_curso_materia.FK_CUR_mat,horario_curso_materia.FK_HOR,horario_curso_materia.DIA,horario_curso_materia.tipo_turno) VALUES (  (SELECT curso_materia.ID_CUR_MAT FROM curso_materia WHERE curso_materia.CUPOF='733462' ) ,
    (SELECT horario.ID_HOR FROM horario WHERE horario.modulo='1 ' and horario.turno='M ' ),'LUNES ' , '0 ' );</v>
      </c>
    </row>
    <row r="5" spans="1:39" ht="15" hidden="1" customHeight="1" x14ac:dyDescent="0.3">
      <c r="A5" s="1" t="str">
        <f t="shared" si="0"/>
        <v>1°1°</v>
      </c>
      <c r="B5" s="54" t="str">
        <f t="shared" si="1"/>
        <v>1°1°1LUTARDE111</v>
      </c>
      <c r="C5" s="62">
        <f>VLOOKUP(G5,[1]Hoja1!$A:$O,3,0)</f>
        <v>111</v>
      </c>
      <c r="D5" s="2" t="str">
        <f t="shared" si="2"/>
        <v>1LUT47</v>
      </c>
      <c r="E5" s="62" t="s">
        <v>9</v>
      </c>
      <c r="F5" s="62" t="s">
        <v>10</v>
      </c>
      <c r="G5" s="62" t="s">
        <v>11</v>
      </c>
      <c r="H5" s="8" t="str">
        <f>VLOOKUP(G5,[1]Hoja1!$A:$O,6,0)</f>
        <v>SISTEMAS TECNOLOGICOS</v>
      </c>
      <c r="I5" s="4">
        <v>47</v>
      </c>
      <c r="J5" s="4"/>
      <c r="K5" s="80" t="str">
        <f t="shared" si="3"/>
        <v>LU</v>
      </c>
      <c r="L5" s="4" t="s">
        <v>512</v>
      </c>
      <c r="M5" s="86" t="str">
        <f>VLOOKUP(G5,[1]Hoja1!$A:$O,15,0)</f>
        <v>VERA LORENA</v>
      </c>
      <c r="N5" s="2" t="str">
        <f t="shared" si="4"/>
        <v>1°1°1111TSTLU</v>
      </c>
      <c r="O5" s="2"/>
      <c r="P5" s="2" t="str">
        <f>VLOOKUP(G5,[1]Hoja1!$A:$P,16,0)</f>
        <v xml:space="preserve"> </v>
      </c>
      <c r="Q5" s="2"/>
      <c r="S5">
        <f>VLOOKUP(G5,[1]Hoja1!$A:$O,5,0)</f>
        <v>2673010</v>
      </c>
      <c r="U5" s="45" t="s">
        <v>2751</v>
      </c>
      <c r="V5" s="46">
        <f t="shared" si="5"/>
        <v>2673010</v>
      </c>
      <c r="W5" s="47" t="s">
        <v>1519</v>
      </c>
      <c r="X5" s="46" t="str">
        <f t="shared" si="6"/>
        <v>1</v>
      </c>
      <c r="Y5" s="47" t="s">
        <v>1518</v>
      </c>
      <c r="Z5" s="46" t="str">
        <f t="shared" si="7"/>
        <v>T</v>
      </c>
      <c r="AA5" s="47" t="s">
        <v>2752</v>
      </c>
      <c r="AB5" s="46" t="str">
        <f t="shared" si="8"/>
        <v>LUNES</v>
      </c>
      <c r="AC5" s="47" t="s">
        <v>2753</v>
      </c>
      <c r="AD5" t="str">
        <f t="shared" si="9"/>
        <v>CONTRATURNO</v>
      </c>
      <c r="AE5" s="47" t="s">
        <v>2754</v>
      </c>
      <c r="AH5" t="str">
        <f t="shared" si="10"/>
        <v>INSERT INTO horario_curso_materia (horario_curso_materia.FK_CUR_mat,horario_curso_materia.FK_HOR,horario_curso_materia.DIA,horario_curso_materia.tipo_turno) VALUES (  (SELECT curso_materia.ID_CUR_MAT FROM curso_materia WHERE curso_materia.CUPOF='2673010' ) ,
    (SELECT horario.ID_HOR FROM horario WHERE horario.modulo='1 ' and horario.turno='T ' ),'LUNES ' , 'CONTRATURNO ' );</v>
      </c>
    </row>
    <row r="6" spans="1:39" ht="15" hidden="1" customHeight="1" x14ac:dyDescent="0.3">
      <c r="A6" s="1" t="str">
        <f t="shared" si="0"/>
        <v>1°1°</v>
      </c>
      <c r="B6" s="54" t="str">
        <f t="shared" si="1"/>
        <v>1°1°1LUTARDE112</v>
      </c>
      <c r="C6" s="62">
        <f>VLOOKUP(G6,[1]Hoja1!$A:$O,3,0)</f>
        <v>112</v>
      </c>
      <c r="D6" s="2" t="str">
        <f t="shared" si="2"/>
        <v>1LUTAULA 4</v>
      </c>
      <c r="E6" s="62" t="s">
        <v>9</v>
      </c>
      <c r="F6" s="62" t="s">
        <v>10</v>
      </c>
      <c r="G6" s="62" t="s">
        <v>14</v>
      </c>
      <c r="H6" s="8" t="str">
        <f>VLOOKUP(G6,[1]Hoja1!$A:$O,6,0)</f>
        <v>LENGUAJES TECNOLOGICOS</v>
      </c>
      <c r="I6" s="4" t="s">
        <v>1485</v>
      </c>
      <c r="J6" s="4"/>
      <c r="K6" s="80" t="str">
        <f t="shared" si="3"/>
        <v>LU</v>
      </c>
      <c r="L6" s="4" t="s">
        <v>512</v>
      </c>
      <c r="M6" s="86" t="str">
        <f>VLOOKUP(G6,[1]Hoja1!$A:$O,15,0)</f>
        <v>LEYES RICARDO</v>
      </c>
      <c r="N6" s="2" t="str">
        <f t="shared" si="4"/>
        <v>1°1°1121TLTLU</v>
      </c>
      <c r="O6" s="2"/>
      <c r="P6" s="2" t="str">
        <f>VLOOKUP(G6,[1]Hoja1!$A:$P,16,0)</f>
        <v xml:space="preserve"> </v>
      </c>
      <c r="Q6" s="2"/>
      <c r="S6">
        <f>VLOOKUP(G6,[1]Hoja1!$A:$O,5,0)</f>
        <v>2673015</v>
      </c>
      <c r="U6" s="45" t="s">
        <v>2751</v>
      </c>
      <c r="V6" s="46">
        <f t="shared" si="5"/>
        <v>2673015</v>
      </c>
      <c r="W6" s="47" t="s">
        <v>1519</v>
      </c>
      <c r="X6" s="46" t="str">
        <f t="shared" si="6"/>
        <v>1</v>
      </c>
      <c r="Y6" s="47" t="s">
        <v>1518</v>
      </c>
      <c r="Z6" s="46" t="str">
        <f t="shared" si="7"/>
        <v>T</v>
      </c>
      <c r="AA6" s="47" t="s">
        <v>2752</v>
      </c>
      <c r="AB6" s="46" t="str">
        <f t="shared" si="8"/>
        <v>LUNES</v>
      </c>
      <c r="AC6" s="47" t="s">
        <v>2753</v>
      </c>
      <c r="AD6" t="str">
        <f t="shared" si="9"/>
        <v>CONTRATURNO</v>
      </c>
      <c r="AE6" s="47" t="s">
        <v>2754</v>
      </c>
      <c r="AH6" t="str">
        <f t="shared" si="10"/>
        <v>INSERT INTO horario_curso_materia (horario_curso_materia.FK_CUR_mat,horario_curso_materia.FK_HOR,horario_curso_materia.DIA,horario_curso_materia.tipo_turno) VALUES (  (SELECT curso_materia.ID_CUR_MAT FROM curso_materia WHERE curso_materia.CUPOF='2673015' ) ,
    (SELECT horario.ID_HOR FROM horario WHERE horario.modulo='1 ' and horario.turno='T ' ),'LUNES ' , 'CONTRATURNO ' );</v>
      </c>
    </row>
    <row r="7" spans="1:39" ht="15" hidden="1" customHeight="1" x14ac:dyDescent="0.3">
      <c r="A7" s="1" t="str">
        <f t="shared" si="0"/>
        <v>1°1°</v>
      </c>
      <c r="B7" s="54" t="str">
        <f t="shared" si="1"/>
        <v>1°1°1MAMAÑANA0</v>
      </c>
      <c r="C7" s="62">
        <f>VLOOKUP(G7,[1]Hoja1!$A:$O,3,0)</f>
        <v>0</v>
      </c>
      <c r="D7" s="2" t="str">
        <f t="shared" si="2"/>
        <v>1MAMPB01</v>
      </c>
      <c r="E7" s="62" t="s">
        <v>17</v>
      </c>
      <c r="F7" s="62" t="s">
        <v>27</v>
      </c>
      <c r="G7" s="62" t="s">
        <v>265</v>
      </c>
      <c r="H7" s="8" t="str">
        <f>VLOOKUP(G7,[1]Hoja1!$A:$O,6,0)</f>
        <v>MATEMATICA</v>
      </c>
      <c r="I7" s="4" t="s">
        <v>1440</v>
      </c>
      <c r="J7" s="4"/>
      <c r="K7" s="80" t="str">
        <f t="shared" si="3"/>
        <v>MA</v>
      </c>
      <c r="L7" s="4"/>
      <c r="M7" s="86" t="str">
        <f>VLOOKUP(G7,[1]Hoja1!$A:$O,15,0)</f>
        <v xml:space="preserve">GONZALEZ M EUGENIA </v>
      </c>
      <c r="N7" s="2" t="str">
        <f t="shared" si="4"/>
        <v>1°1°1MATMA</v>
      </c>
      <c r="O7" s="2"/>
      <c r="P7" s="2" t="str">
        <f>VLOOKUP(G7,[1]Hoja1!$A:$P,16,0)</f>
        <v xml:space="preserve"> </v>
      </c>
      <c r="Q7" s="2"/>
      <c r="S7">
        <f>VLOOKUP(G7,[1]Hoja1!$A:$O,5,0)</f>
        <v>733472</v>
      </c>
      <c r="U7" s="45" t="s">
        <v>2751</v>
      </c>
      <c r="V7" s="46">
        <f t="shared" si="5"/>
        <v>733472</v>
      </c>
      <c r="W7" s="47" t="s">
        <v>1519</v>
      </c>
      <c r="X7" s="46" t="str">
        <f t="shared" si="6"/>
        <v>1</v>
      </c>
      <c r="Y7" s="47" t="s">
        <v>1518</v>
      </c>
      <c r="Z7" s="46" t="str">
        <f t="shared" si="7"/>
        <v>M</v>
      </c>
      <c r="AA7" s="47" t="s">
        <v>2752</v>
      </c>
      <c r="AB7" s="46" t="str">
        <f t="shared" si="8"/>
        <v>MARTES</v>
      </c>
      <c r="AC7" s="47" t="s">
        <v>2753</v>
      </c>
      <c r="AD7">
        <f t="shared" si="9"/>
        <v>0</v>
      </c>
      <c r="AE7" s="47" t="s">
        <v>2754</v>
      </c>
      <c r="AH7" t="str">
        <f t="shared" si="10"/>
        <v>INSERT INTO horario_curso_materia (horario_curso_materia.FK_CUR_mat,horario_curso_materia.FK_HOR,horario_curso_materia.DIA,horario_curso_materia.tipo_turno) VALUES (  (SELECT curso_materia.ID_CUR_MAT FROM curso_materia WHERE curso_materia.CUPOF='733472' ) ,
    (SELECT horario.ID_HOR FROM horario WHERE horario.modulo='1 ' and horario.turno='M ' ),'MARTES ' , '0 ' );</v>
      </c>
      <c r="AK7" s="43"/>
      <c r="AM7" s="44"/>
    </row>
    <row r="8" spans="1:39" ht="15" hidden="1" customHeight="1" x14ac:dyDescent="0.3">
      <c r="A8" s="1" t="str">
        <f t="shared" si="0"/>
        <v>1°1°</v>
      </c>
      <c r="B8" s="54" t="str">
        <f t="shared" si="1"/>
        <v>1°1°1MATARDE0</v>
      </c>
      <c r="C8" s="62">
        <f>VLOOKUP(G8,[1]Hoja1!$A:$O,3,0)</f>
        <v>0</v>
      </c>
      <c r="D8" s="2" t="str">
        <f t="shared" si="2"/>
        <v>1MATPATIO2</v>
      </c>
      <c r="E8" s="62" t="s">
        <v>17</v>
      </c>
      <c r="F8" s="62" t="s">
        <v>10</v>
      </c>
      <c r="G8" s="62" t="s">
        <v>269</v>
      </c>
      <c r="H8" s="8" t="str">
        <f>VLOOKUP(G8,[1]Hoja1!$A:$O,6,0)</f>
        <v>EDUCACIÓN FISICA</v>
      </c>
      <c r="I8" s="4" t="s">
        <v>295</v>
      </c>
      <c r="J8" s="4"/>
      <c r="K8" s="80" t="str">
        <f t="shared" si="3"/>
        <v>MA</v>
      </c>
      <c r="L8" s="4" t="s">
        <v>512</v>
      </c>
      <c r="M8" s="86" t="str">
        <f>VLOOKUP(G8,[1]Hoja1!$A:$O,15,0)</f>
        <v xml:space="preserve">SANCHEZ CARLOS        </v>
      </c>
      <c r="N8" s="2" t="str">
        <f t="shared" si="4"/>
        <v>1°1°1EFIMA</v>
      </c>
      <c r="O8" s="2"/>
      <c r="P8" s="2" t="str">
        <f>VLOOKUP(G8,[1]Hoja1!$A:$P,16,0)</f>
        <v xml:space="preserve"> </v>
      </c>
      <c r="Q8" s="2"/>
      <c r="S8">
        <f>VLOOKUP(G8,[1]Hoja1!$A:$O,5,0)</f>
        <v>891873</v>
      </c>
      <c r="U8" s="45" t="s">
        <v>2751</v>
      </c>
      <c r="V8" s="46">
        <f t="shared" si="5"/>
        <v>891873</v>
      </c>
      <c r="W8" s="47" t="s">
        <v>1519</v>
      </c>
      <c r="X8" s="46" t="str">
        <f t="shared" si="6"/>
        <v>1</v>
      </c>
      <c r="Y8" s="47" t="s">
        <v>1518</v>
      </c>
      <c r="Z8" s="46" t="str">
        <f t="shared" si="7"/>
        <v>T</v>
      </c>
      <c r="AA8" s="47" t="s">
        <v>2752</v>
      </c>
      <c r="AB8" s="46" t="str">
        <f t="shared" si="8"/>
        <v>MARTES</v>
      </c>
      <c r="AC8" s="47" t="s">
        <v>2753</v>
      </c>
      <c r="AD8" t="str">
        <f t="shared" si="9"/>
        <v>CONTRATURNO</v>
      </c>
      <c r="AE8" s="47" t="s">
        <v>2754</v>
      </c>
      <c r="AH8" t="str">
        <f t="shared" si="10"/>
        <v>INSERT INTO horario_curso_materia (horario_curso_materia.FK_CUR_mat,horario_curso_materia.FK_HOR,horario_curso_materia.DIA,horario_curso_materia.tipo_turno) VALUES (  (SELECT curso_materia.ID_CUR_MAT FROM curso_materia WHERE curso_materia.CUPOF='891873' ) ,
    (SELECT horario.ID_HOR FROM horario WHERE horario.modulo='1 ' and horario.turno='T ' ),'MARTES ' , 'CONTRATURNO ' );</v>
      </c>
      <c r="AK8" s="43"/>
      <c r="AM8" s="44"/>
    </row>
    <row r="9" spans="1:39" ht="15" hidden="1" customHeight="1" x14ac:dyDescent="0.3">
      <c r="A9" s="1" t="str">
        <f t="shared" si="0"/>
        <v>1°1°</v>
      </c>
      <c r="B9" s="54" t="str">
        <f t="shared" si="1"/>
        <v>1°1°1MIMAÑANA0</v>
      </c>
      <c r="C9" s="62">
        <f>VLOOKUP(G9,[1]Hoja1!$A:$O,3,0)</f>
        <v>0</v>
      </c>
      <c r="D9" s="2" t="str">
        <f t="shared" si="2"/>
        <v>1MIMPB01</v>
      </c>
      <c r="E9" s="62" t="s">
        <v>24</v>
      </c>
      <c r="F9" s="62" t="s">
        <v>27</v>
      </c>
      <c r="G9" s="62" t="s">
        <v>266</v>
      </c>
      <c r="H9" s="8" t="str">
        <f>VLOOKUP(G9,[1]Hoja1!$A:$O,6,0)</f>
        <v>EDUCACION ARTISTICA (PLASTICA)</v>
      </c>
      <c r="I9" s="4" t="s">
        <v>1440</v>
      </c>
      <c r="J9" s="4"/>
      <c r="K9" s="80" t="str">
        <f t="shared" si="3"/>
        <v>MI</v>
      </c>
      <c r="L9" s="4"/>
      <c r="M9" s="86" t="str">
        <f>VLOOKUP(G9,[1]Hoja1!$A:$O,15,0)</f>
        <v xml:space="preserve">DESIMONI, JESICA                       </v>
      </c>
      <c r="N9" s="2" t="str">
        <f t="shared" si="4"/>
        <v>1°1°1ARTMI</v>
      </c>
      <c r="O9" s="2"/>
      <c r="P9" s="2" t="str">
        <f>VLOOKUP(G9,[1]Hoja1!$A:$P,16,0)</f>
        <v xml:space="preserve"> </v>
      </c>
      <c r="Q9" s="2"/>
      <c r="S9">
        <f>VLOOKUP(G9,[1]Hoja1!$A:$O,5,0)</f>
        <v>733478</v>
      </c>
      <c r="U9" s="45" t="s">
        <v>2751</v>
      </c>
      <c r="V9" s="46">
        <f t="shared" si="5"/>
        <v>733478</v>
      </c>
      <c r="W9" s="47" t="s">
        <v>1519</v>
      </c>
      <c r="X9" s="46" t="str">
        <f t="shared" si="6"/>
        <v>1</v>
      </c>
      <c r="Y9" s="47" t="s">
        <v>1518</v>
      </c>
      <c r="Z9" s="46" t="str">
        <f t="shared" si="7"/>
        <v>M</v>
      </c>
      <c r="AA9" s="47" t="s">
        <v>2752</v>
      </c>
      <c r="AB9" s="46" t="str">
        <f t="shared" si="8"/>
        <v>MIERCOLES</v>
      </c>
      <c r="AC9" s="47" t="s">
        <v>2753</v>
      </c>
      <c r="AD9">
        <f t="shared" si="9"/>
        <v>0</v>
      </c>
      <c r="AE9" s="47" t="s">
        <v>2754</v>
      </c>
      <c r="AH9" t="str">
        <f t="shared" si="10"/>
        <v>INSERT INTO horario_curso_materia (horario_curso_materia.FK_CUR_mat,horario_curso_materia.FK_HOR,horario_curso_materia.DIA,horario_curso_materia.tipo_turno) VALUES (  (SELECT curso_materia.ID_CUR_MAT FROM curso_materia WHERE curso_materia.CUPOF='733478' ) ,
    (SELECT horario.ID_HOR FROM horario WHERE horario.modulo='1 ' and horario.turno='M ' ),'MIERCOLES ' , '0 ' );</v>
      </c>
    </row>
    <row r="10" spans="1:39" ht="15" hidden="1" customHeight="1" x14ac:dyDescent="0.3">
      <c r="A10" s="1" t="str">
        <f t="shared" si="0"/>
        <v>1°1°</v>
      </c>
      <c r="B10" s="54" t="str">
        <f t="shared" si="1"/>
        <v>1°1°1juTARDE112</v>
      </c>
      <c r="C10" s="62">
        <f>VLOOKUP(G10,[1]Hoja1!$A:$O,3,0)</f>
        <v>112</v>
      </c>
      <c r="D10" s="2" t="str">
        <f t="shared" si="2"/>
        <v>1juTaula 3</v>
      </c>
      <c r="E10" s="62" t="s">
        <v>1348</v>
      </c>
      <c r="F10" s="62" t="s">
        <v>10</v>
      </c>
      <c r="G10" s="62" t="s">
        <v>25</v>
      </c>
      <c r="H10" s="8" t="str">
        <f>VLOOKUP(G10,[1]Hoja1!$A:$O,6,0)</f>
        <v>SISTEMAS TECNOLOGICOS</v>
      </c>
      <c r="I10" s="4" t="s">
        <v>2774</v>
      </c>
      <c r="J10" s="4"/>
      <c r="K10" s="80" t="str">
        <f t="shared" si="3"/>
        <v>ju</v>
      </c>
      <c r="L10" s="4" t="s">
        <v>512</v>
      </c>
      <c r="M10" s="86"/>
      <c r="N10" s="2" t="str">
        <f t="shared" si="4"/>
        <v>1°1°1121TSTju</v>
      </c>
      <c r="O10" s="2"/>
      <c r="P10" s="2" t="str">
        <f>VLOOKUP(G10,[1]Hoja1!$A:$P,16,0)</f>
        <v xml:space="preserve"> </v>
      </c>
      <c r="Q10" s="2"/>
      <c r="S10">
        <f>VLOOKUP(G10,[1]Hoja1!$A:$O,5,0)</f>
        <v>2673016</v>
      </c>
      <c r="U10" s="45" t="s">
        <v>2751</v>
      </c>
      <c r="V10" s="46">
        <f t="shared" si="5"/>
        <v>2673016</v>
      </c>
      <c r="W10" s="47" t="s">
        <v>1519</v>
      </c>
      <c r="X10" s="46" t="str">
        <f t="shared" si="6"/>
        <v>1</v>
      </c>
      <c r="Y10" s="47" t="s">
        <v>1518</v>
      </c>
      <c r="Z10" s="46" t="str">
        <f t="shared" si="7"/>
        <v>T</v>
      </c>
      <c r="AA10" s="47" t="s">
        <v>2752</v>
      </c>
      <c r="AB10" s="46" t="str">
        <f t="shared" si="8"/>
        <v>JUEVES</v>
      </c>
      <c r="AC10" s="47" t="s">
        <v>2753</v>
      </c>
      <c r="AD10" t="str">
        <f t="shared" si="9"/>
        <v>CONTRATURNO</v>
      </c>
      <c r="AE10" s="47" t="s">
        <v>2754</v>
      </c>
      <c r="AH10" t="str">
        <f t="shared" si="10"/>
        <v>INSERT INTO horario_curso_materia (horario_curso_materia.FK_CUR_mat,horario_curso_materia.FK_HOR,horario_curso_materia.DIA,horario_curso_materia.tipo_turno) VALUES (  (SELECT curso_materia.ID_CUR_MAT FROM curso_materia WHERE curso_materia.CUPOF='2673016' ) ,
    (SELECT horario.ID_HOR FROM horario WHERE horario.modulo='1 ' and horario.turno='T ' ),'JUEVES ' , 'CONTRATURNO ' );</v>
      </c>
    </row>
    <row r="11" spans="1:39" ht="15" hidden="1" customHeight="1" x14ac:dyDescent="0.3">
      <c r="A11" s="1" t="str">
        <f t="shared" si="0"/>
        <v>1°1°</v>
      </c>
      <c r="B11" s="54" t="str">
        <f t="shared" si="1"/>
        <v>1°1°1VIMAÑANA0</v>
      </c>
      <c r="C11" s="62">
        <f>VLOOKUP(G11,[1]Hoja1!$A:$O,3,0)</f>
        <v>0</v>
      </c>
      <c r="D11" s="2" t="str">
        <f t="shared" si="2"/>
        <v>1VIMPB01</v>
      </c>
      <c r="E11" s="62" t="s">
        <v>57</v>
      </c>
      <c r="F11" s="62" t="s">
        <v>27</v>
      </c>
      <c r="G11" s="62" t="s">
        <v>265</v>
      </c>
      <c r="H11" s="8" t="str">
        <f>VLOOKUP(G11,[1]Hoja1!$A:$O,6,0)</f>
        <v>MATEMATICA</v>
      </c>
      <c r="I11" s="4" t="s">
        <v>1440</v>
      </c>
      <c r="J11" s="4"/>
      <c r="K11" s="80" t="str">
        <f t="shared" si="3"/>
        <v>VI</v>
      </c>
      <c r="L11" s="4"/>
      <c r="M11" s="86" t="str">
        <f>VLOOKUP(G11,[1]Hoja1!$A:$O,15,0)</f>
        <v xml:space="preserve">GONZALEZ M EUGENIA </v>
      </c>
      <c r="N11" s="2" t="str">
        <f t="shared" si="4"/>
        <v>1°1°1MATVI</v>
      </c>
      <c r="O11" s="2"/>
      <c r="P11" s="2" t="str">
        <f>VLOOKUP(G11,[1]Hoja1!$A:$P,16,0)</f>
        <v xml:space="preserve"> </v>
      </c>
      <c r="Q11" s="2"/>
      <c r="S11">
        <f>VLOOKUP(G11,[1]Hoja1!$A:$O,5,0)</f>
        <v>733472</v>
      </c>
      <c r="U11" s="45" t="s">
        <v>2751</v>
      </c>
      <c r="V11" s="46">
        <f t="shared" si="5"/>
        <v>733472</v>
      </c>
      <c r="W11" s="47" t="s">
        <v>1519</v>
      </c>
      <c r="X11" s="46" t="str">
        <f t="shared" si="6"/>
        <v>1</v>
      </c>
      <c r="Y11" s="47" t="s">
        <v>1518</v>
      </c>
      <c r="Z11" s="46" t="str">
        <f t="shared" si="7"/>
        <v>M</v>
      </c>
      <c r="AA11" s="47" t="s">
        <v>2752</v>
      </c>
      <c r="AB11" s="46" t="str">
        <f t="shared" si="8"/>
        <v>VIERNES</v>
      </c>
      <c r="AC11" s="47" t="s">
        <v>2753</v>
      </c>
      <c r="AD11">
        <f t="shared" si="9"/>
        <v>0</v>
      </c>
      <c r="AE11" s="47" t="s">
        <v>2754</v>
      </c>
      <c r="AH11" t="str">
        <f t="shared" si="10"/>
        <v>INSERT INTO horario_curso_materia (horario_curso_materia.FK_CUR_mat,horario_curso_materia.FK_HOR,horario_curso_materia.DIA,horario_curso_materia.tipo_turno) VALUES (  (SELECT curso_materia.ID_CUR_MAT FROM curso_materia WHERE curso_materia.CUPOF='733472' ) ,
    (SELECT horario.ID_HOR FROM horario WHERE horario.modulo='1 ' and horario.turno='M ' ),'VIERNES ' , '0 ' );</v>
      </c>
    </row>
    <row r="12" spans="1:39" ht="15" hidden="1" customHeight="1" x14ac:dyDescent="0.3">
      <c r="A12" s="1" t="str">
        <f t="shared" si="0"/>
        <v>1°1°</v>
      </c>
      <c r="B12" s="54" t="str">
        <f t="shared" si="1"/>
        <v>1°1°2JUMAÑANA0</v>
      </c>
      <c r="C12" s="62">
        <f>VLOOKUP(G12,[1]Hoja1!$A:$O,3,0)</f>
        <v>0</v>
      </c>
      <c r="D12" s="2" t="str">
        <f t="shared" si="2"/>
        <v>2JUMPB01</v>
      </c>
      <c r="E12" s="62" t="s">
        <v>45</v>
      </c>
      <c r="F12" s="62" t="s">
        <v>27</v>
      </c>
      <c r="G12" s="62" t="s">
        <v>267</v>
      </c>
      <c r="H12" s="8" t="str">
        <f>VLOOKUP(G12,[1]Hoja1!$A:$O,6,0)</f>
        <v>CIENCIAS SOCIALES</v>
      </c>
      <c r="I12" s="4" t="s">
        <v>1440</v>
      </c>
      <c r="J12" s="4"/>
      <c r="K12" s="80" t="str">
        <f t="shared" si="3"/>
        <v>JU</v>
      </c>
      <c r="L12" s="4"/>
      <c r="M12" s="86" t="str">
        <f>VLOOKUP(G12,[1]Hoja1!$A:$O,15,0)</f>
        <v>PEREYRA, DANIEL</v>
      </c>
      <c r="N12" s="2" t="str">
        <f t="shared" si="4"/>
        <v>1°1°1SOCJU</v>
      </c>
      <c r="O12" s="2"/>
      <c r="P12" s="2" t="str">
        <f>VLOOKUP(G12,[1]Hoja1!$A:$P,16,0)</f>
        <v xml:space="preserve"> </v>
      </c>
      <c r="Q12" s="2"/>
      <c r="S12">
        <f>VLOOKUP(G12,[1]Hoja1!$A:$O,5,0)</f>
        <v>733445</v>
      </c>
      <c r="U12" s="45" t="s">
        <v>2751</v>
      </c>
      <c r="V12" s="46">
        <f t="shared" si="5"/>
        <v>733445</v>
      </c>
      <c r="W12" s="47" t="s">
        <v>1519</v>
      </c>
      <c r="X12" s="46" t="str">
        <f t="shared" si="6"/>
        <v>2</v>
      </c>
      <c r="Y12" s="47" t="s">
        <v>1518</v>
      </c>
      <c r="Z12" s="46" t="str">
        <f t="shared" si="7"/>
        <v>M</v>
      </c>
      <c r="AA12" s="47" t="s">
        <v>2752</v>
      </c>
      <c r="AB12" s="46" t="str">
        <f t="shared" si="8"/>
        <v>JUEVES</v>
      </c>
      <c r="AC12" s="47" t="s">
        <v>2753</v>
      </c>
      <c r="AD12">
        <f t="shared" si="9"/>
        <v>0</v>
      </c>
      <c r="AE12" s="47" t="s">
        <v>2754</v>
      </c>
      <c r="AH12" t="str">
        <f t="shared" si="10"/>
        <v>INSERT INTO horario_curso_materia (horario_curso_materia.FK_CUR_mat,horario_curso_materia.FK_HOR,horario_curso_materia.DIA,horario_curso_materia.tipo_turno) VALUES (  (SELECT curso_materia.ID_CUR_MAT FROM curso_materia WHERE curso_materia.CUPOF='733445' ) ,
    (SELECT horario.ID_HOR FROM horario WHERE horario.modulo='2 ' and horario.turno='M ' ),'JUEVES ' , '0 ' );</v>
      </c>
    </row>
    <row r="13" spans="1:39" ht="21" hidden="1" customHeight="1" x14ac:dyDescent="0.3">
      <c r="A13" s="1" t="s">
        <v>492</v>
      </c>
      <c r="B13" s="54" t="str">
        <f t="shared" si="1"/>
        <v>3°5°3VITARDE352</v>
      </c>
      <c r="C13" s="62">
        <v>352</v>
      </c>
      <c r="D13" s="2" t="s">
        <v>2782</v>
      </c>
      <c r="E13" s="62" t="s">
        <v>35</v>
      </c>
      <c r="F13" s="62" t="s">
        <v>10</v>
      </c>
      <c r="G13" s="62" t="s">
        <v>132</v>
      </c>
      <c r="H13" s="8" t="s">
        <v>520</v>
      </c>
      <c r="I13" s="4" t="s">
        <v>1485</v>
      </c>
      <c r="J13" s="4"/>
      <c r="K13" s="80" t="str">
        <f t="shared" ref="K13:K16" si="11">RIGHT(E13,2)</f>
        <v>VI</v>
      </c>
      <c r="L13" s="4" t="s">
        <v>512</v>
      </c>
      <c r="M13" s="86" t="str">
        <f>VLOOKUP(G13,[1]Hoja1!$A:$O,15,0)</f>
        <v>PORQUERES MATIAS DANIEL</v>
      </c>
      <c r="N13" s="2" t="str">
        <f t="shared" ref="N13:N14" si="12">CONCATENATE(G13,LEFT(K13,2))</f>
        <v>3°5°3523TLT3VI</v>
      </c>
      <c r="O13" s="2"/>
      <c r="P13" s="2" t="s">
        <v>1373</v>
      </c>
      <c r="Q13" s="2"/>
    </row>
    <row r="14" spans="1:39" ht="14.25" hidden="1" customHeight="1" x14ac:dyDescent="0.3">
      <c r="A14" s="1" t="s">
        <v>492</v>
      </c>
      <c r="B14" s="54" t="str">
        <f t="shared" si="1"/>
        <v>3°5°4VITARDE352</v>
      </c>
      <c r="C14" s="62">
        <v>352</v>
      </c>
      <c r="D14" s="2" t="s">
        <v>2783</v>
      </c>
      <c r="E14" s="62" t="s">
        <v>36</v>
      </c>
      <c r="F14" s="62" t="s">
        <v>10</v>
      </c>
      <c r="G14" s="62" t="s">
        <v>132</v>
      </c>
      <c r="H14" s="8" t="s">
        <v>520</v>
      </c>
      <c r="I14" s="4" t="s">
        <v>1485</v>
      </c>
      <c r="J14" s="4"/>
      <c r="K14" s="80" t="str">
        <f t="shared" si="11"/>
        <v>VI</v>
      </c>
      <c r="L14" s="4" t="s">
        <v>512</v>
      </c>
      <c r="M14" s="86" t="str">
        <f>VLOOKUP(G14,[1]Hoja1!$A:$O,15,0)</f>
        <v>PORQUERES MATIAS DANIEL</v>
      </c>
      <c r="N14" s="2" t="str">
        <f t="shared" si="12"/>
        <v>3°5°3523TLT3VI</v>
      </c>
      <c r="O14" s="2"/>
      <c r="P14" s="2" t="s">
        <v>1373</v>
      </c>
      <c r="Q14" s="2"/>
    </row>
    <row r="15" spans="1:39" ht="15" hidden="1" customHeight="1" x14ac:dyDescent="0.3">
      <c r="A15" s="1" t="s">
        <v>492</v>
      </c>
      <c r="B15" s="54" t="str">
        <f t="shared" si="1"/>
        <v>3°5°1VITARDE352</v>
      </c>
      <c r="C15" s="62">
        <v>352</v>
      </c>
      <c r="D15" s="2" t="s">
        <v>2784</v>
      </c>
      <c r="E15" s="62" t="s">
        <v>57</v>
      </c>
      <c r="F15" s="62" t="s">
        <v>10</v>
      </c>
      <c r="G15" s="62" t="s">
        <v>2792</v>
      </c>
      <c r="H15" s="8" t="s">
        <v>519</v>
      </c>
      <c r="I15" s="4" t="s">
        <v>23</v>
      </c>
      <c r="J15" s="4"/>
      <c r="K15" s="80" t="str">
        <f t="shared" si="11"/>
        <v>VI</v>
      </c>
      <c r="L15" s="4" t="s">
        <v>512</v>
      </c>
      <c r="M15" s="86" t="str">
        <f>VLOOKUP(G15,[1]Hoja1!$A:$O,15,0)</f>
        <v xml:space="preserve">VIANA MAURO                  </v>
      </c>
      <c r="N15" s="2" t="s">
        <v>2785</v>
      </c>
      <c r="O15" s="2"/>
      <c r="P15" s="2" t="s">
        <v>1373</v>
      </c>
      <c r="Q15" s="2"/>
      <c r="S15">
        <v>2232475</v>
      </c>
      <c r="U15" s="45" t="s">
        <v>2751</v>
      </c>
      <c r="V15" s="46">
        <v>2232475</v>
      </c>
      <c r="W15" s="47" t="s">
        <v>1519</v>
      </c>
      <c r="X15" s="46" t="s">
        <v>2786</v>
      </c>
      <c r="Y15" s="47" t="s">
        <v>1518</v>
      </c>
      <c r="Z15" s="46" t="s">
        <v>2787</v>
      </c>
      <c r="AA15" s="47" t="s">
        <v>2752</v>
      </c>
      <c r="AB15" s="46" t="s">
        <v>1426</v>
      </c>
      <c r="AC15" s="47" t="s">
        <v>2753</v>
      </c>
      <c r="AD15" t="s">
        <v>512</v>
      </c>
      <c r="AE15" s="47" t="s">
        <v>2754</v>
      </c>
      <c r="AH15" t="s">
        <v>2788</v>
      </c>
    </row>
    <row r="16" spans="1:39" ht="15" hidden="1" customHeight="1" x14ac:dyDescent="0.3">
      <c r="A16" s="1" t="s">
        <v>492</v>
      </c>
      <c r="B16" s="54" t="str">
        <f t="shared" si="1"/>
        <v>3°5°2VITARDE352</v>
      </c>
      <c r="C16" s="62">
        <v>352</v>
      </c>
      <c r="D16" s="2" t="s">
        <v>2789</v>
      </c>
      <c r="E16" s="62" t="s">
        <v>59</v>
      </c>
      <c r="F16" s="62" t="s">
        <v>10</v>
      </c>
      <c r="G16" s="62" t="s">
        <v>2792</v>
      </c>
      <c r="H16" s="8" t="s">
        <v>519</v>
      </c>
      <c r="I16" s="4" t="s">
        <v>23</v>
      </c>
      <c r="J16" s="4"/>
      <c r="K16" s="80" t="str">
        <f t="shared" si="11"/>
        <v>VI</v>
      </c>
      <c r="L16" s="4" t="s">
        <v>512</v>
      </c>
      <c r="M16" s="86" t="str">
        <f>VLOOKUP(G16,[1]Hoja1!$A:$O,15,0)</f>
        <v xml:space="preserve">VIANA MAURO                  </v>
      </c>
      <c r="N16" s="2" t="s">
        <v>2785</v>
      </c>
      <c r="O16" s="2"/>
      <c r="P16" s="2" t="s">
        <v>1373</v>
      </c>
      <c r="Q16" s="2"/>
      <c r="S16">
        <v>2232475</v>
      </c>
      <c r="U16" s="45" t="s">
        <v>2751</v>
      </c>
      <c r="V16" s="46">
        <v>2232475</v>
      </c>
      <c r="W16" s="47" t="s">
        <v>1519</v>
      </c>
      <c r="X16" s="46" t="s">
        <v>2790</v>
      </c>
      <c r="Y16" s="47" t="s">
        <v>1518</v>
      </c>
      <c r="Z16" s="46" t="s">
        <v>2787</v>
      </c>
      <c r="AA16" s="47" t="s">
        <v>2752</v>
      </c>
      <c r="AB16" s="46" t="s">
        <v>1426</v>
      </c>
      <c r="AC16" s="47" t="s">
        <v>2753</v>
      </c>
      <c r="AD16" t="s">
        <v>512</v>
      </c>
      <c r="AE16" s="47" t="s">
        <v>2754</v>
      </c>
      <c r="AH16" t="s">
        <v>2791</v>
      </c>
    </row>
    <row r="17" spans="1:34" ht="15" hidden="1" customHeight="1" x14ac:dyDescent="0.3">
      <c r="A17" s="1" t="str">
        <f t="shared" si="0"/>
        <v>1°1°</v>
      </c>
      <c r="B17" s="54" t="str">
        <f t="shared" si="1"/>
        <v>1°1°2juTARDE111</v>
      </c>
      <c r="C17" s="62">
        <f>VLOOKUP(G17,[1]Hoja1!$A:$O,3,0)</f>
        <v>111</v>
      </c>
      <c r="D17" s="2" t="str">
        <f t="shared" si="2"/>
        <v>2juTaula 4</v>
      </c>
      <c r="E17" s="62" t="s">
        <v>1349</v>
      </c>
      <c r="F17" s="62" t="s">
        <v>10</v>
      </c>
      <c r="G17" s="62" t="s">
        <v>18</v>
      </c>
      <c r="H17" s="8" t="str">
        <f>VLOOKUP(G17,[1]Hoja1!$A:$O,6,0)</f>
        <v>LENGUAJES TECNOLOGICOS</v>
      </c>
      <c r="I17" s="4" t="s">
        <v>1437</v>
      </c>
      <c r="J17" s="4"/>
      <c r="K17" s="80" t="str">
        <f t="shared" si="3"/>
        <v>ju</v>
      </c>
      <c r="L17" s="4" t="s">
        <v>512</v>
      </c>
      <c r="M17" s="86" t="str">
        <f>VLOOKUP(G17,[1]Hoja1!$A:$O,15,0)</f>
        <v>LEYES RICARDO</v>
      </c>
      <c r="N17" s="2" t="str">
        <f t="shared" si="4"/>
        <v>1°1°1111TLTju</v>
      </c>
      <c r="O17" s="2"/>
      <c r="P17" s="2" t="str">
        <f>VLOOKUP(G17,[1]Hoja1!$A:$P,16,0)</f>
        <v xml:space="preserve"> </v>
      </c>
      <c r="Q17" s="2"/>
      <c r="S17">
        <f>VLOOKUP(G17,[1]Hoja1!$A:$O,5,0)</f>
        <v>2673007</v>
      </c>
      <c r="U17" s="45" t="s">
        <v>2751</v>
      </c>
      <c r="V17" s="46">
        <f t="shared" si="5"/>
        <v>2673007</v>
      </c>
      <c r="W17" s="47" t="s">
        <v>1519</v>
      </c>
      <c r="X17" s="46" t="str">
        <f t="shared" si="6"/>
        <v>2</v>
      </c>
      <c r="Y17" s="47" t="s">
        <v>1518</v>
      </c>
      <c r="Z17" s="46" t="str">
        <f t="shared" si="7"/>
        <v>T</v>
      </c>
      <c r="AA17" s="47" t="s">
        <v>2752</v>
      </c>
      <c r="AB17" s="46" t="str">
        <f t="shared" si="8"/>
        <v>JUEVES</v>
      </c>
      <c r="AC17" s="47" t="s">
        <v>2753</v>
      </c>
      <c r="AD17" t="str">
        <f t="shared" si="9"/>
        <v>CONTRATURNO</v>
      </c>
      <c r="AE17" s="47" t="s">
        <v>2754</v>
      </c>
      <c r="AH17" t="str">
        <f t="shared" si="10"/>
        <v>INSERT INTO horario_curso_materia (horario_curso_materia.FK_CUR_mat,horario_curso_materia.FK_HOR,horario_curso_materia.DIA,horario_curso_materia.tipo_turno) VALUES (  (SELECT curso_materia.ID_CUR_MAT FROM curso_materia WHERE curso_materia.CUPOF='2673007' ) ,
    (SELECT horario.ID_HOR FROM horario WHERE horario.modulo='2 ' and horario.turno='T ' ),'JUEVES ' , 'CONTRATURNO ' );</v>
      </c>
    </row>
    <row r="18" spans="1:34" ht="15" hidden="1" customHeight="1" x14ac:dyDescent="0.3">
      <c r="A18" s="1" t="str">
        <f t="shared" si="0"/>
        <v>1°1°</v>
      </c>
      <c r="B18" s="54" t="str">
        <f t="shared" si="1"/>
        <v>1°1°2LUMAÑANA0</v>
      </c>
      <c r="C18" s="62">
        <f>VLOOKUP(G18,[1]Hoja1!$A:$O,3,0)</f>
        <v>0</v>
      </c>
      <c r="D18" s="2" t="str">
        <f t="shared" si="2"/>
        <v>2LUMPB01</v>
      </c>
      <c r="E18" s="62" t="s">
        <v>12</v>
      </c>
      <c r="F18" s="62" t="s">
        <v>27</v>
      </c>
      <c r="G18" s="62" t="s">
        <v>262</v>
      </c>
      <c r="H18" s="8" t="str">
        <f>VLOOKUP(G18,[1]Hoja1!$A:$O,6,0)</f>
        <v>INGLÉS</v>
      </c>
      <c r="I18" s="4" t="s">
        <v>1440</v>
      </c>
      <c r="J18" s="4"/>
      <c r="K18" s="80" t="str">
        <f t="shared" si="3"/>
        <v>LU</v>
      </c>
      <c r="L18" s="4"/>
      <c r="M18" s="86" t="str">
        <f>VLOOKUP(G18,[1]Hoja1!$A:$O,15,0)</f>
        <v xml:space="preserve">LEGUIZAMO  ANA </v>
      </c>
      <c r="N18" s="2" t="str">
        <f t="shared" si="4"/>
        <v>1°1°1INGLU</v>
      </c>
      <c r="O18" s="2"/>
      <c r="P18" s="2" t="str">
        <f>VLOOKUP(G18,[1]Hoja1!$A:$P,16,0)</f>
        <v xml:space="preserve"> </v>
      </c>
      <c r="Q18" s="2"/>
      <c r="S18">
        <f>VLOOKUP(G18,[1]Hoja1!$A:$O,5,0)</f>
        <v>733462</v>
      </c>
      <c r="U18" s="45" t="s">
        <v>2751</v>
      </c>
      <c r="V18" s="46">
        <f t="shared" si="5"/>
        <v>733462</v>
      </c>
      <c r="W18" s="47" t="s">
        <v>1519</v>
      </c>
      <c r="X18" s="46" t="str">
        <f t="shared" si="6"/>
        <v>2</v>
      </c>
      <c r="Y18" s="47" t="s">
        <v>1518</v>
      </c>
      <c r="Z18" s="46" t="str">
        <f t="shared" si="7"/>
        <v>M</v>
      </c>
      <c r="AA18" s="47" t="s">
        <v>2752</v>
      </c>
      <c r="AB18" s="46" t="str">
        <f t="shared" si="8"/>
        <v>LUNES</v>
      </c>
      <c r="AC18" s="47" t="s">
        <v>2753</v>
      </c>
      <c r="AD18">
        <f t="shared" si="9"/>
        <v>0</v>
      </c>
      <c r="AE18" s="47" t="s">
        <v>2754</v>
      </c>
      <c r="AH18" t="str">
        <f t="shared" si="10"/>
        <v>INSERT INTO horario_curso_materia (horario_curso_materia.FK_CUR_mat,horario_curso_materia.FK_HOR,horario_curso_materia.DIA,horario_curso_materia.tipo_turno) VALUES (  (SELECT curso_materia.ID_CUR_MAT FROM curso_materia WHERE curso_materia.CUPOF='733462' ) ,
    (SELECT horario.ID_HOR FROM horario WHERE horario.modulo='2 ' and horario.turno='M ' ),'LUNES ' , '0 ' );</v>
      </c>
    </row>
    <row r="19" spans="1:34" ht="15" hidden="1" customHeight="1" x14ac:dyDescent="0.3">
      <c r="A19" s="1" t="str">
        <f t="shared" si="0"/>
        <v>1°1°</v>
      </c>
      <c r="B19" s="54" t="str">
        <f t="shared" si="1"/>
        <v>1°1°2LUTARDE111</v>
      </c>
      <c r="C19" s="62">
        <f>VLOOKUP(G19,[1]Hoja1!$A:$O,3,0)</f>
        <v>111</v>
      </c>
      <c r="D19" s="2" t="str">
        <f t="shared" si="2"/>
        <v>2LUT47</v>
      </c>
      <c r="E19" s="62" t="s">
        <v>12</v>
      </c>
      <c r="F19" s="62" t="s">
        <v>10</v>
      </c>
      <c r="G19" s="62" t="s">
        <v>11</v>
      </c>
      <c r="H19" s="8" t="str">
        <f>VLOOKUP(G19,[1]Hoja1!$A:$O,6,0)</f>
        <v>SISTEMAS TECNOLOGICOS</v>
      </c>
      <c r="I19" s="4">
        <v>47</v>
      </c>
      <c r="J19" s="4"/>
      <c r="K19" s="80" t="str">
        <f>MID(E19,2,2)</f>
        <v>LU</v>
      </c>
      <c r="L19" s="4" t="s">
        <v>512</v>
      </c>
      <c r="M19" s="86" t="str">
        <f>VLOOKUP(G19,[1]Hoja1!$A:$O,15,0)</f>
        <v>VERA LORENA</v>
      </c>
      <c r="N19" s="2" t="str">
        <f t="shared" si="4"/>
        <v>1°1°1111TSTLU</v>
      </c>
      <c r="O19" s="2"/>
      <c r="P19" s="2" t="str">
        <f>VLOOKUP(G19,[1]Hoja1!$A:$P,16,0)</f>
        <v xml:space="preserve"> </v>
      </c>
      <c r="Q19" s="2"/>
      <c r="S19">
        <f>VLOOKUP(G19,[1]Hoja1!$A:$O,5,0)</f>
        <v>2673010</v>
      </c>
      <c r="U19" s="45" t="s">
        <v>2751</v>
      </c>
      <c r="V19" s="46">
        <f t="shared" si="5"/>
        <v>2673010</v>
      </c>
      <c r="W19" s="47" t="s">
        <v>1519</v>
      </c>
      <c r="X19" s="46" t="str">
        <f t="shared" si="6"/>
        <v>2</v>
      </c>
      <c r="Y19" s="47" t="s">
        <v>1518</v>
      </c>
      <c r="Z19" s="46" t="str">
        <f t="shared" si="7"/>
        <v>T</v>
      </c>
      <c r="AA19" s="47" t="s">
        <v>2752</v>
      </c>
      <c r="AB19" s="46" t="str">
        <f t="shared" si="8"/>
        <v>LUNES</v>
      </c>
      <c r="AC19" s="47" t="s">
        <v>2753</v>
      </c>
      <c r="AD19" t="str">
        <f t="shared" si="9"/>
        <v>CONTRATURNO</v>
      </c>
      <c r="AE19" s="47" t="s">
        <v>2754</v>
      </c>
      <c r="AH19" t="str">
        <f t="shared" si="10"/>
        <v>INSERT INTO horario_curso_materia (horario_curso_materia.FK_CUR_mat,horario_curso_materia.FK_HOR,horario_curso_materia.DIA,horario_curso_materia.tipo_turno) VALUES (  (SELECT curso_materia.ID_CUR_MAT FROM curso_materia WHERE curso_materia.CUPOF='2673010' ) ,
    (SELECT horario.ID_HOR FROM horario WHERE horario.modulo='2 ' and horario.turno='T ' ),'LUNES ' , 'CONTRATURNO ' );</v>
      </c>
    </row>
    <row r="20" spans="1:34" ht="15" hidden="1" customHeight="1" x14ac:dyDescent="0.3">
      <c r="A20" s="1" t="str">
        <f t="shared" si="0"/>
        <v>1°1°</v>
      </c>
      <c r="B20" s="54" t="str">
        <f t="shared" si="1"/>
        <v>1°1°2LUTARDE112</v>
      </c>
      <c r="C20" s="62">
        <f>VLOOKUP(G20,[1]Hoja1!$A:$O,3,0)</f>
        <v>112</v>
      </c>
      <c r="D20" s="2" t="str">
        <f t="shared" si="2"/>
        <v>2LUTAULA 4</v>
      </c>
      <c r="E20" s="62" t="s">
        <v>12</v>
      </c>
      <c r="F20" s="62" t="s">
        <v>10</v>
      </c>
      <c r="G20" s="62" t="s">
        <v>14</v>
      </c>
      <c r="H20" s="8" t="str">
        <f>VLOOKUP(G20,[1]Hoja1!$A:$O,6,0)</f>
        <v>LENGUAJES TECNOLOGICOS</v>
      </c>
      <c r="I20" s="4" t="s">
        <v>1485</v>
      </c>
      <c r="J20" s="4"/>
      <c r="K20" s="80" t="str">
        <f t="shared" ref="K20:K83" si="13">RIGHT(E20,2)</f>
        <v>LU</v>
      </c>
      <c r="L20" s="4" t="s">
        <v>512</v>
      </c>
      <c r="M20" s="86" t="str">
        <f>VLOOKUP(G20,[1]Hoja1!$A:$O,15,0)</f>
        <v>LEYES RICARDO</v>
      </c>
      <c r="N20" s="2" t="str">
        <f t="shared" si="4"/>
        <v>1°1°1121TLTLU</v>
      </c>
      <c r="O20" s="2"/>
      <c r="P20" s="2" t="str">
        <f>VLOOKUP(G20,[1]Hoja1!$A:$P,16,0)</f>
        <v xml:space="preserve"> </v>
      </c>
      <c r="Q20" s="2"/>
      <c r="S20">
        <f>VLOOKUP(G20,[1]Hoja1!$A:$O,5,0)</f>
        <v>2673015</v>
      </c>
      <c r="U20" s="45" t="s">
        <v>2751</v>
      </c>
      <c r="V20" s="46">
        <f t="shared" si="5"/>
        <v>2673015</v>
      </c>
      <c r="W20" s="47" t="s">
        <v>1519</v>
      </c>
      <c r="X20" s="46" t="str">
        <f t="shared" si="6"/>
        <v>2</v>
      </c>
      <c r="Y20" s="47" t="s">
        <v>1518</v>
      </c>
      <c r="Z20" s="46" t="str">
        <f t="shared" si="7"/>
        <v>T</v>
      </c>
      <c r="AA20" s="47" t="s">
        <v>2752</v>
      </c>
      <c r="AB20" s="46" t="str">
        <f t="shared" si="8"/>
        <v>LUNES</v>
      </c>
      <c r="AC20" s="47" t="s">
        <v>2753</v>
      </c>
      <c r="AD20" t="str">
        <f t="shared" si="9"/>
        <v>CONTRATURNO</v>
      </c>
      <c r="AE20" s="47" t="s">
        <v>2754</v>
      </c>
      <c r="AH20" t="str">
        <f t="shared" si="10"/>
        <v>INSERT INTO horario_curso_materia (horario_curso_materia.FK_CUR_mat,horario_curso_materia.FK_HOR,horario_curso_materia.DIA,horario_curso_materia.tipo_turno) VALUES (  (SELECT curso_materia.ID_CUR_MAT FROM curso_materia WHERE curso_materia.CUPOF='2673015' ) ,
    (SELECT horario.ID_HOR FROM horario WHERE horario.modulo='2 ' and horario.turno='T ' ),'LUNES ' , 'CONTRATURNO ' );</v>
      </c>
    </row>
    <row r="21" spans="1:34" ht="15" hidden="1" customHeight="1" x14ac:dyDescent="0.3">
      <c r="A21" s="1" t="str">
        <f t="shared" si="0"/>
        <v>1°1°</v>
      </c>
      <c r="B21" s="54" t="str">
        <f t="shared" si="1"/>
        <v>1°1°2MAMAÑANA0</v>
      </c>
      <c r="C21" s="62">
        <f>VLOOKUP(G21,[1]Hoja1!$A:$O,3,0)</f>
        <v>0</v>
      </c>
      <c r="D21" s="2" t="str">
        <f t="shared" si="2"/>
        <v>2MAMPB01</v>
      </c>
      <c r="E21" s="62" t="s">
        <v>19</v>
      </c>
      <c r="F21" s="62" t="s">
        <v>27</v>
      </c>
      <c r="G21" s="62" t="s">
        <v>265</v>
      </c>
      <c r="H21" s="8" t="str">
        <f>VLOOKUP(G21,[1]Hoja1!$A:$O,6,0)</f>
        <v>MATEMATICA</v>
      </c>
      <c r="I21" s="4" t="s">
        <v>1440</v>
      </c>
      <c r="J21" s="4"/>
      <c r="K21" s="80" t="str">
        <f t="shared" si="13"/>
        <v>MA</v>
      </c>
      <c r="L21" s="4"/>
      <c r="M21" s="86" t="str">
        <f>VLOOKUP(G21,[1]Hoja1!$A:$O,15,0)</f>
        <v xml:space="preserve">GONZALEZ M EUGENIA </v>
      </c>
      <c r="N21" s="2" t="str">
        <f t="shared" si="4"/>
        <v>1°1°1MATMA</v>
      </c>
      <c r="O21" s="2"/>
      <c r="P21" s="2" t="str">
        <f>VLOOKUP(G21,[1]Hoja1!$A:$P,16,0)</f>
        <v xml:space="preserve"> </v>
      </c>
      <c r="Q21" s="2"/>
      <c r="S21">
        <f>VLOOKUP(G21,[1]Hoja1!$A:$O,5,0)</f>
        <v>733472</v>
      </c>
      <c r="U21" s="45" t="s">
        <v>2751</v>
      </c>
      <c r="V21" s="46">
        <f t="shared" si="5"/>
        <v>733472</v>
      </c>
      <c r="W21" s="47" t="s">
        <v>1519</v>
      </c>
      <c r="X21" s="46" t="str">
        <f t="shared" si="6"/>
        <v>2</v>
      </c>
      <c r="Y21" s="47" t="s">
        <v>1518</v>
      </c>
      <c r="Z21" s="46" t="str">
        <f t="shared" si="7"/>
        <v>M</v>
      </c>
      <c r="AA21" s="47" t="s">
        <v>2752</v>
      </c>
      <c r="AB21" s="46" t="str">
        <f t="shared" si="8"/>
        <v>MARTES</v>
      </c>
      <c r="AC21" s="47" t="s">
        <v>2753</v>
      </c>
      <c r="AD21">
        <f t="shared" si="9"/>
        <v>0</v>
      </c>
      <c r="AE21" s="47" t="s">
        <v>2754</v>
      </c>
      <c r="AH21" t="str">
        <f t="shared" si="10"/>
        <v>INSERT INTO horario_curso_materia (horario_curso_materia.FK_CUR_mat,horario_curso_materia.FK_HOR,horario_curso_materia.DIA,horario_curso_materia.tipo_turno) VALUES (  (SELECT curso_materia.ID_CUR_MAT FROM curso_materia WHERE curso_materia.CUPOF='733472' ) ,
    (SELECT horario.ID_HOR FROM horario WHERE horario.modulo='2 ' and horario.turno='M ' ),'MARTES ' , '0 ' );</v>
      </c>
    </row>
    <row r="22" spans="1:34" ht="15" hidden="1" customHeight="1" x14ac:dyDescent="0.3">
      <c r="A22" s="1" t="str">
        <f t="shared" si="0"/>
        <v>1°1°</v>
      </c>
      <c r="B22" s="54" t="str">
        <f t="shared" si="1"/>
        <v>1°1°2MIMAÑANA0</v>
      </c>
      <c r="C22" s="62">
        <f>VLOOKUP(G22,[1]Hoja1!$A:$O,3,0)</f>
        <v>0</v>
      </c>
      <c r="D22" s="2" t="str">
        <f t="shared" si="2"/>
        <v>2MIMPB01</v>
      </c>
      <c r="E22" s="62" t="s">
        <v>26</v>
      </c>
      <c r="F22" s="62" t="s">
        <v>27</v>
      </c>
      <c r="G22" s="62" t="s">
        <v>266</v>
      </c>
      <c r="H22" s="8" t="str">
        <f>VLOOKUP(G22,[1]Hoja1!$A:$O,6,0)</f>
        <v>EDUCACION ARTISTICA (PLASTICA)</v>
      </c>
      <c r="I22" s="4" t="s">
        <v>1440</v>
      </c>
      <c r="J22" s="4"/>
      <c r="K22" s="80" t="str">
        <f t="shared" si="13"/>
        <v>MI</v>
      </c>
      <c r="L22" s="4"/>
      <c r="M22" s="86" t="str">
        <f>VLOOKUP(G22,[1]Hoja1!$A:$O,15,0)</f>
        <v xml:space="preserve">DESIMONI, JESICA                       </v>
      </c>
      <c r="N22" s="2" t="str">
        <f t="shared" si="4"/>
        <v>1°1°1ARTMI</v>
      </c>
      <c r="O22" s="2"/>
      <c r="P22" s="2" t="str">
        <f>VLOOKUP(G22,[1]Hoja1!$A:$P,16,0)</f>
        <v xml:space="preserve"> </v>
      </c>
      <c r="Q22" s="2"/>
      <c r="S22">
        <f>VLOOKUP(G22,[1]Hoja1!$A:$O,5,0)</f>
        <v>733478</v>
      </c>
      <c r="U22" s="45" t="s">
        <v>2751</v>
      </c>
      <c r="V22" s="46">
        <f t="shared" si="5"/>
        <v>733478</v>
      </c>
      <c r="W22" s="47" t="s">
        <v>1519</v>
      </c>
      <c r="X22" s="46" t="str">
        <f t="shared" si="6"/>
        <v>2</v>
      </c>
      <c r="Y22" s="47" t="s">
        <v>1518</v>
      </c>
      <c r="Z22" s="46" t="str">
        <f t="shared" si="7"/>
        <v>M</v>
      </c>
      <c r="AA22" s="47" t="s">
        <v>2752</v>
      </c>
      <c r="AB22" s="46" t="str">
        <f t="shared" si="8"/>
        <v>MIERCOLES</v>
      </c>
      <c r="AC22" s="47" t="s">
        <v>2753</v>
      </c>
      <c r="AD22">
        <f t="shared" si="9"/>
        <v>0</v>
      </c>
      <c r="AE22" s="47" t="s">
        <v>2754</v>
      </c>
      <c r="AH22" t="str">
        <f t="shared" si="10"/>
        <v>INSERT INTO horario_curso_materia (horario_curso_materia.FK_CUR_mat,horario_curso_materia.FK_HOR,horario_curso_materia.DIA,horario_curso_materia.tipo_turno) VALUES (  (SELECT curso_materia.ID_CUR_MAT FROM curso_materia WHERE curso_materia.CUPOF='733478' ) ,
    (SELECT horario.ID_HOR FROM horario WHERE horario.modulo='2 ' and horario.turno='M ' ),'MIERCOLES ' , '0 ' );</v>
      </c>
    </row>
    <row r="23" spans="1:34" ht="15" hidden="1" customHeight="1" x14ac:dyDescent="0.3">
      <c r="A23" s="1" t="str">
        <f t="shared" si="0"/>
        <v>1°1°</v>
      </c>
      <c r="B23" s="54" t="str">
        <f t="shared" si="1"/>
        <v>1°1°2juTARDE112</v>
      </c>
      <c r="C23" s="62">
        <f>VLOOKUP(G23,[1]Hoja1!$A:$O,3,0)</f>
        <v>112</v>
      </c>
      <c r="D23" s="2" t="str">
        <f t="shared" si="2"/>
        <v>2juTaula 3</v>
      </c>
      <c r="E23" s="62" t="s">
        <v>1349</v>
      </c>
      <c r="F23" s="62" t="s">
        <v>10</v>
      </c>
      <c r="G23" s="62" t="s">
        <v>25</v>
      </c>
      <c r="H23" s="8" t="str">
        <f>VLOOKUP(G23,[1]Hoja1!$A:$O,6,0)</f>
        <v>SISTEMAS TECNOLOGICOS</v>
      </c>
      <c r="I23" s="4" t="s">
        <v>2774</v>
      </c>
      <c r="J23" s="4"/>
      <c r="K23" s="80" t="str">
        <f t="shared" si="13"/>
        <v>ju</v>
      </c>
      <c r="L23" s="4" t="s">
        <v>512</v>
      </c>
      <c r="M23" s="86" t="str">
        <f>VLOOKUP(G23,[1]Hoja1!$A:$O,15,0)</f>
        <v xml:space="preserve">RODRIGUEZ RAUL         </v>
      </c>
      <c r="N23" s="2" t="str">
        <f t="shared" si="4"/>
        <v>1°1°1121TSTju</v>
      </c>
      <c r="O23" s="2"/>
      <c r="P23" s="2" t="str">
        <f>VLOOKUP(G23,[1]Hoja1!$A:$P,16,0)</f>
        <v xml:space="preserve"> </v>
      </c>
      <c r="Q23" s="2"/>
      <c r="S23">
        <f>VLOOKUP(G23,[1]Hoja1!$A:$O,5,0)</f>
        <v>2673016</v>
      </c>
      <c r="U23" s="45" t="s">
        <v>2751</v>
      </c>
      <c r="V23" s="46">
        <f t="shared" si="5"/>
        <v>2673016</v>
      </c>
      <c r="W23" s="47" t="s">
        <v>1519</v>
      </c>
      <c r="X23" s="46" t="str">
        <f t="shared" si="6"/>
        <v>2</v>
      </c>
      <c r="Y23" s="47" t="s">
        <v>1518</v>
      </c>
      <c r="Z23" s="46" t="str">
        <f t="shared" si="7"/>
        <v>T</v>
      </c>
      <c r="AA23" s="47" t="s">
        <v>2752</v>
      </c>
      <c r="AB23" s="46" t="str">
        <f t="shared" si="8"/>
        <v>JUEVES</v>
      </c>
      <c r="AC23" s="47" t="s">
        <v>2753</v>
      </c>
      <c r="AD23" t="str">
        <f t="shared" si="9"/>
        <v>CONTRATURNO</v>
      </c>
      <c r="AE23" s="47" t="s">
        <v>2754</v>
      </c>
      <c r="AH23" t="str">
        <f t="shared" si="10"/>
        <v>INSERT INTO horario_curso_materia (horario_curso_materia.FK_CUR_mat,horario_curso_materia.FK_HOR,horario_curso_materia.DIA,horario_curso_materia.tipo_turno) VALUES (  (SELECT curso_materia.ID_CUR_MAT FROM curso_materia WHERE curso_materia.CUPOF='2673016' ) ,
    (SELECT horario.ID_HOR FROM horario WHERE horario.modulo='2 ' and horario.turno='T ' ),'JUEVES ' , 'CONTRATURNO ' );</v>
      </c>
    </row>
    <row r="24" spans="1:34" ht="15" hidden="1" customHeight="1" x14ac:dyDescent="0.3">
      <c r="A24" s="1" t="str">
        <f t="shared" si="0"/>
        <v>1°1°</v>
      </c>
      <c r="B24" s="54" t="str">
        <f t="shared" si="1"/>
        <v>1°1°2VIMAÑANA0</v>
      </c>
      <c r="C24" s="62">
        <f>VLOOKUP(G24,[1]Hoja1!$A:$O,3,0)</f>
        <v>0</v>
      </c>
      <c r="D24" s="2" t="str">
        <f t="shared" si="2"/>
        <v>2VIMPB01</v>
      </c>
      <c r="E24" s="62" t="s">
        <v>59</v>
      </c>
      <c r="F24" s="62" t="s">
        <v>27</v>
      </c>
      <c r="G24" s="62" t="s">
        <v>265</v>
      </c>
      <c r="H24" s="8" t="str">
        <f>VLOOKUP(G24,[1]Hoja1!$A:$O,6,0)</f>
        <v>MATEMATICA</v>
      </c>
      <c r="I24" s="4" t="s">
        <v>1440</v>
      </c>
      <c r="J24" s="4"/>
      <c r="K24" s="80" t="str">
        <f t="shared" si="13"/>
        <v>VI</v>
      </c>
      <c r="L24" s="4"/>
      <c r="M24" s="86" t="str">
        <f>VLOOKUP(G24,[1]Hoja1!$A:$O,15,0)</f>
        <v xml:space="preserve">GONZALEZ M EUGENIA </v>
      </c>
      <c r="N24" s="2" t="str">
        <f t="shared" si="4"/>
        <v>1°1°1MATVI</v>
      </c>
      <c r="O24" s="2"/>
      <c r="P24" s="2" t="str">
        <f>VLOOKUP(G24,[1]Hoja1!$A:$P,16,0)</f>
        <v xml:space="preserve"> </v>
      </c>
      <c r="Q24" s="2"/>
      <c r="S24">
        <f>VLOOKUP(G24,[1]Hoja1!$A:$O,5,0)</f>
        <v>733472</v>
      </c>
      <c r="U24" s="45" t="s">
        <v>2751</v>
      </c>
      <c r="V24" s="46">
        <f t="shared" si="5"/>
        <v>733472</v>
      </c>
      <c r="W24" s="47" t="s">
        <v>1519</v>
      </c>
      <c r="X24" s="46" t="str">
        <f t="shared" si="6"/>
        <v>2</v>
      </c>
      <c r="Y24" s="47" t="s">
        <v>1518</v>
      </c>
      <c r="Z24" s="46" t="str">
        <f t="shared" si="7"/>
        <v>M</v>
      </c>
      <c r="AA24" s="47" t="s">
        <v>2752</v>
      </c>
      <c r="AB24" s="46" t="str">
        <f t="shared" si="8"/>
        <v>VIERNES</v>
      </c>
      <c r="AC24" s="47" t="s">
        <v>2753</v>
      </c>
      <c r="AD24">
        <f t="shared" si="9"/>
        <v>0</v>
      </c>
      <c r="AE24" s="47" t="s">
        <v>2754</v>
      </c>
      <c r="AH24" t="str">
        <f t="shared" si="10"/>
        <v>INSERT INTO horario_curso_materia (horario_curso_materia.FK_CUR_mat,horario_curso_materia.FK_HOR,horario_curso_materia.DIA,horario_curso_materia.tipo_turno) VALUES (  (SELECT curso_materia.ID_CUR_MAT FROM curso_materia WHERE curso_materia.CUPOF='733472' ) ,
    (SELECT horario.ID_HOR FROM horario WHERE horario.modulo='2 ' and horario.turno='M ' ),'VIERNES ' , '0 ' );</v>
      </c>
    </row>
    <row r="25" spans="1:34" ht="15" hidden="1" customHeight="1" x14ac:dyDescent="0.3">
      <c r="A25" s="1" t="str">
        <f t="shared" si="0"/>
        <v>1°1°</v>
      </c>
      <c r="B25" s="54" t="str">
        <f t="shared" si="1"/>
        <v>1°1°3JUMAÑANA0</v>
      </c>
      <c r="C25" s="62">
        <f>VLOOKUP(G25,[1]Hoja1!$A:$O,3,0)</f>
        <v>0</v>
      </c>
      <c r="D25" s="2" t="str">
        <f t="shared" si="2"/>
        <v>3JUMPB01</v>
      </c>
      <c r="E25" s="62" t="s">
        <v>46</v>
      </c>
      <c r="F25" s="62" t="s">
        <v>27</v>
      </c>
      <c r="G25" s="62" t="s">
        <v>263</v>
      </c>
      <c r="H25" s="8" t="str">
        <f>VLOOKUP(G25,[1]Hoja1!$A:$O,6,0)</f>
        <v>CIENCIAS NATURALES</v>
      </c>
      <c r="I25" s="4" t="s">
        <v>1440</v>
      </c>
      <c r="J25" s="4"/>
      <c r="K25" s="80" t="str">
        <f t="shared" si="13"/>
        <v>JU</v>
      </c>
      <c r="L25" s="4"/>
      <c r="M25" s="86" t="str">
        <f>VLOOKUP(G25,[1]Hoja1!$A:$O,15,0)</f>
        <v xml:space="preserve">OLIVIERI NESTOR            </v>
      </c>
      <c r="N25" s="2" t="str">
        <f t="shared" si="4"/>
        <v>1°1°1NATJU</v>
      </c>
      <c r="O25" s="2"/>
      <c r="P25" s="2" t="str">
        <f>VLOOKUP(G25,[1]Hoja1!$A:$P,16,0)</f>
        <v xml:space="preserve"> </v>
      </c>
      <c r="Q25" s="2"/>
      <c r="S25">
        <f>VLOOKUP(G25,[1]Hoja1!$A:$O,5,0)</f>
        <v>733442</v>
      </c>
      <c r="U25" s="45" t="s">
        <v>2751</v>
      </c>
      <c r="V25" s="46">
        <f t="shared" si="5"/>
        <v>733442</v>
      </c>
      <c r="W25" s="47" t="s">
        <v>1519</v>
      </c>
      <c r="X25" s="46" t="str">
        <f t="shared" si="6"/>
        <v>3</v>
      </c>
      <c r="Y25" s="47" t="s">
        <v>1518</v>
      </c>
      <c r="Z25" s="46" t="str">
        <f t="shared" si="7"/>
        <v>M</v>
      </c>
      <c r="AA25" s="47" t="s">
        <v>2752</v>
      </c>
      <c r="AB25" s="46" t="str">
        <f t="shared" si="8"/>
        <v>JUEVES</v>
      </c>
      <c r="AC25" s="47" t="s">
        <v>2753</v>
      </c>
      <c r="AD25">
        <f t="shared" si="9"/>
        <v>0</v>
      </c>
      <c r="AE25" s="47" t="s">
        <v>2754</v>
      </c>
      <c r="AH25" t="str">
        <f t="shared" si="10"/>
        <v>INSERT INTO horario_curso_materia (horario_curso_materia.FK_CUR_mat,horario_curso_materia.FK_HOR,horario_curso_materia.DIA,horario_curso_materia.tipo_turno) VALUES (  (SELECT curso_materia.ID_CUR_MAT FROM curso_materia WHERE curso_materia.CUPOF='733442' ) ,
    (SELECT horario.ID_HOR FROM horario WHERE horario.modulo='3 ' and horario.turno='M ' ),'JUEVES ' , '0 ' );</v>
      </c>
    </row>
    <row r="26" spans="1:34" ht="15" hidden="1" customHeight="1" x14ac:dyDescent="0.3">
      <c r="A26" s="1" t="str">
        <f t="shared" si="0"/>
        <v>1°1°</v>
      </c>
      <c r="B26" s="54" t="str">
        <f t="shared" si="1"/>
        <v>1°1°3LUMAÑANA0</v>
      </c>
      <c r="C26" s="62">
        <f>VLOOKUP(G26,[1]Hoja1!$A:$O,3,0)</f>
        <v>0</v>
      </c>
      <c r="D26" s="2" t="str">
        <f t="shared" si="2"/>
        <v>3LUMPB01</v>
      </c>
      <c r="E26" s="62" t="s">
        <v>29</v>
      </c>
      <c r="F26" s="62" t="s">
        <v>27</v>
      </c>
      <c r="G26" s="62" t="s">
        <v>264</v>
      </c>
      <c r="H26" s="8" t="str">
        <f>VLOOKUP(G26,[1]Hoja1!$A:$O,6,0)</f>
        <v>CONSTRUCCION DE LA CIUDADANIA</v>
      </c>
      <c r="I26" s="4" t="s">
        <v>1440</v>
      </c>
      <c r="J26" s="4"/>
      <c r="K26" s="80" t="str">
        <f t="shared" si="13"/>
        <v>LU</v>
      </c>
      <c r="L26" s="4"/>
      <c r="M26" s="86" t="str">
        <f>VLOOKUP(G26,[1]Hoja1!$A:$O,15,0)</f>
        <v>MEDINA</v>
      </c>
      <c r="N26" s="2" t="str">
        <f t="shared" si="4"/>
        <v>1°1°1CCDLU</v>
      </c>
      <c r="O26" s="2"/>
      <c r="P26" s="2" t="str">
        <f>VLOOKUP(G26,[1]Hoja1!$A:$P,16,0)</f>
        <v xml:space="preserve"> </v>
      </c>
      <c r="Q26" s="2"/>
      <c r="S26">
        <f>VLOOKUP(G26,[1]Hoja1!$A:$O,5,0)</f>
        <v>992715</v>
      </c>
      <c r="U26" s="45" t="s">
        <v>2751</v>
      </c>
      <c r="V26" s="46">
        <f t="shared" si="5"/>
        <v>992715</v>
      </c>
      <c r="W26" s="47" t="s">
        <v>1519</v>
      </c>
      <c r="X26" s="46" t="str">
        <f t="shared" si="6"/>
        <v>3</v>
      </c>
      <c r="Y26" s="47" t="s">
        <v>1518</v>
      </c>
      <c r="Z26" s="46" t="str">
        <f t="shared" si="7"/>
        <v>M</v>
      </c>
      <c r="AA26" s="47" t="s">
        <v>2752</v>
      </c>
      <c r="AB26" s="46" t="str">
        <f t="shared" si="8"/>
        <v>LUNES</v>
      </c>
      <c r="AC26" s="47" t="s">
        <v>2753</v>
      </c>
      <c r="AD26">
        <f t="shared" si="9"/>
        <v>0</v>
      </c>
      <c r="AE26" s="47" t="s">
        <v>2754</v>
      </c>
      <c r="AH26" t="str">
        <f t="shared" si="10"/>
        <v>INSERT INTO horario_curso_materia (horario_curso_materia.FK_CUR_mat,horario_curso_materia.FK_HOR,horario_curso_materia.DIA,horario_curso_materia.tipo_turno) VALUES (  (SELECT curso_materia.ID_CUR_MAT FROM curso_materia WHERE curso_materia.CUPOF='992715' ) ,
    (SELECT horario.ID_HOR FROM horario WHERE horario.modulo='3 ' and horario.turno='M ' ),'LUNES ' , '0 ' );</v>
      </c>
    </row>
    <row r="27" spans="1:34" ht="15" hidden="1" customHeight="1" x14ac:dyDescent="0.3">
      <c r="A27" s="1" t="str">
        <f t="shared" si="0"/>
        <v>1°1°</v>
      </c>
      <c r="B27" s="54" t="str">
        <f t="shared" si="1"/>
        <v>1°1°3LUTARDE112</v>
      </c>
      <c r="C27" s="62">
        <f>VLOOKUP(G27,[1]Hoja1!$A:$O,3,0)</f>
        <v>112</v>
      </c>
      <c r="D27" s="2" t="str">
        <f t="shared" si="2"/>
        <v>3LUTHERRERIA</v>
      </c>
      <c r="E27" s="62" t="s">
        <v>29</v>
      </c>
      <c r="F27" s="62" t="s">
        <v>10</v>
      </c>
      <c r="G27" s="62" t="s">
        <v>20</v>
      </c>
      <c r="H27" s="8" t="str">
        <f>VLOOKUP(G27,[1]Hoja1!$A:$O,6,0)</f>
        <v>PROCEDIMIENTOS TECNICOS</v>
      </c>
      <c r="I27" s="4" t="s">
        <v>21</v>
      </c>
      <c r="J27" s="4"/>
      <c r="K27" s="80" t="str">
        <f t="shared" si="13"/>
        <v>LU</v>
      </c>
      <c r="L27" s="4" t="s">
        <v>512</v>
      </c>
      <c r="M27" s="86" t="str">
        <f>VLOOKUP(G27,[1]Hoja1!$A:$O,15,0)</f>
        <v xml:space="preserve">LEYES RICARDO              </v>
      </c>
      <c r="N27" s="2" t="str">
        <f t="shared" si="4"/>
        <v>1°1°1121TPTLU</v>
      </c>
      <c r="O27" s="2"/>
      <c r="P27" s="2" t="str">
        <f>VLOOKUP(G27,[1]Hoja1!$A:$P,16,0)</f>
        <v xml:space="preserve"> </v>
      </c>
      <c r="Q27" s="2"/>
      <c r="S27">
        <f>VLOOKUP(G27,[1]Hoja1!$A:$O,5,0)</f>
        <v>2673017</v>
      </c>
      <c r="U27" s="45" t="s">
        <v>2751</v>
      </c>
      <c r="V27" s="46">
        <f t="shared" si="5"/>
        <v>2673017</v>
      </c>
      <c r="W27" s="47" t="s">
        <v>1519</v>
      </c>
      <c r="X27" s="46" t="str">
        <f t="shared" si="6"/>
        <v>3</v>
      </c>
      <c r="Y27" s="47" t="s">
        <v>1518</v>
      </c>
      <c r="Z27" s="46" t="str">
        <f t="shared" si="7"/>
        <v>T</v>
      </c>
      <c r="AA27" s="47" t="s">
        <v>2752</v>
      </c>
      <c r="AB27" s="46" t="str">
        <f t="shared" si="8"/>
        <v>LUNES</v>
      </c>
      <c r="AC27" s="47" t="s">
        <v>2753</v>
      </c>
      <c r="AD27" t="str">
        <f t="shared" si="9"/>
        <v>CONTRATURNO</v>
      </c>
      <c r="AE27" s="47" t="s">
        <v>2754</v>
      </c>
      <c r="AH27" t="str">
        <f t="shared" si="10"/>
        <v>INSERT INTO horario_curso_materia (horario_curso_materia.FK_CUR_mat,horario_curso_materia.FK_HOR,horario_curso_materia.DIA,horario_curso_materia.tipo_turno) VALUES (  (SELECT curso_materia.ID_CUR_MAT FROM curso_materia WHERE curso_materia.CUPOF='2673017' ) ,
    (SELECT horario.ID_HOR FROM horario WHERE horario.modulo='3 ' and horario.turno='T ' ),'LUNES ' , 'CONTRATURNO ' );</v>
      </c>
    </row>
    <row r="28" spans="1:34" ht="15" hidden="1" customHeight="1" x14ac:dyDescent="0.3">
      <c r="A28" s="1" t="str">
        <f t="shared" si="0"/>
        <v>1°1°</v>
      </c>
      <c r="B28" s="54" t="str">
        <f t="shared" si="1"/>
        <v>1°1°3maMAÑANA0</v>
      </c>
      <c r="C28" s="62">
        <f>VLOOKUP(G28,[1]Hoja1!$A:$O,3,0)</f>
        <v>0</v>
      </c>
      <c r="D28" s="2" t="str">
        <f t="shared" si="2"/>
        <v>3maMPB01</v>
      </c>
      <c r="E28" s="62" t="s">
        <v>1334</v>
      </c>
      <c r="F28" s="62" t="s">
        <v>27</v>
      </c>
      <c r="G28" s="62" t="s">
        <v>268</v>
      </c>
      <c r="H28" s="8" t="str">
        <f>VLOOKUP(G28,[1]Hoja1!$A:$O,6,0)</f>
        <v>PRACTICA DEL LENGUAJE</v>
      </c>
      <c r="I28" s="4" t="s">
        <v>1440</v>
      </c>
      <c r="J28" s="4"/>
      <c r="K28" s="80" t="str">
        <f t="shared" si="13"/>
        <v>ma</v>
      </c>
      <c r="L28" s="4"/>
      <c r="M28" s="86" t="str">
        <f>VLOOKUP(G28,[1]Hoja1!$A:$O,15,0)</f>
        <v>ZURITA REINA</v>
      </c>
      <c r="N28" s="2" t="str">
        <f t="shared" si="4"/>
        <v>1°1°1LENma</v>
      </c>
      <c r="O28" s="2"/>
      <c r="P28" s="2" t="str">
        <f>VLOOKUP(G28,[1]Hoja1!$A:$P,16,0)</f>
        <v xml:space="preserve"> </v>
      </c>
      <c r="Q28" s="2"/>
      <c r="S28">
        <f>VLOOKUP(G28,[1]Hoja1!$A:$O,5,0)</f>
        <v>733465</v>
      </c>
      <c r="U28" s="45" t="s">
        <v>2751</v>
      </c>
      <c r="V28" s="46">
        <f t="shared" si="5"/>
        <v>733465</v>
      </c>
      <c r="W28" s="47" t="s">
        <v>1519</v>
      </c>
      <c r="X28" s="46" t="str">
        <f t="shared" si="6"/>
        <v>3</v>
      </c>
      <c r="Y28" s="47" t="s">
        <v>1518</v>
      </c>
      <c r="Z28" s="46" t="str">
        <f t="shared" si="7"/>
        <v>M</v>
      </c>
      <c r="AA28" s="47" t="s">
        <v>2752</v>
      </c>
      <c r="AB28" s="46" t="str">
        <f t="shared" si="8"/>
        <v>MARTES</v>
      </c>
      <c r="AC28" s="47" t="s">
        <v>2753</v>
      </c>
      <c r="AD28">
        <f t="shared" si="9"/>
        <v>0</v>
      </c>
      <c r="AE28" s="47" t="s">
        <v>2754</v>
      </c>
      <c r="AH28" t="str">
        <f t="shared" si="10"/>
        <v>INSERT INTO horario_curso_materia (horario_curso_materia.FK_CUR_mat,horario_curso_materia.FK_HOR,horario_curso_materia.DIA,horario_curso_materia.tipo_turno) VALUES (  (SELECT curso_materia.ID_CUR_MAT FROM curso_materia WHERE curso_materia.CUPOF='733465' ) ,
    (SELECT horario.ID_HOR FROM horario WHERE horario.modulo='3 ' and horario.turno='M ' ),'MARTES ' , '0 ' );</v>
      </c>
    </row>
    <row r="29" spans="1:34" ht="15" hidden="1" customHeight="1" x14ac:dyDescent="0.3">
      <c r="A29" s="1" t="str">
        <f t="shared" si="0"/>
        <v>1°1°</v>
      </c>
      <c r="B29" s="54" t="str">
        <f t="shared" si="1"/>
        <v>1°1°3MATARDE111</v>
      </c>
      <c r="C29" s="62">
        <f>VLOOKUP(G29,[1]Hoja1!$A:$O,3,0)</f>
        <v>111</v>
      </c>
      <c r="D29" s="2" t="str">
        <f t="shared" si="2"/>
        <v>3MATHERRERIA</v>
      </c>
      <c r="E29" s="62" t="s">
        <v>13</v>
      </c>
      <c r="F29" s="62" t="s">
        <v>10</v>
      </c>
      <c r="G29" s="62" t="s">
        <v>22</v>
      </c>
      <c r="H29" s="8" t="str">
        <f>VLOOKUP(G29,[1]Hoja1!$A:$O,6,0)</f>
        <v>PROCEDIMIENTOS TECNICOS</v>
      </c>
      <c r="I29" s="4" t="s">
        <v>21</v>
      </c>
      <c r="J29" s="4"/>
      <c r="K29" s="80" t="str">
        <f t="shared" si="13"/>
        <v>MA</v>
      </c>
      <c r="L29" s="4" t="s">
        <v>512</v>
      </c>
      <c r="M29" s="86" t="str">
        <f>VLOOKUP(G29,[1]Hoja1!$A:$O,15,0)</f>
        <v>LUCAS NICOLÁS ARGÜELLO</v>
      </c>
      <c r="N29" s="2" t="str">
        <f t="shared" si="4"/>
        <v>1°1°1111TPTMA</v>
      </c>
      <c r="O29" s="2"/>
      <c r="P29" s="2" t="str">
        <f>VLOOKUP(G29,[1]Hoja1!$A:$P,16,0)</f>
        <v xml:space="preserve"> </v>
      </c>
      <c r="Q29" s="2"/>
      <c r="S29">
        <f>VLOOKUP(G29,[1]Hoja1!$A:$O,5,0)</f>
        <v>2673013</v>
      </c>
      <c r="U29" s="45" t="s">
        <v>2751</v>
      </c>
      <c r="V29" s="46">
        <f t="shared" si="5"/>
        <v>2673013</v>
      </c>
      <c r="W29" s="47" t="s">
        <v>1519</v>
      </c>
      <c r="X29" s="46" t="str">
        <f t="shared" si="6"/>
        <v>3</v>
      </c>
      <c r="Y29" s="47" t="s">
        <v>1518</v>
      </c>
      <c r="Z29" s="46" t="str">
        <f t="shared" si="7"/>
        <v>T</v>
      </c>
      <c r="AA29" s="47" t="s">
        <v>2752</v>
      </c>
      <c r="AB29" s="46" t="str">
        <f t="shared" si="8"/>
        <v>MARTES</v>
      </c>
      <c r="AC29" s="47" t="s">
        <v>2753</v>
      </c>
      <c r="AD29" t="str">
        <f t="shared" si="9"/>
        <v>CONTRATURNO</v>
      </c>
      <c r="AE29" s="47" t="s">
        <v>2754</v>
      </c>
      <c r="AH29" t="str">
        <f t="shared" si="10"/>
        <v>INSERT INTO horario_curso_materia (horario_curso_materia.FK_CUR_mat,horario_curso_materia.FK_HOR,horario_curso_materia.DIA,horario_curso_materia.tipo_turno) VALUES (  (SELECT curso_materia.ID_CUR_MAT FROM curso_materia WHERE curso_materia.CUPOF='2673013' ) ,
    (SELECT horario.ID_HOR FROM horario WHERE horario.modulo='3 ' and horario.turno='T ' ),'MARTES ' , 'CONTRATURNO ' );</v>
      </c>
    </row>
    <row r="30" spans="1:34" ht="15" hidden="1" customHeight="1" x14ac:dyDescent="0.3">
      <c r="A30" s="1" t="str">
        <f t="shared" si="0"/>
        <v>1°1°</v>
      </c>
      <c r="B30" s="54" t="str">
        <f t="shared" si="1"/>
        <v>1°1°3MIMAÑANA0</v>
      </c>
      <c r="C30" s="62">
        <f>VLOOKUP(G30,[1]Hoja1!$A:$O,3,0)</f>
        <v>0</v>
      </c>
      <c r="D30" s="2" t="str">
        <f t="shared" si="2"/>
        <v>3MIMPB01</v>
      </c>
      <c r="E30" s="62" t="s">
        <v>50</v>
      </c>
      <c r="F30" s="62" t="s">
        <v>27</v>
      </c>
      <c r="G30" s="62" t="s">
        <v>267</v>
      </c>
      <c r="H30" s="8" t="str">
        <f>VLOOKUP(G30,[1]Hoja1!$A:$O,6,0)</f>
        <v>CIENCIAS SOCIALES</v>
      </c>
      <c r="I30" s="4" t="s">
        <v>1440</v>
      </c>
      <c r="J30" s="4"/>
      <c r="K30" s="80" t="str">
        <f t="shared" si="13"/>
        <v>MI</v>
      </c>
      <c r="L30" s="4"/>
      <c r="M30" s="86" t="str">
        <f>VLOOKUP(G30,[1]Hoja1!$A:$O,15,0)</f>
        <v>PEREYRA, DANIEL</v>
      </c>
      <c r="N30" s="2" t="str">
        <f t="shared" si="4"/>
        <v>1°1°1SOCMI</v>
      </c>
      <c r="O30" s="2"/>
      <c r="P30" s="2" t="str">
        <f>VLOOKUP(G30,[1]Hoja1!$A:$P,16,0)</f>
        <v xml:space="preserve"> </v>
      </c>
      <c r="Q30" s="2"/>
      <c r="S30">
        <f>VLOOKUP(G30,[1]Hoja1!$A:$O,5,0)</f>
        <v>733445</v>
      </c>
      <c r="U30" s="45" t="s">
        <v>2751</v>
      </c>
      <c r="V30" s="46">
        <f t="shared" si="5"/>
        <v>733445</v>
      </c>
      <c r="W30" s="47" t="s">
        <v>1519</v>
      </c>
      <c r="X30" s="46" t="str">
        <f t="shared" si="6"/>
        <v>3</v>
      </c>
      <c r="Y30" s="47" t="s">
        <v>1518</v>
      </c>
      <c r="Z30" s="46" t="str">
        <f t="shared" si="7"/>
        <v>M</v>
      </c>
      <c r="AA30" s="47" t="s">
        <v>2752</v>
      </c>
      <c r="AB30" s="46" t="str">
        <f t="shared" si="8"/>
        <v>MIERCOLES</v>
      </c>
      <c r="AC30" s="47" t="s">
        <v>2753</v>
      </c>
      <c r="AD30">
        <f t="shared" si="9"/>
        <v>0</v>
      </c>
      <c r="AE30" s="47" t="s">
        <v>2754</v>
      </c>
      <c r="AH30" t="str">
        <f t="shared" si="10"/>
        <v>INSERT INTO horario_curso_materia (horario_curso_materia.FK_CUR_mat,horario_curso_materia.FK_HOR,horario_curso_materia.DIA,horario_curso_materia.tipo_turno) VALUES (  (SELECT curso_materia.ID_CUR_MAT FROM curso_materia WHERE curso_materia.CUPOF='733445' ) ,
    (SELECT horario.ID_HOR FROM horario WHERE horario.modulo='3 ' and horario.turno='M ' ),'MIERCOLES ' , '0 ' );</v>
      </c>
    </row>
    <row r="31" spans="1:34" ht="15" hidden="1" customHeight="1" x14ac:dyDescent="0.3">
      <c r="A31" s="1" t="str">
        <f t="shared" si="0"/>
        <v>1°1°</v>
      </c>
      <c r="B31" s="54" t="str">
        <f t="shared" si="1"/>
        <v>1°1°3viMAÑANA0</v>
      </c>
      <c r="C31" s="62">
        <f>VLOOKUP(G31,[1]Hoja1!$A:$O,3,0)</f>
        <v>0</v>
      </c>
      <c r="D31" s="2" t="str">
        <f t="shared" si="2"/>
        <v>3viMPB01</v>
      </c>
      <c r="E31" s="62" t="s">
        <v>1336</v>
      </c>
      <c r="F31" s="62" t="s">
        <v>27</v>
      </c>
      <c r="G31" s="62" t="s">
        <v>268</v>
      </c>
      <c r="H31" s="8" t="str">
        <f>VLOOKUP(G31,[1]Hoja1!$A:$O,6,0)</f>
        <v>PRACTICA DEL LENGUAJE</v>
      </c>
      <c r="I31" s="4" t="s">
        <v>1440</v>
      </c>
      <c r="J31" s="4"/>
      <c r="K31" s="80" t="str">
        <f t="shared" si="13"/>
        <v>vi</v>
      </c>
      <c r="L31" s="4"/>
      <c r="M31" s="86" t="str">
        <f>VLOOKUP(G31,[1]Hoja1!$A:$O,15,0)</f>
        <v>ZURITA REINA</v>
      </c>
      <c r="N31" s="2" t="str">
        <f t="shared" si="4"/>
        <v>1°1°1LENvi</v>
      </c>
      <c r="O31" s="2"/>
      <c r="P31" s="2" t="str">
        <f>VLOOKUP(G31,[1]Hoja1!$A:$P,16,0)</f>
        <v xml:space="preserve"> </v>
      </c>
      <c r="Q31" s="2"/>
      <c r="S31">
        <f>VLOOKUP(G31,[1]Hoja1!$A:$O,5,0)</f>
        <v>733465</v>
      </c>
      <c r="U31" s="45" t="s">
        <v>2751</v>
      </c>
      <c r="V31" s="46">
        <f t="shared" si="5"/>
        <v>733465</v>
      </c>
      <c r="W31" s="47" t="s">
        <v>1519</v>
      </c>
      <c r="X31" s="46" t="str">
        <f t="shared" si="6"/>
        <v>3</v>
      </c>
      <c r="Y31" s="47" t="s">
        <v>1518</v>
      </c>
      <c r="Z31" s="46" t="str">
        <f t="shared" si="7"/>
        <v>M</v>
      </c>
      <c r="AA31" s="47" t="s">
        <v>2752</v>
      </c>
      <c r="AB31" s="46" t="str">
        <f t="shared" si="8"/>
        <v>VIERNES</v>
      </c>
      <c r="AC31" s="47" t="s">
        <v>2753</v>
      </c>
      <c r="AD31">
        <f t="shared" si="9"/>
        <v>0</v>
      </c>
      <c r="AE31" s="47" t="s">
        <v>2754</v>
      </c>
      <c r="AH31" t="str">
        <f t="shared" si="10"/>
        <v>INSERT INTO horario_curso_materia (horario_curso_materia.FK_CUR_mat,horario_curso_materia.FK_HOR,horario_curso_materia.DIA,horario_curso_materia.tipo_turno) VALUES (  (SELECT curso_materia.ID_CUR_MAT FROM curso_materia WHERE curso_materia.CUPOF='733465' ) ,
    (SELECT horario.ID_HOR FROM horario WHERE horario.modulo='3 ' and horario.turno='M ' ),'VIERNES ' , '0 ' );</v>
      </c>
    </row>
    <row r="32" spans="1:34" ht="15" hidden="1" customHeight="1" x14ac:dyDescent="0.3">
      <c r="A32" s="1" t="str">
        <f t="shared" si="0"/>
        <v>1°1°</v>
      </c>
      <c r="B32" s="54" t="str">
        <f t="shared" si="1"/>
        <v>1°1°4JUMAÑANA0</v>
      </c>
      <c r="C32" s="62">
        <f>VLOOKUP(G32,[1]Hoja1!$A:$O,3,0)</f>
        <v>0</v>
      </c>
      <c r="D32" s="2" t="str">
        <f t="shared" si="2"/>
        <v>4JUMPB01</v>
      </c>
      <c r="E32" s="62" t="s">
        <v>48</v>
      </c>
      <c r="F32" s="62" t="s">
        <v>27</v>
      </c>
      <c r="G32" s="62" t="s">
        <v>263</v>
      </c>
      <c r="H32" s="8" t="str">
        <f>VLOOKUP(G32,[1]Hoja1!$A:$O,6,0)</f>
        <v>CIENCIAS NATURALES</v>
      </c>
      <c r="I32" s="4" t="s">
        <v>1440</v>
      </c>
      <c r="J32" s="4"/>
      <c r="K32" s="80" t="str">
        <f t="shared" si="13"/>
        <v>JU</v>
      </c>
      <c r="L32" s="4"/>
      <c r="M32" s="86" t="str">
        <f>VLOOKUP(G32,[1]Hoja1!$A:$O,15,0)</f>
        <v xml:space="preserve">OLIVIERI NESTOR            </v>
      </c>
      <c r="N32" s="2" t="str">
        <f t="shared" si="4"/>
        <v>1°1°1NATJU</v>
      </c>
      <c r="O32" s="2"/>
      <c r="P32" s="2" t="str">
        <f>VLOOKUP(G32,[1]Hoja1!$A:$P,16,0)</f>
        <v xml:space="preserve"> </v>
      </c>
      <c r="Q32" s="2"/>
      <c r="S32">
        <f>VLOOKUP(G32,[1]Hoja1!$A:$O,5,0)</f>
        <v>733442</v>
      </c>
      <c r="U32" s="45" t="s">
        <v>2751</v>
      </c>
      <c r="V32" s="46">
        <f t="shared" si="5"/>
        <v>733442</v>
      </c>
      <c r="W32" s="47" t="s">
        <v>1519</v>
      </c>
      <c r="X32" s="46" t="str">
        <f t="shared" si="6"/>
        <v>4</v>
      </c>
      <c r="Y32" s="47" t="s">
        <v>1518</v>
      </c>
      <c r="Z32" s="46" t="str">
        <f t="shared" si="7"/>
        <v>M</v>
      </c>
      <c r="AA32" s="47" t="s">
        <v>2752</v>
      </c>
      <c r="AB32" s="46" t="str">
        <f t="shared" si="8"/>
        <v>JUEVES</v>
      </c>
      <c r="AC32" s="47" t="s">
        <v>2753</v>
      </c>
      <c r="AD32">
        <f t="shared" si="9"/>
        <v>0</v>
      </c>
      <c r="AE32" s="47" t="s">
        <v>2754</v>
      </c>
      <c r="AH32" t="str">
        <f t="shared" si="10"/>
        <v>INSERT INTO horario_curso_materia (horario_curso_materia.FK_CUR_mat,horario_curso_materia.FK_HOR,horario_curso_materia.DIA,horario_curso_materia.tipo_turno) VALUES (  (SELECT curso_materia.ID_CUR_MAT FROM curso_materia WHERE curso_materia.CUPOF='733442' ) ,
    (SELECT horario.ID_HOR FROM horario WHERE horario.modulo='4 ' and horario.turno='M ' ),'JUEVES ' , '0 ' );</v>
      </c>
    </row>
    <row r="33" spans="1:34" ht="15" hidden="1" customHeight="1" x14ac:dyDescent="0.3">
      <c r="A33" s="1" t="str">
        <f t="shared" si="0"/>
        <v>1°1°</v>
      </c>
      <c r="B33" s="54" t="str">
        <f t="shared" si="1"/>
        <v>1°1°4LUMAÑANA0</v>
      </c>
      <c r="C33" s="62">
        <f>VLOOKUP(G33,[1]Hoja1!$A:$O,3,0)</f>
        <v>0</v>
      </c>
      <c r="D33" s="2" t="str">
        <f t="shared" si="2"/>
        <v>4LUMPB01</v>
      </c>
      <c r="E33" s="62" t="s">
        <v>31</v>
      </c>
      <c r="F33" s="62" t="s">
        <v>27</v>
      </c>
      <c r="G33" s="62" t="s">
        <v>264</v>
      </c>
      <c r="H33" s="8" t="str">
        <f>VLOOKUP(G33,[1]Hoja1!$A:$O,6,0)</f>
        <v>CONSTRUCCION DE LA CIUDADANIA</v>
      </c>
      <c r="I33" s="4" t="s">
        <v>1440</v>
      </c>
      <c r="J33" s="4"/>
      <c r="K33" s="80" t="str">
        <f t="shared" si="13"/>
        <v>LU</v>
      </c>
      <c r="L33" s="4"/>
      <c r="M33" s="86" t="str">
        <f>VLOOKUP(G33,[1]Hoja1!$A:$O,15,0)</f>
        <v>MEDINA</v>
      </c>
      <c r="N33" s="2" t="str">
        <f t="shared" si="4"/>
        <v>1°1°1CCDLU</v>
      </c>
      <c r="O33" s="2"/>
      <c r="P33" s="2" t="str">
        <f>VLOOKUP(G33,[1]Hoja1!$A:$P,16,0)</f>
        <v xml:space="preserve"> </v>
      </c>
      <c r="Q33" s="2"/>
      <c r="S33">
        <f>VLOOKUP(G33,[1]Hoja1!$A:$O,5,0)</f>
        <v>992715</v>
      </c>
      <c r="U33" s="45" t="s">
        <v>2751</v>
      </c>
      <c r="V33" s="46">
        <f t="shared" si="5"/>
        <v>992715</v>
      </c>
      <c r="W33" s="47" t="s">
        <v>1519</v>
      </c>
      <c r="X33" s="46" t="str">
        <f t="shared" si="6"/>
        <v>4</v>
      </c>
      <c r="Y33" s="47" t="s">
        <v>1518</v>
      </c>
      <c r="Z33" s="46" t="str">
        <f t="shared" si="7"/>
        <v>M</v>
      </c>
      <c r="AA33" s="47" t="s">
        <v>2752</v>
      </c>
      <c r="AB33" s="46" t="str">
        <f t="shared" si="8"/>
        <v>LUNES</v>
      </c>
      <c r="AC33" s="47" t="s">
        <v>2753</v>
      </c>
      <c r="AD33">
        <f t="shared" si="9"/>
        <v>0</v>
      </c>
      <c r="AE33" s="47" t="s">
        <v>2754</v>
      </c>
      <c r="AH33" t="str">
        <f t="shared" si="10"/>
        <v>INSERT INTO horario_curso_materia (horario_curso_materia.FK_CUR_mat,horario_curso_materia.FK_HOR,horario_curso_materia.DIA,horario_curso_materia.tipo_turno) VALUES (  (SELECT curso_materia.ID_CUR_MAT FROM curso_materia WHERE curso_materia.CUPOF='992715' ) ,
    (SELECT horario.ID_HOR FROM horario WHERE horario.modulo='4 ' and horario.turno='M ' ),'LUNES ' , '0 ' );</v>
      </c>
    </row>
    <row r="34" spans="1:34" ht="15" hidden="1" customHeight="1" x14ac:dyDescent="0.3">
      <c r="A34" s="1" t="str">
        <f t="shared" si="0"/>
        <v>1°1°</v>
      </c>
      <c r="B34" s="54" t="str">
        <f t="shared" si="1"/>
        <v>1°1°4LUTARDE112</v>
      </c>
      <c r="C34" s="62">
        <f>VLOOKUP(G34,[1]Hoja1!$A:$O,3,0)</f>
        <v>112</v>
      </c>
      <c r="D34" s="2" t="str">
        <f t="shared" si="2"/>
        <v>4LUTHERRERIA</v>
      </c>
      <c r="E34" s="62" t="s">
        <v>31</v>
      </c>
      <c r="F34" s="62" t="s">
        <v>10</v>
      </c>
      <c r="G34" s="62" t="s">
        <v>20</v>
      </c>
      <c r="H34" s="8" t="str">
        <f>VLOOKUP(G34,[1]Hoja1!$A:$O,6,0)</f>
        <v>PROCEDIMIENTOS TECNICOS</v>
      </c>
      <c r="I34" s="4" t="s">
        <v>21</v>
      </c>
      <c r="J34" s="4"/>
      <c r="K34" s="80" t="str">
        <f t="shared" si="13"/>
        <v>LU</v>
      </c>
      <c r="L34" s="4" t="s">
        <v>512</v>
      </c>
      <c r="M34" s="86" t="str">
        <f>VLOOKUP(G34,[1]Hoja1!$A:$O,15,0)</f>
        <v xml:space="preserve">LEYES RICARDO              </v>
      </c>
      <c r="N34" s="2" t="str">
        <f t="shared" si="4"/>
        <v>1°1°1121TPTLU</v>
      </c>
      <c r="O34" s="2"/>
      <c r="P34" s="2" t="str">
        <f>VLOOKUP(G34,[1]Hoja1!$A:$P,16,0)</f>
        <v xml:space="preserve"> </v>
      </c>
      <c r="Q34" s="2"/>
      <c r="S34">
        <f>VLOOKUP(G34,[1]Hoja1!$A:$O,5,0)</f>
        <v>2673017</v>
      </c>
      <c r="U34" s="45" t="s">
        <v>2751</v>
      </c>
      <c r="V34" s="46">
        <f t="shared" si="5"/>
        <v>2673017</v>
      </c>
      <c r="W34" s="47" t="s">
        <v>1519</v>
      </c>
      <c r="X34" s="46" t="str">
        <f t="shared" si="6"/>
        <v>4</v>
      </c>
      <c r="Y34" s="47" t="s">
        <v>1518</v>
      </c>
      <c r="Z34" s="46" t="str">
        <f t="shared" si="7"/>
        <v>T</v>
      </c>
      <c r="AA34" s="47" t="s">
        <v>2752</v>
      </c>
      <c r="AB34" s="46" t="str">
        <f t="shared" si="8"/>
        <v>LUNES</v>
      </c>
      <c r="AC34" s="47" t="s">
        <v>2753</v>
      </c>
      <c r="AD34" t="str">
        <f t="shared" si="9"/>
        <v>CONTRATURNO</v>
      </c>
      <c r="AE34" s="47" t="s">
        <v>2754</v>
      </c>
      <c r="AH34" t="str">
        <f t="shared" si="10"/>
        <v>INSERT INTO horario_curso_materia (horario_curso_materia.FK_CUR_mat,horario_curso_materia.FK_HOR,horario_curso_materia.DIA,horario_curso_materia.tipo_turno) VALUES (  (SELECT curso_materia.ID_CUR_MAT FROM curso_materia WHERE curso_materia.CUPOF='2673017' ) ,
    (SELECT horario.ID_HOR FROM horario WHERE horario.modulo='4 ' and horario.turno='T ' ),'LUNES ' , 'CONTRATURNO ' );</v>
      </c>
    </row>
    <row r="35" spans="1:34" ht="15" hidden="1" customHeight="1" x14ac:dyDescent="0.3">
      <c r="A35" s="1" t="str">
        <f t="shared" si="0"/>
        <v>1°1°</v>
      </c>
      <c r="B35" s="54" t="str">
        <f t="shared" si="1"/>
        <v>1°1°4maMAÑANA0</v>
      </c>
      <c r="C35" s="62">
        <f>VLOOKUP(G35,[1]Hoja1!$A:$O,3,0)</f>
        <v>0</v>
      </c>
      <c r="D35" s="2" t="str">
        <f t="shared" si="2"/>
        <v>4maMPB01</v>
      </c>
      <c r="E35" s="62" t="s">
        <v>1335</v>
      </c>
      <c r="F35" s="62" t="s">
        <v>27</v>
      </c>
      <c r="G35" s="62" t="s">
        <v>268</v>
      </c>
      <c r="H35" s="8" t="str">
        <f>VLOOKUP(G35,[1]Hoja1!$A:$O,6,0)</f>
        <v>PRACTICA DEL LENGUAJE</v>
      </c>
      <c r="I35" s="4" t="s">
        <v>1440</v>
      </c>
      <c r="J35" s="4"/>
      <c r="K35" s="80" t="str">
        <f t="shared" si="13"/>
        <v>ma</v>
      </c>
      <c r="L35" s="4"/>
      <c r="M35" s="86" t="str">
        <f>VLOOKUP(G35,[1]Hoja1!$A:$O,15,0)</f>
        <v>ZURITA REINA</v>
      </c>
      <c r="N35" s="2" t="str">
        <f t="shared" si="4"/>
        <v>1°1°1LENma</v>
      </c>
      <c r="O35" s="2"/>
      <c r="P35" s="2" t="str">
        <f>VLOOKUP(G35,[1]Hoja1!$A:$P,16,0)</f>
        <v xml:space="preserve"> </v>
      </c>
      <c r="Q35" s="2"/>
      <c r="S35">
        <f>VLOOKUP(G35,[1]Hoja1!$A:$O,5,0)</f>
        <v>733465</v>
      </c>
      <c r="U35" s="45" t="s">
        <v>2751</v>
      </c>
      <c r="V35" s="46">
        <f t="shared" si="5"/>
        <v>733465</v>
      </c>
      <c r="W35" s="47" t="s">
        <v>1519</v>
      </c>
      <c r="X35" s="46" t="str">
        <f t="shared" si="6"/>
        <v>4</v>
      </c>
      <c r="Y35" s="47" t="s">
        <v>1518</v>
      </c>
      <c r="Z35" s="46" t="str">
        <f t="shared" si="7"/>
        <v>M</v>
      </c>
      <c r="AA35" s="47" t="s">
        <v>2752</v>
      </c>
      <c r="AB35" s="46" t="str">
        <f t="shared" si="8"/>
        <v>MARTES</v>
      </c>
      <c r="AC35" s="47" t="s">
        <v>2753</v>
      </c>
      <c r="AD35">
        <f t="shared" si="9"/>
        <v>0</v>
      </c>
      <c r="AE35" s="47" t="s">
        <v>2754</v>
      </c>
      <c r="AH35" t="str">
        <f t="shared" si="10"/>
        <v>INSERT INTO horario_curso_materia (horario_curso_materia.FK_CUR_mat,horario_curso_materia.FK_HOR,horario_curso_materia.DIA,horario_curso_materia.tipo_turno) VALUES (  (SELECT curso_materia.ID_CUR_MAT FROM curso_materia WHERE curso_materia.CUPOF='733465' ) ,
    (SELECT horario.ID_HOR FROM horario WHERE horario.modulo='4 ' and horario.turno='M ' ),'MARTES ' , '0 ' );</v>
      </c>
    </row>
    <row r="36" spans="1:34" ht="15" hidden="1" customHeight="1" x14ac:dyDescent="0.3">
      <c r="A36" s="1" t="str">
        <f t="shared" si="0"/>
        <v>1°1°</v>
      </c>
      <c r="B36" s="54" t="str">
        <f t="shared" si="1"/>
        <v>1°1°4MATARDE111</v>
      </c>
      <c r="C36" s="62">
        <f>VLOOKUP(G36,[1]Hoja1!$A:$O,3,0)</f>
        <v>111</v>
      </c>
      <c r="D36" s="2" t="str">
        <f t="shared" si="2"/>
        <v>4MATHERRERIA</v>
      </c>
      <c r="E36" s="62" t="s">
        <v>16</v>
      </c>
      <c r="F36" s="62" t="s">
        <v>10</v>
      </c>
      <c r="G36" s="62" t="s">
        <v>22</v>
      </c>
      <c r="H36" s="8" t="str">
        <f>VLOOKUP(G36,[1]Hoja1!$A:$O,6,0)</f>
        <v>PROCEDIMIENTOS TECNICOS</v>
      </c>
      <c r="I36" s="4" t="s">
        <v>21</v>
      </c>
      <c r="J36" s="4"/>
      <c r="K36" s="80" t="str">
        <f t="shared" si="13"/>
        <v>MA</v>
      </c>
      <c r="L36" s="4" t="s">
        <v>512</v>
      </c>
      <c r="M36" s="86" t="str">
        <f>VLOOKUP(G36,[1]Hoja1!$A:$O,15,0)</f>
        <v>LUCAS NICOLÁS ARGÜELLO</v>
      </c>
      <c r="N36" s="2" t="str">
        <f t="shared" si="4"/>
        <v>1°1°1111TPTMA</v>
      </c>
      <c r="O36" s="2"/>
      <c r="P36" s="2" t="str">
        <f>VLOOKUP(G36,[1]Hoja1!$A:$P,16,0)</f>
        <v xml:space="preserve"> </v>
      </c>
      <c r="Q36" s="2"/>
      <c r="S36">
        <f>VLOOKUP(G36,[1]Hoja1!$A:$O,5,0)</f>
        <v>2673013</v>
      </c>
      <c r="U36" s="45" t="s">
        <v>2751</v>
      </c>
      <c r="V36" s="46">
        <f t="shared" si="5"/>
        <v>2673013</v>
      </c>
      <c r="W36" s="47" t="s">
        <v>1519</v>
      </c>
      <c r="X36" s="46" t="str">
        <f t="shared" si="6"/>
        <v>4</v>
      </c>
      <c r="Y36" s="47" t="s">
        <v>1518</v>
      </c>
      <c r="Z36" s="46" t="str">
        <f t="shared" si="7"/>
        <v>T</v>
      </c>
      <c r="AA36" s="47" t="s">
        <v>2752</v>
      </c>
      <c r="AB36" s="46" t="str">
        <f t="shared" si="8"/>
        <v>MARTES</v>
      </c>
      <c r="AC36" s="47" t="s">
        <v>2753</v>
      </c>
      <c r="AD36" t="str">
        <f t="shared" si="9"/>
        <v>CONTRATURNO</v>
      </c>
      <c r="AE36" s="47" t="s">
        <v>2754</v>
      </c>
      <c r="AH36" t="str">
        <f t="shared" si="10"/>
        <v>INSERT INTO horario_curso_materia (horario_curso_materia.FK_CUR_mat,horario_curso_materia.FK_HOR,horario_curso_materia.DIA,horario_curso_materia.tipo_turno) VALUES (  (SELECT curso_materia.ID_CUR_MAT FROM curso_materia WHERE curso_materia.CUPOF='2673013' ) ,
    (SELECT horario.ID_HOR FROM horario WHERE horario.modulo='4 ' and horario.turno='T ' ),'MARTES ' , 'CONTRATURNO ' );</v>
      </c>
    </row>
    <row r="37" spans="1:34" ht="15" hidden="1" customHeight="1" x14ac:dyDescent="0.3">
      <c r="A37" s="1" t="str">
        <f t="shared" si="0"/>
        <v>1°1°</v>
      </c>
      <c r="B37" s="54" t="str">
        <f t="shared" si="1"/>
        <v>1°1°4MIMAÑANA0</v>
      </c>
      <c r="C37" s="62">
        <f>VLOOKUP(G37,[1]Hoja1!$A:$O,3,0)</f>
        <v>0</v>
      </c>
      <c r="D37" s="2" t="str">
        <f t="shared" si="2"/>
        <v>4MIMPB01</v>
      </c>
      <c r="E37" s="62" t="s">
        <v>52</v>
      </c>
      <c r="F37" s="62" t="s">
        <v>27</v>
      </c>
      <c r="G37" s="62" t="s">
        <v>267</v>
      </c>
      <c r="H37" s="8" t="str">
        <f>VLOOKUP(G37,[1]Hoja1!$A:$O,6,0)</f>
        <v>CIENCIAS SOCIALES</v>
      </c>
      <c r="I37" s="4" t="s">
        <v>1440</v>
      </c>
      <c r="J37" s="4"/>
      <c r="K37" s="80" t="str">
        <f t="shared" si="13"/>
        <v>MI</v>
      </c>
      <c r="L37" s="4"/>
      <c r="M37" s="86" t="str">
        <f>VLOOKUP(G37,[1]Hoja1!$A:$O,15,0)</f>
        <v>PEREYRA, DANIEL</v>
      </c>
      <c r="N37" s="2" t="str">
        <f t="shared" si="4"/>
        <v>1°1°1SOCMI</v>
      </c>
      <c r="O37" s="2"/>
      <c r="P37" s="2" t="str">
        <f>VLOOKUP(G37,[1]Hoja1!$A:$P,16,0)</f>
        <v xml:space="preserve"> </v>
      </c>
      <c r="Q37" s="2"/>
      <c r="S37">
        <f>VLOOKUP(G37,[1]Hoja1!$A:$O,5,0)</f>
        <v>733445</v>
      </c>
      <c r="U37" s="45" t="s">
        <v>2751</v>
      </c>
      <c r="V37" s="46">
        <f t="shared" si="5"/>
        <v>733445</v>
      </c>
      <c r="W37" s="47" t="s">
        <v>1519</v>
      </c>
      <c r="X37" s="46" t="str">
        <f t="shared" si="6"/>
        <v>4</v>
      </c>
      <c r="Y37" s="47" t="s">
        <v>1518</v>
      </c>
      <c r="Z37" s="46" t="str">
        <f t="shared" si="7"/>
        <v>M</v>
      </c>
      <c r="AA37" s="47" t="s">
        <v>2752</v>
      </c>
      <c r="AB37" s="46" t="str">
        <f t="shared" si="8"/>
        <v>MIERCOLES</v>
      </c>
      <c r="AC37" s="47" t="s">
        <v>2753</v>
      </c>
      <c r="AD37">
        <f t="shared" si="9"/>
        <v>0</v>
      </c>
      <c r="AE37" s="47" t="s">
        <v>2754</v>
      </c>
      <c r="AH37" t="str">
        <f t="shared" si="10"/>
        <v>INSERT INTO horario_curso_materia (horario_curso_materia.FK_CUR_mat,horario_curso_materia.FK_HOR,horario_curso_materia.DIA,horario_curso_materia.tipo_turno) VALUES (  (SELECT curso_materia.ID_CUR_MAT FROM curso_materia WHERE curso_materia.CUPOF='733445' ) ,
    (SELECT horario.ID_HOR FROM horario WHERE horario.modulo='4 ' and horario.turno='M ' ),'MIERCOLES ' , '0 ' );</v>
      </c>
    </row>
    <row r="38" spans="1:34" ht="15" hidden="1" customHeight="1" x14ac:dyDescent="0.3">
      <c r="A38" s="1" t="str">
        <f t="shared" si="0"/>
        <v>1°1°</v>
      </c>
      <c r="B38" s="54" t="str">
        <f t="shared" si="1"/>
        <v>1°1°4viMAÑANA0</v>
      </c>
      <c r="C38" s="62">
        <f>VLOOKUP(G38,[1]Hoja1!$A:$O,3,0)</f>
        <v>0</v>
      </c>
      <c r="D38" s="2" t="str">
        <f t="shared" si="2"/>
        <v>4viMPB01</v>
      </c>
      <c r="E38" s="62" t="s">
        <v>1337</v>
      </c>
      <c r="F38" s="62" t="s">
        <v>27</v>
      </c>
      <c r="G38" s="62" t="s">
        <v>268</v>
      </c>
      <c r="H38" s="8" t="str">
        <f>VLOOKUP(G38,[1]Hoja1!$A:$O,6,0)</f>
        <v>PRACTICA DEL LENGUAJE</v>
      </c>
      <c r="I38" s="4" t="s">
        <v>1440</v>
      </c>
      <c r="J38" s="4"/>
      <c r="K38" s="80" t="str">
        <f t="shared" si="13"/>
        <v>vi</v>
      </c>
      <c r="L38" s="4"/>
      <c r="M38" s="86" t="str">
        <f>VLOOKUP(G38,[1]Hoja1!$A:$O,15,0)</f>
        <v>ZURITA REINA</v>
      </c>
      <c r="N38" s="2" t="str">
        <f t="shared" si="4"/>
        <v>1°1°1LENvi</v>
      </c>
      <c r="O38" s="2"/>
      <c r="P38" s="2" t="str">
        <f>VLOOKUP(G38,[1]Hoja1!$A:$P,16,0)</f>
        <v xml:space="preserve"> </v>
      </c>
      <c r="Q38" s="2"/>
      <c r="S38">
        <f>VLOOKUP(G38,[1]Hoja1!$A:$O,5,0)</f>
        <v>733465</v>
      </c>
      <c r="U38" s="45" t="s">
        <v>2751</v>
      </c>
      <c r="V38" s="46">
        <f t="shared" si="5"/>
        <v>733465</v>
      </c>
      <c r="W38" s="47" t="s">
        <v>1519</v>
      </c>
      <c r="X38" s="46" t="str">
        <f t="shared" si="6"/>
        <v>4</v>
      </c>
      <c r="Y38" s="47" t="s">
        <v>1518</v>
      </c>
      <c r="Z38" s="46" t="str">
        <f t="shared" si="7"/>
        <v>M</v>
      </c>
      <c r="AA38" s="47" t="s">
        <v>2752</v>
      </c>
      <c r="AB38" s="46" t="str">
        <f t="shared" si="8"/>
        <v>VIERNES</v>
      </c>
      <c r="AC38" s="47" t="s">
        <v>2753</v>
      </c>
      <c r="AD38">
        <f t="shared" si="9"/>
        <v>0</v>
      </c>
      <c r="AE38" s="47" t="s">
        <v>2754</v>
      </c>
      <c r="AH38" t="str">
        <f t="shared" si="10"/>
        <v>INSERT INTO horario_curso_materia (horario_curso_materia.FK_CUR_mat,horario_curso_materia.FK_HOR,horario_curso_materia.DIA,horario_curso_materia.tipo_turno) VALUES (  (SELECT curso_materia.ID_CUR_MAT FROM curso_materia WHERE curso_materia.CUPOF='733465' ) ,
    (SELECT horario.ID_HOR FROM horario WHERE horario.modulo='4 ' and horario.turno='M ' ),'VIERNES ' , '0 ' );</v>
      </c>
    </row>
    <row r="39" spans="1:34" ht="15" hidden="1" customHeight="1" x14ac:dyDescent="0.3">
      <c r="A39" s="1" t="str">
        <f t="shared" si="0"/>
        <v>1°1°</v>
      </c>
      <c r="B39" s="54" t="str">
        <f t="shared" si="1"/>
        <v>1°1°5JUMAÑANA0</v>
      </c>
      <c r="C39" s="62">
        <f>VLOOKUP(G39,[1]Hoja1!$A:$O,3,0)</f>
        <v>0</v>
      </c>
      <c r="D39" s="2" t="str">
        <f t="shared" si="2"/>
        <v>5JUMPB01</v>
      </c>
      <c r="E39" s="62" t="s">
        <v>139</v>
      </c>
      <c r="F39" s="62" t="s">
        <v>27</v>
      </c>
      <c r="G39" s="62" t="s">
        <v>263</v>
      </c>
      <c r="H39" s="8" t="str">
        <f>VLOOKUP(G39,[1]Hoja1!$A:$O,6,0)</f>
        <v>CIENCIAS NATURALES</v>
      </c>
      <c r="I39" s="4" t="s">
        <v>1440</v>
      </c>
      <c r="J39" s="4"/>
      <c r="K39" s="80" t="str">
        <f t="shared" si="13"/>
        <v>JU</v>
      </c>
      <c r="L39" s="4"/>
      <c r="M39" s="86" t="str">
        <f>VLOOKUP(G39,[1]Hoja1!$A:$O,15,0)</f>
        <v xml:space="preserve">OLIVIERI NESTOR            </v>
      </c>
      <c r="N39" s="2" t="str">
        <f t="shared" si="4"/>
        <v>1°1°1NATJU</v>
      </c>
      <c r="O39" s="2"/>
      <c r="P39" s="2" t="str">
        <f>VLOOKUP(G39,[1]Hoja1!$A:$P,16,0)</f>
        <v xml:space="preserve"> </v>
      </c>
      <c r="Q39" s="2"/>
      <c r="S39">
        <f>VLOOKUP(G39,[1]Hoja1!$A:$O,5,0)</f>
        <v>733442</v>
      </c>
      <c r="U39" s="45" t="s">
        <v>2751</v>
      </c>
      <c r="V39" s="46">
        <f t="shared" si="5"/>
        <v>733442</v>
      </c>
      <c r="W39" s="47" t="s">
        <v>1519</v>
      </c>
      <c r="X39" s="46" t="str">
        <f t="shared" si="6"/>
        <v>5</v>
      </c>
      <c r="Y39" s="47" t="s">
        <v>1518</v>
      </c>
      <c r="Z39" s="46" t="str">
        <f t="shared" si="7"/>
        <v>M</v>
      </c>
      <c r="AA39" s="47" t="s">
        <v>2752</v>
      </c>
      <c r="AB39" s="46" t="str">
        <f t="shared" si="8"/>
        <v>JUEVES</v>
      </c>
      <c r="AC39" s="47" t="s">
        <v>2753</v>
      </c>
      <c r="AD39">
        <f t="shared" si="9"/>
        <v>0</v>
      </c>
      <c r="AE39" s="47" t="s">
        <v>2754</v>
      </c>
      <c r="AH39" t="str">
        <f t="shared" si="10"/>
        <v>INSERT INTO horario_curso_materia (horario_curso_materia.FK_CUR_mat,horario_curso_materia.FK_HOR,horario_curso_materia.DIA,horario_curso_materia.tipo_turno) VALUES (  (SELECT curso_materia.ID_CUR_MAT FROM curso_materia WHERE curso_materia.CUPOF='733442' ) ,
    (SELECT horario.ID_HOR FROM horario WHERE horario.modulo='5 ' and horario.turno='M ' ),'JUEVES ' , '0 ' );</v>
      </c>
    </row>
    <row r="40" spans="1:34" ht="15" hidden="1" customHeight="1" x14ac:dyDescent="0.3">
      <c r="A40" s="1" t="str">
        <f t="shared" si="0"/>
        <v>1°1°</v>
      </c>
      <c r="B40" s="54" t="str">
        <f t="shared" si="1"/>
        <v>1°1°5LUMAÑANA0</v>
      </c>
      <c r="C40" s="62">
        <f>VLOOKUP(G40,[1]Hoja1!$A:$O,3,0)</f>
        <v>0</v>
      </c>
      <c r="D40" s="2" t="str">
        <f t="shared" si="2"/>
        <v>5LUMPB01</v>
      </c>
      <c r="E40" s="62" t="s">
        <v>102</v>
      </c>
      <c r="F40" s="62" t="s">
        <v>27</v>
      </c>
      <c r="G40" s="62" t="s">
        <v>263</v>
      </c>
      <c r="H40" s="8" t="str">
        <f>VLOOKUP(G40,[1]Hoja1!$A:$O,6,0)</f>
        <v>CIENCIAS NATURALES</v>
      </c>
      <c r="I40" s="4" t="s">
        <v>1440</v>
      </c>
      <c r="J40" s="4"/>
      <c r="K40" s="80" t="str">
        <f t="shared" si="13"/>
        <v>LU</v>
      </c>
      <c r="L40" s="4"/>
      <c r="M40" s="86" t="str">
        <f>VLOOKUP(G40,[1]Hoja1!$A:$O,15,0)</f>
        <v xml:space="preserve">OLIVIERI NESTOR            </v>
      </c>
      <c r="N40" s="2" t="str">
        <f t="shared" si="4"/>
        <v>1°1°1NATLU</v>
      </c>
      <c r="O40" s="2"/>
      <c r="P40" s="2" t="str">
        <f>VLOOKUP(G40,[1]Hoja1!$A:$P,16,0)</f>
        <v xml:space="preserve"> </v>
      </c>
      <c r="Q40" s="2"/>
      <c r="S40">
        <f>VLOOKUP(G40,[1]Hoja1!$A:$O,5,0)</f>
        <v>733442</v>
      </c>
      <c r="U40" s="45" t="s">
        <v>2751</v>
      </c>
      <c r="V40" s="46">
        <f t="shared" si="5"/>
        <v>733442</v>
      </c>
      <c r="W40" s="47" t="s">
        <v>1519</v>
      </c>
      <c r="X40" s="46" t="str">
        <f t="shared" si="6"/>
        <v>5</v>
      </c>
      <c r="Y40" s="47" t="s">
        <v>1518</v>
      </c>
      <c r="Z40" s="46" t="str">
        <f t="shared" si="7"/>
        <v>M</v>
      </c>
      <c r="AA40" s="47" t="s">
        <v>2752</v>
      </c>
      <c r="AB40" s="46" t="str">
        <f t="shared" si="8"/>
        <v>LUNES</v>
      </c>
      <c r="AC40" s="47" t="s">
        <v>2753</v>
      </c>
      <c r="AD40">
        <f t="shared" si="9"/>
        <v>0</v>
      </c>
      <c r="AE40" s="47" t="s">
        <v>2754</v>
      </c>
      <c r="AH40" t="str">
        <f t="shared" si="10"/>
        <v>INSERT INTO horario_curso_materia (horario_curso_materia.FK_CUR_mat,horario_curso_materia.FK_HOR,horario_curso_materia.DIA,horario_curso_materia.tipo_turno) VALUES (  (SELECT curso_materia.ID_CUR_MAT FROM curso_materia WHERE curso_materia.CUPOF='733442' ) ,
    (SELECT horario.ID_HOR FROM horario WHERE horario.modulo='5 ' and horario.turno='M ' ),'LUNES ' , '0 ' );</v>
      </c>
    </row>
    <row r="41" spans="1:34" ht="15" hidden="1" customHeight="1" x14ac:dyDescent="0.3">
      <c r="A41" s="1" t="str">
        <f t="shared" si="0"/>
        <v>1°1°</v>
      </c>
      <c r="B41" s="54" t="str">
        <f t="shared" si="1"/>
        <v>1°1°PREHORAMATARDE0</v>
      </c>
      <c r="C41" s="62">
        <f>VLOOKUP(G41,[1]Hoja1!$A:$O,3,0)</f>
        <v>0</v>
      </c>
      <c r="D41" s="2" t="str">
        <f t="shared" si="2"/>
        <v>PREHORAMATPATIO2</v>
      </c>
      <c r="E41" s="62" t="s">
        <v>430</v>
      </c>
      <c r="F41" s="62" t="s">
        <v>10</v>
      </c>
      <c r="G41" s="62" t="s">
        <v>269</v>
      </c>
      <c r="H41" s="8" t="str">
        <f>VLOOKUP(G41,[1]Hoja1!$A:$O,6,0)</f>
        <v>EDUCACIÓN FISICA</v>
      </c>
      <c r="I41" s="4" t="s">
        <v>295</v>
      </c>
      <c r="J41" s="4"/>
      <c r="K41" s="80" t="str">
        <f t="shared" si="13"/>
        <v>MA</v>
      </c>
      <c r="L41" s="4" t="s">
        <v>512</v>
      </c>
      <c r="M41" s="86" t="str">
        <f>VLOOKUP(G41,[1]Hoja1!$A:$O,15,0)</f>
        <v xml:space="preserve">SANCHEZ CARLOS        </v>
      </c>
      <c r="N41" s="2" t="str">
        <f t="shared" si="4"/>
        <v>1°1°1EFIMA</v>
      </c>
      <c r="O41" s="2"/>
      <c r="P41" s="2" t="str">
        <f>VLOOKUP(G41,[1]Hoja1!$A:$P,16,0)</f>
        <v xml:space="preserve"> </v>
      </c>
      <c r="Q41" s="2"/>
      <c r="S41">
        <f>VLOOKUP(G41,[1]Hoja1!$A:$O,5,0)</f>
        <v>891873</v>
      </c>
      <c r="U41" s="45" t="s">
        <v>2751</v>
      </c>
      <c r="V41" s="46">
        <f t="shared" si="5"/>
        <v>891873</v>
      </c>
      <c r="W41" s="47" t="s">
        <v>1519</v>
      </c>
      <c r="X41" s="46" t="str">
        <f t="shared" si="6"/>
        <v>prehora</v>
      </c>
      <c r="Y41" s="47" t="s">
        <v>1518</v>
      </c>
      <c r="Z41" s="46" t="str">
        <f t="shared" si="7"/>
        <v>T</v>
      </c>
      <c r="AA41" s="47" t="s">
        <v>2752</v>
      </c>
      <c r="AB41" s="46" t="str">
        <f t="shared" si="8"/>
        <v>MARTES</v>
      </c>
      <c r="AC41" s="47" t="s">
        <v>2753</v>
      </c>
      <c r="AD41" t="str">
        <f t="shared" si="9"/>
        <v>CONTRATURNO</v>
      </c>
      <c r="AE41" s="47" t="s">
        <v>2754</v>
      </c>
      <c r="AH41" t="str">
        <f t="shared" si="10"/>
        <v>INSERT INTO horario_curso_materia (horario_curso_materia.FK_CUR_mat,horario_curso_materia.FK_HOR,horario_curso_materia.DIA,horario_curso_materia.tipo_turno) VALUES (  (SELECT curso_materia.ID_CUR_MAT FROM curso_materia WHERE curso_materia.CUPOF='891873' ) ,
    (SELECT horario.ID_HOR FROM horario WHERE horario.modulo='prehora ' and horario.turno='T ' ),'MARTES ' , 'CONTRATURNO ' );</v>
      </c>
    </row>
    <row r="42" spans="1:34" ht="15" hidden="1" customHeight="1" x14ac:dyDescent="0.3">
      <c r="A42" s="1" t="str">
        <f t="shared" si="0"/>
        <v>1°2°</v>
      </c>
      <c r="B42" s="54" t="str">
        <f t="shared" si="1"/>
        <v>1°2°1JUTARDE0</v>
      </c>
      <c r="C42" s="62">
        <f>VLOOKUP(G42,[1]Hoja1!$A:$O,3,0)</f>
        <v>0</v>
      </c>
      <c r="D42" s="2" t="str">
        <f t="shared" si="2"/>
        <v>1JUT</v>
      </c>
      <c r="E42" s="62" t="s">
        <v>43</v>
      </c>
      <c r="F42" s="62" t="s">
        <v>10</v>
      </c>
      <c r="G42" s="62" t="s">
        <v>271</v>
      </c>
      <c r="H42" s="8" t="str">
        <f>VLOOKUP(G42,[1]Hoja1!$A:$O,6,0)</f>
        <v>CIENCIAS NATURALES</v>
      </c>
      <c r="I42" s="4"/>
      <c r="J42" s="4"/>
      <c r="K42" s="80" t="str">
        <f t="shared" si="13"/>
        <v>JU</v>
      </c>
      <c r="L42" s="4"/>
      <c r="M42" s="86" t="str">
        <f>VLOOKUP(G42,[1]Hoja1!$A:$O,15,0)</f>
        <v xml:space="preserve">ESPINDOLA SERGIO                          </v>
      </c>
      <c r="N42" s="2" t="str">
        <f t="shared" si="4"/>
        <v>1°2°1NATJU</v>
      </c>
      <c r="O42" s="2"/>
      <c r="P42" s="2" t="str">
        <f>VLOOKUP(G42,[1]Hoja1!$A:$P,16,0)</f>
        <v xml:space="preserve"> </v>
      </c>
      <c r="Q42" s="2"/>
      <c r="S42">
        <f>VLOOKUP(G42,[1]Hoja1!$A:$O,5,0)</f>
        <v>733711</v>
      </c>
      <c r="U42" s="45" t="s">
        <v>2751</v>
      </c>
      <c r="V42" s="46">
        <f t="shared" si="5"/>
        <v>733711</v>
      </c>
      <c r="W42" s="47" t="s">
        <v>1519</v>
      </c>
      <c r="X42" s="46" t="str">
        <f t="shared" si="6"/>
        <v>1</v>
      </c>
      <c r="Y42" s="47" t="s">
        <v>1518</v>
      </c>
      <c r="Z42" s="46" t="str">
        <f t="shared" si="7"/>
        <v>T</v>
      </c>
      <c r="AA42" s="47" t="s">
        <v>2752</v>
      </c>
      <c r="AB42" s="46" t="str">
        <f t="shared" si="8"/>
        <v>JUEVES</v>
      </c>
      <c r="AC42" s="47" t="s">
        <v>2753</v>
      </c>
      <c r="AD42">
        <f t="shared" si="9"/>
        <v>0</v>
      </c>
      <c r="AE42" s="47" t="s">
        <v>2754</v>
      </c>
      <c r="AH42" t="str">
        <f t="shared" si="10"/>
        <v>INSERT INTO horario_curso_materia (horario_curso_materia.FK_CUR_mat,horario_curso_materia.FK_HOR,horario_curso_materia.DIA,horario_curso_materia.tipo_turno) VALUES (  (SELECT curso_materia.ID_CUR_MAT FROM curso_materia WHERE curso_materia.CUPOF='733711' ) ,
    (SELECT horario.ID_HOR FROM horario WHERE horario.modulo='1 ' and horario.turno='T ' ),'JUEVES ' , '0 ' );</v>
      </c>
    </row>
    <row r="43" spans="1:34" ht="15" hidden="1" customHeight="1" x14ac:dyDescent="0.3">
      <c r="A43" s="1" t="str">
        <f t="shared" si="0"/>
        <v>1°2°</v>
      </c>
      <c r="B43" s="54" t="str">
        <f t="shared" si="1"/>
        <v>1°2°1LUMAÑANA121</v>
      </c>
      <c r="C43" s="62">
        <f>VLOOKUP(G43,[1]Hoja1!$A:$O,3,0)</f>
        <v>121</v>
      </c>
      <c r="D43" s="2" t="str">
        <f t="shared" si="2"/>
        <v>1LUMaula 4</v>
      </c>
      <c r="E43" s="62" t="s">
        <v>9</v>
      </c>
      <c r="F43" s="62" t="s">
        <v>27</v>
      </c>
      <c r="G43" s="62" t="s">
        <v>28</v>
      </c>
      <c r="H43" s="8" t="str">
        <f>VLOOKUP(G43,[1]Hoja1!$A:$O,6,0)</f>
        <v>LENGUAJES TECNOLOGICOS</v>
      </c>
      <c r="I43" s="4" t="s">
        <v>1437</v>
      </c>
      <c r="J43" s="4"/>
      <c r="K43" s="80" t="str">
        <f t="shared" si="13"/>
        <v>LU</v>
      </c>
      <c r="L43" s="4" t="s">
        <v>512</v>
      </c>
      <c r="M43" s="86" t="str">
        <f>VLOOKUP(G43,[1]Hoja1!$A:$O,15,0)</f>
        <v>VALLBONA MIRNA SOLEDAD</v>
      </c>
      <c r="N43" s="2" t="str">
        <f t="shared" si="4"/>
        <v>1°2°1211TLTLU</v>
      </c>
      <c r="O43" s="2"/>
      <c r="P43" s="2" t="str">
        <f>VLOOKUP(G43,[1]Hoja1!$A:$P,16,0)</f>
        <v xml:space="preserve"> </v>
      </c>
      <c r="Q43" s="2"/>
      <c r="S43">
        <f>VLOOKUP(G43,[1]Hoja1!$A:$O,5,0)</f>
        <v>2673023</v>
      </c>
      <c r="U43" s="45" t="s">
        <v>2751</v>
      </c>
      <c r="V43" s="46">
        <f t="shared" si="5"/>
        <v>2673023</v>
      </c>
      <c r="W43" s="47" t="s">
        <v>1519</v>
      </c>
      <c r="X43" s="46" t="str">
        <f t="shared" si="6"/>
        <v>1</v>
      </c>
      <c r="Y43" s="47" t="s">
        <v>1518</v>
      </c>
      <c r="Z43" s="46" t="str">
        <f t="shared" si="7"/>
        <v>M</v>
      </c>
      <c r="AA43" s="47" t="s">
        <v>2752</v>
      </c>
      <c r="AB43" s="46" t="str">
        <f t="shared" si="8"/>
        <v>LUNES</v>
      </c>
      <c r="AC43" s="47" t="s">
        <v>2753</v>
      </c>
      <c r="AD43" t="str">
        <f t="shared" si="9"/>
        <v>CONTRATURNO</v>
      </c>
      <c r="AE43" s="47" t="s">
        <v>2754</v>
      </c>
      <c r="AH43" t="str">
        <f t="shared" si="10"/>
        <v>INSERT INTO horario_curso_materia (horario_curso_materia.FK_CUR_mat,horario_curso_materia.FK_HOR,horario_curso_materia.DIA,horario_curso_materia.tipo_turno) VALUES (  (SELECT curso_materia.ID_CUR_MAT FROM curso_materia WHERE curso_materia.CUPOF='2673023' ) ,
    (SELECT horario.ID_HOR FROM horario WHERE horario.modulo='1 ' and horario.turno='M ' ),'LUNES ' , 'CONTRATURNO ' );</v>
      </c>
    </row>
    <row r="44" spans="1:34" ht="15" hidden="1" customHeight="1" x14ac:dyDescent="0.3">
      <c r="A44" s="1" t="str">
        <f t="shared" si="0"/>
        <v>1°2°</v>
      </c>
      <c r="B44" s="54" t="str">
        <f t="shared" si="1"/>
        <v>1°2°3LUTARDE0</v>
      </c>
      <c r="C44" s="62">
        <f>VLOOKUP(G44,[1]Hoja1!$A:$O,3,0)</f>
        <v>0</v>
      </c>
      <c r="D44" s="2" t="str">
        <f t="shared" si="2"/>
        <v>3LUT</v>
      </c>
      <c r="E44" s="62" t="s">
        <v>29</v>
      </c>
      <c r="F44" s="62" t="s">
        <v>10</v>
      </c>
      <c r="G44" s="62" t="s">
        <v>270</v>
      </c>
      <c r="H44" s="8" t="str">
        <f>VLOOKUP(G44,[1]Hoja1!$A:$O,6,0)</f>
        <v>PRACTICA DEL LENGUAJE</v>
      </c>
      <c r="I44" s="4"/>
      <c r="J44" s="4"/>
      <c r="K44" s="80" t="str">
        <f t="shared" si="13"/>
        <v>LU</v>
      </c>
      <c r="L44" s="4"/>
      <c r="M44" s="86" t="str">
        <f>VLOOKUP(G44,[1]Hoja1!$A:$O,15,0)</f>
        <v xml:space="preserve">CAÑETE, JOHANA  </v>
      </c>
      <c r="N44" s="2" t="str">
        <f t="shared" si="4"/>
        <v>1°2°1LENLU</v>
      </c>
      <c r="O44" s="2"/>
      <c r="P44" s="2" t="str">
        <f>VLOOKUP(G44,[1]Hoja1!$A:$P,16,0)</f>
        <v xml:space="preserve"> </v>
      </c>
      <c r="Q44" s="2"/>
      <c r="S44">
        <f>VLOOKUP(G44,[1]Hoja1!$A:$O,5,0)</f>
        <v>733448</v>
      </c>
      <c r="U44" s="45" t="s">
        <v>2751</v>
      </c>
      <c r="V44" s="46">
        <f t="shared" si="5"/>
        <v>733448</v>
      </c>
      <c r="W44" s="47" t="s">
        <v>1519</v>
      </c>
      <c r="X44" s="46" t="str">
        <f t="shared" si="6"/>
        <v>3</v>
      </c>
      <c r="Y44" s="47" t="s">
        <v>1518</v>
      </c>
      <c r="Z44" s="46" t="str">
        <f t="shared" si="7"/>
        <v>T</v>
      </c>
      <c r="AA44" s="47" t="s">
        <v>2752</v>
      </c>
      <c r="AB44" s="46" t="str">
        <f t="shared" si="8"/>
        <v>LUNES</v>
      </c>
      <c r="AC44" s="47" t="s">
        <v>2753</v>
      </c>
      <c r="AD44">
        <f t="shared" si="9"/>
        <v>0</v>
      </c>
      <c r="AE44" s="47" t="s">
        <v>2754</v>
      </c>
      <c r="AH44" t="str">
        <f t="shared" si="10"/>
        <v>INSERT INTO horario_curso_materia (horario_curso_materia.FK_CUR_mat,horario_curso_materia.FK_HOR,horario_curso_materia.DIA,horario_curso_materia.tipo_turno) VALUES (  (SELECT curso_materia.ID_CUR_MAT FROM curso_materia WHERE curso_materia.CUPOF='733448' ) ,
    (SELECT horario.ID_HOR FROM horario WHERE horario.modulo='3 ' and horario.turno='T ' ),'LUNES ' , '0 ' );</v>
      </c>
    </row>
    <row r="45" spans="1:34" ht="15" hidden="1" customHeight="1" x14ac:dyDescent="0.3">
      <c r="A45" s="1" t="str">
        <f t="shared" si="0"/>
        <v>1°2°</v>
      </c>
      <c r="B45" s="54" t="str">
        <f t="shared" si="1"/>
        <v>1°2°1MAMAÑANA122</v>
      </c>
      <c r="C45" s="62">
        <f>VLOOKUP(G45,[1]Hoja1!$A:$O,3,0)</f>
        <v>122</v>
      </c>
      <c r="D45" s="2" t="str">
        <f t="shared" si="2"/>
        <v>1MAMCARPINTERIA</v>
      </c>
      <c r="E45" s="62" t="s">
        <v>17</v>
      </c>
      <c r="F45" s="62" t="s">
        <v>27</v>
      </c>
      <c r="G45" s="62" t="s">
        <v>33</v>
      </c>
      <c r="H45" s="8" t="str">
        <f>VLOOKUP(G45,[1]Hoja1!$A:$O,6,0)</f>
        <v>PROCEDIMIENTOS TECNICOS</v>
      </c>
      <c r="I45" s="4" t="s">
        <v>23</v>
      </c>
      <c r="J45" s="4"/>
      <c r="K45" s="80" t="str">
        <f t="shared" si="13"/>
        <v>MA</v>
      </c>
      <c r="L45" s="4" t="s">
        <v>512</v>
      </c>
      <c r="M45" s="86" t="str">
        <f>VLOOKUP(G45,[1]Hoja1!$A:$O,15,0)</f>
        <v xml:space="preserve">ETCHEVERRY MARTIN                            </v>
      </c>
      <c r="N45" s="2" t="str">
        <f t="shared" si="4"/>
        <v>1°2°1221TPTMA</v>
      </c>
      <c r="O45" s="2"/>
      <c r="P45" s="2" t="str">
        <f>VLOOKUP(G45,[1]Hoja1!$A:$P,16,0)</f>
        <v xml:space="preserve"> </v>
      </c>
      <c r="Q45" s="2"/>
      <c r="S45">
        <f>VLOOKUP(G45,[1]Hoja1!$A:$O,5,0)</f>
        <v>2673029</v>
      </c>
      <c r="U45" s="45" t="s">
        <v>2751</v>
      </c>
      <c r="V45" s="46">
        <f t="shared" si="5"/>
        <v>2673029</v>
      </c>
      <c r="W45" s="47" t="s">
        <v>1519</v>
      </c>
      <c r="X45" s="46" t="str">
        <f t="shared" si="6"/>
        <v>1</v>
      </c>
      <c r="Y45" s="47" t="s">
        <v>1518</v>
      </c>
      <c r="Z45" s="46" t="str">
        <f t="shared" si="7"/>
        <v>M</v>
      </c>
      <c r="AA45" s="47" t="s">
        <v>2752</v>
      </c>
      <c r="AB45" s="46" t="str">
        <f t="shared" si="8"/>
        <v>MARTES</v>
      </c>
      <c r="AC45" s="47" t="s">
        <v>2753</v>
      </c>
      <c r="AD45" t="str">
        <f t="shared" si="9"/>
        <v>CONTRATURNO</v>
      </c>
      <c r="AE45" s="47" t="s">
        <v>2754</v>
      </c>
      <c r="AH45" t="str">
        <f t="shared" si="10"/>
        <v>INSERT INTO horario_curso_materia (horario_curso_materia.FK_CUR_mat,horario_curso_materia.FK_HOR,horario_curso_materia.DIA,horario_curso_materia.tipo_turno) VALUES (  (SELECT curso_materia.ID_CUR_MAT FROM curso_materia WHERE curso_materia.CUPOF='2673029' ) ,
    (SELECT horario.ID_HOR FROM horario WHERE horario.modulo='1 ' and horario.turno='M ' ),'MARTES ' , 'CONTRATURNO ' );</v>
      </c>
    </row>
    <row r="46" spans="1:34" ht="15" hidden="1" customHeight="1" x14ac:dyDescent="0.3">
      <c r="A46" s="1" t="str">
        <f t="shared" si="0"/>
        <v>1°2°</v>
      </c>
      <c r="B46" s="54" t="str">
        <f t="shared" si="1"/>
        <v>1°2°1MATARDE0</v>
      </c>
      <c r="C46" s="62">
        <f>VLOOKUP(G46,[1]Hoja1!$A:$O,3,0)</f>
        <v>0</v>
      </c>
      <c r="D46" s="2" t="str">
        <f t="shared" si="2"/>
        <v>1MAT</v>
      </c>
      <c r="E46" s="62" t="s">
        <v>17</v>
      </c>
      <c r="F46" s="62" t="s">
        <v>10</v>
      </c>
      <c r="G46" s="62" t="s">
        <v>272</v>
      </c>
      <c r="H46" s="8" t="str">
        <f>VLOOKUP(G46,[1]Hoja1!$A:$O,6,0)</f>
        <v>MATEMATICA</v>
      </c>
      <c r="I46" s="4"/>
      <c r="J46" s="4"/>
      <c r="K46" s="80" t="str">
        <f t="shared" si="13"/>
        <v>MA</v>
      </c>
      <c r="L46" s="4"/>
      <c r="M46" s="86" t="str">
        <f>VLOOKUP(G46,[1]Hoja1!$A:$O,15,0)</f>
        <v xml:space="preserve">OVEJERO, JAVIER </v>
      </c>
      <c r="N46" s="2" t="str">
        <f t="shared" si="4"/>
        <v>1°2°1MATMA</v>
      </c>
      <c r="O46" s="2"/>
      <c r="P46" s="2" t="str">
        <f>VLOOKUP(G46,[1]Hoja1!$A:$P,16,0)</f>
        <v xml:space="preserve"> </v>
      </c>
      <c r="Q46" s="2"/>
      <c r="S46">
        <f>VLOOKUP(G46,[1]Hoja1!$A:$O,5,0)</f>
        <v>789732</v>
      </c>
      <c r="U46" s="45" t="s">
        <v>2751</v>
      </c>
      <c r="V46" s="46">
        <f t="shared" si="5"/>
        <v>789732</v>
      </c>
      <c r="W46" s="47" t="s">
        <v>1519</v>
      </c>
      <c r="X46" s="46" t="str">
        <f t="shared" si="6"/>
        <v>1</v>
      </c>
      <c r="Y46" s="47" t="s">
        <v>1518</v>
      </c>
      <c r="Z46" s="46" t="str">
        <f t="shared" si="7"/>
        <v>T</v>
      </c>
      <c r="AA46" s="47" t="s">
        <v>2752</v>
      </c>
      <c r="AB46" s="46" t="str">
        <f t="shared" si="8"/>
        <v>MARTES</v>
      </c>
      <c r="AC46" s="47" t="s">
        <v>2753</v>
      </c>
      <c r="AD46">
        <f t="shared" si="9"/>
        <v>0</v>
      </c>
      <c r="AE46" s="47" t="s">
        <v>2754</v>
      </c>
      <c r="AH46" t="str">
        <f t="shared" si="10"/>
        <v>INSERT INTO horario_curso_materia (horario_curso_materia.FK_CUR_mat,horario_curso_materia.FK_HOR,horario_curso_materia.DIA,horario_curso_materia.tipo_turno) VALUES (  (SELECT curso_materia.ID_CUR_MAT FROM curso_materia WHERE curso_materia.CUPOF='789732' ) ,
    (SELECT horario.ID_HOR FROM horario WHERE horario.modulo='1 ' and horario.turno='T ' ),'MARTES ' , '0 ' );</v>
      </c>
    </row>
    <row r="47" spans="1:34" ht="15" hidden="1" customHeight="1" x14ac:dyDescent="0.3">
      <c r="A47" s="1" t="str">
        <f t="shared" si="0"/>
        <v>1°2°</v>
      </c>
      <c r="B47" s="54" t="str">
        <f t="shared" si="1"/>
        <v>1°2°1MITARDE0</v>
      </c>
      <c r="C47" s="62">
        <f>VLOOKUP(G47,[1]Hoja1!$A:$O,3,0)</f>
        <v>0</v>
      </c>
      <c r="D47" s="2" t="str">
        <f t="shared" si="2"/>
        <v>1MIT</v>
      </c>
      <c r="E47" s="62" t="s">
        <v>24</v>
      </c>
      <c r="F47" s="62" t="s">
        <v>10</v>
      </c>
      <c r="G47" s="62" t="s">
        <v>270</v>
      </c>
      <c r="H47" s="8" t="str">
        <f>VLOOKUP(G47,[1]Hoja1!$A:$O,6,0)</f>
        <v>PRACTICA DEL LENGUAJE</v>
      </c>
      <c r="I47" s="4"/>
      <c r="J47" s="4"/>
      <c r="K47" s="80" t="str">
        <f t="shared" si="13"/>
        <v>MI</v>
      </c>
      <c r="L47" s="4"/>
      <c r="M47" s="86" t="str">
        <f>VLOOKUP(G47,[1]Hoja1!$A:$O,15,0)</f>
        <v xml:space="preserve">CAÑETE, JOHANA  </v>
      </c>
      <c r="N47" s="2" t="str">
        <f t="shared" si="4"/>
        <v>1°2°1LENMI</v>
      </c>
      <c r="O47" s="2"/>
      <c r="P47" s="2" t="str">
        <f>VLOOKUP(G47,[1]Hoja1!$A:$P,16,0)</f>
        <v xml:space="preserve"> </v>
      </c>
      <c r="Q47" s="2"/>
      <c r="S47">
        <f>VLOOKUP(G47,[1]Hoja1!$A:$O,5,0)</f>
        <v>733448</v>
      </c>
      <c r="U47" s="45" t="s">
        <v>2751</v>
      </c>
      <c r="V47" s="46">
        <f t="shared" si="5"/>
        <v>733448</v>
      </c>
      <c r="W47" s="47" t="s">
        <v>1519</v>
      </c>
      <c r="X47" s="46" t="str">
        <f t="shared" si="6"/>
        <v>1</v>
      </c>
      <c r="Y47" s="47" t="s">
        <v>1518</v>
      </c>
      <c r="Z47" s="46" t="str">
        <f t="shared" si="7"/>
        <v>T</v>
      </c>
      <c r="AA47" s="47" t="s">
        <v>2752</v>
      </c>
      <c r="AB47" s="46" t="str">
        <f t="shared" si="8"/>
        <v>MIERCOLES</v>
      </c>
      <c r="AC47" s="47" t="s">
        <v>2753</v>
      </c>
      <c r="AD47">
        <f t="shared" si="9"/>
        <v>0</v>
      </c>
      <c r="AE47" s="47" t="s">
        <v>2754</v>
      </c>
      <c r="AH47" t="str">
        <f t="shared" si="10"/>
        <v>INSERT INTO horario_curso_materia (horario_curso_materia.FK_CUR_mat,horario_curso_materia.FK_HOR,horario_curso_materia.DIA,horario_curso_materia.tipo_turno) VALUES (  (SELECT curso_materia.ID_CUR_MAT FROM curso_materia WHERE curso_materia.CUPOF='733448' ) ,
    (SELECT horario.ID_HOR FROM horario WHERE horario.modulo='1 ' and horario.turno='T ' ),'MIERCOLES ' , '0 ' );</v>
      </c>
    </row>
    <row r="48" spans="1:34" ht="15" hidden="1" customHeight="1" x14ac:dyDescent="0.3">
      <c r="A48" s="1" t="str">
        <f t="shared" si="0"/>
        <v>1°2°</v>
      </c>
      <c r="B48" s="54" t="str">
        <f t="shared" si="1"/>
        <v>1°2°1VITARDE0</v>
      </c>
      <c r="C48" s="62">
        <f>VLOOKUP(G48,[1]Hoja1!$A:$O,3,0)</f>
        <v>0</v>
      </c>
      <c r="D48" s="2" t="str">
        <f t="shared" si="2"/>
        <v>1VIT</v>
      </c>
      <c r="E48" s="62" t="s">
        <v>57</v>
      </c>
      <c r="F48" s="62" t="s">
        <v>10</v>
      </c>
      <c r="G48" s="62" t="s">
        <v>272</v>
      </c>
      <c r="H48" s="8" t="str">
        <f>VLOOKUP(G48,[1]Hoja1!$A:$O,6,0)</f>
        <v>MATEMATICA</v>
      </c>
      <c r="I48" s="4"/>
      <c r="J48" s="4"/>
      <c r="K48" s="80" t="str">
        <f t="shared" si="13"/>
        <v>VI</v>
      </c>
      <c r="L48" s="4"/>
      <c r="M48" s="86" t="str">
        <f>VLOOKUP(G48,[1]Hoja1!$A:$O,15,0)</f>
        <v xml:space="preserve">OVEJERO, JAVIER </v>
      </c>
      <c r="N48" s="2" t="str">
        <f t="shared" si="4"/>
        <v>1°2°1MATVI</v>
      </c>
      <c r="O48" s="2"/>
      <c r="P48" s="2" t="str">
        <f>VLOOKUP(G48,[1]Hoja1!$A:$P,16,0)</f>
        <v xml:space="preserve"> </v>
      </c>
      <c r="Q48" s="2"/>
      <c r="S48">
        <f>VLOOKUP(G48,[1]Hoja1!$A:$O,5,0)</f>
        <v>789732</v>
      </c>
      <c r="U48" s="45" t="s">
        <v>2751</v>
      </c>
      <c r="V48" s="46">
        <f t="shared" si="5"/>
        <v>789732</v>
      </c>
      <c r="W48" s="47" t="s">
        <v>1519</v>
      </c>
      <c r="X48" s="46" t="str">
        <f t="shared" si="6"/>
        <v>1</v>
      </c>
      <c r="Y48" s="47" t="s">
        <v>1518</v>
      </c>
      <c r="Z48" s="46" t="str">
        <f t="shared" si="7"/>
        <v>T</v>
      </c>
      <c r="AA48" s="47" t="s">
        <v>2752</v>
      </c>
      <c r="AB48" s="46" t="str">
        <f t="shared" si="8"/>
        <v>VIERNES</v>
      </c>
      <c r="AC48" s="47" t="s">
        <v>2753</v>
      </c>
      <c r="AD48">
        <f t="shared" si="9"/>
        <v>0</v>
      </c>
      <c r="AE48" s="47" t="s">
        <v>2754</v>
      </c>
      <c r="AH48" t="str">
        <f t="shared" si="10"/>
        <v>INSERT INTO horario_curso_materia (horario_curso_materia.FK_CUR_mat,horario_curso_materia.FK_HOR,horario_curso_materia.DIA,horario_curso_materia.tipo_turno) VALUES (  (SELECT curso_materia.ID_CUR_MAT FROM curso_materia WHERE curso_materia.CUPOF='789732' ) ,
    (SELECT horario.ID_HOR FROM horario WHERE horario.modulo='1 ' and horario.turno='T ' ),'VIERNES ' , '0 ' );</v>
      </c>
    </row>
    <row r="49" spans="1:34" ht="15" hidden="1" customHeight="1" x14ac:dyDescent="0.3">
      <c r="A49" s="1" t="str">
        <f t="shared" si="0"/>
        <v>1°2°</v>
      </c>
      <c r="B49" s="54" t="str">
        <f t="shared" si="1"/>
        <v>1°2°2JUTARDE0</v>
      </c>
      <c r="C49" s="62">
        <f>VLOOKUP(G49,[1]Hoja1!$A:$O,3,0)</f>
        <v>0</v>
      </c>
      <c r="D49" s="2" t="str">
        <f t="shared" si="2"/>
        <v>2JUT</v>
      </c>
      <c r="E49" s="62" t="s">
        <v>45</v>
      </c>
      <c r="F49" s="62" t="s">
        <v>10</v>
      </c>
      <c r="G49" s="62" t="s">
        <v>271</v>
      </c>
      <c r="H49" s="8" t="str">
        <f>VLOOKUP(G49,[1]Hoja1!$A:$O,6,0)</f>
        <v>CIENCIAS NATURALES</v>
      </c>
      <c r="I49" s="4"/>
      <c r="J49" s="4"/>
      <c r="K49" s="80" t="str">
        <f t="shared" si="13"/>
        <v>JU</v>
      </c>
      <c r="L49" s="4"/>
      <c r="M49" s="86" t="str">
        <f>VLOOKUP(G49,[1]Hoja1!$A:$O,15,0)</f>
        <v xml:space="preserve">ESPINDOLA SERGIO                          </v>
      </c>
      <c r="N49" s="2" t="str">
        <f t="shared" si="4"/>
        <v>1°2°1NATJU</v>
      </c>
      <c r="O49" s="2"/>
      <c r="P49" s="2" t="str">
        <f>VLOOKUP(G49,[1]Hoja1!$A:$P,16,0)</f>
        <v xml:space="preserve"> </v>
      </c>
      <c r="Q49" s="2"/>
      <c r="S49">
        <f>VLOOKUP(G49,[1]Hoja1!$A:$O,5,0)</f>
        <v>733711</v>
      </c>
      <c r="U49" s="45" t="s">
        <v>2751</v>
      </c>
      <c r="V49" s="46">
        <f t="shared" si="5"/>
        <v>733711</v>
      </c>
      <c r="W49" s="47" t="s">
        <v>1519</v>
      </c>
      <c r="X49" s="46" t="str">
        <f t="shared" si="6"/>
        <v>2</v>
      </c>
      <c r="Y49" s="47" t="s">
        <v>1518</v>
      </c>
      <c r="Z49" s="46" t="str">
        <f t="shared" si="7"/>
        <v>T</v>
      </c>
      <c r="AA49" s="47" t="s">
        <v>2752</v>
      </c>
      <c r="AB49" s="46" t="str">
        <f t="shared" si="8"/>
        <v>JUEVES</v>
      </c>
      <c r="AC49" s="47" t="s">
        <v>2753</v>
      </c>
      <c r="AD49">
        <f t="shared" si="9"/>
        <v>0</v>
      </c>
      <c r="AE49" s="47" t="s">
        <v>2754</v>
      </c>
      <c r="AH49" t="str">
        <f t="shared" si="10"/>
        <v>INSERT INTO horario_curso_materia (horario_curso_materia.FK_CUR_mat,horario_curso_materia.FK_HOR,horario_curso_materia.DIA,horario_curso_materia.tipo_turno) VALUES (  (SELECT curso_materia.ID_CUR_MAT FROM curso_materia WHERE curso_materia.CUPOF='733711' ) ,
    (SELECT horario.ID_HOR FROM horario WHERE horario.modulo='2 ' and horario.turno='T ' ),'JUEVES ' , '0 ' );</v>
      </c>
    </row>
    <row r="50" spans="1:34" ht="15" hidden="1" customHeight="1" x14ac:dyDescent="0.3">
      <c r="A50" s="1" t="str">
        <f t="shared" si="0"/>
        <v>1°2°</v>
      </c>
      <c r="B50" s="54" t="str">
        <f t="shared" si="1"/>
        <v>1°2°2LUMAÑANA121</v>
      </c>
      <c r="C50" s="62">
        <f>VLOOKUP(G50,[1]Hoja1!$A:$O,3,0)</f>
        <v>121</v>
      </c>
      <c r="D50" s="2" t="str">
        <f t="shared" si="2"/>
        <v>2LUMaula 4</v>
      </c>
      <c r="E50" s="62" t="s">
        <v>12</v>
      </c>
      <c r="F50" s="62" t="s">
        <v>27</v>
      </c>
      <c r="G50" s="62" t="s">
        <v>28</v>
      </c>
      <c r="H50" s="8" t="str">
        <f>VLOOKUP(G50,[1]Hoja1!$A:$O,6,0)</f>
        <v>LENGUAJES TECNOLOGICOS</v>
      </c>
      <c r="I50" s="4" t="s">
        <v>1437</v>
      </c>
      <c r="J50" s="4"/>
      <c r="K50" s="80" t="str">
        <f t="shared" si="13"/>
        <v>LU</v>
      </c>
      <c r="L50" s="4" t="s">
        <v>512</v>
      </c>
      <c r="M50" s="86" t="str">
        <f>VLOOKUP(G50,[1]Hoja1!$A:$O,15,0)</f>
        <v>VALLBONA MIRNA SOLEDAD</v>
      </c>
      <c r="N50" s="2" t="str">
        <f t="shared" si="4"/>
        <v>1°2°1211TLTLU</v>
      </c>
      <c r="O50" s="2"/>
      <c r="P50" s="2" t="str">
        <f>VLOOKUP(G50,[1]Hoja1!$A:$P,16,0)</f>
        <v xml:space="preserve"> </v>
      </c>
      <c r="Q50" s="2"/>
      <c r="S50">
        <f>VLOOKUP(G50,[1]Hoja1!$A:$O,5,0)</f>
        <v>2673023</v>
      </c>
      <c r="U50" s="45" t="s">
        <v>2751</v>
      </c>
      <c r="V50" s="46">
        <f t="shared" si="5"/>
        <v>2673023</v>
      </c>
      <c r="W50" s="47" t="s">
        <v>1519</v>
      </c>
      <c r="X50" s="46" t="str">
        <f t="shared" si="6"/>
        <v>2</v>
      </c>
      <c r="Y50" s="47" t="s">
        <v>1518</v>
      </c>
      <c r="Z50" s="46" t="str">
        <f t="shared" si="7"/>
        <v>M</v>
      </c>
      <c r="AA50" s="47" t="s">
        <v>2752</v>
      </c>
      <c r="AB50" s="46" t="str">
        <f t="shared" si="8"/>
        <v>LUNES</v>
      </c>
      <c r="AC50" s="47" t="s">
        <v>2753</v>
      </c>
      <c r="AD50" t="str">
        <f t="shared" si="9"/>
        <v>CONTRATURNO</v>
      </c>
      <c r="AE50" s="47" t="s">
        <v>2754</v>
      </c>
      <c r="AH50" t="str">
        <f t="shared" si="10"/>
        <v>INSERT INTO horario_curso_materia (horario_curso_materia.FK_CUR_mat,horario_curso_materia.FK_HOR,horario_curso_materia.DIA,horario_curso_materia.tipo_turno) VALUES (  (SELECT curso_materia.ID_CUR_MAT FROM curso_materia WHERE curso_materia.CUPOF='2673023' ) ,
    (SELECT horario.ID_HOR FROM horario WHERE horario.modulo='2 ' and horario.turno='M ' ),'LUNES ' , 'CONTRATURNO ' );</v>
      </c>
    </row>
    <row r="51" spans="1:34" ht="15" hidden="1" customHeight="1" x14ac:dyDescent="0.3">
      <c r="A51" s="1" t="str">
        <f t="shared" si="0"/>
        <v>1°2°</v>
      </c>
      <c r="B51" s="54" t="str">
        <f t="shared" si="1"/>
        <v>1°2°4LUTARDE0</v>
      </c>
      <c r="C51" s="62">
        <f>VLOOKUP(G51,[1]Hoja1!$A:$O,3,0)</f>
        <v>0</v>
      </c>
      <c r="D51" s="2" t="str">
        <f t="shared" si="2"/>
        <v>4LUT</v>
      </c>
      <c r="E51" s="62" t="s">
        <v>31</v>
      </c>
      <c r="F51" s="62" t="s">
        <v>10</v>
      </c>
      <c r="G51" s="62" t="s">
        <v>270</v>
      </c>
      <c r="H51" s="8" t="str">
        <f>VLOOKUP(G51,[1]Hoja1!$A:$O,6,0)</f>
        <v>PRACTICA DEL LENGUAJE</v>
      </c>
      <c r="I51" s="4"/>
      <c r="J51" s="4"/>
      <c r="K51" s="80" t="str">
        <f t="shared" si="13"/>
        <v>LU</v>
      </c>
      <c r="L51" s="4"/>
      <c r="M51" s="86" t="str">
        <f>VLOOKUP(G51,[1]Hoja1!$A:$O,15,0)</f>
        <v xml:space="preserve">CAÑETE, JOHANA  </v>
      </c>
      <c r="N51" s="2" t="str">
        <f t="shared" si="4"/>
        <v>1°2°1LENLU</v>
      </c>
      <c r="O51" s="2"/>
      <c r="P51" s="2" t="str">
        <f>VLOOKUP(G51,[1]Hoja1!$A:$P,16,0)</f>
        <v xml:space="preserve"> </v>
      </c>
      <c r="Q51" s="2"/>
      <c r="S51">
        <f>VLOOKUP(G51,[1]Hoja1!$A:$O,5,0)</f>
        <v>733448</v>
      </c>
      <c r="U51" s="45" t="s">
        <v>2751</v>
      </c>
      <c r="V51" s="46">
        <f t="shared" si="5"/>
        <v>733448</v>
      </c>
      <c r="W51" s="47" t="s">
        <v>1519</v>
      </c>
      <c r="X51" s="46" t="str">
        <f t="shared" si="6"/>
        <v>4</v>
      </c>
      <c r="Y51" s="47" t="s">
        <v>1518</v>
      </c>
      <c r="Z51" s="46" t="str">
        <f t="shared" si="7"/>
        <v>T</v>
      </c>
      <c r="AA51" s="47" t="s">
        <v>2752</v>
      </c>
      <c r="AB51" s="46" t="str">
        <f t="shared" si="8"/>
        <v>LUNES</v>
      </c>
      <c r="AC51" s="47" t="s">
        <v>2753</v>
      </c>
      <c r="AD51">
        <f t="shared" si="9"/>
        <v>0</v>
      </c>
      <c r="AE51" s="47" t="s">
        <v>2754</v>
      </c>
      <c r="AH51" t="str">
        <f t="shared" si="10"/>
        <v>INSERT INTO horario_curso_materia (horario_curso_materia.FK_CUR_mat,horario_curso_materia.FK_HOR,horario_curso_materia.DIA,horario_curso_materia.tipo_turno) VALUES (  (SELECT curso_materia.ID_CUR_MAT FROM curso_materia WHERE curso_materia.CUPOF='733448' ) ,
    (SELECT horario.ID_HOR FROM horario WHERE horario.modulo='4 ' and horario.turno='T ' ),'LUNES ' , '0 ' );</v>
      </c>
    </row>
    <row r="52" spans="1:34" ht="15" hidden="1" customHeight="1" x14ac:dyDescent="0.3">
      <c r="A52" s="1" t="str">
        <f t="shared" si="0"/>
        <v>1°2°</v>
      </c>
      <c r="B52" s="54" t="str">
        <f t="shared" si="1"/>
        <v>1°2°2MAMAÑANA122</v>
      </c>
      <c r="C52" s="62">
        <f>VLOOKUP(G52,[1]Hoja1!$A:$O,3,0)</f>
        <v>122</v>
      </c>
      <c r="D52" s="2" t="str">
        <f t="shared" si="2"/>
        <v>2MAMCARPINTERIA</v>
      </c>
      <c r="E52" s="62" t="s">
        <v>19</v>
      </c>
      <c r="F52" s="62" t="s">
        <v>27</v>
      </c>
      <c r="G52" s="62" t="s">
        <v>33</v>
      </c>
      <c r="H52" s="8" t="str">
        <f>VLOOKUP(G52,[1]Hoja1!$A:$O,6,0)</f>
        <v>PROCEDIMIENTOS TECNICOS</v>
      </c>
      <c r="I52" s="4" t="s">
        <v>23</v>
      </c>
      <c r="J52" s="4"/>
      <c r="K52" s="80" t="str">
        <f t="shared" si="13"/>
        <v>MA</v>
      </c>
      <c r="L52" s="4" t="s">
        <v>512</v>
      </c>
      <c r="M52" s="86" t="str">
        <f>VLOOKUP(G52,[1]Hoja1!$A:$O,15,0)</f>
        <v xml:space="preserve">ETCHEVERRY MARTIN                            </v>
      </c>
      <c r="N52" s="2" t="str">
        <f t="shared" si="4"/>
        <v>1°2°1221TPTMA</v>
      </c>
      <c r="O52" s="2"/>
      <c r="P52" s="2" t="str">
        <f>VLOOKUP(G52,[1]Hoja1!$A:$P,16,0)</f>
        <v xml:space="preserve"> </v>
      </c>
      <c r="Q52" s="2"/>
      <c r="S52">
        <f>VLOOKUP(G52,[1]Hoja1!$A:$O,5,0)</f>
        <v>2673029</v>
      </c>
      <c r="U52" s="45" t="s">
        <v>2751</v>
      </c>
      <c r="V52" s="46">
        <f t="shared" si="5"/>
        <v>2673029</v>
      </c>
      <c r="W52" s="47" t="s">
        <v>1519</v>
      </c>
      <c r="X52" s="46" t="str">
        <f t="shared" si="6"/>
        <v>2</v>
      </c>
      <c r="Y52" s="47" t="s">
        <v>1518</v>
      </c>
      <c r="Z52" s="46" t="str">
        <f t="shared" si="7"/>
        <v>M</v>
      </c>
      <c r="AA52" s="47" t="s">
        <v>2752</v>
      </c>
      <c r="AB52" s="46" t="str">
        <f t="shared" si="8"/>
        <v>MARTES</v>
      </c>
      <c r="AC52" s="47" t="s">
        <v>2753</v>
      </c>
      <c r="AD52" t="str">
        <f t="shared" si="9"/>
        <v>CONTRATURNO</v>
      </c>
      <c r="AE52" s="47" t="s">
        <v>2754</v>
      </c>
      <c r="AH52" t="str">
        <f t="shared" si="10"/>
        <v>INSERT INTO horario_curso_materia (horario_curso_materia.FK_CUR_mat,horario_curso_materia.FK_HOR,horario_curso_materia.DIA,horario_curso_materia.tipo_turno) VALUES (  (SELECT curso_materia.ID_CUR_MAT FROM curso_materia WHERE curso_materia.CUPOF='2673029' ) ,
    (SELECT horario.ID_HOR FROM horario WHERE horario.modulo='2 ' and horario.turno='M ' ),'MARTES ' , 'CONTRATURNO ' );</v>
      </c>
    </row>
    <row r="53" spans="1:34" ht="15" hidden="1" customHeight="1" x14ac:dyDescent="0.3">
      <c r="A53" s="1" t="str">
        <f t="shared" si="0"/>
        <v>1°2°</v>
      </c>
      <c r="B53" s="54" t="str">
        <f t="shared" si="1"/>
        <v>1°2°2MATARDE0</v>
      </c>
      <c r="C53" s="62">
        <f>VLOOKUP(G53,[1]Hoja1!$A:$O,3,0)</f>
        <v>0</v>
      </c>
      <c r="D53" s="2" t="str">
        <f t="shared" si="2"/>
        <v>2MAT</v>
      </c>
      <c r="E53" s="62" t="s">
        <v>19</v>
      </c>
      <c r="F53" s="62" t="s">
        <v>10</v>
      </c>
      <c r="G53" s="62" t="s">
        <v>272</v>
      </c>
      <c r="H53" s="8" t="str">
        <f>VLOOKUP(G53,[1]Hoja1!$A:$O,6,0)</f>
        <v>MATEMATICA</v>
      </c>
      <c r="I53" s="4"/>
      <c r="J53" s="4"/>
      <c r="K53" s="80" t="str">
        <f t="shared" si="13"/>
        <v>MA</v>
      </c>
      <c r="L53" s="4"/>
      <c r="M53" s="86" t="str">
        <f>VLOOKUP(G53,[1]Hoja1!$A:$O,15,0)</f>
        <v xml:space="preserve">OVEJERO, JAVIER </v>
      </c>
      <c r="N53" s="2" t="str">
        <f t="shared" si="4"/>
        <v>1°2°1MATMA</v>
      </c>
      <c r="O53" s="2"/>
      <c r="P53" s="2" t="str">
        <f>VLOOKUP(G53,[1]Hoja1!$A:$P,16,0)</f>
        <v xml:space="preserve"> </v>
      </c>
      <c r="Q53" s="2"/>
      <c r="S53">
        <f>VLOOKUP(G53,[1]Hoja1!$A:$O,5,0)</f>
        <v>789732</v>
      </c>
      <c r="U53" s="45" t="s">
        <v>2751</v>
      </c>
      <c r="V53" s="46">
        <f t="shared" si="5"/>
        <v>789732</v>
      </c>
      <c r="W53" s="47" t="s">
        <v>1519</v>
      </c>
      <c r="X53" s="46" t="str">
        <f t="shared" si="6"/>
        <v>2</v>
      </c>
      <c r="Y53" s="47" t="s">
        <v>1518</v>
      </c>
      <c r="Z53" s="46" t="str">
        <f t="shared" si="7"/>
        <v>T</v>
      </c>
      <c r="AA53" s="47" t="s">
        <v>2752</v>
      </c>
      <c r="AB53" s="46" t="str">
        <f t="shared" si="8"/>
        <v>MARTES</v>
      </c>
      <c r="AC53" s="47" t="s">
        <v>2753</v>
      </c>
      <c r="AD53">
        <f t="shared" si="9"/>
        <v>0</v>
      </c>
      <c r="AE53" s="47" t="s">
        <v>2754</v>
      </c>
      <c r="AH53" t="str">
        <f t="shared" si="10"/>
        <v>INSERT INTO horario_curso_materia (horario_curso_materia.FK_CUR_mat,horario_curso_materia.FK_HOR,horario_curso_materia.DIA,horario_curso_materia.tipo_turno) VALUES (  (SELECT curso_materia.ID_CUR_MAT FROM curso_materia WHERE curso_materia.CUPOF='789732' ) ,
    (SELECT horario.ID_HOR FROM horario WHERE horario.modulo='2 ' and horario.turno='T ' ),'MARTES ' , '0 ' );</v>
      </c>
    </row>
    <row r="54" spans="1:34" ht="15" hidden="1" customHeight="1" x14ac:dyDescent="0.3">
      <c r="A54" s="1" t="str">
        <f t="shared" si="0"/>
        <v>1°2°</v>
      </c>
      <c r="B54" s="54" t="str">
        <f t="shared" si="1"/>
        <v>1°2°2MITARDE0</v>
      </c>
      <c r="C54" s="62">
        <f>VLOOKUP(G54,[1]Hoja1!$A:$O,3,0)</f>
        <v>0</v>
      </c>
      <c r="D54" s="2" t="str">
        <f t="shared" si="2"/>
        <v>2MIT</v>
      </c>
      <c r="E54" s="62" t="s">
        <v>26</v>
      </c>
      <c r="F54" s="62" t="s">
        <v>10</v>
      </c>
      <c r="G54" s="62" t="s">
        <v>270</v>
      </c>
      <c r="H54" s="8" t="str">
        <f>VLOOKUP(G54,[1]Hoja1!$A:$O,6,0)</f>
        <v>PRACTICA DEL LENGUAJE</v>
      </c>
      <c r="I54" s="4"/>
      <c r="J54" s="4"/>
      <c r="K54" s="80" t="str">
        <f t="shared" si="13"/>
        <v>MI</v>
      </c>
      <c r="L54" s="4"/>
      <c r="M54" s="86" t="str">
        <f>VLOOKUP(G54,[1]Hoja1!$A:$O,15,0)</f>
        <v xml:space="preserve">CAÑETE, JOHANA  </v>
      </c>
      <c r="N54" s="2" t="str">
        <f t="shared" si="4"/>
        <v>1°2°1LENMI</v>
      </c>
      <c r="O54" s="2"/>
      <c r="P54" s="2" t="str">
        <f>VLOOKUP(G54,[1]Hoja1!$A:$P,16,0)</f>
        <v xml:space="preserve"> </v>
      </c>
      <c r="Q54" s="2"/>
      <c r="S54">
        <f>VLOOKUP(G54,[1]Hoja1!$A:$O,5,0)</f>
        <v>733448</v>
      </c>
      <c r="U54" s="45" t="s">
        <v>2751</v>
      </c>
      <c r="V54" s="46">
        <f t="shared" si="5"/>
        <v>733448</v>
      </c>
      <c r="W54" s="47" t="s">
        <v>1519</v>
      </c>
      <c r="X54" s="46" t="str">
        <f t="shared" si="6"/>
        <v>2</v>
      </c>
      <c r="Y54" s="47" t="s">
        <v>1518</v>
      </c>
      <c r="Z54" s="46" t="str">
        <f t="shared" si="7"/>
        <v>T</v>
      </c>
      <c r="AA54" s="47" t="s">
        <v>2752</v>
      </c>
      <c r="AB54" s="46" t="str">
        <f t="shared" si="8"/>
        <v>MIERCOLES</v>
      </c>
      <c r="AC54" s="47" t="s">
        <v>2753</v>
      </c>
      <c r="AD54">
        <f t="shared" si="9"/>
        <v>0</v>
      </c>
      <c r="AE54" s="47" t="s">
        <v>2754</v>
      </c>
      <c r="AH54" t="str">
        <f t="shared" si="10"/>
        <v>INSERT INTO horario_curso_materia (horario_curso_materia.FK_CUR_mat,horario_curso_materia.FK_HOR,horario_curso_materia.DIA,horario_curso_materia.tipo_turno) VALUES (  (SELECT curso_materia.ID_CUR_MAT FROM curso_materia WHERE curso_materia.CUPOF='733448' ) ,
    (SELECT horario.ID_HOR FROM horario WHERE horario.modulo='2 ' and horario.turno='T ' ),'MIERCOLES ' , '0 ' );</v>
      </c>
    </row>
    <row r="55" spans="1:34" ht="15" hidden="1" customHeight="1" x14ac:dyDescent="0.3">
      <c r="A55" s="1" t="str">
        <f t="shared" si="0"/>
        <v>1°2°</v>
      </c>
      <c r="B55" s="54" t="str">
        <f t="shared" si="1"/>
        <v>1°2°2VITARDE0</v>
      </c>
      <c r="C55" s="62">
        <f>VLOOKUP(G55,[1]Hoja1!$A:$O,3,0)</f>
        <v>0</v>
      </c>
      <c r="D55" s="2" t="str">
        <f t="shared" si="2"/>
        <v>2VIT</v>
      </c>
      <c r="E55" s="62" t="s">
        <v>59</v>
      </c>
      <c r="F55" s="62" t="s">
        <v>10</v>
      </c>
      <c r="G55" s="62" t="s">
        <v>272</v>
      </c>
      <c r="H55" s="8" t="str">
        <f>VLOOKUP(G55,[1]Hoja1!$A:$O,6,0)</f>
        <v>MATEMATICA</v>
      </c>
      <c r="I55" s="4"/>
      <c r="J55" s="4"/>
      <c r="K55" s="80" t="str">
        <f t="shared" si="13"/>
        <v>VI</v>
      </c>
      <c r="L55" s="4"/>
      <c r="M55" s="86" t="str">
        <f>VLOOKUP(G55,[1]Hoja1!$A:$O,15,0)</f>
        <v xml:space="preserve">OVEJERO, JAVIER </v>
      </c>
      <c r="N55" s="2" t="str">
        <f t="shared" si="4"/>
        <v>1°2°1MATVI</v>
      </c>
      <c r="O55" s="2"/>
      <c r="P55" s="2" t="str">
        <f>VLOOKUP(G55,[1]Hoja1!$A:$P,16,0)</f>
        <v xml:space="preserve"> </v>
      </c>
      <c r="Q55" s="2"/>
      <c r="S55">
        <f>VLOOKUP(G55,[1]Hoja1!$A:$O,5,0)</f>
        <v>789732</v>
      </c>
      <c r="U55" s="45" t="s">
        <v>2751</v>
      </c>
      <c r="V55" s="46">
        <f t="shared" si="5"/>
        <v>789732</v>
      </c>
      <c r="W55" s="47" t="s">
        <v>1519</v>
      </c>
      <c r="X55" s="46" t="str">
        <f t="shared" si="6"/>
        <v>2</v>
      </c>
      <c r="Y55" s="47" t="s">
        <v>1518</v>
      </c>
      <c r="Z55" s="46" t="str">
        <f t="shared" si="7"/>
        <v>T</v>
      </c>
      <c r="AA55" s="47" t="s">
        <v>2752</v>
      </c>
      <c r="AB55" s="46" t="str">
        <f t="shared" si="8"/>
        <v>VIERNES</v>
      </c>
      <c r="AC55" s="47" t="s">
        <v>2753</v>
      </c>
      <c r="AD55">
        <f t="shared" si="9"/>
        <v>0</v>
      </c>
      <c r="AE55" s="47" t="s">
        <v>2754</v>
      </c>
      <c r="AH55" t="str">
        <f t="shared" si="10"/>
        <v>INSERT INTO horario_curso_materia (horario_curso_materia.FK_CUR_mat,horario_curso_materia.FK_HOR,horario_curso_materia.DIA,horario_curso_materia.tipo_turno) VALUES (  (SELECT curso_materia.ID_CUR_MAT FROM curso_materia WHERE curso_materia.CUPOF='789732' ) ,
    (SELECT horario.ID_HOR FROM horario WHERE horario.modulo='2 ' and horario.turno='T ' ),'VIERNES ' , '0 ' );</v>
      </c>
    </row>
    <row r="56" spans="1:34" ht="15" hidden="1" customHeight="1" x14ac:dyDescent="0.3">
      <c r="A56" s="1" t="str">
        <f t="shared" si="0"/>
        <v>1°2°</v>
      </c>
      <c r="B56" s="54" t="str">
        <f t="shared" si="1"/>
        <v>1°2°3juMAÑANA0</v>
      </c>
      <c r="C56" s="62">
        <f>VLOOKUP(G56,[1]Hoja1!$A:$O,3,0)</f>
        <v>0</v>
      </c>
      <c r="D56" s="2" t="str">
        <f t="shared" si="2"/>
        <v>3juMPATIO2</v>
      </c>
      <c r="E56" s="62" t="s">
        <v>1350</v>
      </c>
      <c r="F56" s="62" t="s">
        <v>27</v>
      </c>
      <c r="G56" s="62" t="s">
        <v>278</v>
      </c>
      <c r="H56" s="8" t="str">
        <f>VLOOKUP(G56,[1]Hoja1!$A:$O,6,0)</f>
        <v>EDUCACIÓN FISICA</v>
      </c>
      <c r="I56" s="4" t="s">
        <v>295</v>
      </c>
      <c r="J56" s="4"/>
      <c r="K56" s="80" t="str">
        <f t="shared" si="13"/>
        <v>ju</v>
      </c>
      <c r="L56" s="4" t="s">
        <v>512</v>
      </c>
      <c r="M56" s="86" t="str">
        <f>VLOOKUP(G56,[1]Hoja1!$A:$O,15,0)</f>
        <v xml:space="preserve">DE LA FUENTE F.        </v>
      </c>
      <c r="N56" s="2" t="str">
        <f t="shared" si="4"/>
        <v>1°2°1EFIju</v>
      </c>
      <c r="O56" s="2" t="s">
        <v>1446</v>
      </c>
      <c r="P56" s="2" t="str">
        <f>VLOOKUP(G56,[1]Hoja1!$A:$P,16,0)</f>
        <v xml:space="preserve"> </v>
      </c>
      <c r="Q56" s="2"/>
      <c r="S56">
        <f>VLOOKUP(G56,[1]Hoja1!$A:$O,5,0)</f>
        <v>839180</v>
      </c>
      <c r="U56" s="45" t="s">
        <v>2751</v>
      </c>
      <c r="V56" s="46">
        <f t="shared" si="5"/>
        <v>839180</v>
      </c>
      <c r="W56" s="47" t="s">
        <v>1519</v>
      </c>
      <c r="X56" s="46" t="str">
        <f t="shared" si="6"/>
        <v>3</v>
      </c>
      <c r="Y56" s="47" t="s">
        <v>1518</v>
      </c>
      <c r="Z56" s="46" t="str">
        <f t="shared" si="7"/>
        <v>M</v>
      </c>
      <c r="AA56" s="47" t="s">
        <v>2752</v>
      </c>
      <c r="AB56" s="46" t="str">
        <f t="shared" si="8"/>
        <v>JUEVES</v>
      </c>
      <c r="AC56" s="47" t="s">
        <v>2753</v>
      </c>
      <c r="AD56" t="str">
        <f t="shared" si="9"/>
        <v>CONTRATURNO</v>
      </c>
      <c r="AE56" s="47" t="s">
        <v>2754</v>
      </c>
      <c r="AH56" t="str">
        <f t="shared" si="10"/>
        <v>INSERT INTO horario_curso_materia (horario_curso_materia.FK_CUR_mat,horario_curso_materia.FK_HOR,horario_curso_materia.DIA,horario_curso_materia.tipo_turno) VALUES (  (SELECT curso_materia.ID_CUR_MAT FROM curso_materia WHERE curso_materia.CUPOF='839180' ) ,
    (SELECT horario.ID_HOR FROM horario WHERE horario.modulo='3 ' and horario.turno='M ' ),'JUEVES ' , 'CONTRATURNO ' );</v>
      </c>
    </row>
    <row r="57" spans="1:34" ht="15" hidden="1" customHeight="1" x14ac:dyDescent="0.3">
      <c r="A57" s="1" t="str">
        <f t="shared" si="0"/>
        <v>1°2°</v>
      </c>
      <c r="B57" s="54" t="str">
        <f t="shared" si="1"/>
        <v>1°2°3JUTARDE0</v>
      </c>
      <c r="C57" s="62">
        <f>VLOOKUP(G57,[1]Hoja1!$A:$O,3,0)</f>
        <v>0</v>
      </c>
      <c r="D57" s="2" t="str">
        <f t="shared" si="2"/>
        <v>3JUT</v>
      </c>
      <c r="E57" s="62" t="s">
        <v>46</v>
      </c>
      <c r="F57" s="62" t="s">
        <v>10</v>
      </c>
      <c r="G57" s="62" t="s">
        <v>274</v>
      </c>
      <c r="H57" s="8" t="str">
        <f>VLOOKUP(G57,[1]Hoja1!$A:$O,6,0)</f>
        <v>CIENCIAS SOCIALES</v>
      </c>
      <c r="I57" s="4"/>
      <c r="J57" s="4"/>
      <c r="K57" s="80" t="str">
        <f t="shared" si="13"/>
        <v>JU</v>
      </c>
      <c r="L57" s="4"/>
      <c r="M57" s="86" t="str">
        <f>VLOOKUP(G57,[1]Hoja1!$A:$O,15,0)</f>
        <v xml:space="preserve">LOPEZ MARINA  </v>
      </c>
      <c r="N57" s="2" t="str">
        <f t="shared" si="4"/>
        <v>1°2°1SOCJU</v>
      </c>
      <c r="O57" s="2"/>
      <c r="P57" s="2" t="str">
        <f>VLOOKUP(G57,[1]Hoja1!$A:$P,16,0)</f>
        <v xml:space="preserve"> </v>
      </c>
      <c r="Q57" s="2"/>
      <c r="S57">
        <f>VLOOKUP(G57,[1]Hoja1!$A:$O,5,0)</f>
        <v>2683145</v>
      </c>
      <c r="U57" s="45" t="s">
        <v>2751</v>
      </c>
      <c r="V57" s="46">
        <f t="shared" si="5"/>
        <v>2683145</v>
      </c>
      <c r="W57" s="47" t="s">
        <v>1519</v>
      </c>
      <c r="X57" s="46" t="str">
        <f t="shared" si="6"/>
        <v>3</v>
      </c>
      <c r="Y57" s="47" t="s">
        <v>1518</v>
      </c>
      <c r="Z57" s="46" t="str">
        <f t="shared" si="7"/>
        <v>T</v>
      </c>
      <c r="AA57" s="47" t="s">
        <v>2752</v>
      </c>
      <c r="AB57" s="46" t="str">
        <f t="shared" si="8"/>
        <v>JUEVES</v>
      </c>
      <c r="AC57" s="47" t="s">
        <v>2753</v>
      </c>
      <c r="AD57">
        <f t="shared" si="9"/>
        <v>0</v>
      </c>
      <c r="AE57" s="47" t="s">
        <v>2754</v>
      </c>
      <c r="AH57" t="str">
        <f t="shared" si="10"/>
        <v>INSERT INTO horario_curso_materia (horario_curso_materia.FK_CUR_mat,horario_curso_materia.FK_HOR,horario_curso_materia.DIA,horario_curso_materia.tipo_turno) VALUES (  (SELECT curso_materia.ID_CUR_MAT FROM curso_materia WHERE curso_materia.CUPOF='2683145' ) ,
    (SELECT horario.ID_HOR FROM horario WHERE horario.modulo='3 ' and horario.turno='T ' ),'JUEVES ' , '0 ' );</v>
      </c>
    </row>
    <row r="58" spans="1:34" ht="15" hidden="1" customHeight="1" x14ac:dyDescent="0.3">
      <c r="A58" s="1" t="str">
        <f t="shared" si="0"/>
        <v>1°2°</v>
      </c>
      <c r="B58" s="54" t="str">
        <f t="shared" si="1"/>
        <v>1°2°3LUMAÑANA121</v>
      </c>
      <c r="C58" s="62">
        <f>VLOOKUP(G58,[1]Hoja1!$A:$O,3,0)</f>
        <v>121</v>
      </c>
      <c r="D58" s="2" t="str">
        <f t="shared" si="2"/>
        <v>3LUM45</v>
      </c>
      <c r="E58" s="62" t="s">
        <v>29</v>
      </c>
      <c r="F58" s="62" t="s">
        <v>27</v>
      </c>
      <c r="G58" s="62" t="s">
        <v>32</v>
      </c>
      <c r="H58" s="8" t="str">
        <f>VLOOKUP(G58,[1]Hoja1!$A:$O,6,0)</f>
        <v>SISTEMAS TECNOLOGICOS</v>
      </c>
      <c r="I58" s="4">
        <v>45</v>
      </c>
      <c r="J58" s="4"/>
      <c r="K58" s="80" t="str">
        <f t="shared" si="13"/>
        <v>LU</v>
      </c>
      <c r="L58" s="4" t="s">
        <v>512</v>
      </c>
      <c r="M58" s="86" t="str">
        <f>VLOOKUP(G58,[1]Hoja1!$A:$O,15,0)</f>
        <v xml:space="preserve">ETCHEVERRY MARTIN                            </v>
      </c>
      <c r="N58" s="2" t="str">
        <f t="shared" si="4"/>
        <v>1°2°1211TSTLU</v>
      </c>
      <c r="O58" s="2"/>
      <c r="P58" s="2" t="str">
        <f>VLOOKUP(G58,[1]Hoja1!$A:$P,16,0)</f>
        <v xml:space="preserve"> </v>
      </c>
      <c r="Q58" s="2"/>
      <c r="S58">
        <f>VLOOKUP(G58,[1]Hoja1!$A:$O,5,0)</f>
        <v>2673025</v>
      </c>
      <c r="U58" s="45" t="s">
        <v>2751</v>
      </c>
      <c r="V58" s="46">
        <f t="shared" si="5"/>
        <v>2673025</v>
      </c>
      <c r="W58" s="47" t="s">
        <v>1519</v>
      </c>
      <c r="X58" s="46" t="str">
        <f t="shared" si="6"/>
        <v>3</v>
      </c>
      <c r="Y58" s="47" t="s">
        <v>1518</v>
      </c>
      <c r="Z58" s="46" t="str">
        <f t="shared" si="7"/>
        <v>M</v>
      </c>
      <c r="AA58" s="47" t="s">
        <v>2752</v>
      </c>
      <c r="AB58" s="46" t="str">
        <f t="shared" si="8"/>
        <v>LUNES</v>
      </c>
      <c r="AC58" s="47" t="s">
        <v>2753</v>
      </c>
      <c r="AD58" t="str">
        <f t="shared" si="9"/>
        <v>CONTRATURNO</v>
      </c>
      <c r="AE58" s="47" t="s">
        <v>2754</v>
      </c>
      <c r="AH58" t="str">
        <f t="shared" si="10"/>
        <v>INSERT INTO horario_curso_materia (horario_curso_materia.FK_CUR_mat,horario_curso_materia.FK_HOR,horario_curso_materia.DIA,horario_curso_materia.tipo_turno) VALUES (  (SELECT curso_materia.ID_CUR_MAT FROM curso_materia WHERE curso_materia.CUPOF='2673025' ) ,
    (SELECT horario.ID_HOR FROM horario WHERE horario.modulo='3 ' and horario.turno='M ' ),'LUNES ' , 'CONTRATURNO ' );</v>
      </c>
    </row>
    <row r="59" spans="1:34" ht="15" hidden="1" customHeight="1" x14ac:dyDescent="0.3">
      <c r="A59" s="1" t="str">
        <f t="shared" si="0"/>
        <v>1°2°</v>
      </c>
      <c r="B59" s="54" t="str">
        <f t="shared" si="1"/>
        <v>1°2°3LUMAÑANA122</v>
      </c>
      <c r="C59" s="62">
        <f>VLOOKUP(G59,[1]Hoja1!$A:$O,3,0)</f>
        <v>122</v>
      </c>
      <c r="D59" s="2" t="str">
        <f t="shared" si="2"/>
        <v>3LUMaula 4</v>
      </c>
      <c r="E59" s="62" t="s">
        <v>29</v>
      </c>
      <c r="F59" s="62" t="s">
        <v>27</v>
      </c>
      <c r="G59" s="62" t="s">
        <v>30</v>
      </c>
      <c r="H59" s="8" t="str">
        <f>VLOOKUP(G59,[1]Hoja1!$A:$O,6,0)</f>
        <v>LENGUAJES TECNOLOGICOS</v>
      </c>
      <c r="I59" s="4" t="s">
        <v>1437</v>
      </c>
      <c r="J59" s="4"/>
      <c r="K59" s="80" t="str">
        <f t="shared" si="13"/>
        <v>LU</v>
      </c>
      <c r="L59" s="4" t="s">
        <v>512</v>
      </c>
      <c r="M59" s="86" t="str">
        <f>VLOOKUP(G59,[1]Hoja1!$A:$O,15,0)</f>
        <v>VALLBONA MIRNA SOLEDAD                   27289218209</v>
      </c>
      <c r="N59" s="2" t="str">
        <f t="shared" si="4"/>
        <v>1°2°1221TLTLU</v>
      </c>
      <c r="O59" s="2"/>
      <c r="P59" s="2" t="str">
        <f>VLOOKUP(G59,[1]Hoja1!$A:$P,16,0)</f>
        <v xml:space="preserve"> </v>
      </c>
      <c r="Q59" s="2"/>
      <c r="S59">
        <f>VLOOKUP(G59,[1]Hoja1!$A:$O,5,0)</f>
        <v>2673027</v>
      </c>
      <c r="U59" s="45" t="s">
        <v>2751</v>
      </c>
      <c r="V59" s="46">
        <f t="shared" si="5"/>
        <v>2673027</v>
      </c>
      <c r="W59" s="47" t="s">
        <v>1519</v>
      </c>
      <c r="X59" s="46" t="str">
        <f t="shared" si="6"/>
        <v>3</v>
      </c>
      <c r="Y59" s="47" t="s">
        <v>1518</v>
      </c>
      <c r="Z59" s="46" t="str">
        <f t="shared" si="7"/>
        <v>M</v>
      </c>
      <c r="AA59" s="47" t="s">
        <v>2752</v>
      </c>
      <c r="AB59" s="46" t="str">
        <f t="shared" si="8"/>
        <v>LUNES</v>
      </c>
      <c r="AC59" s="47" t="s">
        <v>2753</v>
      </c>
      <c r="AD59" t="str">
        <f t="shared" si="9"/>
        <v>CONTRATURNO</v>
      </c>
      <c r="AE59" s="47" t="s">
        <v>2754</v>
      </c>
      <c r="AH59" t="str">
        <f t="shared" si="10"/>
        <v>INSERT INTO horario_curso_materia (horario_curso_materia.FK_CUR_mat,horario_curso_materia.FK_HOR,horario_curso_materia.DIA,horario_curso_materia.tipo_turno) VALUES (  (SELECT curso_materia.ID_CUR_MAT FROM curso_materia WHERE curso_materia.CUPOF='2673027' ) ,
    (SELECT horario.ID_HOR FROM horario WHERE horario.modulo='3 ' and horario.turno='M ' ),'LUNES ' , 'CONTRATURNO ' );</v>
      </c>
    </row>
    <row r="60" spans="1:34" ht="15" hidden="1" customHeight="1" x14ac:dyDescent="0.3">
      <c r="A60" s="1" t="str">
        <f t="shared" si="0"/>
        <v>1°2°</v>
      </c>
      <c r="B60" s="54" t="str">
        <f t="shared" si="1"/>
        <v>1°2°1LUTARDE0</v>
      </c>
      <c r="C60" s="62">
        <f>VLOOKUP(G60,[1]Hoja1!$A:$O,3,0)</f>
        <v>0</v>
      </c>
      <c r="D60" s="2" t="str">
        <f t="shared" si="2"/>
        <v>1LUT</v>
      </c>
      <c r="E60" s="62" t="s">
        <v>9</v>
      </c>
      <c r="F60" s="62" t="s">
        <v>10</v>
      </c>
      <c r="G60" s="62" t="s">
        <v>271</v>
      </c>
      <c r="H60" s="8" t="str">
        <f>VLOOKUP(G60,[1]Hoja1!$A:$O,6,0)</f>
        <v>CIENCIAS NATURALES</v>
      </c>
      <c r="I60" s="4"/>
      <c r="J60" s="4"/>
      <c r="K60" s="80" t="str">
        <f t="shared" si="13"/>
        <v>LU</v>
      </c>
      <c r="L60" s="4"/>
      <c r="M60" s="86" t="str">
        <f>VLOOKUP(G60,[1]Hoja1!$A:$O,15,0)</f>
        <v xml:space="preserve">ESPINDOLA SERGIO                          </v>
      </c>
      <c r="N60" s="2" t="str">
        <f t="shared" si="4"/>
        <v>1°2°1NATLU</v>
      </c>
      <c r="O60" s="2"/>
      <c r="P60" s="2" t="str">
        <f>VLOOKUP(G60,[1]Hoja1!$A:$P,16,0)</f>
        <v xml:space="preserve"> </v>
      </c>
      <c r="Q60" s="2"/>
      <c r="S60">
        <f>VLOOKUP(G60,[1]Hoja1!$A:$O,5,0)</f>
        <v>733711</v>
      </c>
      <c r="U60" s="45" t="s">
        <v>2751</v>
      </c>
      <c r="V60" s="46">
        <f t="shared" si="5"/>
        <v>733711</v>
      </c>
      <c r="W60" s="47" t="s">
        <v>1519</v>
      </c>
      <c r="X60" s="46" t="str">
        <f t="shared" si="6"/>
        <v>1</v>
      </c>
      <c r="Y60" s="47" t="s">
        <v>1518</v>
      </c>
      <c r="Z60" s="46" t="str">
        <f t="shared" si="7"/>
        <v>T</v>
      </c>
      <c r="AA60" s="47" t="s">
        <v>2752</v>
      </c>
      <c r="AB60" s="46" t="str">
        <f t="shared" si="8"/>
        <v>LUNES</v>
      </c>
      <c r="AC60" s="47" t="s">
        <v>2753</v>
      </c>
      <c r="AD60">
        <f t="shared" si="9"/>
        <v>0</v>
      </c>
      <c r="AE60" s="47" t="s">
        <v>2754</v>
      </c>
      <c r="AH60" t="str">
        <f t="shared" si="10"/>
        <v>INSERT INTO horario_curso_materia (horario_curso_materia.FK_CUR_mat,horario_curso_materia.FK_HOR,horario_curso_materia.DIA,horario_curso_materia.tipo_turno) VALUES (  (SELECT curso_materia.ID_CUR_MAT FROM curso_materia WHERE curso_materia.CUPOF='733711' ) ,
    (SELECT horario.ID_HOR FROM horario WHERE horario.modulo='1 ' and horario.turno='T ' ),'LUNES ' , '0 ' );</v>
      </c>
    </row>
    <row r="61" spans="1:34" ht="15" hidden="1" customHeight="1" x14ac:dyDescent="0.3">
      <c r="A61" s="1" t="str">
        <f t="shared" si="0"/>
        <v>1°2°</v>
      </c>
      <c r="B61" s="54" t="str">
        <f t="shared" si="1"/>
        <v>1°2°3MATARDE0</v>
      </c>
      <c r="C61" s="62">
        <f>VLOOKUP(G61,[1]Hoja1!$A:$O,3,0)</f>
        <v>0</v>
      </c>
      <c r="D61" s="2" t="str">
        <f t="shared" si="2"/>
        <v>3MAT</v>
      </c>
      <c r="E61" s="62" t="s">
        <v>13</v>
      </c>
      <c r="F61" s="62" t="s">
        <v>10</v>
      </c>
      <c r="G61" s="62" t="s">
        <v>273</v>
      </c>
      <c r="H61" s="8" t="str">
        <f>VLOOKUP(G61,[1]Hoja1!$A:$O,6,0)</f>
        <v>INGLÉS</v>
      </c>
      <c r="I61" s="4"/>
      <c r="J61" s="4"/>
      <c r="K61" s="80" t="str">
        <f t="shared" si="13"/>
        <v>MA</v>
      </c>
      <c r="L61" s="4"/>
      <c r="M61" s="86" t="str">
        <f>VLOOKUP(G61,[1]Hoja1!$A:$O,15,0)</f>
        <v xml:space="preserve">ARCE KARINA </v>
      </c>
      <c r="N61" s="2" t="str">
        <f t="shared" si="4"/>
        <v>1°2°1INGMA</v>
      </c>
      <c r="O61" s="2"/>
      <c r="P61" s="2" t="str">
        <f>VLOOKUP(G61,[1]Hoja1!$A:$P,16,0)</f>
        <v xml:space="preserve"> </v>
      </c>
      <c r="Q61" s="2"/>
      <c r="S61">
        <f>VLOOKUP(G61,[1]Hoja1!$A:$O,5,0)</f>
        <v>891876</v>
      </c>
      <c r="U61" s="45" t="s">
        <v>2751</v>
      </c>
      <c r="V61" s="46">
        <f t="shared" si="5"/>
        <v>891876</v>
      </c>
      <c r="W61" s="47" t="s">
        <v>1519</v>
      </c>
      <c r="X61" s="46" t="str">
        <f t="shared" si="6"/>
        <v>3</v>
      </c>
      <c r="Y61" s="47" t="s">
        <v>1518</v>
      </c>
      <c r="Z61" s="46" t="str">
        <f t="shared" si="7"/>
        <v>T</v>
      </c>
      <c r="AA61" s="47" t="s">
        <v>2752</v>
      </c>
      <c r="AB61" s="46" t="str">
        <f t="shared" si="8"/>
        <v>MARTES</v>
      </c>
      <c r="AC61" s="47" t="s">
        <v>2753</v>
      </c>
      <c r="AD61">
        <f t="shared" si="9"/>
        <v>0</v>
      </c>
      <c r="AE61" s="47" t="s">
        <v>2754</v>
      </c>
      <c r="AH61" t="str">
        <f t="shared" si="10"/>
        <v>INSERT INTO horario_curso_materia (horario_curso_materia.FK_CUR_mat,horario_curso_materia.FK_HOR,horario_curso_materia.DIA,horario_curso_materia.tipo_turno) VALUES (  (SELECT curso_materia.ID_CUR_MAT FROM curso_materia WHERE curso_materia.CUPOF='891876' ) ,
    (SELECT horario.ID_HOR FROM horario WHERE horario.modulo='3 ' and horario.turno='T ' ),'MARTES ' , '0 ' );</v>
      </c>
    </row>
    <row r="62" spans="1:34" ht="15" hidden="1" customHeight="1" x14ac:dyDescent="0.3">
      <c r="A62" s="1" t="str">
        <f t="shared" si="0"/>
        <v>1°2°</v>
      </c>
      <c r="B62" s="54" t="str">
        <f t="shared" si="1"/>
        <v>1°2°3MITARDE0</v>
      </c>
      <c r="C62" s="62">
        <f>VLOOKUP(G62,[1]Hoja1!$A:$O,3,0)</f>
        <v>0</v>
      </c>
      <c r="D62" s="2" t="str">
        <f t="shared" si="2"/>
        <v>3MIT</v>
      </c>
      <c r="E62" s="62" t="s">
        <v>50</v>
      </c>
      <c r="F62" s="62" t="s">
        <v>10</v>
      </c>
      <c r="G62" s="62" t="s">
        <v>274</v>
      </c>
      <c r="H62" s="8" t="str">
        <f>VLOOKUP(G62,[1]Hoja1!$A:$O,6,0)</f>
        <v>CIENCIAS SOCIALES</v>
      </c>
      <c r="I62" s="4"/>
      <c r="J62" s="4"/>
      <c r="K62" s="80" t="str">
        <f t="shared" si="13"/>
        <v>MI</v>
      </c>
      <c r="L62" s="4"/>
      <c r="M62" s="86" t="str">
        <f>VLOOKUP(G62,[1]Hoja1!$A:$O,15,0)</f>
        <v xml:space="preserve">LOPEZ MARINA  </v>
      </c>
      <c r="N62" s="2" t="str">
        <f t="shared" si="4"/>
        <v>1°2°1SOCMI</v>
      </c>
      <c r="O62" s="2"/>
      <c r="P62" s="2" t="str">
        <f>VLOOKUP(G62,[1]Hoja1!$A:$P,16,0)</f>
        <v xml:space="preserve"> </v>
      </c>
      <c r="Q62" s="2"/>
      <c r="S62">
        <f>VLOOKUP(G62,[1]Hoja1!$A:$O,5,0)</f>
        <v>2683145</v>
      </c>
      <c r="U62" s="45" t="s">
        <v>2751</v>
      </c>
      <c r="V62" s="46">
        <f t="shared" si="5"/>
        <v>2683145</v>
      </c>
      <c r="W62" s="47" t="s">
        <v>1519</v>
      </c>
      <c r="X62" s="46" t="str">
        <f t="shared" si="6"/>
        <v>3</v>
      </c>
      <c r="Y62" s="47" t="s">
        <v>1518</v>
      </c>
      <c r="Z62" s="46" t="str">
        <f t="shared" si="7"/>
        <v>T</v>
      </c>
      <c r="AA62" s="47" t="s">
        <v>2752</v>
      </c>
      <c r="AB62" s="46" t="str">
        <f t="shared" si="8"/>
        <v>MIERCOLES</v>
      </c>
      <c r="AC62" s="47" t="s">
        <v>2753</v>
      </c>
      <c r="AD62">
        <f t="shared" si="9"/>
        <v>0</v>
      </c>
      <c r="AE62" s="47" t="s">
        <v>2754</v>
      </c>
      <c r="AH62" t="str">
        <f t="shared" si="10"/>
        <v>INSERT INTO horario_curso_materia (horario_curso_materia.FK_CUR_mat,horario_curso_materia.FK_HOR,horario_curso_materia.DIA,horario_curso_materia.tipo_turno) VALUES (  (SELECT curso_materia.ID_CUR_MAT FROM curso_materia WHERE curso_materia.CUPOF='2683145' ) ,
    (SELECT horario.ID_HOR FROM horario WHERE horario.modulo='3 ' and horario.turno='T ' ),'MIERCOLES ' , '0 ' );</v>
      </c>
    </row>
    <row r="63" spans="1:34" ht="15" hidden="1" customHeight="1" x14ac:dyDescent="0.3">
      <c r="A63" s="1" t="str">
        <f t="shared" si="0"/>
        <v>1°2°</v>
      </c>
      <c r="B63" s="54" t="str">
        <f t="shared" si="1"/>
        <v>1°2°3VIMAÑANA121</v>
      </c>
      <c r="C63" s="62">
        <v>121</v>
      </c>
      <c r="D63" s="2" t="str">
        <f t="shared" si="2"/>
        <v>3VIMCARPINTERIA</v>
      </c>
      <c r="E63" s="68" t="s">
        <v>35</v>
      </c>
      <c r="F63" s="62" t="s">
        <v>27</v>
      </c>
      <c r="G63" s="62" t="s">
        <v>553</v>
      </c>
      <c r="H63" s="8" t="str">
        <f>VLOOKUP(G63,[1]Hoja1!$A:$O,6,0)</f>
        <v>PROCEDIMIENTOS TECNICOS</v>
      </c>
      <c r="I63" s="4" t="s">
        <v>23</v>
      </c>
      <c r="J63" s="4"/>
      <c r="K63" s="80" t="str">
        <f t="shared" si="13"/>
        <v>VI</v>
      </c>
      <c r="L63" s="4" t="s">
        <v>512</v>
      </c>
      <c r="M63" s="86" t="str">
        <f>VLOOKUP(G63,[1]Hoja1!$A:$O,15,0)</f>
        <v xml:space="preserve">ETCHEVERRY MARTIN                            </v>
      </c>
      <c r="N63" s="2" t="str">
        <f t="shared" si="4"/>
        <v>1°2°1211TPTVI</v>
      </c>
      <c r="O63" s="2"/>
      <c r="P63" s="2" t="str">
        <f>VLOOKUP(G63,[1]Hoja1!$A:$P,16,0)</f>
        <v xml:space="preserve"> </v>
      </c>
      <c r="Q63" s="2"/>
      <c r="S63">
        <f>VLOOKUP(G63,[1]Hoja1!$A:$O,5,0)</f>
        <v>2673026</v>
      </c>
      <c r="U63" s="45" t="s">
        <v>2751</v>
      </c>
      <c r="V63" s="46">
        <f t="shared" si="5"/>
        <v>2673026</v>
      </c>
      <c r="W63" s="47" t="s">
        <v>1519</v>
      </c>
      <c r="X63" s="46" t="str">
        <f t="shared" si="6"/>
        <v>3</v>
      </c>
      <c r="Y63" s="47" t="s">
        <v>1518</v>
      </c>
      <c r="Z63" s="46" t="str">
        <f t="shared" si="7"/>
        <v>M</v>
      </c>
      <c r="AA63" s="47" t="s">
        <v>2752</v>
      </c>
      <c r="AB63" s="46" t="str">
        <f t="shared" si="8"/>
        <v>VIERNES</v>
      </c>
      <c r="AC63" s="47" t="s">
        <v>2753</v>
      </c>
      <c r="AD63" t="str">
        <f t="shared" si="9"/>
        <v>CONTRATURNO</v>
      </c>
      <c r="AE63" s="47" t="s">
        <v>2754</v>
      </c>
      <c r="AH63" t="str">
        <f t="shared" si="10"/>
        <v>INSERT INTO horario_curso_materia (horario_curso_materia.FK_CUR_mat,horario_curso_materia.FK_HOR,horario_curso_materia.DIA,horario_curso_materia.tipo_turno) VALUES (  (SELECT curso_materia.ID_CUR_MAT FROM curso_materia WHERE curso_materia.CUPOF='2673026' ) ,
    (SELECT horario.ID_HOR FROM horario WHERE horario.modulo='3 ' and horario.turno='M ' ),'VIERNES ' , 'CONTRATURNO ' );</v>
      </c>
    </row>
    <row r="64" spans="1:34" ht="15" hidden="1" customHeight="1" x14ac:dyDescent="0.3">
      <c r="A64" s="1" t="str">
        <f t="shared" si="0"/>
        <v>1°2°</v>
      </c>
      <c r="B64" s="54" t="str">
        <f t="shared" si="1"/>
        <v>1°2°3viMAÑANA122</v>
      </c>
      <c r="C64" s="62">
        <f>VLOOKUP(G64,[1]Hoja1!$A:$O,3,0)</f>
        <v>122</v>
      </c>
      <c r="D64" s="2" t="str">
        <f t="shared" si="2"/>
        <v>3viMaula 1</v>
      </c>
      <c r="E64" s="62" t="s">
        <v>1336</v>
      </c>
      <c r="F64" s="62" t="s">
        <v>27</v>
      </c>
      <c r="G64" s="62" t="s">
        <v>34</v>
      </c>
      <c r="H64" s="8" t="str">
        <f>VLOOKUP(G64,[1]Hoja1!$A:$O,6,0)</f>
        <v>SISTEMAS TECNOLOGICOS</v>
      </c>
      <c r="I64" s="4" t="s">
        <v>1489</v>
      </c>
      <c r="J64" s="4"/>
      <c r="K64" s="80" t="str">
        <f t="shared" si="13"/>
        <v>vi</v>
      </c>
      <c r="L64" s="4" t="s">
        <v>512</v>
      </c>
      <c r="M64" s="86" t="str">
        <f>VLOOKUP(G64,[1]Hoja1!$A:$O,15,0)</f>
        <v xml:space="preserve">ESCALADA ARNALDO     </v>
      </c>
      <c r="N64" s="2" t="str">
        <f t="shared" si="4"/>
        <v>1°2°1221TSTvi</v>
      </c>
      <c r="O64" s="2"/>
      <c r="P64" s="2" t="str">
        <f>VLOOKUP(G64,[1]Hoja1!$A:$P,16,0)</f>
        <v xml:space="preserve"> </v>
      </c>
      <c r="Q64" s="2"/>
      <c r="S64">
        <f>VLOOKUP(G64,[1]Hoja1!$A:$O,5,0)</f>
        <v>2673028</v>
      </c>
      <c r="U64" s="45" t="s">
        <v>2751</v>
      </c>
      <c r="V64" s="46">
        <f t="shared" si="5"/>
        <v>2673028</v>
      </c>
      <c r="W64" s="47" t="s">
        <v>1519</v>
      </c>
      <c r="X64" s="46" t="str">
        <f t="shared" si="6"/>
        <v>3</v>
      </c>
      <c r="Y64" s="47" t="s">
        <v>1518</v>
      </c>
      <c r="Z64" s="46" t="str">
        <f t="shared" si="7"/>
        <v>M</v>
      </c>
      <c r="AA64" s="47" t="s">
        <v>2752</v>
      </c>
      <c r="AB64" s="46" t="str">
        <f t="shared" si="8"/>
        <v>VIERNES</v>
      </c>
      <c r="AC64" s="47" t="s">
        <v>2753</v>
      </c>
      <c r="AD64" t="str">
        <f t="shared" si="9"/>
        <v>CONTRATURNO</v>
      </c>
      <c r="AE64" s="47" t="s">
        <v>2754</v>
      </c>
      <c r="AH64" t="str">
        <f t="shared" si="10"/>
        <v>INSERT INTO horario_curso_materia (horario_curso_materia.FK_CUR_mat,horario_curso_materia.FK_HOR,horario_curso_materia.DIA,horario_curso_materia.tipo_turno) VALUES (  (SELECT curso_materia.ID_CUR_MAT FROM curso_materia WHERE curso_materia.CUPOF='2673028' ) ,
    (SELECT horario.ID_HOR FROM horario WHERE horario.modulo='3 ' and horario.turno='M ' ),'VIERNES ' , 'CONTRATURNO ' );</v>
      </c>
    </row>
    <row r="65" spans="1:34" ht="15" hidden="1" customHeight="1" x14ac:dyDescent="0.3">
      <c r="A65" s="1" t="str">
        <f t="shared" si="0"/>
        <v>1°2°</v>
      </c>
      <c r="B65" s="54" t="str">
        <f t="shared" si="1"/>
        <v>1°2°3VITARDE0</v>
      </c>
      <c r="C65" s="62">
        <f>VLOOKUP(G65,[1]Hoja1!$A:$O,3,0)</f>
        <v>0</v>
      </c>
      <c r="D65" s="2" t="str">
        <f t="shared" si="2"/>
        <v>3VIT</v>
      </c>
      <c r="E65" s="62" t="s">
        <v>35</v>
      </c>
      <c r="F65" s="62" t="s">
        <v>10</v>
      </c>
      <c r="G65" s="62" t="s">
        <v>277</v>
      </c>
      <c r="H65" s="8" t="str">
        <f>VLOOKUP(G65,[1]Hoja1!$A:$O,6,0)</f>
        <v>EDUCACION ARTISTICA (PLASTICA)</v>
      </c>
      <c r="I65" s="4"/>
      <c r="J65" s="4"/>
      <c r="K65" s="80" t="str">
        <f t="shared" si="13"/>
        <v>VI</v>
      </c>
      <c r="L65" s="4"/>
      <c r="M65" s="86" t="str">
        <f>VLOOKUP(G65,[1]Hoja1!$A:$O,15,0)</f>
        <v xml:space="preserve">FIGUEROA CARLOS </v>
      </c>
      <c r="N65" s="2" t="str">
        <f t="shared" si="4"/>
        <v>1°2°1ARTVI</v>
      </c>
      <c r="O65" s="2"/>
      <c r="P65" s="2" t="str">
        <f>VLOOKUP(G65,[1]Hoja1!$A:$P,16,0)</f>
        <v xml:space="preserve"> </v>
      </c>
      <c r="Q65" s="2"/>
      <c r="S65">
        <f>VLOOKUP(G65,[1]Hoja1!$A:$O,5,0)</f>
        <v>733441</v>
      </c>
      <c r="U65" s="45" t="s">
        <v>2751</v>
      </c>
      <c r="V65" s="46">
        <f t="shared" si="5"/>
        <v>733441</v>
      </c>
      <c r="W65" s="47" t="s">
        <v>1519</v>
      </c>
      <c r="X65" s="46" t="str">
        <f t="shared" si="6"/>
        <v>3</v>
      </c>
      <c r="Y65" s="47" t="s">
        <v>1518</v>
      </c>
      <c r="Z65" s="46" t="str">
        <f t="shared" si="7"/>
        <v>T</v>
      </c>
      <c r="AA65" s="47" t="s">
        <v>2752</v>
      </c>
      <c r="AB65" s="46" t="str">
        <f t="shared" si="8"/>
        <v>VIERNES</v>
      </c>
      <c r="AC65" s="47" t="s">
        <v>2753</v>
      </c>
      <c r="AD65">
        <f t="shared" si="9"/>
        <v>0</v>
      </c>
      <c r="AE65" s="47" t="s">
        <v>2754</v>
      </c>
      <c r="AH65" t="str">
        <f t="shared" si="10"/>
        <v>INSERT INTO horario_curso_materia (horario_curso_materia.FK_CUR_mat,horario_curso_materia.FK_HOR,horario_curso_materia.DIA,horario_curso_materia.tipo_turno) VALUES (  (SELECT curso_materia.ID_CUR_MAT FROM curso_materia WHERE curso_materia.CUPOF='733441' ) ,
    (SELECT horario.ID_HOR FROM horario WHERE horario.modulo='3 ' and horario.turno='T ' ),'VIERNES ' , '0 ' );</v>
      </c>
    </row>
    <row r="66" spans="1:34" ht="15" hidden="1" customHeight="1" x14ac:dyDescent="0.3">
      <c r="A66" s="1" t="str">
        <f t="shared" si="0"/>
        <v>1°2°</v>
      </c>
      <c r="B66" s="54" t="str">
        <f t="shared" si="1"/>
        <v>1°2°4juMAÑANA0</v>
      </c>
      <c r="C66" s="62">
        <f>VLOOKUP(G66,[1]Hoja1!$A:$O,3,0)</f>
        <v>0</v>
      </c>
      <c r="D66" s="2" t="str">
        <f t="shared" si="2"/>
        <v>4juMPATIO2</v>
      </c>
      <c r="E66" s="62" t="s">
        <v>1351</v>
      </c>
      <c r="F66" s="62" t="s">
        <v>27</v>
      </c>
      <c r="G66" s="62" t="s">
        <v>278</v>
      </c>
      <c r="H66" s="8" t="str">
        <f>VLOOKUP(G66,[1]Hoja1!$A:$O,6,0)</f>
        <v>EDUCACIÓN FISICA</v>
      </c>
      <c r="I66" s="4" t="s">
        <v>295</v>
      </c>
      <c r="J66" s="4"/>
      <c r="K66" s="80" t="str">
        <f t="shared" si="13"/>
        <v>ju</v>
      </c>
      <c r="L66" s="4" t="s">
        <v>512</v>
      </c>
      <c r="M66" s="86" t="str">
        <f>VLOOKUP(G66,[1]Hoja1!$A:$O,15,0)</f>
        <v xml:space="preserve">DE LA FUENTE F.        </v>
      </c>
      <c r="N66" s="2" t="str">
        <f t="shared" si="4"/>
        <v>1°2°1EFIju</v>
      </c>
      <c r="O66" s="2"/>
      <c r="P66" s="2" t="str">
        <f>VLOOKUP(G66,[1]Hoja1!$A:$P,16,0)</f>
        <v xml:space="preserve"> </v>
      </c>
      <c r="Q66" s="2"/>
      <c r="S66">
        <f>VLOOKUP(G66,[1]Hoja1!$A:$O,5,0)</f>
        <v>839180</v>
      </c>
      <c r="U66" s="45" t="s">
        <v>2751</v>
      </c>
      <c r="V66" s="46">
        <f t="shared" si="5"/>
        <v>839180</v>
      </c>
      <c r="W66" s="47" t="s">
        <v>1519</v>
      </c>
      <c r="X66" s="46" t="str">
        <f t="shared" si="6"/>
        <v>4</v>
      </c>
      <c r="Y66" s="47" t="s">
        <v>1518</v>
      </c>
      <c r="Z66" s="46" t="str">
        <f t="shared" si="7"/>
        <v>M</v>
      </c>
      <c r="AA66" s="47" t="s">
        <v>2752</v>
      </c>
      <c r="AB66" s="46" t="str">
        <f t="shared" si="8"/>
        <v>JUEVES</v>
      </c>
      <c r="AC66" s="47" t="s">
        <v>2753</v>
      </c>
      <c r="AD66" t="str">
        <f t="shared" si="9"/>
        <v>CONTRATURNO</v>
      </c>
      <c r="AE66" s="47" t="s">
        <v>2754</v>
      </c>
      <c r="AH66" t="str">
        <f t="shared" si="10"/>
        <v>INSERT INTO horario_curso_materia (horario_curso_materia.FK_CUR_mat,horario_curso_materia.FK_HOR,horario_curso_materia.DIA,horario_curso_materia.tipo_turno) VALUES (  (SELECT curso_materia.ID_CUR_MAT FROM curso_materia WHERE curso_materia.CUPOF='839180' ) ,
    (SELECT horario.ID_HOR FROM horario WHERE horario.modulo='4 ' and horario.turno='M ' ),'JUEVES ' , 'CONTRATURNO ' );</v>
      </c>
    </row>
    <row r="67" spans="1:34" ht="15" hidden="1" customHeight="1" x14ac:dyDescent="0.3">
      <c r="A67" s="1" t="str">
        <f t="shared" si="0"/>
        <v>1°2°</v>
      </c>
      <c r="B67" s="54" t="str">
        <f t="shared" si="1"/>
        <v>1°2°4JUTARDE0</v>
      </c>
      <c r="C67" s="62">
        <f>VLOOKUP(G67,[1]Hoja1!$A:$O,3,0)</f>
        <v>0</v>
      </c>
      <c r="D67" s="2" t="str">
        <f t="shared" si="2"/>
        <v>4JUT</v>
      </c>
      <c r="E67" s="62" t="s">
        <v>48</v>
      </c>
      <c r="F67" s="62" t="s">
        <v>10</v>
      </c>
      <c r="G67" s="62" t="s">
        <v>274</v>
      </c>
      <c r="H67" s="8" t="str">
        <f>VLOOKUP(G67,[1]Hoja1!$A:$O,6,0)</f>
        <v>CIENCIAS SOCIALES</v>
      </c>
      <c r="I67" s="4"/>
      <c r="J67" s="4"/>
      <c r="K67" s="80" t="str">
        <f t="shared" si="13"/>
        <v>JU</v>
      </c>
      <c r="L67" s="4"/>
      <c r="M67" s="86" t="str">
        <f>VLOOKUP(G67,[1]Hoja1!$A:$O,15,0)</f>
        <v xml:space="preserve">LOPEZ MARINA  </v>
      </c>
      <c r="N67" s="2" t="str">
        <f t="shared" si="4"/>
        <v>1°2°1SOCJU</v>
      </c>
      <c r="O67" s="2"/>
      <c r="P67" s="2" t="str">
        <f>VLOOKUP(G67,[1]Hoja1!$A:$P,16,0)</f>
        <v xml:space="preserve"> </v>
      </c>
      <c r="Q67" s="2"/>
      <c r="S67">
        <f>VLOOKUP(G67,[1]Hoja1!$A:$O,5,0)</f>
        <v>2683145</v>
      </c>
      <c r="U67" s="45" t="s">
        <v>2751</v>
      </c>
      <c r="V67" s="46">
        <f t="shared" si="5"/>
        <v>2683145</v>
      </c>
      <c r="W67" s="47" t="s">
        <v>1519</v>
      </c>
      <c r="X67" s="46" t="str">
        <f t="shared" si="6"/>
        <v>4</v>
      </c>
      <c r="Y67" s="47" t="s">
        <v>1518</v>
      </c>
      <c r="Z67" s="46" t="str">
        <f t="shared" si="7"/>
        <v>T</v>
      </c>
      <c r="AA67" s="47" t="s">
        <v>2752</v>
      </c>
      <c r="AB67" s="46" t="str">
        <f t="shared" si="8"/>
        <v>JUEVES</v>
      </c>
      <c r="AC67" s="47" t="s">
        <v>2753</v>
      </c>
      <c r="AD67">
        <f t="shared" si="9"/>
        <v>0</v>
      </c>
      <c r="AE67" s="47" t="s">
        <v>2754</v>
      </c>
      <c r="AH67" t="str">
        <f t="shared" si="10"/>
        <v>INSERT INTO horario_curso_materia (horario_curso_materia.FK_CUR_mat,horario_curso_materia.FK_HOR,horario_curso_materia.DIA,horario_curso_materia.tipo_turno) VALUES (  (SELECT curso_materia.ID_CUR_MAT FROM curso_materia WHERE curso_materia.CUPOF='2683145' ) ,
    (SELECT horario.ID_HOR FROM horario WHERE horario.modulo='4 ' and horario.turno='T ' ),'JUEVES ' , '0 ' );</v>
      </c>
    </row>
    <row r="68" spans="1:34" ht="15" hidden="1" customHeight="1" x14ac:dyDescent="0.3">
      <c r="A68" s="1" t="str">
        <f t="shared" si="0"/>
        <v>1°2°</v>
      </c>
      <c r="B68" s="54" t="str">
        <f t="shared" si="1"/>
        <v>1°2°4LUMAÑANA121</v>
      </c>
      <c r="C68" s="62">
        <f>VLOOKUP(G68,[1]Hoja1!$A:$O,3,0)</f>
        <v>121</v>
      </c>
      <c r="D68" s="2" t="str">
        <f t="shared" si="2"/>
        <v>4LUM45</v>
      </c>
      <c r="E68" s="62" t="s">
        <v>31</v>
      </c>
      <c r="F68" s="62" t="s">
        <v>27</v>
      </c>
      <c r="G68" s="62" t="s">
        <v>32</v>
      </c>
      <c r="H68" s="8" t="str">
        <f>VLOOKUP(G68,[1]Hoja1!$A:$O,6,0)</f>
        <v>SISTEMAS TECNOLOGICOS</v>
      </c>
      <c r="I68" s="4">
        <v>45</v>
      </c>
      <c r="J68" s="4"/>
      <c r="K68" s="80" t="str">
        <f t="shared" si="13"/>
        <v>LU</v>
      </c>
      <c r="L68" s="4" t="s">
        <v>512</v>
      </c>
      <c r="M68" s="86" t="str">
        <f>VLOOKUP(G68,[1]Hoja1!$A:$O,15,0)</f>
        <v xml:space="preserve">ETCHEVERRY MARTIN                            </v>
      </c>
      <c r="N68" s="2" t="str">
        <f t="shared" si="4"/>
        <v>1°2°1211TSTLU</v>
      </c>
      <c r="O68" s="2"/>
      <c r="P68" s="2" t="str">
        <f>VLOOKUP(G68,[1]Hoja1!$A:$P,16,0)</f>
        <v xml:space="preserve"> </v>
      </c>
      <c r="Q68" s="2"/>
      <c r="S68">
        <f>VLOOKUP(G68,[1]Hoja1!$A:$O,5,0)</f>
        <v>2673025</v>
      </c>
      <c r="U68" s="45" t="s">
        <v>2751</v>
      </c>
      <c r="V68" s="46">
        <f t="shared" si="5"/>
        <v>2673025</v>
      </c>
      <c r="W68" s="47" t="s">
        <v>1519</v>
      </c>
      <c r="X68" s="46" t="str">
        <f t="shared" si="6"/>
        <v>4</v>
      </c>
      <c r="Y68" s="47" t="s">
        <v>1518</v>
      </c>
      <c r="Z68" s="46" t="str">
        <f t="shared" si="7"/>
        <v>M</v>
      </c>
      <c r="AA68" s="47" t="s">
        <v>2752</v>
      </c>
      <c r="AB68" s="46" t="str">
        <f t="shared" si="8"/>
        <v>LUNES</v>
      </c>
      <c r="AC68" s="47" t="s">
        <v>2753</v>
      </c>
      <c r="AD68" t="str">
        <f t="shared" si="9"/>
        <v>CONTRATURNO</v>
      </c>
      <c r="AE68" s="47" t="s">
        <v>2754</v>
      </c>
      <c r="AH68" t="str">
        <f t="shared" si="10"/>
        <v>INSERT INTO horario_curso_materia (horario_curso_materia.FK_CUR_mat,horario_curso_materia.FK_HOR,horario_curso_materia.DIA,horario_curso_materia.tipo_turno) VALUES (  (SELECT curso_materia.ID_CUR_MAT FROM curso_materia WHERE curso_materia.CUPOF='2673025' ) ,
    (SELECT horario.ID_HOR FROM horario WHERE horario.modulo='4 ' and horario.turno='M ' ),'LUNES ' , 'CONTRATURNO ' );</v>
      </c>
    </row>
    <row r="69" spans="1:34" ht="15" hidden="1" customHeight="1" x14ac:dyDescent="0.3">
      <c r="A69" s="1" t="str">
        <f t="shared" si="0"/>
        <v>1°2°</v>
      </c>
      <c r="B69" s="54" t="str">
        <f t="shared" si="1"/>
        <v>1°2°4LUMAÑANA122</v>
      </c>
      <c r="C69" s="62">
        <f>VLOOKUP(G69,[1]Hoja1!$A:$O,3,0)</f>
        <v>122</v>
      </c>
      <c r="D69" s="2" t="str">
        <f t="shared" si="2"/>
        <v>4LUMaula 4</v>
      </c>
      <c r="E69" s="62" t="s">
        <v>31</v>
      </c>
      <c r="F69" s="62" t="s">
        <v>27</v>
      </c>
      <c r="G69" s="62" t="s">
        <v>30</v>
      </c>
      <c r="H69" s="8" t="str">
        <f>VLOOKUP(G69,[1]Hoja1!$A:$O,6,0)</f>
        <v>LENGUAJES TECNOLOGICOS</v>
      </c>
      <c r="I69" s="4" t="s">
        <v>1437</v>
      </c>
      <c r="J69" s="4"/>
      <c r="K69" s="80" t="str">
        <f t="shared" si="13"/>
        <v>LU</v>
      </c>
      <c r="L69" s="4" t="s">
        <v>512</v>
      </c>
      <c r="M69" s="86" t="str">
        <f>VLOOKUP(G69,[1]Hoja1!$A:$O,15,0)</f>
        <v>VALLBONA MIRNA SOLEDAD                   27289218209</v>
      </c>
      <c r="N69" s="2" t="str">
        <f t="shared" si="4"/>
        <v>1°2°1221TLTLU</v>
      </c>
      <c r="O69" s="2"/>
      <c r="P69" s="2" t="str">
        <f>VLOOKUP(G69,[1]Hoja1!$A:$P,16,0)</f>
        <v xml:space="preserve"> </v>
      </c>
      <c r="Q69" s="2"/>
      <c r="S69">
        <f>VLOOKUP(G69,[1]Hoja1!$A:$O,5,0)</f>
        <v>2673027</v>
      </c>
      <c r="U69" s="45" t="s">
        <v>2751</v>
      </c>
      <c r="V69" s="46">
        <f t="shared" si="5"/>
        <v>2673027</v>
      </c>
      <c r="W69" s="47" t="s">
        <v>1519</v>
      </c>
      <c r="X69" s="46" t="str">
        <f t="shared" si="6"/>
        <v>4</v>
      </c>
      <c r="Y69" s="47" t="s">
        <v>1518</v>
      </c>
      <c r="Z69" s="46" t="str">
        <f t="shared" si="7"/>
        <v>M</v>
      </c>
      <c r="AA69" s="47" t="s">
        <v>2752</v>
      </c>
      <c r="AB69" s="46" t="str">
        <f t="shared" si="8"/>
        <v>LUNES</v>
      </c>
      <c r="AC69" s="47" t="s">
        <v>2753</v>
      </c>
      <c r="AD69" t="str">
        <f t="shared" si="9"/>
        <v>CONTRATURNO</v>
      </c>
      <c r="AE69" s="47" t="s">
        <v>2754</v>
      </c>
      <c r="AH69" t="str">
        <f t="shared" si="10"/>
        <v>INSERT INTO horario_curso_materia (horario_curso_materia.FK_CUR_mat,horario_curso_materia.FK_HOR,horario_curso_materia.DIA,horario_curso_materia.tipo_turno) VALUES (  (SELECT curso_materia.ID_CUR_MAT FROM curso_materia WHERE curso_materia.CUPOF='2673027' ) ,
    (SELECT horario.ID_HOR FROM horario WHERE horario.modulo='4 ' and horario.turno='M ' ),'LUNES ' , 'CONTRATURNO ' );</v>
      </c>
    </row>
    <row r="70" spans="1:34" ht="15" hidden="1" customHeight="1" x14ac:dyDescent="0.3">
      <c r="A70" s="1" t="str">
        <f t="shared" ref="A70:A133" si="14">LEFT(B70,4)</f>
        <v>1°2°</v>
      </c>
      <c r="B70" s="54" t="str">
        <f t="shared" ref="B70:B133" si="15">CONCATENATE(LEFT(G70,4),E70,F70,C70)</f>
        <v>1°2°2LUTARDE0</v>
      </c>
      <c r="C70" s="62">
        <f>VLOOKUP(G70,[1]Hoja1!$A:$O,3,0)</f>
        <v>0</v>
      </c>
      <c r="D70" s="2" t="str">
        <f t="shared" ref="D70:D133" si="16">CONCATENATE(E70,LEFT(F70,1),I70)</f>
        <v>2LUT</v>
      </c>
      <c r="E70" s="62" t="s">
        <v>12</v>
      </c>
      <c r="F70" s="62" t="s">
        <v>10</v>
      </c>
      <c r="G70" s="62" t="s">
        <v>271</v>
      </c>
      <c r="H70" s="8" t="str">
        <f>VLOOKUP(G70,[1]Hoja1!$A:$O,6,0)</f>
        <v>CIENCIAS NATURALES</v>
      </c>
      <c r="I70" s="4"/>
      <c r="J70" s="4"/>
      <c r="K70" s="80" t="str">
        <f t="shared" si="13"/>
        <v>LU</v>
      </c>
      <c r="L70" s="4"/>
      <c r="M70" s="86" t="str">
        <f>VLOOKUP(G70,[1]Hoja1!$A:$O,15,0)</f>
        <v xml:space="preserve">ESPINDOLA SERGIO                          </v>
      </c>
      <c r="N70" s="2" t="str">
        <f t="shared" ref="N70:N133" si="17">CONCATENATE(G70,LEFT(K70,2))</f>
        <v>1°2°1NATLU</v>
      </c>
      <c r="O70" s="2"/>
      <c r="P70" s="2" t="str">
        <f>VLOOKUP(G70,[1]Hoja1!$A:$P,16,0)</f>
        <v xml:space="preserve"> </v>
      </c>
      <c r="Q70" s="2"/>
      <c r="S70">
        <f>VLOOKUP(G70,[1]Hoja1!$A:$O,5,0)</f>
        <v>733711</v>
      </c>
      <c r="U70" s="45" t="s">
        <v>2751</v>
      </c>
      <c r="V70" s="46">
        <f t="shared" ref="V70:V133" si="18">S70</f>
        <v>733711</v>
      </c>
      <c r="W70" s="47" t="s">
        <v>1519</v>
      </c>
      <c r="X70" s="46" t="str">
        <f t="shared" ref="X70:X133" si="19">IF(LEFT(E70,1)="p","prehora",LEFT(E70,1))</f>
        <v>2</v>
      </c>
      <c r="Y70" s="47" t="s">
        <v>1518</v>
      </c>
      <c r="Z70" s="46" t="str">
        <f t="shared" ref="Z70:Z133" si="20">LEFT(F70,1)</f>
        <v>T</v>
      </c>
      <c r="AA70" s="47" t="s">
        <v>2752</v>
      </c>
      <c r="AB70" s="46" t="str">
        <f t="shared" ref="AB70:AB133" si="21">IF(IF(LEFT(E70,1)="p",MID(E70,8,2),MID(E70,2,2))="lu","LUNES",IF(IF(LEFT(E70,1)="p",MID(E70,8,2),MID(E70,2,2))="ma","MARTES",IF(IF(LEFT(E70,1)="p",MID(E70,8,2),MID(E70,2,2))="MI","MIERCOLES",IF(IF(LEFT(E70,1)="p",MID(E70,8,2),MID(E70,2,2))="JU","JUEVES",IF(IF(LEFT(E70,1)="p",MID(E70,8,2),MID(E70,2,2))="vi","VIERNES","")))))</f>
        <v>LUNES</v>
      </c>
      <c r="AC70" s="47" t="s">
        <v>2753</v>
      </c>
      <c r="AD70">
        <f t="shared" ref="AD70:AD133" si="22">L70</f>
        <v>0</v>
      </c>
      <c r="AE70" s="47" t="s">
        <v>2754</v>
      </c>
      <c r="AH70" t="str">
        <f t="shared" ref="AH70:AH133" si="23">U70&amp;V70&amp;W70&amp;X70&amp;Y70&amp;Z70&amp;AA70&amp;AB70&amp;AC70&amp;AD70&amp;AE70</f>
        <v>INSERT INTO horario_curso_materia (horario_curso_materia.FK_CUR_mat,horario_curso_materia.FK_HOR,horario_curso_materia.DIA,horario_curso_materia.tipo_turno) VALUES (  (SELECT curso_materia.ID_CUR_MAT FROM curso_materia WHERE curso_materia.CUPOF='733711' ) ,
    (SELECT horario.ID_HOR FROM horario WHERE horario.modulo='2 ' and horario.turno='T ' ),'LUNES ' , '0 ' );</v>
      </c>
    </row>
    <row r="71" spans="1:34" ht="15" hidden="1" customHeight="1" x14ac:dyDescent="0.3">
      <c r="A71" s="1" t="str">
        <f t="shared" si="14"/>
        <v>1°2°</v>
      </c>
      <c r="B71" s="54" t="str">
        <f t="shared" si="15"/>
        <v>1°2°4MATARDE0</v>
      </c>
      <c r="C71" s="62">
        <f>VLOOKUP(G71,[1]Hoja1!$A:$O,3,0)</f>
        <v>0</v>
      </c>
      <c r="D71" s="2" t="str">
        <f t="shared" si="16"/>
        <v>4MAT</v>
      </c>
      <c r="E71" s="62" t="s">
        <v>16</v>
      </c>
      <c r="F71" s="62" t="s">
        <v>10</v>
      </c>
      <c r="G71" s="62" t="s">
        <v>273</v>
      </c>
      <c r="H71" s="8" t="str">
        <f>VLOOKUP(G71,[1]Hoja1!$A:$O,6,0)</f>
        <v>INGLÉS</v>
      </c>
      <c r="I71" s="4"/>
      <c r="J71" s="4"/>
      <c r="K71" s="80" t="str">
        <f t="shared" si="13"/>
        <v>MA</v>
      </c>
      <c r="L71" s="4"/>
      <c r="M71" s="86" t="str">
        <f>VLOOKUP(G71,[1]Hoja1!$A:$O,15,0)</f>
        <v xml:space="preserve">ARCE KARINA </v>
      </c>
      <c r="N71" s="2" t="str">
        <f t="shared" si="17"/>
        <v>1°2°1INGMA</v>
      </c>
      <c r="O71" s="2"/>
      <c r="P71" s="2" t="str">
        <f>VLOOKUP(G71,[1]Hoja1!$A:$P,16,0)</f>
        <v xml:space="preserve"> </v>
      </c>
      <c r="Q71" s="2"/>
      <c r="S71">
        <f>VLOOKUP(G71,[1]Hoja1!$A:$O,5,0)</f>
        <v>891876</v>
      </c>
      <c r="U71" s="45" t="s">
        <v>2751</v>
      </c>
      <c r="V71" s="46">
        <f t="shared" si="18"/>
        <v>891876</v>
      </c>
      <c r="W71" s="47" t="s">
        <v>1519</v>
      </c>
      <c r="X71" s="46" t="str">
        <f t="shared" si="19"/>
        <v>4</v>
      </c>
      <c r="Y71" s="47" t="s">
        <v>1518</v>
      </c>
      <c r="Z71" s="46" t="str">
        <f t="shared" si="20"/>
        <v>T</v>
      </c>
      <c r="AA71" s="47" t="s">
        <v>2752</v>
      </c>
      <c r="AB71" s="46" t="str">
        <f t="shared" si="21"/>
        <v>MARTES</v>
      </c>
      <c r="AC71" s="47" t="s">
        <v>2753</v>
      </c>
      <c r="AD71">
        <f t="shared" si="22"/>
        <v>0</v>
      </c>
      <c r="AE71" s="47" t="s">
        <v>2754</v>
      </c>
      <c r="AH71" t="str">
        <f t="shared" si="23"/>
        <v>INSERT INTO horario_curso_materia (horario_curso_materia.FK_CUR_mat,horario_curso_materia.FK_HOR,horario_curso_materia.DIA,horario_curso_materia.tipo_turno) VALUES (  (SELECT curso_materia.ID_CUR_MAT FROM curso_materia WHERE curso_materia.CUPOF='891876' ) ,
    (SELECT horario.ID_HOR FROM horario WHERE horario.modulo='4 ' and horario.turno='T ' ),'MARTES ' , '0 ' );</v>
      </c>
    </row>
    <row r="72" spans="1:34" ht="15" hidden="1" customHeight="1" x14ac:dyDescent="0.3">
      <c r="A72" s="1" t="str">
        <f t="shared" si="14"/>
        <v>1°2°</v>
      </c>
      <c r="B72" s="54" t="str">
        <f t="shared" si="15"/>
        <v>1°2°4MITARDE0</v>
      </c>
      <c r="C72" s="62">
        <f>VLOOKUP(G72,[1]Hoja1!$A:$O,3,0)</f>
        <v>0</v>
      </c>
      <c r="D72" s="2" t="str">
        <f t="shared" si="16"/>
        <v>4MIT</v>
      </c>
      <c r="E72" s="62" t="s">
        <v>52</v>
      </c>
      <c r="F72" s="62" t="s">
        <v>10</v>
      </c>
      <c r="G72" s="62" t="s">
        <v>274</v>
      </c>
      <c r="H72" s="8" t="str">
        <f>VLOOKUP(G72,[1]Hoja1!$A:$O,6,0)</f>
        <v>CIENCIAS SOCIALES</v>
      </c>
      <c r="I72" s="4"/>
      <c r="J72" s="4"/>
      <c r="K72" s="80" t="str">
        <f t="shared" si="13"/>
        <v>MI</v>
      </c>
      <c r="L72" s="4"/>
      <c r="M72" s="86" t="str">
        <f>VLOOKUP(G72,[1]Hoja1!$A:$O,15,0)</f>
        <v xml:space="preserve">LOPEZ MARINA  </v>
      </c>
      <c r="N72" s="2" t="str">
        <f t="shared" si="17"/>
        <v>1°2°1SOCMI</v>
      </c>
      <c r="O72" s="2"/>
      <c r="P72" s="2" t="str">
        <f>VLOOKUP(G72,[1]Hoja1!$A:$P,16,0)</f>
        <v xml:space="preserve"> </v>
      </c>
      <c r="Q72" s="2"/>
      <c r="S72">
        <f>VLOOKUP(G72,[1]Hoja1!$A:$O,5,0)</f>
        <v>2683145</v>
      </c>
      <c r="U72" s="45" t="s">
        <v>2751</v>
      </c>
      <c r="V72" s="46">
        <f t="shared" si="18"/>
        <v>2683145</v>
      </c>
      <c r="W72" s="47" t="s">
        <v>1519</v>
      </c>
      <c r="X72" s="46" t="str">
        <f t="shared" si="19"/>
        <v>4</v>
      </c>
      <c r="Y72" s="47" t="s">
        <v>1518</v>
      </c>
      <c r="Z72" s="46" t="str">
        <f t="shared" si="20"/>
        <v>T</v>
      </c>
      <c r="AA72" s="47" t="s">
        <v>2752</v>
      </c>
      <c r="AB72" s="46" t="str">
        <f t="shared" si="21"/>
        <v>MIERCOLES</v>
      </c>
      <c r="AC72" s="47" t="s">
        <v>2753</v>
      </c>
      <c r="AD72">
        <f t="shared" si="22"/>
        <v>0</v>
      </c>
      <c r="AE72" s="47" t="s">
        <v>2754</v>
      </c>
      <c r="AH72" t="str">
        <f t="shared" si="23"/>
        <v>INSERT INTO horario_curso_materia (horario_curso_materia.FK_CUR_mat,horario_curso_materia.FK_HOR,horario_curso_materia.DIA,horario_curso_materia.tipo_turno) VALUES (  (SELECT curso_materia.ID_CUR_MAT FROM curso_materia WHERE curso_materia.CUPOF='2683145' ) ,
    (SELECT horario.ID_HOR FROM horario WHERE horario.modulo='4 ' and horario.turno='T ' ),'MIERCOLES ' , '0 ' );</v>
      </c>
    </row>
    <row r="73" spans="1:34" ht="15" hidden="1" customHeight="1" x14ac:dyDescent="0.3">
      <c r="A73" s="1" t="str">
        <f t="shared" si="14"/>
        <v>1°2°</v>
      </c>
      <c r="B73" s="54" t="str">
        <f t="shared" si="15"/>
        <v>1°2°4VIMAÑANA121</v>
      </c>
      <c r="C73" s="62">
        <v>121</v>
      </c>
      <c r="D73" s="2" t="str">
        <f t="shared" si="16"/>
        <v>4VIMCARPINTERIA</v>
      </c>
      <c r="E73" s="62" t="s">
        <v>36</v>
      </c>
      <c r="F73" s="62" t="s">
        <v>27</v>
      </c>
      <c r="G73" s="62" t="s">
        <v>553</v>
      </c>
      <c r="H73" s="8" t="str">
        <f>VLOOKUP(G73,[1]Hoja1!$A:$O,6,0)</f>
        <v>PROCEDIMIENTOS TECNICOS</v>
      </c>
      <c r="I73" s="4" t="s">
        <v>23</v>
      </c>
      <c r="J73" s="4"/>
      <c r="K73" s="80" t="str">
        <f t="shared" si="13"/>
        <v>VI</v>
      </c>
      <c r="L73" s="4" t="s">
        <v>512</v>
      </c>
      <c r="M73" s="86" t="str">
        <f>VLOOKUP(G73,[1]Hoja1!$A:$O,15,0)</f>
        <v xml:space="preserve">ETCHEVERRY MARTIN                            </v>
      </c>
      <c r="N73" s="2" t="str">
        <f t="shared" si="17"/>
        <v>1°2°1211TPTVI</v>
      </c>
      <c r="O73" s="2"/>
      <c r="P73" s="2" t="str">
        <f>VLOOKUP(G73,[1]Hoja1!$A:$P,16,0)</f>
        <v xml:space="preserve"> </v>
      </c>
      <c r="Q73" s="2"/>
      <c r="S73">
        <f>VLOOKUP(G73,[1]Hoja1!$A:$O,5,0)</f>
        <v>2673026</v>
      </c>
      <c r="U73" s="45" t="s">
        <v>2751</v>
      </c>
      <c r="V73" s="46">
        <f t="shared" si="18"/>
        <v>2673026</v>
      </c>
      <c r="W73" s="47" t="s">
        <v>1519</v>
      </c>
      <c r="X73" s="46" t="str">
        <f t="shared" si="19"/>
        <v>4</v>
      </c>
      <c r="Y73" s="47" t="s">
        <v>1518</v>
      </c>
      <c r="Z73" s="46" t="str">
        <f t="shared" si="20"/>
        <v>M</v>
      </c>
      <c r="AA73" s="47" t="s">
        <v>2752</v>
      </c>
      <c r="AB73" s="46" t="str">
        <f t="shared" si="21"/>
        <v>VIERNES</v>
      </c>
      <c r="AC73" s="47" t="s">
        <v>2753</v>
      </c>
      <c r="AD73" t="str">
        <f t="shared" si="22"/>
        <v>CONTRATURNO</v>
      </c>
      <c r="AE73" s="47" t="s">
        <v>2754</v>
      </c>
      <c r="AH73" t="str">
        <f t="shared" si="23"/>
        <v>INSERT INTO horario_curso_materia (horario_curso_materia.FK_CUR_mat,horario_curso_materia.FK_HOR,horario_curso_materia.DIA,horario_curso_materia.tipo_turno) VALUES (  (SELECT curso_materia.ID_CUR_MAT FROM curso_materia WHERE curso_materia.CUPOF='2673026' ) ,
    (SELECT horario.ID_HOR FROM horario WHERE horario.modulo='4 ' and horario.turno='M ' ),'VIERNES ' , 'CONTRATURNO ' );</v>
      </c>
    </row>
    <row r="74" spans="1:34" ht="15" hidden="1" customHeight="1" x14ac:dyDescent="0.3">
      <c r="A74" s="1" t="str">
        <f t="shared" si="14"/>
        <v>1°2°</v>
      </c>
      <c r="B74" s="54" t="str">
        <f t="shared" si="15"/>
        <v>1°2°4viMAÑANA122</v>
      </c>
      <c r="C74" s="62">
        <f>VLOOKUP(G74,[1]Hoja1!$A:$O,3,0)</f>
        <v>122</v>
      </c>
      <c r="D74" s="2" t="str">
        <f t="shared" si="16"/>
        <v>4viMaula 1</v>
      </c>
      <c r="E74" s="62" t="s">
        <v>1337</v>
      </c>
      <c r="F74" s="62" t="s">
        <v>27</v>
      </c>
      <c r="G74" s="62" t="s">
        <v>34</v>
      </c>
      <c r="H74" s="8" t="str">
        <f>VLOOKUP(G74,[1]Hoja1!$A:$O,6,0)</f>
        <v>SISTEMAS TECNOLOGICOS</v>
      </c>
      <c r="I74" s="4" t="s">
        <v>1489</v>
      </c>
      <c r="J74" s="4"/>
      <c r="K74" s="80" t="str">
        <f t="shared" si="13"/>
        <v>vi</v>
      </c>
      <c r="L74" s="4" t="s">
        <v>512</v>
      </c>
      <c r="M74" s="86" t="str">
        <f>VLOOKUP(G74,[1]Hoja1!$A:$O,15,0)</f>
        <v xml:space="preserve">ESCALADA ARNALDO     </v>
      </c>
      <c r="N74" s="2" t="str">
        <f t="shared" si="17"/>
        <v>1°2°1221TSTvi</v>
      </c>
      <c r="O74" s="2"/>
      <c r="P74" s="2" t="str">
        <f>VLOOKUP(G74,[1]Hoja1!$A:$P,16,0)</f>
        <v xml:space="preserve"> </v>
      </c>
      <c r="Q74" s="2"/>
      <c r="S74">
        <f>VLOOKUP(G74,[1]Hoja1!$A:$O,5,0)</f>
        <v>2673028</v>
      </c>
      <c r="U74" s="45" t="s">
        <v>2751</v>
      </c>
      <c r="V74" s="46">
        <f t="shared" si="18"/>
        <v>2673028</v>
      </c>
      <c r="W74" s="47" t="s">
        <v>1519</v>
      </c>
      <c r="X74" s="46" t="str">
        <f t="shared" si="19"/>
        <v>4</v>
      </c>
      <c r="Y74" s="47" t="s">
        <v>1518</v>
      </c>
      <c r="Z74" s="46" t="str">
        <f t="shared" si="20"/>
        <v>M</v>
      </c>
      <c r="AA74" s="47" t="s">
        <v>2752</v>
      </c>
      <c r="AB74" s="46" t="str">
        <f t="shared" si="21"/>
        <v>VIERNES</v>
      </c>
      <c r="AC74" s="47" t="s">
        <v>2753</v>
      </c>
      <c r="AD74" t="str">
        <f t="shared" si="22"/>
        <v>CONTRATURNO</v>
      </c>
      <c r="AE74" s="47" t="s">
        <v>2754</v>
      </c>
      <c r="AH74" t="str">
        <f t="shared" si="23"/>
        <v>INSERT INTO horario_curso_materia (horario_curso_materia.FK_CUR_mat,horario_curso_materia.FK_HOR,horario_curso_materia.DIA,horario_curso_materia.tipo_turno) VALUES (  (SELECT curso_materia.ID_CUR_MAT FROM curso_materia WHERE curso_materia.CUPOF='2673028' ) ,
    (SELECT horario.ID_HOR FROM horario WHERE horario.modulo='4 ' and horario.turno='M ' ),'VIERNES ' , 'CONTRATURNO ' );</v>
      </c>
    </row>
    <row r="75" spans="1:34" ht="15" hidden="1" customHeight="1" x14ac:dyDescent="0.3">
      <c r="A75" s="1" t="str">
        <f t="shared" si="14"/>
        <v>1°2°</v>
      </c>
      <c r="B75" s="54" t="str">
        <f t="shared" si="15"/>
        <v>1°2°4VITARDE0</v>
      </c>
      <c r="C75" s="62">
        <f>VLOOKUP(G75,[1]Hoja1!$A:$O,3,0)</f>
        <v>0</v>
      </c>
      <c r="D75" s="2" t="str">
        <f t="shared" si="16"/>
        <v>4VIT</v>
      </c>
      <c r="E75" s="62" t="s">
        <v>36</v>
      </c>
      <c r="F75" s="62" t="s">
        <v>10</v>
      </c>
      <c r="G75" s="62" t="s">
        <v>277</v>
      </c>
      <c r="H75" s="8" t="str">
        <f>VLOOKUP(G75,[1]Hoja1!$A:$O,6,0)</f>
        <v>EDUCACION ARTISTICA (PLASTICA)</v>
      </c>
      <c r="I75" s="4"/>
      <c r="J75" s="4"/>
      <c r="K75" s="80" t="str">
        <f t="shared" si="13"/>
        <v>VI</v>
      </c>
      <c r="L75" s="4"/>
      <c r="M75" s="86" t="str">
        <f>VLOOKUP(G75,[1]Hoja1!$A:$O,15,0)</f>
        <v xml:space="preserve">FIGUEROA CARLOS </v>
      </c>
      <c r="N75" s="2" t="str">
        <f t="shared" si="17"/>
        <v>1°2°1ARTVI</v>
      </c>
      <c r="O75" s="2"/>
      <c r="P75" s="2" t="str">
        <f>VLOOKUP(G75,[1]Hoja1!$A:$P,16,0)</f>
        <v xml:space="preserve"> </v>
      </c>
      <c r="Q75" s="2"/>
      <c r="S75">
        <f>VLOOKUP(G75,[1]Hoja1!$A:$O,5,0)</f>
        <v>733441</v>
      </c>
      <c r="U75" s="45" t="s">
        <v>2751</v>
      </c>
      <c r="V75" s="46">
        <f t="shared" si="18"/>
        <v>733441</v>
      </c>
      <c r="W75" s="47" t="s">
        <v>1519</v>
      </c>
      <c r="X75" s="46" t="str">
        <f t="shared" si="19"/>
        <v>4</v>
      </c>
      <c r="Y75" s="47" t="s">
        <v>1518</v>
      </c>
      <c r="Z75" s="46" t="str">
        <f t="shared" si="20"/>
        <v>T</v>
      </c>
      <c r="AA75" s="47" t="s">
        <v>2752</v>
      </c>
      <c r="AB75" s="46" t="str">
        <f t="shared" si="21"/>
        <v>VIERNES</v>
      </c>
      <c r="AC75" s="47" t="s">
        <v>2753</v>
      </c>
      <c r="AD75">
        <f t="shared" si="22"/>
        <v>0</v>
      </c>
      <c r="AE75" s="47" t="s">
        <v>2754</v>
      </c>
      <c r="AH75" t="str">
        <f t="shared" si="23"/>
        <v>INSERT INTO horario_curso_materia (horario_curso_materia.FK_CUR_mat,horario_curso_materia.FK_HOR,horario_curso_materia.DIA,horario_curso_materia.tipo_turno) VALUES (  (SELECT curso_materia.ID_CUR_MAT FROM curso_materia WHERE curso_materia.CUPOF='733441' ) ,
    (SELECT horario.ID_HOR FROM horario WHERE horario.modulo='4 ' and horario.turno='T ' ),'VIERNES ' , '0 ' );</v>
      </c>
    </row>
    <row r="76" spans="1:34" ht="15" hidden="1" customHeight="1" x14ac:dyDescent="0.3">
      <c r="A76" s="1" t="str">
        <f t="shared" si="14"/>
        <v>1°2°</v>
      </c>
      <c r="B76" s="54" t="str">
        <f t="shared" si="15"/>
        <v>1°2°PREHORAMATARDE0</v>
      </c>
      <c r="C76" s="62">
        <f>VLOOKUP(G76,[1]Hoja1!$A:$O,3,0)</f>
        <v>0</v>
      </c>
      <c r="D76" s="2" t="str">
        <f t="shared" si="16"/>
        <v>PREHORAMAT</v>
      </c>
      <c r="E76" s="62" t="s">
        <v>430</v>
      </c>
      <c r="F76" s="62" t="s">
        <v>10</v>
      </c>
      <c r="G76" s="62" t="s">
        <v>276</v>
      </c>
      <c r="H76" s="8" t="str">
        <f>VLOOKUP(G76,[1]Hoja1!$A:$O,6,0)</f>
        <v>CONSTRUCCION DE LA CIUDADANIA</v>
      </c>
      <c r="I76" s="4"/>
      <c r="J76" s="4"/>
      <c r="K76" s="80" t="str">
        <f t="shared" si="13"/>
        <v>MA</v>
      </c>
      <c r="L76" s="4"/>
      <c r="M76" s="86" t="str">
        <f>VLOOKUP(G76,[1]Hoja1!$A:$O,15,0)</f>
        <v xml:space="preserve">CHAMORRO CRISTIAN </v>
      </c>
      <c r="N76" s="2" t="str">
        <f t="shared" si="17"/>
        <v>1°2°1CCDMA</v>
      </c>
      <c r="O76" s="2"/>
      <c r="P76" s="2" t="str">
        <f>VLOOKUP(G76,[1]Hoja1!$A:$P,16,0)</f>
        <v xml:space="preserve"> </v>
      </c>
      <c r="Q76" s="2"/>
      <c r="S76">
        <f>VLOOKUP(G76,[1]Hoja1!$A:$O,5,0)</f>
        <v>839178</v>
      </c>
      <c r="U76" s="45" t="s">
        <v>2751</v>
      </c>
      <c r="V76" s="46">
        <f t="shared" si="18"/>
        <v>839178</v>
      </c>
      <c r="W76" s="47" t="s">
        <v>1519</v>
      </c>
      <c r="X76" s="46" t="str">
        <f t="shared" si="19"/>
        <v>prehora</v>
      </c>
      <c r="Y76" s="47" t="s">
        <v>1518</v>
      </c>
      <c r="Z76" s="46" t="str">
        <f t="shared" si="20"/>
        <v>T</v>
      </c>
      <c r="AA76" s="47" t="s">
        <v>2752</v>
      </c>
      <c r="AB76" s="46" t="str">
        <f t="shared" si="21"/>
        <v>MARTES</v>
      </c>
      <c r="AC76" s="47" t="s">
        <v>2753</v>
      </c>
      <c r="AD76">
        <f t="shared" si="22"/>
        <v>0</v>
      </c>
      <c r="AE76" s="47" t="s">
        <v>2754</v>
      </c>
      <c r="AH76" t="str">
        <f t="shared" si="23"/>
        <v>INSERT INTO horario_curso_materia (horario_curso_materia.FK_CUR_mat,horario_curso_materia.FK_HOR,horario_curso_materia.DIA,horario_curso_materia.tipo_turno) VALUES (  (SELECT curso_materia.ID_CUR_MAT FROM curso_materia WHERE curso_materia.CUPOF='839178' ) ,
    (SELECT horario.ID_HOR FROM horario WHERE horario.modulo='prehora ' and horario.turno='T ' ),'MARTES ' , '0 ' );</v>
      </c>
    </row>
    <row r="77" spans="1:34" ht="15" hidden="1" customHeight="1" x14ac:dyDescent="0.3">
      <c r="A77" s="1" t="str">
        <f t="shared" si="14"/>
        <v>1°2°</v>
      </c>
      <c r="B77" s="54" t="str">
        <f t="shared" si="15"/>
        <v>1°2°PREHORAMITARDE0</v>
      </c>
      <c r="C77" s="62">
        <f>VLOOKUP(G77,[1]Hoja1!$A:$O,3,0)</f>
        <v>0</v>
      </c>
      <c r="D77" s="2" t="str">
        <f t="shared" si="16"/>
        <v>PREHORAMIT</v>
      </c>
      <c r="E77" s="62" t="s">
        <v>448</v>
      </c>
      <c r="F77" s="62" t="s">
        <v>10</v>
      </c>
      <c r="G77" s="62" t="s">
        <v>276</v>
      </c>
      <c r="H77" s="8" t="str">
        <f>VLOOKUP(G77,[1]Hoja1!$A:$O,6,0)</f>
        <v>CONSTRUCCION DE LA CIUDADANIA</v>
      </c>
      <c r="I77" s="4"/>
      <c r="J77" s="4"/>
      <c r="K77" s="80" t="str">
        <f t="shared" si="13"/>
        <v>MI</v>
      </c>
      <c r="L77" s="4"/>
      <c r="M77" s="86" t="str">
        <f>VLOOKUP(G77,[1]Hoja1!$A:$O,15,0)</f>
        <v xml:space="preserve">CHAMORRO CRISTIAN </v>
      </c>
      <c r="N77" s="2" t="str">
        <f t="shared" si="17"/>
        <v>1°2°1CCDMI</v>
      </c>
      <c r="O77" s="2"/>
      <c r="P77" s="2" t="str">
        <f>VLOOKUP(G77,[1]Hoja1!$A:$P,16,0)</f>
        <v xml:space="preserve"> </v>
      </c>
      <c r="Q77" s="2"/>
      <c r="S77">
        <f>VLOOKUP(G77,[1]Hoja1!$A:$O,5,0)</f>
        <v>839178</v>
      </c>
      <c r="U77" s="45" t="s">
        <v>2751</v>
      </c>
      <c r="V77" s="46">
        <f t="shared" si="18"/>
        <v>839178</v>
      </c>
      <c r="W77" s="47" t="s">
        <v>1519</v>
      </c>
      <c r="X77" s="46" t="str">
        <f t="shared" si="19"/>
        <v>prehora</v>
      </c>
      <c r="Y77" s="47" t="s">
        <v>1518</v>
      </c>
      <c r="Z77" s="46" t="str">
        <f t="shared" si="20"/>
        <v>T</v>
      </c>
      <c r="AA77" s="47" t="s">
        <v>2752</v>
      </c>
      <c r="AB77" s="46" t="str">
        <f t="shared" si="21"/>
        <v>MIERCOLES</v>
      </c>
      <c r="AC77" s="47" t="s">
        <v>2753</v>
      </c>
      <c r="AD77">
        <f t="shared" si="22"/>
        <v>0</v>
      </c>
      <c r="AE77" s="47" t="s">
        <v>2754</v>
      </c>
      <c r="AH77" t="str">
        <f t="shared" si="23"/>
        <v>INSERT INTO horario_curso_materia (horario_curso_materia.FK_CUR_mat,horario_curso_materia.FK_HOR,horario_curso_materia.DIA,horario_curso_materia.tipo_turno) VALUES (  (SELECT curso_materia.ID_CUR_MAT FROM curso_materia WHERE curso_materia.CUPOF='839178' ) ,
    (SELECT horario.ID_HOR FROM horario WHERE horario.modulo='prehora ' and horario.turno='T ' ),'MIERCOLES ' , '0 ' );</v>
      </c>
    </row>
    <row r="78" spans="1:34" ht="15" hidden="1" customHeight="1" x14ac:dyDescent="0.3">
      <c r="A78" s="1" t="str">
        <f t="shared" si="14"/>
        <v>1°3°</v>
      </c>
      <c r="B78" s="54" t="str">
        <f t="shared" si="15"/>
        <v>1°3°1JUMAÑANA0</v>
      </c>
      <c r="C78" s="62">
        <f>VLOOKUP(G78,[1]Hoja1!$A:$O,3,0)</f>
        <v>0</v>
      </c>
      <c r="D78" s="2" t="str">
        <f t="shared" si="16"/>
        <v>1JUM</v>
      </c>
      <c r="E78" s="62" t="s">
        <v>43</v>
      </c>
      <c r="F78" s="62" t="s">
        <v>27</v>
      </c>
      <c r="G78" s="62" t="s">
        <v>280</v>
      </c>
      <c r="H78" s="8" t="str">
        <f>VLOOKUP(G78,[1]Hoja1!$A:$O,6,0)</f>
        <v>CONSTRUCCION DE LA CIUDADANIA</v>
      </c>
      <c r="I78" s="4"/>
      <c r="J78" s="4"/>
      <c r="K78" s="80" t="str">
        <f t="shared" si="13"/>
        <v>JU</v>
      </c>
      <c r="L78" s="4"/>
      <c r="M78" s="86" t="str">
        <f>VLOOKUP(G78,[1]Hoja1!$A:$O,15,0)</f>
        <v xml:space="preserve">HERRERA CARMEN                    </v>
      </c>
      <c r="N78" s="2" t="str">
        <f t="shared" si="17"/>
        <v>1°3°1CCDJU</v>
      </c>
      <c r="O78" s="2"/>
      <c r="P78" s="2" t="str">
        <f>VLOOKUP(G78,[1]Hoja1!$A:$P,16,0)</f>
        <v xml:space="preserve"> </v>
      </c>
      <c r="Q78" s="2"/>
      <c r="S78">
        <f>VLOOKUP(G78,[1]Hoja1!$A:$O,5,0)</f>
        <v>2683142</v>
      </c>
      <c r="U78" s="45" t="s">
        <v>2751</v>
      </c>
      <c r="V78" s="46">
        <f t="shared" si="18"/>
        <v>2683142</v>
      </c>
      <c r="W78" s="47" t="s">
        <v>1519</v>
      </c>
      <c r="X78" s="46" t="str">
        <f t="shared" si="19"/>
        <v>1</v>
      </c>
      <c r="Y78" s="47" t="s">
        <v>1518</v>
      </c>
      <c r="Z78" s="46" t="str">
        <f t="shared" si="20"/>
        <v>M</v>
      </c>
      <c r="AA78" s="47" t="s">
        <v>2752</v>
      </c>
      <c r="AB78" s="46" t="str">
        <f t="shared" si="21"/>
        <v>JUEVES</v>
      </c>
      <c r="AC78" s="47" t="s">
        <v>2753</v>
      </c>
      <c r="AD78">
        <f t="shared" si="22"/>
        <v>0</v>
      </c>
      <c r="AE78" s="47" t="s">
        <v>2754</v>
      </c>
      <c r="AH78" t="str">
        <f t="shared" si="23"/>
        <v>INSERT INTO horario_curso_materia (horario_curso_materia.FK_CUR_mat,horario_curso_materia.FK_HOR,horario_curso_materia.DIA,horario_curso_materia.tipo_turno) VALUES (  (SELECT curso_materia.ID_CUR_MAT FROM curso_materia WHERE curso_materia.CUPOF='2683142' ) ,
    (SELECT horario.ID_HOR FROM horario WHERE horario.modulo='1 ' and horario.turno='M ' ),'JUEVES ' , '0 ' );</v>
      </c>
    </row>
    <row r="79" spans="1:34" ht="15" hidden="1" customHeight="1" x14ac:dyDescent="0.3">
      <c r="A79" s="1" t="str">
        <f t="shared" si="14"/>
        <v>1°3°</v>
      </c>
      <c r="B79" s="54" t="str">
        <f t="shared" si="15"/>
        <v>1°3°1JUTARDE132</v>
      </c>
      <c r="C79" s="62">
        <f>VLOOKUP(G79,[1]Hoja1!$A:$O,3,0)</f>
        <v>132</v>
      </c>
      <c r="D79" s="2" t="str">
        <f t="shared" si="16"/>
        <v>1JUTCARPINTERIA</v>
      </c>
      <c r="E79" s="62" t="s">
        <v>43</v>
      </c>
      <c r="F79" s="62" t="s">
        <v>10</v>
      </c>
      <c r="G79" s="62" t="s">
        <v>44</v>
      </c>
      <c r="H79" s="8" t="str">
        <f>VLOOKUP(G79,[1]Hoja1!$A:$O,6,0)</f>
        <v>PROCEDIMIENTOS TECNICOS</v>
      </c>
      <c r="I79" s="4" t="s">
        <v>23</v>
      </c>
      <c r="J79" s="4"/>
      <c r="K79" s="80" t="str">
        <f t="shared" si="13"/>
        <v>JU</v>
      </c>
      <c r="L79" s="4" t="s">
        <v>512</v>
      </c>
      <c r="M79" s="86" t="str">
        <f>VLOOKUP(G79,[1]Hoja1!$A:$O,15,0)</f>
        <v>GENARO ARIEL AVILA SANTILLAN</v>
      </c>
      <c r="N79" s="2" t="str">
        <f t="shared" si="17"/>
        <v>1°3°1321TPTJU</v>
      </c>
      <c r="O79" s="2"/>
      <c r="P79" s="2" t="str">
        <f>VLOOKUP(G79,[1]Hoja1!$A:$P,16,0)</f>
        <v xml:space="preserve"> </v>
      </c>
      <c r="Q79" s="2"/>
      <c r="S79">
        <f>VLOOKUP(G79,[1]Hoja1!$A:$O,5,0)</f>
        <v>2673084</v>
      </c>
      <c r="U79" s="45" t="s">
        <v>2751</v>
      </c>
      <c r="V79" s="46">
        <f t="shared" si="18"/>
        <v>2673084</v>
      </c>
      <c r="W79" s="47" t="s">
        <v>1519</v>
      </c>
      <c r="X79" s="46" t="str">
        <f t="shared" si="19"/>
        <v>1</v>
      </c>
      <c r="Y79" s="47" t="s">
        <v>1518</v>
      </c>
      <c r="Z79" s="46" t="str">
        <f t="shared" si="20"/>
        <v>T</v>
      </c>
      <c r="AA79" s="47" t="s">
        <v>2752</v>
      </c>
      <c r="AB79" s="46" t="str">
        <f t="shared" si="21"/>
        <v>JUEVES</v>
      </c>
      <c r="AC79" s="47" t="s">
        <v>2753</v>
      </c>
      <c r="AD79" t="str">
        <f t="shared" si="22"/>
        <v>CONTRATURNO</v>
      </c>
      <c r="AE79" s="47" t="s">
        <v>2754</v>
      </c>
      <c r="AH79" t="str">
        <f t="shared" si="23"/>
        <v>INSERT INTO horario_curso_materia (horario_curso_materia.FK_CUR_mat,horario_curso_materia.FK_HOR,horario_curso_materia.DIA,horario_curso_materia.tipo_turno) VALUES (  (SELECT curso_materia.ID_CUR_MAT FROM curso_materia WHERE curso_materia.CUPOF='2673084' ) ,
    (SELECT horario.ID_HOR FROM horario WHERE horario.modulo='1 ' and horario.turno='T ' ),'JUEVES ' , 'CONTRATURNO ' );</v>
      </c>
    </row>
    <row r="80" spans="1:34" ht="15" hidden="1" customHeight="1" x14ac:dyDescent="0.3">
      <c r="A80" s="1" t="str">
        <f t="shared" si="14"/>
        <v>1°3°</v>
      </c>
      <c r="B80" s="54" t="str">
        <f t="shared" si="15"/>
        <v>1°3°1LUMAÑANA0</v>
      </c>
      <c r="C80" s="62">
        <f>VLOOKUP(G80,[1]Hoja1!$A:$O,3,0)</f>
        <v>0</v>
      </c>
      <c r="D80" s="2" t="str">
        <f t="shared" si="16"/>
        <v>1LUM</v>
      </c>
      <c r="E80" s="62" t="s">
        <v>9</v>
      </c>
      <c r="F80" s="62" t="s">
        <v>27</v>
      </c>
      <c r="G80" s="62" t="s">
        <v>281</v>
      </c>
      <c r="H80" s="8" t="str">
        <f>VLOOKUP(G80,[1]Hoja1!$A:$O,6,0)</f>
        <v>INGLÉS</v>
      </c>
      <c r="I80" s="4"/>
      <c r="J80" s="4"/>
      <c r="K80" s="80" t="str">
        <f t="shared" si="13"/>
        <v>LU</v>
      </c>
      <c r="L80" s="4"/>
      <c r="M80" s="86" t="str">
        <f>VLOOKUP(G80,[1]Hoja1!$A:$O,15,0)</f>
        <v>RAMIREZ GISELE</v>
      </c>
      <c r="N80" s="2" t="str">
        <f t="shared" si="17"/>
        <v>1°3°1INGLU</v>
      </c>
      <c r="O80" s="2"/>
      <c r="P80" s="2" t="str">
        <f>VLOOKUP(G80,[1]Hoja1!$A:$P,16,0)</f>
        <v xml:space="preserve"> </v>
      </c>
      <c r="Q80" s="2"/>
      <c r="S80">
        <f>VLOOKUP(G80,[1]Hoja1!$A:$O,5,0)</f>
        <v>733464</v>
      </c>
      <c r="U80" s="45" t="s">
        <v>2751</v>
      </c>
      <c r="V80" s="46">
        <f t="shared" si="18"/>
        <v>733464</v>
      </c>
      <c r="W80" s="47" t="s">
        <v>1519</v>
      </c>
      <c r="X80" s="46" t="str">
        <f t="shared" si="19"/>
        <v>1</v>
      </c>
      <c r="Y80" s="47" t="s">
        <v>1518</v>
      </c>
      <c r="Z80" s="46" t="str">
        <f t="shared" si="20"/>
        <v>M</v>
      </c>
      <c r="AA80" s="47" t="s">
        <v>2752</v>
      </c>
      <c r="AB80" s="46" t="str">
        <f t="shared" si="21"/>
        <v>LUNES</v>
      </c>
      <c r="AC80" s="47" t="s">
        <v>2753</v>
      </c>
      <c r="AD80">
        <f t="shared" si="22"/>
        <v>0</v>
      </c>
      <c r="AE80" s="47" t="s">
        <v>2754</v>
      </c>
      <c r="AH80" t="str">
        <f t="shared" si="23"/>
        <v>INSERT INTO horario_curso_materia (horario_curso_materia.FK_CUR_mat,horario_curso_materia.FK_HOR,horario_curso_materia.DIA,horario_curso_materia.tipo_turno) VALUES (  (SELECT curso_materia.ID_CUR_MAT FROM curso_materia WHERE curso_materia.CUPOF='733464' ) ,
    (SELECT horario.ID_HOR FROM horario WHERE horario.modulo='1 ' and horario.turno='M ' ),'LUNES ' , '0 ' );</v>
      </c>
    </row>
    <row r="81" spans="1:34" ht="15" hidden="1" customHeight="1" x14ac:dyDescent="0.3">
      <c r="A81" s="1" t="str">
        <f t="shared" si="14"/>
        <v>1°3°</v>
      </c>
      <c r="B81" s="54" t="str">
        <f t="shared" si="15"/>
        <v>1°3°1LUTARDE131</v>
      </c>
      <c r="C81" s="62">
        <f>VLOOKUP(G81,[1]Hoja1!$A:$O,3,0)</f>
        <v>131</v>
      </c>
      <c r="D81" s="2" t="str">
        <f t="shared" si="16"/>
        <v>1LUTaula 3</v>
      </c>
      <c r="E81" s="62" t="s">
        <v>9</v>
      </c>
      <c r="F81" s="62" t="s">
        <v>10</v>
      </c>
      <c r="G81" s="62" t="s">
        <v>37</v>
      </c>
      <c r="H81" s="8" t="str">
        <f>VLOOKUP(G81,[1]Hoja1!$A:$O,6,0)</f>
        <v>SISTEMAS TECNOLOGICOS</v>
      </c>
      <c r="I81" s="4" t="s">
        <v>2774</v>
      </c>
      <c r="J81" s="4"/>
      <c r="K81" s="80" t="str">
        <f t="shared" si="13"/>
        <v>LU</v>
      </c>
      <c r="L81" s="4" t="s">
        <v>512</v>
      </c>
      <c r="M81" s="86" t="str">
        <f>VLOOKUP(G81,[1]Hoja1!$A:$O,15,0)</f>
        <v>CASTILLO MARISOL ANABEL</v>
      </c>
      <c r="N81" s="2" t="str">
        <f t="shared" si="17"/>
        <v>1°3°1311TSTLU</v>
      </c>
      <c r="O81" s="2"/>
      <c r="P81" s="2" t="str">
        <f>VLOOKUP(G81,[1]Hoja1!$A:$P,16,0)</f>
        <v xml:space="preserve"> </v>
      </c>
      <c r="Q81" s="2"/>
      <c r="S81">
        <f>VLOOKUP(G81,[1]Hoja1!$A:$O,5,0)</f>
        <v>2673076</v>
      </c>
      <c r="U81" s="45" t="s">
        <v>2751</v>
      </c>
      <c r="V81" s="46">
        <f t="shared" si="18"/>
        <v>2673076</v>
      </c>
      <c r="W81" s="47" t="s">
        <v>1519</v>
      </c>
      <c r="X81" s="46" t="str">
        <f t="shared" si="19"/>
        <v>1</v>
      </c>
      <c r="Y81" s="47" t="s">
        <v>1518</v>
      </c>
      <c r="Z81" s="46" t="str">
        <f t="shared" si="20"/>
        <v>T</v>
      </c>
      <c r="AA81" s="47" t="s">
        <v>2752</v>
      </c>
      <c r="AB81" s="46" t="str">
        <f t="shared" si="21"/>
        <v>LUNES</v>
      </c>
      <c r="AC81" s="47" t="s">
        <v>2753</v>
      </c>
      <c r="AD81" t="str">
        <f t="shared" si="22"/>
        <v>CONTRATURNO</v>
      </c>
      <c r="AE81" s="47" t="s">
        <v>2754</v>
      </c>
      <c r="AH81" t="str">
        <f t="shared" si="23"/>
        <v>INSERT INTO horario_curso_materia (horario_curso_materia.FK_CUR_mat,horario_curso_materia.FK_HOR,horario_curso_materia.DIA,horario_curso_materia.tipo_turno) VALUES (  (SELECT curso_materia.ID_CUR_MAT FROM curso_materia WHERE curso_materia.CUPOF='2673076' ) ,
    (SELECT horario.ID_HOR FROM horario WHERE horario.modulo='1 ' and horario.turno='T ' ),'LUNES ' , 'CONTRATURNO ' );</v>
      </c>
    </row>
    <row r="82" spans="1:34" ht="15" hidden="1" customHeight="1" x14ac:dyDescent="0.3">
      <c r="A82" s="1" t="str">
        <f t="shared" si="14"/>
        <v>1°3°</v>
      </c>
      <c r="B82" s="54" t="str">
        <f t="shared" si="15"/>
        <v>1°3°1LUTARDE132</v>
      </c>
      <c r="C82" s="62">
        <f>VLOOKUP(G82,[1]Hoja1!$A:$O,3,0)</f>
        <v>132</v>
      </c>
      <c r="D82" s="2" t="str">
        <f t="shared" si="16"/>
        <v>1LUTaula 2</v>
      </c>
      <c r="E82" s="62" t="s">
        <v>9</v>
      </c>
      <c r="F82" s="62" t="s">
        <v>10</v>
      </c>
      <c r="G82" s="62" t="s">
        <v>39</v>
      </c>
      <c r="H82" s="8" t="str">
        <f>VLOOKUP(G82,[1]Hoja1!$A:$O,6,0)</f>
        <v>LENGUAJES TECNOLOGICOS</v>
      </c>
      <c r="I82" s="4" t="s">
        <v>1438</v>
      </c>
      <c r="J82" s="4"/>
      <c r="K82" s="80" t="str">
        <f t="shared" si="13"/>
        <v>LU</v>
      </c>
      <c r="L82" s="4" t="s">
        <v>512</v>
      </c>
      <c r="M82" s="86" t="str">
        <f>VLOOKUP(G82,[1]Hoja1!$A:$O,15,0)</f>
        <v>BELIZAN</v>
      </c>
      <c r="N82" s="2" t="str">
        <f t="shared" si="17"/>
        <v>1°3°1321TLTLU</v>
      </c>
      <c r="O82" s="2"/>
      <c r="P82" s="2" t="str">
        <f>VLOOKUP(G82,[1]Hoja1!$A:$P,16,0)</f>
        <v xml:space="preserve"> </v>
      </c>
      <c r="Q82" s="2"/>
      <c r="S82">
        <f>VLOOKUP(G82,[1]Hoja1!$A:$O,5,0)</f>
        <v>2673082</v>
      </c>
      <c r="U82" s="45" t="s">
        <v>2751</v>
      </c>
      <c r="V82" s="46">
        <f t="shared" si="18"/>
        <v>2673082</v>
      </c>
      <c r="W82" s="47" t="s">
        <v>1519</v>
      </c>
      <c r="X82" s="46" t="str">
        <f t="shared" si="19"/>
        <v>1</v>
      </c>
      <c r="Y82" s="47" t="s">
        <v>1518</v>
      </c>
      <c r="Z82" s="46" t="str">
        <f t="shared" si="20"/>
        <v>T</v>
      </c>
      <c r="AA82" s="47" t="s">
        <v>2752</v>
      </c>
      <c r="AB82" s="46" t="str">
        <f t="shared" si="21"/>
        <v>LUNES</v>
      </c>
      <c r="AC82" s="47" t="s">
        <v>2753</v>
      </c>
      <c r="AD82" t="str">
        <f t="shared" si="22"/>
        <v>CONTRATURNO</v>
      </c>
      <c r="AE82" s="47" t="s">
        <v>2754</v>
      </c>
      <c r="AH82" t="str">
        <f t="shared" si="23"/>
        <v>INSERT INTO horario_curso_materia (horario_curso_materia.FK_CUR_mat,horario_curso_materia.FK_HOR,horario_curso_materia.DIA,horario_curso_materia.tipo_turno) VALUES (  (SELECT curso_materia.ID_CUR_MAT FROM curso_materia WHERE curso_materia.CUPOF='2673082' ) ,
    (SELECT horario.ID_HOR FROM horario WHERE horario.modulo='1 ' and horario.turno='T ' ),'LUNES ' , 'CONTRATURNO ' );</v>
      </c>
    </row>
    <row r="83" spans="1:34" ht="15" hidden="1" customHeight="1" x14ac:dyDescent="0.3">
      <c r="A83" s="1" t="str">
        <f t="shared" si="14"/>
        <v>1°3°</v>
      </c>
      <c r="B83" s="54" t="str">
        <f t="shared" si="15"/>
        <v>1°3°1MAMAÑANA0</v>
      </c>
      <c r="C83" s="62">
        <f>VLOOKUP(G83,[1]Hoja1!$A:$O,3,0)</f>
        <v>0</v>
      </c>
      <c r="D83" s="2" t="str">
        <f t="shared" si="16"/>
        <v>1MAM</v>
      </c>
      <c r="E83" s="62" t="s">
        <v>17</v>
      </c>
      <c r="F83" s="62" t="s">
        <v>27</v>
      </c>
      <c r="G83" s="62" t="s">
        <v>282</v>
      </c>
      <c r="H83" s="8" t="str">
        <f>VLOOKUP(G83,[1]Hoja1!$A:$O,6,0)</f>
        <v>MATEMATICA</v>
      </c>
      <c r="I83" s="4"/>
      <c r="J83" s="4"/>
      <c r="K83" s="80" t="str">
        <f t="shared" si="13"/>
        <v>MA</v>
      </c>
      <c r="L83" s="4"/>
      <c r="M83" s="86" t="str">
        <f>VLOOKUP(G83,[1]Hoja1!$A:$O,15,0)</f>
        <v xml:space="preserve">ESPINDOLA SERGIO                          </v>
      </c>
      <c r="N83" s="2" t="str">
        <f t="shared" si="17"/>
        <v>1°3°1MATMA</v>
      </c>
      <c r="O83" s="2"/>
      <c r="P83" s="2" t="str">
        <f>VLOOKUP(G83,[1]Hoja1!$A:$P,16,0)</f>
        <v xml:space="preserve"> </v>
      </c>
      <c r="Q83" s="2"/>
      <c r="S83">
        <f>VLOOKUP(G83,[1]Hoja1!$A:$O,5,0)</f>
        <v>733452</v>
      </c>
      <c r="U83" s="45" t="s">
        <v>2751</v>
      </c>
      <c r="V83" s="46">
        <f t="shared" si="18"/>
        <v>733452</v>
      </c>
      <c r="W83" s="47" t="s">
        <v>1519</v>
      </c>
      <c r="X83" s="46" t="str">
        <f t="shared" si="19"/>
        <v>1</v>
      </c>
      <c r="Y83" s="47" t="s">
        <v>1518</v>
      </c>
      <c r="Z83" s="46" t="str">
        <f t="shared" si="20"/>
        <v>M</v>
      </c>
      <c r="AA83" s="47" t="s">
        <v>2752</v>
      </c>
      <c r="AB83" s="46" t="str">
        <f t="shared" si="21"/>
        <v>MARTES</v>
      </c>
      <c r="AC83" s="47" t="s">
        <v>2753</v>
      </c>
      <c r="AD83">
        <f t="shared" si="22"/>
        <v>0</v>
      </c>
      <c r="AE83" s="47" t="s">
        <v>2754</v>
      </c>
      <c r="AH83" t="str">
        <f t="shared" si="23"/>
        <v>INSERT INTO horario_curso_materia (horario_curso_materia.FK_CUR_mat,horario_curso_materia.FK_HOR,horario_curso_materia.DIA,horario_curso_materia.tipo_turno) VALUES (  (SELECT curso_materia.ID_CUR_MAT FROM curso_materia WHERE curso_materia.CUPOF='733452' ) ,
    (SELECT horario.ID_HOR FROM horario WHERE horario.modulo='1 ' and horario.turno='M ' ),'MARTES ' , '0 ' );</v>
      </c>
    </row>
    <row r="84" spans="1:34" ht="15" hidden="1" customHeight="1" x14ac:dyDescent="0.3">
      <c r="A84" s="1" t="str">
        <f t="shared" si="14"/>
        <v>1°3°</v>
      </c>
      <c r="B84" s="54" t="str">
        <f t="shared" si="15"/>
        <v>1°3°1MIMAÑANA0</v>
      </c>
      <c r="C84" s="62">
        <f>VLOOKUP(G84,[1]Hoja1!$A:$O,3,0)</f>
        <v>0</v>
      </c>
      <c r="D84" s="2" t="str">
        <f t="shared" si="16"/>
        <v>1MIM</v>
      </c>
      <c r="E84" s="62" t="s">
        <v>24</v>
      </c>
      <c r="F84" s="62" t="s">
        <v>27</v>
      </c>
      <c r="G84" s="62" t="s">
        <v>279</v>
      </c>
      <c r="H84" s="8" t="str">
        <f>VLOOKUP(G84,[1]Hoja1!$A:$O,6,0)</f>
        <v>CIENCIAS NATURALES</v>
      </c>
      <c r="I84" s="4"/>
      <c r="J84" s="4"/>
      <c r="K84" s="80" t="str">
        <f t="shared" ref="K84:K147" si="24">RIGHT(E84,2)</f>
        <v>MI</v>
      </c>
      <c r="L84" s="4"/>
      <c r="M84" s="86" t="str">
        <f>VLOOKUP(G84,[1]Hoja1!$A:$O,15,0)</f>
        <v>FARIAS CLAUDIA ANTONIA</v>
      </c>
      <c r="N84" s="2" t="str">
        <f t="shared" si="17"/>
        <v>1°3°1NATMI</v>
      </c>
      <c r="O84" s="2"/>
      <c r="P84" s="2" t="str">
        <f>VLOOKUP(G84,[1]Hoja1!$A:$P,16,0)</f>
        <v xml:space="preserve"> </v>
      </c>
      <c r="Q84" s="2"/>
      <c r="S84">
        <f>VLOOKUP(G84,[1]Hoja1!$A:$O,5,0)</f>
        <v>2683140</v>
      </c>
      <c r="U84" s="45" t="s">
        <v>2751</v>
      </c>
      <c r="V84" s="46">
        <f t="shared" si="18"/>
        <v>2683140</v>
      </c>
      <c r="W84" s="47" t="s">
        <v>1519</v>
      </c>
      <c r="X84" s="46" t="str">
        <f t="shared" si="19"/>
        <v>1</v>
      </c>
      <c r="Y84" s="47" t="s">
        <v>1518</v>
      </c>
      <c r="Z84" s="46" t="str">
        <f t="shared" si="20"/>
        <v>M</v>
      </c>
      <c r="AA84" s="47" t="s">
        <v>2752</v>
      </c>
      <c r="AB84" s="46" t="str">
        <f t="shared" si="21"/>
        <v>MIERCOLES</v>
      </c>
      <c r="AC84" s="47" t="s">
        <v>2753</v>
      </c>
      <c r="AD84">
        <f t="shared" si="22"/>
        <v>0</v>
      </c>
      <c r="AE84" s="47" t="s">
        <v>2754</v>
      </c>
      <c r="AH84" t="str">
        <f t="shared" si="23"/>
        <v>INSERT INTO horario_curso_materia (horario_curso_materia.FK_CUR_mat,horario_curso_materia.FK_HOR,horario_curso_materia.DIA,horario_curso_materia.tipo_turno) VALUES (  (SELECT curso_materia.ID_CUR_MAT FROM curso_materia WHERE curso_materia.CUPOF='2683140' ) ,
    (SELECT horario.ID_HOR FROM horario WHERE horario.modulo='1 ' and horario.turno='M ' ),'MIERCOLES ' , '0 ' );</v>
      </c>
    </row>
    <row r="85" spans="1:34" ht="15" hidden="1" customHeight="1" x14ac:dyDescent="0.3">
      <c r="A85" s="1" t="str">
        <f t="shared" si="14"/>
        <v>1°3°</v>
      </c>
      <c r="B85" s="54" t="str">
        <f t="shared" si="15"/>
        <v>1°3°1MITARDE132</v>
      </c>
      <c r="C85" s="62">
        <f>VLOOKUP(G85,[1]Hoja1!$A:$O,3,0)</f>
        <v>132</v>
      </c>
      <c r="D85" s="2" t="str">
        <f t="shared" si="16"/>
        <v>1MITROBOTICA</v>
      </c>
      <c r="E85" s="62" t="s">
        <v>24</v>
      </c>
      <c r="F85" s="62" t="s">
        <v>10</v>
      </c>
      <c r="G85" s="62" t="s">
        <v>42</v>
      </c>
      <c r="H85" s="8" t="str">
        <f>VLOOKUP(G85,[1]Hoja1!$A:$O,6,0)</f>
        <v>SISTEMAS TECNOLOGICOS</v>
      </c>
      <c r="I85" s="4" t="s">
        <v>2759</v>
      </c>
      <c r="J85" s="4"/>
      <c r="K85" s="80" t="str">
        <f t="shared" si="24"/>
        <v>MI</v>
      </c>
      <c r="L85" s="4" t="s">
        <v>512</v>
      </c>
      <c r="M85" s="86" t="str">
        <f>VLOOKUP(G85,[1]Hoja1!$A:$O,15,0)</f>
        <v>GUTIERREZ NICOLAS</v>
      </c>
      <c r="N85" s="2" t="str">
        <f t="shared" si="17"/>
        <v>1°3°1321TSTMI</v>
      </c>
      <c r="O85" s="2"/>
      <c r="P85" s="2" t="str">
        <f>VLOOKUP(G85,[1]Hoja1!$A:$P,16,0)</f>
        <v xml:space="preserve"> </v>
      </c>
      <c r="Q85" s="2"/>
      <c r="S85">
        <f>VLOOKUP(G85,[1]Hoja1!$A:$O,5,0)</f>
        <v>2673083</v>
      </c>
      <c r="U85" s="45" t="s">
        <v>2751</v>
      </c>
      <c r="V85" s="46">
        <f t="shared" si="18"/>
        <v>2673083</v>
      </c>
      <c r="W85" s="47" t="s">
        <v>1519</v>
      </c>
      <c r="X85" s="46" t="str">
        <f t="shared" si="19"/>
        <v>1</v>
      </c>
      <c r="Y85" s="47" t="s">
        <v>1518</v>
      </c>
      <c r="Z85" s="46" t="str">
        <f t="shared" si="20"/>
        <v>T</v>
      </c>
      <c r="AA85" s="47" t="s">
        <v>2752</v>
      </c>
      <c r="AB85" s="46" t="str">
        <f t="shared" si="21"/>
        <v>MIERCOLES</v>
      </c>
      <c r="AC85" s="47" t="s">
        <v>2753</v>
      </c>
      <c r="AD85" t="str">
        <f t="shared" si="22"/>
        <v>CONTRATURNO</v>
      </c>
      <c r="AE85" s="47" t="s">
        <v>2754</v>
      </c>
      <c r="AH85" t="str">
        <f t="shared" si="23"/>
        <v>INSERT INTO horario_curso_materia (horario_curso_materia.FK_CUR_mat,horario_curso_materia.FK_HOR,horario_curso_materia.DIA,horario_curso_materia.tipo_turno) VALUES (  (SELECT curso_materia.ID_CUR_MAT FROM curso_materia WHERE curso_materia.CUPOF='2673083' ) ,
    (SELECT horario.ID_HOR FROM horario WHERE horario.modulo='1 ' and horario.turno='T ' ),'MIERCOLES ' , 'CONTRATURNO ' );</v>
      </c>
    </row>
    <row r="86" spans="1:34" ht="15" hidden="1" customHeight="1" x14ac:dyDescent="0.3">
      <c r="A86" s="1" t="str">
        <f t="shared" si="14"/>
        <v>1°3°</v>
      </c>
      <c r="B86" s="54" t="str">
        <f t="shared" si="15"/>
        <v>1°3°1VIMAÑANA0</v>
      </c>
      <c r="C86" s="62">
        <f>VLOOKUP(G86,[1]Hoja1!$A:$O,3,0)</f>
        <v>0</v>
      </c>
      <c r="D86" s="2" t="str">
        <f t="shared" si="16"/>
        <v>1VIM</v>
      </c>
      <c r="E86" s="62" t="s">
        <v>57</v>
      </c>
      <c r="F86" s="62" t="s">
        <v>27</v>
      </c>
      <c r="G86" s="62" t="s">
        <v>282</v>
      </c>
      <c r="H86" s="8" t="str">
        <f>VLOOKUP(G86,[1]Hoja1!$A:$O,6,0)</f>
        <v>MATEMATICA</v>
      </c>
      <c r="I86" s="4"/>
      <c r="J86" s="4"/>
      <c r="K86" s="80" t="str">
        <f t="shared" si="24"/>
        <v>VI</v>
      </c>
      <c r="L86" s="4"/>
      <c r="M86" s="86" t="str">
        <f>VLOOKUP(G86,[1]Hoja1!$A:$O,15,0)</f>
        <v xml:space="preserve">ESPINDOLA SERGIO                          </v>
      </c>
      <c r="N86" s="2" t="str">
        <f t="shared" si="17"/>
        <v>1°3°1MATVI</v>
      </c>
      <c r="O86" s="2"/>
      <c r="P86" s="2" t="str">
        <f>VLOOKUP(G86,[1]Hoja1!$A:$P,16,0)</f>
        <v xml:space="preserve"> </v>
      </c>
      <c r="Q86" s="2"/>
      <c r="S86">
        <f>VLOOKUP(G86,[1]Hoja1!$A:$O,5,0)</f>
        <v>733452</v>
      </c>
      <c r="U86" s="45" t="s">
        <v>2751</v>
      </c>
      <c r="V86" s="46">
        <f t="shared" si="18"/>
        <v>733452</v>
      </c>
      <c r="W86" s="47" t="s">
        <v>1519</v>
      </c>
      <c r="X86" s="46" t="str">
        <f t="shared" si="19"/>
        <v>1</v>
      </c>
      <c r="Y86" s="47" t="s">
        <v>1518</v>
      </c>
      <c r="Z86" s="46" t="str">
        <f t="shared" si="20"/>
        <v>M</v>
      </c>
      <c r="AA86" s="47" t="s">
        <v>2752</v>
      </c>
      <c r="AB86" s="46" t="str">
        <f t="shared" si="21"/>
        <v>VIERNES</v>
      </c>
      <c r="AC86" s="47" t="s">
        <v>2753</v>
      </c>
      <c r="AD86">
        <f t="shared" si="22"/>
        <v>0</v>
      </c>
      <c r="AE86" s="47" t="s">
        <v>2754</v>
      </c>
      <c r="AH86" t="str">
        <f t="shared" si="23"/>
        <v>INSERT INTO horario_curso_materia (horario_curso_materia.FK_CUR_mat,horario_curso_materia.FK_HOR,horario_curso_materia.DIA,horario_curso_materia.tipo_turno) VALUES (  (SELECT curso_materia.ID_CUR_MAT FROM curso_materia WHERE curso_materia.CUPOF='733452' ) ,
    (SELECT horario.ID_HOR FROM horario WHERE horario.modulo='1 ' and horario.turno='M ' ),'VIERNES ' , '0 ' );</v>
      </c>
    </row>
    <row r="87" spans="1:34" ht="15" hidden="1" customHeight="1" x14ac:dyDescent="0.3">
      <c r="A87" s="1" t="str">
        <f t="shared" si="14"/>
        <v>1°3°</v>
      </c>
      <c r="B87" s="54" t="str">
        <f t="shared" si="15"/>
        <v>1°3°1viTARDE0</v>
      </c>
      <c r="C87" s="62">
        <f>VLOOKUP(G87,[1]Hoja1!$A:$O,3,0)</f>
        <v>0</v>
      </c>
      <c r="D87" s="2" t="str">
        <f t="shared" si="16"/>
        <v>1viTPATIO</v>
      </c>
      <c r="E87" s="62" t="s">
        <v>1375</v>
      </c>
      <c r="F87" s="62" t="s">
        <v>10</v>
      </c>
      <c r="G87" s="62" t="s">
        <v>286</v>
      </c>
      <c r="H87" s="8" t="str">
        <f>VLOOKUP(G87,[1]Hoja1!$A:$O,6,0)</f>
        <v>EDUCACIÓN FISICA</v>
      </c>
      <c r="I87" s="4" t="s">
        <v>241</v>
      </c>
      <c r="J87" s="4"/>
      <c r="K87" s="80" t="str">
        <f t="shared" si="24"/>
        <v>vi</v>
      </c>
      <c r="L87" s="4" t="s">
        <v>512</v>
      </c>
      <c r="M87" s="86" t="str">
        <f>VLOOKUP(G87,[1]Hoja1!$A:$O,15,0)</f>
        <v>LUDUEÑA NELSON           20-29.569.203-1</v>
      </c>
      <c r="N87" s="2" t="str">
        <f t="shared" si="17"/>
        <v>1°3°1EFIvi</v>
      </c>
      <c r="O87" s="2"/>
      <c r="P87" s="2" t="str">
        <f>VLOOKUP(G87,[1]Hoja1!$A:$P,16,0)</f>
        <v xml:space="preserve"> </v>
      </c>
      <c r="Q87" s="2"/>
      <c r="S87">
        <f>VLOOKUP(G87,[1]Hoja1!$A:$O,5,0)</f>
        <v>816361</v>
      </c>
      <c r="U87" s="45" t="s">
        <v>2751</v>
      </c>
      <c r="V87" s="46">
        <f t="shared" si="18"/>
        <v>816361</v>
      </c>
      <c r="W87" s="47" t="s">
        <v>1519</v>
      </c>
      <c r="X87" s="46" t="str">
        <f t="shared" si="19"/>
        <v>1</v>
      </c>
      <c r="Y87" s="47" t="s">
        <v>1518</v>
      </c>
      <c r="Z87" s="46" t="str">
        <f t="shared" si="20"/>
        <v>T</v>
      </c>
      <c r="AA87" s="47" t="s">
        <v>2752</v>
      </c>
      <c r="AB87" s="46" t="str">
        <f t="shared" si="21"/>
        <v>VIERNES</v>
      </c>
      <c r="AC87" s="47" t="s">
        <v>2753</v>
      </c>
      <c r="AD87" t="str">
        <f t="shared" si="22"/>
        <v>CONTRATURNO</v>
      </c>
      <c r="AE87" s="47" t="s">
        <v>2754</v>
      </c>
      <c r="AH87" t="str">
        <f t="shared" si="23"/>
        <v>INSERT INTO horario_curso_materia (horario_curso_materia.FK_CUR_mat,horario_curso_materia.FK_HOR,horario_curso_materia.DIA,horario_curso_materia.tipo_turno) VALUES (  (SELECT curso_materia.ID_CUR_MAT FROM curso_materia WHERE curso_materia.CUPOF='816361' ) ,
    (SELECT horario.ID_HOR FROM horario WHERE horario.modulo='1 ' and horario.turno='T ' ),'VIERNES ' , 'CONTRATURNO ' );</v>
      </c>
    </row>
    <row r="88" spans="1:34" ht="15" hidden="1" customHeight="1" x14ac:dyDescent="0.3">
      <c r="A88" s="1" t="str">
        <f t="shared" si="14"/>
        <v>1°3°</v>
      </c>
      <c r="B88" s="54" t="str">
        <f t="shared" si="15"/>
        <v>1°3°2JUMAÑANA0</v>
      </c>
      <c r="C88" s="62">
        <f>VLOOKUP(G88,[1]Hoja1!$A:$O,3,0)</f>
        <v>0</v>
      </c>
      <c r="D88" s="2" t="str">
        <f t="shared" si="16"/>
        <v>2JUM</v>
      </c>
      <c r="E88" s="62" t="s">
        <v>45</v>
      </c>
      <c r="F88" s="62" t="s">
        <v>27</v>
      </c>
      <c r="G88" s="62" t="s">
        <v>280</v>
      </c>
      <c r="H88" s="8" t="str">
        <f>VLOOKUP(G88,[1]Hoja1!$A:$O,6,0)</f>
        <v>CONSTRUCCION DE LA CIUDADANIA</v>
      </c>
      <c r="I88" s="4"/>
      <c r="J88" s="4"/>
      <c r="K88" s="80" t="str">
        <f t="shared" si="24"/>
        <v>JU</v>
      </c>
      <c r="L88" s="4"/>
      <c r="M88" s="86" t="str">
        <f>VLOOKUP(G88,[1]Hoja1!$A:$O,15,0)</f>
        <v xml:space="preserve">HERRERA CARMEN                    </v>
      </c>
      <c r="N88" s="2" t="str">
        <f t="shared" si="17"/>
        <v>1°3°1CCDJU</v>
      </c>
      <c r="O88" s="2"/>
      <c r="P88" s="2" t="str">
        <f>VLOOKUP(G88,[1]Hoja1!$A:$P,16,0)</f>
        <v xml:space="preserve"> </v>
      </c>
      <c r="Q88" s="2"/>
      <c r="S88">
        <f>VLOOKUP(G88,[1]Hoja1!$A:$O,5,0)</f>
        <v>2683142</v>
      </c>
      <c r="U88" s="45" t="s">
        <v>2751</v>
      </c>
      <c r="V88" s="46">
        <f t="shared" si="18"/>
        <v>2683142</v>
      </c>
      <c r="W88" s="47" t="s">
        <v>1519</v>
      </c>
      <c r="X88" s="46" t="str">
        <f t="shared" si="19"/>
        <v>2</v>
      </c>
      <c r="Y88" s="47" t="s">
        <v>1518</v>
      </c>
      <c r="Z88" s="46" t="str">
        <f t="shared" si="20"/>
        <v>M</v>
      </c>
      <c r="AA88" s="47" t="s">
        <v>2752</v>
      </c>
      <c r="AB88" s="46" t="str">
        <f t="shared" si="21"/>
        <v>JUEVES</v>
      </c>
      <c r="AC88" s="47" t="s">
        <v>2753</v>
      </c>
      <c r="AD88">
        <f t="shared" si="22"/>
        <v>0</v>
      </c>
      <c r="AE88" s="47" t="s">
        <v>2754</v>
      </c>
      <c r="AH88" t="str">
        <f t="shared" si="23"/>
        <v>INSERT INTO horario_curso_materia (horario_curso_materia.FK_CUR_mat,horario_curso_materia.FK_HOR,horario_curso_materia.DIA,horario_curso_materia.tipo_turno) VALUES (  (SELECT curso_materia.ID_CUR_MAT FROM curso_materia WHERE curso_materia.CUPOF='2683142' ) ,
    (SELECT horario.ID_HOR FROM horario WHERE horario.modulo='2 ' and horario.turno='M ' ),'JUEVES ' , '0 ' );</v>
      </c>
    </row>
    <row r="89" spans="1:34" ht="15" hidden="1" customHeight="1" x14ac:dyDescent="0.3">
      <c r="A89" s="1" t="str">
        <f t="shared" si="14"/>
        <v>1°3°</v>
      </c>
      <c r="B89" s="54" t="str">
        <f t="shared" si="15"/>
        <v>1°3°2JUTARDE132</v>
      </c>
      <c r="C89" s="62">
        <f>VLOOKUP(G89,[1]Hoja1!$A:$O,3,0)</f>
        <v>132</v>
      </c>
      <c r="D89" s="2" t="str">
        <f t="shared" si="16"/>
        <v>2JUTCARPINTERIA</v>
      </c>
      <c r="E89" s="62" t="s">
        <v>45</v>
      </c>
      <c r="F89" s="62" t="s">
        <v>10</v>
      </c>
      <c r="G89" s="62" t="s">
        <v>44</v>
      </c>
      <c r="H89" s="8" t="str">
        <f>VLOOKUP(G89,[1]Hoja1!$A:$O,6,0)</f>
        <v>PROCEDIMIENTOS TECNICOS</v>
      </c>
      <c r="I89" s="4" t="s">
        <v>23</v>
      </c>
      <c r="J89" s="4"/>
      <c r="K89" s="80" t="str">
        <f t="shared" si="24"/>
        <v>JU</v>
      </c>
      <c r="L89" s="4" t="s">
        <v>512</v>
      </c>
      <c r="M89" s="86" t="str">
        <f>VLOOKUP(G89,[1]Hoja1!$A:$O,15,0)</f>
        <v>GENARO ARIEL AVILA SANTILLAN</v>
      </c>
      <c r="N89" s="2" t="str">
        <f t="shared" si="17"/>
        <v>1°3°1321TPTJU</v>
      </c>
      <c r="O89" s="2"/>
      <c r="P89" s="2" t="str">
        <f>VLOOKUP(G89,[1]Hoja1!$A:$P,16,0)</f>
        <v xml:space="preserve"> </v>
      </c>
      <c r="Q89" s="2"/>
      <c r="S89">
        <f>VLOOKUP(G89,[1]Hoja1!$A:$O,5,0)</f>
        <v>2673084</v>
      </c>
      <c r="U89" s="45" t="s">
        <v>2751</v>
      </c>
      <c r="V89" s="46">
        <f t="shared" si="18"/>
        <v>2673084</v>
      </c>
      <c r="W89" s="47" t="s">
        <v>1519</v>
      </c>
      <c r="X89" s="46" t="str">
        <f t="shared" si="19"/>
        <v>2</v>
      </c>
      <c r="Y89" s="47" t="s">
        <v>1518</v>
      </c>
      <c r="Z89" s="46" t="str">
        <f t="shared" si="20"/>
        <v>T</v>
      </c>
      <c r="AA89" s="47" t="s">
        <v>2752</v>
      </c>
      <c r="AB89" s="46" t="str">
        <f t="shared" si="21"/>
        <v>JUEVES</v>
      </c>
      <c r="AC89" s="47" t="s">
        <v>2753</v>
      </c>
      <c r="AD89" t="str">
        <f t="shared" si="22"/>
        <v>CONTRATURNO</v>
      </c>
      <c r="AE89" s="47" t="s">
        <v>2754</v>
      </c>
      <c r="AH89" t="str">
        <f t="shared" si="23"/>
        <v>INSERT INTO horario_curso_materia (horario_curso_materia.FK_CUR_mat,horario_curso_materia.FK_HOR,horario_curso_materia.DIA,horario_curso_materia.tipo_turno) VALUES (  (SELECT curso_materia.ID_CUR_MAT FROM curso_materia WHERE curso_materia.CUPOF='2673084' ) ,
    (SELECT horario.ID_HOR FROM horario WHERE horario.modulo='2 ' and horario.turno='T ' ),'JUEVES ' , 'CONTRATURNO ' );</v>
      </c>
    </row>
    <row r="90" spans="1:34" ht="15" hidden="1" customHeight="1" x14ac:dyDescent="0.3">
      <c r="A90" s="1" t="str">
        <f t="shared" si="14"/>
        <v>1°3°</v>
      </c>
      <c r="B90" s="54" t="str">
        <f t="shared" si="15"/>
        <v>1°3°2LUMAÑANA0</v>
      </c>
      <c r="C90" s="62">
        <f>VLOOKUP(G90,[1]Hoja1!$A:$O,3,0)</f>
        <v>0</v>
      </c>
      <c r="D90" s="2" t="str">
        <f t="shared" si="16"/>
        <v>2LUM</v>
      </c>
      <c r="E90" s="62" t="s">
        <v>12</v>
      </c>
      <c r="F90" s="62" t="s">
        <v>27</v>
      </c>
      <c r="G90" s="62" t="s">
        <v>281</v>
      </c>
      <c r="H90" s="8" t="str">
        <f>VLOOKUP(G90,[1]Hoja1!$A:$O,6,0)</f>
        <v>INGLÉS</v>
      </c>
      <c r="I90" s="4"/>
      <c r="J90" s="4"/>
      <c r="K90" s="80" t="str">
        <f t="shared" si="24"/>
        <v>LU</v>
      </c>
      <c r="L90" s="4"/>
      <c r="M90" s="86" t="str">
        <f>VLOOKUP(G90,[1]Hoja1!$A:$O,15,0)</f>
        <v>RAMIREZ GISELE</v>
      </c>
      <c r="N90" s="2" t="str">
        <f t="shared" si="17"/>
        <v>1°3°1INGLU</v>
      </c>
      <c r="O90" s="2"/>
      <c r="P90" s="2" t="str">
        <f>VLOOKUP(G90,[1]Hoja1!$A:$P,16,0)</f>
        <v xml:space="preserve"> </v>
      </c>
      <c r="Q90" s="2"/>
      <c r="S90">
        <f>VLOOKUP(G90,[1]Hoja1!$A:$O,5,0)</f>
        <v>733464</v>
      </c>
      <c r="U90" s="45" t="s">
        <v>2751</v>
      </c>
      <c r="V90" s="46">
        <f t="shared" si="18"/>
        <v>733464</v>
      </c>
      <c r="W90" s="47" t="s">
        <v>1519</v>
      </c>
      <c r="X90" s="46" t="str">
        <f t="shared" si="19"/>
        <v>2</v>
      </c>
      <c r="Y90" s="47" t="s">
        <v>1518</v>
      </c>
      <c r="Z90" s="46" t="str">
        <f t="shared" si="20"/>
        <v>M</v>
      </c>
      <c r="AA90" s="47" t="s">
        <v>2752</v>
      </c>
      <c r="AB90" s="46" t="str">
        <f t="shared" si="21"/>
        <v>LUNES</v>
      </c>
      <c r="AC90" s="47" t="s">
        <v>2753</v>
      </c>
      <c r="AD90">
        <f t="shared" si="22"/>
        <v>0</v>
      </c>
      <c r="AE90" s="47" t="s">
        <v>2754</v>
      </c>
      <c r="AH90" t="str">
        <f t="shared" si="23"/>
        <v>INSERT INTO horario_curso_materia (horario_curso_materia.FK_CUR_mat,horario_curso_materia.FK_HOR,horario_curso_materia.DIA,horario_curso_materia.tipo_turno) VALUES (  (SELECT curso_materia.ID_CUR_MAT FROM curso_materia WHERE curso_materia.CUPOF='733464' ) ,
    (SELECT horario.ID_HOR FROM horario WHERE horario.modulo='2 ' and horario.turno='M ' ),'LUNES ' , '0 ' );</v>
      </c>
    </row>
    <row r="91" spans="1:34" ht="15" hidden="1" customHeight="1" x14ac:dyDescent="0.3">
      <c r="A91" s="1" t="str">
        <f t="shared" si="14"/>
        <v>1°3°</v>
      </c>
      <c r="B91" s="54" t="str">
        <f t="shared" si="15"/>
        <v>1°3°2LUTARDE131</v>
      </c>
      <c r="C91" s="62">
        <f>VLOOKUP(G91,[1]Hoja1!$A:$O,3,0)</f>
        <v>131</v>
      </c>
      <c r="D91" s="2" t="str">
        <f t="shared" si="16"/>
        <v>2LUTaula 3</v>
      </c>
      <c r="E91" s="62" t="s">
        <v>12</v>
      </c>
      <c r="F91" s="62" t="s">
        <v>10</v>
      </c>
      <c r="G91" s="62" t="s">
        <v>37</v>
      </c>
      <c r="H91" s="8" t="str">
        <f>VLOOKUP(G91,[1]Hoja1!$A:$O,6,0)</f>
        <v>SISTEMAS TECNOLOGICOS</v>
      </c>
      <c r="I91" s="4" t="s">
        <v>2774</v>
      </c>
      <c r="J91" s="4"/>
      <c r="K91" s="80" t="str">
        <f t="shared" si="24"/>
        <v>LU</v>
      </c>
      <c r="L91" s="4" t="s">
        <v>512</v>
      </c>
      <c r="M91" s="86" t="str">
        <f>VLOOKUP(G91,[1]Hoja1!$A:$O,15,0)</f>
        <v>CASTILLO MARISOL ANABEL</v>
      </c>
      <c r="N91" s="2" t="str">
        <f t="shared" si="17"/>
        <v>1°3°1311TSTLU</v>
      </c>
      <c r="O91" s="2"/>
      <c r="P91" s="2" t="str">
        <f>VLOOKUP(G91,[1]Hoja1!$A:$P,16,0)</f>
        <v xml:space="preserve"> </v>
      </c>
      <c r="Q91" s="2"/>
      <c r="S91">
        <f>VLOOKUP(G91,[1]Hoja1!$A:$O,5,0)</f>
        <v>2673076</v>
      </c>
      <c r="U91" s="45" t="s">
        <v>2751</v>
      </c>
      <c r="V91" s="46">
        <f t="shared" si="18"/>
        <v>2673076</v>
      </c>
      <c r="W91" s="47" t="s">
        <v>1519</v>
      </c>
      <c r="X91" s="46" t="str">
        <f t="shared" si="19"/>
        <v>2</v>
      </c>
      <c r="Y91" s="47" t="s">
        <v>1518</v>
      </c>
      <c r="Z91" s="46" t="str">
        <f t="shared" si="20"/>
        <v>T</v>
      </c>
      <c r="AA91" s="47" t="s">
        <v>2752</v>
      </c>
      <c r="AB91" s="46" t="str">
        <f t="shared" si="21"/>
        <v>LUNES</v>
      </c>
      <c r="AC91" s="47" t="s">
        <v>2753</v>
      </c>
      <c r="AD91" t="str">
        <f t="shared" si="22"/>
        <v>CONTRATURNO</v>
      </c>
      <c r="AE91" s="47" t="s">
        <v>2754</v>
      </c>
      <c r="AH91" t="str">
        <f t="shared" si="23"/>
        <v>INSERT INTO horario_curso_materia (horario_curso_materia.FK_CUR_mat,horario_curso_materia.FK_HOR,horario_curso_materia.DIA,horario_curso_materia.tipo_turno) VALUES (  (SELECT curso_materia.ID_CUR_MAT FROM curso_materia WHERE curso_materia.CUPOF='2673076' ) ,
    (SELECT horario.ID_HOR FROM horario WHERE horario.modulo='2 ' and horario.turno='T ' ),'LUNES ' , 'CONTRATURNO ' );</v>
      </c>
    </row>
    <row r="92" spans="1:34" ht="15" hidden="1" customHeight="1" x14ac:dyDescent="0.3">
      <c r="A92" s="1" t="str">
        <f t="shared" si="14"/>
        <v>1°3°</v>
      </c>
      <c r="B92" s="54" t="str">
        <f t="shared" si="15"/>
        <v>1°3°2LUTARDE132</v>
      </c>
      <c r="C92" s="62">
        <f>VLOOKUP(G92,[1]Hoja1!$A:$O,3,0)</f>
        <v>132</v>
      </c>
      <c r="D92" s="2" t="str">
        <f t="shared" si="16"/>
        <v>2LUTaula 2</v>
      </c>
      <c r="E92" s="62" t="s">
        <v>12</v>
      </c>
      <c r="F92" s="62" t="s">
        <v>10</v>
      </c>
      <c r="G92" s="62" t="s">
        <v>39</v>
      </c>
      <c r="H92" s="8" t="str">
        <f>VLOOKUP(G92,[1]Hoja1!$A:$O,6,0)</f>
        <v>LENGUAJES TECNOLOGICOS</v>
      </c>
      <c r="I92" s="4" t="s">
        <v>1438</v>
      </c>
      <c r="J92" s="4"/>
      <c r="K92" s="80" t="str">
        <f t="shared" si="24"/>
        <v>LU</v>
      </c>
      <c r="L92" s="4" t="s">
        <v>512</v>
      </c>
      <c r="M92" s="86" t="str">
        <f>VLOOKUP(G92,[1]Hoja1!$A:$O,15,0)</f>
        <v>BELIZAN</v>
      </c>
      <c r="N92" s="2" t="str">
        <f t="shared" si="17"/>
        <v>1°3°1321TLTLU</v>
      </c>
      <c r="O92" s="2"/>
      <c r="P92" s="2" t="str">
        <f>VLOOKUP(G92,[1]Hoja1!$A:$P,16,0)</f>
        <v xml:space="preserve"> </v>
      </c>
      <c r="Q92" s="2"/>
      <c r="S92">
        <f>VLOOKUP(G92,[1]Hoja1!$A:$O,5,0)</f>
        <v>2673082</v>
      </c>
      <c r="U92" s="45" t="s">
        <v>2751</v>
      </c>
      <c r="V92" s="46">
        <f t="shared" si="18"/>
        <v>2673082</v>
      </c>
      <c r="W92" s="47" t="s">
        <v>1519</v>
      </c>
      <c r="X92" s="46" t="str">
        <f t="shared" si="19"/>
        <v>2</v>
      </c>
      <c r="Y92" s="47" t="s">
        <v>1518</v>
      </c>
      <c r="Z92" s="46" t="str">
        <f t="shared" si="20"/>
        <v>T</v>
      </c>
      <c r="AA92" s="47" t="s">
        <v>2752</v>
      </c>
      <c r="AB92" s="46" t="str">
        <f t="shared" si="21"/>
        <v>LUNES</v>
      </c>
      <c r="AC92" s="47" t="s">
        <v>2753</v>
      </c>
      <c r="AD92" t="str">
        <f t="shared" si="22"/>
        <v>CONTRATURNO</v>
      </c>
      <c r="AE92" s="47" t="s">
        <v>2754</v>
      </c>
      <c r="AH92" t="str">
        <f t="shared" si="23"/>
        <v>INSERT INTO horario_curso_materia (horario_curso_materia.FK_CUR_mat,horario_curso_materia.FK_HOR,horario_curso_materia.DIA,horario_curso_materia.tipo_turno) VALUES (  (SELECT curso_materia.ID_CUR_MAT FROM curso_materia WHERE curso_materia.CUPOF='2673082' ) ,
    (SELECT horario.ID_HOR FROM horario WHERE horario.modulo='2 ' and horario.turno='T ' ),'LUNES ' , 'CONTRATURNO ' );</v>
      </c>
    </row>
    <row r="93" spans="1:34" ht="15" hidden="1" customHeight="1" x14ac:dyDescent="0.3">
      <c r="A93" s="1" t="str">
        <f t="shared" si="14"/>
        <v>1°3°</v>
      </c>
      <c r="B93" s="54" t="str">
        <f t="shared" si="15"/>
        <v>1°3°2MAMAÑANA0</v>
      </c>
      <c r="C93" s="62">
        <f>VLOOKUP(G93,[1]Hoja1!$A:$O,3,0)</f>
        <v>0</v>
      </c>
      <c r="D93" s="2" t="str">
        <f t="shared" si="16"/>
        <v>2MAM</v>
      </c>
      <c r="E93" s="62" t="s">
        <v>19</v>
      </c>
      <c r="F93" s="62" t="s">
        <v>27</v>
      </c>
      <c r="G93" s="62" t="s">
        <v>282</v>
      </c>
      <c r="H93" s="8" t="str">
        <f>VLOOKUP(G93,[1]Hoja1!$A:$O,6,0)</f>
        <v>MATEMATICA</v>
      </c>
      <c r="I93" s="4"/>
      <c r="J93" s="4"/>
      <c r="K93" s="80" t="str">
        <f t="shared" si="24"/>
        <v>MA</v>
      </c>
      <c r="L93" s="4"/>
      <c r="M93" s="86" t="str">
        <f>VLOOKUP(G93,[1]Hoja1!$A:$O,15,0)</f>
        <v xml:space="preserve">ESPINDOLA SERGIO                          </v>
      </c>
      <c r="N93" s="2" t="str">
        <f t="shared" si="17"/>
        <v>1°3°1MATMA</v>
      </c>
      <c r="O93" s="2"/>
      <c r="P93" s="2" t="str">
        <f>VLOOKUP(G93,[1]Hoja1!$A:$P,16,0)</f>
        <v xml:space="preserve"> </v>
      </c>
      <c r="Q93" s="2"/>
      <c r="S93">
        <f>VLOOKUP(G93,[1]Hoja1!$A:$O,5,0)</f>
        <v>733452</v>
      </c>
      <c r="U93" s="45" t="s">
        <v>2751</v>
      </c>
      <c r="V93" s="46">
        <f t="shared" si="18"/>
        <v>733452</v>
      </c>
      <c r="W93" s="47" t="s">
        <v>1519</v>
      </c>
      <c r="X93" s="46" t="str">
        <f t="shared" si="19"/>
        <v>2</v>
      </c>
      <c r="Y93" s="47" t="s">
        <v>1518</v>
      </c>
      <c r="Z93" s="46" t="str">
        <f t="shared" si="20"/>
        <v>M</v>
      </c>
      <c r="AA93" s="47" t="s">
        <v>2752</v>
      </c>
      <c r="AB93" s="46" t="str">
        <f t="shared" si="21"/>
        <v>MARTES</v>
      </c>
      <c r="AC93" s="47" t="s">
        <v>2753</v>
      </c>
      <c r="AD93">
        <f t="shared" si="22"/>
        <v>0</v>
      </c>
      <c r="AE93" s="47" t="s">
        <v>2754</v>
      </c>
      <c r="AH93" t="str">
        <f t="shared" si="23"/>
        <v>INSERT INTO horario_curso_materia (horario_curso_materia.FK_CUR_mat,horario_curso_materia.FK_HOR,horario_curso_materia.DIA,horario_curso_materia.tipo_turno) VALUES (  (SELECT curso_materia.ID_CUR_MAT FROM curso_materia WHERE curso_materia.CUPOF='733452' ) ,
    (SELECT horario.ID_HOR FROM horario WHERE horario.modulo='2 ' and horario.turno='M ' ),'MARTES ' , '0 ' );</v>
      </c>
    </row>
    <row r="94" spans="1:34" ht="15" hidden="1" customHeight="1" x14ac:dyDescent="0.3">
      <c r="A94" s="1" t="str">
        <f t="shared" si="14"/>
        <v>1°3°</v>
      </c>
      <c r="B94" s="54" t="str">
        <f t="shared" si="15"/>
        <v>1°3°2MIMAÑANA0</v>
      </c>
      <c r="C94" s="62">
        <f>VLOOKUP(G94,[1]Hoja1!$A:$O,3,0)</f>
        <v>0</v>
      </c>
      <c r="D94" s="2" t="str">
        <f t="shared" si="16"/>
        <v>2MIM</v>
      </c>
      <c r="E94" s="62" t="s">
        <v>26</v>
      </c>
      <c r="F94" s="62" t="s">
        <v>27</v>
      </c>
      <c r="G94" s="62" t="s">
        <v>279</v>
      </c>
      <c r="H94" s="8" t="str">
        <f>VLOOKUP(G94,[1]Hoja1!$A:$O,6,0)</f>
        <v>CIENCIAS NATURALES</v>
      </c>
      <c r="I94" s="4"/>
      <c r="J94" s="4"/>
      <c r="K94" s="80" t="str">
        <f t="shared" si="24"/>
        <v>MI</v>
      </c>
      <c r="L94" s="4"/>
      <c r="M94" s="86" t="str">
        <f>VLOOKUP(G94,[1]Hoja1!$A:$O,15,0)</f>
        <v>FARIAS CLAUDIA ANTONIA</v>
      </c>
      <c r="N94" s="2" t="str">
        <f t="shared" si="17"/>
        <v>1°3°1NATMI</v>
      </c>
      <c r="O94" s="2"/>
      <c r="P94" s="2" t="str">
        <f>VLOOKUP(G94,[1]Hoja1!$A:$P,16,0)</f>
        <v xml:space="preserve"> </v>
      </c>
      <c r="Q94" s="2"/>
      <c r="S94">
        <f>VLOOKUP(G94,[1]Hoja1!$A:$O,5,0)</f>
        <v>2683140</v>
      </c>
      <c r="U94" s="45" t="s">
        <v>2751</v>
      </c>
      <c r="V94" s="46">
        <f t="shared" si="18"/>
        <v>2683140</v>
      </c>
      <c r="W94" s="47" t="s">
        <v>1519</v>
      </c>
      <c r="X94" s="46" t="str">
        <f t="shared" si="19"/>
        <v>2</v>
      </c>
      <c r="Y94" s="47" t="s">
        <v>1518</v>
      </c>
      <c r="Z94" s="46" t="str">
        <f t="shared" si="20"/>
        <v>M</v>
      </c>
      <c r="AA94" s="47" t="s">
        <v>2752</v>
      </c>
      <c r="AB94" s="46" t="str">
        <f t="shared" si="21"/>
        <v>MIERCOLES</v>
      </c>
      <c r="AC94" s="47" t="s">
        <v>2753</v>
      </c>
      <c r="AD94">
        <f t="shared" si="22"/>
        <v>0</v>
      </c>
      <c r="AE94" s="47" t="s">
        <v>2754</v>
      </c>
      <c r="AH94" t="str">
        <f t="shared" si="23"/>
        <v>INSERT INTO horario_curso_materia (horario_curso_materia.FK_CUR_mat,horario_curso_materia.FK_HOR,horario_curso_materia.DIA,horario_curso_materia.tipo_turno) VALUES (  (SELECT curso_materia.ID_CUR_MAT FROM curso_materia WHERE curso_materia.CUPOF='2683140' ) ,
    (SELECT horario.ID_HOR FROM horario WHERE horario.modulo='2 ' and horario.turno='M ' ),'MIERCOLES ' , '0 ' );</v>
      </c>
    </row>
    <row r="95" spans="1:34" ht="15" hidden="1" customHeight="1" x14ac:dyDescent="0.3">
      <c r="A95" s="1" t="str">
        <f t="shared" si="14"/>
        <v>1°3°</v>
      </c>
      <c r="B95" s="54" t="str">
        <f t="shared" si="15"/>
        <v>1°3°2miTARDE132</v>
      </c>
      <c r="C95" s="62">
        <f>VLOOKUP(G95,[1]Hoja1!$A:$O,3,0)</f>
        <v>132</v>
      </c>
      <c r="D95" s="2" t="str">
        <f t="shared" si="16"/>
        <v>2miTROBOTICA</v>
      </c>
      <c r="E95" s="62" t="s">
        <v>1343</v>
      </c>
      <c r="F95" s="62" t="s">
        <v>10</v>
      </c>
      <c r="G95" s="62" t="s">
        <v>42</v>
      </c>
      <c r="H95" s="8" t="str">
        <f>VLOOKUP(G95,[1]Hoja1!$A:$O,6,0)</f>
        <v>SISTEMAS TECNOLOGICOS</v>
      </c>
      <c r="I95" s="4" t="s">
        <v>2759</v>
      </c>
      <c r="J95" s="4"/>
      <c r="K95" s="80" t="str">
        <f t="shared" si="24"/>
        <v>mi</v>
      </c>
      <c r="L95" s="4" t="s">
        <v>512</v>
      </c>
      <c r="M95" s="86" t="str">
        <f>VLOOKUP(G95,[1]Hoja1!$A:$O,15,0)</f>
        <v>GUTIERREZ NICOLAS</v>
      </c>
      <c r="N95" s="2" t="str">
        <f t="shared" si="17"/>
        <v>1°3°1321TSTmi</v>
      </c>
      <c r="O95" s="2"/>
      <c r="P95" s="2" t="str">
        <f>VLOOKUP(G95,[1]Hoja1!$A:$P,16,0)</f>
        <v xml:space="preserve"> </v>
      </c>
      <c r="Q95" s="2"/>
      <c r="S95">
        <f>VLOOKUP(G95,[1]Hoja1!$A:$O,5,0)</f>
        <v>2673083</v>
      </c>
      <c r="U95" s="45" t="s">
        <v>2751</v>
      </c>
      <c r="V95" s="46">
        <f t="shared" si="18"/>
        <v>2673083</v>
      </c>
      <c r="W95" s="47" t="s">
        <v>1519</v>
      </c>
      <c r="X95" s="46" t="str">
        <f t="shared" si="19"/>
        <v>2</v>
      </c>
      <c r="Y95" s="47" t="s">
        <v>1518</v>
      </c>
      <c r="Z95" s="46" t="str">
        <f t="shared" si="20"/>
        <v>T</v>
      </c>
      <c r="AA95" s="47" t="s">
        <v>2752</v>
      </c>
      <c r="AB95" s="46" t="str">
        <f t="shared" si="21"/>
        <v>MIERCOLES</v>
      </c>
      <c r="AC95" s="47" t="s">
        <v>2753</v>
      </c>
      <c r="AD95" t="str">
        <f t="shared" si="22"/>
        <v>CONTRATURNO</v>
      </c>
      <c r="AE95" s="47" t="s">
        <v>2754</v>
      </c>
      <c r="AH95" t="str">
        <f t="shared" si="23"/>
        <v>INSERT INTO horario_curso_materia (horario_curso_materia.FK_CUR_mat,horario_curso_materia.FK_HOR,horario_curso_materia.DIA,horario_curso_materia.tipo_turno) VALUES (  (SELECT curso_materia.ID_CUR_MAT FROM curso_materia WHERE curso_materia.CUPOF='2673083' ) ,
    (SELECT horario.ID_HOR FROM horario WHERE horario.modulo='2 ' and horario.turno='T ' ),'MIERCOLES ' , 'CONTRATURNO ' );</v>
      </c>
    </row>
    <row r="96" spans="1:34" ht="15" hidden="1" customHeight="1" x14ac:dyDescent="0.3">
      <c r="A96" s="1" t="str">
        <f t="shared" si="14"/>
        <v>1°3°</v>
      </c>
      <c r="B96" s="54" t="str">
        <f t="shared" si="15"/>
        <v>1°3°2VIMAÑANA0</v>
      </c>
      <c r="C96" s="62">
        <f>VLOOKUP(G96,[1]Hoja1!$A:$O,3,0)</f>
        <v>0</v>
      </c>
      <c r="D96" s="2" t="str">
        <f t="shared" si="16"/>
        <v>2VIM</v>
      </c>
      <c r="E96" s="62" t="s">
        <v>59</v>
      </c>
      <c r="F96" s="62" t="s">
        <v>27</v>
      </c>
      <c r="G96" s="62" t="s">
        <v>282</v>
      </c>
      <c r="H96" s="8" t="str">
        <f>VLOOKUP(G96,[1]Hoja1!$A:$O,6,0)</f>
        <v>MATEMATICA</v>
      </c>
      <c r="I96" s="4"/>
      <c r="J96" s="4"/>
      <c r="K96" s="80" t="str">
        <f t="shared" si="24"/>
        <v>VI</v>
      </c>
      <c r="L96" s="4"/>
      <c r="M96" s="86" t="str">
        <f>VLOOKUP(G96,[1]Hoja1!$A:$O,15,0)</f>
        <v xml:space="preserve">ESPINDOLA SERGIO                          </v>
      </c>
      <c r="N96" s="2" t="str">
        <f t="shared" si="17"/>
        <v>1°3°1MATVI</v>
      </c>
      <c r="O96" s="2"/>
      <c r="P96" s="2" t="str">
        <f>VLOOKUP(G96,[1]Hoja1!$A:$P,16,0)</f>
        <v xml:space="preserve"> </v>
      </c>
      <c r="Q96" s="2"/>
      <c r="S96">
        <f>VLOOKUP(G96,[1]Hoja1!$A:$O,5,0)</f>
        <v>733452</v>
      </c>
      <c r="U96" s="45" t="s">
        <v>2751</v>
      </c>
      <c r="V96" s="46">
        <f t="shared" si="18"/>
        <v>733452</v>
      </c>
      <c r="W96" s="47" t="s">
        <v>1519</v>
      </c>
      <c r="X96" s="46" t="str">
        <f t="shared" si="19"/>
        <v>2</v>
      </c>
      <c r="Y96" s="47" t="s">
        <v>1518</v>
      </c>
      <c r="Z96" s="46" t="str">
        <f t="shared" si="20"/>
        <v>M</v>
      </c>
      <c r="AA96" s="47" t="s">
        <v>2752</v>
      </c>
      <c r="AB96" s="46" t="str">
        <f t="shared" si="21"/>
        <v>VIERNES</v>
      </c>
      <c r="AC96" s="47" t="s">
        <v>2753</v>
      </c>
      <c r="AD96">
        <f t="shared" si="22"/>
        <v>0</v>
      </c>
      <c r="AE96" s="47" t="s">
        <v>2754</v>
      </c>
      <c r="AH96" t="str">
        <f t="shared" si="23"/>
        <v>INSERT INTO horario_curso_materia (horario_curso_materia.FK_CUR_mat,horario_curso_materia.FK_HOR,horario_curso_materia.DIA,horario_curso_materia.tipo_turno) VALUES (  (SELECT curso_materia.ID_CUR_MAT FROM curso_materia WHERE curso_materia.CUPOF='733452' ) ,
    (SELECT horario.ID_HOR FROM horario WHERE horario.modulo='2 ' and horario.turno='M ' ),'VIERNES ' , '0 ' );</v>
      </c>
    </row>
    <row r="97" spans="1:34" ht="15" hidden="1" customHeight="1" x14ac:dyDescent="0.3">
      <c r="A97" s="1" t="str">
        <f t="shared" si="14"/>
        <v>1°3°</v>
      </c>
      <c r="B97" s="54" t="str">
        <f t="shared" si="15"/>
        <v>1°3°2VITARDE0</v>
      </c>
      <c r="C97" s="62">
        <f>VLOOKUP(G97,[1]Hoja1!$A:$O,3,0)</f>
        <v>0</v>
      </c>
      <c r="D97" s="2" t="str">
        <f t="shared" si="16"/>
        <v>2VITPATIO</v>
      </c>
      <c r="E97" s="62" t="s">
        <v>59</v>
      </c>
      <c r="F97" s="62" t="s">
        <v>10</v>
      </c>
      <c r="G97" s="62" t="s">
        <v>286</v>
      </c>
      <c r="H97" s="8" t="str">
        <f>VLOOKUP(G97,[1]Hoja1!$A:$O,6,0)</f>
        <v>EDUCACIÓN FISICA</v>
      </c>
      <c r="I97" s="4" t="s">
        <v>241</v>
      </c>
      <c r="J97" s="4"/>
      <c r="K97" s="80" t="str">
        <f t="shared" si="24"/>
        <v>VI</v>
      </c>
      <c r="L97" s="4" t="s">
        <v>512</v>
      </c>
      <c r="M97" s="86" t="str">
        <f>VLOOKUP(G97,[1]Hoja1!$A:$O,15,0)</f>
        <v>LUDUEÑA NELSON           20-29.569.203-1</v>
      </c>
      <c r="N97" s="2" t="str">
        <f t="shared" si="17"/>
        <v>1°3°1EFIVI</v>
      </c>
      <c r="O97" s="2"/>
      <c r="P97" s="2" t="str">
        <f>VLOOKUP(G97,[1]Hoja1!$A:$P,16,0)</f>
        <v xml:space="preserve"> </v>
      </c>
      <c r="Q97" s="2"/>
      <c r="S97">
        <f>VLOOKUP(G97,[1]Hoja1!$A:$O,5,0)</f>
        <v>816361</v>
      </c>
      <c r="U97" s="45" t="s">
        <v>2751</v>
      </c>
      <c r="V97" s="46">
        <f t="shared" si="18"/>
        <v>816361</v>
      </c>
      <c r="W97" s="47" t="s">
        <v>1519</v>
      </c>
      <c r="X97" s="46" t="str">
        <f t="shared" si="19"/>
        <v>2</v>
      </c>
      <c r="Y97" s="47" t="s">
        <v>1518</v>
      </c>
      <c r="Z97" s="46" t="str">
        <f t="shared" si="20"/>
        <v>T</v>
      </c>
      <c r="AA97" s="47" t="s">
        <v>2752</v>
      </c>
      <c r="AB97" s="46" t="str">
        <f t="shared" si="21"/>
        <v>VIERNES</v>
      </c>
      <c r="AC97" s="47" t="s">
        <v>2753</v>
      </c>
      <c r="AD97" t="str">
        <f t="shared" si="22"/>
        <v>CONTRATURNO</v>
      </c>
      <c r="AE97" s="47" t="s">
        <v>2754</v>
      </c>
      <c r="AH97" t="str">
        <f t="shared" si="23"/>
        <v>INSERT INTO horario_curso_materia (horario_curso_materia.FK_CUR_mat,horario_curso_materia.FK_HOR,horario_curso_materia.DIA,horario_curso_materia.tipo_turno) VALUES (  (SELECT curso_materia.ID_CUR_MAT FROM curso_materia WHERE curso_materia.CUPOF='816361' ) ,
    (SELECT horario.ID_HOR FROM horario WHERE horario.modulo='2 ' and horario.turno='T ' ),'VIERNES ' , 'CONTRATURNO ' );</v>
      </c>
    </row>
    <row r="98" spans="1:34" ht="15" hidden="1" customHeight="1" x14ac:dyDescent="0.3">
      <c r="A98" s="1" t="str">
        <f t="shared" si="14"/>
        <v>1°3°</v>
      </c>
      <c r="B98" s="54" t="str">
        <f t="shared" si="15"/>
        <v>1°3°3JUMAÑANA0</v>
      </c>
      <c r="C98" s="62">
        <f>VLOOKUP(G98,[1]Hoja1!$A:$O,3,0)</f>
        <v>0</v>
      </c>
      <c r="D98" s="2" t="str">
        <f t="shared" si="16"/>
        <v>3JUM</v>
      </c>
      <c r="E98" s="62" t="s">
        <v>46</v>
      </c>
      <c r="F98" s="62" t="s">
        <v>27</v>
      </c>
      <c r="G98" s="62" t="s">
        <v>284</v>
      </c>
      <c r="H98" s="8" t="str">
        <f>VLOOKUP(G98,[1]Hoja1!$A:$O,6,0)</f>
        <v>CIENCIAS SOCIALES</v>
      </c>
      <c r="I98" s="4"/>
      <c r="J98" s="4"/>
      <c r="K98" s="80" t="str">
        <f t="shared" si="24"/>
        <v>JU</v>
      </c>
      <c r="L98" s="4"/>
      <c r="M98" s="86" t="str">
        <f>VLOOKUP(G98,[1]Hoja1!$A:$O,15,0)</f>
        <v xml:space="preserve">TORRES LUIS                    </v>
      </c>
      <c r="N98" s="2" t="str">
        <f t="shared" si="17"/>
        <v>1°3°1SOCJU</v>
      </c>
      <c r="O98" s="2"/>
      <c r="P98" s="2" t="str">
        <f>VLOOKUP(G98,[1]Hoja1!$A:$P,16,0)</f>
        <v xml:space="preserve"> </v>
      </c>
      <c r="Q98" s="2"/>
      <c r="S98">
        <f>VLOOKUP(G98,[1]Hoja1!$A:$O,5,0)</f>
        <v>733446</v>
      </c>
      <c r="U98" s="45" t="s">
        <v>2751</v>
      </c>
      <c r="V98" s="46">
        <f t="shared" si="18"/>
        <v>733446</v>
      </c>
      <c r="W98" s="47" t="s">
        <v>1519</v>
      </c>
      <c r="X98" s="46" t="str">
        <f t="shared" si="19"/>
        <v>3</v>
      </c>
      <c r="Y98" s="47" t="s">
        <v>1518</v>
      </c>
      <c r="Z98" s="46" t="str">
        <f t="shared" si="20"/>
        <v>M</v>
      </c>
      <c r="AA98" s="47" t="s">
        <v>2752</v>
      </c>
      <c r="AB98" s="46" t="str">
        <f t="shared" si="21"/>
        <v>JUEVES</v>
      </c>
      <c r="AC98" s="47" t="s">
        <v>2753</v>
      </c>
      <c r="AD98">
        <f t="shared" si="22"/>
        <v>0</v>
      </c>
      <c r="AE98" s="47" t="s">
        <v>2754</v>
      </c>
      <c r="AH98" t="str">
        <f t="shared" si="23"/>
        <v>INSERT INTO horario_curso_materia (horario_curso_materia.FK_CUR_mat,horario_curso_materia.FK_HOR,horario_curso_materia.DIA,horario_curso_materia.tipo_turno) VALUES (  (SELECT curso_materia.ID_CUR_MAT FROM curso_materia WHERE curso_materia.CUPOF='733446' ) ,
    (SELECT horario.ID_HOR FROM horario WHERE horario.modulo='3 ' and horario.turno='M ' ),'JUEVES ' , '0 ' );</v>
      </c>
    </row>
    <row r="99" spans="1:34" ht="15" hidden="1" customHeight="1" x14ac:dyDescent="0.3">
      <c r="A99" s="1" t="str">
        <f t="shared" si="14"/>
        <v>1°3°</v>
      </c>
      <c r="B99" s="54" t="str">
        <f t="shared" si="15"/>
        <v>1°3°3JUTARDE131</v>
      </c>
      <c r="C99" s="62">
        <f>VLOOKUP(G99,[1]Hoja1!$A:$O,3,0)</f>
        <v>131</v>
      </c>
      <c r="D99" s="2" t="str">
        <f t="shared" si="16"/>
        <v>3JUTHERRERIA</v>
      </c>
      <c r="E99" s="62" t="s">
        <v>46</v>
      </c>
      <c r="F99" s="62" t="s">
        <v>10</v>
      </c>
      <c r="G99" s="62" t="s">
        <v>47</v>
      </c>
      <c r="H99" s="8" t="str">
        <f>VLOOKUP(G99,[1]Hoja1!$A:$O,6,0)</f>
        <v>PROCEDIMIENTOS TECNICOS</v>
      </c>
      <c r="I99" s="4" t="s">
        <v>21</v>
      </c>
      <c r="J99" s="4"/>
      <c r="K99" s="80" t="str">
        <f t="shared" si="24"/>
        <v>JU</v>
      </c>
      <c r="L99" s="4" t="s">
        <v>512</v>
      </c>
      <c r="M99" s="86" t="str">
        <f>VLOOKUP(G99,[1]Hoja1!$A:$O,15,0)</f>
        <v xml:space="preserve"> ESPINDOLA SERGIO DANIEL</v>
      </c>
      <c r="N99" s="2" t="str">
        <f t="shared" si="17"/>
        <v>1°3°1311TPTJU</v>
      </c>
      <c r="O99" s="2"/>
      <c r="P99" s="2" t="str">
        <f>VLOOKUP(G99,[1]Hoja1!$A:$P,16,0)</f>
        <v xml:space="preserve"> </v>
      </c>
      <c r="Q99" s="2"/>
      <c r="S99">
        <f>VLOOKUP(G99,[1]Hoja1!$A:$O,5,0)</f>
        <v>2673079</v>
      </c>
      <c r="U99" s="45" t="s">
        <v>2751</v>
      </c>
      <c r="V99" s="46">
        <f t="shared" si="18"/>
        <v>2673079</v>
      </c>
      <c r="W99" s="47" t="s">
        <v>1519</v>
      </c>
      <c r="X99" s="46" t="str">
        <f t="shared" si="19"/>
        <v>3</v>
      </c>
      <c r="Y99" s="47" t="s">
        <v>1518</v>
      </c>
      <c r="Z99" s="46" t="str">
        <f t="shared" si="20"/>
        <v>T</v>
      </c>
      <c r="AA99" s="47" t="s">
        <v>2752</v>
      </c>
      <c r="AB99" s="46" t="str">
        <f t="shared" si="21"/>
        <v>JUEVES</v>
      </c>
      <c r="AC99" s="47" t="s">
        <v>2753</v>
      </c>
      <c r="AD99" t="str">
        <f t="shared" si="22"/>
        <v>CONTRATURNO</v>
      </c>
      <c r="AE99" s="47" t="s">
        <v>2754</v>
      </c>
      <c r="AH99" t="str">
        <f t="shared" si="23"/>
        <v>INSERT INTO horario_curso_materia (horario_curso_materia.FK_CUR_mat,horario_curso_materia.FK_HOR,horario_curso_materia.DIA,horario_curso_materia.tipo_turno) VALUES (  (SELECT curso_materia.ID_CUR_MAT FROM curso_materia WHERE curso_materia.CUPOF='2673079' ) ,
    (SELECT horario.ID_HOR FROM horario WHERE horario.modulo='3 ' and horario.turno='T ' ),'JUEVES ' , 'CONTRATURNO ' );</v>
      </c>
    </row>
    <row r="100" spans="1:34" ht="15" hidden="1" customHeight="1" x14ac:dyDescent="0.3">
      <c r="A100" s="1" t="str">
        <f t="shared" si="14"/>
        <v>1°3°</v>
      </c>
      <c r="B100" s="54" t="str">
        <f t="shared" si="15"/>
        <v>1°3°3LUMAÑANA0</v>
      </c>
      <c r="C100" s="62">
        <f>VLOOKUP(G100,[1]Hoja1!$A:$O,3,0)</f>
        <v>0</v>
      </c>
      <c r="D100" s="2" t="str">
        <f t="shared" si="16"/>
        <v>3LUM</v>
      </c>
      <c r="E100" s="62" t="s">
        <v>29</v>
      </c>
      <c r="F100" s="62" t="s">
        <v>27</v>
      </c>
      <c r="G100" s="62" t="s">
        <v>279</v>
      </c>
      <c r="H100" s="8" t="str">
        <f>VLOOKUP(G100,[1]Hoja1!$A:$O,6,0)</f>
        <v>CIENCIAS NATURALES</v>
      </c>
      <c r="I100" s="4"/>
      <c r="J100" s="4"/>
      <c r="K100" s="80" t="str">
        <f t="shared" si="24"/>
        <v>LU</v>
      </c>
      <c r="L100" s="4"/>
      <c r="M100" s="86" t="str">
        <f>VLOOKUP(G100,[1]Hoja1!$A:$O,15,0)</f>
        <v>FARIAS CLAUDIA ANTONIA</v>
      </c>
      <c r="N100" s="2" t="str">
        <f t="shared" si="17"/>
        <v>1°3°1NATLU</v>
      </c>
      <c r="O100" s="2"/>
      <c r="P100" s="2" t="str">
        <f>VLOOKUP(G100,[1]Hoja1!$A:$P,16,0)</f>
        <v xml:space="preserve"> </v>
      </c>
      <c r="Q100" s="2"/>
      <c r="S100">
        <f>VLOOKUP(G100,[1]Hoja1!$A:$O,5,0)</f>
        <v>2683140</v>
      </c>
      <c r="U100" s="45" t="s">
        <v>2751</v>
      </c>
      <c r="V100" s="46">
        <f t="shared" si="18"/>
        <v>2683140</v>
      </c>
      <c r="W100" s="47" t="s">
        <v>1519</v>
      </c>
      <c r="X100" s="46" t="str">
        <f t="shared" si="19"/>
        <v>3</v>
      </c>
      <c r="Y100" s="47" t="s">
        <v>1518</v>
      </c>
      <c r="Z100" s="46" t="str">
        <f t="shared" si="20"/>
        <v>M</v>
      </c>
      <c r="AA100" s="47" t="s">
        <v>2752</v>
      </c>
      <c r="AB100" s="46" t="str">
        <f t="shared" si="21"/>
        <v>LUNES</v>
      </c>
      <c r="AC100" s="47" t="s">
        <v>2753</v>
      </c>
      <c r="AD100">
        <f t="shared" si="22"/>
        <v>0</v>
      </c>
      <c r="AE100" s="47" t="s">
        <v>2754</v>
      </c>
      <c r="AH100" t="str">
        <f t="shared" si="23"/>
        <v>INSERT INTO horario_curso_materia (horario_curso_materia.FK_CUR_mat,horario_curso_materia.FK_HOR,horario_curso_materia.DIA,horario_curso_materia.tipo_turno) VALUES (  (SELECT curso_materia.ID_CUR_MAT FROM curso_materia WHERE curso_materia.CUPOF='2683140' ) ,
    (SELECT horario.ID_HOR FROM horario WHERE horario.modulo='3 ' and horario.turno='M ' ),'LUNES ' , '0 ' );</v>
      </c>
    </row>
    <row r="101" spans="1:34" ht="15" hidden="1" customHeight="1" x14ac:dyDescent="0.3">
      <c r="A101" s="1" t="str">
        <f t="shared" si="14"/>
        <v>1°3°</v>
      </c>
      <c r="B101" s="54" t="str">
        <f t="shared" si="15"/>
        <v>1°3°3LUTARDE131</v>
      </c>
      <c r="C101" s="62">
        <f>VLOOKUP(G101,[1]Hoja1!$A:$O,3,0)</f>
        <v>131</v>
      </c>
      <c r="D101" s="2" t="str">
        <f t="shared" si="16"/>
        <v>3LUTaula 2</v>
      </c>
      <c r="E101" s="62" t="s">
        <v>29</v>
      </c>
      <c r="F101" s="62" t="s">
        <v>10</v>
      </c>
      <c r="G101" s="62" t="s">
        <v>41</v>
      </c>
      <c r="H101" s="8" t="str">
        <f>VLOOKUP(G101,[1]Hoja1!$A:$O,6,0)</f>
        <v>LENGUAJES TECNOLOGICOS</v>
      </c>
      <c r="I101" s="4" t="s">
        <v>1438</v>
      </c>
      <c r="J101" s="4"/>
      <c r="K101" s="80" t="str">
        <f t="shared" si="24"/>
        <v>LU</v>
      </c>
      <c r="L101" s="4" t="s">
        <v>512</v>
      </c>
      <c r="M101" s="86" t="str">
        <f>VLOOKUP(G101,[1]Hoja1!$A:$O,15,0)</f>
        <v>BELIZAN</v>
      </c>
      <c r="N101" s="2" t="str">
        <f t="shared" si="17"/>
        <v>1°3°1311TLTLU</v>
      </c>
      <c r="O101" s="2"/>
      <c r="P101" s="2" t="str">
        <f>VLOOKUP(G101,[1]Hoja1!$A:$P,16,0)</f>
        <v xml:space="preserve"> </v>
      </c>
      <c r="Q101" s="2"/>
      <c r="S101">
        <f>VLOOKUP(G101,[1]Hoja1!$A:$O,5,0)</f>
        <v>2673072</v>
      </c>
      <c r="U101" s="45" t="s">
        <v>2751</v>
      </c>
      <c r="V101" s="46">
        <f t="shared" si="18"/>
        <v>2673072</v>
      </c>
      <c r="W101" s="47" t="s">
        <v>1519</v>
      </c>
      <c r="X101" s="46" t="str">
        <f t="shared" si="19"/>
        <v>3</v>
      </c>
      <c r="Y101" s="47" t="s">
        <v>1518</v>
      </c>
      <c r="Z101" s="46" t="str">
        <f t="shared" si="20"/>
        <v>T</v>
      </c>
      <c r="AA101" s="47" t="s">
        <v>2752</v>
      </c>
      <c r="AB101" s="46" t="str">
        <f t="shared" si="21"/>
        <v>LUNES</v>
      </c>
      <c r="AC101" s="47" t="s">
        <v>2753</v>
      </c>
      <c r="AD101" t="str">
        <f t="shared" si="22"/>
        <v>CONTRATURNO</v>
      </c>
      <c r="AE101" s="47" t="s">
        <v>2754</v>
      </c>
      <c r="AH101" t="str">
        <f t="shared" si="23"/>
        <v>INSERT INTO horario_curso_materia (horario_curso_materia.FK_CUR_mat,horario_curso_materia.FK_HOR,horario_curso_materia.DIA,horario_curso_materia.tipo_turno) VALUES (  (SELECT curso_materia.ID_CUR_MAT FROM curso_materia WHERE curso_materia.CUPOF='2673072' ) ,
    (SELECT horario.ID_HOR FROM horario WHERE horario.modulo='3 ' and horario.turno='T ' ),'LUNES ' , 'CONTRATURNO ' );</v>
      </c>
    </row>
    <row r="102" spans="1:34" ht="15" hidden="1" customHeight="1" x14ac:dyDescent="0.3">
      <c r="A102" s="1" t="str">
        <f t="shared" si="14"/>
        <v>1°3°</v>
      </c>
      <c r="B102" s="54" t="str">
        <f t="shared" si="15"/>
        <v>1°3°3MAMAÑANA0</v>
      </c>
      <c r="C102" s="62">
        <f>VLOOKUP(G102,[1]Hoja1!$A:$O,3,0)</f>
        <v>0</v>
      </c>
      <c r="D102" s="2" t="str">
        <f t="shared" si="16"/>
        <v>3MAM</v>
      </c>
      <c r="E102" s="62" t="s">
        <v>13</v>
      </c>
      <c r="F102" s="62" t="s">
        <v>27</v>
      </c>
      <c r="G102" s="62" t="s">
        <v>283</v>
      </c>
      <c r="H102" s="8" t="str">
        <f>VLOOKUP(G102,[1]Hoja1!$A:$O,6,0)</f>
        <v>PRACTICA DEL LENGUAJE</v>
      </c>
      <c r="I102" s="4"/>
      <c r="J102" s="4"/>
      <c r="K102" s="80" t="str">
        <f t="shared" si="24"/>
        <v>MA</v>
      </c>
      <c r="L102" s="4"/>
      <c r="M102" s="86" t="str">
        <f>VLOOKUP(G102,[1]Hoja1!$A:$O,15,0)</f>
        <v xml:space="preserve">CARESTIA, NOEMI </v>
      </c>
      <c r="N102" s="2" t="str">
        <f t="shared" si="17"/>
        <v>1°3°1LENMA</v>
      </c>
      <c r="O102" s="2"/>
      <c r="P102" s="2" t="str">
        <f>VLOOKUP(G102,[1]Hoja1!$A:$P,16,0)</f>
        <v xml:space="preserve"> </v>
      </c>
      <c r="Q102" s="2"/>
      <c r="S102">
        <f>VLOOKUP(G102,[1]Hoja1!$A:$O,5,0)</f>
        <v>733507</v>
      </c>
      <c r="U102" s="45" t="s">
        <v>2751</v>
      </c>
      <c r="V102" s="46">
        <f t="shared" si="18"/>
        <v>733507</v>
      </c>
      <c r="W102" s="47" t="s">
        <v>1519</v>
      </c>
      <c r="X102" s="46" t="str">
        <f t="shared" si="19"/>
        <v>3</v>
      </c>
      <c r="Y102" s="47" t="s">
        <v>1518</v>
      </c>
      <c r="Z102" s="46" t="str">
        <f t="shared" si="20"/>
        <v>M</v>
      </c>
      <c r="AA102" s="47" t="s">
        <v>2752</v>
      </c>
      <c r="AB102" s="46" t="str">
        <f t="shared" si="21"/>
        <v>MARTES</v>
      </c>
      <c r="AC102" s="47" t="s">
        <v>2753</v>
      </c>
      <c r="AD102">
        <f t="shared" si="22"/>
        <v>0</v>
      </c>
      <c r="AE102" s="47" t="s">
        <v>2754</v>
      </c>
      <c r="AH102" t="str">
        <f t="shared" si="23"/>
        <v>INSERT INTO horario_curso_materia (horario_curso_materia.FK_CUR_mat,horario_curso_materia.FK_HOR,horario_curso_materia.DIA,horario_curso_materia.tipo_turno) VALUES (  (SELECT curso_materia.ID_CUR_MAT FROM curso_materia WHERE curso_materia.CUPOF='733507' ) ,
    (SELECT horario.ID_HOR FROM horario WHERE horario.modulo='3 ' and horario.turno='M ' ),'MARTES ' , '0 ' );</v>
      </c>
    </row>
    <row r="103" spans="1:34" ht="15" hidden="1" customHeight="1" x14ac:dyDescent="0.3">
      <c r="A103" s="1" t="str">
        <f t="shared" si="14"/>
        <v>1°3°</v>
      </c>
      <c r="B103" s="54" t="str">
        <f t="shared" si="15"/>
        <v>1°3°3MIMAÑANA0</v>
      </c>
      <c r="C103" s="62">
        <f>VLOOKUP(G103,[1]Hoja1!$A:$O,3,0)</f>
        <v>0</v>
      </c>
      <c r="D103" s="2" t="str">
        <f t="shared" si="16"/>
        <v>3MIM</v>
      </c>
      <c r="E103" s="62" t="s">
        <v>50</v>
      </c>
      <c r="F103" s="62" t="s">
        <v>27</v>
      </c>
      <c r="G103" s="62" t="s">
        <v>284</v>
      </c>
      <c r="H103" s="8" t="str">
        <f>VLOOKUP(G103,[1]Hoja1!$A:$O,6,0)</f>
        <v>CIENCIAS SOCIALES</v>
      </c>
      <c r="I103" s="4"/>
      <c r="J103" s="4"/>
      <c r="K103" s="80" t="str">
        <f t="shared" si="24"/>
        <v>MI</v>
      </c>
      <c r="L103" s="4"/>
      <c r="M103" s="86" t="str">
        <f>VLOOKUP(G103,[1]Hoja1!$A:$O,15,0)</f>
        <v xml:space="preserve">TORRES LUIS                    </v>
      </c>
      <c r="N103" s="2" t="str">
        <f t="shared" si="17"/>
        <v>1°3°1SOCMI</v>
      </c>
      <c r="O103" s="2"/>
      <c r="P103" s="2" t="str">
        <f>VLOOKUP(G103,[1]Hoja1!$A:$P,16,0)</f>
        <v xml:space="preserve"> </v>
      </c>
      <c r="Q103" s="2"/>
      <c r="S103">
        <f>VLOOKUP(G103,[1]Hoja1!$A:$O,5,0)</f>
        <v>733446</v>
      </c>
      <c r="U103" s="45" t="s">
        <v>2751</v>
      </c>
      <c r="V103" s="46">
        <f t="shared" si="18"/>
        <v>733446</v>
      </c>
      <c r="W103" s="47" t="s">
        <v>1519</v>
      </c>
      <c r="X103" s="46" t="str">
        <f t="shared" si="19"/>
        <v>3</v>
      </c>
      <c r="Y103" s="47" t="s">
        <v>1518</v>
      </c>
      <c r="Z103" s="46" t="str">
        <f t="shared" si="20"/>
        <v>M</v>
      </c>
      <c r="AA103" s="47" t="s">
        <v>2752</v>
      </c>
      <c r="AB103" s="46" t="str">
        <f t="shared" si="21"/>
        <v>MIERCOLES</v>
      </c>
      <c r="AC103" s="47" t="s">
        <v>2753</v>
      </c>
      <c r="AD103">
        <f t="shared" si="22"/>
        <v>0</v>
      </c>
      <c r="AE103" s="47" t="s">
        <v>2754</v>
      </c>
      <c r="AH103" t="str">
        <f t="shared" si="23"/>
        <v>INSERT INTO horario_curso_materia (horario_curso_materia.FK_CUR_mat,horario_curso_materia.FK_HOR,horario_curso_materia.DIA,horario_curso_materia.tipo_turno) VALUES (  (SELECT curso_materia.ID_CUR_MAT FROM curso_materia WHERE curso_materia.CUPOF='733446' ) ,
    (SELECT horario.ID_HOR FROM horario WHERE horario.modulo='3 ' and horario.turno='M ' ),'MIERCOLES ' , '0 ' );</v>
      </c>
    </row>
    <row r="104" spans="1:34" ht="15" hidden="1" customHeight="1" x14ac:dyDescent="0.3">
      <c r="A104" s="1" t="str">
        <f t="shared" si="14"/>
        <v>1°3°</v>
      </c>
      <c r="B104" s="54" t="str">
        <f t="shared" si="15"/>
        <v>1°3°3VIMAÑANA0</v>
      </c>
      <c r="C104" s="62">
        <f>VLOOKUP(G104,[1]Hoja1!$A:$O,3,0)</f>
        <v>0</v>
      </c>
      <c r="D104" s="2" t="str">
        <f t="shared" si="16"/>
        <v>3VIM</v>
      </c>
      <c r="E104" s="62" t="s">
        <v>35</v>
      </c>
      <c r="F104" s="62" t="s">
        <v>27</v>
      </c>
      <c r="G104" s="62" t="s">
        <v>285</v>
      </c>
      <c r="H104" s="8" t="str">
        <f>VLOOKUP(G104,[1]Hoja1!$A:$O,6,0)</f>
        <v>EDUCACION ARTISTICA (PLASTICA)</v>
      </c>
      <c r="I104" s="4"/>
      <c r="J104" s="4"/>
      <c r="K104" s="80" t="str">
        <f t="shared" si="24"/>
        <v>VI</v>
      </c>
      <c r="L104" s="4"/>
      <c r="M104" s="86" t="str">
        <f>VLOOKUP(G104,[1]Hoja1!$A:$O,15,0)</f>
        <v>CHAWET MATIAS</v>
      </c>
      <c r="N104" s="2" t="str">
        <f t="shared" si="17"/>
        <v>1°3°1ARTVI</v>
      </c>
      <c r="O104" s="2"/>
      <c r="P104" s="2" t="str">
        <f>VLOOKUP(G104,[1]Hoja1!$A:$P,16,0)</f>
        <v xml:space="preserve"> </v>
      </c>
      <c r="Q104" s="2"/>
      <c r="S104">
        <f>VLOOKUP(G104,[1]Hoja1!$A:$O,5,0)</f>
        <v>733699</v>
      </c>
      <c r="U104" s="45" t="s">
        <v>2751</v>
      </c>
      <c r="V104" s="46">
        <f t="shared" si="18"/>
        <v>733699</v>
      </c>
      <c r="W104" s="47" t="s">
        <v>1519</v>
      </c>
      <c r="X104" s="46" t="str">
        <f t="shared" si="19"/>
        <v>3</v>
      </c>
      <c r="Y104" s="47" t="s">
        <v>1518</v>
      </c>
      <c r="Z104" s="46" t="str">
        <f t="shared" si="20"/>
        <v>M</v>
      </c>
      <c r="AA104" s="47" t="s">
        <v>2752</v>
      </c>
      <c r="AB104" s="46" t="str">
        <f t="shared" si="21"/>
        <v>VIERNES</v>
      </c>
      <c r="AC104" s="47" t="s">
        <v>2753</v>
      </c>
      <c r="AD104">
        <f t="shared" si="22"/>
        <v>0</v>
      </c>
      <c r="AE104" s="47" t="s">
        <v>2754</v>
      </c>
      <c r="AH104" t="str">
        <f t="shared" si="23"/>
        <v>INSERT INTO horario_curso_materia (horario_curso_materia.FK_CUR_mat,horario_curso_materia.FK_HOR,horario_curso_materia.DIA,horario_curso_materia.tipo_turno) VALUES (  (SELECT curso_materia.ID_CUR_MAT FROM curso_materia WHERE curso_materia.CUPOF='733699' ) ,
    (SELECT horario.ID_HOR FROM horario WHERE horario.modulo='3 ' and horario.turno='M ' ),'VIERNES ' , '0 ' );</v>
      </c>
    </row>
    <row r="105" spans="1:34" ht="15" hidden="1" customHeight="1" x14ac:dyDescent="0.3">
      <c r="A105" s="1" t="str">
        <f t="shared" si="14"/>
        <v>1°3°</v>
      </c>
      <c r="B105" s="54" t="str">
        <f t="shared" si="15"/>
        <v>1°3°4JUMAÑANA0</v>
      </c>
      <c r="C105" s="62">
        <f>VLOOKUP(G105,[1]Hoja1!$A:$O,3,0)</f>
        <v>0</v>
      </c>
      <c r="D105" s="2" t="str">
        <f t="shared" si="16"/>
        <v>4JUM</v>
      </c>
      <c r="E105" s="62" t="s">
        <v>48</v>
      </c>
      <c r="F105" s="62" t="s">
        <v>27</v>
      </c>
      <c r="G105" s="62" t="s">
        <v>284</v>
      </c>
      <c r="H105" s="8" t="str">
        <f>VLOOKUP(G105,[1]Hoja1!$A:$O,6,0)</f>
        <v>CIENCIAS SOCIALES</v>
      </c>
      <c r="I105" s="4"/>
      <c r="J105" s="4"/>
      <c r="K105" s="80" t="str">
        <f t="shared" si="24"/>
        <v>JU</v>
      </c>
      <c r="L105" s="4"/>
      <c r="M105" s="86" t="str">
        <f>VLOOKUP(G105,[1]Hoja1!$A:$O,15,0)</f>
        <v xml:space="preserve">TORRES LUIS                    </v>
      </c>
      <c r="N105" s="2" t="str">
        <f t="shared" si="17"/>
        <v>1°3°1SOCJU</v>
      </c>
      <c r="O105" s="2"/>
      <c r="P105" s="2" t="str">
        <f>VLOOKUP(G105,[1]Hoja1!$A:$P,16,0)</f>
        <v xml:space="preserve"> </v>
      </c>
      <c r="Q105" s="2"/>
      <c r="S105">
        <f>VLOOKUP(G105,[1]Hoja1!$A:$O,5,0)</f>
        <v>733446</v>
      </c>
      <c r="U105" s="45" t="s">
        <v>2751</v>
      </c>
      <c r="V105" s="46">
        <f t="shared" si="18"/>
        <v>733446</v>
      </c>
      <c r="W105" s="47" t="s">
        <v>1519</v>
      </c>
      <c r="X105" s="46" t="str">
        <f t="shared" si="19"/>
        <v>4</v>
      </c>
      <c r="Y105" s="47" t="s">
        <v>1518</v>
      </c>
      <c r="Z105" s="46" t="str">
        <f t="shared" si="20"/>
        <v>M</v>
      </c>
      <c r="AA105" s="47" t="s">
        <v>2752</v>
      </c>
      <c r="AB105" s="46" t="str">
        <f t="shared" si="21"/>
        <v>JUEVES</v>
      </c>
      <c r="AC105" s="47" t="s">
        <v>2753</v>
      </c>
      <c r="AD105">
        <f t="shared" si="22"/>
        <v>0</v>
      </c>
      <c r="AE105" s="47" t="s">
        <v>2754</v>
      </c>
      <c r="AH105" t="str">
        <f t="shared" si="23"/>
        <v>INSERT INTO horario_curso_materia (horario_curso_materia.FK_CUR_mat,horario_curso_materia.FK_HOR,horario_curso_materia.DIA,horario_curso_materia.tipo_turno) VALUES (  (SELECT curso_materia.ID_CUR_MAT FROM curso_materia WHERE curso_materia.CUPOF='733446' ) ,
    (SELECT horario.ID_HOR FROM horario WHERE horario.modulo='4 ' and horario.turno='M ' ),'JUEVES ' , '0 ' );</v>
      </c>
    </row>
    <row r="106" spans="1:34" ht="15" hidden="1" customHeight="1" x14ac:dyDescent="0.3">
      <c r="A106" s="1" t="str">
        <f t="shared" si="14"/>
        <v>1°3°</v>
      </c>
      <c r="B106" s="54" t="str">
        <f t="shared" si="15"/>
        <v>1°3°4JUTARDE131</v>
      </c>
      <c r="C106" s="62">
        <f>VLOOKUP(G106,[1]Hoja1!$A:$O,3,0)</f>
        <v>131</v>
      </c>
      <c r="D106" s="2" t="str">
        <f t="shared" si="16"/>
        <v>4JUTHERRERIA</v>
      </c>
      <c r="E106" s="62" t="s">
        <v>48</v>
      </c>
      <c r="F106" s="62" t="s">
        <v>10</v>
      </c>
      <c r="G106" s="62" t="s">
        <v>47</v>
      </c>
      <c r="H106" s="8" t="str">
        <f>VLOOKUP(G106,[1]Hoja1!$A:$O,6,0)</f>
        <v>PROCEDIMIENTOS TECNICOS</v>
      </c>
      <c r="I106" s="4" t="s">
        <v>21</v>
      </c>
      <c r="J106" s="4"/>
      <c r="K106" s="80" t="str">
        <f t="shared" si="24"/>
        <v>JU</v>
      </c>
      <c r="L106" s="4" t="s">
        <v>512</v>
      </c>
      <c r="M106" s="86" t="str">
        <f>VLOOKUP(G106,[1]Hoja1!$A:$O,15,0)</f>
        <v xml:space="preserve"> ESPINDOLA SERGIO DANIEL</v>
      </c>
      <c r="N106" s="2" t="str">
        <f t="shared" si="17"/>
        <v>1°3°1311TPTJU</v>
      </c>
      <c r="O106" s="2"/>
      <c r="P106" s="2" t="str">
        <f>VLOOKUP(G106,[1]Hoja1!$A:$P,16,0)</f>
        <v xml:space="preserve"> </v>
      </c>
      <c r="Q106" s="2"/>
      <c r="S106">
        <f>VLOOKUP(G106,[1]Hoja1!$A:$O,5,0)</f>
        <v>2673079</v>
      </c>
      <c r="U106" s="45" t="s">
        <v>2751</v>
      </c>
      <c r="V106" s="46">
        <f t="shared" si="18"/>
        <v>2673079</v>
      </c>
      <c r="W106" s="47" t="s">
        <v>1519</v>
      </c>
      <c r="X106" s="46" t="str">
        <f t="shared" si="19"/>
        <v>4</v>
      </c>
      <c r="Y106" s="47" t="s">
        <v>1518</v>
      </c>
      <c r="Z106" s="46" t="str">
        <f t="shared" si="20"/>
        <v>T</v>
      </c>
      <c r="AA106" s="47" t="s">
        <v>2752</v>
      </c>
      <c r="AB106" s="46" t="str">
        <f t="shared" si="21"/>
        <v>JUEVES</v>
      </c>
      <c r="AC106" s="47" t="s">
        <v>2753</v>
      </c>
      <c r="AD106" t="str">
        <f t="shared" si="22"/>
        <v>CONTRATURNO</v>
      </c>
      <c r="AE106" s="47" t="s">
        <v>2754</v>
      </c>
      <c r="AH106" t="str">
        <f t="shared" si="23"/>
        <v>INSERT INTO horario_curso_materia (horario_curso_materia.FK_CUR_mat,horario_curso_materia.FK_HOR,horario_curso_materia.DIA,horario_curso_materia.tipo_turno) VALUES (  (SELECT curso_materia.ID_CUR_MAT FROM curso_materia WHERE curso_materia.CUPOF='2673079' ) ,
    (SELECT horario.ID_HOR FROM horario WHERE horario.modulo='4 ' and horario.turno='T ' ),'JUEVES ' , 'CONTRATURNO ' );</v>
      </c>
    </row>
    <row r="107" spans="1:34" ht="15" hidden="1" customHeight="1" x14ac:dyDescent="0.3">
      <c r="A107" s="1" t="str">
        <f t="shared" si="14"/>
        <v>1°3°</v>
      </c>
      <c r="B107" s="54" t="str">
        <f t="shared" si="15"/>
        <v>1°3°4LUMAÑANA0</v>
      </c>
      <c r="C107" s="62">
        <f>VLOOKUP(G107,[1]Hoja1!$A:$O,3,0)</f>
        <v>0</v>
      </c>
      <c r="D107" s="2" t="str">
        <f t="shared" si="16"/>
        <v>4LUM</v>
      </c>
      <c r="E107" s="62" t="s">
        <v>31</v>
      </c>
      <c r="F107" s="62" t="s">
        <v>27</v>
      </c>
      <c r="G107" s="62" t="s">
        <v>279</v>
      </c>
      <c r="H107" s="8" t="str">
        <f>VLOOKUP(G107,[1]Hoja1!$A:$O,6,0)</f>
        <v>CIENCIAS NATURALES</v>
      </c>
      <c r="I107" s="4"/>
      <c r="J107" s="4"/>
      <c r="K107" s="80" t="str">
        <f t="shared" si="24"/>
        <v>LU</v>
      </c>
      <c r="L107" s="4"/>
      <c r="M107" s="86" t="str">
        <f>VLOOKUP(G107,[1]Hoja1!$A:$O,15,0)</f>
        <v>FARIAS CLAUDIA ANTONIA</v>
      </c>
      <c r="N107" s="2" t="str">
        <f t="shared" si="17"/>
        <v>1°3°1NATLU</v>
      </c>
      <c r="O107" s="2"/>
      <c r="P107" s="2" t="str">
        <f>VLOOKUP(G107,[1]Hoja1!$A:$P,16,0)</f>
        <v xml:space="preserve"> </v>
      </c>
      <c r="Q107" s="2"/>
      <c r="S107">
        <f>VLOOKUP(G107,[1]Hoja1!$A:$O,5,0)</f>
        <v>2683140</v>
      </c>
      <c r="U107" s="45" t="s">
        <v>2751</v>
      </c>
      <c r="V107" s="46">
        <f t="shared" si="18"/>
        <v>2683140</v>
      </c>
      <c r="W107" s="47" t="s">
        <v>1519</v>
      </c>
      <c r="X107" s="46" t="str">
        <f t="shared" si="19"/>
        <v>4</v>
      </c>
      <c r="Y107" s="47" t="s">
        <v>1518</v>
      </c>
      <c r="Z107" s="46" t="str">
        <f t="shared" si="20"/>
        <v>M</v>
      </c>
      <c r="AA107" s="47" t="s">
        <v>2752</v>
      </c>
      <c r="AB107" s="46" t="str">
        <f t="shared" si="21"/>
        <v>LUNES</v>
      </c>
      <c r="AC107" s="47" t="s">
        <v>2753</v>
      </c>
      <c r="AD107">
        <f t="shared" si="22"/>
        <v>0</v>
      </c>
      <c r="AE107" s="47" t="s">
        <v>2754</v>
      </c>
      <c r="AH107" t="str">
        <f t="shared" si="23"/>
        <v>INSERT INTO horario_curso_materia (horario_curso_materia.FK_CUR_mat,horario_curso_materia.FK_HOR,horario_curso_materia.DIA,horario_curso_materia.tipo_turno) VALUES (  (SELECT curso_materia.ID_CUR_MAT FROM curso_materia WHERE curso_materia.CUPOF='2683140' ) ,
    (SELECT horario.ID_HOR FROM horario WHERE horario.modulo='4 ' and horario.turno='M ' ),'LUNES ' , '0 ' );</v>
      </c>
    </row>
    <row r="108" spans="1:34" ht="15" hidden="1" customHeight="1" x14ac:dyDescent="0.3">
      <c r="A108" s="1" t="str">
        <f t="shared" si="14"/>
        <v>1°3°</v>
      </c>
      <c r="B108" s="54" t="str">
        <f t="shared" si="15"/>
        <v>1°3°4LUTARDE131</v>
      </c>
      <c r="C108" s="62">
        <f>VLOOKUP(G108,[1]Hoja1!$A:$O,3,0)</f>
        <v>131</v>
      </c>
      <c r="D108" s="2" t="str">
        <f t="shared" si="16"/>
        <v>4LUTaula 2</v>
      </c>
      <c r="E108" s="62" t="s">
        <v>31</v>
      </c>
      <c r="F108" s="62" t="s">
        <v>10</v>
      </c>
      <c r="G108" s="62" t="s">
        <v>41</v>
      </c>
      <c r="H108" s="8" t="str">
        <f>VLOOKUP(G108,[1]Hoja1!$A:$O,6,0)</f>
        <v>LENGUAJES TECNOLOGICOS</v>
      </c>
      <c r="I108" s="4" t="s">
        <v>1438</v>
      </c>
      <c r="J108" s="4"/>
      <c r="K108" s="80" t="str">
        <f t="shared" si="24"/>
        <v>LU</v>
      </c>
      <c r="L108" s="4" t="s">
        <v>512</v>
      </c>
      <c r="M108" s="86" t="str">
        <f>VLOOKUP(G108,[1]Hoja1!$A:$O,15,0)</f>
        <v>BELIZAN</v>
      </c>
      <c r="N108" s="2" t="str">
        <f t="shared" si="17"/>
        <v>1°3°1311TLTLU</v>
      </c>
      <c r="O108" s="2"/>
      <c r="P108" s="2" t="str">
        <f>VLOOKUP(G108,[1]Hoja1!$A:$P,16,0)</f>
        <v xml:space="preserve"> </v>
      </c>
      <c r="Q108" s="2"/>
      <c r="S108">
        <f>VLOOKUP(G108,[1]Hoja1!$A:$O,5,0)</f>
        <v>2673072</v>
      </c>
      <c r="U108" s="45" t="s">
        <v>2751</v>
      </c>
      <c r="V108" s="46">
        <f t="shared" si="18"/>
        <v>2673072</v>
      </c>
      <c r="W108" s="47" t="s">
        <v>1519</v>
      </c>
      <c r="X108" s="46" t="str">
        <f t="shared" si="19"/>
        <v>4</v>
      </c>
      <c r="Y108" s="47" t="s">
        <v>1518</v>
      </c>
      <c r="Z108" s="46" t="str">
        <f t="shared" si="20"/>
        <v>T</v>
      </c>
      <c r="AA108" s="47" t="s">
        <v>2752</v>
      </c>
      <c r="AB108" s="46" t="str">
        <f t="shared" si="21"/>
        <v>LUNES</v>
      </c>
      <c r="AC108" s="47" t="s">
        <v>2753</v>
      </c>
      <c r="AD108" t="str">
        <f t="shared" si="22"/>
        <v>CONTRATURNO</v>
      </c>
      <c r="AE108" s="47" t="s">
        <v>2754</v>
      </c>
      <c r="AH108" t="str">
        <f t="shared" si="23"/>
        <v>INSERT INTO horario_curso_materia (horario_curso_materia.FK_CUR_mat,horario_curso_materia.FK_HOR,horario_curso_materia.DIA,horario_curso_materia.tipo_turno) VALUES (  (SELECT curso_materia.ID_CUR_MAT FROM curso_materia WHERE curso_materia.CUPOF='2673072' ) ,
    (SELECT horario.ID_HOR FROM horario WHERE horario.modulo='4 ' and horario.turno='T ' ),'LUNES ' , 'CONTRATURNO ' );</v>
      </c>
    </row>
    <row r="109" spans="1:34" ht="15" hidden="1" customHeight="1" x14ac:dyDescent="0.3">
      <c r="A109" s="1" t="str">
        <f t="shared" si="14"/>
        <v>1°3°</v>
      </c>
      <c r="B109" s="54" t="str">
        <f t="shared" si="15"/>
        <v>1°3°4MAMAÑANA0</v>
      </c>
      <c r="C109" s="62">
        <f>VLOOKUP(G109,[1]Hoja1!$A:$O,3,0)</f>
        <v>0</v>
      </c>
      <c r="D109" s="2" t="str">
        <f t="shared" si="16"/>
        <v>4MAM</v>
      </c>
      <c r="E109" s="62" t="s">
        <v>16</v>
      </c>
      <c r="F109" s="62" t="s">
        <v>27</v>
      </c>
      <c r="G109" s="62" t="s">
        <v>283</v>
      </c>
      <c r="H109" s="8" t="str">
        <f>VLOOKUP(G109,[1]Hoja1!$A:$O,6,0)</f>
        <v>PRACTICA DEL LENGUAJE</v>
      </c>
      <c r="I109" s="4"/>
      <c r="J109" s="4"/>
      <c r="K109" s="80" t="str">
        <f t="shared" si="24"/>
        <v>MA</v>
      </c>
      <c r="L109" s="4"/>
      <c r="M109" s="86" t="str">
        <f>VLOOKUP(G109,[1]Hoja1!$A:$O,15,0)</f>
        <v xml:space="preserve">CARESTIA, NOEMI </v>
      </c>
      <c r="N109" s="2" t="str">
        <f t="shared" si="17"/>
        <v>1°3°1LENMA</v>
      </c>
      <c r="O109" s="2"/>
      <c r="P109" s="2" t="str">
        <f>VLOOKUP(G109,[1]Hoja1!$A:$P,16,0)</f>
        <v xml:space="preserve"> </v>
      </c>
      <c r="Q109" s="2"/>
      <c r="S109">
        <f>VLOOKUP(G109,[1]Hoja1!$A:$O,5,0)</f>
        <v>733507</v>
      </c>
      <c r="U109" s="45" t="s">
        <v>2751</v>
      </c>
      <c r="V109" s="46">
        <f t="shared" si="18"/>
        <v>733507</v>
      </c>
      <c r="W109" s="47" t="s">
        <v>1519</v>
      </c>
      <c r="X109" s="46" t="str">
        <f t="shared" si="19"/>
        <v>4</v>
      </c>
      <c r="Y109" s="47" t="s">
        <v>1518</v>
      </c>
      <c r="Z109" s="46" t="str">
        <f t="shared" si="20"/>
        <v>M</v>
      </c>
      <c r="AA109" s="47" t="s">
        <v>2752</v>
      </c>
      <c r="AB109" s="46" t="str">
        <f t="shared" si="21"/>
        <v>MARTES</v>
      </c>
      <c r="AC109" s="47" t="s">
        <v>2753</v>
      </c>
      <c r="AD109">
        <f t="shared" si="22"/>
        <v>0</v>
      </c>
      <c r="AE109" s="47" t="s">
        <v>2754</v>
      </c>
      <c r="AH109" t="str">
        <f t="shared" si="23"/>
        <v>INSERT INTO horario_curso_materia (horario_curso_materia.FK_CUR_mat,horario_curso_materia.FK_HOR,horario_curso_materia.DIA,horario_curso_materia.tipo_turno) VALUES (  (SELECT curso_materia.ID_CUR_MAT FROM curso_materia WHERE curso_materia.CUPOF='733507' ) ,
    (SELECT horario.ID_HOR FROM horario WHERE horario.modulo='4 ' and horario.turno='M ' ),'MARTES ' , '0 ' );</v>
      </c>
    </row>
    <row r="110" spans="1:34" ht="15" hidden="1" customHeight="1" x14ac:dyDescent="0.3">
      <c r="A110" s="1" t="str">
        <f t="shared" si="14"/>
        <v>1°3°</v>
      </c>
      <c r="B110" s="54" t="str">
        <f t="shared" si="15"/>
        <v>1°3°4MIMAÑANA0</v>
      </c>
      <c r="C110" s="62">
        <f>VLOOKUP(G110,[1]Hoja1!$A:$O,3,0)</f>
        <v>0</v>
      </c>
      <c r="D110" s="2" t="str">
        <f t="shared" si="16"/>
        <v>4MIM</v>
      </c>
      <c r="E110" s="62" t="s">
        <v>52</v>
      </c>
      <c r="F110" s="62" t="s">
        <v>27</v>
      </c>
      <c r="G110" s="62" t="s">
        <v>284</v>
      </c>
      <c r="H110" s="8" t="str">
        <f>VLOOKUP(G110,[1]Hoja1!$A:$O,6,0)</f>
        <v>CIENCIAS SOCIALES</v>
      </c>
      <c r="I110" s="4"/>
      <c r="J110" s="4"/>
      <c r="K110" s="80" t="str">
        <f t="shared" si="24"/>
        <v>MI</v>
      </c>
      <c r="L110" s="4"/>
      <c r="M110" s="86" t="str">
        <f>VLOOKUP(G110,[1]Hoja1!$A:$O,15,0)</f>
        <v xml:space="preserve">TORRES LUIS                    </v>
      </c>
      <c r="N110" s="2" t="str">
        <f t="shared" si="17"/>
        <v>1°3°1SOCMI</v>
      </c>
      <c r="O110" s="2"/>
      <c r="P110" s="2" t="str">
        <f>VLOOKUP(G110,[1]Hoja1!$A:$P,16,0)</f>
        <v xml:space="preserve"> </v>
      </c>
      <c r="Q110" s="2"/>
      <c r="S110">
        <f>VLOOKUP(G110,[1]Hoja1!$A:$O,5,0)</f>
        <v>733446</v>
      </c>
      <c r="U110" s="45" t="s">
        <v>2751</v>
      </c>
      <c r="V110" s="46">
        <f t="shared" si="18"/>
        <v>733446</v>
      </c>
      <c r="W110" s="47" t="s">
        <v>1519</v>
      </c>
      <c r="X110" s="46" t="str">
        <f t="shared" si="19"/>
        <v>4</v>
      </c>
      <c r="Y110" s="47" t="s">
        <v>1518</v>
      </c>
      <c r="Z110" s="46" t="str">
        <f t="shared" si="20"/>
        <v>M</v>
      </c>
      <c r="AA110" s="47" t="s">
        <v>2752</v>
      </c>
      <c r="AB110" s="46" t="str">
        <f t="shared" si="21"/>
        <v>MIERCOLES</v>
      </c>
      <c r="AC110" s="47" t="s">
        <v>2753</v>
      </c>
      <c r="AD110">
        <f t="shared" si="22"/>
        <v>0</v>
      </c>
      <c r="AE110" s="47" t="s">
        <v>2754</v>
      </c>
      <c r="AH110" t="str">
        <f t="shared" si="23"/>
        <v>INSERT INTO horario_curso_materia (horario_curso_materia.FK_CUR_mat,horario_curso_materia.FK_HOR,horario_curso_materia.DIA,horario_curso_materia.tipo_turno) VALUES (  (SELECT curso_materia.ID_CUR_MAT FROM curso_materia WHERE curso_materia.CUPOF='733446' ) ,
    (SELECT horario.ID_HOR FROM horario WHERE horario.modulo='4 ' and horario.turno='M ' ),'MIERCOLES ' , '0 ' );</v>
      </c>
    </row>
    <row r="111" spans="1:34" ht="15" hidden="1" customHeight="1" x14ac:dyDescent="0.3">
      <c r="A111" s="1" t="str">
        <f t="shared" si="14"/>
        <v>1°3°</v>
      </c>
      <c r="B111" s="54" t="str">
        <f t="shared" si="15"/>
        <v>1°3°4VIMAÑANA0</v>
      </c>
      <c r="C111" s="62">
        <f>VLOOKUP(G111,[1]Hoja1!$A:$O,3,0)</f>
        <v>0</v>
      </c>
      <c r="D111" s="2" t="str">
        <f t="shared" si="16"/>
        <v>4VIM</v>
      </c>
      <c r="E111" s="62" t="s">
        <v>36</v>
      </c>
      <c r="F111" s="62" t="s">
        <v>27</v>
      </c>
      <c r="G111" s="62" t="s">
        <v>285</v>
      </c>
      <c r="H111" s="8" t="str">
        <f>VLOOKUP(G111,[1]Hoja1!$A:$O,6,0)</f>
        <v>EDUCACION ARTISTICA (PLASTICA)</v>
      </c>
      <c r="I111" s="4"/>
      <c r="J111" s="4"/>
      <c r="K111" s="80" t="str">
        <f t="shared" si="24"/>
        <v>VI</v>
      </c>
      <c r="L111" s="4"/>
      <c r="M111" s="86" t="str">
        <f>VLOOKUP(G111,[1]Hoja1!$A:$O,15,0)</f>
        <v>CHAWET MATIAS</v>
      </c>
      <c r="N111" s="2" t="str">
        <f t="shared" si="17"/>
        <v>1°3°1ARTVI</v>
      </c>
      <c r="O111" s="2"/>
      <c r="P111" s="2" t="str">
        <f>VLOOKUP(G111,[1]Hoja1!$A:$P,16,0)</f>
        <v xml:space="preserve"> </v>
      </c>
      <c r="Q111" s="2"/>
      <c r="S111">
        <f>VLOOKUP(G111,[1]Hoja1!$A:$O,5,0)</f>
        <v>733699</v>
      </c>
      <c r="U111" s="45" t="s">
        <v>2751</v>
      </c>
      <c r="V111" s="46">
        <f t="shared" si="18"/>
        <v>733699</v>
      </c>
      <c r="W111" s="47" t="s">
        <v>1519</v>
      </c>
      <c r="X111" s="46" t="str">
        <f t="shared" si="19"/>
        <v>4</v>
      </c>
      <c r="Y111" s="47" t="s">
        <v>1518</v>
      </c>
      <c r="Z111" s="46" t="str">
        <f t="shared" si="20"/>
        <v>M</v>
      </c>
      <c r="AA111" s="47" t="s">
        <v>2752</v>
      </c>
      <c r="AB111" s="46" t="str">
        <f t="shared" si="21"/>
        <v>VIERNES</v>
      </c>
      <c r="AC111" s="47" t="s">
        <v>2753</v>
      </c>
      <c r="AD111">
        <f t="shared" si="22"/>
        <v>0</v>
      </c>
      <c r="AE111" s="47" t="s">
        <v>2754</v>
      </c>
      <c r="AH111" t="str">
        <f t="shared" si="23"/>
        <v>INSERT INTO horario_curso_materia (horario_curso_materia.FK_CUR_mat,horario_curso_materia.FK_HOR,horario_curso_materia.DIA,horario_curso_materia.tipo_turno) VALUES (  (SELECT curso_materia.ID_CUR_MAT FROM curso_materia WHERE curso_materia.CUPOF='733699' ) ,
    (SELECT horario.ID_HOR FROM horario WHERE horario.modulo='4 ' and horario.turno='M ' ),'VIERNES ' , '0 ' );</v>
      </c>
    </row>
    <row r="112" spans="1:34" ht="15" hidden="1" customHeight="1" x14ac:dyDescent="0.3">
      <c r="A112" s="1" t="str">
        <f t="shared" si="14"/>
        <v>1°3°</v>
      </c>
      <c r="B112" s="54" t="str">
        <f t="shared" si="15"/>
        <v>1°3°5LUMAÑANA0</v>
      </c>
      <c r="C112" s="62">
        <f>VLOOKUP(G112,[1]Hoja1!$A:$O,3,0)</f>
        <v>0</v>
      </c>
      <c r="D112" s="2" t="str">
        <f t="shared" si="16"/>
        <v>5LUM</v>
      </c>
      <c r="E112" s="62" t="s">
        <v>102</v>
      </c>
      <c r="F112" s="62" t="s">
        <v>27</v>
      </c>
      <c r="G112" s="62" t="s">
        <v>283</v>
      </c>
      <c r="H112" s="8" t="str">
        <f>VLOOKUP(G112,[1]Hoja1!$A:$O,6,0)</f>
        <v>PRACTICA DEL LENGUAJE</v>
      </c>
      <c r="I112" s="4"/>
      <c r="J112" s="4"/>
      <c r="K112" s="80" t="str">
        <f t="shared" si="24"/>
        <v>LU</v>
      </c>
      <c r="L112" s="4"/>
      <c r="M112" s="86" t="str">
        <f>VLOOKUP(G112,[1]Hoja1!$A:$O,15,0)</f>
        <v xml:space="preserve">CARESTIA, NOEMI </v>
      </c>
      <c r="N112" s="2" t="str">
        <f t="shared" si="17"/>
        <v>1°3°1LENLU</v>
      </c>
      <c r="O112" s="2"/>
      <c r="P112" s="2" t="str">
        <f>VLOOKUP(G112,[1]Hoja1!$A:$P,16,0)</f>
        <v xml:space="preserve"> </v>
      </c>
      <c r="Q112" s="2"/>
      <c r="S112">
        <f>VLOOKUP(G112,[1]Hoja1!$A:$O,5,0)</f>
        <v>733507</v>
      </c>
      <c r="U112" s="45" t="s">
        <v>2751</v>
      </c>
      <c r="V112" s="46">
        <f t="shared" si="18"/>
        <v>733507</v>
      </c>
      <c r="W112" s="47" t="s">
        <v>1519</v>
      </c>
      <c r="X112" s="46" t="str">
        <f t="shared" si="19"/>
        <v>5</v>
      </c>
      <c r="Y112" s="47" t="s">
        <v>1518</v>
      </c>
      <c r="Z112" s="46" t="str">
        <f t="shared" si="20"/>
        <v>M</v>
      </c>
      <c r="AA112" s="47" t="s">
        <v>2752</v>
      </c>
      <c r="AB112" s="46" t="str">
        <f t="shared" si="21"/>
        <v>LUNES</v>
      </c>
      <c r="AC112" s="47" t="s">
        <v>2753</v>
      </c>
      <c r="AD112">
        <f t="shared" si="22"/>
        <v>0</v>
      </c>
      <c r="AE112" s="47" t="s">
        <v>2754</v>
      </c>
      <c r="AH112" t="str">
        <f t="shared" si="23"/>
        <v>INSERT INTO horario_curso_materia (horario_curso_materia.FK_CUR_mat,horario_curso_materia.FK_HOR,horario_curso_materia.DIA,horario_curso_materia.tipo_turno) VALUES (  (SELECT curso_materia.ID_CUR_MAT FROM curso_materia WHERE curso_materia.CUPOF='733507' ) ,
    (SELECT horario.ID_HOR FROM horario WHERE horario.modulo='5 ' and horario.turno='M ' ),'LUNES ' , '0 ' );</v>
      </c>
    </row>
    <row r="113" spans="1:34" ht="15" hidden="1" customHeight="1" x14ac:dyDescent="0.3">
      <c r="A113" s="1" t="str">
        <f t="shared" si="14"/>
        <v>1°3°</v>
      </c>
      <c r="B113" s="54" t="str">
        <f t="shared" si="15"/>
        <v>1°3°5MIMAÑANA0</v>
      </c>
      <c r="C113" s="62">
        <f>VLOOKUP(G113,[1]Hoja1!$A:$O,3,0)</f>
        <v>0</v>
      </c>
      <c r="D113" s="2" t="str">
        <f t="shared" si="16"/>
        <v>5MIM</v>
      </c>
      <c r="E113" s="62" t="s">
        <v>275</v>
      </c>
      <c r="F113" s="62" t="s">
        <v>27</v>
      </c>
      <c r="G113" s="62" t="s">
        <v>283</v>
      </c>
      <c r="H113" s="8" t="str">
        <f>VLOOKUP(G113,[1]Hoja1!$A:$O,6,0)</f>
        <v>PRACTICA DEL LENGUAJE</v>
      </c>
      <c r="I113" s="4"/>
      <c r="J113" s="4"/>
      <c r="K113" s="80" t="str">
        <f t="shared" si="24"/>
        <v>MI</v>
      </c>
      <c r="L113" s="4"/>
      <c r="M113" s="86" t="str">
        <f>VLOOKUP(G113,[1]Hoja1!$A:$O,15,0)</f>
        <v xml:space="preserve">CARESTIA, NOEMI </v>
      </c>
      <c r="N113" s="2" t="str">
        <f t="shared" si="17"/>
        <v>1°3°1LENMI</v>
      </c>
      <c r="O113" s="2"/>
      <c r="P113" s="2" t="str">
        <f>VLOOKUP(G113,[1]Hoja1!$A:$P,16,0)</f>
        <v xml:space="preserve"> </v>
      </c>
      <c r="Q113" s="2"/>
      <c r="S113">
        <f>VLOOKUP(G113,[1]Hoja1!$A:$O,5,0)</f>
        <v>733507</v>
      </c>
      <c r="U113" s="45" t="s">
        <v>2751</v>
      </c>
      <c r="V113" s="46">
        <f t="shared" si="18"/>
        <v>733507</v>
      </c>
      <c r="W113" s="47" t="s">
        <v>1519</v>
      </c>
      <c r="X113" s="46" t="str">
        <f t="shared" si="19"/>
        <v>5</v>
      </c>
      <c r="Y113" s="47" t="s">
        <v>1518</v>
      </c>
      <c r="Z113" s="46" t="str">
        <f t="shared" si="20"/>
        <v>M</v>
      </c>
      <c r="AA113" s="47" t="s">
        <v>2752</v>
      </c>
      <c r="AB113" s="46" t="str">
        <f t="shared" si="21"/>
        <v>MIERCOLES</v>
      </c>
      <c r="AC113" s="47" t="s">
        <v>2753</v>
      </c>
      <c r="AD113">
        <f t="shared" si="22"/>
        <v>0</v>
      </c>
      <c r="AE113" s="47" t="s">
        <v>2754</v>
      </c>
      <c r="AH113" t="str">
        <f t="shared" si="23"/>
        <v>INSERT INTO horario_curso_materia (horario_curso_materia.FK_CUR_mat,horario_curso_materia.FK_HOR,horario_curso_materia.DIA,horario_curso_materia.tipo_turno) VALUES (  (SELECT curso_materia.ID_CUR_MAT FROM curso_materia WHERE curso_materia.CUPOF='733507' ) ,
    (SELECT horario.ID_HOR FROM horario WHERE horario.modulo='5 ' and horario.turno='M ' ),'MIERCOLES ' , '0 ' );</v>
      </c>
    </row>
    <row r="114" spans="1:34" ht="15" hidden="1" customHeight="1" x14ac:dyDescent="0.3">
      <c r="A114" s="1" t="str">
        <f t="shared" si="14"/>
        <v>1°4°</v>
      </c>
      <c r="B114" s="54" t="str">
        <f t="shared" si="15"/>
        <v>1°4°3MIMAÑANA142</v>
      </c>
      <c r="C114" s="62">
        <f>VLOOKUP(G114,[1]Hoja1!$A:$O,3,0)</f>
        <v>142</v>
      </c>
      <c r="D114" s="2" t="str">
        <f t="shared" si="16"/>
        <v>3MIMAULA 4</v>
      </c>
      <c r="E114" s="62" t="s">
        <v>50</v>
      </c>
      <c r="F114" s="62" t="s">
        <v>27</v>
      </c>
      <c r="G114" s="62" t="s">
        <v>53</v>
      </c>
      <c r="H114" s="8" t="str">
        <f>VLOOKUP(G114,[1]Hoja1!$A:$O,6,0)</f>
        <v>LENGUAJES TECNOLOGICOS</v>
      </c>
      <c r="I114" s="4" t="s">
        <v>1485</v>
      </c>
      <c r="J114" s="4"/>
      <c r="K114" s="80" t="str">
        <f t="shared" si="24"/>
        <v>MI</v>
      </c>
      <c r="L114" s="4" t="s">
        <v>512</v>
      </c>
      <c r="M114" s="86" t="str">
        <f>VLOOKUP(G114,[1]Hoja1!$A:$O,15,0)</f>
        <v>VERA LORENA</v>
      </c>
      <c r="N114" s="2" t="str">
        <f t="shared" si="17"/>
        <v>1°4°1421TLTMI</v>
      </c>
      <c r="O114" s="2"/>
      <c r="P114" s="2" t="str">
        <f>VLOOKUP(G114,[1]Hoja1!$A:$P,16,0)</f>
        <v xml:space="preserve"> </v>
      </c>
      <c r="Q114" s="2"/>
      <c r="S114">
        <f>VLOOKUP(G114,[1]Hoja1!$A:$O,5,0)</f>
        <v>2683136</v>
      </c>
      <c r="U114" s="45" t="s">
        <v>2751</v>
      </c>
      <c r="V114" s="46">
        <f t="shared" si="18"/>
        <v>2683136</v>
      </c>
      <c r="W114" s="47" t="s">
        <v>1519</v>
      </c>
      <c r="X114" s="46" t="str">
        <f t="shared" si="19"/>
        <v>3</v>
      </c>
      <c r="Y114" s="47" t="s">
        <v>1518</v>
      </c>
      <c r="Z114" s="46" t="str">
        <f t="shared" si="20"/>
        <v>M</v>
      </c>
      <c r="AA114" s="47" t="s">
        <v>2752</v>
      </c>
      <c r="AB114" s="46" t="str">
        <f t="shared" si="21"/>
        <v>MIERCOLES</v>
      </c>
      <c r="AC114" s="47" t="s">
        <v>2753</v>
      </c>
      <c r="AD114" t="str">
        <f t="shared" si="22"/>
        <v>CONTRATURNO</v>
      </c>
      <c r="AE114" s="47" t="s">
        <v>2754</v>
      </c>
      <c r="AH114" t="str">
        <f t="shared" si="23"/>
        <v>INSERT INTO horario_curso_materia (horario_curso_materia.FK_CUR_mat,horario_curso_materia.FK_HOR,horario_curso_materia.DIA,horario_curso_materia.tipo_turno) VALUES (  (SELECT curso_materia.ID_CUR_MAT FROM curso_materia WHERE curso_materia.CUPOF='2683136' ) ,
    (SELECT horario.ID_HOR FROM horario WHERE horario.modulo='3 ' and horario.turno='M ' ),'MIERCOLES ' , 'CONTRATURNO ' );</v>
      </c>
    </row>
    <row r="115" spans="1:34" ht="15" hidden="1" customHeight="1" x14ac:dyDescent="0.3">
      <c r="A115" s="1" t="str">
        <f t="shared" si="14"/>
        <v>1°4°</v>
      </c>
      <c r="B115" s="54" t="str">
        <f t="shared" si="15"/>
        <v>1°4°1JUTARDE0</v>
      </c>
      <c r="C115" s="62">
        <f>VLOOKUP(G115,[1]Hoja1!$A:$O,3,0)</f>
        <v>0</v>
      </c>
      <c r="D115" s="2" t="str">
        <f t="shared" si="16"/>
        <v>1JUT</v>
      </c>
      <c r="E115" s="62" t="s">
        <v>43</v>
      </c>
      <c r="F115" s="62" t="s">
        <v>10</v>
      </c>
      <c r="G115" s="62" t="s">
        <v>287</v>
      </c>
      <c r="H115" s="8" t="str">
        <f>VLOOKUP(G115,[1]Hoja1!$A:$O,6,0)</f>
        <v>PRACTICA DEL LENGUAJE</v>
      </c>
      <c r="I115" s="4"/>
      <c r="J115" s="4"/>
      <c r="K115" s="80" t="str">
        <f t="shared" si="24"/>
        <v>JU</v>
      </c>
      <c r="L115" s="4"/>
      <c r="M115" s="86" t="str">
        <f>VLOOKUP(G115,[1]Hoja1!$A:$O,15,0)</f>
        <v xml:space="preserve">CARESTIA, NOEMI </v>
      </c>
      <c r="N115" s="2" t="str">
        <f t="shared" si="17"/>
        <v>1°4°1LENJU</v>
      </c>
      <c r="O115" s="2"/>
      <c r="P115" s="2" t="str">
        <f>VLOOKUP(G115,[1]Hoja1!$A:$P,16,0)</f>
        <v xml:space="preserve"> </v>
      </c>
      <c r="Q115" s="2"/>
      <c r="S115">
        <f>VLOOKUP(G115,[1]Hoja1!$A:$O,5,0)</f>
        <v>1492411</v>
      </c>
      <c r="U115" s="45" t="s">
        <v>2751</v>
      </c>
      <c r="V115" s="46">
        <f t="shared" si="18"/>
        <v>1492411</v>
      </c>
      <c r="W115" s="47" t="s">
        <v>1519</v>
      </c>
      <c r="X115" s="46" t="str">
        <f t="shared" si="19"/>
        <v>1</v>
      </c>
      <c r="Y115" s="47" t="s">
        <v>1518</v>
      </c>
      <c r="Z115" s="46" t="str">
        <f t="shared" si="20"/>
        <v>T</v>
      </c>
      <c r="AA115" s="47" t="s">
        <v>2752</v>
      </c>
      <c r="AB115" s="46" t="str">
        <f t="shared" si="21"/>
        <v>JUEVES</v>
      </c>
      <c r="AC115" s="47" t="s">
        <v>2753</v>
      </c>
      <c r="AD115">
        <f t="shared" si="22"/>
        <v>0</v>
      </c>
      <c r="AE115" s="47" t="s">
        <v>2754</v>
      </c>
      <c r="AH115" t="str">
        <f t="shared" si="23"/>
        <v>INSERT INTO horario_curso_materia (horario_curso_materia.FK_CUR_mat,horario_curso_materia.FK_HOR,horario_curso_materia.DIA,horario_curso_materia.tipo_turno) VALUES (  (SELECT curso_materia.ID_CUR_MAT FROM curso_materia WHERE curso_materia.CUPOF='1492411' ) ,
    (SELECT horario.ID_HOR FROM horario WHERE horario.modulo='1 ' and horario.turno='T ' ),'JUEVES ' , '0 ' );</v>
      </c>
    </row>
    <row r="116" spans="1:34" ht="15" hidden="1" customHeight="1" x14ac:dyDescent="0.3">
      <c r="A116" s="1" t="str">
        <f t="shared" si="14"/>
        <v>1°4°</v>
      </c>
      <c r="B116" s="54" t="str">
        <f t="shared" si="15"/>
        <v>1°4°1LUTARDE0</v>
      </c>
      <c r="C116" s="62">
        <f>VLOOKUP(G116,[1]Hoja1!$A:$O,3,0)</f>
        <v>0</v>
      </c>
      <c r="D116" s="2" t="str">
        <f t="shared" si="16"/>
        <v>1LUT</v>
      </c>
      <c r="E116" s="62" t="s">
        <v>9</v>
      </c>
      <c r="F116" s="62" t="s">
        <v>10</v>
      </c>
      <c r="G116" s="62" t="s">
        <v>287</v>
      </c>
      <c r="H116" s="8" t="str">
        <f>VLOOKUP(G116,[1]Hoja1!$A:$O,6,0)</f>
        <v>PRACTICA DEL LENGUAJE</v>
      </c>
      <c r="I116" s="4"/>
      <c r="J116" s="4"/>
      <c r="K116" s="80" t="str">
        <f t="shared" si="24"/>
        <v>LU</v>
      </c>
      <c r="L116" s="4"/>
      <c r="M116" s="86" t="str">
        <f>VLOOKUP(G116,[1]Hoja1!$A:$O,15,0)</f>
        <v xml:space="preserve">CARESTIA, NOEMI </v>
      </c>
      <c r="N116" s="2" t="str">
        <f t="shared" si="17"/>
        <v>1°4°1LENLU</v>
      </c>
      <c r="O116" s="2"/>
      <c r="P116" s="2" t="str">
        <f>VLOOKUP(G116,[1]Hoja1!$A:$P,16,0)</f>
        <v xml:space="preserve"> </v>
      </c>
      <c r="Q116" s="2"/>
      <c r="S116">
        <f>VLOOKUP(G116,[1]Hoja1!$A:$O,5,0)</f>
        <v>1492411</v>
      </c>
      <c r="U116" s="45" t="s">
        <v>2751</v>
      </c>
      <c r="V116" s="46">
        <f t="shared" si="18"/>
        <v>1492411</v>
      </c>
      <c r="W116" s="47" t="s">
        <v>1519</v>
      </c>
      <c r="X116" s="46" t="str">
        <f t="shared" si="19"/>
        <v>1</v>
      </c>
      <c r="Y116" s="47" t="s">
        <v>1518</v>
      </c>
      <c r="Z116" s="46" t="str">
        <f t="shared" si="20"/>
        <v>T</v>
      </c>
      <c r="AA116" s="47" t="s">
        <v>2752</v>
      </c>
      <c r="AB116" s="46" t="str">
        <f t="shared" si="21"/>
        <v>LUNES</v>
      </c>
      <c r="AC116" s="47" t="s">
        <v>2753</v>
      </c>
      <c r="AD116">
        <f t="shared" si="22"/>
        <v>0</v>
      </c>
      <c r="AE116" s="47" t="s">
        <v>2754</v>
      </c>
      <c r="AH116" t="str">
        <f t="shared" si="23"/>
        <v>INSERT INTO horario_curso_materia (horario_curso_materia.FK_CUR_mat,horario_curso_materia.FK_HOR,horario_curso_materia.DIA,horario_curso_materia.tipo_turno) VALUES (  (SELECT curso_materia.ID_CUR_MAT FROM curso_materia WHERE curso_materia.CUPOF='1492411' ) ,
    (SELECT horario.ID_HOR FROM horario WHERE horario.modulo='1 ' and horario.turno='T ' ),'LUNES ' , '0 ' );</v>
      </c>
    </row>
    <row r="117" spans="1:34" ht="15" hidden="1" customHeight="1" x14ac:dyDescent="0.3">
      <c r="A117" s="1" t="str">
        <f t="shared" si="14"/>
        <v>1°4°</v>
      </c>
      <c r="B117" s="54" t="str">
        <f t="shared" si="15"/>
        <v>1°4°1MATARDE0</v>
      </c>
      <c r="C117" s="62">
        <f>VLOOKUP(G117,[1]Hoja1!$A:$O,3,0)</f>
        <v>0</v>
      </c>
      <c r="D117" s="2" t="str">
        <f t="shared" si="16"/>
        <v>1MAT</v>
      </c>
      <c r="E117" s="62" t="s">
        <v>17</v>
      </c>
      <c r="F117" s="62" t="s">
        <v>10</v>
      </c>
      <c r="G117" s="62" t="s">
        <v>289</v>
      </c>
      <c r="H117" s="8" t="str">
        <f>VLOOKUP(G117,[1]Hoja1!$A:$O,6,0)</f>
        <v>CIENCIAS SOCIALES</v>
      </c>
      <c r="I117" s="4"/>
      <c r="J117" s="4"/>
      <c r="K117" s="80" t="str">
        <f t="shared" si="24"/>
        <v>MA</v>
      </c>
      <c r="L117" s="4"/>
      <c r="M117" s="86" t="str">
        <f>VLOOKUP(G117,[1]Hoja1!$A:$O,15,0)</f>
        <v xml:space="preserve">GERSTER MYRIAN                 </v>
      </c>
      <c r="N117" s="2" t="str">
        <f t="shared" si="17"/>
        <v>1°4°1SOCMA</v>
      </c>
      <c r="O117" s="2"/>
      <c r="P117" s="2" t="str">
        <f>VLOOKUP(G117,[1]Hoja1!$A:$P,16,0)</f>
        <v xml:space="preserve"> </v>
      </c>
      <c r="Q117" s="2"/>
      <c r="S117">
        <f>VLOOKUP(G117,[1]Hoja1!$A:$O,5,0)</f>
        <v>1493343</v>
      </c>
      <c r="U117" s="45" t="s">
        <v>2751</v>
      </c>
      <c r="V117" s="46">
        <f t="shared" si="18"/>
        <v>1493343</v>
      </c>
      <c r="W117" s="47" t="s">
        <v>1519</v>
      </c>
      <c r="X117" s="46" t="str">
        <f t="shared" si="19"/>
        <v>1</v>
      </c>
      <c r="Y117" s="47" t="s">
        <v>1518</v>
      </c>
      <c r="Z117" s="46" t="str">
        <f t="shared" si="20"/>
        <v>T</v>
      </c>
      <c r="AA117" s="47" t="s">
        <v>2752</v>
      </c>
      <c r="AB117" s="46" t="str">
        <f t="shared" si="21"/>
        <v>MARTES</v>
      </c>
      <c r="AC117" s="47" t="s">
        <v>2753</v>
      </c>
      <c r="AD117">
        <f t="shared" si="22"/>
        <v>0</v>
      </c>
      <c r="AE117" s="47" t="s">
        <v>2754</v>
      </c>
      <c r="AH117" t="str">
        <f t="shared" si="23"/>
        <v>INSERT INTO horario_curso_materia (horario_curso_materia.FK_CUR_mat,horario_curso_materia.FK_HOR,horario_curso_materia.DIA,horario_curso_materia.tipo_turno) VALUES (  (SELECT curso_materia.ID_CUR_MAT FROM curso_materia WHERE curso_materia.CUPOF='1493343' ) ,
    (SELECT horario.ID_HOR FROM horario WHERE horario.modulo='1 ' and horario.turno='T ' ),'MARTES ' , '0 ' );</v>
      </c>
    </row>
    <row r="118" spans="1:34" ht="15" hidden="1" customHeight="1" x14ac:dyDescent="0.3">
      <c r="A118" s="1" t="str">
        <f t="shared" si="14"/>
        <v>1°4°</v>
      </c>
      <c r="B118" s="54" t="str">
        <f t="shared" si="15"/>
        <v>1°4°1VIMAÑANA141</v>
      </c>
      <c r="C118" s="62">
        <f>VLOOKUP(G118,[1]Hoja1!$A:$O,3,0)</f>
        <v>141</v>
      </c>
      <c r="D118" s="2" t="str">
        <f t="shared" si="16"/>
        <v>1VIMCARPINTERIA</v>
      </c>
      <c r="E118" s="62" t="s">
        <v>57</v>
      </c>
      <c r="F118" s="62" t="s">
        <v>27</v>
      </c>
      <c r="G118" s="62" t="s">
        <v>49</v>
      </c>
      <c r="H118" s="8" t="str">
        <f>VLOOKUP(G118,[1]Hoja1!$A:$O,6,0)</f>
        <v>PROCEDIMIENTOS TECNICOS</v>
      </c>
      <c r="I118" s="4" t="s">
        <v>23</v>
      </c>
      <c r="J118" s="4"/>
      <c r="K118" s="80" t="str">
        <f t="shared" si="24"/>
        <v>VI</v>
      </c>
      <c r="L118" s="4" t="s">
        <v>512</v>
      </c>
      <c r="M118" s="86" t="str">
        <f>VLOOKUP(G118,[1]Hoja1!$A:$O,15,0)</f>
        <v xml:space="preserve">ESPINDOLA SERGIO                          </v>
      </c>
      <c r="N118" s="2" t="str">
        <f t="shared" si="17"/>
        <v>1°4°1411TPTVI</v>
      </c>
      <c r="O118" s="2"/>
      <c r="P118" s="2" t="str">
        <f>VLOOKUP(G118,[1]Hoja1!$A:$P,16,0)</f>
        <v xml:space="preserve"> </v>
      </c>
      <c r="Q118" s="2"/>
      <c r="S118">
        <f>VLOOKUP(G118,[1]Hoja1!$A:$O,5,0)</f>
        <v>1493345</v>
      </c>
      <c r="U118" s="45" t="s">
        <v>2751</v>
      </c>
      <c r="V118" s="46">
        <f t="shared" si="18"/>
        <v>1493345</v>
      </c>
      <c r="W118" s="47" t="s">
        <v>1519</v>
      </c>
      <c r="X118" s="46" t="str">
        <f t="shared" si="19"/>
        <v>1</v>
      </c>
      <c r="Y118" s="47" t="s">
        <v>1518</v>
      </c>
      <c r="Z118" s="46" t="str">
        <f t="shared" si="20"/>
        <v>M</v>
      </c>
      <c r="AA118" s="47" t="s">
        <v>2752</v>
      </c>
      <c r="AB118" s="46" t="str">
        <f t="shared" si="21"/>
        <v>VIERNES</v>
      </c>
      <c r="AC118" s="47" t="s">
        <v>2753</v>
      </c>
      <c r="AD118" t="str">
        <f t="shared" si="22"/>
        <v>CONTRATURNO</v>
      </c>
      <c r="AE118" s="47" t="s">
        <v>2754</v>
      </c>
      <c r="AH118" t="str">
        <f t="shared" si="23"/>
        <v>INSERT INTO horario_curso_materia (horario_curso_materia.FK_CUR_mat,horario_curso_materia.FK_HOR,horario_curso_materia.DIA,horario_curso_materia.tipo_turno) VALUES (  (SELECT curso_materia.ID_CUR_MAT FROM curso_materia WHERE curso_materia.CUPOF='1493345' ) ,
    (SELECT horario.ID_HOR FROM horario WHERE horario.modulo='1 ' and horario.turno='M ' ),'VIERNES ' , 'CONTRATURNO ' );</v>
      </c>
    </row>
    <row r="119" spans="1:34" ht="15" hidden="1" customHeight="1" x14ac:dyDescent="0.3">
      <c r="A119" s="1" t="str">
        <f t="shared" si="14"/>
        <v>1°4°</v>
      </c>
      <c r="B119" s="54" t="str">
        <f t="shared" si="15"/>
        <v>1°4°1MITARDE0</v>
      </c>
      <c r="C119" s="62">
        <f>VLOOKUP(G119,[1]Hoja1!$A:$O,3,0)</f>
        <v>0</v>
      </c>
      <c r="D119" s="2" t="str">
        <f t="shared" si="16"/>
        <v>1MIT</v>
      </c>
      <c r="E119" s="62" t="s">
        <v>24</v>
      </c>
      <c r="F119" s="62" t="s">
        <v>10</v>
      </c>
      <c r="G119" s="62" t="s">
        <v>291</v>
      </c>
      <c r="H119" s="8" t="str">
        <f>VLOOKUP(G119,[1]Hoja1!$A:$O,6,0)</f>
        <v>EDUCACION ARTISTICA (PLASTICA)</v>
      </c>
      <c r="I119" s="4"/>
      <c r="J119" s="4"/>
      <c r="K119" s="80" t="str">
        <f t="shared" si="24"/>
        <v>MI</v>
      </c>
      <c r="L119" s="4"/>
      <c r="M119" s="86" t="str">
        <f>VLOOKUP(G119,[1]Hoja1!$A:$O,15,0)</f>
        <v>CHAVVET, MATIAS</v>
      </c>
      <c r="N119" s="2" t="str">
        <f t="shared" si="17"/>
        <v>1°4°1ARTMI</v>
      </c>
      <c r="O119" s="2"/>
      <c r="P119" s="2" t="str">
        <f>VLOOKUP(G119,[1]Hoja1!$A:$P,16,0)</f>
        <v xml:space="preserve"> </v>
      </c>
      <c r="Q119" s="2"/>
      <c r="S119">
        <f>VLOOKUP(G119,[1]Hoja1!$A:$O,5,0)</f>
        <v>1493339</v>
      </c>
      <c r="U119" s="45" t="s">
        <v>2751</v>
      </c>
      <c r="V119" s="46">
        <f t="shared" si="18"/>
        <v>1493339</v>
      </c>
      <c r="W119" s="47" t="s">
        <v>1519</v>
      </c>
      <c r="X119" s="46" t="str">
        <f t="shared" si="19"/>
        <v>1</v>
      </c>
      <c r="Y119" s="47" t="s">
        <v>1518</v>
      </c>
      <c r="Z119" s="46" t="str">
        <f t="shared" si="20"/>
        <v>T</v>
      </c>
      <c r="AA119" s="47" t="s">
        <v>2752</v>
      </c>
      <c r="AB119" s="46" t="str">
        <f t="shared" si="21"/>
        <v>MIERCOLES</v>
      </c>
      <c r="AC119" s="47" t="s">
        <v>2753</v>
      </c>
      <c r="AD119">
        <f t="shared" si="22"/>
        <v>0</v>
      </c>
      <c r="AE119" s="47" t="s">
        <v>2754</v>
      </c>
      <c r="AH119" t="str">
        <f t="shared" si="23"/>
        <v>INSERT INTO horario_curso_materia (horario_curso_materia.FK_CUR_mat,horario_curso_materia.FK_HOR,horario_curso_materia.DIA,horario_curso_materia.tipo_turno) VALUES (  (SELECT curso_materia.ID_CUR_MAT FROM curso_materia WHERE curso_materia.CUPOF='1493339' ) ,
    (SELECT horario.ID_HOR FROM horario WHERE horario.modulo='1 ' and horario.turno='T ' ),'MIERCOLES ' , '0 ' );</v>
      </c>
    </row>
    <row r="120" spans="1:34" ht="15" hidden="1" customHeight="1" x14ac:dyDescent="0.3">
      <c r="A120" s="1" t="str">
        <f t="shared" si="14"/>
        <v>1°4°</v>
      </c>
      <c r="B120" s="54" t="str">
        <f t="shared" si="15"/>
        <v>1°4°1VITARDE0</v>
      </c>
      <c r="C120" s="62">
        <f>VLOOKUP(G120,[1]Hoja1!$A:$O,3,0)</f>
        <v>0</v>
      </c>
      <c r="D120" s="2" t="str">
        <f t="shared" si="16"/>
        <v>1VIT</v>
      </c>
      <c r="E120" s="62" t="s">
        <v>57</v>
      </c>
      <c r="F120" s="62" t="s">
        <v>10</v>
      </c>
      <c r="G120" s="62" t="s">
        <v>292</v>
      </c>
      <c r="H120" s="8" t="str">
        <f>VLOOKUP(G120,[1]Hoja1!$A:$O,6,0)</f>
        <v>INGLÉS</v>
      </c>
      <c r="I120" s="4"/>
      <c r="J120" s="4"/>
      <c r="K120" s="80" t="str">
        <f t="shared" si="24"/>
        <v>VI</v>
      </c>
      <c r="L120" s="4"/>
      <c r="M120" s="86" t="str">
        <f>VLOOKUP(G120,[1]Hoja1!$A:$O,15,0)</f>
        <v xml:space="preserve">LEGUIZAMO ANA   </v>
      </c>
      <c r="N120" s="2" t="str">
        <f t="shared" si="17"/>
        <v>1°4°1INGVI</v>
      </c>
      <c r="O120" s="2"/>
      <c r="P120" s="2" t="str">
        <f>VLOOKUP(G120,[1]Hoja1!$A:$P,16,0)</f>
        <v xml:space="preserve"> </v>
      </c>
      <c r="Q120" s="2"/>
      <c r="S120">
        <f>VLOOKUP(G120,[1]Hoja1!$A:$O,5,0)</f>
        <v>149335</v>
      </c>
      <c r="U120" s="45" t="s">
        <v>2751</v>
      </c>
      <c r="V120" s="46">
        <f t="shared" si="18"/>
        <v>149335</v>
      </c>
      <c r="W120" s="47" t="s">
        <v>1519</v>
      </c>
      <c r="X120" s="46" t="str">
        <f t="shared" si="19"/>
        <v>1</v>
      </c>
      <c r="Y120" s="47" t="s">
        <v>1518</v>
      </c>
      <c r="Z120" s="46" t="str">
        <f t="shared" si="20"/>
        <v>T</v>
      </c>
      <c r="AA120" s="47" t="s">
        <v>2752</v>
      </c>
      <c r="AB120" s="46" t="str">
        <f t="shared" si="21"/>
        <v>VIERNES</v>
      </c>
      <c r="AC120" s="47" t="s">
        <v>2753</v>
      </c>
      <c r="AD120">
        <f t="shared" si="22"/>
        <v>0</v>
      </c>
      <c r="AE120" s="47" t="s">
        <v>2754</v>
      </c>
      <c r="AH120" t="str">
        <f t="shared" si="23"/>
        <v>INSERT INTO horario_curso_materia (horario_curso_materia.FK_CUR_mat,horario_curso_materia.FK_HOR,horario_curso_materia.DIA,horario_curso_materia.tipo_turno) VALUES (  (SELECT curso_materia.ID_CUR_MAT FROM curso_materia WHERE curso_materia.CUPOF='149335' ) ,
    (SELECT horario.ID_HOR FROM horario WHERE horario.modulo='1 ' and horario.turno='T ' ),'VIERNES ' , '0 ' );</v>
      </c>
    </row>
    <row r="121" spans="1:34" ht="15" hidden="1" customHeight="1" x14ac:dyDescent="0.3">
      <c r="A121" s="1" t="str">
        <f t="shared" si="14"/>
        <v>1°4°</v>
      </c>
      <c r="B121" s="54" t="str">
        <f t="shared" si="15"/>
        <v>1°4°4MIMAÑANA142</v>
      </c>
      <c r="C121" s="62">
        <f>VLOOKUP(G121,[1]Hoja1!$A:$O,3,0)</f>
        <v>142</v>
      </c>
      <c r="D121" s="2" t="str">
        <f t="shared" si="16"/>
        <v>4MIMAULA 4</v>
      </c>
      <c r="E121" s="62" t="s">
        <v>52</v>
      </c>
      <c r="F121" s="62" t="s">
        <v>27</v>
      </c>
      <c r="G121" s="62" t="s">
        <v>53</v>
      </c>
      <c r="H121" s="8" t="str">
        <f>VLOOKUP(G121,[1]Hoja1!$A:$O,6,0)</f>
        <v>LENGUAJES TECNOLOGICOS</v>
      </c>
      <c r="I121" s="4" t="s">
        <v>1485</v>
      </c>
      <c r="J121" s="4"/>
      <c r="K121" s="80" t="str">
        <f t="shared" si="24"/>
        <v>MI</v>
      </c>
      <c r="L121" s="4" t="s">
        <v>512</v>
      </c>
      <c r="M121" s="86" t="str">
        <f>VLOOKUP(G121,[1]Hoja1!$A:$O,15,0)</f>
        <v>VERA LORENA</v>
      </c>
      <c r="N121" s="2" t="str">
        <f t="shared" si="17"/>
        <v>1°4°1421TLTMI</v>
      </c>
      <c r="O121" s="2"/>
      <c r="P121" s="2" t="str">
        <f>VLOOKUP(G121,[1]Hoja1!$A:$P,16,0)</f>
        <v xml:space="preserve"> </v>
      </c>
      <c r="Q121" s="2"/>
      <c r="S121">
        <f>VLOOKUP(G121,[1]Hoja1!$A:$O,5,0)</f>
        <v>2683136</v>
      </c>
      <c r="U121" s="45" t="s">
        <v>2751</v>
      </c>
      <c r="V121" s="46">
        <f t="shared" si="18"/>
        <v>2683136</v>
      </c>
      <c r="W121" s="47" t="s">
        <v>1519</v>
      </c>
      <c r="X121" s="46" t="str">
        <f t="shared" si="19"/>
        <v>4</v>
      </c>
      <c r="Y121" s="47" t="s">
        <v>1518</v>
      </c>
      <c r="Z121" s="46" t="str">
        <f t="shared" si="20"/>
        <v>M</v>
      </c>
      <c r="AA121" s="47" t="s">
        <v>2752</v>
      </c>
      <c r="AB121" s="46" t="str">
        <f t="shared" si="21"/>
        <v>MIERCOLES</v>
      </c>
      <c r="AC121" s="47" t="s">
        <v>2753</v>
      </c>
      <c r="AD121" t="str">
        <f t="shared" si="22"/>
        <v>CONTRATURNO</v>
      </c>
      <c r="AE121" s="47" t="s">
        <v>2754</v>
      </c>
      <c r="AH121" t="str">
        <f t="shared" si="23"/>
        <v>INSERT INTO horario_curso_materia (horario_curso_materia.FK_CUR_mat,horario_curso_materia.FK_HOR,horario_curso_materia.DIA,horario_curso_materia.tipo_turno) VALUES (  (SELECT curso_materia.ID_CUR_MAT FROM curso_materia WHERE curso_materia.CUPOF='2683136' ) ,
    (SELECT horario.ID_HOR FROM horario WHERE horario.modulo='4 ' and horario.turno='M ' ),'MIERCOLES ' , 'CONTRATURNO ' );</v>
      </c>
    </row>
    <row r="122" spans="1:34" ht="15" hidden="1" customHeight="1" x14ac:dyDescent="0.3">
      <c r="A122" s="1" t="str">
        <f t="shared" si="14"/>
        <v>1°4°</v>
      </c>
      <c r="B122" s="54" t="str">
        <f t="shared" si="15"/>
        <v>1°4°2JUTARDE0</v>
      </c>
      <c r="C122" s="62">
        <f>VLOOKUP(G122,[1]Hoja1!$A:$O,3,0)</f>
        <v>0</v>
      </c>
      <c r="D122" s="2" t="str">
        <f t="shared" si="16"/>
        <v>2JUT</v>
      </c>
      <c r="E122" s="62" t="s">
        <v>45</v>
      </c>
      <c r="F122" s="62" t="s">
        <v>10</v>
      </c>
      <c r="G122" s="62" t="s">
        <v>287</v>
      </c>
      <c r="H122" s="8" t="str">
        <f>VLOOKUP(G122,[1]Hoja1!$A:$O,6,0)</f>
        <v>PRACTICA DEL LENGUAJE</v>
      </c>
      <c r="I122" s="4"/>
      <c r="J122" s="4"/>
      <c r="K122" s="80" t="str">
        <f t="shared" si="24"/>
        <v>JU</v>
      </c>
      <c r="L122" s="4"/>
      <c r="M122" s="86" t="str">
        <f>VLOOKUP(G122,[1]Hoja1!$A:$O,15,0)</f>
        <v xml:space="preserve">CARESTIA, NOEMI </v>
      </c>
      <c r="N122" s="2" t="str">
        <f t="shared" si="17"/>
        <v>1°4°1LENJU</v>
      </c>
      <c r="O122" s="2"/>
      <c r="P122" s="2" t="str">
        <f>VLOOKUP(G122,[1]Hoja1!$A:$P,16,0)</f>
        <v xml:space="preserve"> </v>
      </c>
      <c r="Q122" s="2"/>
      <c r="S122">
        <f>VLOOKUP(G122,[1]Hoja1!$A:$O,5,0)</f>
        <v>1492411</v>
      </c>
      <c r="U122" s="45" t="s">
        <v>2751</v>
      </c>
      <c r="V122" s="46">
        <f t="shared" si="18"/>
        <v>1492411</v>
      </c>
      <c r="W122" s="47" t="s">
        <v>1519</v>
      </c>
      <c r="X122" s="46" t="str">
        <f t="shared" si="19"/>
        <v>2</v>
      </c>
      <c r="Y122" s="47" t="s">
        <v>1518</v>
      </c>
      <c r="Z122" s="46" t="str">
        <f t="shared" si="20"/>
        <v>T</v>
      </c>
      <c r="AA122" s="47" t="s">
        <v>2752</v>
      </c>
      <c r="AB122" s="46" t="str">
        <f t="shared" si="21"/>
        <v>JUEVES</v>
      </c>
      <c r="AC122" s="47" t="s">
        <v>2753</v>
      </c>
      <c r="AD122">
        <f t="shared" si="22"/>
        <v>0</v>
      </c>
      <c r="AE122" s="47" t="s">
        <v>2754</v>
      </c>
      <c r="AH122" t="str">
        <f t="shared" si="23"/>
        <v>INSERT INTO horario_curso_materia (horario_curso_materia.FK_CUR_mat,horario_curso_materia.FK_HOR,horario_curso_materia.DIA,horario_curso_materia.tipo_turno) VALUES (  (SELECT curso_materia.ID_CUR_MAT FROM curso_materia WHERE curso_materia.CUPOF='1492411' ) ,
    (SELECT horario.ID_HOR FROM horario WHERE horario.modulo='2 ' and horario.turno='T ' ),'JUEVES ' , '0 ' );</v>
      </c>
    </row>
    <row r="123" spans="1:34" ht="15" hidden="1" customHeight="1" x14ac:dyDescent="0.3">
      <c r="A123" s="1" t="str">
        <f t="shared" si="14"/>
        <v>1°4°</v>
      </c>
      <c r="B123" s="54" t="str">
        <f t="shared" si="15"/>
        <v>1°4°2LUTARDE0</v>
      </c>
      <c r="C123" s="62">
        <f>VLOOKUP(G123,[1]Hoja1!$A:$O,3,0)</f>
        <v>0</v>
      </c>
      <c r="D123" s="2" t="str">
        <f t="shared" si="16"/>
        <v>2LUT</v>
      </c>
      <c r="E123" s="62" t="s">
        <v>12</v>
      </c>
      <c r="F123" s="62" t="s">
        <v>10</v>
      </c>
      <c r="G123" s="62" t="s">
        <v>287</v>
      </c>
      <c r="H123" s="8" t="str">
        <f>VLOOKUP(G123,[1]Hoja1!$A:$O,6,0)</f>
        <v>PRACTICA DEL LENGUAJE</v>
      </c>
      <c r="I123" s="4"/>
      <c r="J123" s="4"/>
      <c r="K123" s="80" t="str">
        <f t="shared" si="24"/>
        <v>LU</v>
      </c>
      <c r="L123" s="4"/>
      <c r="M123" s="86" t="str">
        <f>VLOOKUP(G123,[1]Hoja1!$A:$O,15,0)</f>
        <v xml:space="preserve">CARESTIA, NOEMI </v>
      </c>
      <c r="N123" s="2" t="str">
        <f t="shared" si="17"/>
        <v>1°4°1LENLU</v>
      </c>
      <c r="O123" s="2"/>
      <c r="P123" s="2" t="str">
        <f>VLOOKUP(G123,[1]Hoja1!$A:$P,16,0)</f>
        <v xml:space="preserve"> </v>
      </c>
      <c r="Q123" s="2"/>
      <c r="S123">
        <f>VLOOKUP(G123,[1]Hoja1!$A:$O,5,0)</f>
        <v>1492411</v>
      </c>
      <c r="U123" s="45" t="s">
        <v>2751</v>
      </c>
      <c r="V123" s="46">
        <f t="shared" si="18"/>
        <v>1492411</v>
      </c>
      <c r="W123" s="47" t="s">
        <v>1519</v>
      </c>
      <c r="X123" s="46" t="str">
        <f t="shared" si="19"/>
        <v>2</v>
      </c>
      <c r="Y123" s="47" t="s">
        <v>1518</v>
      </c>
      <c r="Z123" s="46" t="str">
        <f t="shared" si="20"/>
        <v>T</v>
      </c>
      <c r="AA123" s="47" t="s">
        <v>2752</v>
      </c>
      <c r="AB123" s="46" t="str">
        <f t="shared" si="21"/>
        <v>LUNES</v>
      </c>
      <c r="AC123" s="47" t="s">
        <v>2753</v>
      </c>
      <c r="AD123">
        <f t="shared" si="22"/>
        <v>0</v>
      </c>
      <c r="AE123" s="47" t="s">
        <v>2754</v>
      </c>
      <c r="AH123" t="str">
        <f t="shared" si="23"/>
        <v>INSERT INTO horario_curso_materia (horario_curso_materia.FK_CUR_mat,horario_curso_materia.FK_HOR,horario_curso_materia.DIA,horario_curso_materia.tipo_turno) VALUES (  (SELECT curso_materia.ID_CUR_MAT FROM curso_materia WHERE curso_materia.CUPOF='1492411' ) ,
    (SELECT horario.ID_HOR FROM horario WHERE horario.modulo='2 ' and horario.turno='T ' ),'LUNES ' , '0 ' );</v>
      </c>
    </row>
    <row r="124" spans="1:34" ht="15" hidden="1" customHeight="1" x14ac:dyDescent="0.3">
      <c r="A124" s="1" t="str">
        <f t="shared" si="14"/>
        <v>1°4°</v>
      </c>
      <c r="B124" s="54" t="str">
        <f t="shared" si="15"/>
        <v>1°4°2MATARDE0</v>
      </c>
      <c r="C124" s="62">
        <f>VLOOKUP(G124,[1]Hoja1!$A:$O,3,0)</f>
        <v>0</v>
      </c>
      <c r="D124" s="2" t="str">
        <f t="shared" si="16"/>
        <v>2MAT</v>
      </c>
      <c r="E124" s="62" t="s">
        <v>19</v>
      </c>
      <c r="F124" s="62" t="s">
        <v>10</v>
      </c>
      <c r="G124" s="62" t="s">
        <v>289</v>
      </c>
      <c r="H124" s="8" t="str">
        <f>VLOOKUP(G124,[1]Hoja1!$A:$O,6,0)</f>
        <v>CIENCIAS SOCIALES</v>
      </c>
      <c r="I124" s="4"/>
      <c r="J124" s="4"/>
      <c r="K124" s="80" t="str">
        <f t="shared" si="24"/>
        <v>MA</v>
      </c>
      <c r="L124" s="4"/>
      <c r="M124" s="86" t="str">
        <f>VLOOKUP(G124,[1]Hoja1!$A:$O,15,0)</f>
        <v xml:space="preserve">GERSTER MYRIAN                 </v>
      </c>
      <c r="N124" s="2" t="str">
        <f t="shared" si="17"/>
        <v>1°4°1SOCMA</v>
      </c>
      <c r="O124" s="2"/>
      <c r="P124" s="2" t="str">
        <f>VLOOKUP(G124,[1]Hoja1!$A:$P,16,0)</f>
        <v xml:space="preserve"> </v>
      </c>
      <c r="Q124" s="2"/>
      <c r="S124">
        <f>VLOOKUP(G124,[1]Hoja1!$A:$O,5,0)</f>
        <v>1493343</v>
      </c>
      <c r="U124" s="45" t="s">
        <v>2751</v>
      </c>
      <c r="V124" s="46">
        <f t="shared" si="18"/>
        <v>1493343</v>
      </c>
      <c r="W124" s="47" t="s">
        <v>1519</v>
      </c>
      <c r="X124" s="46" t="str">
        <f t="shared" si="19"/>
        <v>2</v>
      </c>
      <c r="Y124" s="47" t="s">
        <v>1518</v>
      </c>
      <c r="Z124" s="46" t="str">
        <f t="shared" si="20"/>
        <v>T</v>
      </c>
      <c r="AA124" s="47" t="s">
        <v>2752</v>
      </c>
      <c r="AB124" s="46" t="str">
        <f t="shared" si="21"/>
        <v>MARTES</v>
      </c>
      <c r="AC124" s="47" t="s">
        <v>2753</v>
      </c>
      <c r="AD124">
        <f t="shared" si="22"/>
        <v>0</v>
      </c>
      <c r="AE124" s="47" t="s">
        <v>2754</v>
      </c>
      <c r="AH124" t="str">
        <f t="shared" si="23"/>
        <v>INSERT INTO horario_curso_materia (horario_curso_materia.FK_CUR_mat,horario_curso_materia.FK_HOR,horario_curso_materia.DIA,horario_curso_materia.tipo_turno) VALUES (  (SELECT curso_materia.ID_CUR_MAT FROM curso_materia WHERE curso_materia.CUPOF='1493343' ) ,
    (SELECT horario.ID_HOR FROM horario WHERE horario.modulo='2 ' and horario.turno='T ' ),'MARTES ' , '0 ' );</v>
      </c>
    </row>
    <row r="125" spans="1:34" ht="15" hidden="1" customHeight="1" x14ac:dyDescent="0.3">
      <c r="A125" s="1" t="str">
        <f t="shared" si="14"/>
        <v>1°4°</v>
      </c>
      <c r="B125" s="54" t="str">
        <f t="shared" si="15"/>
        <v>1°4°2VIMAÑANA141</v>
      </c>
      <c r="C125" s="62">
        <f>VLOOKUP(G125,[1]Hoja1!$A:$O,3,0)</f>
        <v>141</v>
      </c>
      <c r="D125" s="2" t="str">
        <f t="shared" si="16"/>
        <v>2VIMCARPINTERIA</v>
      </c>
      <c r="E125" s="62" t="s">
        <v>59</v>
      </c>
      <c r="F125" s="62" t="s">
        <v>27</v>
      </c>
      <c r="G125" s="62" t="s">
        <v>49</v>
      </c>
      <c r="H125" s="8" t="str">
        <f>VLOOKUP(G125,[1]Hoja1!$A:$O,6,0)</f>
        <v>PROCEDIMIENTOS TECNICOS</v>
      </c>
      <c r="I125" s="4" t="s">
        <v>23</v>
      </c>
      <c r="J125" s="4"/>
      <c r="K125" s="80" t="str">
        <f t="shared" si="24"/>
        <v>VI</v>
      </c>
      <c r="L125" s="4" t="s">
        <v>512</v>
      </c>
      <c r="M125" s="86" t="str">
        <f>VLOOKUP(G125,[1]Hoja1!$A:$O,15,0)</f>
        <v xml:space="preserve">ESPINDOLA SERGIO                          </v>
      </c>
      <c r="N125" s="2" t="str">
        <f t="shared" si="17"/>
        <v>1°4°1411TPTVI</v>
      </c>
      <c r="O125" s="2"/>
      <c r="P125" s="2" t="str">
        <f>VLOOKUP(G125,[1]Hoja1!$A:$P,16,0)</f>
        <v xml:space="preserve"> </v>
      </c>
      <c r="Q125" s="2"/>
      <c r="S125">
        <f>VLOOKUP(G125,[1]Hoja1!$A:$O,5,0)</f>
        <v>1493345</v>
      </c>
      <c r="U125" s="45" t="s">
        <v>2751</v>
      </c>
      <c r="V125" s="46">
        <f t="shared" si="18"/>
        <v>1493345</v>
      </c>
      <c r="W125" s="47" t="s">
        <v>1519</v>
      </c>
      <c r="X125" s="46" t="str">
        <f t="shared" si="19"/>
        <v>2</v>
      </c>
      <c r="Y125" s="47" t="s">
        <v>1518</v>
      </c>
      <c r="Z125" s="46" t="str">
        <f t="shared" si="20"/>
        <v>M</v>
      </c>
      <c r="AA125" s="47" t="s">
        <v>2752</v>
      </c>
      <c r="AB125" s="46" t="str">
        <f t="shared" si="21"/>
        <v>VIERNES</v>
      </c>
      <c r="AC125" s="47" t="s">
        <v>2753</v>
      </c>
      <c r="AD125" t="str">
        <f t="shared" si="22"/>
        <v>CONTRATURNO</v>
      </c>
      <c r="AE125" s="47" t="s">
        <v>2754</v>
      </c>
      <c r="AH125" t="str">
        <f t="shared" si="23"/>
        <v>INSERT INTO horario_curso_materia (horario_curso_materia.FK_CUR_mat,horario_curso_materia.FK_HOR,horario_curso_materia.DIA,horario_curso_materia.tipo_turno) VALUES (  (SELECT curso_materia.ID_CUR_MAT FROM curso_materia WHERE curso_materia.CUPOF='1493345' ) ,
    (SELECT horario.ID_HOR FROM horario WHERE horario.modulo='2 ' and horario.turno='M ' ),'VIERNES ' , 'CONTRATURNO ' );</v>
      </c>
    </row>
    <row r="126" spans="1:34" ht="15" hidden="1" customHeight="1" x14ac:dyDescent="0.3">
      <c r="A126" s="1" t="str">
        <f t="shared" si="14"/>
        <v>1°4°</v>
      </c>
      <c r="B126" s="54" t="str">
        <f t="shared" si="15"/>
        <v>1°4°2MITARDE0</v>
      </c>
      <c r="C126" s="62">
        <f>VLOOKUP(G126,[1]Hoja1!$A:$O,3,0)</f>
        <v>0</v>
      </c>
      <c r="D126" s="2" t="str">
        <f t="shared" si="16"/>
        <v>2MIT</v>
      </c>
      <c r="E126" s="62" t="s">
        <v>26</v>
      </c>
      <c r="F126" s="62" t="s">
        <v>10</v>
      </c>
      <c r="G126" s="62" t="s">
        <v>291</v>
      </c>
      <c r="H126" s="8" t="str">
        <f>VLOOKUP(G126,[1]Hoja1!$A:$O,6,0)</f>
        <v>EDUCACION ARTISTICA (PLASTICA)</v>
      </c>
      <c r="I126" s="4"/>
      <c r="J126" s="4"/>
      <c r="K126" s="80" t="str">
        <f t="shared" si="24"/>
        <v>MI</v>
      </c>
      <c r="L126" s="4"/>
      <c r="M126" s="86" t="str">
        <f>VLOOKUP(G126,[1]Hoja1!$A:$O,15,0)</f>
        <v>CHAVVET, MATIAS</v>
      </c>
      <c r="N126" s="2" t="str">
        <f t="shared" si="17"/>
        <v>1°4°1ARTMI</v>
      </c>
      <c r="O126" s="2"/>
      <c r="P126" s="2" t="str">
        <f>VLOOKUP(G126,[1]Hoja1!$A:$P,16,0)</f>
        <v xml:space="preserve"> </v>
      </c>
      <c r="Q126" s="2"/>
      <c r="S126">
        <f>VLOOKUP(G126,[1]Hoja1!$A:$O,5,0)</f>
        <v>1493339</v>
      </c>
      <c r="U126" s="45" t="s">
        <v>2751</v>
      </c>
      <c r="V126" s="46">
        <f t="shared" si="18"/>
        <v>1493339</v>
      </c>
      <c r="W126" s="47" t="s">
        <v>1519</v>
      </c>
      <c r="X126" s="46" t="str">
        <f t="shared" si="19"/>
        <v>2</v>
      </c>
      <c r="Y126" s="47" t="s">
        <v>1518</v>
      </c>
      <c r="Z126" s="46" t="str">
        <f t="shared" si="20"/>
        <v>T</v>
      </c>
      <c r="AA126" s="47" t="s">
        <v>2752</v>
      </c>
      <c r="AB126" s="46" t="str">
        <f t="shared" si="21"/>
        <v>MIERCOLES</v>
      </c>
      <c r="AC126" s="47" t="s">
        <v>2753</v>
      </c>
      <c r="AD126">
        <f t="shared" si="22"/>
        <v>0</v>
      </c>
      <c r="AE126" s="47" t="s">
        <v>2754</v>
      </c>
      <c r="AH126" t="str">
        <f t="shared" si="23"/>
        <v>INSERT INTO horario_curso_materia (horario_curso_materia.FK_CUR_mat,horario_curso_materia.FK_HOR,horario_curso_materia.DIA,horario_curso_materia.tipo_turno) VALUES (  (SELECT curso_materia.ID_CUR_MAT FROM curso_materia WHERE curso_materia.CUPOF='1493339' ) ,
    (SELECT horario.ID_HOR FROM horario WHERE horario.modulo='2 ' and horario.turno='T ' ),'MIERCOLES ' , '0 ' );</v>
      </c>
    </row>
    <row r="127" spans="1:34" ht="18.75" hidden="1" customHeight="1" x14ac:dyDescent="0.3">
      <c r="A127" s="1" t="str">
        <f t="shared" si="14"/>
        <v>1°4°</v>
      </c>
      <c r="B127" s="54" t="str">
        <f t="shared" si="15"/>
        <v>1°4°2VITARDE0</v>
      </c>
      <c r="C127" s="62">
        <f>VLOOKUP(G127,[1]Hoja1!$A:$O,3,0)</f>
        <v>0</v>
      </c>
      <c r="D127" s="2" t="str">
        <f t="shared" si="16"/>
        <v>2VIT</v>
      </c>
      <c r="E127" s="62" t="s">
        <v>59</v>
      </c>
      <c r="F127" s="62" t="s">
        <v>10</v>
      </c>
      <c r="G127" s="62" t="s">
        <v>292</v>
      </c>
      <c r="H127" s="8" t="str">
        <f>VLOOKUP(G127,[1]Hoja1!$A:$O,6,0)</f>
        <v>INGLÉS</v>
      </c>
      <c r="I127" s="4"/>
      <c r="J127" s="4"/>
      <c r="K127" s="80" t="str">
        <f t="shared" si="24"/>
        <v>VI</v>
      </c>
      <c r="L127" s="4"/>
      <c r="M127" s="86" t="str">
        <f>VLOOKUP(G127,[1]Hoja1!$A:$O,15,0)</f>
        <v xml:space="preserve">LEGUIZAMO ANA   </v>
      </c>
      <c r="N127" s="2" t="str">
        <f t="shared" si="17"/>
        <v>1°4°1INGVI</v>
      </c>
      <c r="O127" s="2"/>
      <c r="P127" s="2" t="str">
        <f>VLOOKUP(G127,[1]Hoja1!$A:$P,16,0)</f>
        <v xml:space="preserve"> </v>
      </c>
      <c r="Q127" s="2"/>
      <c r="S127">
        <f>VLOOKUP(G127,[1]Hoja1!$A:$O,5,0)</f>
        <v>149335</v>
      </c>
      <c r="U127" s="45" t="s">
        <v>2751</v>
      </c>
      <c r="V127" s="46">
        <f t="shared" si="18"/>
        <v>149335</v>
      </c>
      <c r="W127" s="47" t="s">
        <v>1519</v>
      </c>
      <c r="X127" s="46" t="str">
        <f t="shared" si="19"/>
        <v>2</v>
      </c>
      <c r="Y127" s="47" t="s">
        <v>1518</v>
      </c>
      <c r="Z127" s="46" t="str">
        <f t="shared" si="20"/>
        <v>T</v>
      </c>
      <c r="AA127" s="47" t="s">
        <v>2752</v>
      </c>
      <c r="AB127" s="46" t="str">
        <f t="shared" si="21"/>
        <v>VIERNES</v>
      </c>
      <c r="AC127" s="47" t="s">
        <v>2753</v>
      </c>
      <c r="AD127">
        <f t="shared" si="22"/>
        <v>0</v>
      </c>
      <c r="AE127" s="47" t="s">
        <v>2754</v>
      </c>
      <c r="AH127" t="str">
        <f t="shared" si="23"/>
        <v>INSERT INTO horario_curso_materia (horario_curso_materia.FK_CUR_mat,horario_curso_materia.FK_HOR,horario_curso_materia.DIA,horario_curso_materia.tipo_turno) VALUES (  (SELECT curso_materia.ID_CUR_MAT FROM curso_materia WHERE curso_materia.CUPOF='149335' ) ,
    (SELECT horario.ID_HOR FROM horario WHERE horario.modulo='2 ' and horario.turno='T ' ),'VIERNES ' , '0 ' );</v>
      </c>
    </row>
    <row r="128" spans="1:34" ht="15" hidden="1" customHeight="1" x14ac:dyDescent="0.3">
      <c r="A128" s="1" t="str">
        <f t="shared" si="14"/>
        <v>1°4°</v>
      </c>
      <c r="B128" s="54" t="str">
        <f t="shared" si="15"/>
        <v>1°4°1MIMAÑANA141</v>
      </c>
      <c r="C128" s="62">
        <f>VLOOKUP(G128,[1]Hoja1!$A:$O,3,0)</f>
        <v>141</v>
      </c>
      <c r="D128" s="2" t="str">
        <f t="shared" si="16"/>
        <v>1MIMAULA 4</v>
      </c>
      <c r="E128" s="62" t="s">
        <v>24</v>
      </c>
      <c r="F128" s="62" t="s">
        <v>27</v>
      </c>
      <c r="G128" s="62" t="s">
        <v>54</v>
      </c>
      <c r="H128" s="8" t="str">
        <f>VLOOKUP(G128,[1]Hoja1!$A:$O,6,0)</f>
        <v>LENGUAJES TECNOLOGICOS</v>
      </c>
      <c r="I128" s="4" t="s">
        <v>1485</v>
      </c>
      <c r="J128" s="4">
        <v>7798026220290</v>
      </c>
      <c r="K128" s="80" t="str">
        <f t="shared" si="24"/>
        <v>MI</v>
      </c>
      <c r="L128" s="4" t="s">
        <v>512</v>
      </c>
      <c r="M128" s="86" t="str">
        <f>VLOOKUP(G128,[1]Hoja1!$A:$O,15,0)</f>
        <v xml:space="preserve">VERA LORENA </v>
      </c>
      <c r="N128" s="2" t="str">
        <f t="shared" si="17"/>
        <v>1°4°1411TLTMI</v>
      </c>
      <c r="O128" s="2"/>
      <c r="P128" s="2" t="str">
        <f>VLOOKUP(G128,[1]Hoja1!$A:$P,16,0)</f>
        <v xml:space="preserve"> </v>
      </c>
      <c r="Q128" s="2"/>
      <c r="S128">
        <f>VLOOKUP(G128,[1]Hoja1!$A:$O,5,0)</f>
        <v>1493350</v>
      </c>
      <c r="U128" s="45" t="s">
        <v>2751</v>
      </c>
      <c r="V128" s="46">
        <f t="shared" si="18"/>
        <v>1493350</v>
      </c>
      <c r="W128" s="47" t="s">
        <v>1519</v>
      </c>
      <c r="X128" s="46" t="str">
        <f t="shared" si="19"/>
        <v>1</v>
      </c>
      <c r="Y128" s="47" t="s">
        <v>1518</v>
      </c>
      <c r="Z128" s="46" t="str">
        <f t="shared" si="20"/>
        <v>M</v>
      </c>
      <c r="AA128" s="47" t="s">
        <v>2752</v>
      </c>
      <c r="AB128" s="46" t="str">
        <f t="shared" si="21"/>
        <v>MIERCOLES</v>
      </c>
      <c r="AC128" s="47" t="s">
        <v>2753</v>
      </c>
      <c r="AD128" t="str">
        <f t="shared" si="22"/>
        <v>CONTRATURNO</v>
      </c>
      <c r="AE128" s="47" t="s">
        <v>2754</v>
      </c>
      <c r="AH128" t="str">
        <f t="shared" si="23"/>
        <v>INSERT INTO horario_curso_materia (horario_curso_materia.FK_CUR_mat,horario_curso_materia.FK_HOR,horario_curso_materia.DIA,horario_curso_materia.tipo_turno) VALUES (  (SELECT curso_materia.ID_CUR_MAT FROM curso_materia WHERE curso_materia.CUPOF='1493350' ) ,
    (SELECT horario.ID_HOR FROM horario WHERE horario.modulo='1 ' and horario.turno='M ' ),'MIERCOLES ' , 'CONTRATURNO ' );</v>
      </c>
    </row>
    <row r="129" spans="1:34" ht="15" hidden="1" customHeight="1" x14ac:dyDescent="0.3">
      <c r="A129" s="1" t="str">
        <f t="shared" si="14"/>
        <v>1°4°</v>
      </c>
      <c r="B129" s="54" t="str">
        <f t="shared" si="15"/>
        <v>1°4°3juMAÑANA142</v>
      </c>
      <c r="C129" s="62">
        <f>VLOOKUP(G129,[1]Hoja1!$A:$O,3,0)</f>
        <v>142</v>
      </c>
      <c r="D129" s="2" t="str">
        <f t="shared" si="16"/>
        <v>3juMaula 1</v>
      </c>
      <c r="E129" s="62" t="s">
        <v>1350</v>
      </c>
      <c r="F129" s="62" t="s">
        <v>27</v>
      </c>
      <c r="G129" s="62" t="s">
        <v>56</v>
      </c>
      <c r="H129" s="8" t="str">
        <f>VLOOKUP(G129,[1]Hoja1!$A:$O,6,0)</f>
        <v>SISTEMAS TECNOLOGICOS</v>
      </c>
      <c r="I129" s="4" t="s">
        <v>1489</v>
      </c>
      <c r="J129" s="4"/>
      <c r="K129" s="80" t="str">
        <f t="shared" si="24"/>
        <v>ju</v>
      </c>
      <c r="L129" s="4" t="s">
        <v>512</v>
      </c>
      <c r="M129" s="86" t="str">
        <f>VLOOKUP(G129,[1]Hoja1!$A:$O,15,0)</f>
        <v xml:space="preserve">ESCALADA ARNALDO     </v>
      </c>
      <c r="N129" s="2" t="str">
        <f t="shared" si="17"/>
        <v>1°4°1421TSTju</v>
      </c>
      <c r="O129" s="2"/>
      <c r="P129" s="2" t="str">
        <f>VLOOKUP(G129,[1]Hoja1!$A:$P,16,0)</f>
        <v xml:space="preserve"> </v>
      </c>
      <c r="Q129" s="2"/>
      <c r="S129">
        <f>VLOOKUP(G129,[1]Hoja1!$A:$O,5,0)</f>
        <v>2683137</v>
      </c>
      <c r="U129" s="45" t="s">
        <v>2751</v>
      </c>
      <c r="V129" s="46">
        <f t="shared" si="18"/>
        <v>2683137</v>
      </c>
      <c r="W129" s="47" t="s">
        <v>1519</v>
      </c>
      <c r="X129" s="46" t="str">
        <f t="shared" si="19"/>
        <v>3</v>
      </c>
      <c r="Y129" s="47" t="s">
        <v>1518</v>
      </c>
      <c r="Z129" s="46" t="str">
        <f t="shared" si="20"/>
        <v>M</v>
      </c>
      <c r="AA129" s="47" t="s">
        <v>2752</v>
      </c>
      <c r="AB129" s="46" t="str">
        <f t="shared" si="21"/>
        <v>JUEVES</v>
      </c>
      <c r="AC129" s="47" t="s">
        <v>2753</v>
      </c>
      <c r="AD129" t="str">
        <f t="shared" si="22"/>
        <v>CONTRATURNO</v>
      </c>
      <c r="AE129" s="47" t="s">
        <v>2754</v>
      </c>
      <c r="AH129" t="str">
        <f t="shared" si="23"/>
        <v>INSERT INTO horario_curso_materia (horario_curso_materia.FK_CUR_mat,horario_curso_materia.FK_HOR,horario_curso_materia.DIA,horario_curso_materia.tipo_turno) VALUES (  (SELECT curso_materia.ID_CUR_MAT FROM curso_materia WHERE curso_materia.CUPOF='2683137' ) ,
    (SELECT horario.ID_HOR FROM horario WHERE horario.modulo='3 ' and horario.turno='M ' ),'JUEVES ' , 'CONTRATURNO ' );</v>
      </c>
    </row>
    <row r="130" spans="1:34" ht="15" hidden="1" customHeight="1" x14ac:dyDescent="0.3">
      <c r="A130" s="1" t="str">
        <f t="shared" si="14"/>
        <v>1°4°</v>
      </c>
      <c r="B130" s="54" t="str">
        <f t="shared" si="15"/>
        <v>1°4°3juTARDE0</v>
      </c>
      <c r="C130" s="62">
        <f>VLOOKUP(G130,[1]Hoja1!$A:$O,3,0)</f>
        <v>0</v>
      </c>
      <c r="D130" s="2" t="str">
        <f t="shared" si="16"/>
        <v>3juT</v>
      </c>
      <c r="E130" s="62" t="s">
        <v>1350</v>
      </c>
      <c r="F130" s="62" t="s">
        <v>10</v>
      </c>
      <c r="G130" s="62" t="s">
        <v>289</v>
      </c>
      <c r="H130" s="8" t="str">
        <f>VLOOKUP(G130,[1]Hoja1!$A:$O,6,0)</f>
        <v>CIENCIAS SOCIALES</v>
      </c>
      <c r="I130" s="4"/>
      <c r="J130" s="4"/>
      <c r="K130" s="80" t="str">
        <f t="shared" si="24"/>
        <v>ju</v>
      </c>
      <c r="L130" s="4"/>
      <c r="M130" s="86" t="str">
        <f>VLOOKUP(G130,[1]Hoja1!$A:$O,15,0)</f>
        <v xml:space="preserve">GERSTER MYRIAN                 </v>
      </c>
      <c r="N130" s="2" t="str">
        <f t="shared" si="17"/>
        <v>1°4°1SOCju</v>
      </c>
      <c r="O130" s="2"/>
      <c r="P130" s="2" t="str">
        <f>VLOOKUP(G130,[1]Hoja1!$A:$P,16,0)</f>
        <v xml:space="preserve"> </v>
      </c>
      <c r="Q130" s="2"/>
      <c r="S130">
        <f>VLOOKUP(G130,[1]Hoja1!$A:$O,5,0)</f>
        <v>1493343</v>
      </c>
      <c r="U130" s="45" t="s">
        <v>2751</v>
      </c>
      <c r="V130" s="46">
        <f t="shared" si="18"/>
        <v>1493343</v>
      </c>
      <c r="W130" s="47" t="s">
        <v>1519</v>
      </c>
      <c r="X130" s="46" t="str">
        <f t="shared" si="19"/>
        <v>3</v>
      </c>
      <c r="Y130" s="47" t="s">
        <v>1518</v>
      </c>
      <c r="Z130" s="46" t="str">
        <f t="shared" si="20"/>
        <v>T</v>
      </c>
      <c r="AA130" s="47" t="s">
        <v>2752</v>
      </c>
      <c r="AB130" s="46" t="str">
        <f t="shared" si="21"/>
        <v>JUEVES</v>
      </c>
      <c r="AC130" s="47" t="s">
        <v>2753</v>
      </c>
      <c r="AD130">
        <f t="shared" si="22"/>
        <v>0</v>
      </c>
      <c r="AE130" s="47" t="s">
        <v>2754</v>
      </c>
      <c r="AH130" t="str">
        <f t="shared" si="23"/>
        <v>INSERT INTO horario_curso_materia (horario_curso_materia.FK_CUR_mat,horario_curso_materia.FK_HOR,horario_curso_materia.DIA,horario_curso_materia.tipo_turno) VALUES (  (SELECT curso_materia.ID_CUR_MAT FROM curso_materia WHERE curso_materia.CUPOF='1493343' ) ,
    (SELECT horario.ID_HOR FROM horario WHERE horario.modulo='3 ' and horario.turno='T ' ),'JUEVES ' , '0 ' );</v>
      </c>
    </row>
    <row r="131" spans="1:34" ht="15" hidden="1" customHeight="1" x14ac:dyDescent="0.3">
      <c r="A131" s="1" t="str">
        <f t="shared" si="14"/>
        <v>1°4°</v>
      </c>
      <c r="B131" s="54" t="str">
        <f t="shared" si="15"/>
        <v>1°4°3LUTARDE0</v>
      </c>
      <c r="C131" s="62">
        <f>VLOOKUP(G131,[1]Hoja1!$A:$O,3,0)</f>
        <v>0</v>
      </c>
      <c r="D131" s="2" t="str">
        <f t="shared" si="16"/>
        <v>3LUT</v>
      </c>
      <c r="E131" s="62" t="s">
        <v>29</v>
      </c>
      <c r="F131" s="62" t="s">
        <v>10</v>
      </c>
      <c r="G131" s="62" t="s">
        <v>288</v>
      </c>
      <c r="H131" s="8" t="str">
        <f>VLOOKUP(G131,[1]Hoja1!$A:$O,6,0)</f>
        <v>CIENCIAS NATURALES</v>
      </c>
      <c r="I131" s="4"/>
      <c r="J131" s="4"/>
      <c r="K131" s="80" t="str">
        <f t="shared" si="24"/>
        <v>LU</v>
      </c>
      <c r="L131" s="4"/>
      <c r="M131" s="86" t="str">
        <f>VLOOKUP(G131,[1]Hoja1!$A:$O,15,0)</f>
        <v xml:space="preserve">DA CHILE IGLESIAS V                 </v>
      </c>
      <c r="N131" s="2" t="str">
        <f t="shared" si="17"/>
        <v>1°4°1NATLU</v>
      </c>
      <c r="O131" s="2"/>
      <c r="P131" s="2" t="str">
        <f>VLOOKUP(G131,[1]Hoja1!$A:$P,16,0)</f>
        <v xml:space="preserve"> </v>
      </c>
      <c r="Q131" s="2"/>
      <c r="S131">
        <f>VLOOKUP(G131,[1]Hoja1!$A:$O,5,0)</f>
        <v>1493342</v>
      </c>
      <c r="U131" s="45" t="s">
        <v>2751</v>
      </c>
      <c r="V131" s="46">
        <f t="shared" si="18"/>
        <v>1493342</v>
      </c>
      <c r="W131" s="47" t="s">
        <v>1519</v>
      </c>
      <c r="X131" s="46" t="str">
        <f t="shared" si="19"/>
        <v>3</v>
      </c>
      <c r="Y131" s="47" t="s">
        <v>1518</v>
      </c>
      <c r="Z131" s="46" t="str">
        <f t="shared" si="20"/>
        <v>T</v>
      </c>
      <c r="AA131" s="47" t="s">
        <v>2752</v>
      </c>
      <c r="AB131" s="46" t="str">
        <f t="shared" si="21"/>
        <v>LUNES</v>
      </c>
      <c r="AC131" s="47" t="s">
        <v>2753</v>
      </c>
      <c r="AD131">
        <f t="shared" si="22"/>
        <v>0</v>
      </c>
      <c r="AE131" s="47" t="s">
        <v>2754</v>
      </c>
      <c r="AH131" t="str">
        <f t="shared" si="23"/>
        <v>INSERT INTO horario_curso_materia (horario_curso_materia.FK_CUR_mat,horario_curso_materia.FK_HOR,horario_curso_materia.DIA,horario_curso_materia.tipo_turno) VALUES (  (SELECT curso_materia.ID_CUR_MAT FROM curso_materia WHERE curso_materia.CUPOF='1493342' ) ,
    (SELECT horario.ID_HOR FROM horario WHERE horario.modulo='3 ' and horario.turno='T ' ),'LUNES ' , '0 ' );</v>
      </c>
    </row>
    <row r="132" spans="1:34" ht="15" hidden="1" customHeight="1" x14ac:dyDescent="0.3">
      <c r="A132" s="1" t="str">
        <f t="shared" si="14"/>
        <v>1°4°</v>
      </c>
      <c r="B132" s="54" t="str">
        <f t="shared" si="15"/>
        <v>1°4°3MAMAÑANA141</v>
      </c>
      <c r="C132" s="62">
        <f>VLOOKUP(G132,[1]Hoja1!$A:$O,3,0)</f>
        <v>141</v>
      </c>
      <c r="D132" s="2" t="str">
        <f t="shared" si="16"/>
        <v>3MAMCARPINTERIA</v>
      </c>
      <c r="E132" s="62" t="s">
        <v>13</v>
      </c>
      <c r="F132" s="62" t="s">
        <v>27</v>
      </c>
      <c r="G132" s="62" t="s">
        <v>58</v>
      </c>
      <c r="H132" s="8" t="str">
        <f>VLOOKUP(G132,[1]Hoja1!$A:$O,6,0)</f>
        <v>SISTEMAS TECNOLOGICOS</v>
      </c>
      <c r="I132" s="4" t="s">
        <v>23</v>
      </c>
      <c r="J132" s="4" t="s">
        <v>1373</v>
      </c>
      <c r="K132" s="80" t="str">
        <f t="shared" si="24"/>
        <v>MA</v>
      </c>
      <c r="L132" s="4" t="s">
        <v>512</v>
      </c>
      <c r="M132" s="86" t="str">
        <f>VLOOKUP(G132,[1]Hoja1!$A:$O,15,0)</f>
        <v>ETCHEVERRY MARTIN</v>
      </c>
      <c r="N132" s="2" t="str">
        <f t="shared" si="17"/>
        <v>1°4°1411TSTMA</v>
      </c>
      <c r="O132" s="2" t="s">
        <v>1504</v>
      </c>
      <c r="P132" s="2" t="str">
        <f>VLOOKUP(G132,[1]Hoja1!$A:$P,16,0)</f>
        <v xml:space="preserve"> </v>
      </c>
      <c r="Q132" s="2"/>
      <c r="S132">
        <f>VLOOKUP(G132,[1]Hoja1!$A:$O,5,0)</f>
        <v>1493353</v>
      </c>
      <c r="U132" s="45" t="s">
        <v>2751</v>
      </c>
      <c r="V132" s="46">
        <f t="shared" si="18"/>
        <v>1493353</v>
      </c>
      <c r="W132" s="47" t="s">
        <v>1519</v>
      </c>
      <c r="X132" s="46" t="str">
        <f t="shared" si="19"/>
        <v>3</v>
      </c>
      <c r="Y132" s="47" t="s">
        <v>1518</v>
      </c>
      <c r="Z132" s="46" t="str">
        <f t="shared" si="20"/>
        <v>M</v>
      </c>
      <c r="AA132" s="47" t="s">
        <v>2752</v>
      </c>
      <c r="AB132" s="46" t="str">
        <f t="shared" si="21"/>
        <v>MARTES</v>
      </c>
      <c r="AC132" s="47" t="s">
        <v>2753</v>
      </c>
      <c r="AD132" t="str">
        <f t="shared" si="22"/>
        <v>CONTRATURNO</v>
      </c>
      <c r="AE132" s="47" t="s">
        <v>2754</v>
      </c>
      <c r="AH132" t="str">
        <f t="shared" si="23"/>
        <v>INSERT INTO horario_curso_materia (horario_curso_materia.FK_CUR_mat,horario_curso_materia.FK_HOR,horario_curso_materia.DIA,horario_curso_materia.tipo_turno) VALUES (  (SELECT curso_materia.ID_CUR_MAT FROM curso_materia WHERE curso_materia.CUPOF='1493353' ) ,
    (SELECT horario.ID_HOR FROM horario WHERE horario.modulo='3 ' and horario.turno='M ' ),'MARTES ' , 'CONTRATURNO ' );</v>
      </c>
    </row>
    <row r="133" spans="1:34" ht="15" hidden="1" customHeight="1" x14ac:dyDescent="0.3">
      <c r="A133" s="1" t="str">
        <f t="shared" si="14"/>
        <v>1°4°</v>
      </c>
      <c r="B133" s="54" t="str">
        <f t="shared" si="15"/>
        <v>1°4°3MATARDE0</v>
      </c>
      <c r="C133" s="62">
        <f>VLOOKUP(G133,[1]Hoja1!$A:$O,3,0)</f>
        <v>0</v>
      </c>
      <c r="D133" s="2" t="str">
        <f t="shared" si="16"/>
        <v>3MAT</v>
      </c>
      <c r="E133" s="62" t="s">
        <v>13</v>
      </c>
      <c r="F133" s="62" t="s">
        <v>10</v>
      </c>
      <c r="G133" s="62" t="s">
        <v>290</v>
      </c>
      <c r="H133" s="8" t="str">
        <f>VLOOKUP(G133,[1]Hoja1!$A:$O,6,0)</f>
        <v>MATEMATICA</v>
      </c>
      <c r="I133" s="4"/>
      <c r="J133" s="4"/>
      <c r="K133" s="80" t="str">
        <f t="shared" si="24"/>
        <v>MA</v>
      </c>
      <c r="L133" s="4"/>
      <c r="M133" s="86" t="str">
        <f>VLOOKUP(G133,[1]Hoja1!$A:$O,15,0)</f>
        <v xml:space="preserve">OVEJERO, JAVIER               </v>
      </c>
      <c r="N133" s="2" t="str">
        <f t="shared" si="17"/>
        <v>1°4°1MATMA</v>
      </c>
      <c r="O133" s="2"/>
      <c r="P133" s="2" t="str">
        <f>VLOOKUP(G133,[1]Hoja1!$A:$P,16,0)</f>
        <v xml:space="preserve"> </v>
      </c>
      <c r="Q133" s="2"/>
      <c r="S133">
        <f>VLOOKUP(G133,[1]Hoja1!$A:$O,5,0)</f>
        <v>1493338</v>
      </c>
      <c r="U133" s="45" t="s">
        <v>2751</v>
      </c>
      <c r="V133" s="46">
        <f t="shared" si="18"/>
        <v>1493338</v>
      </c>
      <c r="W133" s="47" t="s">
        <v>1519</v>
      </c>
      <c r="X133" s="46" t="str">
        <f t="shared" si="19"/>
        <v>3</v>
      </c>
      <c r="Y133" s="47" t="s">
        <v>1518</v>
      </c>
      <c r="Z133" s="46" t="str">
        <f t="shared" si="20"/>
        <v>T</v>
      </c>
      <c r="AA133" s="47" t="s">
        <v>2752</v>
      </c>
      <c r="AB133" s="46" t="str">
        <f t="shared" si="21"/>
        <v>MARTES</v>
      </c>
      <c r="AC133" s="47" t="s">
        <v>2753</v>
      </c>
      <c r="AD133">
        <f t="shared" si="22"/>
        <v>0</v>
      </c>
      <c r="AE133" s="47" t="s">
        <v>2754</v>
      </c>
      <c r="AH133" t="str">
        <f t="shared" si="23"/>
        <v>INSERT INTO horario_curso_materia (horario_curso_materia.FK_CUR_mat,horario_curso_materia.FK_HOR,horario_curso_materia.DIA,horario_curso_materia.tipo_turno) VALUES (  (SELECT curso_materia.ID_CUR_MAT FROM curso_materia WHERE curso_materia.CUPOF='1493338' ) ,
    (SELECT horario.ID_HOR FROM horario WHERE horario.modulo='3 ' and horario.turno='T ' ),'MARTES ' , '0 ' );</v>
      </c>
    </row>
    <row r="134" spans="1:34" ht="15" hidden="1" customHeight="1" x14ac:dyDescent="0.3">
      <c r="A134" s="1" t="str">
        <f t="shared" ref="A134:A197" si="25">LEFT(B134,4)</f>
        <v>1°4°</v>
      </c>
      <c r="B134" s="54" t="str">
        <f t="shared" ref="B134:B197" si="26">CONCATENATE(LEFT(G134,4),E134,F134,C134)</f>
        <v>1°4°3MIMAÑANA142</v>
      </c>
      <c r="C134" s="62">
        <f>VLOOKUP(G134,[1]Hoja1!$A:$O,3,0)</f>
        <v>142</v>
      </c>
      <c r="D134" s="2" t="str">
        <f t="shared" ref="D134:D197" si="27">CONCATENATE(E134,LEFT(F134,1),I134)</f>
        <v>3MIMCARPINTERIA</v>
      </c>
      <c r="E134" s="62" t="s">
        <v>50</v>
      </c>
      <c r="F134" s="62" t="s">
        <v>27</v>
      </c>
      <c r="G134" s="62" t="s">
        <v>51</v>
      </c>
      <c r="H134" s="8" t="str">
        <f>VLOOKUP(G134,[1]Hoja1!$A:$O,6,0)</f>
        <v>PROCEDIMIENTOS TECNICOS</v>
      </c>
      <c r="I134" s="4" t="s">
        <v>23</v>
      </c>
      <c r="J134" s="4"/>
      <c r="K134" s="80" t="str">
        <f t="shared" si="24"/>
        <v>MI</v>
      </c>
      <c r="L134" s="4" t="s">
        <v>512</v>
      </c>
      <c r="M134" s="86" t="str">
        <f>VLOOKUP(G134,[1]Hoja1!$A:$O,15,0)</f>
        <v xml:space="preserve">ESPINDOLA SERGIO                          </v>
      </c>
      <c r="N134" s="2" t="str">
        <f t="shared" ref="N134:N197" si="28">CONCATENATE(G134,LEFT(K134,2))</f>
        <v>1°4°1421TPTMI</v>
      </c>
      <c r="O134" s="2"/>
      <c r="P134" s="2" t="str">
        <f>VLOOKUP(G134,[1]Hoja1!$A:$P,16,0)</f>
        <v xml:space="preserve"> </v>
      </c>
      <c r="Q134" s="2"/>
      <c r="S134">
        <f>VLOOKUP(G134,[1]Hoja1!$A:$O,5,0)</f>
        <v>2683138</v>
      </c>
      <c r="U134" s="45" t="s">
        <v>2751</v>
      </c>
      <c r="V134" s="46">
        <f t="shared" ref="V134:V197" si="29">S134</f>
        <v>2683138</v>
      </c>
      <c r="W134" s="47" t="s">
        <v>1519</v>
      </c>
      <c r="X134" s="46" t="str">
        <f t="shared" ref="X134:X197" si="30">IF(LEFT(E134,1)="p","prehora",LEFT(E134,1))</f>
        <v>3</v>
      </c>
      <c r="Y134" s="47" t="s">
        <v>1518</v>
      </c>
      <c r="Z134" s="46" t="str">
        <f t="shared" ref="Z134:Z197" si="31">LEFT(F134,1)</f>
        <v>M</v>
      </c>
      <c r="AA134" s="47" t="s">
        <v>2752</v>
      </c>
      <c r="AB134" s="46" t="str">
        <f t="shared" ref="AB134:AB197" si="32">IF(IF(LEFT(E134,1)="p",MID(E134,8,2),MID(E134,2,2))="lu","LUNES",IF(IF(LEFT(E134,1)="p",MID(E134,8,2),MID(E134,2,2))="ma","MARTES",IF(IF(LEFT(E134,1)="p",MID(E134,8,2),MID(E134,2,2))="MI","MIERCOLES",IF(IF(LEFT(E134,1)="p",MID(E134,8,2),MID(E134,2,2))="JU","JUEVES",IF(IF(LEFT(E134,1)="p",MID(E134,8,2),MID(E134,2,2))="vi","VIERNES","")))))</f>
        <v>MIERCOLES</v>
      </c>
      <c r="AC134" s="47" t="s">
        <v>2753</v>
      </c>
      <c r="AD134" t="str">
        <f t="shared" ref="AD134:AD197" si="33">L134</f>
        <v>CONTRATURNO</v>
      </c>
      <c r="AE134" s="47" t="s">
        <v>2754</v>
      </c>
      <c r="AH134" t="str">
        <f t="shared" ref="AH134:AH197" si="34">U134&amp;V134&amp;W134&amp;X134&amp;Y134&amp;Z134&amp;AA134&amp;AB134&amp;AC134&amp;AD134&amp;AE134</f>
        <v>INSERT INTO horario_curso_materia (horario_curso_materia.FK_CUR_mat,horario_curso_materia.FK_HOR,horario_curso_materia.DIA,horario_curso_materia.tipo_turno) VALUES (  (SELECT curso_materia.ID_CUR_MAT FROM curso_materia WHERE curso_materia.CUPOF='2683138' ) ,
    (SELECT horario.ID_HOR FROM horario WHERE horario.modulo='3 ' and horario.turno='M ' ),'MIERCOLES ' , 'CONTRATURNO ' );</v>
      </c>
    </row>
    <row r="135" spans="1:34" ht="15" hidden="1" customHeight="1" x14ac:dyDescent="0.3">
      <c r="A135" s="1" t="str">
        <f t="shared" si="25"/>
        <v>1°4°</v>
      </c>
      <c r="B135" s="54" t="str">
        <f t="shared" si="26"/>
        <v>1°4°3MITARDE0</v>
      </c>
      <c r="C135" s="62">
        <f>VLOOKUP(G135,[1]Hoja1!$A:$O,3,0)</f>
        <v>0</v>
      </c>
      <c r="D135" s="2" t="str">
        <f t="shared" si="27"/>
        <v>3MIT</v>
      </c>
      <c r="E135" s="62" t="s">
        <v>50</v>
      </c>
      <c r="F135" s="62" t="s">
        <v>10</v>
      </c>
      <c r="G135" s="62" t="s">
        <v>290</v>
      </c>
      <c r="H135" s="8" t="str">
        <f>VLOOKUP(G135,[1]Hoja1!$A:$O,6,0)</f>
        <v>MATEMATICA</v>
      </c>
      <c r="I135" s="4"/>
      <c r="J135" s="4"/>
      <c r="K135" s="80" t="str">
        <f t="shared" si="24"/>
        <v>MI</v>
      </c>
      <c r="L135" s="4"/>
      <c r="M135" s="86" t="str">
        <f>VLOOKUP(G135,[1]Hoja1!$A:$O,15,0)</f>
        <v xml:space="preserve">OVEJERO, JAVIER               </v>
      </c>
      <c r="N135" s="2" t="str">
        <f t="shared" si="28"/>
        <v>1°4°1MATMI</v>
      </c>
      <c r="O135" s="2"/>
      <c r="P135" s="2" t="str">
        <f>VLOOKUP(G135,[1]Hoja1!$A:$P,16,0)</f>
        <v xml:space="preserve"> </v>
      </c>
      <c r="Q135" s="2"/>
      <c r="S135">
        <f>VLOOKUP(G135,[1]Hoja1!$A:$O,5,0)</f>
        <v>1493338</v>
      </c>
      <c r="U135" s="45" t="s">
        <v>2751</v>
      </c>
      <c r="V135" s="46">
        <f t="shared" si="29"/>
        <v>1493338</v>
      </c>
      <c r="W135" s="47" t="s">
        <v>1519</v>
      </c>
      <c r="X135" s="46" t="str">
        <f t="shared" si="30"/>
        <v>3</v>
      </c>
      <c r="Y135" s="47" t="s">
        <v>1518</v>
      </c>
      <c r="Z135" s="46" t="str">
        <f t="shared" si="31"/>
        <v>T</v>
      </c>
      <c r="AA135" s="47" t="s">
        <v>2752</v>
      </c>
      <c r="AB135" s="46" t="str">
        <f t="shared" si="32"/>
        <v>MIERCOLES</v>
      </c>
      <c r="AC135" s="47" t="s">
        <v>2753</v>
      </c>
      <c r="AD135">
        <f t="shared" si="33"/>
        <v>0</v>
      </c>
      <c r="AE135" s="47" t="s">
        <v>2754</v>
      </c>
      <c r="AH135" t="str">
        <f t="shared" si="34"/>
        <v>INSERT INTO horario_curso_materia (horario_curso_materia.FK_CUR_mat,horario_curso_materia.FK_HOR,horario_curso_materia.DIA,horario_curso_materia.tipo_turno) VALUES (  (SELECT curso_materia.ID_CUR_MAT FROM curso_materia WHERE curso_materia.CUPOF='1493338' ) ,
    (SELECT horario.ID_HOR FROM horario WHERE horario.modulo='3 ' and horario.turno='T ' ),'MIERCOLES ' , '0 ' );</v>
      </c>
    </row>
    <row r="136" spans="1:34" ht="15.75" hidden="1" customHeight="1" x14ac:dyDescent="0.3">
      <c r="A136" s="1" t="str">
        <f t="shared" si="25"/>
        <v>1°4°</v>
      </c>
      <c r="B136" s="54" t="str">
        <f t="shared" si="26"/>
        <v>1°4°1maMAÑANA0</v>
      </c>
      <c r="C136" s="62">
        <f>VLOOKUP(G136,[1]Hoja1!$A:$O,3,0)</f>
        <v>0</v>
      </c>
      <c r="D136" s="2" t="str">
        <f t="shared" si="27"/>
        <v>1maMPATIO2</v>
      </c>
      <c r="E136" s="62" t="s">
        <v>88</v>
      </c>
      <c r="F136" s="62" t="s">
        <v>27</v>
      </c>
      <c r="G136" s="62" t="s">
        <v>294</v>
      </c>
      <c r="H136" s="8" t="str">
        <f>VLOOKUP(G136,[1]Hoja1!$A:$O,6,0)</f>
        <v>EDUCACIÓN FISICA</v>
      </c>
      <c r="I136" s="4" t="s">
        <v>295</v>
      </c>
      <c r="J136" s="4"/>
      <c r="K136" s="80" t="str">
        <f t="shared" si="24"/>
        <v>ma</v>
      </c>
      <c r="L136" s="4" t="s">
        <v>512</v>
      </c>
      <c r="M136" s="86" t="str">
        <f>VLOOKUP(G136,[1]Hoja1!$A:$O,15,0)</f>
        <v xml:space="preserve">DE LA FUENTE F.                         </v>
      </c>
      <c r="N136" s="2" t="str">
        <f t="shared" si="28"/>
        <v>1°4°1EFIma</v>
      </c>
      <c r="O136" s="2"/>
      <c r="P136" s="2" t="str">
        <f>VLOOKUP(G136,[1]Hoja1!$A:$P,16,0)</f>
        <v xml:space="preserve"> </v>
      </c>
      <c r="Q136" s="2"/>
      <c r="S136">
        <f>VLOOKUP(G136,[1]Hoja1!$A:$O,5,0)</f>
        <v>1493340</v>
      </c>
      <c r="U136" s="45" t="s">
        <v>2751</v>
      </c>
      <c r="V136" s="46">
        <f t="shared" si="29"/>
        <v>1493340</v>
      </c>
      <c r="W136" s="47" t="s">
        <v>1519</v>
      </c>
      <c r="X136" s="46" t="str">
        <f t="shared" si="30"/>
        <v>1</v>
      </c>
      <c r="Y136" s="47" t="s">
        <v>1518</v>
      </c>
      <c r="Z136" s="46" t="str">
        <f t="shared" si="31"/>
        <v>M</v>
      </c>
      <c r="AA136" s="47" t="s">
        <v>2752</v>
      </c>
      <c r="AB136" s="46" t="str">
        <f t="shared" si="32"/>
        <v>MARTES</v>
      </c>
      <c r="AC136" s="47" t="s">
        <v>2753</v>
      </c>
      <c r="AD136" t="str">
        <f t="shared" si="33"/>
        <v>CONTRATURNO</v>
      </c>
      <c r="AE136" s="47" t="s">
        <v>2754</v>
      </c>
      <c r="AH136" t="str">
        <f t="shared" si="34"/>
        <v>INSERT INTO horario_curso_materia (horario_curso_materia.FK_CUR_mat,horario_curso_materia.FK_HOR,horario_curso_materia.DIA,horario_curso_materia.tipo_turno) VALUES (  (SELECT curso_materia.ID_CUR_MAT FROM curso_materia WHERE curso_materia.CUPOF='1493340' ) ,
    (SELECT horario.ID_HOR FROM horario WHERE horario.modulo='1 ' and horario.turno='M ' ),'MARTES ' , 'CONTRATURNO ' );</v>
      </c>
    </row>
    <row r="137" spans="1:34" ht="15" hidden="1" customHeight="1" x14ac:dyDescent="0.3">
      <c r="A137" s="1" t="str">
        <f t="shared" si="25"/>
        <v>1°4°</v>
      </c>
      <c r="B137" s="54" t="str">
        <f t="shared" si="26"/>
        <v>1°4°3VITARDE0</v>
      </c>
      <c r="C137" s="62">
        <f>VLOOKUP(G137,[1]Hoja1!$A:$O,3,0)</f>
        <v>0</v>
      </c>
      <c r="D137" s="2" t="str">
        <f t="shared" si="27"/>
        <v>3VIT</v>
      </c>
      <c r="E137" s="62" t="s">
        <v>35</v>
      </c>
      <c r="F137" s="62" t="s">
        <v>10</v>
      </c>
      <c r="G137" s="62" t="s">
        <v>293</v>
      </c>
      <c r="H137" s="8" t="str">
        <f>VLOOKUP(G137,[1]Hoja1!$A:$O,6,0)</f>
        <v>CONSTRUCCION DE LA CIUDADANIA</v>
      </c>
      <c r="I137" s="4"/>
      <c r="J137" s="4"/>
      <c r="K137" s="80" t="str">
        <f t="shared" si="24"/>
        <v>VI</v>
      </c>
      <c r="L137" s="4"/>
      <c r="M137" s="86" t="str">
        <f>VLOOKUP(G137,[1]Hoja1!$A:$O,15,0)</f>
        <v>KUSNIER CUPAIOLO</v>
      </c>
      <c r="N137" s="2" t="str">
        <f t="shared" si="28"/>
        <v>1°4°1CCDVI</v>
      </c>
      <c r="O137" s="2"/>
      <c r="P137" s="2" t="str">
        <f>VLOOKUP(G137,[1]Hoja1!$A:$P,16,0)</f>
        <v xml:space="preserve"> </v>
      </c>
      <c r="Q137" s="2"/>
      <c r="S137">
        <f>VLOOKUP(G137,[1]Hoja1!$A:$O,5,0)</f>
        <v>839179</v>
      </c>
      <c r="U137" s="45" t="s">
        <v>2751</v>
      </c>
      <c r="V137" s="46">
        <f t="shared" si="29"/>
        <v>839179</v>
      </c>
      <c r="W137" s="47" t="s">
        <v>1519</v>
      </c>
      <c r="X137" s="46" t="str">
        <f t="shared" si="30"/>
        <v>3</v>
      </c>
      <c r="Y137" s="47" t="s">
        <v>1518</v>
      </c>
      <c r="Z137" s="46" t="str">
        <f t="shared" si="31"/>
        <v>T</v>
      </c>
      <c r="AA137" s="47" t="s">
        <v>2752</v>
      </c>
      <c r="AB137" s="46" t="str">
        <f t="shared" si="32"/>
        <v>VIERNES</v>
      </c>
      <c r="AC137" s="47" t="s">
        <v>2753</v>
      </c>
      <c r="AD137">
        <f t="shared" si="33"/>
        <v>0</v>
      </c>
      <c r="AE137" s="47" t="s">
        <v>2754</v>
      </c>
      <c r="AH137" t="str">
        <f t="shared" si="34"/>
        <v>INSERT INTO horario_curso_materia (horario_curso_materia.FK_CUR_mat,horario_curso_materia.FK_HOR,horario_curso_materia.DIA,horario_curso_materia.tipo_turno) VALUES (  (SELECT curso_materia.ID_CUR_MAT FROM curso_materia WHERE curso_materia.CUPOF='839179' ) ,
    (SELECT horario.ID_HOR FROM horario WHERE horario.modulo='3 ' and horario.turno='T ' ),'VIERNES ' , '0 ' );</v>
      </c>
    </row>
    <row r="138" spans="1:34" ht="15" hidden="1" customHeight="1" x14ac:dyDescent="0.3">
      <c r="A138" s="1" t="str">
        <f t="shared" si="25"/>
        <v>1°4°</v>
      </c>
      <c r="B138" s="54" t="str">
        <f t="shared" si="26"/>
        <v>1°4°2MIMAÑANA141</v>
      </c>
      <c r="C138" s="62">
        <f>VLOOKUP(G138,[1]Hoja1!$A:$O,3,0)</f>
        <v>141</v>
      </c>
      <c r="D138" s="2" t="str">
        <f t="shared" si="27"/>
        <v>2MIMAULA 4</v>
      </c>
      <c r="E138" s="62" t="s">
        <v>26</v>
      </c>
      <c r="F138" s="62" t="s">
        <v>27</v>
      </c>
      <c r="G138" s="62" t="s">
        <v>54</v>
      </c>
      <c r="H138" s="8" t="str">
        <f>VLOOKUP(G138,[1]Hoja1!$A:$O,6,0)</f>
        <v>LENGUAJES TECNOLOGICOS</v>
      </c>
      <c r="I138" s="4" t="s">
        <v>1485</v>
      </c>
      <c r="J138" s="4"/>
      <c r="K138" s="80" t="str">
        <f t="shared" si="24"/>
        <v>MI</v>
      </c>
      <c r="L138" s="4" t="s">
        <v>512</v>
      </c>
      <c r="M138" s="86" t="str">
        <f>VLOOKUP(G138,[1]Hoja1!$A:$O,15,0)</f>
        <v xml:space="preserve">VERA LORENA </v>
      </c>
      <c r="N138" s="2" t="str">
        <f t="shared" si="28"/>
        <v>1°4°1411TLTMI</v>
      </c>
      <c r="O138" s="2"/>
      <c r="P138" s="2" t="str">
        <f>VLOOKUP(G138,[1]Hoja1!$A:$P,16,0)</f>
        <v xml:space="preserve"> </v>
      </c>
      <c r="Q138" s="2"/>
      <c r="S138">
        <f>VLOOKUP(G138,[1]Hoja1!$A:$O,5,0)</f>
        <v>1493350</v>
      </c>
      <c r="U138" s="45" t="s">
        <v>2751</v>
      </c>
      <c r="V138" s="46">
        <f t="shared" si="29"/>
        <v>1493350</v>
      </c>
      <c r="W138" s="47" t="s">
        <v>1519</v>
      </c>
      <c r="X138" s="46" t="str">
        <f t="shared" si="30"/>
        <v>2</v>
      </c>
      <c r="Y138" s="47" t="s">
        <v>1518</v>
      </c>
      <c r="Z138" s="46" t="str">
        <f t="shared" si="31"/>
        <v>M</v>
      </c>
      <c r="AA138" s="47" t="s">
        <v>2752</v>
      </c>
      <c r="AB138" s="46" t="str">
        <f t="shared" si="32"/>
        <v>MIERCOLES</v>
      </c>
      <c r="AC138" s="47" t="s">
        <v>2753</v>
      </c>
      <c r="AD138" t="str">
        <f t="shared" si="33"/>
        <v>CONTRATURNO</v>
      </c>
      <c r="AE138" s="47" t="s">
        <v>2754</v>
      </c>
      <c r="AH138" t="str">
        <f t="shared" si="34"/>
        <v>INSERT INTO horario_curso_materia (horario_curso_materia.FK_CUR_mat,horario_curso_materia.FK_HOR,horario_curso_materia.DIA,horario_curso_materia.tipo_turno) VALUES (  (SELECT curso_materia.ID_CUR_MAT FROM curso_materia WHERE curso_materia.CUPOF='1493350' ) ,
    (SELECT horario.ID_HOR FROM horario WHERE horario.modulo='2 ' and horario.turno='M ' ),'MIERCOLES ' , 'CONTRATURNO ' );</v>
      </c>
    </row>
    <row r="139" spans="1:34" ht="15" hidden="1" customHeight="1" x14ac:dyDescent="0.3">
      <c r="A139" s="1" t="str">
        <f t="shared" si="25"/>
        <v>1°4°</v>
      </c>
      <c r="B139" s="54" t="str">
        <f t="shared" si="26"/>
        <v>1°4°4juMAÑANA142</v>
      </c>
      <c r="C139" s="62">
        <f>VLOOKUP(G139,[1]Hoja1!$A:$O,3,0)</f>
        <v>142</v>
      </c>
      <c r="D139" s="2" t="str">
        <f t="shared" si="27"/>
        <v>4juMaula 1</v>
      </c>
      <c r="E139" s="62" t="s">
        <v>1351</v>
      </c>
      <c r="F139" s="62" t="s">
        <v>27</v>
      </c>
      <c r="G139" s="62" t="s">
        <v>56</v>
      </c>
      <c r="H139" s="8" t="str">
        <f>VLOOKUP(G139,[1]Hoja1!$A:$O,6,0)</f>
        <v>SISTEMAS TECNOLOGICOS</v>
      </c>
      <c r="I139" s="4" t="s">
        <v>1489</v>
      </c>
      <c r="J139" s="4"/>
      <c r="K139" s="80" t="str">
        <f t="shared" si="24"/>
        <v>ju</v>
      </c>
      <c r="L139" s="4" t="s">
        <v>512</v>
      </c>
      <c r="M139" s="86" t="str">
        <f>VLOOKUP(G139,[1]Hoja1!$A:$O,15,0)</f>
        <v xml:space="preserve">ESCALADA ARNALDO     </v>
      </c>
      <c r="N139" s="2" t="str">
        <f t="shared" si="28"/>
        <v>1°4°1421TSTju</v>
      </c>
      <c r="O139" s="2"/>
      <c r="P139" s="2" t="str">
        <f>VLOOKUP(G139,[1]Hoja1!$A:$P,16,0)</f>
        <v xml:space="preserve"> </v>
      </c>
      <c r="Q139" s="2"/>
      <c r="S139">
        <f>VLOOKUP(G139,[1]Hoja1!$A:$O,5,0)</f>
        <v>2683137</v>
      </c>
      <c r="U139" s="45" t="s">
        <v>2751</v>
      </c>
      <c r="V139" s="46">
        <f t="shared" si="29"/>
        <v>2683137</v>
      </c>
      <c r="W139" s="47" t="s">
        <v>1519</v>
      </c>
      <c r="X139" s="46" t="str">
        <f t="shared" si="30"/>
        <v>4</v>
      </c>
      <c r="Y139" s="47" t="s">
        <v>1518</v>
      </c>
      <c r="Z139" s="46" t="str">
        <f t="shared" si="31"/>
        <v>M</v>
      </c>
      <c r="AA139" s="47" t="s">
        <v>2752</v>
      </c>
      <c r="AB139" s="46" t="str">
        <f t="shared" si="32"/>
        <v>JUEVES</v>
      </c>
      <c r="AC139" s="47" t="s">
        <v>2753</v>
      </c>
      <c r="AD139" t="str">
        <f t="shared" si="33"/>
        <v>CONTRATURNO</v>
      </c>
      <c r="AE139" s="47" t="s">
        <v>2754</v>
      </c>
      <c r="AH139" t="str">
        <f t="shared" si="34"/>
        <v>INSERT INTO horario_curso_materia (horario_curso_materia.FK_CUR_mat,horario_curso_materia.FK_HOR,horario_curso_materia.DIA,horario_curso_materia.tipo_turno) VALUES (  (SELECT curso_materia.ID_CUR_MAT FROM curso_materia WHERE curso_materia.CUPOF='2683137' ) ,
    (SELECT horario.ID_HOR FROM horario WHERE horario.modulo='4 ' and horario.turno='M ' ),'JUEVES ' , 'CONTRATURNO ' );</v>
      </c>
    </row>
    <row r="140" spans="1:34" ht="15" hidden="1" customHeight="1" x14ac:dyDescent="0.3">
      <c r="A140" s="1" t="str">
        <f t="shared" si="25"/>
        <v>1°4°</v>
      </c>
      <c r="B140" s="54" t="str">
        <f t="shared" si="26"/>
        <v>1°4°4juTARDE0</v>
      </c>
      <c r="C140" s="62">
        <f>VLOOKUP(G140,[1]Hoja1!$A:$O,3,0)</f>
        <v>0</v>
      </c>
      <c r="D140" s="2" t="str">
        <f t="shared" si="27"/>
        <v>4juT</v>
      </c>
      <c r="E140" s="62" t="s">
        <v>1351</v>
      </c>
      <c r="F140" s="62" t="s">
        <v>10</v>
      </c>
      <c r="G140" s="62" t="s">
        <v>289</v>
      </c>
      <c r="H140" s="8" t="str">
        <f>VLOOKUP(G140,[1]Hoja1!$A:$O,6,0)</f>
        <v>CIENCIAS SOCIALES</v>
      </c>
      <c r="I140" s="4"/>
      <c r="J140" s="4"/>
      <c r="K140" s="80" t="str">
        <f t="shared" si="24"/>
        <v>ju</v>
      </c>
      <c r="L140" s="4"/>
      <c r="M140" s="86" t="str">
        <f>VLOOKUP(G140,[1]Hoja1!$A:$O,15,0)</f>
        <v xml:space="preserve">GERSTER MYRIAN                 </v>
      </c>
      <c r="N140" s="2" t="str">
        <f t="shared" si="28"/>
        <v>1°4°1SOCju</v>
      </c>
      <c r="O140" s="2"/>
      <c r="P140" s="2" t="str">
        <f>VLOOKUP(G140,[1]Hoja1!$A:$P,16,0)</f>
        <v xml:space="preserve"> </v>
      </c>
      <c r="Q140" s="2"/>
      <c r="S140">
        <f>VLOOKUP(G140,[1]Hoja1!$A:$O,5,0)</f>
        <v>1493343</v>
      </c>
      <c r="U140" s="45" t="s">
        <v>2751</v>
      </c>
      <c r="V140" s="46">
        <f t="shared" si="29"/>
        <v>1493343</v>
      </c>
      <c r="W140" s="47" t="s">
        <v>1519</v>
      </c>
      <c r="X140" s="46" t="str">
        <f t="shared" si="30"/>
        <v>4</v>
      </c>
      <c r="Y140" s="47" t="s">
        <v>1518</v>
      </c>
      <c r="Z140" s="46" t="str">
        <f t="shared" si="31"/>
        <v>T</v>
      </c>
      <c r="AA140" s="47" t="s">
        <v>2752</v>
      </c>
      <c r="AB140" s="46" t="str">
        <f t="shared" si="32"/>
        <v>JUEVES</v>
      </c>
      <c r="AC140" s="47" t="s">
        <v>2753</v>
      </c>
      <c r="AD140">
        <f t="shared" si="33"/>
        <v>0</v>
      </c>
      <c r="AE140" s="47" t="s">
        <v>2754</v>
      </c>
      <c r="AH140" t="str">
        <f t="shared" si="34"/>
        <v>INSERT INTO horario_curso_materia (horario_curso_materia.FK_CUR_mat,horario_curso_materia.FK_HOR,horario_curso_materia.DIA,horario_curso_materia.tipo_turno) VALUES (  (SELECT curso_materia.ID_CUR_MAT FROM curso_materia WHERE curso_materia.CUPOF='1493343' ) ,
    (SELECT horario.ID_HOR FROM horario WHERE horario.modulo='4 ' and horario.turno='T ' ),'JUEVES ' , '0 ' );</v>
      </c>
    </row>
    <row r="141" spans="1:34" ht="15" hidden="1" customHeight="1" x14ac:dyDescent="0.3">
      <c r="A141" s="1" t="str">
        <f t="shared" si="25"/>
        <v>1°4°</v>
      </c>
      <c r="B141" s="54" t="str">
        <f t="shared" si="26"/>
        <v>1°4°4LUTARDE0</v>
      </c>
      <c r="C141" s="62">
        <f>VLOOKUP(G141,[1]Hoja1!$A:$O,3,0)</f>
        <v>0</v>
      </c>
      <c r="D141" s="2" t="str">
        <f t="shared" si="27"/>
        <v>4LUT</v>
      </c>
      <c r="E141" s="62" t="s">
        <v>31</v>
      </c>
      <c r="F141" s="62" t="s">
        <v>10</v>
      </c>
      <c r="G141" s="62" t="s">
        <v>288</v>
      </c>
      <c r="H141" s="8" t="str">
        <f>VLOOKUP(G141,[1]Hoja1!$A:$O,6,0)</f>
        <v>CIENCIAS NATURALES</v>
      </c>
      <c r="I141" s="4"/>
      <c r="J141" s="4"/>
      <c r="K141" s="80" t="str">
        <f t="shared" si="24"/>
        <v>LU</v>
      </c>
      <c r="L141" s="4"/>
      <c r="M141" s="86" t="str">
        <f>VLOOKUP(G141,[1]Hoja1!$A:$O,15,0)</f>
        <v xml:space="preserve">DA CHILE IGLESIAS V                 </v>
      </c>
      <c r="N141" s="2" t="str">
        <f t="shared" si="28"/>
        <v>1°4°1NATLU</v>
      </c>
      <c r="O141" s="2"/>
      <c r="P141" s="2" t="str">
        <f>VLOOKUP(G141,[1]Hoja1!$A:$P,16,0)</f>
        <v xml:space="preserve"> </v>
      </c>
      <c r="Q141" s="2"/>
      <c r="S141">
        <f>VLOOKUP(G141,[1]Hoja1!$A:$O,5,0)</f>
        <v>1493342</v>
      </c>
      <c r="U141" s="45" t="s">
        <v>2751</v>
      </c>
      <c r="V141" s="46">
        <f t="shared" si="29"/>
        <v>1493342</v>
      </c>
      <c r="W141" s="47" t="s">
        <v>1519</v>
      </c>
      <c r="X141" s="46" t="str">
        <f t="shared" si="30"/>
        <v>4</v>
      </c>
      <c r="Y141" s="47" t="s">
        <v>1518</v>
      </c>
      <c r="Z141" s="46" t="str">
        <f t="shared" si="31"/>
        <v>T</v>
      </c>
      <c r="AA141" s="47" t="s">
        <v>2752</v>
      </c>
      <c r="AB141" s="46" t="str">
        <f t="shared" si="32"/>
        <v>LUNES</v>
      </c>
      <c r="AC141" s="47" t="s">
        <v>2753</v>
      </c>
      <c r="AD141">
        <f t="shared" si="33"/>
        <v>0</v>
      </c>
      <c r="AE141" s="47" t="s">
        <v>2754</v>
      </c>
      <c r="AH141" t="str">
        <f t="shared" si="34"/>
        <v>INSERT INTO horario_curso_materia (horario_curso_materia.FK_CUR_mat,horario_curso_materia.FK_HOR,horario_curso_materia.DIA,horario_curso_materia.tipo_turno) VALUES (  (SELECT curso_materia.ID_CUR_MAT FROM curso_materia WHERE curso_materia.CUPOF='1493342' ) ,
    (SELECT horario.ID_HOR FROM horario WHERE horario.modulo='4 ' and horario.turno='T ' ),'LUNES ' , '0 ' );</v>
      </c>
    </row>
    <row r="142" spans="1:34" ht="15" hidden="1" customHeight="1" x14ac:dyDescent="0.3">
      <c r="A142" s="1" t="str">
        <f t="shared" si="25"/>
        <v>1°4°</v>
      </c>
      <c r="B142" s="54" t="str">
        <f t="shared" si="26"/>
        <v>1°4°4MAMAÑANA141</v>
      </c>
      <c r="C142" s="62">
        <f>VLOOKUP(G142,[1]Hoja1!$A:$O,3,0)</f>
        <v>141</v>
      </c>
      <c r="D142" s="2" t="str">
        <f t="shared" si="27"/>
        <v>4MAMCARPINTERIA</v>
      </c>
      <c r="E142" s="62" t="s">
        <v>16</v>
      </c>
      <c r="F142" s="62" t="s">
        <v>27</v>
      </c>
      <c r="G142" s="62" t="s">
        <v>58</v>
      </c>
      <c r="H142" s="8" t="str">
        <f>VLOOKUP(G142,[1]Hoja1!$A:$O,6,0)</f>
        <v>SISTEMAS TECNOLOGICOS</v>
      </c>
      <c r="I142" s="4" t="s">
        <v>23</v>
      </c>
      <c r="J142" s="4"/>
      <c r="K142" s="80" t="str">
        <f t="shared" si="24"/>
        <v>MA</v>
      </c>
      <c r="L142" s="4" t="s">
        <v>512</v>
      </c>
      <c r="M142" s="86" t="str">
        <f>VLOOKUP(G142,[1]Hoja1!$A:$O,15,0)</f>
        <v>ETCHEVERRY MARTIN</v>
      </c>
      <c r="N142" s="2" t="str">
        <f t="shared" si="28"/>
        <v>1°4°1411TSTMA</v>
      </c>
      <c r="O142" s="2" t="s">
        <v>1505</v>
      </c>
      <c r="P142" s="2" t="str">
        <f>VLOOKUP(G142,[1]Hoja1!$A:$P,16,0)</f>
        <v xml:space="preserve"> </v>
      </c>
      <c r="Q142" s="2"/>
      <c r="S142">
        <f>VLOOKUP(G142,[1]Hoja1!$A:$O,5,0)</f>
        <v>1493353</v>
      </c>
      <c r="U142" s="45" t="s">
        <v>2751</v>
      </c>
      <c r="V142" s="46">
        <f t="shared" si="29"/>
        <v>1493353</v>
      </c>
      <c r="W142" s="47" t="s">
        <v>1519</v>
      </c>
      <c r="X142" s="46" t="str">
        <f t="shared" si="30"/>
        <v>4</v>
      </c>
      <c r="Y142" s="47" t="s">
        <v>1518</v>
      </c>
      <c r="Z142" s="46" t="str">
        <f t="shared" si="31"/>
        <v>M</v>
      </c>
      <c r="AA142" s="47" t="s">
        <v>2752</v>
      </c>
      <c r="AB142" s="46" t="str">
        <f t="shared" si="32"/>
        <v>MARTES</v>
      </c>
      <c r="AC142" s="47" t="s">
        <v>2753</v>
      </c>
      <c r="AD142" t="str">
        <f t="shared" si="33"/>
        <v>CONTRATURNO</v>
      </c>
      <c r="AE142" s="47" t="s">
        <v>2754</v>
      </c>
      <c r="AH142" t="str">
        <f t="shared" si="34"/>
        <v>INSERT INTO horario_curso_materia (horario_curso_materia.FK_CUR_mat,horario_curso_materia.FK_HOR,horario_curso_materia.DIA,horario_curso_materia.tipo_turno) VALUES (  (SELECT curso_materia.ID_CUR_MAT FROM curso_materia WHERE curso_materia.CUPOF='1493353' ) ,
    (SELECT horario.ID_HOR FROM horario WHERE horario.modulo='4 ' and horario.turno='M ' ),'MARTES ' , 'CONTRATURNO ' );</v>
      </c>
    </row>
    <row r="143" spans="1:34" ht="15" hidden="1" customHeight="1" x14ac:dyDescent="0.3">
      <c r="A143" s="1" t="str">
        <f t="shared" si="25"/>
        <v>1°4°</v>
      </c>
      <c r="B143" s="54" t="str">
        <f t="shared" si="26"/>
        <v>1°4°4MATARDE0</v>
      </c>
      <c r="C143" s="62">
        <f>VLOOKUP(G143,[1]Hoja1!$A:$O,3,0)</f>
        <v>0</v>
      </c>
      <c r="D143" s="2" t="str">
        <f t="shared" si="27"/>
        <v>4MAT</v>
      </c>
      <c r="E143" s="62" t="s">
        <v>16</v>
      </c>
      <c r="F143" s="62" t="s">
        <v>10</v>
      </c>
      <c r="G143" s="62" t="s">
        <v>290</v>
      </c>
      <c r="H143" s="8" t="str">
        <f>VLOOKUP(G143,[1]Hoja1!$A:$O,6,0)</f>
        <v>MATEMATICA</v>
      </c>
      <c r="I143" s="4"/>
      <c r="J143" s="4"/>
      <c r="K143" s="80" t="str">
        <f t="shared" si="24"/>
        <v>MA</v>
      </c>
      <c r="L143" s="4"/>
      <c r="M143" s="86" t="str">
        <f>VLOOKUP(G143,[1]Hoja1!$A:$O,15,0)</f>
        <v xml:space="preserve">OVEJERO, JAVIER               </v>
      </c>
      <c r="N143" s="2" t="str">
        <f t="shared" si="28"/>
        <v>1°4°1MATMA</v>
      </c>
      <c r="O143" s="2"/>
      <c r="P143" s="2" t="str">
        <f>VLOOKUP(G143,[1]Hoja1!$A:$P,16,0)</f>
        <v xml:space="preserve"> </v>
      </c>
      <c r="Q143" s="2"/>
      <c r="S143">
        <f>VLOOKUP(G143,[1]Hoja1!$A:$O,5,0)</f>
        <v>1493338</v>
      </c>
      <c r="U143" s="45" t="s">
        <v>2751</v>
      </c>
      <c r="V143" s="46">
        <f t="shared" si="29"/>
        <v>1493338</v>
      </c>
      <c r="W143" s="47" t="s">
        <v>1519</v>
      </c>
      <c r="X143" s="46" t="str">
        <f t="shared" si="30"/>
        <v>4</v>
      </c>
      <c r="Y143" s="47" t="s">
        <v>1518</v>
      </c>
      <c r="Z143" s="46" t="str">
        <f t="shared" si="31"/>
        <v>T</v>
      </c>
      <c r="AA143" s="47" t="s">
        <v>2752</v>
      </c>
      <c r="AB143" s="46" t="str">
        <f t="shared" si="32"/>
        <v>MARTES</v>
      </c>
      <c r="AC143" s="47" t="s">
        <v>2753</v>
      </c>
      <c r="AD143">
        <f t="shared" si="33"/>
        <v>0</v>
      </c>
      <c r="AE143" s="47" t="s">
        <v>2754</v>
      </c>
      <c r="AH143" t="str">
        <f t="shared" si="34"/>
        <v>INSERT INTO horario_curso_materia (horario_curso_materia.FK_CUR_mat,horario_curso_materia.FK_HOR,horario_curso_materia.DIA,horario_curso_materia.tipo_turno) VALUES (  (SELECT curso_materia.ID_CUR_MAT FROM curso_materia WHERE curso_materia.CUPOF='1493338' ) ,
    (SELECT horario.ID_HOR FROM horario WHERE horario.modulo='4 ' and horario.turno='T ' ),'MARTES ' , '0 ' );</v>
      </c>
    </row>
    <row r="144" spans="1:34" ht="15" hidden="1" customHeight="1" x14ac:dyDescent="0.3">
      <c r="A144" s="1" t="str">
        <f t="shared" si="25"/>
        <v>1°4°</v>
      </c>
      <c r="B144" s="54" t="str">
        <f t="shared" si="26"/>
        <v>1°4°4MIMAÑANA142</v>
      </c>
      <c r="C144" s="62">
        <f>VLOOKUP(G144,[1]Hoja1!$A:$O,3,0)</f>
        <v>142</v>
      </c>
      <c r="D144" s="2" t="str">
        <f t="shared" si="27"/>
        <v>4MIMCARPINTERIA</v>
      </c>
      <c r="E144" s="62" t="s">
        <v>52</v>
      </c>
      <c r="F144" s="62" t="s">
        <v>27</v>
      </c>
      <c r="G144" s="62" t="s">
        <v>51</v>
      </c>
      <c r="H144" s="8" t="str">
        <f>VLOOKUP(G144,[1]Hoja1!$A:$O,6,0)</f>
        <v>PROCEDIMIENTOS TECNICOS</v>
      </c>
      <c r="I144" s="4" t="s">
        <v>23</v>
      </c>
      <c r="J144" s="4"/>
      <c r="K144" s="80" t="str">
        <f t="shared" si="24"/>
        <v>MI</v>
      </c>
      <c r="L144" s="4" t="s">
        <v>512</v>
      </c>
      <c r="M144" s="86" t="str">
        <f>VLOOKUP(G144,[1]Hoja1!$A:$O,15,0)</f>
        <v xml:space="preserve">ESPINDOLA SERGIO                          </v>
      </c>
      <c r="N144" s="2" t="str">
        <f t="shared" si="28"/>
        <v>1°4°1421TPTMI</v>
      </c>
      <c r="O144" s="2"/>
      <c r="P144" s="2" t="str">
        <f>VLOOKUP(G144,[1]Hoja1!$A:$P,16,0)</f>
        <v xml:space="preserve"> </v>
      </c>
      <c r="Q144" s="2"/>
      <c r="S144">
        <f>VLOOKUP(G144,[1]Hoja1!$A:$O,5,0)</f>
        <v>2683138</v>
      </c>
      <c r="U144" s="45" t="s">
        <v>2751</v>
      </c>
      <c r="V144" s="46">
        <f t="shared" si="29"/>
        <v>2683138</v>
      </c>
      <c r="W144" s="47" t="s">
        <v>1519</v>
      </c>
      <c r="X144" s="46" t="str">
        <f t="shared" si="30"/>
        <v>4</v>
      </c>
      <c r="Y144" s="47" t="s">
        <v>1518</v>
      </c>
      <c r="Z144" s="46" t="str">
        <f t="shared" si="31"/>
        <v>M</v>
      </c>
      <c r="AA144" s="47" t="s">
        <v>2752</v>
      </c>
      <c r="AB144" s="46" t="str">
        <f t="shared" si="32"/>
        <v>MIERCOLES</v>
      </c>
      <c r="AC144" s="47" t="s">
        <v>2753</v>
      </c>
      <c r="AD144" t="str">
        <f t="shared" si="33"/>
        <v>CONTRATURNO</v>
      </c>
      <c r="AE144" s="47" t="s">
        <v>2754</v>
      </c>
      <c r="AH144" t="str">
        <f t="shared" si="34"/>
        <v>INSERT INTO horario_curso_materia (horario_curso_materia.FK_CUR_mat,horario_curso_materia.FK_HOR,horario_curso_materia.DIA,horario_curso_materia.tipo_turno) VALUES (  (SELECT curso_materia.ID_CUR_MAT FROM curso_materia WHERE curso_materia.CUPOF='2683138' ) ,
    (SELECT horario.ID_HOR FROM horario WHERE horario.modulo='4 ' and horario.turno='M ' ),'MIERCOLES ' , 'CONTRATURNO ' );</v>
      </c>
    </row>
    <row r="145" spans="1:34" ht="15" hidden="1" customHeight="1" x14ac:dyDescent="0.3">
      <c r="A145" s="1" t="str">
        <f t="shared" si="25"/>
        <v>1°4°</v>
      </c>
      <c r="B145" s="54" t="str">
        <f t="shared" si="26"/>
        <v>1°4°4MITARDE0</v>
      </c>
      <c r="C145" s="62">
        <f>VLOOKUP(G145,[1]Hoja1!$A:$O,3,0)</f>
        <v>0</v>
      </c>
      <c r="D145" s="2" t="str">
        <f t="shared" si="27"/>
        <v>4MIT</v>
      </c>
      <c r="E145" s="62" t="s">
        <v>52</v>
      </c>
      <c r="F145" s="62" t="s">
        <v>10</v>
      </c>
      <c r="G145" s="62" t="s">
        <v>290</v>
      </c>
      <c r="H145" s="8" t="str">
        <f>VLOOKUP(G145,[1]Hoja1!$A:$O,6,0)</f>
        <v>MATEMATICA</v>
      </c>
      <c r="I145" s="4"/>
      <c r="J145" s="4"/>
      <c r="K145" s="80" t="str">
        <f t="shared" si="24"/>
        <v>MI</v>
      </c>
      <c r="L145" s="4"/>
      <c r="M145" s="86" t="str">
        <f>VLOOKUP(G145,[1]Hoja1!$A:$O,15,0)</f>
        <v xml:space="preserve">OVEJERO, JAVIER               </v>
      </c>
      <c r="N145" s="2" t="str">
        <f t="shared" si="28"/>
        <v>1°4°1MATMI</v>
      </c>
      <c r="O145" s="2"/>
      <c r="P145" s="2" t="str">
        <f>VLOOKUP(G145,[1]Hoja1!$A:$P,16,0)</f>
        <v xml:space="preserve"> </v>
      </c>
      <c r="Q145" s="2"/>
      <c r="S145">
        <f>VLOOKUP(G145,[1]Hoja1!$A:$O,5,0)</f>
        <v>1493338</v>
      </c>
      <c r="U145" s="45" t="s">
        <v>2751</v>
      </c>
      <c r="V145" s="46">
        <f t="shared" si="29"/>
        <v>1493338</v>
      </c>
      <c r="W145" s="47" t="s">
        <v>1519</v>
      </c>
      <c r="X145" s="46" t="str">
        <f t="shared" si="30"/>
        <v>4</v>
      </c>
      <c r="Y145" s="47" t="s">
        <v>1518</v>
      </c>
      <c r="Z145" s="46" t="str">
        <f t="shared" si="31"/>
        <v>T</v>
      </c>
      <c r="AA145" s="47" t="s">
        <v>2752</v>
      </c>
      <c r="AB145" s="46" t="str">
        <f t="shared" si="32"/>
        <v>MIERCOLES</v>
      </c>
      <c r="AC145" s="47" t="s">
        <v>2753</v>
      </c>
      <c r="AD145">
        <f t="shared" si="33"/>
        <v>0</v>
      </c>
      <c r="AE145" s="47" t="s">
        <v>2754</v>
      </c>
      <c r="AH145" t="str">
        <f t="shared" si="34"/>
        <v>INSERT INTO horario_curso_materia (horario_curso_materia.FK_CUR_mat,horario_curso_materia.FK_HOR,horario_curso_materia.DIA,horario_curso_materia.tipo_turno) VALUES (  (SELECT curso_materia.ID_CUR_MAT FROM curso_materia WHERE curso_materia.CUPOF='1493338' ) ,
    (SELECT horario.ID_HOR FROM horario WHERE horario.modulo='4 ' and horario.turno='T ' ),'MIERCOLES ' , '0 ' );</v>
      </c>
    </row>
    <row r="146" spans="1:34" ht="15" hidden="1" customHeight="1" x14ac:dyDescent="0.3">
      <c r="A146" s="1" t="str">
        <f t="shared" si="25"/>
        <v>1°4°</v>
      </c>
      <c r="B146" s="54" t="str">
        <f t="shared" si="26"/>
        <v>1°4°2maMAÑANA0</v>
      </c>
      <c r="C146" s="62">
        <f>VLOOKUP(G146,[1]Hoja1!$A:$O,3,0)</f>
        <v>0</v>
      </c>
      <c r="D146" s="2" t="str">
        <f t="shared" si="27"/>
        <v>2maMPATIO2</v>
      </c>
      <c r="E146" s="62" t="s">
        <v>90</v>
      </c>
      <c r="F146" s="62" t="s">
        <v>27</v>
      </c>
      <c r="G146" s="62" t="s">
        <v>294</v>
      </c>
      <c r="H146" s="8" t="str">
        <f>VLOOKUP(G146,[1]Hoja1!$A:$O,6,0)</f>
        <v>EDUCACIÓN FISICA</v>
      </c>
      <c r="I146" s="4" t="s">
        <v>295</v>
      </c>
      <c r="J146" s="4"/>
      <c r="K146" s="80" t="str">
        <f t="shared" si="24"/>
        <v>ma</v>
      </c>
      <c r="L146" s="4" t="s">
        <v>512</v>
      </c>
      <c r="M146" s="86" t="str">
        <f>VLOOKUP(G146,[1]Hoja1!$A:$O,15,0)</f>
        <v xml:space="preserve">DE LA FUENTE F.                         </v>
      </c>
      <c r="N146" s="2" t="str">
        <f t="shared" si="28"/>
        <v>1°4°1EFIma</v>
      </c>
      <c r="O146" s="2"/>
      <c r="P146" s="2" t="str">
        <f>VLOOKUP(G146,[1]Hoja1!$A:$P,16,0)</f>
        <v xml:space="preserve"> </v>
      </c>
      <c r="Q146" s="2"/>
      <c r="S146">
        <f>VLOOKUP(G146,[1]Hoja1!$A:$O,5,0)</f>
        <v>1493340</v>
      </c>
      <c r="U146" s="45" t="s">
        <v>2751</v>
      </c>
      <c r="V146" s="46">
        <f t="shared" si="29"/>
        <v>1493340</v>
      </c>
      <c r="W146" s="47" t="s">
        <v>1519</v>
      </c>
      <c r="X146" s="46" t="str">
        <f t="shared" si="30"/>
        <v>2</v>
      </c>
      <c r="Y146" s="47" t="s">
        <v>1518</v>
      </c>
      <c r="Z146" s="46" t="str">
        <f t="shared" si="31"/>
        <v>M</v>
      </c>
      <c r="AA146" s="47" t="s">
        <v>2752</v>
      </c>
      <c r="AB146" s="46" t="str">
        <f t="shared" si="32"/>
        <v>MARTES</v>
      </c>
      <c r="AC146" s="47" t="s">
        <v>2753</v>
      </c>
      <c r="AD146" t="str">
        <f t="shared" si="33"/>
        <v>CONTRATURNO</v>
      </c>
      <c r="AE146" s="47" t="s">
        <v>2754</v>
      </c>
      <c r="AH146" t="str">
        <f t="shared" si="34"/>
        <v>INSERT INTO horario_curso_materia (horario_curso_materia.FK_CUR_mat,horario_curso_materia.FK_HOR,horario_curso_materia.DIA,horario_curso_materia.tipo_turno) VALUES (  (SELECT curso_materia.ID_CUR_MAT FROM curso_materia WHERE curso_materia.CUPOF='1493340' ) ,
    (SELECT horario.ID_HOR FROM horario WHERE horario.modulo='2 ' and horario.turno='M ' ),'MARTES ' , 'CONTRATURNO ' );</v>
      </c>
    </row>
    <row r="147" spans="1:34" ht="15" hidden="1" customHeight="1" x14ac:dyDescent="0.3">
      <c r="A147" s="1" t="str">
        <f t="shared" si="25"/>
        <v>1°4°</v>
      </c>
      <c r="B147" s="54" t="str">
        <f t="shared" si="26"/>
        <v>1°4°4VITARDE0</v>
      </c>
      <c r="C147" s="62">
        <f>VLOOKUP(G147,[1]Hoja1!$A:$O,3,0)</f>
        <v>0</v>
      </c>
      <c r="D147" s="2" t="str">
        <f t="shared" si="27"/>
        <v>4VIT</v>
      </c>
      <c r="E147" s="62" t="s">
        <v>36</v>
      </c>
      <c r="F147" s="62" t="s">
        <v>10</v>
      </c>
      <c r="G147" s="62" t="s">
        <v>293</v>
      </c>
      <c r="H147" s="8" t="str">
        <f>VLOOKUP(G147,[1]Hoja1!$A:$O,6,0)</f>
        <v>CONSTRUCCION DE LA CIUDADANIA</v>
      </c>
      <c r="I147" s="4"/>
      <c r="J147" s="4"/>
      <c r="K147" s="80" t="str">
        <f t="shared" si="24"/>
        <v>VI</v>
      </c>
      <c r="L147" s="4"/>
      <c r="M147" s="86" t="str">
        <f>VLOOKUP(G147,[1]Hoja1!$A:$O,15,0)</f>
        <v>KUSNIER CUPAIOLO</v>
      </c>
      <c r="N147" s="2" t="str">
        <f t="shared" si="28"/>
        <v>1°4°1CCDVI</v>
      </c>
      <c r="O147" s="2"/>
      <c r="P147" s="2" t="str">
        <f>VLOOKUP(G147,[1]Hoja1!$A:$P,16,0)</f>
        <v xml:space="preserve"> </v>
      </c>
      <c r="Q147" s="2"/>
      <c r="S147">
        <f>VLOOKUP(G147,[1]Hoja1!$A:$O,5,0)</f>
        <v>839179</v>
      </c>
      <c r="U147" s="45" t="s">
        <v>2751</v>
      </c>
      <c r="V147" s="46">
        <f t="shared" si="29"/>
        <v>839179</v>
      </c>
      <c r="W147" s="47" t="s">
        <v>1519</v>
      </c>
      <c r="X147" s="46" t="str">
        <f t="shared" si="30"/>
        <v>4</v>
      </c>
      <c r="Y147" s="47" t="s">
        <v>1518</v>
      </c>
      <c r="Z147" s="46" t="str">
        <f t="shared" si="31"/>
        <v>T</v>
      </c>
      <c r="AA147" s="47" t="s">
        <v>2752</v>
      </c>
      <c r="AB147" s="46" t="str">
        <f t="shared" si="32"/>
        <v>VIERNES</v>
      </c>
      <c r="AC147" s="47" t="s">
        <v>2753</v>
      </c>
      <c r="AD147">
        <f t="shared" si="33"/>
        <v>0</v>
      </c>
      <c r="AE147" s="47" t="s">
        <v>2754</v>
      </c>
      <c r="AH147" t="str">
        <f t="shared" si="34"/>
        <v>INSERT INTO horario_curso_materia (horario_curso_materia.FK_CUR_mat,horario_curso_materia.FK_HOR,horario_curso_materia.DIA,horario_curso_materia.tipo_turno) VALUES (  (SELECT curso_materia.ID_CUR_MAT FROM curso_materia WHERE curso_materia.CUPOF='839179' ) ,
    (SELECT horario.ID_HOR FROM horario WHERE horario.modulo='4 ' and horario.turno='T ' ),'VIERNES ' , '0 ' );</v>
      </c>
    </row>
    <row r="148" spans="1:34" ht="15" hidden="1" customHeight="1" x14ac:dyDescent="0.3">
      <c r="A148" s="1" t="str">
        <f t="shared" si="25"/>
        <v>1°4°</v>
      </c>
      <c r="B148" s="54" t="str">
        <f t="shared" si="26"/>
        <v>1°4°5luTARDE0</v>
      </c>
      <c r="C148" s="62">
        <f>VLOOKUP(G148,[1]Hoja1!$A:$O,3,0)</f>
        <v>0</v>
      </c>
      <c r="D148" s="2" t="str">
        <f t="shared" si="27"/>
        <v>5luT</v>
      </c>
      <c r="E148" s="62" t="s">
        <v>2776</v>
      </c>
      <c r="F148" s="62" t="s">
        <v>10</v>
      </c>
      <c r="G148" s="62" t="s">
        <v>288</v>
      </c>
      <c r="H148" s="8" t="str">
        <f>VLOOKUP(G148,[1]Hoja1!$A:$O,6,0)</f>
        <v>CIENCIAS NATURALES</v>
      </c>
      <c r="I148" s="4"/>
      <c r="J148" s="4"/>
      <c r="K148" s="80" t="str">
        <f t="shared" ref="K148:K211" si="35">RIGHT(E148,2)</f>
        <v>lu</v>
      </c>
      <c r="L148" s="4"/>
      <c r="M148" s="86" t="str">
        <f>VLOOKUP(G148,[1]Hoja1!$A:$O,15,0)</f>
        <v xml:space="preserve">DA CHILE IGLESIAS V                 </v>
      </c>
      <c r="N148" s="2" t="str">
        <f t="shared" si="28"/>
        <v>1°4°1NATlu</v>
      </c>
      <c r="O148" s="2"/>
      <c r="P148" s="2" t="str">
        <f>VLOOKUP(G148,[1]Hoja1!$A:$P,16,0)</f>
        <v xml:space="preserve"> </v>
      </c>
      <c r="Q148" s="2"/>
      <c r="S148">
        <f>VLOOKUP(G148,[1]Hoja1!$A:$O,5,0)</f>
        <v>1493342</v>
      </c>
      <c r="U148" s="45" t="s">
        <v>2751</v>
      </c>
      <c r="V148" s="46">
        <f t="shared" si="29"/>
        <v>1493342</v>
      </c>
      <c r="W148" s="47" t="s">
        <v>1519</v>
      </c>
      <c r="X148" s="46" t="str">
        <f t="shared" si="30"/>
        <v>5</v>
      </c>
      <c r="Y148" s="47" t="s">
        <v>1518</v>
      </c>
      <c r="Z148" s="46" t="str">
        <f t="shared" si="31"/>
        <v>T</v>
      </c>
      <c r="AA148" s="47" t="s">
        <v>2752</v>
      </c>
      <c r="AB148" s="46" t="str">
        <f t="shared" si="32"/>
        <v>LUNES</v>
      </c>
      <c r="AC148" s="47" t="s">
        <v>2753</v>
      </c>
      <c r="AD148">
        <f t="shared" si="33"/>
        <v>0</v>
      </c>
      <c r="AE148" s="47" t="s">
        <v>2754</v>
      </c>
      <c r="AH148" t="str">
        <f t="shared" si="34"/>
        <v>INSERT INTO horario_curso_materia (horario_curso_materia.FK_CUR_mat,horario_curso_materia.FK_HOR,horario_curso_materia.DIA,horario_curso_materia.tipo_turno) VALUES (  (SELECT curso_materia.ID_CUR_MAT FROM curso_materia WHERE curso_materia.CUPOF='1493342' ) ,
    (SELECT horario.ID_HOR FROM horario WHERE horario.modulo='5 ' and horario.turno='T ' ),'LUNES ' , '0 ' );</v>
      </c>
    </row>
    <row r="149" spans="1:34" ht="15" hidden="1" customHeight="1" x14ac:dyDescent="0.3">
      <c r="A149" s="1" t="str">
        <f t="shared" si="25"/>
        <v>1°4°</v>
      </c>
      <c r="B149" s="54" t="str">
        <f t="shared" si="26"/>
        <v>1°4°5miTARDE0</v>
      </c>
      <c r="C149" s="62">
        <f>VLOOKUP(G149,[1]Hoja1!$A:$O,3,0)</f>
        <v>0</v>
      </c>
      <c r="D149" s="2" t="str">
        <f t="shared" si="27"/>
        <v>5miT</v>
      </c>
      <c r="E149" s="62" t="s">
        <v>2777</v>
      </c>
      <c r="F149" s="62" t="s">
        <v>10</v>
      </c>
      <c r="G149" s="62" t="s">
        <v>288</v>
      </c>
      <c r="H149" s="8" t="str">
        <f>VLOOKUP(G149,[1]Hoja1!$A:$O,6,0)</f>
        <v>CIENCIAS NATURALES</v>
      </c>
      <c r="I149" s="4"/>
      <c r="J149" s="4"/>
      <c r="K149" s="80" t="str">
        <f t="shared" si="35"/>
        <v>mi</v>
      </c>
      <c r="L149" s="4"/>
      <c r="M149" s="86" t="str">
        <f>VLOOKUP(G149,[1]Hoja1!$A:$O,15,0)</f>
        <v xml:space="preserve">DA CHILE IGLESIAS V                 </v>
      </c>
      <c r="N149" s="2" t="str">
        <f t="shared" si="28"/>
        <v>1°4°1NATmi</v>
      </c>
      <c r="O149" s="2"/>
      <c r="P149" s="2" t="str">
        <f>VLOOKUP(G149,[1]Hoja1!$A:$P,16,0)</f>
        <v xml:space="preserve"> </v>
      </c>
      <c r="Q149" s="2"/>
      <c r="S149">
        <f>VLOOKUP(G149,[1]Hoja1!$A:$O,5,0)</f>
        <v>1493342</v>
      </c>
      <c r="U149" s="45" t="s">
        <v>2751</v>
      </c>
      <c r="V149" s="46">
        <f t="shared" si="29"/>
        <v>1493342</v>
      </c>
      <c r="W149" s="47" t="s">
        <v>1519</v>
      </c>
      <c r="X149" s="46" t="str">
        <f t="shared" si="30"/>
        <v>5</v>
      </c>
      <c r="Y149" s="47" t="s">
        <v>1518</v>
      </c>
      <c r="Z149" s="46" t="str">
        <f t="shared" si="31"/>
        <v>T</v>
      </c>
      <c r="AA149" s="47" t="s">
        <v>2752</v>
      </c>
      <c r="AB149" s="46" t="str">
        <f t="shared" si="32"/>
        <v>MIERCOLES</v>
      </c>
      <c r="AC149" s="47" t="s">
        <v>2753</v>
      </c>
      <c r="AD149">
        <f t="shared" si="33"/>
        <v>0</v>
      </c>
      <c r="AE149" s="47" t="s">
        <v>2754</v>
      </c>
      <c r="AH149" t="str">
        <f t="shared" si="34"/>
        <v>INSERT INTO horario_curso_materia (horario_curso_materia.FK_CUR_mat,horario_curso_materia.FK_HOR,horario_curso_materia.DIA,horario_curso_materia.tipo_turno) VALUES (  (SELECT curso_materia.ID_CUR_MAT FROM curso_materia WHERE curso_materia.CUPOF='1493342' ) ,
    (SELECT horario.ID_HOR FROM horario WHERE horario.modulo='5 ' and horario.turno='T ' ),'MIERCOLES ' , '0 ' );</v>
      </c>
    </row>
    <row r="150" spans="1:34" ht="15" hidden="1" customHeight="1" x14ac:dyDescent="0.3">
      <c r="A150" s="1" t="str">
        <f t="shared" si="25"/>
        <v>2°1°</v>
      </c>
      <c r="B150" s="54" t="str">
        <f t="shared" si="26"/>
        <v>2°1°1JUMAÑANA0</v>
      </c>
      <c r="C150" s="62">
        <f>VLOOKUP(G150,[1]Hoja1!$A:$O,3,0)</f>
        <v>0</v>
      </c>
      <c r="D150" s="2" t="str">
        <f t="shared" si="27"/>
        <v>1JUM</v>
      </c>
      <c r="E150" s="62" t="s">
        <v>43</v>
      </c>
      <c r="F150" s="62" t="s">
        <v>27</v>
      </c>
      <c r="G150" s="62" t="s">
        <v>305</v>
      </c>
      <c r="H150" s="8" t="str">
        <f>VLOOKUP(G150,[1]Hoja1!$A:$O,6,0)</f>
        <v>GEOGRAFIA</v>
      </c>
      <c r="I150" s="4"/>
      <c r="J150" s="4"/>
      <c r="K150" s="80" t="str">
        <f t="shared" si="35"/>
        <v>JU</v>
      </c>
      <c r="L150" s="4"/>
      <c r="M150" s="86" t="str">
        <f>VLOOKUP(G150,[1]Hoja1!$A:$O,15,0)</f>
        <v>OSTRIZ GISELA JORGELINA</v>
      </c>
      <c r="N150" s="2" t="str">
        <f t="shared" si="28"/>
        <v>2°1°2GEOJU</v>
      </c>
      <c r="O150" s="2"/>
      <c r="P150" s="2" t="str">
        <f>VLOOKUP(G150,[1]Hoja1!$A:$P,16,0)</f>
        <v xml:space="preserve"> </v>
      </c>
      <c r="Q150" s="2"/>
      <c r="S150">
        <f>VLOOKUP(G150,[1]Hoja1!$A:$O,5,0)</f>
        <v>31174482</v>
      </c>
      <c r="U150" s="45" t="s">
        <v>2751</v>
      </c>
      <c r="V150" s="46">
        <f t="shared" si="29"/>
        <v>31174482</v>
      </c>
      <c r="W150" s="47" t="s">
        <v>1519</v>
      </c>
      <c r="X150" s="46" t="str">
        <f t="shared" si="30"/>
        <v>1</v>
      </c>
      <c r="Y150" s="47" t="s">
        <v>1518</v>
      </c>
      <c r="Z150" s="46" t="str">
        <f t="shared" si="31"/>
        <v>M</v>
      </c>
      <c r="AA150" s="47" t="s">
        <v>2752</v>
      </c>
      <c r="AB150" s="46" t="str">
        <f t="shared" si="32"/>
        <v>JUEVES</v>
      </c>
      <c r="AC150" s="47" t="s">
        <v>2753</v>
      </c>
      <c r="AD150">
        <f t="shared" si="33"/>
        <v>0</v>
      </c>
      <c r="AE150" s="47" t="s">
        <v>2754</v>
      </c>
      <c r="AH150" t="str">
        <f t="shared" si="34"/>
        <v>INSERT INTO horario_curso_materia (horario_curso_materia.FK_CUR_mat,horario_curso_materia.FK_HOR,horario_curso_materia.DIA,horario_curso_materia.tipo_turno) VALUES (  (SELECT curso_materia.ID_CUR_MAT FROM curso_materia WHERE curso_materia.CUPOF='31174482' ) ,
    (SELECT horario.ID_HOR FROM horario WHERE horario.modulo='1 ' and horario.turno='M ' ),'JUEVES ' , '0 ' );</v>
      </c>
    </row>
    <row r="151" spans="1:34" ht="15" hidden="1" customHeight="1" x14ac:dyDescent="0.3">
      <c r="A151" s="3" t="str">
        <f t="shared" si="25"/>
        <v>2°1°</v>
      </c>
      <c r="B151" s="54" t="str">
        <f t="shared" si="26"/>
        <v>2°1°1JUTARDE212</v>
      </c>
      <c r="C151" s="63">
        <f>VLOOKUP(G151,[1]Hoja1!$A:$O,3,0)</f>
        <v>212</v>
      </c>
      <c r="D151" s="3" t="str">
        <f t="shared" si="27"/>
        <v>1JUTHERRERIA</v>
      </c>
      <c r="E151" s="63" t="s">
        <v>43</v>
      </c>
      <c r="F151" s="63" t="s">
        <v>10</v>
      </c>
      <c r="G151" s="63" t="s">
        <v>71</v>
      </c>
      <c r="H151" s="3" t="str">
        <f>VLOOKUP(G151,[1]Hoja1!$A:$O,6,0)</f>
        <v>PROCEDIMIENTOS TECNICOS</v>
      </c>
      <c r="I151" s="17" t="s">
        <v>21</v>
      </c>
      <c r="J151" s="17"/>
      <c r="K151" s="81" t="str">
        <f t="shared" si="35"/>
        <v>JU</v>
      </c>
      <c r="L151" s="17" t="s">
        <v>512</v>
      </c>
      <c r="M151" s="87" t="str">
        <f>VLOOKUP(G151,[1]Hoja1!$A:$O,15,0)</f>
        <v xml:space="preserve">CHAMORRO CRISTIAN                        </v>
      </c>
      <c r="N151" s="42" t="str">
        <f t="shared" si="28"/>
        <v>2°1°2122TPT2JU</v>
      </c>
      <c r="O151" s="17"/>
      <c r="P151" s="2" t="str">
        <f>VLOOKUP(G151,[1]Hoja1!$A:$P,16,0)</f>
        <v xml:space="preserve"> </v>
      </c>
      <c r="Q151" s="2"/>
      <c r="S151">
        <f>VLOOKUP(G151,[1]Hoja1!$A:$O,5,0)</f>
        <v>2683132</v>
      </c>
      <c r="U151" s="45" t="s">
        <v>2751</v>
      </c>
      <c r="V151" s="46">
        <f t="shared" si="29"/>
        <v>2683132</v>
      </c>
      <c r="W151" s="47" t="s">
        <v>1519</v>
      </c>
      <c r="X151" s="46" t="str">
        <f t="shared" si="30"/>
        <v>1</v>
      </c>
      <c r="Y151" s="47" t="s">
        <v>1518</v>
      </c>
      <c r="Z151" s="46" t="str">
        <f t="shared" si="31"/>
        <v>T</v>
      </c>
      <c r="AA151" s="47" t="s">
        <v>2752</v>
      </c>
      <c r="AB151" s="46" t="str">
        <f t="shared" si="32"/>
        <v>JUEVES</v>
      </c>
      <c r="AC151" s="47" t="s">
        <v>2753</v>
      </c>
      <c r="AD151" t="str">
        <f t="shared" si="33"/>
        <v>CONTRATURNO</v>
      </c>
      <c r="AE151" s="47" t="s">
        <v>2754</v>
      </c>
      <c r="AH151" t="str">
        <f t="shared" si="34"/>
        <v>INSERT INTO horario_curso_materia (horario_curso_materia.FK_CUR_mat,horario_curso_materia.FK_HOR,horario_curso_materia.DIA,horario_curso_materia.tipo_turno) VALUES (  (SELECT curso_materia.ID_CUR_MAT FROM curso_materia WHERE curso_materia.CUPOF='2683132' ) ,
    (SELECT horario.ID_HOR FROM horario WHERE horario.modulo='1 ' and horario.turno='T ' ),'JUEVES ' , 'CONTRATURNO ' );</v>
      </c>
    </row>
    <row r="152" spans="1:34" ht="15" hidden="1" customHeight="1" x14ac:dyDescent="0.3">
      <c r="A152" s="1" t="str">
        <f t="shared" si="25"/>
        <v>2°1°</v>
      </c>
      <c r="B152" s="54" t="str">
        <f t="shared" si="26"/>
        <v>2°1°1LUMAÑANA0</v>
      </c>
      <c r="C152" s="62">
        <f>VLOOKUP(G152,[1]Hoja1!$A:$O,3,0)</f>
        <v>0</v>
      </c>
      <c r="D152" s="2" t="str">
        <f t="shared" si="27"/>
        <v>1LUM</v>
      </c>
      <c r="E152" s="62" t="s">
        <v>9</v>
      </c>
      <c r="F152" s="62" t="s">
        <v>27</v>
      </c>
      <c r="G152" s="62" t="s">
        <v>298</v>
      </c>
      <c r="H152" s="8" t="str">
        <f>VLOOKUP(G152,[1]Hoja1!$A:$O,6,0)</f>
        <v>MATEMATICA</v>
      </c>
      <c r="I152" s="4"/>
      <c r="J152" s="4"/>
      <c r="K152" s="80" t="str">
        <f t="shared" si="35"/>
        <v>LU</v>
      </c>
      <c r="L152" s="4"/>
      <c r="M152" s="86" t="str">
        <f>VLOOKUP(G152,[1]Hoja1!$A:$O,15,0)</f>
        <v>GARCIA. C.</v>
      </c>
      <c r="N152" s="2" t="str">
        <f t="shared" si="28"/>
        <v>2°1°2MATLU</v>
      </c>
      <c r="O152" s="2"/>
      <c r="P152" s="39" t="str">
        <f>VLOOKUP(G152,[1]Hoja1!$A:$P,16,0)</f>
        <v xml:space="preserve"> </v>
      </c>
      <c r="Q152" s="39"/>
      <c r="S152">
        <f>VLOOKUP(G152,[1]Hoja1!$A:$O,5,0)</f>
        <v>733468</v>
      </c>
      <c r="U152" s="45" t="s">
        <v>2751</v>
      </c>
      <c r="V152" s="46">
        <f t="shared" si="29"/>
        <v>733468</v>
      </c>
      <c r="W152" s="47" t="s">
        <v>1519</v>
      </c>
      <c r="X152" s="46" t="str">
        <f t="shared" si="30"/>
        <v>1</v>
      </c>
      <c r="Y152" s="47" t="s">
        <v>1518</v>
      </c>
      <c r="Z152" s="46" t="str">
        <f t="shared" si="31"/>
        <v>M</v>
      </c>
      <c r="AA152" s="47" t="s">
        <v>2752</v>
      </c>
      <c r="AB152" s="46" t="str">
        <f t="shared" si="32"/>
        <v>LUNES</v>
      </c>
      <c r="AC152" s="47" t="s">
        <v>2753</v>
      </c>
      <c r="AD152">
        <f t="shared" si="33"/>
        <v>0</v>
      </c>
      <c r="AE152" s="47" t="s">
        <v>2754</v>
      </c>
      <c r="AH152" t="str">
        <f t="shared" si="34"/>
        <v>INSERT INTO horario_curso_materia (horario_curso_materia.FK_CUR_mat,horario_curso_materia.FK_HOR,horario_curso_materia.DIA,horario_curso_materia.tipo_turno) VALUES (  (SELECT curso_materia.ID_CUR_MAT FROM curso_materia WHERE curso_materia.CUPOF='733468' ) ,
    (SELECT horario.ID_HOR FROM horario WHERE horario.modulo='1 ' and horario.turno='M ' ),'LUNES ' , '0 ' );</v>
      </c>
    </row>
    <row r="153" spans="1:34" ht="15" hidden="1" customHeight="1" x14ac:dyDescent="0.3">
      <c r="A153" s="18" t="str">
        <f t="shared" si="25"/>
        <v>2°1°</v>
      </c>
      <c r="B153" s="54" t="str">
        <f t="shared" si="26"/>
        <v>2°1°1LUTARDE211</v>
      </c>
      <c r="C153" s="64">
        <f>VLOOKUP(G153,[1]Hoja1!$A:$O,3,0)</f>
        <v>211</v>
      </c>
      <c r="D153" s="2" t="str">
        <f t="shared" si="27"/>
        <v>1LUTCARPINTERIA</v>
      </c>
      <c r="E153" s="62" t="s">
        <v>9</v>
      </c>
      <c r="F153" s="62" t="s">
        <v>10</v>
      </c>
      <c r="G153" s="62" t="s">
        <v>68</v>
      </c>
      <c r="H153" s="8" t="str">
        <f>VLOOKUP(G153,[1]Hoja1!$A:$O,6,0)</f>
        <v>PROCEDIMIENTOS TECNICOS</v>
      </c>
      <c r="I153" s="4" t="s">
        <v>23</v>
      </c>
      <c r="J153" s="4"/>
      <c r="K153" s="80" t="str">
        <f t="shared" si="35"/>
        <v>LU</v>
      </c>
      <c r="L153" s="4" t="s">
        <v>512</v>
      </c>
      <c r="M153" s="86" t="str">
        <f>VLOOKUP(G153,[1]Hoja1!$A:$O,15,0)</f>
        <v xml:space="preserve">RODRIGUEZ RAUL                            </v>
      </c>
      <c r="N153" s="2" t="str">
        <f t="shared" si="28"/>
        <v>2°1°2112TPT2LU</v>
      </c>
      <c r="O153" s="2"/>
      <c r="P153" s="2" t="str">
        <f>VLOOKUP(G153,[1]Hoja1!$A:$P,16,0)</f>
        <v xml:space="preserve"> </v>
      </c>
      <c r="Q153" s="2"/>
      <c r="S153">
        <f>VLOOKUP(G153,[1]Hoja1!$A:$O,5,0)</f>
        <v>2683128</v>
      </c>
      <c r="U153" s="45" t="s">
        <v>2751</v>
      </c>
      <c r="V153" s="46">
        <f t="shared" si="29"/>
        <v>2683128</v>
      </c>
      <c r="W153" s="47" t="s">
        <v>1519</v>
      </c>
      <c r="X153" s="46" t="str">
        <f t="shared" si="30"/>
        <v>1</v>
      </c>
      <c r="Y153" s="47" t="s">
        <v>1518</v>
      </c>
      <c r="Z153" s="46" t="str">
        <f t="shared" si="31"/>
        <v>T</v>
      </c>
      <c r="AA153" s="47" t="s">
        <v>2752</v>
      </c>
      <c r="AB153" s="46" t="str">
        <f t="shared" si="32"/>
        <v>LUNES</v>
      </c>
      <c r="AC153" s="47" t="s">
        <v>2753</v>
      </c>
      <c r="AD153" t="str">
        <f t="shared" si="33"/>
        <v>CONTRATURNO</v>
      </c>
      <c r="AE153" s="47" t="s">
        <v>2754</v>
      </c>
      <c r="AH153" t="str">
        <f t="shared" si="34"/>
        <v>INSERT INTO horario_curso_materia (horario_curso_materia.FK_CUR_mat,horario_curso_materia.FK_HOR,horario_curso_materia.DIA,horario_curso_materia.tipo_turno) VALUES (  (SELECT curso_materia.ID_CUR_MAT FROM curso_materia WHERE curso_materia.CUPOF='2683128' ) ,
    (SELECT horario.ID_HOR FROM horario WHERE horario.modulo='1 ' and horario.turno='T ' ),'LUNES ' , 'CONTRATURNO ' );</v>
      </c>
    </row>
    <row r="154" spans="1:34" ht="15" hidden="1" customHeight="1" x14ac:dyDescent="0.3">
      <c r="A154" s="1" t="str">
        <f t="shared" si="25"/>
        <v>2°1°</v>
      </c>
      <c r="B154" s="54" t="str">
        <f t="shared" si="26"/>
        <v>2°1°1MAMAÑANA0</v>
      </c>
      <c r="C154" s="62">
        <f>VLOOKUP(G154,[1]Hoja1!$A:$O,3,0)</f>
        <v>0</v>
      </c>
      <c r="D154" s="2" t="str">
        <f t="shared" si="27"/>
        <v>1MAM</v>
      </c>
      <c r="E154" s="62" t="s">
        <v>17</v>
      </c>
      <c r="F154" s="62" t="s">
        <v>27</v>
      </c>
      <c r="G154" s="62" t="s">
        <v>301</v>
      </c>
      <c r="H154" s="8" t="str">
        <f>VLOOKUP(G154,[1]Hoja1!$A:$O,6,0)</f>
        <v>PRACTICA DEL LENGUAJE</v>
      </c>
      <c r="I154" s="4"/>
      <c r="J154" s="4"/>
      <c r="K154" s="80" t="str">
        <f t="shared" si="35"/>
        <v>MA</v>
      </c>
      <c r="L154" s="4"/>
      <c r="M154" s="86" t="str">
        <f>VLOOKUP(G154,[1]Hoja1!$A:$O,15,0)</f>
        <v>CAÑETE YOHANA</v>
      </c>
      <c r="N154" s="2" t="str">
        <f t="shared" si="28"/>
        <v>2°1°2PLGMA</v>
      </c>
      <c r="O154" s="2"/>
      <c r="P154" s="2" t="str">
        <f>VLOOKUP(G154,[1]Hoja1!$A:$P,16,0)</f>
        <v xml:space="preserve"> </v>
      </c>
      <c r="Q154" s="2"/>
      <c r="S154">
        <f>VLOOKUP(G154,[1]Hoja1!$A:$O,5,0)</f>
        <v>733470</v>
      </c>
      <c r="U154" s="45" t="s">
        <v>2751</v>
      </c>
      <c r="V154" s="46">
        <f t="shared" si="29"/>
        <v>733470</v>
      </c>
      <c r="W154" s="47" t="s">
        <v>1519</v>
      </c>
      <c r="X154" s="46" t="str">
        <f t="shared" si="30"/>
        <v>1</v>
      </c>
      <c r="Y154" s="47" t="s">
        <v>1518</v>
      </c>
      <c r="Z154" s="46" t="str">
        <f t="shared" si="31"/>
        <v>M</v>
      </c>
      <c r="AA154" s="47" t="s">
        <v>2752</v>
      </c>
      <c r="AB154" s="46" t="str">
        <f t="shared" si="32"/>
        <v>MARTES</v>
      </c>
      <c r="AC154" s="47" t="s">
        <v>2753</v>
      </c>
      <c r="AD154">
        <f t="shared" si="33"/>
        <v>0</v>
      </c>
      <c r="AE154" s="47" t="s">
        <v>2754</v>
      </c>
      <c r="AH154" t="str">
        <f t="shared" si="34"/>
        <v>INSERT INTO horario_curso_materia (horario_curso_materia.FK_CUR_mat,horario_curso_materia.FK_HOR,horario_curso_materia.DIA,horario_curso_materia.tipo_turno) VALUES (  (SELECT curso_materia.ID_CUR_MAT FROM curso_materia WHERE curso_materia.CUPOF='733470' ) ,
    (SELECT horario.ID_HOR FROM horario WHERE horario.modulo='1 ' and horario.turno='M ' ),'MARTES ' , '0 ' );</v>
      </c>
    </row>
    <row r="155" spans="1:34" ht="15" hidden="1" customHeight="1" x14ac:dyDescent="0.3">
      <c r="A155" s="1" t="str">
        <f t="shared" si="25"/>
        <v>2°1°</v>
      </c>
      <c r="B155" s="54" t="str">
        <f t="shared" si="26"/>
        <v>2°1°1MIMAÑANA0</v>
      </c>
      <c r="C155" s="62">
        <f>VLOOKUP(G155,[1]Hoja1!$A:$O,3,0)</f>
        <v>0</v>
      </c>
      <c r="D155" s="2" t="str">
        <f t="shared" si="27"/>
        <v>1MIM</v>
      </c>
      <c r="E155" s="62" t="s">
        <v>24</v>
      </c>
      <c r="F155" s="62" t="s">
        <v>27</v>
      </c>
      <c r="G155" s="62" t="s">
        <v>303</v>
      </c>
      <c r="H155" s="8" t="str">
        <f>VLOOKUP(G155,[1]Hoja1!$A:$O,6,0)</f>
        <v>HISTORIA</v>
      </c>
      <c r="I155" s="4"/>
      <c r="J155" s="4"/>
      <c r="K155" s="80" t="str">
        <f t="shared" si="35"/>
        <v>MI</v>
      </c>
      <c r="L155" s="4"/>
      <c r="M155" s="86" t="str">
        <f>VLOOKUP(G155,[1]Hoja1!$A:$O,15,0)</f>
        <v xml:space="preserve">TORRES LUIS                    </v>
      </c>
      <c r="N155" s="2" t="str">
        <f t="shared" si="28"/>
        <v>2°1°2HISMI</v>
      </c>
      <c r="O155" s="2"/>
      <c r="P155" s="2" t="str">
        <f>VLOOKUP(G155,[1]Hoja1!$A:$P,16,0)</f>
        <v xml:space="preserve"> </v>
      </c>
      <c r="Q155" s="2"/>
      <c r="S155">
        <f>VLOOKUP(G155,[1]Hoja1!$A:$O,5,0)</f>
        <v>1642703</v>
      </c>
      <c r="U155" s="45" t="s">
        <v>2751</v>
      </c>
      <c r="V155" s="46">
        <f t="shared" si="29"/>
        <v>1642703</v>
      </c>
      <c r="W155" s="47" t="s">
        <v>1519</v>
      </c>
      <c r="X155" s="46" t="str">
        <f t="shared" si="30"/>
        <v>1</v>
      </c>
      <c r="Y155" s="47" t="s">
        <v>1518</v>
      </c>
      <c r="Z155" s="46" t="str">
        <f t="shared" si="31"/>
        <v>M</v>
      </c>
      <c r="AA155" s="47" t="s">
        <v>2752</v>
      </c>
      <c r="AB155" s="46" t="str">
        <f t="shared" si="32"/>
        <v>MIERCOLES</v>
      </c>
      <c r="AC155" s="47" t="s">
        <v>2753</v>
      </c>
      <c r="AD155">
        <f t="shared" si="33"/>
        <v>0</v>
      </c>
      <c r="AE155" s="47" t="s">
        <v>2754</v>
      </c>
      <c r="AH155" t="str">
        <f t="shared" si="34"/>
        <v>INSERT INTO horario_curso_materia (horario_curso_materia.FK_CUR_mat,horario_curso_materia.FK_HOR,horario_curso_materia.DIA,horario_curso_materia.tipo_turno) VALUES (  (SELECT curso_materia.ID_CUR_MAT FROM curso_materia WHERE curso_materia.CUPOF='1642703' ) ,
    (SELECT horario.ID_HOR FROM horario WHERE horario.modulo='1 ' and horario.turno='M ' ),'MIERCOLES ' , '0 ' );</v>
      </c>
    </row>
    <row r="156" spans="1:34" ht="15" hidden="1" customHeight="1" x14ac:dyDescent="0.3">
      <c r="A156" s="18" t="str">
        <f t="shared" si="25"/>
        <v>2°1°</v>
      </c>
      <c r="B156" s="54" t="str">
        <f t="shared" si="26"/>
        <v>2°1°1MITARDE211</v>
      </c>
      <c r="C156" s="64">
        <f>VLOOKUP(G156,[1]Hoja1!$A:$O,3,0)</f>
        <v>211</v>
      </c>
      <c r="D156" s="2" t="str">
        <f t="shared" si="27"/>
        <v>1MITAULA 2</v>
      </c>
      <c r="E156" s="62" t="s">
        <v>24</v>
      </c>
      <c r="F156" s="62" t="s">
        <v>10</v>
      </c>
      <c r="G156" s="62" t="s">
        <v>69</v>
      </c>
      <c r="H156" s="8" t="str">
        <f>VLOOKUP(G156,[1]Hoja1!$A:$O,6,0)</f>
        <v>LENGUAJES TECNOLOGICOS</v>
      </c>
      <c r="I156" s="4" t="s">
        <v>1486</v>
      </c>
      <c r="J156" s="4"/>
      <c r="K156" s="80" t="str">
        <f t="shared" si="35"/>
        <v>MI</v>
      </c>
      <c r="L156" s="4" t="s">
        <v>512</v>
      </c>
      <c r="M156" s="86" t="str">
        <f>VLOOKUP(G156,[1]Hoja1!$A:$O,15,0)</f>
        <v xml:space="preserve">MARCELO ELIAN GONZÁLEZ BALDERRAMA  </v>
      </c>
      <c r="N156" s="2" t="str">
        <f t="shared" si="28"/>
        <v>2°1°2112TLT2MI</v>
      </c>
      <c r="O156" s="2"/>
      <c r="P156" s="2" t="str">
        <f>VLOOKUP(G156,[1]Hoja1!$A:$P,16,0)</f>
        <v xml:space="preserve"> </v>
      </c>
      <c r="Q156" s="2"/>
      <c r="S156">
        <f>VLOOKUP(G156,[1]Hoja1!$A:$O,5,0)</f>
        <v>2683126</v>
      </c>
      <c r="U156" s="45" t="s">
        <v>2751</v>
      </c>
      <c r="V156" s="46">
        <f t="shared" si="29"/>
        <v>2683126</v>
      </c>
      <c r="W156" s="47" t="s">
        <v>1519</v>
      </c>
      <c r="X156" s="46" t="str">
        <f t="shared" si="30"/>
        <v>1</v>
      </c>
      <c r="Y156" s="47" t="s">
        <v>1518</v>
      </c>
      <c r="Z156" s="46" t="str">
        <f t="shared" si="31"/>
        <v>T</v>
      </c>
      <c r="AA156" s="47" t="s">
        <v>2752</v>
      </c>
      <c r="AB156" s="46" t="str">
        <f t="shared" si="32"/>
        <v>MIERCOLES</v>
      </c>
      <c r="AC156" s="47" t="s">
        <v>2753</v>
      </c>
      <c r="AD156" t="str">
        <f t="shared" si="33"/>
        <v>CONTRATURNO</v>
      </c>
      <c r="AE156" s="47" t="s">
        <v>2754</v>
      </c>
      <c r="AH156" t="str">
        <f t="shared" si="34"/>
        <v>INSERT INTO horario_curso_materia (horario_curso_materia.FK_CUR_mat,horario_curso_materia.FK_HOR,horario_curso_materia.DIA,horario_curso_materia.tipo_turno) VALUES (  (SELECT curso_materia.ID_CUR_MAT FROM curso_materia WHERE curso_materia.CUPOF='2683126' ) ,
    (SELECT horario.ID_HOR FROM horario WHERE horario.modulo='1 ' and horario.turno='T ' ),'MIERCOLES ' , 'CONTRATURNO ' );</v>
      </c>
    </row>
    <row r="157" spans="1:34" ht="15" hidden="1" customHeight="1" x14ac:dyDescent="0.3">
      <c r="A157" s="1" t="str">
        <f t="shared" si="25"/>
        <v>2°1°</v>
      </c>
      <c r="B157" s="54" t="str">
        <f t="shared" si="26"/>
        <v>2°1°1MITARDE212</v>
      </c>
      <c r="C157" s="62">
        <f>VLOOKUP(G157,[1]Hoja1!$A:$O,3,0)</f>
        <v>212</v>
      </c>
      <c r="D157" s="2" t="str">
        <f t="shared" si="27"/>
        <v>1MIT45</v>
      </c>
      <c r="E157" s="62" t="s">
        <v>24</v>
      </c>
      <c r="F157" s="62" t="s">
        <v>10</v>
      </c>
      <c r="G157" s="62" t="s">
        <v>70</v>
      </c>
      <c r="H157" s="8" t="str">
        <f>VLOOKUP(G157,[1]Hoja1!$A:$O,6,0)</f>
        <v>SISTEMAS TECNOLOGICOS</v>
      </c>
      <c r="I157" s="4">
        <v>45</v>
      </c>
      <c r="J157" s="4"/>
      <c r="K157" s="80" t="str">
        <f t="shared" si="35"/>
        <v>MI</v>
      </c>
      <c r="L157" s="4" t="s">
        <v>512</v>
      </c>
      <c r="M157" s="86" t="str">
        <f>VLOOKUP(G157,[1]Hoja1!$A:$O,15,0)</f>
        <v xml:space="preserve">VERA LORENA                        </v>
      </c>
      <c r="N157" s="2" t="str">
        <f t="shared" si="28"/>
        <v>2°1°2122TST2MI</v>
      </c>
      <c r="O157" s="2"/>
      <c r="P157" s="2" t="str">
        <f>VLOOKUP(G157,[1]Hoja1!$A:$P,16,0)</f>
        <v xml:space="preserve"> </v>
      </c>
      <c r="Q157" s="2"/>
      <c r="S157">
        <f>VLOOKUP(G157,[1]Hoja1!$A:$O,5,0)</f>
        <v>2683131</v>
      </c>
      <c r="U157" s="45" t="s">
        <v>2751</v>
      </c>
      <c r="V157" s="46">
        <f t="shared" si="29"/>
        <v>2683131</v>
      </c>
      <c r="W157" s="47" t="s">
        <v>1519</v>
      </c>
      <c r="X157" s="46" t="str">
        <f t="shared" si="30"/>
        <v>1</v>
      </c>
      <c r="Y157" s="47" t="s">
        <v>1518</v>
      </c>
      <c r="Z157" s="46" t="str">
        <f t="shared" si="31"/>
        <v>T</v>
      </c>
      <c r="AA157" s="47" t="s">
        <v>2752</v>
      </c>
      <c r="AB157" s="46" t="str">
        <f t="shared" si="32"/>
        <v>MIERCOLES</v>
      </c>
      <c r="AC157" s="47" t="s">
        <v>2753</v>
      </c>
      <c r="AD157" t="str">
        <f t="shared" si="33"/>
        <v>CONTRATURNO</v>
      </c>
      <c r="AE157" s="47" t="s">
        <v>2754</v>
      </c>
      <c r="AH157" t="str">
        <f t="shared" si="34"/>
        <v>INSERT INTO horario_curso_materia (horario_curso_materia.FK_CUR_mat,horario_curso_materia.FK_HOR,horario_curso_materia.DIA,horario_curso_materia.tipo_turno) VALUES (  (SELECT curso_materia.ID_CUR_MAT FROM curso_materia WHERE curso_materia.CUPOF='2683131' ) ,
    (SELECT horario.ID_HOR FROM horario WHERE horario.modulo='1 ' and horario.turno='T ' ),'MIERCOLES ' , 'CONTRATURNO ' );</v>
      </c>
    </row>
    <row r="158" spans="1:34" ht="15" hidden="1" customHeight="1" x14ac:dyDescent="0.3">
      <c r="A158" s="1" t="str">
        <f t="shared" si="25"/>
        <v>2°1°</v>
      </c>
      <c r="B158" s="54" t="str">
        <f t="shared" si="26"/>
        <v>2°1°1VIMAÑANA0</v>
      </c>
      <c r="C158" s="62">
        <f>VLOOKUP(G158,[1]Hoja1!$A:$O,3,0)</f>
        <v>0</v>
      </c>
      <c r="D158" s="2" t="str">
        <f t="shared" si="27"/>
        <v>1VIM</v>
      </c>
      <c r="E158" s="62" t="s">
        <v>57</v>
      </c>
      <c r="F158" s="62" t="s">
        <v>27</v>
      </c>
      <c r="G158" s="62" t="s">
        <v>301</v>
      </c>
      <c r="H158" s="8" t="str">
        <f>VLOOKUP(G158,[1]Hoja1!$A:$O,6,0)</f>
        <v>PRACTICA DEL LENGUAJE</v>
      </c>
      <c r="I158" s="4"/>
      <c r="J158" s="4"/>
      <c r="K158" s="80" t="str">
        <f t="shared" si="35"/>
        <v>VI</v>
      </c>
      <c r="L158" s="4"/>
      <c r="M158" s="86" t="str">
        <f>VLOOKUP(G158,[1]Hoja1!$A:$O,15,0)</f>
        <v>CAÑETE YOHANA</v>
      </c>
      <c r="N158" s="2" t="str">
        <f t="shared" si="28"/>
        <v>2°1°2PLGVI</v>
      </c>
      <c r="O158" s="2"/>
      <c r="P158" s="2" t="str">
        <f>VLOOKUP(G158,[1]Hoja1!$A:$P,16,0)</f>
        <v xml:space="preserve"> </v>
      </c>
      <c r="Q158" s="2"/>
      <c r="S158">
        <f>VLOOKUP(G158,[1]Hoja1!$A:$O,5,0)</f>
        <v>733470</v>
      </c>
      <c r="U158" s="45" t="s">
        <v>2751</v>
      </c>
      <c r="V158" s="46">
        <f t="shared" si="29"/>
        <v>733470</v>
      </c>
      <c r="W158" s="47" t="s">
        <v>1519</v>
      </c>
      <c r="X158" s="46" t="str">
        <f t="shared" si="30"/>
        <v>1</v>
      </c>
      <c r="Y158" s="47" t="s">
        <v>1518</v>
      </c>
      <c r="Z158" s="46" t="str">
        <f t="shared" si="31"/>
        <v>M</v>
      </c>
      <c r="AA158" s="47" t="s">
        <v>2752</v>
      </c>
      <c r="AB158" s="46" t="str">
        <f t="shared" si="32"/>
        <v>VIERNES</v>
      </c>
      <c r="AC158" s="47" t="s">
        <v>2753</v>
      </c>
      <c r="AD158">
        <f t="shared" si="33"/>
        <v>0</v>
      </c>
      <c r="AE158" s="47" t="s">
        <v>2754</v>
      </c>
      <c r="AH158" t="str">
        <f t="shared" si="34"/>
        <v>INSERT INTO horario_curso_materia (horario_curso_materia.FK_CUR_mat,horario_curso_materia.FK_HOR,horario_curso_materia.DIA,horario_curso_materia.tipo_turno) VALUES (  (SELECT curso_materia.ID_CUR_MAT FROM curso_materia WHERE curso_materia.CUPOF='733470' ) ,
    (SELECT horario.ID_HOR FROM horario WHERE horario.modulo='1 ' and horario.turno='M ' ),'VIERNES ' , '0 ' );</v>
      </c>
    </row>
    <row r="159" spans="1:34" ht="15" hidden="1" customHeight="1" x14ac:dyDescent="0.3">
      <c r="A159" s="3" t="str">
        <f t="shared" si="25"/>
        <v>2°1°</v>
      </c>
      <c r="B159" s="54" t="str">
        <f t="shared" si="26"/>
        <v>2°1°1viTARDE211</v>
      </c>
      <c r="C159" s="63">
        <f>VLOOKUP(G159,[1]Hoja1!$A:$O,3,0)</f>
        <v>211</v>
      </c>
      <c r="D159" s="23" t="str">
        <f t="shared" si="27"/>
        <v>1viT47</v>
      </c>
      <c r="E159" s="63" t="s">
        <v>1375</v>
      </c>
      <c r="F159" s="63" t="s">
        <v>10</v>
      </c>
      <c r="G159" s="63" t="s">
        <v>72</v>
      </c>
      <c r="H159" s="3" t="str">
        <f>VLOOKUP(G159,[1]Hoja1!$A:$O,6,0)</f>
        <v>SISTEMAS TECNOLOGICOS</v>
      </c>
      <c r="I159" s="17">
        <v>47</v>
      </c>
      <c r="J159" s="17"/>
      <c r="K159" s="81" t="str">
        <f t="shared" si="35"/>
        <v>vi</v>
      </c>
      <c r="L159" s="17" t="s">
        <v>512</v>
      </c>
      <c r="M159" s="87" t="str">
        <f>VLOOKUP(G159,[1]Hoja1!$A:$O,15,0)</f>
        <v xml:space="preserve">CRUZ DAVID   </v>
      </c>
      <c r="N159" s="23" t="str">
        <f t="shared" si="28"/>
        <v>2°1°2112TST2vi</v>
      </c>
      <c r="O159" s="23" t="s">
        <v>1376</v>
      </c>
      <c r="P159" s="2" t="str">
        <f>VLOOKUP(G159,[1]Hoja1!$A:$P,16,0)</f>
        <v xml:space="preserve"> </v>
      </c>
      <c r="Q159" s="2"/>
      <c r="S159">
        <f>VLOOKUP(G159,[1]Hoja1!$A:$O,5,0)</f>
        <v>2683127</v>
      </c>
      <c r="U159" s="45" t="s">
        <v>2751</v>
      </c>
      <c r="V159" s="46">
        <f t="shared" si="29"/>
        <v>2683127</v>
      </c>
      <c r="W159" s="47" t="s">
        <v>1519</v>
      </c>
      <c r="X159" s="46" t="str">
        <f t="shared" si="30"/>
        <v>1</v>
      </c>
      <c r="Y159" s="47" t="s">
        <v>1518</v>
      </c>
      <c r="Z159" s="46" t="str">
        <f t="shared" si="31"/>
        <v>T</v>
      </c>
      <c r="AA159" s="47" t="s">
        <v>2752</v>
      </c>
      <c r="AB159" s="46" t="str">
        <f t="shared" si="32"/>
        <v>VIERNES</v>
      </c>
      <c r="AC159" s="47" t="s">
        <v>2753</v>
      </c>
      <c r="AD159" t="str">
        <f t="shared" si="33"/>
        <v>CONTRATURNO</v>
      </c>
      <c r="AE159" s="47" t="s">
        <v>2754</v>
      </c>
      <c r="AH159" t="str">
        <f t="shared" si="34"/>
        <v>INSERT INTO horario_curso_materia (horario_curso_materia.FK_CUR_mat,horario_curso_materia.FK_HOR,horario_curso_materia.DIA,horario_curso_materia.tipo_turno) VALUES (  (SELECT curso_materia.ID_CUR_MAT FROM curso_materia WHERE curso_materia.CUPOF='2683127' ) ,
    (SELECT horario.ID_HOR FROM horario WHERE horario.modulo='1 ' and horario.turno='T ' ),'VIERNES ' , 'CONTRATURNO ' );</v>
      </c>
    </row>
    <row r="160" spans="1:34" ht="15" hidden="1" customHeight="1" x14ac:dyDescent="0.3">
      <c r="A160" s="1" t="str">
        <f t="shared" si="25"/>
        <v>2°1°</v>
      </c>
      <c r="B160" s="54" t="str">
        <f t="shared" si="26"/>
        <v>2°1°2JUMAÑANA0</v>
      </c>
      <c r="C160" s="62">
        <f>VLOOKUP(G160,[1]Hoja1!$A:$O,3,0)</f>
        <v>0</v>
      </c>
      <c r="D160" s="2" t="str">
        <f t="shared" si="27"/>
        <v>2JUM</v>
      </c>
      <c r="E160" s="62" t="s">
        <v>45</v>
      </c>
      <c r="F160" s="62" t="s">
        <v>27</v>
      </c>
      <c r="G160" s="62" t="s">
        <v>305</v>
      </c>
      <c r="H160" s="8" t="str">
        <f>VLOOKUP(G160,[1]Hoja1!$A:$O,6,0)</f>
        <v>GEOGRAFIA</v>
      </c>
      <c r="I160" s="4"/>
      <c r="J160" s="4"/>
      <c r="K160" s="80" t="str">
        <f t="shared" si="35"/>
        <v>JU</v>
      </c>
      <c r="L160" s="4"/>
      <c r="M160" s="86" t="str">
        <f>VLOOKUP(G160,[1]Hoja1!$A:$O,15,0)</f>
        <v>OSTRIZ GISELA JORGELINA</v>
      </c>
      <c r="N160" s="2" t="str">
        <f t="shared" si="28"/>
        <v>2°1°2GEOJU</v>
      </c>
      <c r="O160" s="2"/>
      <c r="P160" s="2" t="str">
        <f>VLOOKUP(G160,[1]Hoja1!$A:$P,16,0)</f>
        <v xml:space="preserve"> </v>
      </c>
      <c r="Q160" s="2"/>
      <c r="S160">
        <f>VLOOKUP(G160,[1]Hoja1!$A:$O,5,0)</f>
        <v>31174482</v>
      </c>
      <c r="U160" s="45" t="s">
        <v>2751</v>
      </c>
      <c r="V160" s="46">
        <f t="shared" si="29"/>
        <v>31174482</v>
      </c>
      <c r="W160" s="47" t="s">
        <v>1519</v>
      </c>
      <c r="X160" s="46" t="str">
        <f t="shared" si="30"/>
        <v>2</v>
      </c>
      <c r="Y160" s="47" t="s">
        <v>1518</v>
      </c>
      <c r="Z160" s="46" t="str">
        <f t="shared" si="31"/>
        <v>M</v>
      </c>
      <c r="AA160" s="47" t="s">
        <v>2752</v>
      </c>
      <c r="AB160" s="46" t="str">
        <f t="shared" si="32"/>
        <v>JUEVES</v>
      </c>
      <c r="AC160" s="47" t="s">
        <v>2753</v>
      </c>
      <c r="AD160">
        <f t="shared" si="33"/>
        <v>0</v>
      </c>
      <c r="AE160" s="47" t="s">
        <v>2754</v>
      </c>
      <c r="AH160" t="str">
        <f t="shared" si="34"/>
        <v>INSERT INTO horario_curso_materia (horario_curso_materia.FK_CUR_mat,horario_curso_materia.FK_HOR,horario_curso_materia.DIA,horario_curso_materia.tipo_turno) VALUES (  (SELECT curso_materia.ID_CUR_MAT FROM curso_materia WHERE curso_materia.CUPOF='31174482' ) ,
    (SELECT horario.ID_HOR FROM horario WHERE horario.modulo='2 ' and horario.turno='M ' ),'JUEVES ' , '0 ' );</v>
      </c>
    </row>
    <row r="161" spans="1:34" ht="15" hidden="1" customHeight="1" x14ac:dyDescent="0.3">
      <c r="A161" s="3" t="str">
        <f t="shared" si="25"/>
        <v>2°1°</v>
      </c>
      <c r="B161" s="54" t="str">
        <f t="shared" si="26"/>
        <v>2°1°2JUTARDE212</v>
      </c>
      <c r="C161" s="63">
        <f>VLOOKUP(G161,[1]Hoja1!$A:$O,3,0)</f>
        <v>212</v>
      </c>
      <c r="D161" s="3" t="str">
        <f t="shared" si="27"/>
        <v>2JUTHERRERIA</v>
      </c>
      <c r="E161" s="63" t="s">
        <v>45</v>
      </c>
      <c r="F161" s="63" t="s">
        <v>10</v>
      </c>
      <c r="G161" s="63" t="s">
        <v>71</v>
      </c>
      <c r="H161" s="3" t="str">
        <f>VLOOKUP(G161,[1]Hoja1!$A:$O,6,0)</f>
        <v>PROCEDIMIENTOS TECNICOS</v>
      </c>
      <c r="I161" s="17" t="s">
        <v>21</v>
      </c>
      <c r="J161" s="4"/>
      <c r="K161" s="80" t="str">
        <f t="shared" si="35"/>
        <v>JU</v>
      </c>
      <c r="L161" s="4" t="s">
        <v>512</v>
      </c>
      <c r="M161" s="86" t="str">
        <f>VLOOKUP(G161,[1]Hoja1!$A:$O,15,0)</f>
        <v xml:space="preserve">CHAMORRO CRISTIAN                        </v>
      </c>
      <c r="N161" s="2" t="str">
        <f t="shared" si="28"/>
        <v>2°1°2122TPT2JU</v>
      </c>
      <c r="O161" s="2"/>
      <c r="P161" s="2" t="str">
        <f>VLOOKUP(G161,[1]Hoja1!$A:$P,16,0)</f>
        <v xml:space="preserve"> </v>
      </c>
      <c r="Q161" s="2"/>
      <c r="S161">
        <f>VLOOKUP(G161,[1]Hoja1!$A:$O,5,0)</f>
        <v>2683132</v>
      </c>
      <c r="U161" s="45" t="s">
        <v>2751</v>
      </c>
      <c r="V161" s="46">
        <f t="shared" si="29"/>
        <v>2683132</v>
      </c>
      <c r="W161" s="47" t="s">
        <v>1519</v>
      </c>
      <c r="X161" s="46" t="str">
        <f t="shared" si="30"/>
        <v>2</v>
      </c>
      <c r="Y161" s="47" t="s">
        <v>1518</v>
      </c>
      <c r="Z161" s="46" t="str">
        <f t="shared" si="31"/>
        <v>T</v>
      </c>
      <c r="AA161" s="47" t="s">
        <v>2752</v>
      </c>
      <c r="AB161" s="46" t="str">
        <f t="shared" si="32"/>
        <v>JUEVES</v>
      </c>
      <c r="AC161" s="47" t="s">
        <v>2753</v>
      </c>
      <c r="AD161" t="str">
        <f t="shared" si="33"/>
        <v>CONTRATURNO</v>
      </c>
      <c r="AE161" s="47" t="s">
        <v>2754</v>
      </c>
      <c r="AH161" t="str">
        <f t="shared" si="34"/>
        <v>INSERT INTO horario_curso_materia (horario_curso_materia.FK_CUR_mat,horario_curso_materia.FK_HOR,horario_curso_materia.DIA,horario_curso_materia.tipo_turno) VALUES (  (SELECT curso_materia.ID_CUR_MAT FROM curso_materia WHERE curso_materia.CUPOF='2683132' ) ,
    (SELECT horario.ID_HOR FROM horario WHERE horario.modulo='2 ' and horario.turno='T ' ),'JUEVES ' , 'CONTRATURNO ' );</v>
      </c>
    </row>
    <row r="162" spans="1:34" ht="15" hidden="1" customHeight="1" x14ac:dyDescent="0.3">
      <c r="A162" s="1" t="str">
        <f t="shared" si="25"/>
        <v>2°1°</v>
      </c>
      <c r="B162" s="54" t="str">
        <f t="shared" si="26"/>
        <v>2°1°2LUMAÑANA0</v>
      </c>
      <c r="C162" s="62">
        <f>VLOOKUP(G162,[1]Hoja1!$A:$O,3,0)</f>
        <v>0</v>
      </c>
      <c r="D162" s="2" t="str">
        <f t="shared" si="27"/>
        <v>2LUM</v>
      </c>
      <c r="E162" s="62" t="s">
        <v>12</v>
      </c>
      <c r="F162" s="62" t="s">
        <v>27</v>
      </c>
      <c r="G162" s="62" t="s">
        <v>298</v>
      </c>
      <c r="H162" s="8" t="str">
        <f>VLOOKUP(G162,[1]Hoja1!$A:$O,6,0)</f>
        <v>MATEMATICA</v>
      </c>
      <c r="I162" s="4"/>
      <c r="J162" s="4"/>
      <c r="K162" s="80" t="str">
        <f t="shared" si="35"/>
        <v>LU</v>
      </c>
      <c r="L162" s="4"/>
      <c r="M162" s="86" t="str">
        <f>VLOOKUP(G162,[1]Hoja1!$A:$O,15,0)</f>
        <v>GARCIA. C.</v>
      </c>
      <c r="N162" s="2" t="str">
        <f t="shared" si="28"/>
        <v>2°1°2MATLU</v>
      </c>
      <c r="O162" s="2"/>
      <c r="P162" s="2" t="str">
        <f>VLOOKUP(G162,[1]Hoja1!$A:$P,16,0)</f>
        <v xml:space="preserve"> </v>
      </c>
      <c r="Q162" s="2"/>
      <c r="S162">
        <f>VLOOKUP(G162,[1]Hoja1!$A:$O,5,0)</f>
        <v>733468</v>
      </c>
      <c r="U162" s="45" t="s">
        <v>2751</v>
      </c>
      <c r="V162" s="46">
        <f t="shared" si="29"/>
        <v>733468</v>
      </c>
      <c r="W162" s="47" t="s">
        <v>1519</v>
      </c>
      <c r="X162" s="46" t="str">
        <f t="shared" si="30"/>
        <v>2</v>
      </c>
      <c r="Y162" s="47" t="s">
        <v>1518</v>
      </c>
      <c r="Z162" s="46" t="str">
        <f t="shared" si="31"/>
        <v>M</v>
      </c>
      <c r="AA162" s="47" t="s">
        <v>2752</v>
      </c>
      <c r="AB162" s="46" t="str">
        <f t="shared" si="32"/>
        <v>LUNES</v>
      </c>
      <c r="AC162" s="47" t="s">
        <v>2753</v>
      </c>
      <c r="AD162">
        <f t="shared" si="33"/>
        <v>0</v>
      </c>
      <c r="AE162" s="47" t="s">
        <v>2754</v>
      </c>
      <c r="AH162" t="str">
        <f t="shared" si="34"/>
        <v>INSERT INTO horario_curso_materia (horario_curso_materia.FK_CUR_mat,horario_curso_materia.FK_HOR,horario_curso_materia.DIA,horario_curso_materia.tipo_turno) VALUES (  (SELECT curso_materia.ID_CUR_MAT FROM curso_materia WHERE curso_materia.CUPOF='733468' ) ,
    (SELECT horario.ID_HOR FROM horario WHERE horario.modulo='2 ' and horario.turno='M ' ),'LUNES ' , '0 ' );</v>
      </c>
    </row>
    <row r="163" spans="1:34" ht="15" hidden="1" customHeight="1" x14ac:dyDescent="0.3">
      <c r="A163" s="18" t="str">
        <f t="shared" si="25"/>
        <v>2°1°</v>
      </c>
      <c r="B163" s="54" t="str">
        <f t="shared" si="26"/>
        <v>2°1°2LUTARDE211</v>
      </c>
      <c r="C163" s="64">
        <f>VLOOKUP(G163,[1]Hoja1!$A:$O,3,0)</f>
        <v>211</v>
      </c>
      <c r="D163" s="2" t="str">
        <f t="shared" si="27"/>
        <v>2LUTCARPINTERIA</v>
      </c>
      <c r="E163" s="62" t="s">
        <v>12</v>
      </c>
      <c r="F163" s="62" t="s">
        <v>10</v>
      </c>
      <c r="G163" s="62" t="s">
        <v>68</v>
      </c>
      <c r="H163" s="8" t="str">
        <f>VLOOKUP(G163,[1]Hoja1!$A:$O,6,0)</f>
        <v>PROCEDIMIENTOS TECNICOS</v>
      </c>
      <c r="I163" s="4" t="s">
        <v>23</v>
      </c>
      <c r="J163" s="4"/>
      <c r="K163" s="80" t="str">
        <f t="shared" si="35"/>
        <v>LU</v>
      </c>
      <c r="L163" s="4" t="s">
        <v>512</v>
      </c>
      <c r="M163" s="86" t="str">
        <f>VLOOKUP(G163,[1]Hoja1!$A:$O,15,0)</f>
        <v xml:space="preserve">RODRIGUEZ RAUL                            </v>
      </c>
      <c r="N163" s="2" t="str">
        <f t="shared" si="28"/>
        <v>2°1°2112TPT2LU</v>
      </c>
      <c r="O163" s="2"/>
      <c r="P163" s="2" t="str">
        <f>VLOOKUP(G163,[1]Hoja1!$A:$P,16,0)</f>
        <v xml:space="preserve"> </v>
      </c>
      <c r="Q163" s="2"/>
      <c r="S163">
        <f>VLOOKUP(G163,[1]Hoja1!$A:$O,5,0)</f>
        <v>2683128</v>
      </c>
      <c r="U163" s="45" t="s">
        <v>2751</v>
      </c>
      <c r="V163" s="46">
        <f t="shared" si="29"/>
        <v>2683128</v>
      </c>
      <c r="W163" s="47" t="s">
        <v>1519</v>
      </c>
      <c r="X163" s="46" t="str">
        <f t="shared" si="30"/>
        <v>2</v>
      </c>
      <c r="Y163" s="47" t="s">
        <v>1518</v>
      </c>
      <c r="Z163" s="46" t="str">
        <f t="shared" si="31"/>
        <v>T</v>
      </c>
      <c r="AA163" s="47" t="s">
        <v>2752</v>
      </c>
      <c r="AB163" s="46" t="str">
        <f t="shared" si="32"/>
        <v>LUNES</v>
      </c>
      <c r="AC163" s="47" t="s">
        <v>2753</v>
      </c>
      <c r="AD163" t="str">
        <f t="shared" si="33"/>
        <v>CONTRATURNO</v>
      </c>
      <c r="AE163" s="47" t="s">
        <v>2754</v>
      </c>
      <c r="AH163" t="str">
        <f t="shared" si="34"/>
        <v>INSERT INTO horario_curso_materia (horario_curso_materia.FK_CUR_mat,horario_curso_materia.FK_HOR,horario_curso_materia.DIA,horario_curso_materia.tipo_turno) VALUES (  (SELECT curso_materia.ID_CUR_MAT FROM curso_materia WHERE curso_materia.CUPOF='2683128' ) ,
    (SELECT horario.ID_HOR FROM horario WHERE horario.modulo='2 ' and horario.turno='T ' ),'LUNES ' , 'CONTRATURNO ' );</v>
      </c>
    </row>
    <row r="164" spans="1:34" ht="15" hidden="1" customHeight="1" x14ac:dyDescent="0.3">
      <c r="A164" s="1" t="str">
        <f t="shared" si="25"/>
        <v>2°1°</v>
      </c>
      <c r="B164" s="54" t="str">
        <f t="shared" si="26"/>
        <v>2°1°2MAMAÑANA0</v>
      </c>
      <c r="C164" s="62">
        <f>VLOOKUP(G164,[1]Hoja1!$A:$O,3,0)</f>
        <v>0</v>
      </c>
      <c r="D164" s="2" t="str">
        <f t="shared" si="27"/>
        <v>2MAM</v>
      </c>
      <c r="E164" s="62" t="s">
        <v>19</v>
      </c>
      <c r="F164" s="62" t="s">
        <v>27</v>
      </c>
      <c r="G164" s="62" t="s">
        <v>301</v>
      </c>
      <c r="H164" s="8" t="str">
        <f>VLOOKUP(G164,[1]Hoja1!$A:$O,6,0)</f>
        <v>PRACTICA DEL LENGUAJE</v>
      </c>
      <c r="I164" s="4"/>
      <c r="J164" s="4"/>
      <c r="K164" s="80" t="str">
        <f t="shared" si="35"/>
        <v>MA</v>
      </c>
      <c r="L164" s="4"/>
      <c r="M164" s="86" t="str">
        <f>VLOOKUP(G164,[1]Hoja1!$A:$O,15,0)</f>
        <v>CAÑETE YOHANA</v>
      </c>
      <c r="N164" s="2" t="str">
        <f t="shared" si="28"/>
        <v>2°1°2PLGMA</v>
      </c>
      <c r="O164" s="2"/>
      <c r="P164" s="2" t="str">
        <f>VLOOKUP(G164,[1]Hoja1!$A:$P,16,0)</f>
        <v xml:space="preserve"> </v>
      </c>
      <c r="Q164" s="2"/>
      <c r="S164">
        <f>VLOOKUP(G164,[1]Hoja1!$A:$O,5,0)</f>
        <v>733470</v>
      </c>
      <c r="U164" s="45" t="s">
        <v>2751</v>
      </c>
      <c r="V164" s="46">
        <f t="shared" si="29"/>
        <v>733470</v>
      </c>
      <c r="W164" s="47" t="s">
        <v>1519</v>
      </c>
      <c r="X164" s="46" t="str">
        <f t="shared" si="30"/>
        <v>2</v>
      </c>
      <c r="Y164" s="47" t="s">
        <v>1518</v>
      </c>
      <c r="Z164" s="46" t="str">
        <f t="shared" si="31"/>
        <v>M</v>
      </c>
      <c r="AA164" s="47" t="s">
        <v>2752</v>
      </c>
      <c r="AB164" s="46" t="str">
        <f t="shared" si="32"/>
        <v>MARTES</v>
      </c>
      <c r="AC164" s="47" t="s">
        <v>2753</v>
      </c>
      <c r="AD164">
        <f t="shared" si="33"/>
        <v>0</v>
      </c>
      <c r="AE164" s="47" t="s">
        <v>2754</v>
      </c>
      <c r="AH164" t="str">
        <f t="shared" si="34"/>
        <v>INSERT INTO horario_curso_materia (horario_curso_materia.FK_CUR_mat,horario_curso_materia.FK_HOR,horario_curso_materia.DIA,horario_curso_materia.tipo_turno) VALUES (  (SELECT curso_materia.ID_CUR_MAT FROM curso_materia WHERE curso_materia.CUPOF='733470' ) ,
    (SELECT horario.ID_HOR FROM horario WHERE horario.modulo='2 ' and horario.turno='M ' ),'MARTES ' , '0 ' );</v>
      </c>
    </row>
    <row r="165" spans="1:34" ht="15" hidden="1" customHeight="1" x14ac:dyDescent="0.3">
      <c r="A165" s="1" t="str">
        <f t="shared" si="25"/>
        <v>2°1°</v>
      </c>
      <c r="B165" s="54" t="str">
        <f t="shared" si="26"/>
        <v>2°1°2MIMAÑANA0</v>
      </c>
      <c r="C165" s="62">
        <f>VLOOKUP(G165,[1]Hoja1!$A:$O,3,0)</f>
        <v>0</v>
      </c>
      <c r="D165" s="2" t="str">
        <f t="shared" si="27"/>
        <v>2MIM</v>
      </c>
      <c r="E165" s="62" t="s">
        <v>26</v>
      </c>
      <c r="F165" s="62" t="s">
        <v>27</v>
      </c>
      <c r="G165" s="62" t="s">
        <v>303</v>
      </c>
      <c r="H165" s="8" t="str">
        <f>VLOOKUP(G165,[1]Hoja1!$A:$O,6,0)</f>
        <v>HISTORIA</v>
      </c>
      <c r="I165" s="4"/>
      <c r="J165" s="4"/>
      <c r="K165" s="80" t="str">
        <f t="shared" si="35"/>
        <v>MI</v>
      </c>
      <c r="L165" s="4"/>
      <c r="M165" s="86" t="str">
        <f>VLOOKUP(G165,[1]Hoja1!$A:$O,15,0)</f>
        <v xml:space="preserve">TORRES LUIS                    </v>
      </c>
      <c r="N165" s="2" t="str">
        <f t="shared" si="28"/>
        <v>2°1°2HISMI</v>
      </c>
      <c r="O165" s="2"/>
      <c r="P165" s="2" t="str">
        <f>VLOOKUP(G165,[1]Hoja1!$A:$P,16,0)</f>
        <v xml:space="preserve"> </v>
      </c>
      <c r="Q165" s="2"/>
      <c r="S165">
        <f>VLOOKUP(G165,[1]Hoja1!$A:$O,5,0)</f>
        <v>1642703</v>
      </c>
      <c r="U165" s="45" t="s">
        <v>2751</v>
      </c>
      <c r="V165" s="46">
        <f t="shared" si="29"/>
        <v>1642703</v>
      </c>
      <c r="W165" s="47" t="s">
        <v>1519</v>
      </c>
      <c r="X165" s="46" t="str">
        <f t="shared" si="30"/>
        <v>2</v>
      </c>
      <c r="Y165" s="47" t="s">
        <v>1518</v>
      </c>
      <c r="Z165" s="46" t="str">
        <f t="shared" si="31"/>
        <v>M</v>
      </c>
      <c r="AA165" s="47" t="s">
        <v>2752</v>
      </c>
      <c r="AB165" s="46" t="str">
        <f t="shared" si="32"/>
        <v>MIERCOLES</v>
      </c>
      <c r="AC165" s="47" t="s">
        <v>2753</v>
      </c>
      <c r="AD165">
        <f t="shared" si="33"/>
        <v>0</v>
      </c>
      <c r="AE165" s="47" t="s">
        <v>2754</v>
      </c>
      <c r="AH165" t="str">
        <f t="shared" si="34"/>
        <v>INSERT INTO horario_curso_materia (horario_curso_materia.FK_CUR_mat,horario_curso_materia.FK_HOR,horario_curso_materia.DIA,horario_curso_materia.tipo_turno) VALUES (  (SELECT curso_materia.ID_CUR_MAT FROM curso_materia WHERE curso_materia.CUPOF='1642703' ) ,
    (SELECT horario.ID_HOR FROM horario WHERE horario.modulo='2 ' and horario.turno='M ' ),'MIERCOLES ' , '0 ' );</v>
      </c>
    </row>
    <row r="166" spans="1:34" ht="15" hidden="1" customHeight="1" x14ac:dyDescent="0.3">
      <c r="A166" s="18" t="str">
        <f t="shared" si="25"/>
        <v>2°1°</v>
      </c>
      <c r="B166" s="54" t="str">
        <f t="shared" si="26"/>
        <v>2°1°2MITARDE211</v>
      </c>
      <c r="C166" s="64">
        <f>VLOOKUP(G166,[1]Hoja1!$A:$O,3,0)</f>
        <v>211</v>
      </c>
      <c r="D166" s="2" t="str">
        <f t="shared" si="27"/>
        <v>2MITAULA 2</v>
      </c>
      <c r="E166" s="62" t="s">
        <v>26</v>
      </c>
      <c r="F166" s="62" t="s">
        <v>10</v>
      </c>
      <c r="G166" s="62" t="s">
        <v>69</v>
      </c>
      <c r="H166" s="8" t="str">
        <f>VLOOKUP(G166,[1]Hoja1!$A:$O,6,0)</f>
        <v>LENGUAJES TECNOLOGICOS</v>
      </c>
      <c r="I166" s="4" t="s">
        <v>1486</v>
      </c>
      <c r="J166" s="4"/>
      <c r="K166" s="80" t="str">
        <f t="shared" si="35"/>
        <v>MI</v>
      </c>
      <c r="L166" s="4" t="s">
        <v>512</v>
      </c>
      <c r="M166" s="86" t="str">
        <f>VLOOKUP(G166,[1]Hoja1!$A:$O,15,0)</f>
        <v xml:space="preserve">MARCELO ELIAN GONZÁLEZ BALDERRAMA  </v>
      </c>
      <c r="N166" s="2" t="str">
        <f t="shared" si="28"/>
        <v>2°1°2112TLT2MI</v>
      </c>
      <c r="O166" s="2"/>
      <c r="P166" s="2" t="str">
        <f>VLOOKUP(G166,[1]Hoja1!$A:$P,16,0)</f>
        <v xml:space="preserve"> </v>
      </c>
      <c r="Q166" s="2"/>
      <c r="S166">
        <f>VLOOKUP(G166,[1]Hoja1!$A:$O,5,0)</f>
        <v>2683126</v>
      </c>
      <c r="U166" s="45" t="s">
        <v>2751</v>
      </c>
      <c r="V166" s="46">
        <f t="shared" si="29"/>
        <v>2683126</v>
      </c>
      <c r="W166" s="47" t="s">
        <v>1519</v>
      </c>
      <c r="X166" s="46" t="str">
        <f t="shared" si="30"/>
        <v>2</v>
      </c>
      <c r="Y166" s="47" t="s">
        <v>1518</v>
      </c>
      <c r="Z166" s="46" t="str">
        <f t="shared" si="31"/>
        <v>T</v>
      </c>
      <c r="AA166" s="47" t="s">
        <v>2752</v>
      </c>
      <c r="AB166" s="46" t="str">
        <f t="shared" si="32"/>
        <v>MIERCOLES</v>
      </c>
      <c r="AC166" s="47" t="s">
        <v>2753</v>
      </c>
      <c r="AD166" t="str">
        <f t="shared" si="33"/>
        <v>CONTRATURNO</v>
      </c>
      <c r="AE166" s="47" t="s">
        <v>2754</v>
      </c>
      <c r="AH166" t="str">
        <f t="shared" si="34"/>
        <v>INSERT INTO horario_curso_materia (horario_curso_materia.FK_CUR_mat,horario_curso_materia.FK_HOR,horario_curso_materia.DIA,horario_curso_materia.tipo_turno) VALUES (  (SELECT curso_materia.ID_CUR_MAT FROM curso_materia WHERE curso_materia.CUPOF='2683126' ) ,
    (SELECT horario.ID_HOR FROM horario WHERE horario.modulo='2 ' and horario.turno='T ' ),'MIERCOLES ' , 'CONTRATURNO ' );</v>
      </c>
    </row>
    <row r="167" spans="1:34" ht="15" hidden="1" customHeight="1" x14ac:dyDescent="0.3">
      <c r="A167" s="1" t="str">
        <f t="shared" si="25"/>
        <v>2°1°</v>
      </c>
      <c r="B167" s="54" t="str">
        <f t="shared" si="26"/>
        <v>2°1°2MITARDE212</v>
      </c>
      <c r="C167" s="62">
        <f>VLOOKUP(G167,[1]Hoja1!$A:$O,3,0)</f>
        <v>212</v>
      </c>
      <c r="D167" s="2" t="str">
        <f t="shared" si="27"/>
        <v>2MIT45</v>
      </c>
      <c r="E167" s="62" t="s">
        <v>26</v>
      </c>
      <c r="F167" s="62" t="s">
        <v>10</v>
      </c>
      <c r="G167" s="62" t="s">
        <v>70</v>
      </c>
      <c r="H167" s="8" t="str">
        <f>VLOOKUP(G167,[1]Hoja1!$A:$O,6,0)</f>
        <v>SISTEMAS TECNOLOGICOS</v>
      </c>
      <c r="I167" s="4">
        <v>45</v>
      </c>
      <c r="J167" s="4"/>
      <c r="K167" s="80" t="str">
        <f t="shared" si="35"/>
        <v>MI</v>
      </c>
      <c r="L167" s="4" t="s">
        <v>512</v>
      </c>
      <c r="M167" s="86" t="str">
        <f>VLOOKUP(G167,[1]Hoja1!$A:$O,15,0)</f>
        <v xml:space="preserve">VERA LORENA                        </v>
      </c>
      <c r="N167" s="2" t="str">
        <f t="shared" si="28"/>
        <v>2°1°2122TST2MI</v>
      </c>
      <c r="O167" s="2"/>
      <c r="P167" s="2" t="str">
        <f>VLOOKUP(G167,[1]Hoja1!$A:$P,16,0)</f>
        <v xml:space="preserve"> </v>
      </c>
      <c r="Q167" s="2"/>
      <c r="S167">
        <f>VLOOKUP(G167,[1]Hoja1!$A:$O,5,0)</f>
        <v>2683131</v>
      </c>
      <c r="U167" s="45" t="s">
        <v>2751</v>
      </c>
      <c r="V167" s="46">
        <f t="shared" si="29"/>
        <v>2683131</v>
      </c>
      <c r="W167" s="47" t="s">
        <v>1519</v>
      </c>
      <c r="X167" s="46" t="str">
        <f t="shared" si="30"/>
        <v>2</v>
      </c>
      <c r="Y167" s="47" t="s">
        <v>1518</v>
      </c>
      <c r="Z167" s="46" t="str">
        <f t="shared" si="31"/>
        <v>T</v>
      </c>
      <c r="AA167" s="47" t="s">
        <v>2752</v>
      </c>
      <c r="AB167" s="46" t="str">
        <f t="shared" si="32"/>
        <v>MIERCOLES</v>
      </c>
      <c r="AC167" s="47" t="s">
        <v>2753</v>
      </c>
      <c r="AD167" t="str">
        <f t="shared" si="33"/>
        <v>CONTRATURNO</v>
      </c>
      <c r="AE167" s="47" t="s">
        <v>2754</v>
      </c>
      <c r="AH167" t="str">
        <f t="shared" si="34"/>
        <v>INSERT INTO horario_curso_materia (horario_curso_materia.FK_CUR_mat,horario_curso_materia.FK_HOR,horario_curso_materia.DIA,horario_curso_materia.tipo_turno) VALUES (  (SELECT curso_materia.ID_CUR_MAT FROM curso_materia WHERE curso_materia.CUPOF='2683131' ) ,
    (SELECT horario.ID_HOR FROM horario WHERE horario.modulo='2 ' and horario.turno='T ' ),'MIERCOLES ' , 'CONTRATURNO ' );</v>
      </c>
    </row>
    <row r="168" spans="1:34" ht="15" hidden="1" customHeight="1" x14ac:dyDescent="0.3">
      <c r="A168" s="1" t="str">
        <f t="shared" si="25"/>
        <v>2°1°</v>
      </c>
      <c r="B168" s="54" t="str">
        <f t="shared" si="26"/>
        <v>2°1°2VIMAÑANA0</v>
      </c>
      <c r="C168" s="62">
        <f>VLOOKUP(G168,[1]Hoja1!$A:$O,3,0)</f>
        <v>0</v>
      </c>
      <c r="D168" s="2" t="str">
        <f t="shared" si="27"/>
        <v>2VIM</v>
      </c>
      <c r="E168" s="62" t="s">
        <v>59</v>
      </c>
      <c r="F168" s="62" t="s">
        <v>27</v>
      </c>
      <c r="G168" s="62" t="s">
        <v>301</v>
      </c>
      <c r="H168" s="8" t="str">
        <f>VLOOKUP(G168,[1]Hoja1!$A:$O,6,0)</f>
        <v>PRACTICA DEL LENGUAJE</v>
      </c>
      <c r="I168" s="4"/>
      <c r="J168" s="4"/>
      <c r="K168" s="80" t="str">
        <f t="shared" si="35"/>
        <v>VI</v>
      </c>
      <c r="L168" s="4"/>
      <c r="M168" s="86" t="str">
        <f>VLOOKUP(G168,[1]Hoja1!$A:$O,15,0)</f>
        <v>CAÑETE YOHANA</v>
      </c>
      <c r="N168" s="2" t="str">
        <f t="shared" si="28"/>
        <v>2°1°2PLGVI</v>
      </c>
      <c r="O168" s="2"/>
      <c r="P168" s="2" t="str">
        <f>VLOOKUP(G168,[1]Hoja1!$A:$P,16,0)</f>
        <v xml:space="preserve"> </v>
      </c>
      <c r="Q168" s="2"/>
      <c r="S168">
        <f>VLOOKUP(G168,[1]Hoja1!$A:$O,5,0)</f>
        <v>733470</v>
      </c>
      <c r="U168" s="45" t="s">
        <v>2751</v>
      </c>
      <c r="V168" s="46">
        <f t="shared" si="29"/>
        <v>733470</v>
      </c>
      <c r="W168" s="47" t="s">
        <v>1519</v>
      </c>
      <c r="X168" s="46" t="str">
        <f t="shared" si="30"/>
        <v>2</v>
      </c>
      <c r="Y168" s="47" t="s">
        <v>1518</v>
      </c>
      <c r="Z168" s="46" t="str">
        <f t="shared" si="31"/>
        <v>M</v>
      </c>
      <c r="AA168" s="47" t="s">
        <v>2752</v>
      </c>
      <c r="AB168" s="46" t="str">
        <f t="shared" si="32"/>
        <v>VIERNES</v>
      </c>
      <c r="AC168" s="47" t="s">
        <v>2753</v>
      </c>
      <c r="AD168">
        <f t="shared" si="33"/>
        <v>0</v>
      </c>
      <c r="AE168" s="47" t="s">
        <v>2754</v>
      </c>
      <c r="AH168" t="str">
        <f t="shared" si="34"/>
        <v>INSERT INTO horario_curso_materia (horario_curso_materia.FK_CUR_mat,horario_curso_materia.FK_HOR,horario_curso_materia.DIA,horario_curso_materia.tipo_turno) VALUES (  (SELECT curso_materia.ID_CUR_MAT FROM curso_materia WHERE curso_materia.CUPOF='733470' ) ,
    (SELECT horario.ID_HOR FROM horario WHERE horario.modulo='2 ' and horario.turno='M ' ),'VIERNES ' , '0 ' );</v>
      </c>
    </row>
    <row r="169" spans="1:34" ht="15" hidden="1" customHeight="1" x14ac:dyDescent="0.3">
      <c r="A169" s="3" t="str">
        <f t="shared" si="25"/>
        <v>2°1°</v>
      </c>
      <c r="B169" s="54" t="str">
        <f t="shared" si="26"/>
        <v>2°1°2viTARDE211</v>
      </c>
      <c r="C169" s="63">
        <f>VLOOKUP(G169,[1]Hoja1!$A:$O,3,0)</f>
        <v>211</v>
      </c>
      <c r="D169" s="23" t="str">
        <f t="shared" si="27"/>
        <v>2viT47</v>
      </c>
      <c r="E169" s="63" t="s">
        <v>1377</v>
      </c>
      <c r="F169" s="63" t="s">
        <v>10</v>
      </c>
      <c r="G169" s="63" t="s">
        <v>72</v>
      </c>
      <c r="H169" s="3" t="str">
        <f>VLOOKUP(G169,[1]Hoja1!$A:$O,6,0)</f>
        <v>SISTEMAS TECNOLOGICOS</v>
      </c>
      <c r="I169" s="17">
        <v>47</v>
      </c>
      <c r="J169" s="17"/>
      <c r="K169" s="81" t="str">
        <f t="shared" si="35"/>
        <v>vi</v>
      </c>
      <c r="L169" s="17" t="s">
        <v>512</v>
      </c>
      <c r="M169" s="87" t="str">
        <f>VLOOKUP(G169,[1]Hoja1!$A:$O,15,0)</f>
        <v xml:space="preserve">CRUZ DAVID   </v>
      </c>
      <c r="N169" s="23" t="str">
        <f t="shared" si="28"/>
        <v>2°1°2112TST2vi</v>
      </c>
      <c r="O169" s="23" t="s">
        <v>1376</v>
      </c>
      <c r="P169" s="2" t="str">
        <f>VLOOKUP(G169,[1]Hoja1!$A:$P,16,0)</f>
        <v xml:space="preserve"> </v>
      </c>
      <c r="Q169" s="2"/>
      <c r="S169">
        <f>VLOOKUP(G169,[1]Hoja1!$A:$O,5,0)</f>
        <v>2683127</v>
      </c>
      <c r="U169" s="45" t="s">
        <v>2751</v>
      </c>
      <c r="V169" s="46">
        <f t="shared" si="29"/>
        <v>2683127</v>
      </c>
      <c r="W169" s="47" t="s">
        <v>1519</v>
      </c>
      <c r="X169" s="46" t="str">
        <f t="shared" si="30"/>
        <v>2</v>
      </c>
      <c r="Y169" s="47" t="s">
        <v>1518</v>
      </c>
      <c r="Z169" s="46" t="str">
        <f t="shared" si="31"/>
        <v>T</v>
      </c>
      <c r="AA169" s="47" t="s">
        <v>2752</v>
      </c>
      <c r="AB169" s="46" t="str">
        <f t="shared" si="32"/>
        <v>VIERNES</v>
      </c>
      <c r="AC169" s="47" t="s">
        <v>2753</v>
      </c>
      <c r="AD169" t="str">
        <f t="shared" si="33"/>
        <v>CONTRATURNO</v>
      </c>
      <c r="AE169" s="47" t="s">
        <v>2754</v>
      </c>
      <c r="AH169" t="str">
        <f t="shared" si="34"/>
        <v>INSERT INTO horario_curso_materia (horario_curso_materia.FK_CUR_mat,horario_curso_materia.FK_HOR,horario_curso_materia.DIA,horario_curso_materia.tipo_turno) VALUES (  (SELECT curso_materia.ID_CUR_MAT FROM curso_materia WHERE curso_materia.CUPOF='2683127' ) ,
    (SELECT horario.ID_HOR FROM horario WHERE horario.modulo='2 ' and horario.turno='T ' ),'VIERNES ' , 'CONTRATURNO ' );</v>
      </c>
    </row>
    <row r="170" spans="1:34" ht="15" hidden="1" customHeight="1" x14ac:dyDescent="0.3">
      <c r="A170" s="1" t="str">
        <f t="shared" si="25"/>
        <v>2°1°</v>
      </c>
      <c r="B170" s="54" t="str">
        <f t="shared" si="26"/>
        <v>2°1°3JUMAÑANA0</v>
      </c>
      <c r="C170" s="62">
        <f>VLOOKUP(G170,[1]Hoja1!$A:$O,3,0)</f>
        <v>0</v>
      </c>
      <c r="D170" s="2" t="str">
        <f t="shared" si="27"/>
        <v>3JUM</v>
      </c>
      <c r="E170" s="62" t="s">
        <v>46</v>
      </c>
      <c r="F170" s="62" t="s">
        <v>27</v>
      </c>
      <c r="G170" s="62" t="s">
        <v>298</v>
      </c>
      <c r="H170" s="8" t="str">
        <f>VLOOKUP(G170,[1]Hoja1!$A:$O,6,0)</f>
        <v>MATEMATICA</v>
      </c>
      <c r="I170" s="4"/>
      <c r="J170" s="4"/>
      <c r="K170" s="80" t="str">
        <f t="shared" si="35"/>
        <v>JU</v>
      </c>
      <c r="L170" s="4"/>
      <c r="M170" s="86" t="str">
        <f>VLOOKUP(G170,[1]Hoja1!$A:$O,15,0)</f>
        <v>GARCIA. C.</v>
      </c>
      <c r="N170" s="2" t="str">
        <f t="shared" si="28"/>
        <v>2°1°2MATJU</v>
      </c>
      <c r="O170" s="2"/>
      <c r="P170" s="2" t="str">
        <f>VLOOKUP(G170,[1]Hoja1!$A:$P,16,0)</f>
        <v xml:space="preserve"> </v>
      </c>
      <c r="Q170" s="2"/>
      <c r="S170">
        <f>VLOOKUP(G170,[1]Hoja1!$A:$O,5,0)</f>
        <v>733468</v>
      </c>
      <c r="U170" s="45" t="s">
        <v>2751</v>
      </c>
      <c r="V170" s="46">
        <f t="shared" si="29"/>
        <v>733468</v>
      </c>
      <c r="W170" s="47" t="s">
        <v>1519</v>
      </c>
      <c r="X170" s="46" t="str">
        <f t="shared" si="30"/>
        <v>3</v>
      </c>
      <c r="Y170" s="47" t="s">
        <v>1518</v>
      </c>
      <c r="Z170" s="46" t="str">
        <f t="shared" si="31"/>
        <v>M</v>
      </c>
      <c r="AA170" s="47" t="s">
        <v>2752</v>
      </c>
      <c r="AB170" s="46" t="str">
        <f t="shared" si="32"/>
        <v>JUEVES</v>
      </c>
      <c r="AC170" s="47" t="s">
        <v>2753</v>
      </c>
      <c r="AD170">
        <f t="shared" si="33"/>
        <v>0</v>
      </c>
      <c r="AE170" s="47" t="s">
        <v>2754</v>
      </c>
      <c r="AH170" t="str">
        <f t="shared" si="34"/>
        <v>INSERT INTO horario_curso_materia (horario_curso_materia.FK_CUR_mat,horario_curso_materia.FK_HOR,horario_curso_materia.DIA,horario_curso_materia.tipo_turno) VALUES (  (SELECT curso_materia.ID_CUR_MAT FROM curso_materia WHERE curso_materia.CUPOF='733468' ) ,
    (SELECT horario.ID_HOR FROM horario WHERE horario.modulo='3 ' and horario.turno='M ' ),'JUEVES ' , '0 ' );</v>
      </c>
    </row>
    <row r="171" spans="1:34" ht="15" hidden="1" customHeight="1" x14ac:dyDescent="0.3">
      <c r="A171" s="1" t="str">
        <f t="shared" si="25"/>
        <v>2°1°</v>
      </c>
      <c r="B171" s="54" t="str">
        <f t="shared" si="26"/>
        <v>2°1°3LUMAÑANA0</v>
      </c>
      <c r="C171" s="62">
        <f>VLOOKUP(G171,[1]Hoja1!$A:$O,3,0)</f>
        <v>0</v>
      </c>
      <c r="D171" s="2" t="str">
        <f t="shared" si="27"/>
        <v>3LUM</v>
      </c>
      <c r="E171" s="62" t="s">
        <v>29</v>
      </c>
      <c r="F171" s="62" t="s">
        <v>27</v>
      </c>
      <c r="G171" s="62" t="s">
        <v>299</v>
      </c>
      <c r="H171" s="8" t="str">
        <f>VLOOKUP(G171,[1]Hoja1!$A:$O,6,0)</f>
        <v>INGLÉS</v>
      </c>
      <c r="I171" s="4"/>
      <c r="J171" s="4"/>
      <c r="K171" s="80" t="str">
        <f t="shared" si="35"/>
        <v>LU</v>
      </c>
      <c r="L171" s="4"/>
      <c r="M171" s="86" t="str">
        <f>VLOOKUP(G171,[1]Hoja1!$A:$O,15,0)</f>
        <v xml:space="preserve">BONELLI PAMELA                                </v>
      </c>
      <c r="N171" s="2" t="str">
        <f t="shared" si="28"/>
        <v>2°1°2INGLU</v>
      </c>
      <c r="O171" s="2"/>
      <c r="P171" s="2" t="str">
        <f>VLOOKUP(G171,[1]Hoja1!$A:$P,16,0)</f>
        <v xml:space="preserve"> </v>
      </c>
      <c r="Q171" s="2"/>
      <c r="S171">
        <f>VLOOKUP(G171,[1]Hoja1!$A:$O,5,0)</f>
        <v>733561</v>
      </c>
      <c r="U171" s="45" t="s">
        <v>2751</v>
      </c>
      <c r="V171" s="46">
        <f t="shared" si="29"/>
        <v>733561</v>
      </c>
      <c r="W171" s="47" t="s">
        <v>1519</v>
      </c>
      <c r="X171" s="46" t="str">
        <f t="shared" si="30"/>
        <v>3</v>
      </c>
      <c r="Y171" s="47" t="s">
        <v>1518</v>
      </c>
      <c r="Z171" s="46" t="str">
        <f t="shared" si="31"/>
        <v>M</v>
      </c>
      <c r="AA171" s="47" t="s">
        <v>2752</v>
      </c>
      <c r="AB171" s="46" t="str">
        <f t="shared" si="32"/>
        <v>LUNES</v>
      </c>
      <c r="AC171" s="47" t="s">
        <v>2753</v>
      </c>
      <c r="AD171">
        <f t="shared" si="33"/>
        <v>0</v>
      </c>
      <c r="AE171" s="47" t="s">
        <v>2754</v>
      </c>
      <c r="AH171" t="str">
        <f t="shared" si="34"/>
        <v>INSERT INTO horario_curso_materia (horario_curso_materia.FK_CUR_mat,horario_curso_materia.FK_HOR,horario_curso_materia.DIA,horario_curso_materia.tipo_turno) VALUES (  (SELECT curso_materia.ID_CUR_MAT FROM curso_materia WHERE curso_materia.CUPOF='733561' ) ,
    (SELECT horario.ID_HOR FROM horario WHERE horario.modulo='3 ' and horario.turno='M ' ),'LUNES ' , '0 ' );</v>
      </c>
    </row>
    <row r="172" spans="1:34" ht="15" hidden="1" customHeight="1" x14ac:dyDescent="0.3">
      <c r="A172" s="18" t="str">
        <f t="shared" si="25"/>
        <v>2°1°</v>
      </c>
      <c r="B172" s="54" t="str">
        <f t="shared" si="26"/>
        <v>2°1°3LUTARDE211</v>
      </c>
      <c r="C172" s="64">
        <f>VLOOKUP(G172,[1]Hoja1!$A:$O,3,0)</f>
        <v>211</v>
      </c>
      <c r="D172" s="2" t="str">
        <f t="shared" si="27"/>
        <v>3LUTCARPINTERIA</v>
      </c>
      <c r="E172" s="62" t="s">
        <v>29</v>
      </c>
      <c r="F172" s="62" t="s">
        <v>10</v>
      </c>
      <c r="G172" s="62" t="s">
        <v>68</v>
      </c>
      <c r="H172" s="8" t="str">
        <f>VLOOKUP(G172,[1]Hoja1!$A:$O,6,0)</f>
        <v>PROCEDIMIENTOS TECNICOS</v>
      </c>
      <c r="I172" s="4" t="s">
        <v>23</v>
      </c>
      <c r="J172" s="4"/>
      <c r="K172" s="80" t="str">
        <f t="shared" si="35"/>
        <v>LU</v>
      </c>
      <c r="L172" s="4" t="s">
        <v>512</v>
      </c>
      <c r="M172" s="86" t="str">
        <f>VLOOKUP(G172,[1]Hoja1!$A:$O,15,0)</f>
        <v xml:space="preserve">RODRIGUEZ RAUL                            </v>
      </c>
      <c r="N172" s="2" t="str">
        <f t="shared" si="28"/>
        <v>2°1°2112TPT2LU</v>
      </c>
      <c r="O172" s="2"/>
      <c r="P172" s="2" t="str">
        <f>VLOOKUP(G172,[1]Hoja1!$A:$P,16,0)</f>
        <v xml:space="preserve"> </v>
      </c>
      <c r="Q172" s="2"/>
      <c r="S172">
        <f>VLOOKUP(G172,[1]Hoja1!$A:$O,5,0)</f>
        <v>2683128</v>
      </c>
      <c r="U172" s="45" t="s">
        <v>2751</v>
      </c>
      <c r="V172" s="46">
        <f t="shared" si="29"/>
        <v>2683128</v>
      </c>
      <c r="W172" s="47" t="s">
        <v>1519</v>
      </c>
      <c r="X172" s="46" t="str">
        <f t="shared" si="30"/>
        <v>3</v>
      </c>
      <c r="Y172" s="47" t="s">
        <v>1518</v>
      </c>
      <c r="Z172" s="46" t="str">
        <f t="shared" si="31"/>
        <v>T</v>
      </c>
      <c r="AA172" s="47" t="s">
        <v>2752</v>
      </c>
      <c r="AB172" s="46" t="str">
        <f t="shared" si="32"/>
        <v>LUNES</v>
      </c>
      <c r="AC172" s="47" t="s">
        <v>2753</v>
      </c>
      <c r="AD172" t="str">
        <f t="shared" si="33"/>
        <v>CONTRATURNO</v>
      </c>
      <c r="AE172" s="47" t="s">
        <v>2754</v>
      </c>
      <c r="AH172" t="str">
        <f t="shared" si="34"/>
        <v>INSERT INTO horario_curso_materia (horario_curso_materia.FK_CUR_mat,horario_curso_materia.FK_HOR,horario_curso_materia.DIA,horario_curso_materia.tipo_turno) VALUES (  (SELECT curso_materia.ID_CUR_MAT FROM curso_materia WHERE curso_materia.CUPOF='2683128' ) ,
    (SELECT horario.ID_HOR FROM horario WHERE horario.modulo='3 ' and horario.turno='T ' ),'LUNES ' , 'CONTRATURNO ' );</v>
      </c>
    </row>
    <row r="173" spans="1:34" ht="15" hidden="1" customHeight="1" x14ac:dyDescent="0.3">
      <c r="A173" s="1" t="str">
        <f t="shared" si="25"/>
        <v>2°1°</v>
      </c>
      <c r="B173" s="54" t="str">
        <f t="shared" si="26"/>
        <v>2°1°3MAMAÑANA0</v>
      </c>
      <c r="C173" s="62">
        <f>VLOOKUP(G173,[1]Hoja1!$A:$O,3,0)</f>
        <v>0</v>
      </c>
      <c r="D173" s="2" t="str">
        <f t="shared" si="27"/>
        <v>3MAM</v>
      </c>
      <c r="E173" s="62" t="s">
        <v>13</v>
      </c>
      <c r="F173" s="62" t="s">
        <v>27</v>
      </c>
      <c r="G173" s="62" t="s">
        <v>302</v>
      </c>
      <c r="H173" s="8" t="str">
        <f>VLOOKUP(G173,[1]Hoja1!$A:$O,6,0)</f>
        <v>FISICO-QUIMICA</v>
      </c>
      <c r="I173" s="4"/>
      <c r="J173" s="4"/>
      <c r="K173" s="80" t="str">
        <f t="shared" si="35"/>
        <v>MA</v>
      </c>
      <c r="L173" s="4"/>
      <c r="M173" s="86" t="str">
        <f>VLOOKUP(G173,[1]Hoja1!$A:$O,15,0)</f>
        <v xml:space="preserve">ESPINDOLA SERGIO                        </v>
      </c>
      <c r="N173" s="2" t="str">
        <f t="shared" si="28"/>
        <v>2°1°2FI/QUIMA</v>
      </c>
      <c r="O173" s="2"/>
      <c r="P173" s="2" t="str">
        <f>VLOOKUP(G173,[1]Hoja1!$A:$P,16,0)</f>
        <v xml:space="preserve"> </v>
      </c>
      <c r="Q173" s="2"/>
      <c r="S173">
        <f>VLOOKUP(G173,[1]Hoja1!$A:$O,5,0)</f>
        <v>1642762</v>
      </c>
      <c r="U173" s="45" t="s">
        <v>2751</v>
      </c>
      <c r="V173" s="46">
        <f t="shared" si="29"/>
        <v>1642762</v>
      </c>
      <c r="W173" s="47" t="s">
        <v>1519</v>
      </c>
      <c r="X173" s="46" t="str">
        <f t="shared" si="30"/>
        <v>3</v>
      </c>
      <c r="Y173" s="47" t="s">
        <v>1518</v>
      </c>
      <c r="Z173" s="46" t="str">
        <f t="shared" si="31"/>
        <v>M</v>
      </c>
      <c r="AA173" s="47" t="s">
        <v>2752</v>
      </c>
      <c r="AB173" s="46" t="str">
        <f t="shared" si="32"/>
        <v>MARTES</v>
      </c>
      <c r="AC173" s="47" t="s">
        <v>2753</v>
      </c>
      <c r="AD173">
        <f t="shared" si="33"/>
        <v>0</v>
      </c>
      <c r="AE173" s="47" t="s">
        <v>2754</v>
      </c>
      <c r="AH173" t="str">
        <f t="shared" si="34"/>
        <v>INSERT INTO horario_curso_materia (horario_curso_materia.FK_CUR_mat,horario_curso_materia.FK_HOR,horario_curso_materia.DIA,horario_curso_materia.tipo_turno) VALUES (  (SELECT curso_materia.ID_CUR_MAT FROM curso_materia WHERE curso_materia.CUPOF='1642762' ) ,
    (SELECT horario.ID_HOR FROM horario WHERE horario.modulo='3 ' and horario.turno='M ' ),'MARTES ' , '0 ' );</v>
      </c>
    </row>
    <row r="174" spans="1:34" ht="15" hidden="1" customHeight="1" x14ac:dyDescent="0.3">
      <c r="A174" s="1" t="str">
        <f t="shared" si="25"/>
        <v>2°1°</v>
      </c>
      <c r="B174" s="54" t="str">
        <f t="shared" si="26"/>
        <v>2°1°3juTARDE0</v>
      </c>
      <c r="C174" s="62">
        <f>VLOOKUP(G174,[1]Hoja1!$A:$O,3,0)</f>
        <v>0</v>
      </c>
      <c r="D174" s="2" t="str">
        <f t="shared" si="27"/>
        <v>3juTPATIO</v>
      </c>
      <c r="E174" s="62" t="s">
        <v>1350</v>
      </c>
      <c r="F174" s="62" t="s">
        <v>10</v>
      </c>
      <c r="G174" s="62" t="s">
        <v>307</v>
      </c>
      <c r="H174" s="8" t="str">
        <f>VLOOKUP(G174,[1]Hoja1!$A:$O,6,0)</f>
        <v>EDUCACIÓN FISICA</v>
      </c>
      <c r="I174" s="4" t="s">
        <v>241</v>
      </c>
      <c r="J174" s="4"/>
      <c r="K174" s="80" t="str">
        <f t="shared" si="35"/>
        <v>ju</v>
      </c>
      <c r="L174" s="4" t="s">
        <v>512</v>
      </c>
      <c r="M174" s="86" t="str">
        <f>VLOOKUP(G174,[1]Hoja1!$A:$O,15,0)</f>
        <v>LUDUEÑA NELSON            ACRECENTAMIENTO 2020</v>
      </c>
      <c r="N174" s="2" t="str">
        <f t="shared" si="28"/>
        <v>2°1°2EFIju</v>
      </c>
      <c r="O174" s="2"/>
      <c r="P174" s="2" t="str">
        <f>VLOOKUP(G174,[1]Hoja1!$A:$P,16,0)</f>
        <v xml:space="preserve"> </v>
      </c>
      <c r="Q174" s="2"/>
      <c r="S174">
        <f>VLOOKUP(G174,[1]Hoja1!$A:$O,5,0)</f>
        <v>733460</v>
      </c>
      <c r="U174" s="45" t="s">
        <v>2751</v>
      </c>
      <c r="V174" s="46">
        <f t="shared" si="29"/>
        <v>733460</v>
      </c>
      <c r="W174" s="47" t="s">
        <v>1519</v>
      </c>
      <c r="X174" s="46" t="str">
        <f t="shared" si="30"/>
        <v>3</v>
      </c>
      <c r="Y174" s="47" t="s">
        <v>1518</v>
      </c>
      <c r="Z174" s="46" t="str">
        <f t="shared" si="31"/>
        <v>T</v>
      </c>
      <c r="AA174" s="47" t="s">
        <v>2752</v>
      </c>
      <c r="AB174" s="46" t="str">
        <f t="shared" si="32"/>
        <v>JUEVES</v>
      </c>
      <c r="AC174" s="47" t="s">
        <v>2753</v>
      </c>
      <c r="AD174" t="str">
        <f t="shared" si="33"/>
        <v>CONTRATURNO</v>
      </c>
      <c r="AE174" s="47" t="s">
        <v>2754</v>
      </c>
      <c r="AH174" t="str">
        <f t="shared" si="34"/>
        <v>INSERT INTO horario_curso_materia (horario_curso_materia.FK_CUR_mat,horario_curso_materia.FK_HOR,horario_curso_materia.DIA,horario_curso_materia.tipo_turno) VALUES (  (SELECT curso_materia.ID_CUR_MAT FROM curso_materia WHERE curso_materia.CUPOF='733460' ) ,
    (SELECT horario.ID_HOR FROM horario WHERE horario.modulo='3 ' and horario.turno='T ' ),'JUEVES ' , 'CONTRATURNO ' );</v>
      </c>
    </row>
    <row r="175" spans="1:34" ht="15" hidden="1" customHeight="1" x14ac:dyDescent="0.3">
      <c r="A175" s="1" t="str">
        <f t="shared" si="25"/>
        <v>2°1°</v>
      </c>
      <c r="B175" s="54" t="str">
        <f t="shared" si="26"/>
        <v>2°1°3MIMAÑANA0</v>
      </c>
      <c r="C175" s="62">
        <f>VLOOKUP(G175,[1]Hoja1!$A:$O,3,0)</f>
        <v>0</v>
      </c>
      <c r="D175" s="2" t="str">
        <f t="shared" si="27"/>
        <v>3MIM</v>
      </c>
      <c r="E175" s="62" t="s">
        <v>50</v>
      </c>
      <c r="F175" s="62" t="s">
        <v>27</v>
      </c>
      <c r="G175" s="62" t="s">
        <v>304</v>
      </c>
      <c r="H175" s="8" t="str">
        <f>VLOOKUP(G175,[1]Hoja1!$A:$O,6,0)</f>
        <v>BIOLOGIA</v>
      </c>
      <c r="I175" s="4"/>
      <c r="J175" s="4"/>
      <c r="K175" s="80" t="str">
        <f t="shared" si="35"/>
        <v>MI</v>
      </c>
      <c r="L175" s="4"/>
      <c r="M175" s="86" t="str">
        <f>VLOOKUP(G175,[1]Hoja1!$A:$O,15,0)</f>
        <v>FARIAS CLAUDIA</v>
      </c>
      <c r="N175" s="2" t="str">
        <f t="shared" si="28"/>
        <v>2°1°2BIOMI</v>
      </c>
      <c r="O175" s="2"/>
      <c r="P175" s="2" t="str">
        <f>VLOOKUP(G175,[1]Hoja1!$A:$P,16,0)</f>
        <v xml:space="preserve"> </v>
      </c>
      <c r="Q175" s="2"/>
      <c r="S175">
        <f>VLOOKUP(G175,[1]Hoja1!$A:$O,5,0)</f>
        <v>1642764</v>
      </c>
      <c r="U175" s="45" t="s">
        <v>2751</v>
      </c>
      <c r="V175" s="46">
        <f t="shared" si="29"/>
        <v>1642764</v>
      </c>
      <c r="W175" s="47" t="s">
        <v>1519</v>
      </c>
      <c r="X175" s="46" t="str">
        <f t="shared" si="30"/>
        <v>3</v>
      </c>
      <c r="Y175" s="47" t="s">
        <v>1518</v>
      </c>
      <c r="Z175" s="46" t="str">
        <f t="shared" si="31"/>
        <v>M</v>
      </c>
      <c r="AA175" s="47" t="s">
        <v>2752</v>
      </c>
      <c r="AB175" s="46" t="str">
        <f t="shared" si="32"/>
        <v>MIERCOLES</v>
      </c>
      <c r="AC175" s="47" t="s">
        <v>2753</v>
      </c>
      <c r="AD175">
        <f t="shared" si="33"/>
        <v>0</v>
      </c>
      <c r="AE175" s="47" t="s">
        <v>2754</v>
      </c>
      <c r="AH175" t="str">
        <f t="shared" si="34"/>
        <v>INSERT INTO horario_curso_materia (horario_curso_materia.FK_CUR_mat,horario_curso_materia.FK_HOR,horario_curso_materia.DIA,horario_curso_materia.tipo_turno) VALUES (  (SELECT curso_materia.ID_CUR_MAT FROM curso_materia WHERE curso_materia.CUPOF='1642764' ) ,
    (SELECT horario.ID_HOR FROM horario WHERE horario.modulo='3 ' and horario.turno='M ' ),'MIERCOLES ' , '0 ' );</v>
      </c>
    </row>
    <row r="176" spans="1:34" ht="15" hidden="1" customHeight="1" x14ac:dyDescent="0.3">
      <c r="A176" s="3" t="str">
        <f t="shared" si="25"/>
        <v>2°1°</v>
      </c>
      <c r="B176" s="54" t="str">
        <f t="shared" si="26"/>
        <v>2°1°3miTARDE211</v>
      </c>
      <c r="C176" s="63">
        <f>VLOOKUP(G176,[1]Hoja1!$A:$O,3,0)</f>
        <v>211</v>
      </c>
      <c r="D176" s="23" t="str">
        <f t="shared" si="27"/>
        <v>3miT47</v>
      </c>
      <c r="E176" s="63" t="s">
        <v>1331</v>
      </c>
      <c r="F176" s="63" t="s">
        <v>10</v>
      </c>
      <c r="G176" s="63" t="s">
        <v>68</v>
      </c>
      <c r="H176" s="3" t="str">
        <f>VLOOKUP(G176,[1]Hoja1!$A:$O,6,0)</f>
        <v>PROCEDIMIENTOS TECNICOS</v>
      </c>
      <c r="I176" s="17">
        <v>47</v>
      </c>
      <c r="J176" s="17"/>
      <c r="K176" s="81" t="str">
        <f t="shared" si="35"/>
        <v>mi</v>
      </c>
      <c r="L176" s="17" t="s">
        <v>512</v>
      </c>
      <c r="M176" s="87" t="str">
        <f>VLOOKUP(G176,[1]Hoja1!$A:$O,15,0)</f>
        <v xml:space="preserve">RODRIGUEZ RAUL                            </v>
      </c>
      <c r="N176" s="23" t="str">
        <f t="shared" si="28"/>
        <v>2°1°2112TPT2mi</v>
      </c>
      <c r="O176" s="23"/>
      <c r="P176" s="2" t="str">
        <f>VLOOKUP(G176,[1]Hoja1!$A:$P,16,0)</f>
        <v xml:space="preserve"> </v>
      </c>
      <c r="Q176" s="2"/>
      <c r="S176">
        <f>VLOOKUP(G176,[1]Hoja1!$A:$O,5,0)</f>
        <v>2683128</v>
      </c>
      <c r="U176" s="45" t="s">
        <v>2751</v>
      </c>
      <c r="V176" s="46">
        <f t="shared" si="29"/>
        <v>2683128</v>
      </c>
      <c r="W176" s="47" t="s">
        <v>1519</v>
      </c>
      <c r="X176" s="46" t="str">
        <f t="shared" si="30"/>
        <v>3</v>
      </c>
      <c r="Y176" s="47" t="s">
        <v>1518</v>
      </c>
      <c r="Z176" s="46" t="str">
        <f t="shared" si="31"/>
        <v>T</v>
      </c>
      <c r="AA176" s="47" t="s">
        <v>2752</v>
      </c>
      <c r="AB176" s="46" t="str">
        <f t="shared" si="32"/>
        <v>MIERCOLES</v>
      </c>
      <c r="AC176" s="47" t="s">
        <v>2753</v>
      </c>
      <c r="AD176" t="str">
        <f t="shared" si="33"/>
        <v>CONTRATURNO</v>
      </c>
      <c r="AE176" s="47" t="s">
        <v>2754</v>
      </c>
      <c r="AH176" t="str">
        <f t="shared" si="34"/>
        <v>INSERT INTO horario_curso_materia (horario_curso_materia.FK_CUR_mat,horario_curso_materia.FK_HOR,horario_curso_materia.DIA,horario_curso_materia.tipo_turno) VALUES (  (SELECT curso_materia.ID_CUR_MAT FROM curso_materia WHERE curso_materia.CUPOF='2683128' ) ,
    (SELECT horario.ID_HOR FROM horario WHERE horario.modulo='3 ' and horario.turno='T ' ),'MIERCOLES ' , 'CONTRATURNO ' );</v>
      </c>
    </row>
    <row r="177" spans="1:34" ht="15" hidden="1" customHeight="1" x14ac:dyDescent="0.3">
      <c r="A177" s="1" t="str">
        <f t="shared" si="25"/>
        <v>2°1°</v>
      </c>
      <c r="B177" s="54" t="str">
        <f t="shared" si="26"/>
        <v>2°1°3MITARDE212</v>
      </c>
      <c r="C177" s="62">
        <f>VLOOKUP(G177,[1]Hoja1!$A:$O,3,0)</f>
        <v>212</v>
      </c>
      <c r="D177" s="2" t="str">
        <f t="shared" si="27"/>
        <v>3MITCARPINTERIA</v>
      </c>
      <c r="E177" s="62" t="s">
        <v>50</v>
      </c>
      <c r="F177" s="62" t="s">
        <v>10</v>
      </c>
      <c r="G177" s="62" t="s">
        <v>71</v>
      </c>
      <c r="H177" s="8" t="str">
        <f>VLOOKUP(G177,[1]Hoja1!$A:$O,6,0)</f>
        <v>PROCEDIMIENTOS TECNICOS</v>
      </c>
      <c r="I177" s="4" t="s">
        <v>23</v>
      </c>
      <c r="J177" s="4"/>
      <c r="K177" s="80" t="str">
        <f t="shared" si="35"/>
        <v>MI</v>
      </c>
      <c r="L177" s="4" t="s">
        <v>512</v>
      </c>
      <c r="M177" s="86" t="str">
        <f>VLOOKUP(G177,[1]Hoja1!$A:$O,15,0)</f>
        <v xml:space="preserve">CHAMORRO CRISTIAN                        </v>
      </c>
      <c r="N177" s="2" t="str">
        <f t="shared" si="28"/>
        <v>2°1°2122TPT2MI</v>
      </c>
      <c r="O177" s="2"/>
      <c r="P177" s="2" t="str">
        <f>VLOOKUP(G177,[1]Hoja1!$A:$P,16,0)</f>
        <v xml:space="preserve"> </v>
      </c>
      <c r="Q177" s="2"/>
      <c r="S177">
        <f>VLOOKUP(G177,[1]Hoja1!$A:$O,5,0)</f>
        <v>2683132</v>
      </c>
      <c r="U177" s="45" t="s">
        <v>2751</v>
      </c>
      <c r="V177" s="46">
        <f t="shared" si="29"/>
        <v>2683132</v>
      </c>
      <c r="W177" s="47" t="s">
        <v>1519</v>
      </c>
      <c r="X177" s="46" t="str">
        <f t="shared" si="30"/>
        <v>3</v>
      </c>
      <c r="Y177" s="47" t="s">
        <v>1518</v>
      </c>
      <c r="Z177" s="46" t="str">
        <f t="shared" si="31"/>
        <v>T</v>
      </c>
      <c r="AA177" s="47" t="s">
        <v>2752</v>
      </c>
      <c r="AB177" s="46" t="str">
        <f t="shared" si="32"/>
        <v>MIERCOLES</v>
      </c>
      <c r="AC177" s="47" t="s">
        <v>2753</v>
      </c>
      <c r="AD177" t="str">
        <f t="shared" si="33"/>
        <v>CONTRATURNO</v>
      </c>
      <c r="AE177" s="47" t="s">
        <v>2754</v>
      </c>
      <c r="AH177" t="str">
        <f t="shared" si="34"/>
        <v>INSERT INTO horario_curso_materia (horario_curso_materia.FK_CUR_mat,horario_curso_materia.FK_HOR,horario_curso_materia.DIA,horario_curso_materia.tipo_turno) VALUES (  (SELECT curso_materia.ID_CUR_MAT FROM curso_materia WHERE curso_materia.CUPOF='2683132' ) ,
    (SELECT horario.ID_HOR FROM horario WHERE horario.modulo='3 ' and horario.turno='T ' ),'MIERCOLES ' , 'CONTRATURNO ' );</v>
      </c>
    </row>
    <row r="178" spans="1:34" ht="15" hidden="1" customHeight="1" x14ac:dyDescent="0.3">
      <c r="A178" s="1" t="str">
        <f t="shared" si="25"/>
        <v>2°1°</v>
      </c>
      <c r="B178" s="54" t="str">
        <f t="shared" si="26"/>
        <v>2°1°3VIMAÑANA0</v>
      </c>
      <c r="C178" s="62">
        <f>VLOOKUP(G178,[1]Hoja1!$A:$O,3,0)</f>
        <v>0</v>
      </c>
      <c r="D178" s="2" t="str">
        <f t="shared" si="27"/>
        <v>3VIM</v>
      </c>
      <c r="E178" s="62" t="s">
        <v>35</v>
      </c>
      <c r="F178" s="62" t="s">
        <v>27</v>
      </c>
      <c r="G178" s="62" t="s">
        <v>306</v>
      </c>
      <c r="H178" s="8" t="str">
        <f>VLOOKUP(G178,[1]Hoja1!$A:$O,6,0)</f>
        <v>EDUCACION ARTISTICA (PLASTICA)</v>
      </c>
      <c r="I178" s="4"/>
      <c r="J178" s="4"/>
      <c r="K178" s="80" t="str">
        <f t="shared" si="35"/>
        <v>VI</v>
      </c>
      <c r="L178" s="4"/>
      <c r="M178" s="86" t="str">
        <f>VLOOKUP(G178,[1]Hoja1!$A:$O,15,0)</f>
        <v>SEGGIARO GISELA PAMELA  27324520711</v>
      </c>
      <c r="N178" s="2" t="str">
        <f t="shared" si="28"/>
        <v>2°1°2ARTVI</v>
      </c>
      <c r="O178" s="2"/>
      <c r="P178" s="2" t="str">
        <f>VLOOKUP(G178,[1]Hoja1!$A:$P,16,0)</f>
        <v xml:space="preserve"> </v>
      </c>
      <c r="Q178" s="2"/>
      <c r="S178">
        <f>VLOOKUP(G178,[1]Hoja1!$A:$O,5,0)</f>
        <v>733585</v>
      </c>
      <c r="U178" s="45" t="s">
        <v>2751</v>
      </c>
      <c r="V178" s="46">
        <f t="shared" si="29"/>
        <v>733585</v>
      </c>
      <c r="W178" s="47" t="s">
        <v>1519</v>
      </c>
      <c r="X178" s="46" t="str">
        <f t="shared" si="30"/>
        <v>3</v>
      </c>
      <c r="Y178" s="47" t="s">
        <v>1518</v>
      </c>
      <c r="Z178" s="46" t="str">
        <f t="shared" si="31"/>
        <v>M</v>
      </c>
      <c r="AA178" s="47" t="s">
        <v>2752</v>
      </c>
      <c r="AB178" s="46" t="str">
        <f t="shared" si="32"/>
        <v>VIERNES</v>
      </c>
      <c r="AC178" s="47" t="s">
        <v>2753</v>
      </c>
      <c r="AD178">
        <f t="shared" si="33"/>
        <v>0</v>
      </c>
      <c r="AE178" s="47" t="s">
        <v>2754</v>
      </c>
      <c r="AH178" t="str">
        <f t="shared" si="34"/>
        <v>INSERT INTO horario_curso_materia (horario_curso_materia.FK_CUR_mat,horario_curso_materia.FK_HOR,horario_curso_materia.DIA,horario_curso_materia.tipo_turno) VALUES (  (SELECT curso_materia.ID_CUR_MAT FROM curso_materia WHERE curso_materia.CUPOF='733585' ) ,
    (SELECT horario.ID_HOR FROM horario WHERE horario.modulo='3 ' and horario.turno='M ' ),'VIERNES ' , '0 ' );</v>
      </c>
    </row>
    <row r="179" spans="1:34" ht="15" hidden="1" customHeight="1" x14ac:dyDescent="0.3">
      <c r="A179" s="1" t="str">
        <f t="shared" si="25"/>
        <v>2°1°</v>
      </c>
      <c r="B179" s="54" t="str">
        <f t="shared" si="26"/>
        <v>2°1°3VITARDE212</v>
      </c>
      <c r="C179" s="62">
        <f>VLOOKUP(G179,[1]Hoja1!$A:$O,3,0)</f>
        <v>212</v>
      </c>
      <c r="D179" s="2" t="str">
        <f t="shared" si="27"/>
        <v>3VITaula 4</v>
      </c>
      <c r="E179" s="62" t="s">
        <v>35</v>
      </c>
      <c r="F179" s="62" t="s">
        <v>10</v>
      </c>
      <c r="G179" s="62" t="s">
        <v>73</v>
      </c>
      <c r="H179" s="8" t="str">
        <f>VLOOKUP(G179,[1]Hoja1!$A:$O,6,0)</f>
        <v>LENGUAJES TECNOLOGICOS</v>
      </c>
      <c r="I179" s="4" t="s">
        <v>1437</v>
      </c>
      <c r="J179" s="4"/>
      <c r="K179" s="80" t="str">
        <f t="shared" si="35"/>
        <v>VI</v>
      </c>
      <c r="L179" s="4" t="s">
        <v>512</v>
      </c>
      <c r="M179" s="86" t="str">
        <f>VLOOKUP(G179,[1]Hoja1!$A:$O,15,0)</f>
        <v xml:space="preserve">VERA LORENA                        </v>
      </c>
      <c r="N179" s="2" t="str">
        <f t="shared" si="28"/>
        <v>2°1°2122TLT2VI</v>
      </c>
      <c r="O179" s="2"/>
      <c r="P179" s="2" t="str">
        <f>VLOOKUP(G179,[1]Hoja1!$A:$P,16,0)</f>
        <v xml:space="preserve"> </v>
      </c>
      <c r="Q179" s="2"/>
      <c r="S179">
        <f>VLOOKUP(G179,[1]Hoja1!$A:$O,5,0)</f>
        <v>2683129</v>
      </c>
      <c r="U179" s="45" t="s">
        <v>2751</v>
      </c>
      <c r="V179" s="46">
        <f t="shared" si="29"/>
        <v>2683129</v>
      </c>
      <c r="W179" s="47" t="s">
        <v>1519</v>
      </c>
      <c r="X179" s="46" t="str">
        <f t="shared" si="30"/>
        <v>3</v>
      </c>
      <c r="Y179" s="47" t="s">
        <v>1518</v>
      </c>
      <c r="Z179" s="46" t="str">
        <f t="shared" si="31"/>
        <v>T</v>
      </c>
      <c r="AA179" s="47" t="s">
        <v>2752</v>
      </c>
      <c r="AB179" s="46" t="str">
        <f t="shared" si="32"/>
        <v>VIERNES</v>
      </c>
      <c r="AC179" s="47" t="s">
        <v>2753</v>
      </c>
      <c r="AD179" t="str">
        <f t="shared" si="33"/>
        <v>CONTRATURNO</v>
      </c>
      <c r="AE179" s="47" t="s">
        <v>2754</v>
      </c>
      <c r="AH179" t="str">
        <f t="shared" si="34"/>
        <v>INSERT INTO horario_curso_materia (horario_curso_materia.FK_CUR_mat,horario_curso_materia.FK_HOR,horario_curso_materia.DIA,horario_curso_materia.tipo_turno) VALUES (  (SELECT curso_materia.ID_CUR_MAT FROM curso_materia WHERE curso_materia.CUPOF='2683129' ) ,
    (SELECT horario.ID_HOR FROM horario WHERE horario.modulo='3 ' and horario.turno='T ' ),'VIERNES ' , 'CONTRATURNO ' );</v>
      </c>
    </row>
    <row r="180" spans="1:34" ht="15" hidden="1" customHeight="1" x14ac:dyDescent="0.3">
      <c r="A180" s="1" t="str">
        <f t="shared" si="25"/>
        <v>2°1°</v>
      </c>
      <c r="B180" s="54" t="str">
        <f t="shared" si="26"/>
        <v>2°1°4JUMAÑANA0</v>
      </c>
      <c r="C180" s="62">
        <f>VLOOKUP(G180,[1]Hoja1!$A:$O,3,0)</f>
        <v>0</v>
      </c>
      <c r="D180" s="2" t="str">
        <f t="shared" si="27"/>
        <v>4JUM</v>
      </c>
      <c r="E180" s="62" t="s">
        <v>48</v>
      </c>
      <c r="F180" s="62" t="s">
        <v>27</v>
      </c>
      <c r="G180" s="62" t="s">
        <v>298</v>
      </c>
      <c r="H180" s="8" t="str">
        <f>VLOOKUP(G180,[1]Hoja1!$A:$O,6,0)</f>
        <v>MATEMATICA</v>
      </c>
      <c r="I180" s="4"/>
      <c r="J180" s="4"/>
      <c r="K180" s="80" t="str">
        <f t="shared" si="35"/>
        <v>JU</v>
      </c>
      <c r="L180" s="4"/>
      <c r="M180" s="86" t="str">
        <f>VLOOKUP(G180,[1]Hoja1!$A:$O,15,0)</f>
        <v>GARCIA. C.</v>
      </c>
      <c r="N180" s="2" t="str">
        <f t="shared" si="28"/>
        <v>2°1°2MATJU</v>
      </c>
      <c r="O180" s="2"/>
      <c r="P180" s="2" t="str">
        <f>VLOOKUP(G180,[1]Hoja1!$A:$P,16,0)</f>
        <v xml:space="preserve"> </v>
      </c>
      <c r="Q180" s="2"/>
      <c r="S180">
        <f>VLOOKUP(G180,[1]Hoja1!$A:$O,5,0)</f>
        <v>733468</v>
      </c>
      <c r="U180" s="45" t="s">
        <v>2751</v>
      </c>
      <c r="V180" s="46">
        <f t="shared" si="29"/>
        <v>733468</v>
      </c>
      <c r="W180" s="47" t="s">
        <v>1519</v>
      </c>
      <c r="X180" s="46" t="str">
        <f t="shared" si="30"/>
        <v>4</v>
      </c>
      <c r="Y180" s="47" t="s">
        <v>1518</v>
      </c>
      <c r="Z180" s="46" t="str">
        <f t="shared" si="31"/>
        <v>M</v>
      </c>
      <c r="AA180" s="47" t="s">
        <v>2752</v>
      </c>
      <c r="AB180" s="46" t="str">
        <f t="shared" si="32"/>
        <v>JUEVES</v>
      </c>
      <c r="AC180" s="47" t="s">
        <v>2753</v>
      </c>
      <c r="AD180">
        <f t="shared" si="33"/>
        <v>0</v>
      </c>
      <c r="AE180" s="47" t="s">
        <v>2754</v>
      </c>
      <c r="AH180" t="str">
        <f t="shared" si="34"/>
        <v>INSERT INTO horario_curso_materia (horario_curso_materia.FK_CUR_mat,horario_curso_materia.FK_HOR,horario_curso_materia.DIA,horario_curso_materia.tipo_turno) VALUES (  (SELECT curso_materia.ID_CUR_MAT FROM curso_materia WHERE curso_materia.CUPOF='733468' ) ,
    (SELECT horario.ID_HOR FROM horario WHERE horario.modulo='4 ' and horario.turno='M ' ),'JUEVES ' , '0 ' );</v>
      </c>
    </row>
    <row r="181" spans="1:34" ht="15" hidden="1" customHeight="1" x14ac:dyDescent="0.3">
      <c r="A181" s="1" t="str">
        <f t="shared" si="25"/>
        <v>2°1°</v>
      </c>
      <c r="B181" s="54" t="str">
        <f t="shared" si="26"/>
        <v>2°1°4LUMAÑANA0</v>
      </c>
      <c r="C181" s="62">
        <f>VLOOKUP(G181,[1]Hoja1!$A:$O,3,0)</f>
        <v>0</v>
      </c>
      <c r="D181" s="2" t="str">
        <f t="shared" si="27"/>
        <v>4LUM</v>
      </c>
      <c r="E181" s="62" t="s">
        <v>31</v>
      </c>
      <c r="F181" s="62" t="s">
        <v>27</v>
      </c>
      <c r="G181" s="62" t="s">
        <v>299</v>
      </c>
      <c r="H181" s="8" t="str">
        <f>VLOOKUP(G181,[1]Hoja1!$A:$O,6,0)</f>
        <v>INGLÉS</v>
      </c>
      <c r="I181" s="4"/>
      <c r="J181" s="4"/>
      <c r="K181" s="80" t="str">
        <f t="shared" si="35"/>
        <v>LU</v>
      </c>
      <c r="L181" s="4"/>
      <c r="M181" s="86" t="str">
        <f>VLOOKUP(G181,[1]Hoja1!$A:$O,15,0)</f>
        <v xml:space="preserve">BONELLI PAMELA                                </v>
      </c>
      <c r="N181" s="2" t="str">
        <f t="shared" si="28"/>
        <v>2°1°2INGLU</v>
      </c>
      <c r="O181" s="2"/>
      <c r="P181" s="2" t="str">
        <f>VLOOKUP(G181,[1]Hoja1!$A:$P,16,0)</f>
        <v xml:space="preserve"> </v>
      </c>
      <c r="Q181" s="2"/>
      <c r="S181">
        <f>VLOOKUP(G181,[1]Hoja1!$A:$O,5,0)</f>
        <v>733561</v>
      </c>
      <c r="U181" s="45" t="s">
        <v>2751</v>
      </c>
      <c r="V181" s="46">
        <f t="shared" si="29"/>
        <v>733561</v>
      </c>
      <c r="W181" s="47" t="s">
        <v>1519</v>
      </c>
      <c r="X181" s="46" t="str">
        <f t="shared" si="30"/>
        <v>4</v>
      </c>
      <c r="Y181" s="47" t="s">
        <v>1518</v>
      </c>
      <c r="Z181" s="46" t="str">
        <f t="shared" si="31"/>
        <v>M</v>
      </c>
      <c r="AA181" s="47" t="s">
        <v>2752</v>
      </c>
      <c r="AB181" s="46" t="str">
        <f t="shared" si="32"/>
        <v>LUNES</v>
      </c>
      <c r="AC181" s="47" t="s">
        <v>2753</v>
      </c>
      <c r="AD181">
        <f t="shared" si="33"/>
        <v>0</v>
      </c>
      <c r="AE181" s="47" t="s">
        <v>2754</v>
      </c>
      <c r="AH181" t="str">
        <f t="shared" si="34"/>
        <v>INSERT INTO horario_curso_materia (horario_curso_materia.FK_CUR_mat,horario_curso_materia.FK_HOR,horario_curso_materia.DIA,horario_curso_materia.tipo_turno) VALUES (  (SELECT curso_materia.ID_CUR_MAT FROM curso_materia WHERE curso_materia.CUPOF='733561' ) ,
    (SELECT horario.ID_HOR FROM horario WHERE horario.modulo='4 ' and horario.turno='M ' ),'LUNES ' , '0 ' );</v>
      </c>
    </row>
    <row r="182" spans="1:34" ht="15" hidden="1" customHeight="1" x14ac:dyDescent="0.3">
      <c r="A182" s="1" t="str">
        <f t="shared" si="25"/>
        <v>2°1°</v>
      </c>
      <c r="B182" s="54" t="str">
        <f t="shared" si="26"/>
        <v>2°1°4MAMAÑANA0</v>
      </c>
      <c r="C182" s="62">
        <f>VLOOKUP(G182,[1]Hoja1!$A:$O,3,0)</f>
        <v>0</v>
      </c>
      <c r="D182" s="2" t="str">
        <f t="shared" si="27"/>
        <v>4MAM</v>
      </c>
      <c r="E182" s="62" t="s">
        <v>16</v>
      </c>
      <c r="F182" s="62" t="s">
        <v>27</v>
      </c>
      <c r="G182" s="62" t="s">
        <v>302</v>
      </c>
      <c r="H182" s="8" t="str">
        <f>VLOOKUP(G182,[1]Hoja1!$A:$O,6,0)</f>
        <v>FISICO-QUIMICA</v>
      </c>
      <c r="I182" s="4"/>
      <c r="J182" s="4"/>
      <c r="K182" s="80" t="str">
        <f t="shared" si="35"/>
        <v>MA</v>
      </c>
      <c r="L182" s="4"/>
      <c r="M182" s="86" t="str">
        <f>VLOOKUP(G182,[1]Hoja1!$A:$O,15,0)</f>
        <v xml:space="preserve">ESPINDOLA SERGIO                        </v>
      </c>
      <c r="N182" s="2" t="str">
        <f t="shared" si="28"/>
        <v>2°1°2FI/QUIMA</v>
      </c>
      <c r="O182" s="2"/>
      <c r="P182" s="2" t="str">
        <f>VLOOKUP(G182,[1]Hoja1!$A:$P,16,0)</f>
        <v xml:space="preserve"> </v>
      </c>
      <c r="Q182" s="2"/>
      <c r="S182">
        <f>VLOOKUP(G182,[1]Hoja1!$A:$O,5,0)</f>
        <v>1642762</v>
      </c>
      <c r="U182" s="45" t="s">
        <v>2751</v>
      </c>
      <c r="V182" s="46">
        <f t="shared" si="29"/>
        <v>1642762</v>
      </c>
      <c r="W182" s="47" t="s">
        <v>1519</v>
      </c>
      <c r="X182" s="46" t="str">
        <f t="shared" si="30"/>
        <v>4</v>
      </c>
      <c r="Y182" s="47" t="s">
        <v>1518</v>
      </c>
      <c r="Z182" s="46" t="str">
        <f t="shared" si="31"/>
        <v>M</v>
      </c>
      <c r="AA182" s="47" t="s">
        <v>2752</v>
      </c>
      <c r="AB182" s="46" t="str">
        <f t="shared" si="32"/>
        <v>MARTES</v>
      </c>
      <c r="AC182" s="47" t="s">
        <v>2753</v>
      </c>
      <c r="AD182">
        <f t="shared" si="33"/>
        <v>0</v>
      </c>
      <c r="AE182" s="47" t="s">
        <v>2754</v>
      </c>
      <c r="AH182" t="str">
        <f t="shared" si="34"/>
        <v>INSERT INTO horario_curso_materia (horario_curso_materia.FK_CUR_mat,horario_curso_materia.FK_HOR,horario_curso_materia.DIA,horario_curso_materia.tipo_turno) VALUES (  (SELECT curso_materia.ID_CUR_MAT FROM curso_materia WHERE curso_materia.CUPOF='1642762' ) ,
    (SELECT horario.ID_HOR FROM horario WHERE horario.modulo='4 ' and horario.turno='M ' ),'MARTES ' , '0 ' );</v>
      </c>
    </row>
    <row r="183" spans="1:34" ht="15" hidden="1" customHeight="1" x14ac:dyDescent="0.3">
      <c r="A183" s="1" t="str">
        <f t="shared" si="25"/>
        <v>2°1°</v>
      </c>
      <c r="B183" s="54" t="str">
        <f t="shared" si="26"/>
        <v>2°1°4juTARDE0</v>
      </c>
      <c r="C183" s="62">
        <f>VLOOKUP(G183,[1]Hoja1!$A:$O,3,0)</f>
        <v>0</v>
      </c>
      <c r="D183" s="2" t="str">
        <f t="shared" si="27"/>
        <v>4juTPATIO</v>
      </c>
      <c r="E183" s="62" t="s">
        <v>1351</v>
      </c>
      <c r="F183" s="62" t="s">
        <v>10</v>
      </c>
      <c r="G183" s="62" t="s">
        <v>307</v>
      </c>
      <c r="H183" s="8" t="str">
        <f>VLOOKUP(G183,[1]Hoja1!$A:$O,6,0)</f>
        <v>EDUCACIÓN FISICA</v>
      </c>
      <c r="I183" s="4" t="s">
        <v>241</v>
      </c>
      <c r="J183" s="4"/>
      <c r="K183" s="80" t="str">
        <f t="shared" si="35"/>
        <v>ju</v>
      </c>
      <c r="L183" s="4" t="s">
        <v>512</v>
      </c>
      <c r="M183" s="86" t="str">
        <f>VLOOKUP(G183,[1]Hoja1!$A:$O,15,0)</f>
        <v>LUDUEÑA NELSON            ACRECENTAMIENTO 2020</v>
      </c>
      <c r="N183" s="2" t="str">
        <f t="shared" si="28"/>
        <v>2°1°2EFIju</v>
      </c>
      <c r="O183" s="2"/>
      <c r="P183" s="2" t="str">
        <f>VLOOKUP(G183,[1]Hoja1!$A:$P,16,0)</f>
        <v xml:space="preserve"> </v>
      </c>
      <c r="Q183" s="2"/>
      <c r="S183">
        <f>VLOOKUP(G183,[1]Hoja1!$A:$O,5,0)</f>
        <v>733460</v>
      </c>
      <c r="U183" s="45" t="s">
        <v>2751</v>
      </c>
      <c r="V183" s="46">
        <f t="shared" si="29"/>
        <v>733460</v>
      </c>
      <c r="W183" s="47" t="s">
        <v>1519</v>
      </c>
      <c r="X183" s="46" t="str">
        <f t="shared" si="30"/>
        <v>4</v>
      </c>
      <c r="Y183" s="47" t="s">
        <v>1518</v>
      </c>
      <c r="Z183" s="46" t="str">
        <f t="shared" si="31"/>
        <v>T</v>
      </c>
      <c r="AA183" s="47" t="s">
        <v>2752</v>
      </c>
      <c r="AB183" s="46" t="str">
        <f t="shared" si="32"/>
        <v>JUEVES</v>
      </c>
      <c r="AC183" s="47" t="s">
        <v>2753</v>
      </c>
      <c r="AD183" t="str">
        <f t="shared" si="33"/>
        <v>CONTRATURNO</v>
      </c>
      <c r="AE183" s="47" t="s">
        <v>2754</v>
      </c>
      <c r="AH183" t="str">
        <f t="shared" si="34"/>
        <v>INSERT INTO horario_curso_materia (horario_curso_materia.FK_CUR_mat,horario_curso_materia.FK_HOR,horario_curso_materia.DIA,horario_curso_materia.tipo_turno) VALUES (  (SELECT curso_materia.ID_CUR_MAT FROM curso_materia WHERE curso_materia.CUPOF='733460' ) ,
    (SELECT horario.ID_HOR FROM horario WHERE horario.modulo='4 ' and horario.turno='T ' ),'JUEVES ' , 'CONTRATURNO ' );</v>
      </c>
    </row>
    <row r="184" spans="1:34" ht="15" hidden="1" customHeight="1" x14ac:dyDescent="0.3">
      <c r="A184" s="1" t="str">
        <f t="shared" si="25"/>
        <v>2°1°</v>
      </c>
      <c r="B184" s="54" t="str">
        <f t="shared" si="26"/>
        <v>2°1°4MIMAÑANA0</v>
      </c>
      <c r="C184" s="62">
        <f>VLOOKUP(G184,[1]Hoja1!$A:$O,3,0)</f>
        <v>0</v>
      </c>
      <c r="D184" s="2" t="str">
        <f t="shared" si="27"/>
        <v>4MIM</v>
      </c>
      <c r="E184" s="62" t="s">
        <v>52</v>
      </c>
      <c r="F184" s="62" t="s">
        <v>27</v>
      </c>
      <c r="G184" s="62" t="s">
        <v>304</v>
      </c>
      <c r="H184" s="8" t="str">
        <f>VLOOKUP(G184,[1]Hoja1!$A:$O,6,0)</f>
        <v>BIOLOGIA</v>
      </c>
      <c r="I184" s="4"/>
      <c r="J184" s="4"/>
      <c r="K184" s="80" t="str">
        <f t="shared" si="35"/>
        <v>MI</v>
      </c>
      <c r="L184" s="4"/>
      <c r="M184" s="86" t="str">
        <f>VLOOKUP(G184,[1]Hoja1!$A:$O,15,0)</f>
        <v>FARIAS CLAUDIA</v>
      </c>
      <c r="N184" s="2" t="str">
        <f t="shared" si="28"/>
        <v>2°1°2BIOMI</v>
      </c>
      <c r="O184" s="2"/>
      <c r="P184" s="2" t="str">
        <f>VLOOKUP(G184,[1]Hoja1!$A:$P,16,0)</f>
        <v xml:space="preserve"> </v>
      </c>
      <c r="Q184" s="2"/>
      <c r="S184">
        <f>VLOOKUP(G184,[1]Hoja1!$A:$O,5,0)</f>
        <v>1642764</v>
      </c>
      <c r="U184" s="45" t="s">
        <v>2751</v>
      </c>
      <c r="V184" s="46">
        <f t="shared" si="29"/>
        <v>1642764</v>
      </c>
      <c r="W184" s="47" t="s">
        <v>1519</v>
      </c>
      <c r="X184" s="46" t="str">
        <f t="shared" si="30"/>
        <v>4</v>
      </c>
      <c r="Y184" s="47" t="s">
        <v>1518</v>
      </c>
      <c r="Z184" s="46" t="str">
        <f t="shared" si="31"/>
        <v>M</v>
      </c>
      <c r="AA184" s="47" t="s">
        <v>2752</v>
      </c>
      <c r="AB184" s="46" t="str">
        <f t="shared" si="32"/>
        <v>MIERCOLES</v>
      </c>
      <c r="AC184" s="47" t="s">
        <v>2753</v>
      </c>
      <c r="AD184">
        <f t="shared" si="33"/>
        <v>0</v>
      </c>
      <c r="AE184" s="47" t="s">
        <v>2754</v>
      </c>
      <c r="AH184" t="str">
        <f t="shared" si="34"/>
        <v>INSERT INTO horario_curso_materia (horario_curso_materia.FK_CUR_mat,horario_curso_materia.FK_HOR,horario_curso_materia.DIA,horario_curso_materia.tipo_turno) VALUES (  (SELECT curso_materia.ID_CUR_MAT FROM curso_materia WHERE curso_materia.CUPOF='1642764' ) ,
    (SELECT horario.ID_HOR FROM horario WHERE horario.modulo='4 ' and horario.turno='M ' ),'MIERCOLES ' , '0 ' );</v>
      </c>
    </row>
    <row r="185" spans="1:34" ht="15" hidden="1" customHeight="1" x14ac:dyDescent="0.3">
      <c r="A185" s="1" t="str">
        <f t="shared" si="25"/>
        <v>2°1°</v>
      </c>
      <c r="B185" s="54" t="str">
        <f t="shared" si="26"/>
        <v>2°1°4MITARDE212</v>
      </c>
      <c r="C185" s="62">
        <f>VLOOKUP(G185,[1]Hoja1!$A:$O,3,0)</f>
        <v>212</v>
      </c>
      <c r="D185" s="2" t="str">
        <f t="shared" si="27"/>
        <v>4MITCARPINTERIA</v>
      </c>
      <c r="E185" s="62" t="s">
        <v>52</v>
      </c>
      <c r="F185" s="62" t="s">
        <v>10</v>
      </c>
      <c r="G185" s="62" t="s">
        <v>71</v>
      </c>
      <c r="H185" s="8" t="str">
        <f>VLOOKUP(G185,[1]Hoja1!$A:$O,6,0)</f>
        <v>PROCEDIMIENTOS TECNICOS</v>
      </c>
      <c r="I185" s="4" t="s">
        <v>23</v>
      </c>
      <c r="J185" s="4"/>
      <c r="K185" s="80" t="str">
        <f t="shared" si="35"/>
        <v>MI</v>
      </c>
      <c r="L185" s="4" t="s">
        <v>512</v>
      </c>
      <c r="M185" s="86" t="str">
        <f>VLOOKUP(G185,[1]Hoja1!$A:$O,15,0)</f>
        <v xml:space="preserve">CHAMORRO CRISTIAN                        </v>
      </c>
      <c r="N185" s="2" t="str">
        <f t="shared" si="28"/>
        <v>2°1°2122TPT2MI</v>
      </c>
      <c r="O185" s="2"/>
      <c r="P185" s="2" t="str">
        <f>VLOOKUP(G185,[1]Hoja1!$A:$P,16,0)</f>
        <v xml:space="preserve"> </v>
      </c>
      <c r="Q185" s="2"/>
      <c r="S185">
        <f>VLOOKUP(G185,[1]Hoja1!$A:$O,5,0)</f>
        <v>2683132</v>
      </c>
      <c r="U185" s="45" t="s">
        <v>2751</v>
      </c>
      <c r="V185" s="46">
        <f t="shared" si="29"/>
        <v>2683132</v>
      </c>
      <c r="W185" s="47" t="s">
        <v>1519</v>
      </c>
      <c r="X185" s="46" t="str">
        <f t="shared" si="30"/>
        <v>4</v>
      </c>
      <c r="Y185" s="47" t="s">
        <v>1518</v>
      </c>
      <c r="Z185" s="46" t="str">
        <f t="shared" si="31"/>
        <v>T</v>
      </c>
      <c r="AA185" s="47" t="s">
        <v>2752</v>
      </c>
      <c r="AB185" s="46" t="str">
        <f t="shared" si="32"/>
        <v>MIERCOLES</v>
      </c>
      <c r="AC185" s="47" t="s">
        <v>2753</v>
      </c>
      <c r="AD185" t="str">
        <f t="shared" si="33"/>
        <v>CONTRATURNO</v>
      </c>
      <c r="AE185" s="47" t="s">
        <v>2754</v>
      </c>
      <c r="AH185" t="str">
        <f t="shared" si="34"/>
        <v>INSERT INTO horario_curso_materia (horario_curso_materia.FK_CUR_mat,horario_curso_materia.FK_HOR,horario_curso_materia.DIA,horario_curso_materia.tipo_turno) VALUES (  (SELECT curso_materia.ID_CUR_MAT FROM curso_materia WHERE curso_materia.CUPOF='2683132' ) ,
    (SELECT horario.ID_HOR FROM horario WHERE horario.modulo='4 ' and horario.turno='T ' ),'MIERCOLES ' , 'CONTRATURNO ' );</v>
      </c>
    </row>
    <row r="186" spans="1:34" ht="15" hidden="1" customHeight="1" x14ac:dyDescent="0.3">
      <c r="A186" s="1" t="str">
        <f t="shared" si="25"/>
        <v>2°1°</v>
      </c>
      <c r="B186" s="54" t="str">
        <f t="shared" si="26"/>
        <v>2°1°4VIMAÑANA0</v>
      </c>
      <c r="C186" s="62">
        <f>VLOOKUP(G186,[1]Hoja1!$A:$O,3,0)</f>
        <v>0</v>
      </c>
      <c r="D186" s="2" t="str">
        <f t="shared" si="27"/>
        <v>4VIM</v>
      </c>
      <c r="E186" s="62" t="s">
        <v>36</v>
      </c>
      <c r="F186" s="62" t="s">
        <v>27</v>
      </c>
      <c r="G186" s="62" t="s">
        <v>306</v>
      </c>
      <c r="H186" s="8" t="str">
        <f>VLOOKUP(G186,[1]Hoja1!$A:$O,6,0)</f>
        <v>EDUCACION ARTISTICA (PLASTICA)</v>
      </c>
      <c r="I186" s="4"/>
      <c r="J186" s="4"/>
      <c r="K186" s="80" t="str">
        <f t="shared" si="35"/>
        <v>VI</v>
      </c>
      <c r="L186" s="4"/>
      <c r="M186" s="86" t="str">
        <f>VLOOKUP(G186,[1]Hoja1!$A:$O,15,0)</f>
        <v>SEGGIARO GISELA PAMELA  27324520711</v>
      </c>
      <c r="N186" s="2" t="str">
        <f t="shared" si="28"/>
        <v>2°1°2ARTVI</v>
      </c>
      <c r="O186" s="2"/>
      <c r="P186" s="2" t="str">
        <f>VLOOKUP(G186,[1]Hoja1!$A:$P,16,0)</f>
        <v xml:space="preserve"> </v>
      </c>
      <c r="Q186" s="2"/>
      <c r="S186">
        <f>VLOOKUP(G186,[1]Hoja1!$A:$O,5,0)</f>
        <v>733585</v>
      </c>
      <c r="U186" s="45" t="s">
        <v>2751</v>
      </c>
      <c r="V186" s="46">
        <f t="shared" si="29"/>
        <v>733585</v>
      </c>
      <c r="W186" s="47" t="s">
        <v>1519</v>
      </c>
      <c r="X186" s="46" t="str">
        <f t="shared" si="30"/>
        <v>4</v>
      </c>
      <c r="Y186" s="47" t="s">
        <v>1518</v>
      </c>
      <c r="Z186" s="46" t="str">
        <f t="shared" si="31"/>
        <v>M</v>
      </c>
      <c r="AA186" s="47" t="s">
        <v>2752</v>
      </c>
      <c r="AB186" s="46" t="str">
        <f t="shared" si="32"/>
        <v>VIERNES</v>
      </c>
      <c r="AC186" s="47" t="s">
        <v>2753</v>
      </c>
      <c r="AD186">
        <f t="shared" si="33"/>
        <v>0</v>
      </c>
      <c r="AE186" s="47" t="s">
        <v>2754</v>
      </c>
      <c r="AH186" t="str">
        <f t="shared" si="34"/>
        <v>INSERT INTO horario_curso_materia (horario_curso_materia.FK_CUR_mat,horario_curso_materia.FK_HOR,horario_curso_materia.DIA,horario_curso_materia.tipo_turno) VALUES (  (SELECT curso_materia.ID_CUR_MAT FROM curso_materia WHERE curso_materia.CUPOF='733585' ) ,
    (SELECT horario.ID_HOR FROM horario WHERE horario.modulo='4 ' and horario.turno='M ' ),'VIERNES ' , '0 ' );</v>
      </c>
    </row>
    <row r="187" spans="1:34" ht="15" hidden="1" customHeight="1" x14ac:dyDescent="0.3">
      <c r="A187" s="1" t="str">
        <f t="shared" si="25"/>
        <v>2°1°</v>
      </c>
      <c r="B187" s="54" t="str">
        <f t="shared" si="26"/>
        <v>2°1°4VITARDE212</v>
      </c>
      <c r="C187" s="62">
        <f>VLOOKUP(G187,[1]Hoja1!$A:$O,3,0)</f>
        <v>212</v>
      </c>
      <c r="D187" s="2" t="str">
        <f t="shared" si="27"/>
        <v>4VITaula 4</v>
      </c>
      <c r="E187" s="62" t="s">
        <v>36</v>
      </c>
      <c r="F187" s="62" t="s">
        <v>10</v>
      </c>
      <c r="G187" s="62" t="s">
        <v>73</v>
      </c>
      <c r="H187" s="8" t="str">
        <f>VLOOKUP(G187,[1]Hoja1!$A:$O,6,0)</f>
        <v>LENGUAJES TECNOLOGICOS</v>
      </c>
      <c r="I187" s="4" t="s">
        <v>1437</v>
      </c>
      <c r="J187" s="4"/>
      <c r="K187" s="80" t="str">
        <f t="shared" si="35"/>
        <v>VI</v>
      </c>
      <c r="L187" s="4" t="s">
        <v>512</v>
      </c>
      <c r="M187" s="86" t="str">
        <f>VLOOKUP(G187,[1]Hoja1!$A:$O,15,0)</f>
        <v xml:space="preserve">VERA LORENA                        </v>
      </c>
      <c r="N187" s="2" t="str">
        <f t="shared" si="28"/>
        <v>2°1°2122TLT2VI</v>
      </c>
      <c r="O187" s="2"/>
      <c r="P187" s="2" t="str">
        <f>VLOOKUP(G187,[1]Hoja1!$A:$P,16,0)</f>
        <v xml:space="preserve"> </v>
      </c>
      <c r="Q187" s="2"/>
      <c r="S187">
        <f>VLOOKUP(G187,[1]Hoja1!$A:$O,5,0)</f>
        <v>2683129</v>
      </c>
      <c r="U187" s="45" t="s">
        <v>2751</v>
      </c>
      <c r="V187" s="46">
        <f t="shared" si="29"/>
        <v>2683129</v>
      </c>
      <c r="W187" s="47" t="s">
        <v>1519</v>
      </c>
      <c r="X187" s="46" t="str">
        <f t="shared" si="30"/>
        <v>4</v>
      </c>
      <c r="Y187" s="47" t="s">
        <v>1518</v>
      </c>
      <c r="Z187" s="46" t="str">
        <f t="shared" si="31"/>
        <v>T</v>
      </c>
      <c r="AA187" s="47" t="s">
        <v>2752</v>
      </c>
      <c r="AB187" s="46" t="str">
        <f t="shared" si="32"/>
        <v>VIERNES</v>
      </c>
      <c r="AC187" s="47" t="s">
        <v>2753</v>
      </c>
      <c r="AD187" t="str">
        <f t="shared" si="33"/>
        <v>CONTRATURNO</v>
      </c>
      <c r="AE187" s="47" t="s">
        <v>2754</v>
      </c>
      <c r="AH187" t="str">
        <f t="shared" si="34"/>
        <v>INSERT INTO horario_curso_materia (horario_curso_materia.FK_CUR_mat,horario_curso_materia.FK_HOR,horario_curso_materia.DIA,horario_curso_materia.tipo_turno) VALUES (  (SELECT curso_materia.ID_CUR_MAT FROM curso_materia WHERE curso_materia.CUPOF='2683129' ) ,
    (SELECT horario.ID_HOR FROM horario WHERE horario.modulo='4 ' and horario.turno='T ' ),'VIERNES ' , 'CONTRATURNO ' );</v>
      </c>
    </row>
    <row r="188" spans="1:34" ht="15" hidden="1" customHeight="1" x14ac:dyDescent="0.3">
      <c r="A188" s="1" t="str">
        <f t="shared" si="25"/>
        <v>2°1°</v>
      </c>
      <c r="B188" s="54" t="str">
        <f t="shared" si="26"/>
        <v>2°1°5LUMAÑANA0</v>
      </c>
      <c r="C188" s="62">
        <f>VLOOKUP(G188,[1]Hoja1!$A:$O,3,0)</f>
        <v>0</v>
      </c>
      <c r="D188" s="2" t="str">
        <f t="shared" si="27"/>
        <v>5LUM</v>
      </c>
      <c r="E188" s="62" t="s">
        <v>102</v>
      </c>
      <c r="F188" s="62" t="s">
        <v>27</v>
      </c>
      <c r="G188" s="62" t="s">
        <v>300</v>
      </c>
      <c r="H188" s="8" t="str">
        <f>VLOOKUP(G188,[1]Hoja1!$A:$O,6,0)</f>
        <v>CONSTRUCCION DE LA CIUDADANIA</v>
      </c>
      <c r="I188" s="4"/>
      <c r="J188" s="4"/>
      <c r="K188" s="80" t="str">
        <f t="shared" si="35"/>
        <v>LU</v>
      </c>
      <c r="L188" s="4"/>
      <c r="M188" s="86" t="str">
        <f>VLOOKUP(G188,[1]Hoja1!$A:$O,15,0)</f>
        <v>LEDO VIVIANA SOLEDAD</v>
      </c>
      <c r="N188" s="2" t="str">
        <f t="shared" si="28"/>
        <v>2°1°2CCDLU</v>
      </c>
      <c r="O188" s="2"/>
      <c r="P188" s="2" t="str">
        <f>VLOOKUP(G188,[1]Hoja1!$A:$P,16,0)</f>
        <v xml:space="preserve"> </v>
      </c>
      <c r="Q188" s="2"/>
      <c r="S188">
        <f>VLOOKUP(G188,[1]Hoja1!$A:$O,5,0)</f>
        <v>2683134</v>
      </c>
      <c r="U188" s="45" t="s">
        <v>2751</v>
      </c>
      <c r="V188" s="46">
        <f t="shared" si="29"/>
        <v>2683134</v>
      </c>
      <c r="W188" s="47" t="s">
        <v>1519</v>
      </c>
      <c r="X188" s="46" t="str">
        <f t="shared" si="30"/>
        <v>5</v>
      </c>
      <c r="Y188" s="47" t="s">
        <v>1518</v>
      </c>
      <c r="Z188" s="46" t="str">
        <f t="shared" si="31"/>
        <v>M</v>
      </c>
      <c r="AA188" s="47" t="s">
        <v>2752</v>
      </c>
      <c r="AB188" s="46" t="str">
        <f t="shared" si="32"/>
        <v>LUNES</v>
      </c>
      <c r="AC188" s="47" t="s">
        <v>2753</v>
      </c>
      <c r="AD188">
        <f t="shared" si="33"/>
        <v>0</v>
      </c>
      <c r="AE188" s="47" t="s">
        <v>2754</v>
      </c>
      <c r="AH188" t="str">
        <f t="shared" si="34"/>
        <v>INSERT INTO horario_curso_materia (horario_curso_materia.FK_CUR_mat,horario_curso_materia.FK_HOR,horario_curso_materia.DIA,horario_curso_materia.tipo_turno) VALUES (  (SELECT curso_materia.ID_CUR_MAT FROM curso_materia WHERE curso_materia.CUPOF='2683134' ) ,
    (SELECT horario.ID_HOR FROM horario WHERE horario.modulo='5 ' and horario.turno='M ' ),'LUNES ' , '0 ' );</v>
      </c>
    </row>
    <row r="189" spans="1:34" ht="15" hidden="1" customHeight="1" x14ac:dyDescent="0.3">
      <c r="A189" s="1" t="str">
        <f t="shared" si="25"/>
        <v>2°1°</v>
      </c>
      <c r="B189" s="54" t="str">
        <f t="shared" si="26"/>
        <v>2°1°5VIMAÑANA0</v>
      </c>
      <c r="C189" s="62">
        <f>VLOOKUP(G189,[1]Hoja1!$A:$O,3,0)</f>
        <v>0</v>
      </c>
      <c r="D189" s="2" t="str">
        <f t="shared" si="27"/>
        <v>5VIM</v>
      </c>
      <c r="E189" s="62" t="s">
        <v>296</v>
      </c>
      <c r="F189" s="62" t="s">
        <v>27</v>
      </c>
      <c r="G189" s="62" t="s">
        <v>300</v>
      </c>
      <c r="H189" s="8" t="str">
        <f>VLOOKUP(G189,[1]Hoja1!$A:$O,6,0)</f>
        <v>CONSTRUCCION DE LA CIUDADANIA</v>
      </c>
      <c r="I189" s="4"/>
      <c r="J189" s="4"/>
      <c r="K189" s="80" t="str">
        <f t="shared" si="35"/>
        <v>VI</v>
      </c>
      <c r="L189" s="4"/>
      <c r="M189" s="86" t="str">
        <f>VLOOKUP(G189,[1]Hoja1!$A:$O,15,0)</f>
        <v>LEDO VIVIANA SOLEDAD</v>
      </c>
      <c r="N189" s="2" t="str">
        <f t="shared" si="28"/>
        <v>2°1°2CCDVI</v>
      </c>
      <c r="O189" s="2"/>
      <c r="P189" s="2" t="str">
        <f>VLOOKUP(G189,[1]Hoja1!$A:$P,16,0)</f>
        <v xml:space="preserve"> </v>
      </c>
      <c r="Q189" s="2"/>
      <c r="S189">
        <f>VLOOKUP(G189,[1]Hoja1!$A:$O,5,0)</f>
        <v>2683134</v>
      </c>
      <c r="U189" s="45" t="s">
        <v>2751</v>
      </c>
      <c r="V189" s="46">
        <f t="shared" si="29"/>
        <v>2683134</v>
      </c>
      <c r="W189" s="47" t="s">
        <v>1519</v>
      </c>
      <c r="X189" s="46" t="str">
        <f t="shared" si="30"/>
        <v>5</v>
      </c>
      <c r="Y189" s="47" t="s">
        <v>1518</v>
      </c>
      <c r="Z189" s="46" t="str">
        <f t="shared" si="31"/>
        <v>M</v>
      </c>
      <c r="AA189" s="47" t="s">
        <v>2752</v>
      </c>
      <c r="AB189" s="46" t="str">
        <f t="shared" si="32"/>
        <v>VIERNES</v>
      </c>
      <c r="AC189" s="47" t="s">
        <v>2753</v>
      </c>
      <c r="AD189">
        <f t="shared" si="33"/>
        <v>0</v>
      </c>
      <c r="AE189" s="47" t="s">
        <v>2754</v>
      </c>
      <c r="AH189" t="str">
        <f t="shared" si="34"/>
        <v>INSERT INTO horario_curso_materia (horario_curso_materia.FK_CUR_mat,horario_curso_materia.FK_HOR,horario_curso_materia.DIA,horario_curso_materia.tipo_turno) VALUES (  (SELECT curso_materia.ID_CUR_MAT FROM curso_materia WHERE curso_materia.CUPOF='2683134' ) ,
    (SELECT horario.ID_HOR FROM horario WHERE horario.modulo='5 ' and horario.turno='M ' ),'VIERNES ' , '0 ' );</v>
      </c>
    </row>
    <row r="190" spans="1:34" ht="15" hidden="1" customHeight="1" x14ac:dyDescent="0.3">
      <c r="A190" s="1" t="str">
        <f t="shared" si="25"/>
        <v>2°2°</v>
      </c>
      <c r="B190" s="54" t="str">
        <f t="shared" si="26"/>
        <v>2°2°1JUMAÑANA222</v>
      </c>
      <c r="C190" s="62">
        <f>VLOOKUP(G190,[1]Hoja1!$A:$O,3,0)</f>
        <v>222</v>
      </c>
      <c r="D190" s="2" t="str">
        <f t="shared" si="27"/>
        <v>1JUMCARPINTERIA</v>
      </c>
      <c r="E190" s="62" t="s">
        <v>43</v>
      </c>
      <c r="F190" s="62" t="s">
        <v>27</v>
      </c>
      <c r="G190" s="62" t="s">
        <v>79</v>
      </c>
      <c r="H190" s="8" t="str">
        <f>VLOOKUP(G190,[1]Hoja1!$A:$O,6,0)</f>
        <v>PROCEDIMIENTOS TECNICOS</v>
      </c>
      <c r="I190" s="4" t="s">
        <v>23</v>
      </c>
      <c r="J190" s="4"/>
      <c r="K190" s="80" t="str">
        <f t="shared" si="35"/>
        <v>JU</v>
      </c>
      <c r="L190" s="4" t="s">
        <v>512</v>
      </c>
      <c r="M190" s="86" t="str">
        <f>VLOOKUP(G190,[1]Hoja1!$A:$O,15,0)</f>
        <v xml:space="preserve">ETCHEVERRY MARTIN                            </v>
      </c>
      <c r="N190" s="2" t="str">
        <f t="shared" si="28"/>
        <v>2°2°2222TPT2JU</v>
      </c>
      <c r="O190" s="2"/>
      <c r="P190" s="2" t="str">
        <f>VLOOKUP(G190,[1]Hoja1!$A:$P,16,0)</f>
        <v xml:space="preserve"> </v>
      </c>
      <c r="Q190" s="2"/>
      <c r="S190">
        <f>VLOOKUP(G190,[1]Hoja1!$A:$O,5,0)</f>
        <v>2673406</v>
      </c>
      <c r="U190" s="45" t="s">
        <v>2751</v>
      </c>
      <c r="V190" s="46">
        <f t="shared" si="29"/>
        <v>2673406</v>
      </c>
      <c r="W190" s="47" t="s">
        <v>1519</v>
      </c>
      <c r="X190" s="46" t="str">
        <f t="shared" si="30"/>
        <v>1</v>
      </c>
      <c r="Y190" s="47" t="s">
        <v>1518</v>
      </c>
      <c r="Z190" s="46" t="str">
        <f t="shared" si="31"/>
        <v>M</v>
      </c>
      <c r="AA190" s="47" t="s">
        <v>2752</v>
      </c>
      <c r="AB190" s="46" t="str">
        <f t="shared" si="32"/>
        <v>JUEVES</v>
      </c>
      <c r="AC190" s="47" t="s">
        <v>2753</v>
      </c>
      <c r="AD190" t="str">
        <f t="shared" si="33"/>
        <v>CONTRATURNO</v>
      </c>
      <c r="AE190" s="47" t="s">
        <v>2754</v>
      </c>
      <c r="AH190" t="str">
        <f t="shared" si="34"/>
        <v>INSERT INTO horario_curso_materia (horario_curso_materia.FK_CUR_mat,horario_curso_materia.FK_HOR,horario_curso_materia.DIA,horario_curso_materia.tipo_turno) VALUES (  (SELECT curso_materia.ID_CUR_MAT FROM curso_materia WHERE curso_materia.CUPOF='2673406' ) ,
    (SELECT horario.ID_HOR FROM horario WHERE horario.modulo='1 ' and horario.turno='M ' ),'JUEVES ' , 'CONTRATURNO ' );</v>
      </c>
    </row>
    <row r="191" spans="1:34" ht="15" hidden="1" customHeight="1" x14ac:dyDescent="0.3">
      <c r="A191" s="1" t="str">
        <f t="shared" si="25"/>
        <v>2°2°</v>
      </c>
      <c r="B191" s="54" t="str">
        <f t="shared" si="26"/>
        <v>2°2°1JUTARDE0</v>
      </c>
      <c r="C191" s="62">
        <f>VLOOKUP(G191,[1]Hoja1!$A:$O,3,0)</f>
        <v>0</v>
      </c>
      <c r="D191" s="2" t="str">
        <f t="shared" si="27"/>
        <v>1JUT</v>
      </c>
      <c r="E191" s="62" t="s">
        <v>43</v>
      </c>
      <c r="F191" s="62" t="s">
        <v>10</v>
      </c>
      <c r="G191" s="62" t="s">
        <v>314</v>
      </c>
      <c r="H191" s="8" t="str">
        <f>VLOOKUP(G191,[1]Hoja1!$A:$O,6,0)</f>
        <v>EDUCACION ARTISTICA (PLASTICA)</v>
      </c>
      <c r="I191" s="4"/>
      <c r="J191" s="4"/>
      <c r="K191" s="80" t="str">
        <f t="shared" si="35"/>
        <v>JU</v>
      </c>
      <c r="L191" s="4"/>
      <c r="M191" s="86" t="str">
        <f>VLOOKUP(G191,[1]Hoja1!$A:$O,15,0)</f>
        <v>MELGAREJO, PAULA</v>
      </c>
      <c r="N191" s="2" t="str">
        <f t="shared" si="28"/>
        <v>2°2°2ARTJU</v>
      </c>
      <c r="O191" s="2"/>
      <c r="P191" s="2" t="str">
        <f>VLOOKUP(G191,[1]Hoja1!$A:$P,16,0)</f>
        <v xml:space="preserve"> </v>
      </c>
      <c r="Q191" s="2"/>
      <c r="S191">
        <f>VLOOKUP(G191,[1]Hoja1!$A:$O,5,0)</f>
        <v>733691</v>
      </c>
      <c r="U191" s="45" t="s">
        <v>2751</v>
      </c>
      <c r="V191" s="46">
        <f t="shared" si="29"/>
        <v>733691</v>
      </c>
      <c r="W191" s="47" t="s">
        <v>1519</v>
      </c>
      <c r="X191" s="46" t="str">
        <f t="shared" si="30"/>
        <v>1</v>
      </c>
      <c r="Y191" s="47" t="s">
        <v>1518</v>
      </c>
      <c r="Z191" s="46" t="str">
        <f t="shared" si="31"/>
        <v>T</v>
      </c>
      <c r="AA191" s="47" t="s">
        <v>2752</v>
      </c>
      <c r="AB191" s="46" t="str">
        <f t="shared" si="32"/>
        <v>JUEVES</v>
      </c>
      <c r="AC191" s="47" t="s">
        <v>2753</v>
      </c>
      <c r="AD191">
        <f t="shared" si="33"/>
        <v>0</v>
      </c>
      <c r="AE191" s="47" t="s">
        <v>2754</v>
      </c>
      <c r="AH191" t="str">
        <f t="shared" si="34"/>
        <v>INSERT INTO horario_curso_materia (horario_curso_materia.FK_CUR_mat,horario_curso_materia.FK_HOR,horario_curso_materia.DIA,horario_curso_materia.tipo_turno) VALUES (  (SELECT curso_materia.ID_CUR_MAT FROM curso_materia WHERE curso_materia.CUPOF='733691' ) ,
    (SELECT horario.ID_HOR FROM horario WHERE horario.modulo='1 ' and horario.turno='T ' ),'JUEVES ' , '0 ' );</v>
      </c>
    </row>
    <row r="192" spans="1:34" ht="15" hidden="1" customHeight="1" x14ac:dyDescent="0.3">
      <c r="A192" s="1" t="str">
        <f t="shared" si="25"/>
        <v>2°2°</v>
      </c>
      <c r="B192" s="54" t="str">
        <f t="shared" si="26"/>
        <v>2°2°1LUMAÑANA221</v>
      </c>
      <c r="C192" s="62">
        <f>VLOOKUP(G192,[1]Hoja1!$A:$O,3,0)</f>
        <v>221</v>
      </c>
      <c r="D192" s="2" t="str">
        <f t="shared" si="27"/>
        <v>1LUMCARPINTERIA</v>
      </c>
      <c r="E192" s="62" t="s">
        <v>9</v>
      </c>
      <c r="F192" s="62" t="s">
        <v>27</v>
      </c>
      <c r="G192" s="62" t="s">
        <v>74</v>
      </c>
      <c r="H192" s="8" t="str">
        <f>VLOOKUP(G192,[1]Hoja1!$A:$O,6,0)</f>
        <v>PROCEDIMIENTOS TECNICOS</v>
      </c>
      <c r="I192" s="4" t="s">
        <v>23</v>
      </c>
      <c r="J192" s="4"/>
      <c r="K192" s="80" t="str">
        <f t="shared" si="35"/>
        <v>LU</v>
      </c>
      <c r="L192" s="4" t="s">
        <v>512</v>
      </c>
      <c r="M192" s="86" t="str">
        <f>VLOOKUP(G192,[1]Hoja1!$A:$O,15,0)</f>
        <v>CRUZ DAVID</v>
      </c>
      <c r="N192" s="2" t="str">
        <f t="shared" si="28"/>
        <v>2°2°2212TPT2LU</v>
      </c>
      <c r="O192" s="2"/>
      <c r="P192" s="2" t="str">
        <f>VLOOKUP(G192,[1]Hoja1!$A:$P,16,0)</f>
        <v xml:space="preserve"> </v>
      </c>
      <c r="Q192" s="2"/>
      <c r="S192">
        <f>VLOOKUP(G192,[1]Hoja1!$A:$O,5,0)</f>
        <v>2673403</v>
      </c>
      <c r="U192" s="45" t="s">
        <v>2751</v>
      </c>
      <c r="V192" s="46">
        <f t="shared" si="29"/>
        <v>2673403</v>
      </c>
      <c r="W192" s="47" t="s">
        <v>1519</v>
      </c>
      <c r="X192" s="46" t="str">
        <f t="shared" si="30"/>
        <v>1</v>
      </c>
      <c r="Y192" s="47" t="s">
        <v>1518</v>
      </c>
      <c r="Z192" s="46" t="str">
        <f t="shared" si="31"/>
        <v>M</v>
      </c>
      <c r="AA192" s="47" t="s">
        <v>2752</v>
      </c>
      <c r="AB192" s="46" t="str">
        <f t="shared" si="32"/>
        <v>LUNES</v>
      </c>
      <c r="AC192" s="47" t="s">
        <v>2753</v>
      </c>
      <c r="AD192" t="str">
        <f t="shared" si="33"/>
        <v>CONTRATURNO</v>
      </c>
      <c r="AE192" s="47" t="s">
        <v>2754</v>
      </c>
      <c r="AH192" t="str">
        <f t="shared" si="34"/>
        <v>INSERT INTO horario_curso_materia (horario_curso_materia.FK_CUR_mat,horario_curso_materia.FK_HOR,horario_curso_materia.DIA,horario_curso_materia.tipo_turno) VALUES (  (SELECT curso_materia.ID_CUR_MAT FROM curso_materia WHERE curso_materia.CUPOF='2673403' ) ,
    (SELECT horario.ID_HOR FROM horario WHERE horario.modulo='1 ' and horario.turno='M ' ),'LUNES ' , 'CONTRATURNO ' );</v>
      </c>
    </row>
    <row r="193" spans="1:34" ht="15" hidden="1" customHeight="1" x14ac:dyDescent="0.3">
      <c r="A193" s="1" t="str">
        <f t="shared" si="25"/>
        <v>2°2°</v>
      </c>
      <c r="B193" s="54" t="str">
        <f t="shared" si="26"/>
        <v>2°2°1LUTARDE0</v>
      </c>
      <c r="C193" s="62">
        <f>VLOOKUP(G193,[1]Hoja1!$A:$O,3,0)</f>
        <v>0</v>
      </c>
      <c r="D193" s="2" t="str">
        <f t="shared" si="27"/>
        <v>1LUT</v>
      </c>
      <c r="E193" s="62" t="s">
        <v>9</v>
      </c>
      <c r="F193" s="62" t="s">
        <v>10</v>
      </c>
      <c r="G193" s="62" t="s">
        <v>308</v>
      </c>
      <c r="H193" s="8" t="str">
        <f>VLOOKUP(G193,[1]Hoja1!$A:$O,6,0)</f>
        <v>FISICO-QUIMICA</v>
      </c>
      <c r="I193" s="4"/>
      <c r="J193" s="4"/>
      <c r="K193" s="80" t="str">
        <f t="shared" si="35"/>
        <v>LU</v>
      </c>
      <c r="L193" s="4"/>
      <c r="M193" s="86" t="str">
        <f>VLOOKUP(G193,[1]Hoja1!$A:$O,15,0)</f>
        <v xml:space="preserve">AGUIRRE VALERIA                            </v>
      </c>
      <c r="N193" s="2" t="str">
        <f t="shared" si="28"/>
        <v>2°2°2FI/QUILU</v>
      </c>
      <c r="O193" s="2"/>
      <c r="P193" s="2" t="str">
        <f>VLOOKUP(G193,[1]Hoja1!$A:$P,16,0)</f>
        <v xml:space="preserve"> </v>
      </c>
      <c r="Q193" s="2"/>
      <c r="S193">
        <f>VLOOKUP(G193,[1]Hoja1!$A:$O,5,0)</f>
        <v>1644154</v>
      </c>
      <c r="U193" s="45" t="s">
        <v>2751</v>
      </c>
      <c r="V193" s="46">
        <f t="shared" si="29"/>
        <v>1644154</v>
      </c>
      <c r="W193" s="47" t="s">
        <v>1519</v>
      </c>
      <c r="X193" s="46" t="str">
        <f t="shared" si="30"/>
        <v>1</v>
      </c>
      <c r="Y193" s="47" t="s">
        <v>1518</v>
      </c>
      <c r="Z193" s="46" t="str">
        <f t="shared" si="31"/>
        <v>T</v>
      </c>
      <c r="AA193" s="47" t="s">
        <v>2752</v>
      </c>
      <c r="AB193" s="46" t="str">
        <f t="shared" si="32"/>
        <v>LUNES</v>
      </c>
      <c r="AC193" s="47" t="s">
        <v>2753</v>
      </c>
      <c r="AD193">
        <f t="shared" si="33"/>
        <v>0</v>
      </c>
      <c r="AE193" s="47" t="s">
        <v>2754</v>
      </c>
      <c r="AH193" t="str">
        <f t="shared" si="34"/>
        <v>INSERT INTO horario_curso_materia (horario_curso_materia.FK_CUR_mat,horario_curso_materia.FK_HOR,horario_curso_materia.DIA,horario_curso_materia.tipo_turno) VALUES (  (SELECT curso_materia.ID_CUR_MAT FROM curso_materia WHERE curso_materia.CUPOF='1644154' ) ,
    (SELECT horario.ID_HOR FROM horario WHERE horario.modulo='1 ' and horario.turno='T ' ),'LUNES ' , '0 ' );</v>
      </c>
    </row>
    <row r="194" spans="1:34" ht="15" customHeight="1" x14ac:dyDescent="0.3">
      <c r="A194" s="1" t="str">
        <f t="shared" si="25"/>
        <v>2°2°</v>
      </c>
      <c r="B194" s="54" t="str">
        <f t="shared" si="26"/>
        <v>2°2°3VIMAÑANA0</v>
      </c>
      <c r="C194" s="62">
        <f>VLOOKUP(G194,[1]Hoja1!$A:$O,3,0)</f>
        <v>0</v>
      </c>
      <c r="D194" s="2" t="str">
        <f t="shared" si="27"/>
        <v>3VIMPATIO2</v>
      </c>
      <c r="E194" s="62" t="s">
        <v>35</v>
      </c>
      <c r="F194" s="62" t="s">
        <v>27</v>
      </c>
      <c r="G194" s="62" t="s">
        <v>317</v>
      </c>
      <c r="H194" s="8" t="str">
        <f>VLOOKUP(G194,[1]Hoja1!$A:$O,6,0)</f>
        <v>EDUCACIÓN FISICA</v>
      </c>
      <c r="I194" s="4" t="s">
        <v>295</v>
      </c>
      <c r="J194" s="4"/>
      <c r="K194" s="80" t="str">
        <f t="shared" si="35"/>
        <v>VI</v>
      </c>
      <c r="L194" s="4" t="s">
        <v>512</v>
      </c>
      <c r="M194" s="86" t="str">
        <f>VLOOKUP(G194,[1]Hoja1!$A:$O,15,0)</f>
        <v xml:space="preserve">LUDUEÑA NELSON           </v>
      </c>
      <c r="N194" s="2" t="str">
        <f t="shared" si="28"/>
        <v>2°2°2EFIVI</v>
      </c>
      <c r="O194" s="2"/>
      <c r="P194" s="2" t="str">
        <f>VLOOKUP(G194,[1]Hoja1!$A:$P,16,0)</f>
        <v xml:space="preserve"> </v>
      </c>
      <c r="Q194" s="2"/>
      <c r="S194">
        <f>VLOOKUP(G194,[1]Hoja1!$A:$O,5,0)</f>
        <v>733701</v>
      </c>
      <c r="U194" s="45" t="s">
        <v>2751</v>
      </c>
      <c r="V194" s="46">
        <f t="shared" si="29"/>
        <v>733701</v>
      </c>
      <c r="W194" s="47" t="s">
        <v>1519</v>
      </c>
      <c r="X194" s="46" t="str">
        <f t="shared" si="30"/>
        <v>3</v>
      </c>
      <c r="Y194" s="47" t="s">
        <v>1518</v>
      </c>
      <c r="Z194" s="46" t="str">
        <f t="shared" si="31"/>
        <v>M</v>
      </c>
      <c r="AA194" s="47" t="s">
        <v>2752</v>
      </c>
      <c r="AB194" s="46" t="str">
        <f t="shared" si="32"/>
        <v>VIERNES</v>
      </c>
      <c r="AC194" s="47" t="s">
        <v>2753</v>
      </c>
      <c r="AD194" t="str">
        <f t="shared" si="33"/>
        <v>CONTRATURNO</v>
      </c>
      <c r="AE194" s="47" t="s">
        <v>2754</v>
      </c>
      <c r="AH194" t="str">
        <f t="shared" si="34"/>
        <v>INSERT INTO horario_curso_materia (horario_curso_materia.FK_CUR_mat,horario_curso_materia.FK_HOR,horario_curso_materia.DIA,horario_curso_materia.tipo_turno) VALUES (  (SELECT curso_materia.ID_CUR_MAT FROM curso_materia WHERE curso_materia.CUPOF='733701' ) ,
    (SELECT horario.ID_HOR FROM horario WHERE horario.modulo='3 ' and horario.turno='M ' ),'VIERNES ' , 'CONTRATURNO ' );</v>
      </c>
    </row>
    <row r="195" spans="1:34" ht="15" hidden="1" customHeight="1" x14ac:dyDescent="0.3">
      <c r="A195" s="1" t="str">
        <f t="shared" si="25"/>
        <v>2°2°</v>
      </c>
      <c r="B195" s="54" t="str">
        <f t="shared" si="26"/>
        <v>2°2°1MATARDE0</v>
      </c>
      <c r="C195" s="62">
        <f>VLOOKUP(G195,[1]Hoja1!$A:$O,3,0)</f>
        <v>0</v>
      </c>
      <c r="D195" s="2" t="str">
        <f t="shared" si="27"/>
        <v>1MAT</v>
      </c>
      <c r="E195" s="62" t="s">
        <v>17</v>
      </c>
      <c r="F195" s="62" t="s">
        <v>10</v>
      </c>
      <c r="G195" s="62" t="s">
        <v>310</v>
      </c>
      <c r="H195" s="8" t="str">
        <f>VLOOKUP(G195,[1]Hoja1!$A:$O,6,0)</f>
        <v>INGLÉS</v>
      </c>
      <c r="I195" s="4"/>
      <c r="J195" s="4"/>
      <c r="K195" s="80" t="str">
        <f t="shared" si="35"/>
        <v>MA</v>
      </c>
      <c r="L195" s="4"/>
      <c r="M195" s="86" t="str">
        <f>VLOOKUP(G195,[1]Hoja1!$A:$O,15,0)</f>
        <v>RAMIREZ GISELE</v>
      </c>
      <c r="N195" s="2" t="str">
        <f t="shared" si="28"/>
        <v>2°2°2INGMA</v>
      </c>
      <c r="O195" s="2"/>
      <c r="P195" s="2" t="str">
        <f>VLOOKUP(G195,[1]Hoja1!$A:$P,16,0)</f>
        <v xml:space="preserve"> </v>
      </c>
      <c r="Q195" s="2"/>
      <c r="S195">
        <f>VLOOKUP(G195,[1]Hoja1!$A:$O,5,0)</f>
        <v>968803</v>
      </c>
      <c r="U195" s="45" t="s">
        <v>2751</v>
      </c>
      <c r="V195" s="46">
        <f t="shared" si="29"/>
        <v>968803</v>
      </c>
      <c r="W195" s="47" t="s">
        <v>1519</v>
      </c>
      <c r="X195" s="46" t="str">
        <f t="shared" si="30"/>
        <v>1</v>
      </c>
      <c r="Y195" s="47" t="s">
        <v>1518</v>
      </c>
      <c r="Z195" s="46" t="str">
        <f t="shared" si="31"/>
        <v>T</v>
      </c>
      <c r="AA195" s="47" t="s">
        <v>2752</v>
      </c>
      <c r="AB195" s="46" t="str">
        <f t="shared" si="32"/>
        <v>MARTES</v>
      </c>
      <c r="AC195" s="47" t="s">
        <v>2753</v>
      </c>
      <c r="AD195">
        <f t="shared" si="33"/>
        <v>0</v>
      </c>
      <c r="AE195" s="47" t="s">
        <v>2754</v>
      </c>
      <c r="AH195" t="str">
        <f t="shared" si="34"/>
        <v>INSERT INTO horario_curso_materia (horario_curso_materia.FK_CUR_mat,horario_curso_materia.FK_HOR,horario_curso_materia.DIA,horario_curso_materia.tipo_turno) VALUES (  (SELECT curso_materia.ID_CUR_MAT FROM curso_materia WHERE curso_materia.CUPOF='968803' ) ,
    (SELECT horario.ID_HOR FROM horario WHERE horario.modulo='1 ' and horario.turno='T ' ),'MARTES ' , '0 ' );</v>
      </c>
    </row>
    <row r="196" spans="1:34" ht="15" hidden="1" customHeight="1" x14ac:dyDescent="0.3">
      <c r="A196" s="1" t="str">
        <f t="shared" si="25"/>
        <v>2°2°</v>
      </c>
      <c r="B196" s="54" t="str">
        <f t="shared" si="26"/>
        <v>2°2°1MIMAÑANA222</v>
      </c>
      <c r="C196" s="62">
        <f>VLOOKUP(G196,[1]Hoja1!$A:$O,3,0)</f>
        <v>222</v>
      </c>
      <c r="D196" s="2" t="str">
        <f t="shared" si="27"/>
        <v>1MIMAULA 2</v>
      </c>
      <c r="E196" s="62" t="s">
        <v>24</v>
      </c>
      <c r="F196" s="62" t="s">
        <v>27</v>
      </c>
      <c r="G196" s="62" t="s">
        <v>76</v>
      </c>
      <c r="H196" s="8" t="str">
        <f>VLOOKUP(G196,[1]Hoja1!$A:$O,6,0)</f>
        <v>LENGUAJES TECNOLOGICOS</v>
      </c>
      <c r="I196" s="4" t="s">
        <v>1486</v>
      </c>
      <c r="J196" s="4"/>
      <c r="K196" s="80" t="str">
        <f t="shared" si="35"/>
        <v>MI</v>
      </c>
      <c r="L196" s="4" t="s">
        <v>512</v>
      </c>
      <c r="M196" s="86" t="str">
        <f>VLOOKUP(G196,[1]Hoja1!$A:$O,15,0)</f>
        <v xml:space="preserve">RIVAROLA NORMA              </v>
      </c>
      <c r="N196" s="2" t="str">
        <f t="shared" si="28"/>
        <v>2°2°2222TLT2MI</v>
      </c>
      <c r="O196" s="2"/>
      <c r="P196" s="2" t="str">
        <f>VLOOKUP(G196,[1]Hoja1!$A:$P,16,0)</f>
        <v xml:space="preserve"> </v>
      </c>
      <c r="Q196" s="2"/>
      <c r="S196">
        <f>VLOOKUP(G196,[1]Hoja1!$A:$O,5,0)</f>
        <v>2673404</v>
      </c>
      <c r="U196" s="45" t="s">
        <v>2751</v>
      </c>
      <c r="V196" s="46">
        <f t="shared" si="29"/>
        <v>2673404</v>
      </c>
      <c r="W196" s="47" t="s">
        <v>1519</v>
      </c>
      <c r="X196" s="46" t="str">
        <f t="shared" si="30"/>
        <v>1</v>
      </c>
      <c r="Y196" s="47" t="s">
        <v>1518</v>
      </c>
      <c r="Z196" s="46" t="str">
        <f t="shared" si="31"/>
        <v>M</v>
      </c>
      <c r="AA196" s="47" t="s">
        <v>2752</v>
      </c>
      <c r="AB196" s="46" t="str">
        <f t="shared" si="32"/>
        <v>MIERCOLES</v>
      </c>
      <c r="AC196" s="47" t="s">
        <v>2753</v>
      </c>
      <c r="AD196" t="str">
        <f t="shared" si="33"/>
        <v>CONTRATURNO</v>
      </c>
      <c r="AE196" s="47" t="s">
        <v>2754</v>
      </c>
      <c r="AH196" t="str">
        <f t="shared" si="34"/>
        <v>INSERT INTO horario_curso_materia (horario_curso_materia.FK_CUR_mat,horario_curso_materia.FK_HOR,horario_curso_materia.DIA,horario_curso_materia.tipo_turno) VALUES (  (SELECT curso_materia.ID_CUR_MAT FROM curso_materia WHERE curso_materia.CUPOF='2673404' ) ,
    (SELECT horario.ID_HOR FROM horario WHERE horario.modulo='1 ' and horario.turno='M ' ),'MIERCOLES ' , 'CONTRATURNO ' );</v>
      </c>
    </row>
    <row r="197" spans="1:34" ht="15" hidden="1" customHeight="1" x14ac:dyDescent="0.3">
      <c r="A197" s="1" t="str">
        <f t="shared" si="25"/>
        <v>2°2°</v>
      </c>
      <c r="B197" s="54" t="str">
        <f t="shared" si="26"/>
        <v>2°2°PREHORAMATARDE0</v>
      </c>
      <c r="C197" s="62">
        <f>VLOOKUP(G197,[1]Hoja1!$A:$O,3,0)</f>
        <v>0</v>
      </c>
      <c r="D197" s="2" t="str">
        <f t="shared" si="27"/>
        <v>PREHORAMAT</v>
      </c>
      <c r="E197" s="62" t="s">
        <v>430</v>
      </c>
      <c r="F197" s="62" t="s">
        <v>10</v>
      </c>
      <c r="G197" s="62" t="s">
        <v>312</v>
      </c>
      <c r="H197" s="8" t="str">
        <f>VLOOKUP(G197,[1]Hoja1!$A:$O,6,0)</f>
        <v>BIOLOGIA</v>
      </c>
      <c r="I197" s="4"/>
      <c r="J197" s="4"/>
      <c r="K197" s="80" t="str">
        <f t="shared" si="35"/>
        <v>MA</v>
      </c>
      <c r="L197" s="4"/>
      <c r="M197" s="86" t="str">
        <f>VLOOKUP(G197,[1]Hoja1!$A:$O,15,0)</f>
        <v xml:space="preserve"> ARIAS YANINA</v>
      </c>
      <c r="N197" s="2" t="str">
        <f t="shared" si="28"/>
        <v>2°2°2BIOMA</v>
      </c>
      <c r="O197" s="2"/>
      <c r="P197" s="2" t="str">
        <f>VLOOKUP(G197,[1]Hoja1!$A:$P,16,0)</f>
        <v xml:space="preserve"> </v>
      </c>
      <c r="Q197" s="2"/>
      <c r="S197">
        <f>VLOOKUP(G197,[1]Hoja1!$A:$O,5,0)</f>
        <v>1644155</v>
      </c>
      <c r="U197" s="45" t="s">
        <v>2751</v>
      </c>
      <c r="V197" s="46">
        <f t="shared" si="29"/>
        <v>1644155</v>
      </c>
      <c r="W197" s="47" t="s">
        <v>1519</v>
      </c>
      <c r="X197" s="46" t="str">
        <f t="shared" si="30"/>
        <v>prehora</v>
      </c>
      <c r="Y197" s="47" t="s">
        <v>1518</v>
      </c>
      <c r="Z197" s="46" t="str">
        <f t="shared" si="31"/>
        <v>T</v>
      </c>
      <c r="AA197" s="47" t="s">
        <v>2752</v>
      </c>
      <c r="AB197" s="46" t="str">
        <f t="shared" si="32"/>
        <v>MARTES</v>
      </c>
      <c r="AC197" s="47" t="s">
        <v>2753</v>
      </c>
      <c r="AD197">
        <f t="shared" si="33"/>
        <v>0</v>
      </c>
      <c r="AE197" s="47" t="s">
        <v>2754</v>
      </c>
      <c r="AH197" t="str">
        <f t="shared" si="34"/>
        <v>INSERT INTO horario_curso_materia (horario_curso_materia.FK_CUR_mat,horario_curso_materia.FK_HOR,horario_curso_materia.DIA,horario_curso_materia.tipo_turno) VALUES (  (SELECT curso_materia.ID_CUR_MAT FROM curso_materia WHERE curso_materia.CUPOF='1644155' ) ,
    (SELECT horario.ID_HOR FROM horario WHERE horario.modulo='prehora ' and horario.turno='T ' ),'MARTES ' , '0 ' );</v>
      </c>
    </row>
    <row r="198" spans="1:34" ht="15" hidden="1" customHeight="1" x14ac:dyDescent="0.3">
      <c r="A198" s="1" t="str">
        <f t="shared" ref="A198:A261" si="36">LEFT(B198,4)</f>
        <v>2°2°</v>
      </c>
      <c r="B198" s="54" t="str">
        <f t="shared" ref="B198:B261" si="37">CONCATENATE(LEFT(G198,4),E198,F198,C198)</f>
        <v>2°2°1miTARDE0</v>
      </c>
      <c r="C198" s="62">
        <f>VLOOKUP(G198,[1]Hoja1!$A:$O,3,0)</f>
        <v>0</v>
      </c>
      <c r="D198" s="2" t="str">
        <f t="shared" ref="D198:D261" si="38">CONCATENATE(E198,LEFT(F198,1),I198)</f>
        <v>1miT</v>
      </c>
      <c r="E198" s="62" t="s">
        <v>55</v>
      </c>
      <c r="F198" s="62" t="s">
        <v>10</v>
      </c>
      <c r="G198" s="62" t="s">
        <v>316</v>
      </c>
      <c r="H198" s="8" t="str">
        <f>VLOOKUP(G198,[1]Hoja1!$A:$O,6,0)</f>
        <v>GEOGRAFIA</v>
      </c>
      <c r="I198" s="4"/>
      <c r="J198" s="4"/>
      <c r="K198" s="80" t="str">
        <f t="shared" si="35"/>
        <v>mi</v>
      </c>
      <c r="L198" s="4"/>
      <c r="M198" s="86" t="str">
        <f>VLOOKUP(G198,[1]Hoja1!$A:$O,15,0)</f>
        <v>AYALA VICORIA</v>
      </c>
      <c r="N198" s="2" t="str">
        <f t="shared" ref="N198:N261" si="39">CONCATENATE(G198,LEFT(K198,2))</f>
        <v>2°2°2GEOmi</v>
      </c>
      <c r="O198" s="2"/>
      <c r="P198" s="2" t="str">
        <f>VLOOKUP(G198,[1]Hoja1!$A:$P,16,0)</f>
        <v xml:space="preserve"> </v>
      </c>
      <c r="Q198" s="2"/>
      <c r="S198">
        <f>VLOOKUP(G198,[1]Hoja1!$A:$O,5,0)</f>
        <v>1644151</v>
      </c>
      <c r="U198" s="45" t="s">
        <v>2751</v>
      </c>
      <c r="V198" s="46">
        <f t="shared" ref="V198:V261" si="40">S198</f>
        <v>1644151</v>
      </c>
      <c r="W198" s="47" t="s">
        <v>1519</v>
      </c>
      <c r="X198" s="46" t="str">
        <f t="shared" ref="X198:X261" si="41">IF(LEFT(E198,1)="p","prehora",LEFT(E198,1))</f>
        <v>1</v>
      </c>
      <c r="Y198" s="47" t="s">
        <v>1518</v>
      </c>
      <c r="Z198" s="46" t="str">
        <f t="shared" ref="Z198:Z261" si="42">LEFT(F198,1)</f>
        <v>T</v>
      </c>
      <c r="AA198" s="47" t="s">
        <v>2752</v>
      </c>
      <c r="AB198" s="46" t="str">
        <f t="shared" ref="AB198:AB261" si="43">IF(IF(LEFT(E198,1)="p",MID(E198,8,2),MID(E198,2,2))="lu","LUNES",IF(IF(LEFT(E198,1)="p",MID(E198,8,2),MID(E198,2,2))="ma","MARTES",IF(IF(LEFT(E198,1)="p",MID(E198,8,2),MID(E198,2,2))="MI","MIERCOLES",IF(IF(LEFT(E198,1)="p",MID(E198,8,2),MID(E198,2,2))="JU","JUEVES",IF(IF(LEFT(E198,1)="p",MID(E198,8,2),MID(E198,2,2))="vi","VIERNES","")))))</f>
        <v>MIERCOLES</v>
      </c>
      <c r="AC198" s="47" t="s">
        <v>2753</v>
      </c>
      <c r="AD198">
        <f t="shared" ref="AD198:AD261" si="44">L198</f>
        <v>0</v>
      </c>
      <c r="AE198" s="47" t="s">
        <v>2754</v>
      </c>
      <c r="AH198" t="str">
        <f t="shared" ref="AH198:AH261" si="45">U198&amp;V198&amp;W198&amp;X198&amp;Y198&amp;Z198&amp;AA198&amp;AB198&amp;AC198&amp;AD198&amp;AE198</f>
        <v>INSERT INTO horario_curso_materia (horario_curso_materia.FK_CUR_mat,horario_curso_materia.FK_HOR,horario_curso_materia.DIA,horario_curso_materia.tipo_turno) VALUES (  (SELECT curso_materia.ID_CUR_MAT FROM curso_materia WHERE curso_materia.CUPOF='1644151' ) ,
    (SELECT horario.ID_HOR FROM horario WHERE horario.modulo='1 ' and horario.turno='T ' ),'MIERCOLES ' , '0 ' );</v>
      </c>
    </row>
    <row r="199" spans="1:34" ht="15" hidden="1" customHeight="1" x14ac:dyDescent="0.3">
      <c r="A199" s="1" t="str">
        <f t="shared" si="36"/>
        <v>2°2°</v>
      </c>
      <c r="B199" s="54" t="str">
        <f t="shared" si="37"/>
        <v>2°2°2JUMAÑANA222</v>
      </c>
      <c r="C199" s="62">
        <f>VLOOKUP(G199,[1]Hoja1!$A:$O,3,0)</f>
        <v>222</v>
      </c>
      <c r="D199" s="2" t="str">
        <f t="shared" si="38"/>
        <v>2JUMCARPINTERIA</v>
      </c>
      <c r="E199" s="62" t="s">
        <v>45</v>
      </c>
      <c r="F199" s="62" t="s">
        <v>27</v>
      </c>
      <c r="G199" s="62" t="s">
        <v>79</v>
      </c>
      <c r="H199" s="8" t="str">
        <f>VLOOKUP(G199,[1]Hoja1!$A:$O,6,0)</f>
        <v>PROCEDIMIENTOS TECNICOS</v>
      </c>
      <c r="I199" s="4" t="s">
        <v>23</v>
      </c>
      <c r="J199" s="4"/>
      <c r="K199" s="80" t="str">
        <f t="shared" si="35"/>
        <v>JU</v>
      </c>
      <c r="L199" s="4" t="s">
        <v>512</v>
      </c>
      <c r="M199" s="86" t="str">
        <f>VLOOKUP(G199,[1]Hoja1!$A:$O,15,0)</f>
        <v xml:space="preserve">ETCHEVERRY MARTIN                            </v>
      </c>
      <c r="N199" s="2" t="str">
        <f t="shared" si="39"/>
        <v>2°2°2222TPT2JU</v>
      </c>
      <c r="O199" s="2"/>
      <c r="P199" s="2" t="str">
        <f>VLOOKUP(G199,[1]Hoja1!$A:$P,16,0)</f>
        <v xml:space="preserve"> </v>
      </c>
      <c r="Q199" s="2"/>
      <c r="S199">
        <f>VLOOKUP(G199,[1]Hoja1!$A:$O,5,0)</f>
        <v>2673406</v>
      </c>
      <c r="U199" s="45" t="s">
        <v>2751</v>
      </c>
      <c r="V199" s="46">
        <f t="shared" si="40"/>
        <v>2673406</v>
      </c>
      <c r="W199" s="47" t="s">
        <v>1519</v>
      </c>
      <c r="X199" s="46" t="str">
        <f t="shared" si="41"/>
        <v>2</v>
      </c>
      <c r="Y199" s="47" t="s">
        <v>1518</v>
      </c>
      <c r="Z199" s="46" t="str">
        <f t="shared" si="42"/>
        <v>M</v>
      </c>
      <c r="AA199" s="47" t="s">
        <v>2752</v>
      </c>
      <c r="AB199" s="46" t="str">
        <f t="shared" si="43"/>
        <v>JUEVES</v>
      </c>
      <c r="AC199" s="47" t="s">
        <v>2753</v>
      </c>
      <c r="AD199" t="str">
        <f t="shared" si="44"/>
        <v>CONTRATURNO</v>
      </c>
      <c r="AE199" s="47" t="s">
        <v>2754</v>
      </c>
      <c r="AH199" t="str">
        <f t="shared" si="45"/>
        <v>INSERT INTO horario_curso_materia (horario_curso_materia.FK_CUR_mat,horario_curso_materia.FK_HOR,horario_curso_materia.DIA,horario_curso_materia.tipo_turno) VALUES (  (SELECT curso_materia.ID_CUR_MAT FROM curso_materia WHERE curso_materia.CUPOF='2673406' ) ,
    (SELECT horario.ID_HOR FROM horario WHERE horario.modulo='2 ' and horario.turno='M ' ),'JUEVES ' , 'CONTRATURNO ' );</v>
      </c>
    </row>
    <row r="200" spans="1:34" ht="15" hidden="1" customHeight="1" x14ac:dyDescent="0.3">
      <c r="A200" s="1" t="str">
        <f t="shared" si="36"/>
        <v>2°2°</v>
      </c>
      <c r="B200" s="54" t="str">
        <f t="shared" si="37"/>
        <v>2°2°2JUTARDE0</v>
      </c>
      <c r="C200" s="62">
        <f>VLOOKUP(G200,[1]Hoja1!$A:$O,3,0)</f>
        <v>0</v>
      </c>
      <c r="D200" s="2" t="str">
        <f t="shared" si="38"/>
        <v>2JUT</v>
      </c>
      <c r="E200" s="62" t="s">
        <v>45</v>
      </c>
      <c r="F200" s="62" t="s">
        <v>10</v>
      </c>
      <c r="G200" s="62" t="s">
        <v>314</v>
      </c>
      <c r="H200" s="8" t="str">
        <f>VLOOKUP(G200,[1]Hoja1!$A:$O,6,0)</f>
        <v>EDUCACION ARTISTICA (PLASTICA)</v>
      </c>
      <c r="I200" s="4"/>
      <c r="J200" s="4"/>
      <c r="K200" s="80" t="str">
        <f t="shared" si="35"/>
        <v>JU</v>
      </c>
      <c r="L200" s="4"/>
      <c r="M200" s="86" t="str">
        <f>VLOOKUP(G200,[1]Hoja1!$A:$O,15,0)</f>
        <v>MELGAREJO, PAULA</v>
      </c>
      <c r="N200" s="2" t="str">
        <f t="shared" si="39"/>
        <v>2°2°2ARTJU</v>
      </c>
      <c r="O200" s="2"/>
      <c r="P200" s="2" t="str">
        <f>VLOOKUP(G200,[1]Hoja1!$A:$P,16,0)</f>
        <v xml:space="preserve"> </v>
      </c>
      <c r="Q200" s="2"/>
      <c r="S200">
        <f>VLOOKUP(G200,[1]Hoja1!$A:$O,5,0)</f>
        <v>733691</v>
      </c>
      <c r="U200" s="45" t="s">
        <v>2751</v>
      </c>
      <c r="V200" s="46">
        <f t="shared" si="40"/>
        <v>733691</v>
      </c>
      <c r="W200" s="47" t="s">
        <v>1519</v>
      </c>
      <c r="X200" s="46" t="str">
        <f t="shared" si="41"/>
        <v>2</v>
      </c>
      <c r="Y200" s="47" t="s">
        <v>1518</v>
      </c>
      <c r="Z200" s="46" t="str">
        <f t="shared" si="42"/>
        <v>T</v>
      </c>
      <c r="AA200" s="47" t="s">
        <v>2752</v>
      </c>
      <c r="AB200" s="46" t="str">
        <f t="shared" si="43"/>
        <v>JUEVES</v>
      </c>
      <c r="AC200" s="47" t="s">
        <v>2753</v>
      </c>
      <c r="AD200">
        <f t="shared" si="44"/>
        <v>0</v>
      </c>
      <c r="AE200" s="47" t="s">
        <v>2754</v>
      </c>
      <c r="AH200" t="str">
        <f t="shared" si="45"/>
        <v>INSERT INTO horario_curso_materia (horario_curso_materia.FK_CUR_mat,horario_curso_materia.FK_HOR,horario_curso_materia.DIA,horario_curso_materia.tipo_turno) VALUES (  (SELECT curso_materia.ID_CUR_MAT FROM curso_materia WHERE curso_materia.CUPOF='733691' ) ,
    (SELECT horario.ID_HOR FROM horario WHERE horario.modulo='2 ' and horario.turno='T ' ),'JUEVES ' , '0 ' );</v>
      </c>
    </row>
    <row r="201" spans="1:34" ht="15" hidden="1" customHeight="1" x14ac:dyDescent="0.3">
      <c r="A201" s="1" t="str">
        <f t="shared" si="36"/>
        <v>2°2°</v>
      </c>
      <c r="B201" s="54" t="str">
        <f t="shared" si="37"/>
        <v>2°2°2LUMAÑANA221</v>
      </c>
      <c r="C201" s="62">
        <f>VLOOKUP(G201,[1]Hoja1!$A:$O,3,0)</f>
        <v>221</v>
      </c>
      <c r="D201" s="2" t="str">
        <f t="shared" si="38"/>
        <v>2LUMCARPINTERIA</v>
      </c>
      <c r="E201" s="62" t="s">
        <v>12</v>
      </c>
      <c r="F201" s="62" t="s">
        <v>27</v>
      </c>
      <c r="G201" s="62" t="s">
        <v>74</v>
      </c>
      <c r="H201" s="8" t="str">
        <f>VLOOKUP(G201,[1]Hoja1!$A:$O,6,0)</f>
        <v>PROCEDIMIENTOS TECNICOS</v>
      </c>
      <c r="I201" s="4" t="s">
        <v>23</v>
      </c>
      <c r="J201" s="4"/>
      <c r="K201" s="80" t="str">
        <f t="shared" si="35"/>
        <v>LU</v>
      </c>
      <c r="L201" s="4" t="s">
        <v>512</v>
      </c>
      <c r="M201" s="86" t="str">
        <f>VLOOKUP(G201,[1]Hoja1!$A:$O,15,0)</f>
        <v>CRUZ DAVID</v>
      </c>
      <c r="N201" s="2" t="str">
        <f t="shared" si="39"/>
        <v>2°2°2212TPT2LU</v>
      </c>
      <c r="O201" s="2"/>
      <c r="P201" s="2" t="str">
        <f>VLOOKUP(G201,[1]Hoja1!$A:$P,16,0)</f>
        <v xml:space="preserve"> </v>
      </c>
      <c r="Q201" s="2"/>
      <c r="S201">
        <f>VLOOKUP(G201,[1]Hoja1!$A:$O,5,0)</f>
        <v>2673403</v>
      </c>
      <c r="U201" s="45" t="s">
        <v>2751</v>
      </c>
      <c r="V201" s="46">
        <f t="shared" si="40"/>
        <v>2673403</v>
      </c>
      <c r="W201" s="47" t="s">
        <v>1519</v>
      </c>
      <c r="X201" s="46" t="str">
        <f t="shared" si="41"/>
        <v>2</v>
      </c>
      <c r="Y201" s="47" t="s">
        <v>1518</v>
      </c>
      <c r="Z201" s="46" t="str">
        <f t="shared" si="42"/>
        <v>M</v>
      </c>
      <c r="AA201" s="47" t="s">
        <v>2752</v>
      </c>
      <c r="AB201" s="46" t="str">
        <f t="shared" si="43"/>
        <v>LUNES</v>
      </c>
      <c r="AC201" s="47" t="s">
        <v>2753</v>
      </c>
      <c r="AD201" t="str">
        <f t="shared" si="44"/>
        <v>CONTRATURNO</v>
      </c>
      <c r="AE201" s="47" t="s">
        <v>2754</v>
      </c>
      <c r="AH201" t="str">
        <f t="shared" si="45"/>
        <v>INSERT INTO horario_curso_materia (horario_curso_materia.FK_CUR_mat,horario_curso_materia.FK_HOR,horario_curso_materia.DIA,horario_curso_materia.tipo_turno) VALUES (  (SELECT curso_materia.ID_CUR_MAT FROM curso_materia WHERE curso_materia.CUPOF='2673403' ) ,
    (SELECT horario.ID_HOR FROM horario WHERE horario.modulo='2 ' and horario.turno='M ' ),'LUNES ' , 'CONTRATURNO ' );</v>
      </c>
    </row>
    <row r="202" spans="1:34" ht="15" hidden="1" customHeight="1" x14ac:dyDescent="0.3">
      <c r="A202" s="1" t="str">
        <f t="shared" si="36"/>
        <v>2°2°</v>
      </c>
      <c r="B202" s="54" t="str">
        <f t="shared" si="37"/>
        <v>2°2°2LUTARDE0</v>
      </c>
      <c r="C202" s="62">
        <f>VLOOKUP(G202,[1]Hoja1!$A:$O,3,0)</f>
        <v>0</v>
      </c>
      <c r="D202" s="2" t="str">
        <f t="shared" si="38"/>
        <v>2LUT</v>
      </c>
      <c r="E202" s="62" t="s">
        <v>12</v>
      </c>
      <c r="F202" s="62" t="s">
        <v>10</v>
      </c>
      <c r="G202" s="62" t="s">
        <v>308</v>
      </c>
      <c r="H202" s="8" t="str">
        <f>VLOOKUP(G202,[1]Hoja1!$A:$O,6,0)</f>
        <v>FISICO-QUIMICA</v>
      </c>
      <c r="I202" s="4"/>
      <c r="J202" s="4"/>
      <c r="K202" s="80" t="str">
        <f t="shared" si="35"/>
        <v>LU</v>
      </c>
      <c r="L202" s="4"/>
      <c r="M202" s="86" t="str">
        <f>VLOOKUP(G202,[1]Hoja1!$A:$O,15,0)</f>
        <v xml:space="preserve">AGUIRRE VALERIA                            </v>
      </c>
      <c r="N202" s="2" t="str">
        <f t="shared" si="39"/>
        <v>2°2°2FI/QUILU</v>
      </c>
      <c r="O202" s="2"/>
      <c r="P202" s="2" t="str">
        <f>VLOOKUP(G202,[1]Hoja1!$A:$P,16,0)</f>
        <v xml:space="preserve"> </v>
      </c>
      <c r="Q202" s="2"/>
      <c r="S202">
        <f>VLOOKUP(G202,[1]Hoja1!$A:$O,5,0)</f>
        <v>1644154</v>
      </c>
      <c r="U202" s="45" t="s">
        <v>2751</v>
      </c>
      <c r="V202" s="46">
        <f t="shared" si="40"/>
        <v>1644154</v>
      </c>
      <c r="W202" s="47" t="s">
        <v>1519</v>
      </c>
      <c r="X202" s="46" t="str">
        <f t="shared" si="41"/>
        <v>2</v>
      </c>
      <c r="Y202" s="47" t="s">
        <v>1518</v>
      </c>
      <c r="Z202" s="46" t="str">
        <f t="shared" si="42"/>
        <v>T</v>
      </c>
      <c r="AA202" s="47" t="s">
        <v>2752</v>
      </c>
      <c r="AB202" s="46" t="str">
        <f t="shared" si="43"/>
        <v>LUNES</v>
      </c>
      <c r="AC202" s="47" t="s">
        <v>2753</v>
      </c>
      <c r="AD202">
        <f t="shared" si="44"/>
        <v>0</v>
      </c>
      <c r="AE202" s="47" t="s">
        <v>2754</v>
      </c>
      <c r="AH202" t="str">
        <f t="shared" si="45"/>
        <v>INSERT INTO horario_curso_materia (horario_curso_materia.FK_CUR_mat,horario_curso_materia.FK_HOR,horario_curso_materia.DIA,horario_curso_materia.tipo_turno) VALUES (  (SELECT curso_materia.ID_CUR_MAT FROM curso_materia WHERE curso_materia.CUPOF='1644154' ) ,
    (SELECT horario.ID_HOR FROM horario WHERE horario.modulo='2 ' and horario.turno='T ' ),'LUNES ' , '0 ' );</v>
      </c>
    </row>
    <row r="203" spans="1:34" ht="15" customHeight="1" x14ac:dyDescent="0.3">
      <c r="A203" s="1" t="str">
        <f t="shared" si="36"/>
        <v>2°2°</v>
      </c>
      <c r="B203" s="54" t="str">
        <f t="shared" si="37"/>
        <v>2°2°4VIMAÑANA0</v>
      </c>
      <c r="C203" s="62">
        <f>VLOOKUP(G203,[1]Hoja1!$A:$O,3,0)</f>
        <v>0</v>
      </c>
      <c r="D203" s="2" t="str">
        <f t="shared" si="38"/>
        <v>4VIMPATIO2</v>
      </c>
      <c r="E203" s="62" t="s">
        <v>36</v>
      </c>
      <c r="F203" s="62" t="s">
        <v>27</v>
      </c>
      <c r="G203" s="62" t="s">
        <v>317</v>
      </c>
      <c r="H203" s="8" t="str">
        <f>VLOOKUP(G203,[1]Hoja1!$A:$O,6,0)</f>
        <v>EDUCACIÓN FISICA</v>
      </c>
      <c r="I203" s="4" t="s">
        <v>295</v>
      </c>
      <c r="J203" s="4"/>
      <c r="K203" s="80" t="str">
        <f t="shared" si="35"/>
        <v>VI</v>
      </c>
      <c r="L203" s="4" t="s">
        <v>512</v>
      </c>
      <c r="M203" s="86" t="str">
        <f>VLOOKUP(G203,[1]Hoja1!$A:$O,15,0)</f>
        <v xml:space="preserve">LUDUEÑA NELSON           </v>
      </c>
      <c r="N203" s="2" t="str">
        <f t="shared" si="39"/>
        <v>2°2°2EFIVI</v>
      </c>
      <c r="O203" s="2"/>
      <c r="P203" s="2" t="str">
        <f>VLOOKUP(G203,[1]Hoja1!$A:$P,16,0)</f>
        <v xml:space="preserve"> </v>
      </c>
      <c r="Q203" s="2"/>
      <c r="S203">
        <f>VLOOKUP(G203,[1]Hoja1!$A:$O,5,0)</f>
        <v>733701</v>
      </c>
      <c r="U203" s="45" t="s">
        <v>2751</v>
      </c>
      <c r="V203" s="46">
        <f t="shared" si="40"/>
        <v>733701</v>
      </c>
      <c r="W203" s="47" t="s">
        <v>1519</v>
      </c>
      <c r="X203" s="46" t="str">
        <f t="shared" si="41"/>
        <v>4</v>
      </c>
      <c r="Y203" s="47" t="s">
        <v>1518</v>
      </c>
      <c r="Z203" s="46" t="str">
        <f t="shared" si="42"/>
        <v>M</v>
      </c>
      <c r="AA203" s="47" t="s">
        <v>2752</v>
      </c>
      <c r="AB203" s="46" t="str">
        <f t="shared" si="43"/>
        <v>VIERNES</v>
      </c>
      <c r="AC203" s="47" t="s">
        <v>2753</v>
      </c>
      <c r="AD203" t="str">
        <f t="shared" si="44"/>
        <v>CONTRATURNO</v>
      </c>
      <c r="AE203" s="47" t="s">
        <v>2754</v>
      </c>
      <c r="AH203" t="str">
        <f t="shared" si="45"/>
        <v>INSERT INTO horario_curso_materia (horario_curso_materia.FK_CUR_mat,horario_curso_materia.FK_HOR,horario_curso_materia.DIA,horario_curso_materia.tipo_turno) VALUES (  (SELECT curso_materia.ID_CUR_MAT FROM curso_materia WHERE curso_materia.CUPOF='733701' ) ,
    (SELECT horario.ID_HOR FROM horario WHERE horario.modulo='4 ' and horario.turno='M ' ),'VIERNES ' , 'CONTRATURNO ' );</v>
      </c>
    </row>
    <row r="204" spans="1:34" ht="15" hidden="1" customHeight="1" x14ac:dyDescent="0.3">
      <c r="A204" s="1" t="str">
        <f t="shared" si="36"/>
        <v>2°2°</v>
      </c>
      <c r="B204" s="54" t="str">
        <f t="shared" si="37"/>
        <v>2°2°2MATARDE0</v>
      </c>
      <c r="C204" s="62">
        <f>VLOOKUP(G204,[1]Hoja1!$A:$O,3,0)</f>
        <v>0</v>
      </c>
      <c r="D204" s="2" t="str">
        <f t="shared" si="38"/>
        <v>2MAT</v>
      </c>
      <c r="E204" s="62" t="s">
        <v>19</v>
      </c>
      <c r="F204" s="62" t="s">
        <v>10</v>
      </c>
      <c r="G204" s="62" t="s">
        <v>310</v>
      </c>
      <c r="H204" s="8" t="str">
        <f>VLOOKUP(G204,[1]Hoja1!$A:$O,6,0)</f>
        <v>INGLÉS</v>
      </c>
      <c r="I204" s="4"/>
      <c r="J204" s="4"/>
      <c r="K204" s="80" t="str">
        <f t="shared" si="35"/>
        <v>MA</v>
      </c>
      <c r="L204" s="4"/>
      <c r="M204" s="86" t="str">
        <f>VLOOKUP(G204,[1]Hoja1!$A:$O,15,0)</f>
        <v>RAMIREZ GISELE</v>
      </c>
      <c r="N204" s="2" t="str">
        <f t="shared" si="39"/>
        <v>2°2°2INGMA</v>
      </c>
      <c r="O204" s="2"/>
      <c r="P204" s="2" t="str">
        <f>VLOOKUP(G204,[1]Hoja1!$A:$P,16,0)</f>
        <v xml:space="preserve"> </v>
      </c>
      <c r="Q204" s="2"/>
      <c r="S204">
        <f>VLOOKUP(G204,[1]Hoja1!$A:$O,5,0)</f>
        <v>968803</v>
      </c>
      <c r="U204" s="45" t="s">
        <v>2751</v>
      </c>
      <c r="V204" s="46">
        <f t="shared" si="40"/>
        <v>968803</v>
      </c>
      <c r="W204" s="47" t="s">
        <v>1519</v>
      </c>
      <c r="X204" s="46" t="str">
        <f t="shared" si="41"/>
        <v>2</v>
      </c>
      <c r="Y204" s="47" t="s">
        <v>1518</v>
      </c>
      <c r="Z204" s="46" t="str">
        <f t="shared" si="42"/>
        <v>T</v>
      </c>
      <c r="AA204" s="47" t="s">
        <v>2752</v>
      </c>
      <c r="AB204" s="46" t="str">
        <f t="shared" si="43"/>
        <v>MARTES</v>
      </c>
      <c r="AC204" s="47" t="s">
        <v>2753</v>
      </c>
      <c r="AD204">
        <f t="shared" si="44"/>
        <v>0</v>
      </c>
      <c r="AE204" s="47" t="s">
        <v>2754</v>
      </c>
      <c r="AH204" t="str">
        <f t="shared" si="45"/>
        <v>INSERT INTO horario_curso_materia (horario_curso_materia.FK_CUR_mat,horario_curso_materia.FK_HOR,horario_curso_materia.DIA,horario_curso_materia.tipo_turno) VALUES (  (SELECT curso_materia.ID_CUR_MAT FROM curso_materia WHERE curso_materia.CUPOF='968803' ) ,
    (SELECT horario.ID_HOR FROM horario WHERE horario.modulo='2 ' and horario.turno='T ' ),'MARTES ' , '0 ' );</v>
      </c>
    </row>
    <row r="205" spans="1:34" ht="15" hidden="1" customHeight="1" x14ac:dyDescent="0.3">
      <c r="A205" s="1" t="str">
        <f t="shared" si="36"/>
        <v>2°2°</v>
      </c>
      <c r="B205" s="54" t="str">
        <f t="shared" si="37"/>
        <v>2°2°2MIMAÑANA222</v>
      </c>
      <c r="C205" s="62">
        <f>VLOOKUP(G205,[1]Hoja1!$A:$O,3,0)</f>
        <v>222</v>
      </c>
      <c r="D205" s="2" t="str">
        <f t="shared" si="38"/>
        <v>2MIMAULA 2</v>
      </c>
      <c r="E205" s="62" t="s">
        <v>26</v>
      </c>
      <c r="F205" s="62" t="s">
        <v>27</v>
      </c>
      <c r="G205" s="62" t="s">
        <v>76</v>
      </c>
      <c r="H205" s="8" t="str">
        <f>VLOOKUP(G205,[1]Hoja1!$A:$O,6,0)</f>
        <v>LENGUAJES TECNOLOGICOS</v>
      </c>
      <c r="I205" s="4" t="s">
        <v>1486</v>
      </c>
      <c r="J205" s="4"/>
      <c r="K205" s="80" t="str">
        <f t="shared" si="35"/>
        <v>MI</v>
      </c>
      <c r="L205" s="4" t="s">
        <v>512</v>
      </c>
      <c r="M205" s="86" t="str">
        <f>VLOOKUP(G205,[1]Hoja1!$A:$O,15,0)</f>
        <v xml:space="preserve">RIVAROLA NORMA              </v>
      </c>
      <c r="N205" s="2" t="str">
        <f t="shared" si="39"/>
        <v>2°2°2222TLT2MI</v>
      </c>
      <c r="O205" s="2"/>
      <c r="P205" s="2" t="str">
        <f>VLOOKUP(G205,[1]Hoja1!$A:$P,16,0)</f>
        <v xml:space="preserve"> </v>
      </c>
      <c r="Q205" s="2"/>
      <c r="S205">
        <f>VLOOKUP(G205,[1]Hoja1!$A:$O,5,0)</f>
        <v>2673404</v>
      </c>
      <c r="U205" s="45" t="s">
        <v>2751</v>
      </c>
      <c r="V205" s="46">
        <f t="shared" si="40"/>
        <v>2673404</v>
      </c>
      <c r="W205" s="47" t="s">
        <v>1519</v>
      </c>
      <c r="X205" s="46" t="str">
        <f t="shared" si="41"/>
        <v>2</v>
      </c>
      <c r="Y205" s="47" t="s">
        <v>1518</v>
      </c>
      <c r="Z205" s="46" t="str">
        <f t="shared" si="42"/>
        <v>M</v>
      </c>
      <c r="AA205" s="47" t="s">
        <v>2752</v>
      </c>
      <c r="AB205" s="46" t="str">
        <f t="shared" si="43"/>
        <v>MIERCOLES</v>
      </c>
      <c r="AC205" s="47" t="s">
        <v>2753</v>
      </c>
      <c r="AD205" t="str">
        <f t="shared" si="44"/>
        <v>CONTRATURNO</v>
      </c>
      <c r="AE205" s="47" t="s">
        <v>2754</v>
      </c>
      <c r="AH205" t="str">
        <f t="shared" si="45"/>
        <v>INSERT INTO horario_curso_materia (horario_curso_materia.FK_CUR_mat,horario_curso_materia.FK_HOR,horario_curso_materia.DIA,horario_curso_materia.tipo_turno) VALUES (  (SELECT curso_materia.ID_CUR_MAT FROM curso_materia WHERE curso_materia.CUPOF='2673404' ) ,
    (SELECT horario.ID_HOR FROM horario WHERE horario.modulo='2 ' and horario.turno='M ' ),'MIERCOLES ' , 'CONTRATURNO ' );</v>
      </c>
    </row>
    <row r="206" spans="1:34" ht="15" hidden="1" customHeight="1" x14ac:dyDescent="0.3">
      <c r="A206" s="1" t="str">
        <f t="shared" si="36"/>
        <v>2°2°</v>
      </c>
      <c r="B206" s="54" t="str">
        <f t="shared" si="37"/>
        <v>2°2°PREHORAJUTARDE0</v>
      </c>
      <c r="C206" s="62">
        <f>VLOOKUP(G206,[1]Hoja1!$A:$O,3,0)</f>
        <v>0</v>
      </c>
      <c r="D206" s="2" t="str">
        <f t="shared" si="38"/>
        <v>PREHORAJUT</v>
      </c>
      <c r="E206" s="62" t="s">
        <v>2779</v>
      </c>
      <c r="F206" s="62" t="s">
        <v>10</v>
      </c>
      <c r="G206" s="62" t="s">
        <v>312</v>
      </c>
      <c r="H206" s="8" t="str">
        <f>VLOOKUP(G206,[1]Hoja1!$A:$O,6,0)</f>
        <v>BIOLOGIA</v>
      </c>
      <c r="I206" s="4"/>
      <c r="J206" s="4"/>
      <c r="K206" s="80" t="str">
        <f t="shared" si="35"/>
        <v>JU</v>
      </c>
      <c r="L206" s="4"/>
      <c r="M206" s="86" t="str">
        <f>VLOOKUP(G206,[1]Hoja1!$A:$O,15,0)</f>
        <v xml:space="preserve"> ARIAS YANINA</v>
      </c>
      <c r="N206" s="2" t="str">
        <f t="shared" si="39"/>
        <v>2°2°2BIOJU</v>
      </c>
      <c r="O206" s="2"/>
      <c r="P206" s="2" t="str">
        <f>VLOOKUP(G206,[1]Hoja1!$A:$P,16,0)</f>
        <v xml:space="preserve"> </v>
      </c>
      <c r="Q206" s="2"/>
      <c r="S206">
        <f>VLOOKUP(G206,[1]Hoja1!$A:$O,5,0)</f>
        <v>1644155</v>
      </c>
      <c r="U206" s="45" t="s">
        <v>2751</v>
      </c>
      <c r="V206" s="46">
        <f t="shared" si="40"/>
        <v>1644155</v>
      </c>
      <c r="W206" s="47" t="s">
        <v>1519</v>
      </c>
      <c r="X206" s="46" t="str">
        <f t="shared" si="41"/>
        <v>prehora</v>
      </c>
      <c r="Y206" s="47" t="s">
        <v>1518</v>
      </c>
      <c r="Z206" s="46" t="str">
        <f t="shared" si="42"/>
        <v>T</v>
      </c>
      <c r="AA206" s="47" t="s">
        <v>2752</v>
      </c>
      <c r="AB206" s="46" t="str">
        <f t="shared" si="43"/>
        <v>JUEVES</v>
      </c>
      <c r="AC206" s="47" t="s">
        <v>2753</v>
      </c>
      <c r="AD206">
        <f t="shared" si="44"/>
        <v>0</v>
      </c>
      <c r="AE206" s="47" t="s">
        <v>2754</v>
      </c>
      <c r="AH206" t="str">
        <f t="shared" si="45"/>
        <v>INSERT INTO horario_curso_materia (horario_curso_materia.FK_CUR_mat,horario_curso_materia.FK_HOR,horario_curso_materia.DIA,horario_curso_materia.tipo_turno) VALUES (  (SELECT curso_materia.ID_CUR_MAT FROM curso_materia WHERE curso_materia.CUPOF='1644155' ) ,
    (SELECT horario.ID_HOR FROM horario WHERE horario.modulo='prehora ' and horario.turno='T ' ),'JUEVES ' , '0 ' );</v>
      </c>
    </row>
    <row r="207" spans="1:34" ht="15" hidden="1" customHeight="1" x14ac:dyDescent="0.3">
      <c r="A207" s="1" t="str">
        <f t="shared" si="36"/>
        <v>2°2°</v>
      </c>
      <c r="B207" s="54" t="str">
        <f t="shared" si="37"/>
        <v>2°2°2miTARDE0</v>
      </c>
      <c r="C207" s="62">
        <f>VLOOKUP(G207,[1]Hoja1!$A:$O,3,0)</f>
        <v>0</v>
      </c>
      <c r="D207" s="2" t="str">
        <f t="shared" si="38"/>
        <v>2miT</v>
      </c>
      <c r="E207" s="62" t="s">
        <v>1343</v>
      </c>
      <c r="F207" s="62" t="s">
        <v>10</v>
      </c>
      <c r="G207" s="62" t="s">
        <v>316</v>
      </c>
      <c r="H207" s="8" t="str">
        <f>VLOOKUP(G207,[1]Hoja1!$A:$O,6,0)</f>
        <v>GEOGRAFIA</v>
      </c>
      <c r="I207" s="4"/>
      <c r="J207" s="4"/>
      <c r="K207" s="80" t="str">
        <f t="shared" si="35"/>
        <v>mi</v>
      </c>
      <c r="L207" s="4"/>
      <c r="M207" s="86" t="str">
        <f>VLOOKUP(G207,[1]Hoja1!$A:$O,15,0)</f>
        <v>AYALA VICORIA</v>
      </c>
      <c r="N207" s="2" t="str">
        <f t="shared" si="39"/>
        <v>2°2°2GEOmi</v>
      </c>
      <c r="O207" s="2"/>
      <c r="P207" s="2" t="str">
        <f>VLOOKUP(G207,[1]Hoja1!$A:$P,16,0)</f>
        <v xml:space="preserve"> </v>
      </c>
      <c r="Q207" s="2"/>
      <c r="S207">
        <f>VLOOKUP(G207,[1]Hoja1!$A:$O,5,0)</f>
        <v>1644151</v>
      </c>
      <c r="U207" s="45" t="s">
        <v>2751</v>
      </c>
      <c r="V207" s="46">
        <f t="shared" si="40"/>
        <v>1644151</v>
      </c>
      <c r="W207" s="47" t="s">
        <v>1519</v>
      </c>
      <c r="X207" s="46" t="str">
        <f t="shared" si="41"/>
        <v>2</v>
      </c>
      <c r="Y207" s="47" t="s">
        <v>1518</v>
      </c>
      <c r="Z207" s="46" t="str">
        <f t="shared" si="42"/>
        <v>T</v>
      </c>
      <c r="AA207" s="47" t="s">
        <v>2752</v>
      </c>
      <c r="AB207" s="46" t="str">
        <f t="shared" si="43"/>
        <v>MIERCOLES</v>
      </c>
      <c r="AC207" s="47" t="s">
        <v>2753</v>
      </c>
      <c r="AD207">
        <f t="shared" si="44"/>
        <v>0</v>
      </c>
      <c r="AE207" s="47" t="s">
        <v>2754</v>
      </c>
      <c r="AH207" t="str">
        <f t="shared" si="45"/>
        <v>INSERT INTO horario_curso_materia (horario_curso_materia.FK_CUR_mat,horario_curso_materia.FK_HOR,horario_curso_materia.DIA,horario_curso_materia.tipo_turno) VALUES (  (SELECT curso_materia.ID_CUR_MAT FROM curso_materia WHERE curso_materia.CUPOF='1644151' ) ,
    (SELECT horario.ID_HOR FROM horario WHERE horario.modulo='2 ' and horario.turno='T ' ),'MIERCOLES ' , '0 ' );</v>
      </c>
    </row>
    <row r="208" spans="1:34" ht="15" hidden="1" customHeight="1" x14ac:dyDescent="0.3">
      <c r="A208" s="1" t="str">
        <f t="shared" si="36"/>
        <v>2°2°</v>
      </c>
      <c r="B208" s="54" t="str">
        <f t="shared" si="37"/>
        <v>2°2°3JUMAÑANA222</v>
      </c>
      <c r="C208" s="62">
        <f>VLOOKUP(G208,[1]Hoja1!$A:$O,3,0)</f>
        <v>222</v>
      </c>
      <c r="D208" s="2" t="str">
        <f t="shared" si="38"/>
        <v>3JUMCARPINTERIA</v>
      </c>
      <c r="E208" s="62" t="s">
        <v>46</v>
      </c>
      <c r="F208" s="62" t="s">
        <v>27</v>
      </c>
      <c r="G208" s="62" t="s">
        <v>79</v>
      </c>
      <c r="H208" s="8" t="str">
        <f>VLOOKUP(G208,[1]Hoja1!$A:$O,6,0)</f>
        <v>PROCEDIMIENTOS TECNICOS</v>
      </c>
      <c r="I208" s="4" t="s">
        <v>23</v>
      </c>
      <c r="J208" s="4"/>
      <c r="K208" s="80" t="str">
        <f t="shared" si="35"/>
        <v>JU</v>
      </c>
      <c r="L208" s="4" t="s">
        <v>512</v>
      </c>
      <c r="M208" s="86" t="str">
        <f>VLOOKUP(G208,[1]Hoja1!$A:$O,15,0)</f>
        <v xml:space="preserve">ETCHEVERRY MARTIN                            </v>
      </c>
      <c r="N208" s="2" t="str">
        <f t="shared" si="39"/>
        <v>2°2°2222TPT2JU</v>
      </c>
      <c r="O208" s="2"/>
      <c r="P208" s="2" t="str">
        <f>VLOOKUP(G208,[1]Hoja1!$A:$P,16,0)</f>
        <v xml:space="preserve"> </v>
      </c>
      <c r="Q208" s="2"/>
      <c r="S208">
        <f>VLOOKUP(G208,[1]Hoja1!$A:$O,5,0)</f>
        <v>2673406</v>
      </c>
      <c r="U208" s="45" t="s">
        <v>2751</v>
      </c>
      <c r="V208" s="46">
        <f t="shared" si="40"/>
        <v>2673406</v>
      </c>
      <c r="W208" s="47" t="s">
        <v>1519</v>
      </c>
      <c r="X208" s="46" t="str">
        <f t="shared" si="41"/>
        <v>3</v>
      </c>
      <c r="Y208" s="47" t="s">
        <v>1518</v>
      </c>
      <c r="Z208" s="46" t="str">
        <f t="shared" si="42"/>
        <v>M</v>
      </c>
      <c r="AA208" s="47" t="s">
        <v>2752</v>
      </c>
      <c r="AB208" s="46" t="str">
        <f t="shared" si="43"/>
        <v>JUEVES</v>
      </c>
      <c r="AC208" s="47" t="s">
        <v>2753</v>
      </c>
      <c r="AD208" t="str">
        <f t="shared" si="44"/>
        <v>CONTRATURNO</v>
      </c>
      <c r="AE208" s="47" t="s">
        <v>2754</v>
      </c>
      <c r="AH208" t="str">
        <f t="shared" si="45"/>
        <v>INSERT INTO horario_curso_materia (horario_curso_materia.FK_CUR_mat,horario_curso_materia.FK_HOR,horario_curso_materia.DIA,horario_curso_materia.tipo_turno) VALUES (  (SELECT curso_materia.ID_CUR_MAT FROM curso_materia WHERE curso_materia.CUPOF='2673406' ) ,
    (SELECT horario.ID_HOR FROM horario WHERE horario.modulo='3 ' and horario.turno='M ' ),'JUEVES ' , 'CONTRATURNO ' );</v>
      </c>
    </row>
    <row r="209" spans="1:34" ht="15" hidden="1" customHeight="1" x14ac:dyDescent="0.3">
      <c r="A209" s="1" t="str">
        <f t="shared" si="36"/>
        <v>2°2°</v>
      </c>
      <c r="B209" s="54" t="str">
        <f t="shared" si="37"/>
        <v>2°2°3JUTARDE0</v>
      </c>
      <c r="C209" s="62">
        <f>VLOOKUP(G209,[1]Hoja1!$A:$O,3,0)</f>
        <v>0</v>
      </c>
      <c r="D209" s="2" t="str">
        <f t="shared" si="38"/>
        <v>3JUT</v>
      </c>
      <c r="E209" s="62" t="s">
        <v>46</v>
      </c>
      <c r="F209" s="62" t="s">
        <v>10</v>
      </c>
      <c r="G209" s="62" t="s">
        <v>315</v>
      </c>
      <c r="H209" s="8" t="str">
        <f>VLOOKUP(G209,[1]Hoja1!$A:$O,6,0)</f>
        <v>PRACTICA DEL LENGUAJE</v>
      </c>
      <c r="I209" s="4"/>
      <c r="J209" s="4"/>
      <c r="K209" s="80" t="str">
        <f t="shared" si="35"/>
        <v>JU</v>
      </c>
      <c r="L209" s="4"/>
      <c r="M209" s="86" t="str">
        <f>VLOOKUP(G209,[1]Hoja1!$A:$O,15,0)</f>
        <v xml:space="preserve">GONZALEZ DANIELA                                 </v>
      </c>
      <c r="N209" s="2" t="str">
        <f t="shared" si="39"/>
        <v>2°2°2PLGJU</v>
      </c>
      <c r="O209" s="2"/>
      <c r="P209" s="2" t="str">
        <f>VLOOKUP(G209,[1]Hoja1!$A:$P,16,0)</f>
        <v xml:space="preserve"> </v>
      </c>
      <c r="Q209" s="2"/>
      <c r="S209">
        <f>VLOOKUP(G209,[1]Hoja1!$A:$O,5,0)</f>
        <v>733450</v>
      </c>
      <c r="U209" s="45" t="s">
        <v>2751</v>
      </c>
      <c r="V209" s="46">
        <f t="shared" si="40"/>
        <v>733450</v>
      </c>
      <c r="W209" s="47" t="s">
        <v>1519</v>
      </c>
      <c r="X209" s="46" t="str">
        <f t="shared" si="41"/>
        <v>3</v>
      </c>
      <c r="Y209" s="47" t="s">
        <v>1518</v>
      </c>
      <c r="Z209" s="46" t="str">
        <f t="shared" si="42"/>
        <v>T</v>
      </c>
      <c r="AA209" s="47" t="s">
        <v>2752</v>
      </c>
      <c r="AB209" s="46" t="str">
        <f t="shared" si="43"/>
        <v>JUEVES</v>
      </c>
      <c r="AC209" s="47" t="s">
        <v>2753</v>
      </c>
      <c r="AD209">
        <f t="shared" si="44"/>
        <v>0</v>
      </c>
      <c r="AE209" s="47" t="s">
        <v>2754</v>
      </c>
      <c r="AH209" t="str">
        <f t="shared" si="45"/>
        <v>INSERT INTO horario_curso_materia (horario_curso_materia.FK_CUR_mat,horario_curso_materia.FK_HOR,horario_curso_materia.DIA,horario_curso_materia.tipo_turno) VALUES (  (SELECT curso_materia.ID_CUR_MAT FROM curso_materia WHERE curso_materia.CUPOF='733450' ) ,
    (SELECT horario.ID_HOR FROM horario WHERE horario.modulo='3 ' and horario.turno='T ' ),'JUEVES ' , '0 ' );</v>
      </c>
    </row>
    <row r="210" spans="1:34" ht="15" hidden="1" customHeight="1" x14ac:dyDescent="0.3">
      <c r="A210" s="1" t="str">
        <f t="shared" si="36"/>
        <v>2°2°</v>
      </c>
      <c r="B210" s="54" t="str">
        <f t="shared" si="37"/>
        <v>2°2°3LUMAÑANA221</v>
      </c>
      <c r="C210" s="62">
        <f>VLOOKUP(G210,[1]Hoja1!$A:$O,3,0)</f>
        <v>221</v>
      </c>
      <c r="D210" s="2" t="str">
        <f t="shared" si="38"/>
        <v>3LUMCARPINTERIA</v>
      </c>
      <c r="E210" s="62" t="s">
        <v>29</v>
      </c>
      <c r="F210" s="62" t="s">
        <v>27</v>
      </c>
      <c r="G210" s="62" t="s">
        <v>74</v>
      </c>
      <c r="H210" s="8" t="str">
        <f>VLOOKUP(G210,[1]Hoja1!$A:$O,6,0)</f>
        <v>PROCEDIMIENTOS TECNICOS</v>
      </c>
      <c r="I210" s="4" t="s">
        <v>23</v>
      </c>
      <c r="J210" s="4"/>
      <c r="K210" s="80" t="str">
        <f t="shared" si="35"/>
        <v>LU</v>
      </c>
      <c r="L210" s="4" t="s">
        <v>512</v>
      </c>
      <c r="M210" s="86" t="str">
        <f>VLOOKUP(G210,[1]Hoja1!$A:$O,15,0)</f>
        <v>CRUZ DAVID</v>
      </c>
      <c r="N210" s="2" t="str">
        <f t="shared" si="39"/>
        <v>2°2°2212TPT2LU</v>
      </c>
      <c r="O210" s="2"/>
      <c r="P210" s="2" t="str">
        <f>VLOOKUP(G210,[1]Hoja1!$A:$P,16,0)</f>
        <v xml:space="preserve"> </v>
      </c>
      <c r="Q210" s="2"/>
      <c r="S210">
        <f>VLOOKUP(G210,[1]Hoja1!$A:$O,5,0)</f>
        <v>2673403</v>
      </c>
      <c r="U210" s="45" t="s">
        <v>2751</v>
      </c>
      <c r="V210" s="46">
        <f t="shared" si="40"/>
        <v>2673403</v>
      </c>
      <c r="W210" s="47" t="s">
        <v>1519</v>
      </c>
      <c r="X210" s="46" t="str">
        <f t="shared" si="41"/>
        <v>3</v>
      </c>
      <c r="Y210" s="47" t="s">
        <v>1518</v>
      </c>
      <c r="Z210" s="46" t="str">
        <f t="shared" si="42"/>
        <v>M</v>
      </c>
      <c r="AA210" s="47" t="s">
        <v>2752</v>
      </c>
      <c r="AB210" s="46" t="str">
        <f t="shared" si="43"/>
        <v>LUNES</v>
      </c>
      <c r="AC210" s="47" t="s">
        <v>2753</v>
      </c>
      <c r="AD210" t="str">
        <f t="shared" si="44"/>
        <v>CONTRATURNO</v>
      </c>
      <c r="AE210" s="47" t="s">
        <v>2754</v>
      </c>
      <c r="AH210" t="str">
        <f t="shared" si="45"/>
        <v>INSERT INTO horario_curso_materia (horario_curso_materia.FK_CUR_mat,horario_curso_materia.FK_HOR,horario_curso_materia.DIA,horario_curso_materia.tipo_turno) VALUES (  (SELECT curso_materia.ID_CUR_MAT FROM curso_materia WHERE curso_materia.CUPOF='2673403' ) ,
    (SELECT horario.ID_HOR FROM horario WHERE horario.modulo='3 ' and horario.turno='M ' ),'LUNES ' , 'CONTRATURNO ' );</v>
      </c>
    </row>
    <row r="211" spans="1:34" ht="15" hidden="1" customHeight="1" x14ac:dyDescent="0.3">
      <c r="A211" s="1" t="str">
        <f t="shared" si="36"/>
        <v>2°2°</v>
      </c>
      <c r="B211" s="54" t="str">
        <f t="shared" si="37"/>
        <v>2°2°3LUTARDE0</v>
      </c>
      <c r="C211" s="62">
        <f>VLOOKUP(G211,[1]Hoja1!$A:$O,3,0)</f>
        <v>0</v>
      </c>
      <c r="D211" s="2" t="str">
        <f t="shared" si="38"/>
        <v>3LUT</v>
      </c>
      <c r="E211" s="62" t="s">
        <v>29</v>
      </c>
      <c r="F211" s="62" t="s">
        <v>10</v>
      </c>
      <c r="G211" s="62" t="s">
        <v>309</v>
      </c>
      <c r="H211" s="8" t="str">
        <f>VLOOKUP(G211,[1]Hoja1!$A:$O,6,0)</f>
        <v>MATEMATICA</v>
      </c>
      <c r="I211" s="4"/>
      <c r="J211" s="4"/>
      <c r="K211" s="80" t="str">
        <f t="shared" si="35"/>
        <v>LU</v>
      </c>
      <c r="L211" s="4"/>
      <c r="M211" s="86" t="str">
        <f>VLOOKUP(G211,[1]Hoja1!$A:$O,15,0)</f>
        <v>VARCHETTA, GABRIEL</v>
      </c>
      <c r="N211" s="2" t="str">
        <f t="shared" si="39"/>
        <v>2°2°2MATLU</v>
      </c>
      <c r="O211" s="2"/>
      <c r="P211" s="2" t="str">
        <f>VLOOKUP(G211,[1]Hoja1!$A:$P,16,0)</f>
        <v xml:space="preserve"> </v>
      </c>
      <c r="Q211" s="2"/>
      <c r="S211">
        <f>VLOOKUP(G211,[1]Hoja1!$A:$O,5,0)</f>
        <v>789737</v>
      </c>
      <c r="U211" s="45" t="s">
        <v>2751</v>
      </c>
      <c r="V211" s="46">
        <f t="shared" si="40"/>
        <v>789737</v>
      </c>
      <c r="W211" s="47" t="s">
        <v>1519</v>
      </c>
      <c r="X211" s="46" t="str">
        <f t="shared" si="41"/>
        <v>3</v>
      </c>
      <c r="Y211" s="47" t="s">
        <v>1518</v>
      </c>
      <c r="Z211" s="46" t="str">
        <f t="shared" si="42"/>
        <v>T</v>
      </c>
      <c r="AA211" s="47" t="s">
        <v>2752</v>
      </c>
      <c r="AB211" s="46" t="str">
        <f t="shared" si="43"/>
        <v>LUNES</v>
      </c>
      <c r="AC211" s="47" t="s">
        <v>2753</v>
      </c>
      <c r="AD211">
        <f t="shared" si="44"/>
        <v>0</v>
      </c>
      <c r="AE211" s="47" t="s">
        <v>2754</v>
      </c>
      <c r="AH211" t="str">
        <f t="shared" si="45"/>
        <v>INSERT INTO horario_curso_materia (horario_curso_materia.FK_CUR_mat,horario_curso_materia.FK_HOR,horario_curso_materia.DIA,horario_curso_materia.tipo_turno) VALUES (  (SELECT curso_materia.ID_CUR_MAT FROM curso_materia WHERE curso_materia.CUPOF='789737' ) ,
    (SELECT horario.ID_HOR FROM horario WHERE horario.modulo='3 ' and horario.turno='T ' ),'LUNES ' , '0 ' );</v>
      </c>
    </row>
    <row r="212" spans="1:34" ht="15" hidden="1" customHeight="1" x14ac:dyDescent="0.3">
      <c r="A212" s="1" t="str">
        <f t="shared" si="36"/>
        <v>2°2°</v>
      </c>
      <c r="B212" s="54" t="str">
        <f t="shared" si="37"/>
        <v>2°2°1JUMAÑANA221</v>
      </c>
      <c r="C212" s="62">
        <f>VLOOKUP(G212,[1]Hoja1!$A:$O,3,0)</f>
        <v>221</v>
      </c>
      <c r="D212" s="2" t="str">
        <f t="shared" si="38"/>
        <v>1JUMaula 4</v>
      </c>
      <c r="E212" s="6" t="s">
        <v>43</v>
      </c>
      <c r="F212" s="65" t="s">
        <v>27</v>
      </c>
      <c r="G212" s="6" t="s">
        <v>75</v>
      </c>
      <c r="H212" s="3" t="str">
        <f>VLOOKUP(G212,[1]Hoja1!$A:$O,6,0)</f>
        <v>SISTEMAS TECNOLOGICOS</v>
      </c>
      <c r="I212" s="4" t="s">
        <v>1437</v>
      </c>
      <c r="J212" s="6"/>
      <c r="K212" s="80" t="str">
        <f t="shared" ref="K212:K275" si="46">RIGHT(E212,2)</f>
        <v>JU</v>
      </c>
      <c r="L212" s="4" t="s">
        <v>512</v>
      </c>
      <c r="M212" s="86" t="str">
        <f>VLOOKUP(G212,[1]Hoja1!$A:$O,15,0)</f>
        <v xml:space="preserve">GOMEZ ANALIA                                     </v>
      </c>
      <c r="N212" s="2" t="str">
        <f t="shared" si="39"/>
        <v>2°2°2212TST2JU</v>
      </c>
      <c r="O212" s="2"/>
      <c r="P212" s="2" t="str">
        <f>VLOOKUP(G212,[1]Hoja1!$A:$P,16,0)</f>
        <v xml:space="preserve"> </v>
      </c>
      <c r="Q212" s="2"/>
      <c r="S212">
        <f>VLOOKUP(G212,[1]Hoja1!$A:$O,5,0)</f>
        <v>2673402</v>
      </c>
      <c r="U212" s="45" t="s">
        <v>2751</v>
      </c>
      <c r="V212" s="46">
        <f t="shared" si="40"/>
        <v>2673402</v>
      </c>
      <c r="W212" s="47" t="s">
        <v>1519</v>
      </c>
      <c r="X212" s="46" t="str">
        <f t="shared" si="41"/>
        <v>1</v>
      </c>
      <c r="Y212" s="47" t="s">
        <v>1518</v>
      </c>
      <c r="Z212" s="46" t="str">
        <f t="shared" si="42"/>
        <v>M</v>
      </c>
      <c r="AA212" s="47" t="s">
        <v>2752</v>
      </c>
      <c r="AB212" s="46" t="str">
        <f t="shared" si="43"/>
        <v>JUEVES</v>
      </c>
      <c r="AC212" s="47" t="s">
        <v>2753</v>
      </c>
      <c r="AD212" t="str">
        <f t="shared" si="44"/>
        <v>CONTRATURNO</v>
      </c>
      <c r="AE212" s="47" t="s">
        <v>2754</v>
      </c>
      <c r="AH212" t="str">
        <f t="shared" si="45"/>
        <v>INSERT INTO horario_curso_materia (horario_curso_materia.FK_CUR_mat,horario_curso_materia.FK_HOR,horario_curso_materia.DIA,horario_curso_materia.tipo_turno) VALUES (  (SELECT curso_materia.ID_CUR_MAT FROM curso_materia WHERE curso_materia.CUPOF='2673402' ) ,
    (SELECT horario.ID_HOR FROM horario WHERE horario.modulo='1 ' and horario.turno='M ' ),'JUEVES ' , 'CONTRATURNO ' );</v>
      </c>
    </row>
    <row r="213" spans="1:34" ht="15" hidden="1" customHeight="1" x14ac:dyDescent="0.3">
      <c r="A213" s="1" t="str">
        <f t="shared" si="36"/>
        <v>2°2°</v>
      </c>
      <c r="B213" s="54" t="str">
        <f t="shared" si="37"/>
        <v>2°2°3MATARDE0</v>
      </c>
      <c r="C213" s="62">
        <f>VLOOKUP(G213,[1]Hoja1!$A:$O,3,0)</f>
        <v>0</v>
      </c>
      <c r="D213" s="2" t="str">
        <f t="shared" si="38"/>
        <v>3MAT</v>
      </c>
      <c r="E213" s="62" t="s">
        <v>13</v>
      </c>
      <c r="F213" s="62" t="s">
        <v>10</v>
      </c>
      <c r="G213" s="62" t="s">
        <v>309</v>
      </c>
      <c r="H213" s="8" t="str">
        <f>VLOOKUP(G213,[1]Hoja1!$A:$O,6,0)</f>
        <v>MATEMATICA</v>
      </c>
      <c r="I213" s="4"/>
      <c r="J213" s="4"/>
      <c r="K213" s="80" t="str">
        <f t="shared" si="46"/>
        <v>MA</v>
      </c>
      <c r="L213" s="4"/>
      <c r="M213" s="86" t="str">
        <f>VLOOKUP(G213,[1]Hoja1!$A:$O,15,0)</f>
        <v>VARCHETTA, GABRIEL</v>
      </c>
      <c r="N213" s="2" t="str">
        <f t="shared" si="39"/>
        <v>2°2°2MATMA</v>
      </c>
      <c r="O213" s="2"/>
      <c r="P213" s="2" t="str">
        <f>VLOOKUP(G213,[1]Hoja1!$A:$P,16,0)</f>
        <v xml:space="preserve"> </v>
      </c>
      <c r="Q213" s="2"/>
      <c r="S213">
        <f>VLOOKUP(G213,[1]Hoja1!$A:$O,5,0)</f>
        <v>789737</v>
      </c>
      <c r="U213" s="45" t="s">
        <v>2751</v>
      </c>
      <c r="V213" s="46">
        <f t="shared" si="40"/>
        <v>789737</v>
      </c>
      <c r="W213" s="47" t="s">
        <v>1519</v>
      </c>
      <c r="X213" s="46" t="str">
        <f t="shared" si="41"/>
        <v>3</v>
      </c>
      <c r="Y213" s="47" t="s">
        <v>1518</v>
      </c>
      <c r="Z213" s="46" t="str">
        <f t="shared" si="42"/>
        <v>T</v>
      </c>
      <c r="AA213" s="47" t="s">
        <v>2752</v>
      </c>
      <c r="AB213" s="46" t="str">
        <f t="shared" si="43"/>
        <v>MARTES</v>
      </c>
      <c r="AC213" s="47" t="s">
        <v>2753</v>
      </c>
      <c r="AD213">
        <f t="shared" si="44"/>
        <v>0</v>
      </c>
      <c r="AE213" s="47" t="s">
        <v>2754</v>
      </c>
      <c r="AH213" t="str">
        <f t="shared" si="45"/>
        <v>INSERT INTO horario_curso_materia (horario_curso_materia.FK_CUR_mat,horario_curso_materia.FK_HOR,horario_curso_materia.DIA,horario_curso_materia.tipo_turno) VALUES (  (SELECT curso_materia.ID_CUR_MAT FROM curso_materia WHERE curso_materia.CUPOF='789737' ) ,
    (SELECT horario.ID_HOR FROM horario WHERE horario.modulo='3 ' and horario.turno='T ' ),'MARTES ' , '0 ' );</v>
      </c>
    </row>
    <row r="214" spans="1:34" ht="15" hidden="1" customHeight="1" x14ac:dyDescent="0.3">
      <c r="A214" s="1" t="str">
        <f t="shared" si="36"/>
        <v>2°2°</v>
      </c>
      <c r="B214" s="54" t="str">
        <f t="shared" si="37"/>
        <v>2°2°3MIMAÑANA221</v>
      </c>
      <c r="C214" s="62">
        <f>VLOOKUP(G214,[1]Hoja1!$A:$O,3,0)</f>
        <v>221</v>
      </c>
      <c r="D214" s="2" t="str">
        <f t="shared" si="38"/>
        <v>3MIMAULA 2</v>
      </c>
      <c r="E214" s="62" t="s">
        <v>50</v>
      </c>
      <c r="F214" s="62" t="s">
        <v>27</v>
      </c>
      <c r="G214" s="62" t="s">
        <v>77</v>
      </c>
      <c r="H214" s="8" t="str">
        <f>VLOOKUP(G214,[1]Hoja1!$A:$O,6,0)</f>
        <v>LENGUAJES TECNOLOGICOS</v>
      </c>
      <c r="I214" s="4" t="s">
        <v>1486</v>
      </c>
      <c r="J214" s="4"/>
      <c r="K214" s="80" t="str">
        <f t="shared" si="46"/>
        <v>MI</v>
      </c>
      <c r="L214" s="4" t="s">
        <v>512</v>
      </c>
      <c r="M214" s="86" t="str">
        <f>VLOOKUP(G214,[1]Hoja1!$A:$O,15,0)</f>
        <v xml:space="preserve">RIVAROLA NORMA                            </v>
      </c>
      <c r="N214" s="2" t="str">
        <f t="shared" si="39"/>
        <v>2°2°2212TLT2MI</v>
      </c>
      <c r="O214" s="2"/>
      <c r="P214" s="2" t="str">
        <f>VLOOKUP(G214,[1]Hoja1!$A:$P,16,0)</f>
        <v xml:space="preserve"> </v>
      </c>
      <c r="Q214" s="2"/>
      <c r="S214">
        <f>VLOOKUP(G214,[1]Hoja1!$A:$O,5,0)</f>
        <v>2673400</v>
      </c>
      <c r="U214" s="45" t="s">
        <v>2751</v>
      </c>
      <c r="V214" s="46">
        <f t="shared" si="40"/>
        <v>2673400</v>
      </c>
      <c r="W214" s="47" t="s">
        <v>1519</v>
      </c>
      <c r="X214" s="46" t="str">
        <f t="shared" si="41"/>
        <v>3</v>
      </c>
      <c r="Y214" s="47" t="s">
        <v>1518</v>
      </c>
      <c r="Z214" s="46" t="str">
        <f t="shared" si="42"/>
        <v>M</v>
      </c>
      <c r="AA214" s="47" t="s">
        <v>2752</v>
      </c>
      <c r="AB214" s="46" t="str">
        <f t="shared" si="43"/>
        <v>MIERCOLES</v>
      </c>
      <c r="AC214" s="47" t="s">
        <v>2753</v>
      </c>
      <c r="AD214" t="str">
        <f t="shared" si="44"/>
        <v>CONTRATURNO</v>
      </c>
      <c r="AE214" s="47" t="s">
        <v>2754</v>
      </c>
      <c r="AH214" t="str">
        <f t="shared" si="45"/>
        <v>INSERT INTO horario_curso_materia (horario_curso_materia.FK_CUR_mat,horario_curso_materia.FK_HOR,horario_curso_materia.DIA,horario_curso_materia.tipo_turno) VALUES (  (SELECT curso_materia.ID_CUR_MAT FROM curso_materia WHERE curso_materia.CUPOF='2673400' ) ,
    (SELECT horario.ID_HOR FROM horario WHERE horario.modulo='3 ' and horario.turno='M ' ),'MIERCOLES ' , 'CONTRATURNO ' );</v>
      </c>
    </row>
    <row r="215" spans="1:34" ht="15" hidden="1" customHeight="1" x14ac:dyDescent="0.3">
      <c r="A215" s="1" t="str">
        <f t="shared" si="36"/>
        <v>2°2°</v>
      </c>
      <c r="B215" s="54" t="str">
        <f t="shared" si="37"/>
        <v>2°2°3MIMAÑANA222</v>
      </c>
      <c r="C215" s="62">
        <f>VLOOKUP(G215,[1]Hoja1!$A:$O,3,0)</f>
        <v>222</v>
      </c>
      <c r="D215" s="2" t="str">
        <f t="shared" si="38"/>
        <v>3MIMAULA 4</v>
      </c>
      <c r="E215" s="62" t="s">
        <v>50</v>
      </c>
      <c r="F215" s="62" t="s">
        <v>27</v>
      </c>
      <c r="G215" s="62" t="s">
        <v>78</v>
      </c>
      <c r="H215" s="8" t="str">
        <f>VLOOKUP(G215,[1]Hoja1!$A:$O,6,0)</f>
        <v>SISTEMAS TECNOLOGICOS</v>
      </c>
      <c r="I215" s="4" t="s">
        <v>1485</v>
      </c>
      <c r="J215" s="4"/>
      <c r="K215" s="80" t="str">
        <f t="shared" si="46"/>
        <v>MI</v>
      </c>
      <c r="L215" s="4" t="s">
        <v>512</v>
      </c>
      <c r="M215" s="86" t="str">
        <f>VLOOKUP(G215,[1]Hoja1!$A:$O,15,0)</f>
        <v>RODRIGUEZ PABLO</v>
      </c>
      <c r="N215" s="2" t="str">
        <f t="shared" si="39"/>
        <v>2°2°2222TST2MI</v>
      </c>
      <c r="O215" s="2" t="s">
        <v>1448</v>
      </c>
      <c r="P215" s="2" t="str">
        <f>VLOOKUP(G215,[1]Hoja1!$A:$P,16,0)</f>
        <v xml:space="preserve"> </v>
      </c>
      <c r="Q215" s="2">
        <v>1</v>
      </c>
      <c r="S215">
        <f>VLOOKUP(G215,[1]Hoja1!$A:$O,5,0)</f>
        <v>2673405</v>
      </c>
      <c r="U215" s="45" t="s">
        <v>2751</v>
      </c>
      <c r="V215" s="46">
        <f t="shared" si="40"/>
        <v>2673405</v>
      </c>
      <c r="W215" s="47" t="s">
        <v>1519</v>
      </c>
      <c r="X215" s="46" t="str">
        <f t="shared" si="41"/>
        <v>3</v>
      </c>
      <c r="Y215" s="47" t="s">
        <v>1518</v>
      </c>
      <c r="Z215" s="46" t="str">
        <f t="shared" si="42"/>
        <v>M</v>
      </c>
      <c r="AA215" s="47" t="s">
        <v>2752</v>
      </c>
      <c r="AB215" s="46" t="str">
        <f t="shared" si="43"/>
        <v>MIERCOLES</v>
      </c>
      <c r="AC215" s="47" t="s">
        <v>2753</v>
      </c>
      <c r="AD215" t="str">
        <f t="shared" si="44"/>
        <v>CONTRATURNO</v>
      </c>
      <c r="AE215" s="47" t="s">
        <v>2754</v>
      </c>
      <c r="AH215" t="str">
        <f t="shared" si="45"/>
        <v>INSERT INTO horario_curso_materia (horario_curso_materia.FK_CUR_mat,horario_curso_materia.FK_HOR,horario_curso_materia.DIA,horario_curso_materia.tipo_turno) VALUES (  (SELECT curso_materia.ID_CUR_MAT FROM curso_materia WHERE curso_materia.CUPOF='2673405' ) ,
    (SELECT horario.ID_HOR FROM horario WHERE horario.modulo='3 ' and horario.turno='M ' ),'MIERCOLES ' , 'CONTRATURNO ' );</v>
      </c>
    </row>
    <row r="216" spans="1:34" ht="15" hidden="1" customHeight="1" x14ac:dyDescent="0.3">
      <c r="A216" s="1" t="str">
        <f t="shared" si="36"/>
        <v>2°2°</v>
      </c>
      <c r="B216" s="54" t="str">
        <f t="shared" si="37"/>
        <v>2°2°3MITARDE0</v>
      </c>
      <c r="C216" s="62">
        <f>VLOOKUP(G216,[1]Hoja1!$A:$O,3,0)</f>
        <v>0</v>
      </c>
      <c r="D216" s="2" t="str">
        <f t="shared" si="38"/>
        <v>3MIT</v>
      </c>
      <c r="E216" s="62" t="s">
        <v>50</v>
      </c>
      <c r="F216" s="62" t="s">
        <v>10</v>
      </c>
      <c r="G216" s="62" t="s">
        <v>313</v>
      </c>
      <c r="H216" s="8" t="str">
        <f>VLOOKUP(G216,[1]Hoja1!$A:$O,6,0)</f>
        <v>CONSTRUCCION DE LA CIUDADANIA</v>
      </c>
      <c r="I216" s="4"/>
      <c r="J216" s="4"/>
      <c r="K216" s="80" t="str">
        <f t="shared" si="46"/>
        <v>MI</v>
      </c>
      <c r="L216" s="4"/>
      <c r="M216" s="86" t="str">
        <f>VLOOKUP(G216,[1]Hoja1!$A:$O,15,0)</f>
        <v xml:space="preserve">HERRERA CARMEN                   </v>
      </c>
      <c r="N216" s="2" t="str">
        <f t="shared" si="39"/>
        <v>2°2°2CCDMI</v>
      </c>
      <c r="O216" s="2"/>
      <c r="P216" s="2" t="str">
        <f>VLOOKUP(G216,[1]Hoja1!$A:$P,16,0)</f>
        <v xml:space="preserve"> </v>
      </c>
      <c r="Q216" s="2"/>
      <c r="S216">
        <f>VLOOKUP(G216,[1]Hoja1!$A:$O,5,0)</f>
        <v>2174482</v>
      </c>
      <c r="U216" s="45" t="s">
        <v>2751</v>
      </c>
      <c r="V216" s="46">
        <f t="shared" si="40"/>
        <v>2174482</v>
      </c>
      <c r="W216" s="47" t="s">
        <v>1519</v>
      </c>
      <c r="X216" s="46" t="str">
        <f t="shared" si="41"/>
        <v>3</v>
      </c>
      <c r="Y216" s="47" t="s">
        <v>1518</v>
      </c>
      <c r="Z216" s="46" t="str">
        <f t="shared" si="42"/>
        <v>T</v>
      </c>
      <c r="AA216" s="47" t="s">
        <v>2752</v>
      </c>
      <c r="AB216" s="46" t="str">
        <f t="shared" si="43"/>
        <v>MIERCOLES</v>
      </c>
      <c r="AC216" s="47" t="s">
        <v>2753</v>
      </c>
      <c r="AD216">
        <f t="shared" si="44"/>
        <v>0</v>
      </c>
      <c r="AE216" s="47" t="s">
        <v>2754</v>
      </c>
      <c r="AH216" t="str">
        <f t="shared" si="45"/>
        <v>INSERT INTO horario_curso_materia (horario_curso_materia.FK_CUR_mat,horario_curso_materia.FK_HOR,horario_curso_materia.DIA,horario_curso_materia.tipo_turno) VALUES (  (SELECT curso_materia.ID_CUR_MAT FROM curso_materia WHERE curso_materia.CUPOF='2174482' ) ,
    (SELECT horario.ID_HOR FROM horario WHERE horario.modulo='3 ' and horario.turno='T ' ),'MIERCOLES ' , '0 ' );</v>
      </c>
    </row>
    <row r="217" spans="1:34" ht="15" hidden="1" customHeight="1" x14ac:dyDescent="0.3">
      <c r="A217" s="1" t="str">
        <f t="shared" si="36"/>
        <v>2°2°</v>
      </c>
      <c r="B217" s="54" t="str">
        <f t="shared" si="37"/>
        <v>2°2°3VITARDE0</v>
      </c>
      <c r="C217" s="62">
        <f>VLOOKUP(G217,[1]Hoja1!$A:$O,3,0)</f>
        <v>0</v>
      </c>
      <c r="D217" s="2" t="str">
        <f t="shared" si="38"/>
        <v>3VIT</v>
      </c>
      <c r="E217" s="62" t="s">
        <v>35</v>
      </c>
      <c r="F217" s="62" t="s">
        <v>10</v>
      </c>
      <c r="G217" s="62" t="s">
        <v>315</v>
      </c>
      <c r="H217" s="8" t="str">
        <f>VLOOKUP(G217,[1]Hoja1!$A:$O,6,0)</f>
        <v>PRACTICA DEL LENGUAJE</v>
      </c>
      <c r="I217" s="4"/>
      <c r="J217" s="4"/>
      <c r="K217" s="80" t="str">
        <f t="shared" si="46"/>
        <v>VI</v>
      </c>
      <c r="L217" s="4"/>
      <c r="M217" s="86" t="str">
        <f>VLOOKUP(G217,[1]Hoja1!$A:$O,15,0)</f>
        <v xml:space="preserve">GONZALEZ DANIELA                                 </v>
      </c>
      <c r="N217" s="2" t="str">
        <f t="shared" si="39"/>
        <v>2°2°2PLGVI</v>
      </c>
      <c r="O217" s="2"/>
      <c r="P217" s="2" t="str">
        <f>VLOOKUP(G217,[1]Hoja1!$A:$P,16,0)</f>
        <v xml:space="preserve"> </v>
      </c>
      <c r="Q217" s="2"/>
      <c r="S217">
        <f>VLOOKUP(G217,[1]Hoja1!$A:$O,5,0)</f>
        <v>733450</v>
      </c>
      <c r="U217" s="45" t="s">
        <v>2751</v>
      </c>
      <c r="V217" s="46">
        <f t="shared" si="40"/>
        <v>733450</v>
      </c>
      <c r="W217" s="47" t="s">
        <v>1519</v>
      </c>
      <c r="X217" s="46" t="str">
        <f t="shared" si="41"/>
        <v>3</v>
      </c>
      <c r="Y217" s="47" t="s">
        <v>1518</v>
      </c>
      <c r="Z217" s="46" t="str">
        <f t="shared" si="42"/>
        <v>T</v>
      </c>
      <c r="AA217" s="47" t="s">
        <v>2752</v>
      </c>
      <c r="AB217" s="46" t="str">
        <f t="shared" si="43"/>
        <v>VIERNES</v>
      </c>
      <c r="AC217" s="47" t="s">
        <v>2753</v>
      </c>
      <c r="AD217">
        <f t="shared" si="44"/>
        <v>0</v>
      </c>
      <c r="AE217" s="47" t="s">
        <v>2754</v>
      </c>
      <c r="AH217" t="str">
        <f t="shared" si="45"/>
        <v>INSERT INTO horario_curso_materia (horario_curso_materia.FK_CUR_mat,horario_curso_materia.FK_HOR,horario_curso_materia.DIA,horario_curso_materia.tipo_turno) VALUES (  (SELECT curso_materia.ID_CUR_MAT FROM curso_materia WHERE curso_materia.CUPOF='733450' ) ,
    (SELECT horario.ID_HOR FROM horario WHERE horario.modulo='3 ' and horario.turno='T ' ),'VIERNES ' , '0 ' );</v>
      </c>
    </row>
    <row r="218" spans="1:34" ht="15" hidden="1" customHeight="1" x14ac:dyDescent="0.3">
      <c r="A218" s="1" t="str">
        <f t="shared" si="36"/>
        <v>2°2°</v>
      </c>
      <c r="B218" s="54" t="str">
        <f t="shared" si="37"/>
        <v>2°2°4JUMAÑANA222</v>
      </c>
      <c r="C218" s="62">
        <f>VLOOKUP(G218,[1]Hoja1!$A:$O,3,0)</f>
        <v>222</v>
      </c>
      <c r="D218" s="2" t="str">
        <f t="shared" si="38"/>
        <v>4JUMCARPINTERIA</v>
      </c>
      <c r="E218" s="62" t="s">
        <v>48</v>
      </c>
      <c r="F218" s="62" t="s">
        <v>27</v>
      </c>
      <c r="G218" s="62" t="s">
        <v>79</v>
      </c>
      <c r="H218" s="8" t="str">
        <f>VLOOKUP(G218,[1]Hoja1!$A:$O,6,0)</f>
        <v>PROCEDIMIENTOS TECNICOS</v>
      </c>
      <c r="I218" s="4" t="s">
        <v>23</v>
      </c>
      <c r="J218" s="4"/>
      <c r="K218" s="80" t="str">
        <f t="shared" si="46"/>
        <v>JU</v>
      </c>
      <c r="L218" s="4" t="s">
        <v>512</v>
      </c>
      <c r="M218" s="86" t="str">
        <f>VLOOKUP(G218,[1]Hoja1!$A:$O,15,0)</f>
        <v xml:space="preserve">ETCHEVERRY MARTIN                            </v>
      </c>
      <c r="N218" s="2" t="str">
        <f t="shared" si="39"/>
        <v>2°2°2222TPT2JU</v>
      </c>
      <c r="O218" s="2"/>
      <c r="P218" s="2" t="str">
        <f>VLOOKUP(G218,[1]Hoja1!$A:$P,16,0)</f>
        <v xml:space="preserve"> </v>
      </c>
      <c r="Q218" s="2"/>
      <c r="S218">
        <f>VLOOKUP(G218,[1]Hoja1!$A:$O,5,0)</f>
        <v>2673406</v>
      </c>
      <c r="U218" s="45" t="s">
        <v>2751</v>
      </c>
      <c r="V218" s="46">
        <f t="shared" si="40"/>
        <v>2673406</v>
      </c>
      <c r="W218" s="47" t="s">
        <v>1519</v>
      </c>
      <c r="X218" s="46" t="str">
        <f t="shared" si="41"/>
        <v>4</v>
      </c>
      <c r="Y218" s="47" t="s">
        <v>1518</v>
      </c>
      <c r="Z218" s="46" t="str">
        <f t="shared" si="42"/>
        <v>M</v>
      </c>
      <c r="AA218" s="47" t="s">
        <v>2752</v>
      </c>
      <c r="AB218" s="46" t="str">
        <f t="shared" si="43"/>
        <v>JUEVES</v>
      </c>
      <c r="AC218" s="47" t="s">
        <v>2753</v>
      </c>
      <c r="AD218" t="str">
        <f t="shared" si="44"/>
        <v>CONTRATURNO</v>
      </c>
      <c r="AE218" s="47" t="s">
        <v>2754</v>
      </c>
      <c r="AH218" t="str">
        <f t="shared" si="45"/>
        <v>INSERT INTO horario_curso_materia (horario_curso_materia.FK_CUR_mat,horario_curso_materia.FK_HOR,horario_curso_materia.DIA,horario_curso_materia.tipo_turno) VALUES (  (SELECT curso_materia.ID_CUR_MAT FROM curso_materia WHERE curso_materia.CUPOF='2673406' ) ,
    (SELECT horario.ID_HOR FROM horario WHERE horario.modulo='4 ' and horario.turno='M ' ),'JUEVES ' , 'CONTRATURNO ' );</v>
      </c>
    </row>
    <row r="219" spans="1:34" ht="15" hidden="1" customHeight="1" x14ac:dyDescent="0.3">
      <c r="A219" s="1" t="str">
        <f t="shared" si="36"/>
        <v>2°2°</v>
      </c>
      <c r="B219" s="54" t="str">
        <f t="shared" si="37"/>
        <v>2°2°4JUTARDE0</v>
      </c>
      <c r="C219" s="62">
        <f>VLOOKUP(G219,[1]Hoja1!$A:$O,3,0)</f>
        <v>0</v>
      </c>
      <c r="D219" s="2" t="str">
        <f t="shared" si="38"/>
        <v>4JUT</v>
      </c>
      <c r="E219" s="62" t="s">
        <v>48</v>
      </c>
      <c r="F219" s="62" t="s">
        <v>10</v>
      </c>
      <c r="G219" s="62" t="s">
        <v>315</v>
      </c>
      <c r="H219" s="8" t="str">
        <f>VLOOKUP(G219,[1]Hoja1!$A:$O,6,0)</f>
        <v>PRACTICA DEL LENGUAJE</v>
      </c>
      <c r="I219" s="4"/>
      <c r="J219" s="4"/>
      <c r="K219" s="80" t="str">
        <f t="shared" si="46"/>
        <v>JU</v>
      </c>
      <c r="L219" s="4"/>
      <c r="M219" s="86" t="str">
        <f>VLOOKUP(G219,[1]Hoja1!$A:$O,15,0)</f>
        <v xml:space="preserve">GONZALEZ DANIELA                                 </v>
      </c>
      <c r="N219" s="2" t="str">
        <f t="shared" si="39"/>
        <v>2°2°2PLGJU</v>
      </c>
      <c r="O219" s="2"/>
      <c r="P219" s="2" t="str">
        <f>VLOOKUP(G219,[1]Hoja1!$A:$P,16,0)</f>
        <v xml:space="preserve"> </v>
      </c>
      <c r="Q219" s="2"/>
      <c r="S219">
        <f>VLOOKUP(G219,[1]Hoja1!$A:$O,5,0)</f>
        <v>733450</v>
      </c>
      <c r="U219" s="45" t="s">
        <v>2751</v>
      </c>
      <c r="V219" s="46">
        <f t="shared" si="40"/>
        <v>733450</v>
      </c>
      <c r="W219" s="47" t="s">
        <v>1519</v>
      </c>
      <c r="X219" s="46" t="str">
        <f t="shared" si="41"/>
        <v>4</v>
      </c>
      <c r="Y219" s="47" t="s">
        <v>1518</v>
      </c>
      <c r="Z219" s="46" t="str">
        <f t="shared" si="42"/>
        <v>T</v>
      </c>
      <c r="AA219" s="47" t="s">
        <v>2752</v>
      </c>
      <c r="AB219" s="46" t="str">
        <f t="shared" si="43"/>
        <v>JUEVES</v>
      </c>
      <c r="AC219" s="47" t="s">
        <v>2753</v>
      </c>
      <c r="AD219">
        <f t="shared" si="44"/>
        <v>0</v>
      </c>
      <c r="AE219" s="47" t="s">
        <v>2754</v>
      </c>
      <c r="AH219" t="str">
        <f t="shared" si="45"/>
        <v>INSERT INTO horario_curso_materia (horario_curso_materia.FK_CUR_mat,horario_curso_materia.FK_HOR,horario_curso_materia.DIA,horario_curso_materia.tipo_turno) VALUES (  (SELECT curso_materia.ID_CUR_MAT FROM curso_materia WHERE curso_materia.CUPOF='733450' ) ,
    (SELECT horario.ID_HOR FROM horario WHERE horario.modulo='4 ' and horario.turno='T ' ),'JUEVES ' , '0 ' );</v>
      </c>
    </row>
    <row r="220" spans="1:34" ht="15" hidden="1" customHeight="1" x14ac:dyDescent="0.3">
      <c r="A220" s="1" t="str">
        <f t="shared" si="36"/>
        <v>2°2°</v>
      </c>
      <c r="B220" s="54" t="str">
        <f t="shared" si="37"/>
        <v>2°2°4LUMAÑANA221</v>
      </c>
      <c r="C220" s="62">
        <f>VLOOKUP(G220,[1]Hoja1!$A:$O,3,0)</f>
        <v>221</v>
      </c>
      <c r="D220" s="2" t="str">
        <f t="shared" si="38"/>
        <v>4LUMCARPINTERIA</v>
      </c>
      <c r="E220" s="62" t="s">
        <v>31</v>
      </c>
      <c r="F220" s="62" t="s">
        <v>27</v>
      </c>
      <c r="G220" s="62" t="s">
        <v>74</v>
      </c>
      <c r="H220" s="8" t="str">
        <f>VLOOKUP(G220,[1]Hoja1!$A:$O,6,0)</f>
        <v>PROCEDIMIENTOS TECNICOS</v>
      </c>
      <c r="I220" s="4" t="s">
        <v>23</v>
      </c>
      <c r="J220" s="4"/>
      <c r="K220" s="80" t="str">
        <f t="shared" si="46"/>
        <v>LU</v>
      </c>
      <c r="L220" s="4" t="s">
        <v>512</v>
      </c>
      <c r="M220" s="86" t="str">
        <f>VLOOKUP(G220,[1]Hoja1!$A:$O,15,0)</f>
        <v>CRUZ DAVID</v>
      </c>
      <c r="N220" s="2" t="str">
        <f t="shared" si="39"/>
        <v>2°2°2212TPT2LU</v>
      </c>
      <c r="O220" s="2"/>
      <c r="P220" s="2" t="str">
        <f>VLOOKUP(G220,[1]Hoja1!$A:$P,16,0)</f>
        <v xml:space="preserve"> </v>
      </c>
      <c r="Q220" s="2"/>
      <c r="S220">
        <f>VLOOKUP(G220,[1]Hoja1!$A:$O,5,0)</f>
        <v>2673403</v>
      </c>
      <c r="U220" s="45" t="s">
        <v>2751</v>
      </c>
      <c r="V220" s="46">
        <f t="shared" si="40"/>
        <v>2673403</v>
      </c>
      <c r="W220" s="47" t="s">
        <v>1519</v>
      </c>
      <c r="X220" s="46" t="str">
        <f t="shared" si="41"/>
        <v>4</v>
      </c>
      <c r="Y220" s="47" t="s">
        <v>1518</v>
      </c>
      <c r="Z220" s="46" t="str">
        <f t="shared" si="42"/>
        <v>M</v>
      </c>
      <c r="AA220" s="47" t="s">
        <v>2752</v>
      </c>
      <c r="AB220" s="46" t="str">
        <f t="shared" si="43"/>
        <v>LUNES</v>
      </c>
      <c r="AC220" s="47" t="s">
        <v>2753</v>
      </c>
      <c r="AD220" t="str">
        <f t="shared" si="44"/>
        <v>CONTRATURNO</v>
      </c>
      <c r="AE220" s="47" t="s">
        <v>2754</v>
      </c>
      <c r="AH220" t="str">
        <f t="shared" si="45"/>
        <v>INSERT INTO horario_curso_materia (horario_curso_materia.FK_CUR_mat,horario_curso_materia.FK_HOR,horario_curso_materia.DIA,horario_curso_materia.tipo_turno) VALUES (  (SELECT curso_materia.ID_CUR_MAT FROM curso_materia WHERE curso_materia.CUPOF='2673403' ) ,
    (SELECT horario.ID_HOR FROM horario WHERE horario.modulo='4 ' and horario.turno='M ' ),'LUNES ' , 'CONTRATURNO ' );</v>
      </c>
    </row>
    <row r="221" spans="1:34" ht="15" hidden="1" customHeight="1" x14ac:dyDescent="0.3">
      <c r="A221" s="1" t="str">
        <f t="shared" si="36"/>
        <v>2°2°</v>
      </c>
      <c r="B221" s="54" t="str">
        <f t="shared" si="37"/>
        <v>2°2°4LUTARDE0</v>
      </c>
      <c r="C221" s="62">
        <f>VLOOKUP(G221,[1]Hoja1!$A:$O,3,0)</f>
        <v>0</v>
      </c>
      <c r="D221" s="2" t="str">
        <f t="shared" si="38"/>
        <v>4LUT</v>
      </c>
      <c r="E221" s="62" t="s">
        <v>31</v>
      </c>
      <c r="F221" s="62" t="s">
        <v>10</v>
      </c>
      <c r="G221" s="62" t="s">
        <v>309</v>
      </c>
      <c r="H221" s="8" t="str">
        <f>VLOOKUP(G221,[1]Hoja1!$A:$O,6,0)</f>
        <v>MATEMATICA</v>
      </c>
      <c r="I221" s="4"/>
      <c r="J221" s="4"/>
      <c r="K221" s="80" t="str">
        <f t="shared" si="46"/>
        <v>LU</v>
      </c>
      <c r="L221" s="4"/>
      <c r="M221" s="86" t="str">
        <f>VLOOKUP(G221,[1]Hoja1!$A:$O,15,0)</f>
        <v>VARCHETTA, GABRIEL</v>
      </c>
      <c r="N221" s="2" t="str">
        <f t="shared" si="39"/>
        <v>2°2°2MATLU</v>
      </c>
      <c r="O221" s="2"/>
      <c r="P221" s="2" t="str">
        <f>VLOOKUP(G221,[1]Hoja1!$A:$P,16,0)</f>
        <v xml:space="preserve"> </v>
      </c>
      <c r="Q221" s="2"/>
      <c r="S221">
        <f>VLOOKUP(G221,[1]Hoja1!$A:$O,5,0)</f>
        <v>789737</v>
      </c>
      <c r="U221" s="45" t="s">
        <v>2751</v>
      </c>
      <c r="V221" s="46">
        <f t="shared" si="40"/>
        <v>789737</v>
      </c>
      <c r="W221" s="47" t="s">
        <v>1519</v>
      </c>
      <c r="X221" s="46" t="str">
        <f t="shared" si="41"/>
        <v>4</v>
      </c>
      <c r="Y221" s="47" t="s">
        <v>1518</v>
      </c>
      <c r="Z221" s="46" t="str">
        <f t="shared" si="42"/>
        <v>T</v>
      </c>
      <c r="AA221" s="47" t="s">
        <v>2752</v>
      </c>
      <c r="AB221" s="46" t="str">
        <f t="shared" si="43"/>
        <v>LUNES</v>
      </c>
      <c r="AC221" s="47" t="s">
        <v>2753</v>
      </c>
      <c r="AD221">
        <f t="shared" si="44"/>
        <v>0</v>
      </c>
      <c r="AE221" s="47" t="s">
        <v>2754</v>
      </c>
      <c r="AH221" t="str">
        <f t="shared" si="45"/>
        <v>INSERT INTO horario_curso_materia (horario_curso_materia.FK_CUR_mat,horario_curso_materia.FK_HOR,horario_curso_materia.DIA,horario_curso_materia.tipo_turno) VALUES (  (SELECT curso_materia.ID_CUR_MAT FROM curso_materia WHERE curso_materia.CUPOF='789737' ) ,
    (SELECT horario.ID_HOR FROM horario WHERE horario.modulo='4 ' and horario.turno='T ' ),'LUNES ' , '0 ' );</v>
      </c>
    </row>
    <row r="222" spans="1:34" ht="15" hidden="1" customHeight="1" x14ac:dyDescent="0.3">
      <c r="A222" s="1" t="str">
        <f t="shared" si="36"/>
        <v>2°2°</v>
      </c>
      <c r="B222" s="54" t="str">
        <f t="shared" si="37"/>
        <v>2°2°2JUMAÑANA221</v>
      </c>
      <c r="C222" s="62">
        <f>VLOOKUP(G222,[1]Hoja1!$A:$O,3,0)</f>
        <v>221</v>
      </c>
      <c r="D222" s="2" t="str">
        <f t="shared" si="38"/>
        <v>2JUMaula 4</v>
      </c>
      <c r="E222" s="6" t="s">
        <v>45</v>
      </c>
      <c r="F222" s="65" t="s">
        <v>27</v>
      </c>
      <c r="G222" s="6" t="s">
        <v>75</v>
      </c>
      <c r="H222" s="3" t="str">
        <f>VLOOKUP(G222,[1]Hoja1!$A:$O,6,0)</f>
        <v>SISTEMAS TECNOLOGICOS</v>
      </c>
      <c r="I222" s="4" t="s">
        <v>1437</v>
      </c>
      <c r="J222" s="6"/>
      <c r="K222" s="80" t="str">
        <f t="shared" si="46"/>
        <v>JU</v>
      </c>
      <c r="L222" s="4" t="s">
        <v>512</v>
      </c>
      <c r="M222" s="86" t="str">
        <f>VLOOKUP(G222,[1]Hoja1!$A:$O,15,0)</f>
        <v xml:space="preserve">GOMEZ ANALIA                                     </v>
      </c>
      <c r="N222" s="2" t="str">
        <f t="shared" si="39"/>
        <v>2°2°2212TST2JU</v>
      </c>
      <c r="O222" s="2"/>
      <c r="P222" s="2" t="str">
        <f>VLOOKUP(G222,[1]Hoja1!$A:$P,16,0)</f>
        <v xml:space="preserve"> </v>
      </c>
      <c r="Q222" s="2"/>
      <c r="S222">
        <f>VLOOKUP(G222,[1]Hoja1!$A:$O,5,0)</f>
        <v>2673402</v>
      </c>
      <c r="U222" s="45" t="s">
        <v>2751</v>
      </c>
      <c r="V222" s="46">
        <f t="shared" si="40"/>
        <v>2673402</v>
      </c>
      <c r="W222" s="47" t="s">
        <v>1519</v>
      </c>
      <c r="X222" s="46" t="str">
        <f t="shared" si="41"/>
        <v>2</v>
      </c>
      <c r="Y222" s="47" t="s">
        <v>1518</v>
      </c>
      <c r="Z222" s="46" t="str">
        <f t="shared" si="42"/>
        <v>M</v>
      </c>
      <c r="AA222" s="47" t="s">
        <v>2752</v>
      </c>
      <c r="AB222" s="46" t="str">
        <f t="shared" si="43"/>
        <v>JUEVES</v>
      </c>
      <c r="AC222" s="47" t="s">
        <v>2753</v>
      </c>
      <c r="AD222" t="str">
        <f t="shared" si="44"/>
        <v>CONTRATURNO</v>
      </c>
      <c r="AE222" s="47" t="s">
        <v>2754</v>
      </c>
      <c r="AH222" t="str">
        <f t="shared" si="45"/>
        <v>INSERT INTO horario_curso_materia (horario_curso_materia.FK_CUR_mat,horario_curso_materia.FK_HOR,horario_curso_materia.DIA,horario_curso_materia.tipo_turno) VALUES (  (SELECT curso_materia.ID_CUR_MAT FROM curso_materia WHERE curso_materia.CUPOF='2673402' ) ,
    (SELECT horario.ID_HOR FROM horario WHERE horario.modulo='2 ' and horario.turno='M ' ),'JUEVES ' , 'CONTRATURNO ' );</v>
      </c>
    </row>
    <row r="223" spans="1:34" ht="15" hidden="1" customHeight="1" x14ac:dyDescent="0.3">
      <c r="A223" s="1" t="str">
        <f t="shared" si="36"/>
        <v>2°2°</v>
      </c>
      <c r="B223" s="54" t="str">
        <f t="shared" si="37"/>
        <v>2°2°4MATARDE0</v>
      </c>
      <c r="C223" s="62">
        <f>VLOOKUP(G223,[1]Hoja1!$A:$O,3,0)</f>
        <v>0</v>
      </c>
      <c r="D223" s="2" t="str">
        <f t="shared" si="38"/>
        <v>4MAT</v>
      </c>
      <c r="E223" s="62" t="s">
        <v>16</v>
      </c>
      <c r="F223" s="62" t="s">
        <v>10</v>
      </c>
      <c r="G223" s="62" t="s">
        <v>309</v>
      </c>
      <c r="H223" s="8" t="str">
        <f>VLOOKUP(G223,[1]Hoja1!$A:$O,6,0)</f>
        <v>MATEMATICA</v>
      </c>
      <c r="I223" s="4"/>
      <c r="J223" s="4"/>
      <c r="K223" s="80" t="str">
        <f t="shared" si="46"/>
        <v>MA</v>
      </c>
      <c r="L223" s="4"/>
      <c r="M223" s="86" t="str">
        <f>VLOOKUP(G223,[1]Hoja1!$A:$O,15,0)</f>
        <v>VARCHETTA, GABRIEL</v>
      </c>
      <c r="N223" s="2" t="str">
        <f t="shared" si="39"/>
        <v>2°2°2MATMA</v>
      </c>
      <c r="O223" s="2"/>
      <c r="P223" s="2" t="str">
        <f>VLOOKUP(G223,[1]Hoja1!$A:$P,16,0)</f>
        <v xml:space="preserve"> </v>
      </c>
      <c r="Q223" s="2"/>
      <c r="S223">
        <f>VLOOKUP(G223,[1]Hoja1!$A:$O,5,0)</f>
        <v>789737</v>
      </c>
      <c r="U223" s="45" t="s">
        <v>2751</v>
      </c>
      <c r="V223" s="46">
        <f t="shared" si="40"/>
        <v>789737</v>
      </c>
      <c r="W223" s="47" t="s">
        <v>1519</v>
      </c>
      <c r="X223" s="46" t="str">
        <f t="shared" si="41"/>
        <v>4</v>
      </c>
      <c r="Y223" s="47" t="s">
        <v>1518</v>
      </c>
      <c r="Z223" s="46" t="str">
        <f t="shared" si="42"/>
        <v>T</v>
      </c>
      <c r="AA223" s="47" t="s">
        <v>2752</v>
      </c>
      <c r="AB223" s="46" t="str">
        <f t="shared" si="43"/>
        <v>MARTES</v>
      </c>
      <c r="AC223" s="47" t="s">
        <v>2753</v>
      </c>
      <c r="AD223">
        <f t="shared" si="44"/>
        <v>0</v>
      </c>
      <c r="AE223" s="47" t="s">
        <v>2754</v>
      </c>
      <c r="AH223" t="str">
        <f t="shared" si="45"/>
        <v>INSERT INTO horario_curso_materia (horario_curso_materia.FK_CUR_mat,horario_curso_materia.FK_HOR,horario_curso_materia.DIA,horario_curso_materia.tipo_turno) VALUES (  (SELECT curso_materia.ID_CUR_MAT FROM curso_materia WHERE curso_materia.CUPOF='789737' ) ,
    (SELECT horario.ID_HOR FROM horario WHERE horario.modulo='4 ' and horario.turno='T ' ),'MARTES ' , '0 ' );</v>
      </c>
    </row>
    <row r="224" spans="1:34" ht="15" hidden="1" customHeight="1" x14ac:dyDescent="0.3">
      <c r="A224" s="1" t="str">
        <f t="shared" si="36"/>
        <v>2°2°</v>
      </c>
      <c r="B224" s="54" t="str">
        <f t="shared" si="37"/>
        <v>2°2°4MIMAÑANA221</v>
      </c>
      <c r="C224" s="62">
        <f>VLOOKUP(G224,[1]Hoja1!$A:$O,3,0)</f>
        <v>221</v>
      </c>
      <c r="D224" s="2" t="str">
        <f t="shared" si="38"/>
        <v>4MIMAULA 2</v>
      </c>
      <c r="E224" s="62" t="s">
        <v>52</v>
      </c>
      <c r="F224" s="62" t="s">
        <v>27</v>
      </c>
      <c r="G224" s="62" t="s">
        <v>77</v>
      </c>
      <c r="H224" s="8" t="str">
        <f>VLOOKUP(G224,[1]Hoja1!$A:$O,6,0)</f>
        <v>LENGUAJES TECNOLOGICOS</v>
      </c>
      <c r="I224" s="4" t="s">
        <v>1486</v>
      </c>
      <c r="J224" s="4"/>
      <c r="K224" s="80" t="str">
        <f t="shared" si="46"/>
        <v>MI</v>
      </c>
      <c r="L224" s="4" t="s">
        <v>512</v>
      </c>
      <c r="M224" s="86" t="str">
        <f>VLOOKUP(G224,[1]Hoja1!$A:$O,15,0)</f>
        <v xml:space="preserve">RIVAROLA NORMA                            </v>
      </c>
      <c r="N224" s="2" t="str">
        <f t="shared" si="39"/>
        <v>2°2°2212TLT2MI</v>
      </c>
      <c r="O224" s="2"/>
      <c r="P224" s="2" t="str">
        <f>VLOOKUP(G224,[1]Hoja1!$A:$P,16,0)</f>
        <v xml:space="preserve"> </v>
      </c>
      <c r="Q224" s="2"/>
      <c r="S224">
        <f>VLOOKUP(G224,[1]Hoja1!$A:$O,5,0)</f>
        <v>2673400</v>
      </c>
      <c r="U224" s="45" t="s">
        <v>2751</v>
      </c>
      <c r="V224" s="46">
        <f t="shared" si="40"/>
        <v>2673400</v>
      </c>
      <c r="W224" s="47" t="s">
        <v>1519</v>
      </c>
      <c r="X224" s="46" t="str">
        <f t="shared" si="41"/>
        <v>4</v>
      </c>
      <c r="Y224" s="47" t="s">
        <v>1518</v>
      </c>
      <c r="Z224" s="46" t="str">
        <f t="shared" si="42"/>
        <v>M</v>
      </c>
      <c r="AA224" s="47" t="s">
        <v>2752</v>
      </c>
      <c r="AB224" s="46" t="str">
        <f t="shared" si="43"/>
        <v>MIERCOLES</v>
      </c>
      <c r="AC224" s="47" t="s">
        <v>2753</v>
      </c>
      <c r="AD224" t="str">
        <f t="shared" si="44"/>
        <v>CONTRATURNO</v>
      </c>
      <c r="AE224" s="47" t="s">
        <v>2754</v>
      </c>
      <c r="AH224" t="str">
        <f t="shared" si="45"/>
        <v>INSERT INTO horario_curso_materia (horario_curso_materia.FK_CUR_mat,horario_curso_materia.FK_HOR,horario_curso_materia.DIA,horario_curso_materia.tipo_turno) VALUES (  (SELECT curso_materia.ID_CUR_MAT FROM curso_materia WHERE curso_materia.CUPOF='2673400' ) ,
    (SELECT horario.ID_HOR FROM horario WHERE horario.modulo='4 ' and horario.turno='M ' ),'MIERCOLES ' , 'CONTRATURNO ' );</v>
      </c>
    </row>
    <row r="225" spans="1:34" ht="15" hidden="1" customHeight="1" x14ac:dyDescent="0.3">
      <c r="A225" s="1" t="str">
        <f t="shared" si="36"/>
        <v>2°2°</v>
      </c>
      <c r="B225" s="54" t="str">
        <f t="shared" si="37"/>
        <v>2°2°4MIMAÑANA222</v>
      </c>
      <c r="C225" s="62">
        <f>VLOOKUP(G225,[1]Hoja1!$A:$O,3,0)</f>
        <v>222</v>
      </c>
      <c r="D225" s="2" t="str">
        <f t="shared" si="38"/>
        <v>4MIMAULA 4</v>
      </c>
      <c r="E225" s="62" t="s">
        <v>52</v>
      </c>
      <c r="F225" s="62" t="s">
        <v>27</v>
      </c>
      <c r="G225" s="62" t="s">
        <v>78</v>
      </c>
      <c r="H225" s="8" t="str">
        <f>VLOOKUP(G225,[1]Hoja1!$A:$O,6,0)</f>
        <v>SISTEMAS TECNOLOGICOS</v>
      </c>
      <c r="I225" s="4" t="s">
        <v>1485</v>
      </c>
      <c r="J225" s="4"/>
      <c r="K225" s="80" t="str">
        <f t="shared" si="46"/>
        <v>MI</v>
      </c>
      <c r="L225" s="4" t="s">
        <v>512</v>
      </c>
      <c r="M225" s="86" t="str">
        <f>VLOOKUP(G225,[1]Hoja1!$A:$O,15,0)</f>
        <v>RODRIGUEZ PABLO</v>
      </c>
      <c r="N225" s="2" t="str">
        <f t="shared" si="39"/>
        <v>2°2°2222TST2MI</v>
      </c>
      <c r="O225" s="2" t="s">
        <v>1448</v>
      </c>
      <c r="P225" s="2" t="str">
        <f>VLOOKUP(G225,[1]Hoja1!$A:$P,16,0)</f>
        <v xml:space="preserve"> </v>
      </c>
      <c r="Q225" s="2">
        <v>1</v>
      </c>
      <c r="S225">
        <f>VLOOKUP(G225,[1]Hoja1!$A:$O,5,0)</f>
        <v>2673405</v>
      </c>
      <c r="U225" s="45" t="s">
        <v>2751</v>
      </c>
      <c r="V225" s="46">
        <f t="shared" si="40"/>
        <v>2673405</v>
      </c>
      <c r="W225" s="47" t="s">
        <v>1519</v>
      </c>
      <c r="X225" s="46" t="str">
        <f t="shared" si="41"/>
        <v>4</v>
      </c>
      <c r="Y225" s="47" t="s">
        <v>1518</v>
      </c>
      <c r="Z225" s="46" t="str">
        <f t="shared" si="42"/>
        <v>M</v>
      </c>
      <c r="AA225" s="47" t="s">
        <v>2752</v>
      </c>
      <c r="AB225" s="46" t="str">
        <f t="shared" si="43"/>
        <v>MIERCOLES</v>
      </c>
      <c r="AC225" s="47" t="s">
        <v>2753</v>
      </c>
      <c r="AD225" t="str">
        <f t="shared" si="44"/>
        <v>CONTRATURNO</v>
      </c>
      <c r="AE225" s="47" t="s">
        <v>2754</v>
      </c>
      <c r="AH225" t="str">
        <f t="shared" si="45"/>
        <v>INSERT INTO horario_curso_materia (horario_curso_materia.FK_CUR_mat,horario_curso_materia.FK_HOR,horario_curso_materia.DIA,horario_curso_materia.tipo_turno) VALUES (  (SELECT curso_materia.ID_CUR_MAT FROM curso_materia WHERE curso_materia.CUPOF='2673405' ) ,
    (SELECT horario.ID_HOR FROM horario WHERE horario.modulo='4 ' and horario.turno='M ' ),'MIERCOLES ' , 'CONTRATURNO ' );</v>
      </c>
    </row>
    <row r="226" spans="1:34" ht="15" hidden="1" customHeight="1" x14ac:dyDescent="0.3">
      <c r="A226" s="1" t="str">
        <f t="shared" si="36"/>
        <v>2°2°</v>
      </c>
      <c r="B226" s="54" t="str">
        <f t="shared" si="37"/>
        <v>2°2°4MITARDE0</v>
      </c>
      <c r="C226" s="62">
        <f>VLOOKUP(G226,[1]Hoja1!$A:$O,3,0)</f>
        <v>0</v>
      </c>
      <c r="D226" s="2" t="str">
        <f t="shared" si="38"/>
        <v>4MIT</v>
      </c>
      <c r="E226" s="62" t="s">
        <v>52</v>
      </c>
      <c r="F226" s="62" t="s">
        <v>10</v>
      </c>
      <c r="G226" s="62" t="s">
        <v>313</v>
      </c>
      <c r="H226" s="8" t="str">
        <f>VLOOKUP(G226,[1]Hoja1!$A:$O,6,0)</f>
        <v>CONSTRUCCION DE LA CIUDADANIA</v>
      </c>
      <c r="I226" s="4"/>
      <c r="J226" s="4"/>
      <c r="K226" s="80" t="str">
        <f t="shared" si="46"/>
        <v>MI</v>
      </c>
      <c r="L226" s="4"/>
      <c r="M226" s="86" t="str">
        <f>VLOOKUP(G226,[1]Hoja1!$A:$O,15,0)</f>
        <v xml:space="preserve">HERRERA CARMEN                   </v>
      </c>
      <c r="N226" s="2" t="str">
        <f t="shared" si="39"/>
        <v>2°2°2CCDMI</v>
      </c>
      <c r="O226" s="2"/>
      <c r="P226" s="2" t="str">
        <f>VLOOKUP(G226,[1]Hoja1!$A:$P,16,0)</f>
        <v xml:space="preserve"> </v>
      </c>
      <c r="Q226" s="2"/>
      <c r="S226">
        <f>VLOOKUP(G226,[1]Hoja1!$A:$O,5,0)</f>
        <v>2174482</v>
      </c>
      <c r="U226" s="45" t="s">
        <v>2751</v>
      </c>
      <c r="V226" s="46">
        <f t="shared" si="40"/>
        <v>2174482</v>
      </c>
      <c r="W226" s="47" t="s">
        <v>1519</v>
      </c>
      <c r="X226" s="46" t="str">
        <f t="shared" si="41"/>
        <v>4</v>
      </c>
      <c r="Y226" s="47" t="s">
        <v>1518</v>
      </c>
      <c r="Z226" s="46" t="str">
        <f t="shared" si="42"/>
        <v>T</v>
      </c>
      <c r="AA226" s="47" t="s">
        <v>2752</v>
      </c>
      <c r="AB226" s="46" t="str">
        <f t="shared" si="43"/>
        <v>MIERCOLES</v>
      </c>
      <c r="AC226" s="47" t="s">
        <v>2753</v>
      </c>
      <c r="AD226">
        <f t="shared" si="44"/>
        <v>0</v>
      </c>
      <c r="AE226" s="47" t="s">
        <v>2754</v>
      </c>
      <c r="AH226" t="str">
        <f t="shared" si="45"/>
        <v>INSERT INTO horario_curso_materia (horario_curso_materia.FK_CUR_mat,horario_curso_materia.FK_HOR,horario_curso_materia.DIA,horario_curso_materia.tipo_turno) VALUES (  (SELECT curso_materia.ID_CUR_MAT FROM curso_materia WHERE curso_materia.CUPOF='2174482' ) ,
    (SELECT horario.ID_HOR FROM horario WHERE horario.modulo='4 ' and horario.turno='T ' ),'MIERCOLES ' , '0 ' );</v>
      </c>
    </row>
    <row r="227" spans="1:34" ht="15" hidden="1" customHeight="1" x14ac:dyDescent="0.3">
      <c r="A227" s="1" t="str">
        <f t="shared" si="36"/>
        <v>2°2°</v>
      </c>
      <c r="B227" s="54" t="str">
        <f t="shared" si="37"/>
        <v>2°2°4VITARDE0</v>
      </c>
      <c r="C227" s="62">
        <f>VLOOKUP(G227,[1]Hoja1!$A:$O,3,0)</f>
        <v>0</v>
      </c>
      <c r="D227" s="2" t="str">
        <f t="shared" si="38"/>
        <v>4VIT</v>
      </c>
      <c r="E227" s="62" t="s">
        <v>36</v>
      </c>
      <c r="F227" s="62" t="s">
        <v>10</v>
      </c>
      <c r="G227" s="62" t="s">
        <v>315</v>
      </c>
      <c r="H227" s="8" t="str">
        <f>VLOOKUP(G227,[1]Hoja1!$A:$O,6,0)</f>
        <v>PRACTICA DEL LENGUAJE</v>
      </c>
      <c r="I227" s="4"/>
      <c r="J227" s="4"/>
      <c r="K227" s="80" t="str">
        <f t="shared" si="46"/>
        <v>VI</v>
      </c>
      <c r="L227" s="4"/>
      <c r="M227" s="86" t="str">
        <f>VLOOKUP(G227,[1]Hoja1!$A:$O,15,0)</f>
        <v xml:space="preserve">GONZALEZ DANIELA                                 </v>
      </c>
      <c r="N227" s="2" t="str">
        <f t="shared" si="39"/>
        <v>2°2°2PLGVI</v>
      </c>
      <c r="O227" s="2"/>
      <c r="P227" s="2" t="str">
        <f>VLOOKUP(G227,[1]Hoja1!$A:$P,16,0)</f>
        <v xml:space="preserve"> </v>
      </c>
      <c r="Q227" s="2"/>
      <c r="S227">
        <f>VLOOKUP(G227,[1]Hoja1!$A:$O,5,0)</f>
        <v>733450</v>
      </c>
      <c r="U227" s="45" t="s">
        <v>2751</v>
      </c>
      <c r="V227" s="46">
        <f t="shared" si="40"/>
        <v>733450</v>
      </c>
      <c r="W227" s="47" t="s">
        <v>1519</v>
      </c>
      <c r="X227" s="46" t="str">
        <f t="shared" si="41"/>
        <v>4</v>
      </c>
      <c r="Y227" s="47" t="s">
        <v>1518</v>
      </c>
      <c r="Z227" s="46" t="str">
        <f t="shared" si="42"/>
        <v>T</v>
      </c>
      <c r="AA227" s="47" t="s">
        <v>2752</v>
      </c>
      <c r="AB227" s="46" t="str">
        <f t="shared" si="43"/>
        <v>VIERNES</v>
      </c>
      <c r="AC227" s="47" t="s">
        <v>2753</v>
      </c>
      <c r="AD227">
        <f t="shared" si="44"/>
        <v>0</v>
      </c>
      <c r="AE227" s="47" t="s">
        <v>2754</v>
      </c>
      <c r="AH227" t="str">
        <f t="shared" si="45"/>
        <v>INSERT INTO horario_curso_materia (horario_curso_materia.FK_CUR_mat,horario_curso_materia.FK_HOR,horario_curso_materia.DIA,horario_curso_materia.tipo_turno) VALUES (  (SELECT curso_materia.ID_CUR_MAT FROM curso_materia WHERE curso_materia.CUPOF='733450' ) ,
    (SELECT horario.ID_HOR FROM horario WHERE horario.modulo='4 ' and horario.turno='T ' ),'VIERNES ' , '0 ' );</v>
      </c>
    </row>
    <row r="228" spans="1:34" ht="15" hidden="1" customHeight="1" x14ac:dyDescent="0.3">
      <c r="A228" s="1" t="str">
        <f t="shared" si="36"/>
        <v>2°2°</v>
      </c>
      <c r="B228" s="54" t="str">
        <f t="shared" si="37"/>
        <v>2°2°1VITARDE0</v>
      </c>
      <c r="C228" s="62">
        <f>VLOOKUP(G228,[1]Hoja1!$A:$O,3,0)</f>
        <v>0</v>
      </c>
      <c r="D228" s="2" t="str">
        <f t="shared" si="38"/>
        <v>1VIT</v>
      </c>
      <c r="E228" s="62" t="s">
        <v>57</v>
      </c>
      <c r="F228" s="62" t="s">
        <v>10</v>
      </c>
      <c r="G228" s="62" t="s">
        <v>311</v>
      </c>
      <c r="H228" s="8" t="str">
        <f>VLOOKUP(G228,[1]Hoja1!$A:$O,6,0)</f>
        <v>HISTORIA</v>
      </c>
      <c r="I228" s="4"/>
      <c r="J228" s="4"/>
      <c r="K228" s="80" t="str">
        <f t="shared" si="46"/>
        <v>VI</v>
      </c>
      <c r="L228" s="4"/>
      <c r="M228" s="86" t="str">
        <f>VLOOKUP(G228,[1]Hoja1!$A:$O,15,0)</f>
        <v xml:space="preserve">JUAREZ NORMA </v>
      </c>
      <c r="N228" s="2" t="str">
        <f t="shared" si="39"/>
        <v>2°2°2HISVI</v>
      </c>
      <c r="O228" s="2"/>
      <c r="P228" s="2" t="str">
        <f>VLOOKUP(G228,[1]Hoja1!$A:$P,16,0)</f>
        <v xml:space="preserve"> </v>
      </c>
      <c r="Q228" s="2"/>
      <c r="S228">
        <f>VLOOKUP(G228,[1]Hoja1!$A:$O,5,0)</f>
        <v>1644152</v>
      </c>
      <c r="U228" s="45" t="s">
        <v>2751</v>
      </c>
      <c r="V228" s="46">
        <f t="shared" si="40"/>
        <v>1644152</v>
      </c>
      <c r="W228" s="47" t="s">
        <v>1519</v>
      </c>
      <c r="X228" s="46" t="str">
        <f t="shared" si="41"/>
        <v>1</v>
      </c>
      <c r="Y228" s="47" t="s">
        <v>1518</v>
      </c>
      <c r="Z228" s="46" t="str">
        <f t="shared" si="42"/>
        <v>T</v>
      </c>
      <c r="AA228" s="47" t="s">
        <v>2752</v>
      </c>
      <c r="AB228" s="46" t="str">
        <f t="shared" si="43"/>
        <v>VIERNES</v>
      </c>
      <c r="AC228" s="47" t="s">
        <v>2753</v>
      </c>
      <c r="AD228">
        <f t="shared" si="44"/>
        <v>0</v>
      </c>
      <c r="AE228" s="47" t="s">
        <v>2754</v>
      </c>
      <c r="AH228" t="str">
        <f t="shared" si="45"/>
        <v>INSERT INTO horario_curso_materia (horario_curso_materia.FK_CUR_mat,horario_curso_materia.FK_HOR,horario_curso_materia.DIA,horario_curso_materia.tipo_turno) VALUES (  (SELECT curso_materia.ID_CUR_MAT FROM curso_materia WHERE curso_materia.CUPOF='1644152' ) ,
    (SELECT horario.ID_HOR FROM horario WHERE horario.modulo='1 ' and horario.turno='T ' ),'VIERNES ' , '0 ' );</v>
      </c>
    </row>
    <row r="229" spans="1:34" ht="15" hidden="1" customHeight="1" x14ac:dyDescent="0.3">
      <c r="A229" s="1" t="str">
        <f t="shared" si="36"/>
        <v>2°2°</v>
      </c>
      <c r="B229" s="54" t="str">
        <f t="shared" si="37"/>
        <v>2°2°2VITARDE0</v>
      </c>
      <c r="C229" s="62">
        <f>VLOOKUP(G229,[1]Hoja1!$A:$O,3,0)</f>
        <v>0</v>
      </c>
      <c r="D229" s="2" t="str">
        <f t="shared" si="38"/>
        <v>2VIT</v>
      </c>
      <c r="E229" s="62" t="s">
        <v>59</v>
      </c>
      <c r="F229" s="62" t="s">
        <v>10</v>
      </c>
      <c r="G229" s="62" t="s">
        <v>311</v>
      </c>
      <c r="H229" s="8" t="str">
        <f>VLOOKUP(G229,[1]Hoja1!$A:$O,6,0)</f>
        <v>HISTORIA</v>
      </c>
      <c r="I229" s="4"/>
      <c r="J229" s="4"/>
      <c r="K229" s="80" t="str">
        <f t="shared" si="46"/>
        <v>VI</v>
      </c>
      <c r="L229" s="4"/>
      <c r="M229" s="86" t="str">
        <f>VLOOKUP(G229,[1]Hoja1!$A:$O,15,0)</f>
        <v xml:space="preserve">JUAREZ NORMA </v>
      </c>
      <c r="N229" s="2" t="str">
        <f t="shared" si="39"/>
        <v>2°2°2HISVI</v>
      </c>
      <c r="O229" s="2"/>
      <c r="P229" s="2" t="str">
        <f>VLOOKUP(G229,[1]Hoja1!$A:$P,16,0)</f>
        <v xml:space="preserve"> </v>
      </c>
      <c r="Q229" s="2"/>
      <c r="S229">
        <f>VLOOKUP(G229,[1]Hoja1!$A:$O,5,0)</f>
        <v>1644152</v>
      </c>
      <c r="U229" s="45" t="s">
        <v>2751</v>
      </c>
      <c r="V229" s="46">
        <f t="shared" si="40"/>
        <v>1644152</v>
      </c>
      <c r="W229" s="47" t="s">
        <v>1519</v>
      </c>
      <c r="X229" s="46" t="str">
        <f t="shared" si="41"/>
        <v>2</v>
      </c>
      <c r="Y229" s="47" t="s">
        <v>1518</v>
      </c>
      <c r="Z229" s="46" t="str">
        <f t="shared" si="42"/>
        <v>T</v>
      </c>
      <c r="AA229" s="47" t="s">
        <v>2752</v>
      </c>
      <c r="AB229" s="46" t="str">
        <f t="shared" si="43"/>
        <v>VIERNES</v>
      </c>
      <c r="AC229" s="47" t="s">
        <v>2753</v>
      </c>
      <c r="AD229">
        <f t="shared" si="44"/>
        <v>0</v>
      </c>
      <c r="AE229" s="47" t="s">
        <v>2754</v>
      </c>
      <c r="AH229" t="str">
        <f t="shared" si="45"/>
        <v>INSERT INTO horario_curso_materia (horario_curso_materia.FK_CUR_mat,horario_curso_materia.FK_HOR,horario_curso_materia.DIA,horario_curso_materia.tipo_turno) VALUES (  (SELECT curso_materia.ID_CUR_MAT FROM curso_materia WHERE curso_materia.CUPOF='1644152' ) ,
    (SELECT horario.ID_HOR FROM horario WHERE horario.modulo='2 ' and horario.turno='T ' ),'VIERNES ' , '0 ' );</v>
      </c>
    </row>
    <row r="230" spans="1:34" ht="15" hidden="1" customHeight="1" x14ac:dyDescent="0.3">
      <c r="A230" s="1" t="str">
        <f t="shared" si="36"/>
        <v>2°3°</v>
      </c>
      <c r="B230" s="54" t="str">
        <f t="shared" si="37"/>
        <v>2°3°1JUMAÑANA0</v>
      </c>
      <c r="C230" s="62">
        <f>VLOOKUP(G230,[1]Hoja1!$A:$O,3,0)</f>
        <v>0</v>
      </c>
      <c r="D230" s="2" t="str">
        <f t="shared" si="38"/>
        <v>1JUM</v>
      </c>
      <c r="E230" s="62" t="s">
        <v>43</v>
      </c>
      <c r="F230" s="62" t="s">
        <v>27</v>
      </c>
      <c r="G230" s="62" t="s">
        <v>318</v>
      </c>
      <c r="H230" s="8" t="str">
        <f>VLOOKUP(G230,[1]Hoja1!$A:$O,6,0)</f>
        <v>MATEMATICA</v>
      </c>
      <c r="I230" s="4"/>
      <c r="J230" s="4"/>
      <c r="K230" s="80" t="str">
        <f t="shared" si="46"/>
        <v>JU</v>
      </c>
      <c r="L230" s="4"/>
      <c r="M230" s="86" t="str">
        <f>VLOOKUP(G230,[1]Hoja1!$A:$O,15,0)</f>
        <v>ALARCON, MARIA</v>
      </c>
      <c r="N230" s="2" t="str">
        <f t="shared" si="39"/>
        <v>2°3°2MATJU</v>
      </c>
      <c r="O230" s="2"/>
      <c r="P230" s="2" t="str">
        <f>VLOOKUP(G230,[1]Hoja1!$A:$P,16,0)</f>
        <v xml:space="preserve"> </v>
      </c>
      <c r="Q230" s="2"/>
      <c r="S230">
        <f>VLOOKUP(G230,[1]Hoja1!$A:$O,5,0)</f>
        <v>807717</v>
      </c>
      <c r="U230" s="45" t="s">
        <v>2751</v>
      </c>
      <c r="V230" s="46">
        <f t="shared" si="40"/>
        <v>807717</v>
      </c>
      <c r="W230" s="47" t="s">
        <v>1519</v>
      </c>
      <c r="X230" s="46" t="str">
        <f t="shared" si="41"/>
        <v>1</v>
      </c>
      <c r="Y230" s="47" t="s">
        <v>1518</v>
      </c>
      <c r="Z230" s="46" t="str">
        <f t="shared" si="42"/>
        <v>M</v>
      </c>
      <c r="AA230" s="47" t="s">
        <v>2752</v>
      </c>
      <c r="AB230" s="46" t="str">
        <f t="shared" si="43"/>
        <v>JUEVES</v>
      </c>
      <c r="AC230" s="47" t="s">
        <v>2753</v>
      </c>
      <c r="AD230">
        <f t="shared" si="44"/>
        <v>0</v>
      </c>
      <c r="AE230" s="47" t="s">
        <v>2754</v>
      </c>
      <c r="AH230" t="str">
        <f t="shared" si="45"/>
        <v>INSERT INTO horario_curso_materia (horario_curso_materia.FK_CUR_mat,horario_curso_materia.FK_HOR,horario_curso_materia.DIA,horario_curso_materia.tipo_turno) VALUES (  (SELECT curso_materia.ID_CUR_MAT FROM curso_materia WHERE curso_materia.CUPOF='807717' ) ,
    (SELECT horario.ID_HOR FROM horario WHERE horario.modulo='1 ' and horario.turno='M ' ),'JUEVES ' , '0 ' );</v>
      </c>
    </row>
    <row r="231" spans="1:34" ht="15" hidden="1" customHeight="1" x14ac:dyDescent="0.3">
      <c r="A231" s="1" t="str">
        <f t="shared" si="36"/>
        <v>2°3°</v>
      </c>
      <c r="B231" s="54" t="str">
        <f t="shared" si="37"/>
        <v>2°3°1LUMAÑANA0</v>
      </c>
      <c r="C231" s="62">
        <f>VLOOKUP(G231,[1]Hoja1!$A:$O,3,0)</f>
        <v>0</v>
      </c>
      <c r="D231" s="2" t="str">
        <f t="shared" si="38"/>
        <v>1LUM</v>
      </c>
      <c r="E231" s="62" t="s">
        <v>9</v>
      </c>
      <c r="F231" s="62" t="s">
        <v>27</v>
      </c>
      <c r="G231" s="62" t="s">
        <v>318</v>
      </c>
      <c r="H231" s="8" t="str">
        <f>VLOOKUP(G231,[1]Hoja1!$A:$O,6,0)</f>
        <v>MATEMATICA</v>
      </c>
      <c r="I231" s="4"/>
      <c r="J231" s="4"/>
      <c r="K231" s="80" t="str">
        <f t="shared" si="46"/>
        <v>LU</v>
      </c>
      <c r="L231" s="4"/>
      <c r="M231" s="86" t="str">
        <f>VLOOKUP(G231,[1]Hoja1!$A:$O,15,0)</f>
        <v>ALARCON, MARIA</v>
      </c>
      <c r="N231" s="2" t="str">
        <f t="shared" si="39"/>
        <v>2°3°2MATLU</v>
      </c>
      <c r="O231" s="2"/>
      <c r="P231" s="2" t="str">
        <f>VLOOKUP(G231,[1]Hoja1!$A:$P,16,0)</f>
        <v xml:space="preserve"> </v>
      </c>
      <c r="Q231" s="2"/>
      <c r="S231">
        <f>VLOOKUP(G231,[1]Hoja1!$A:$O,5,0)</f>
        <v>807717</v>
      </c>
      <c r="U231" s="45" t="s">
        <v>2751</v>
      </c>
      <c r="V231" s="46">
        <f t="shared" si="40"/>
        <v>807717</v>
      </c>
      <c r="W231" s="47" t="s">
        <v>1519</v>
      </c>
      <c r="X231" s="46" t="str">
        <f t="shared" si="41"/>
        <v>1</v>
      </c>
      <c r="Y231" s="47" t="s">
        <v>1518</v>
      </c>
      <c r="Z231" s="46" t="str">
        <f t="shared" si="42"/>
        <v>M</v>
      </c>
      <c r="AA231" s="47" t="s">
        <v>2752</v>
      </c>
      <c r="AB231" s="46" t="str">
        <f t="shared" si="43"/>
        <v>LUNES</v>
      </c>
      <c r="AC231" s="47" t="s">
        <v>2753</v>
      </c>
      <c r="AD231">
        <f t="shared" si="44"/>
        <v>0</v>
      </c>
      <c r="AE231" s="47" t="s">
        <v>2754</v>
      </c>
      <c r="AH231" t="str">
        <f t="shared" si="45"/>
        <v>INSERT INTO horario_curso_materia (horario_curso_materia.FK_CUR_mat,horario_curso_materia.FK_HOR,horario_curso_materia.DIA,horario_curso_materia.tipo_turno) VALUES (  (SELECT curso_materia.ID_CUR_MAT FROM curso_materia WHERE curso_materia.CUPOF='807717' ) ,
    (SELECT horario.ID_HOR FROM horario WHERE horario.modulo='1 ' and horario.turno='M ' ),'LUNES ' , '0 ' );</v>
      </c>
    </row>
    <row r="232" spans="1:34" ht="15" hidden="1" customHeight="1" x14ac:dyDescent="0.3">
      <c r="A232" s="1" t="str">
        <f t="shared" si="36"/>
        <v>2°3°</v>
      </c>
      <c r="B232" s="54" t="str">
        <f t="shared" si="37"/>
        <v>2°3°1MAMAÑANA0</v>
      </c>
      <c r="C232" s="62">
        <f>VLOOKUP(G232,[1]Hoja1!$A:$O,3,0)</f>
        <v>0</v>
      </c>
      <c r="D232" s="2" t="str">
        <f t="shared" si="38"/>
        <v>1MAM</v>
      </c>
      <c r="E232" s="62" t="s">
        <v>17</v>
      </c>
      <c r="F232" s="62" t="s">
        <v>27</v>
      </c>
      <c r="G232" s="62" t="s">
        <v>321</v>
      </c>
      <c r="H232" s="8" t="str">
        <f>VLOOKUP(G232,[1]Hoja1!$A:$O,6,0)</f>
        <v>FISICO-QUIMICA</v>
      </c>
      <c r="I232" s="4"/>
      <c r="J232" s="4"/>
      <c r="K232" s="80" t="str">
        <f t="shared" si="46"/>
        <v>MA</v>
      </c>
      <c r="L232" s="4"/>
      <c r="M232" s="86" t="str">
        <f>VLOOKUP(G232,[1]Hoja1!$A:$O,15,0)</f>
        <v xml:space="preserve">PEREYRA MARISA ALEJANDR </v>
      </c>
      <c r="N232" s="2" t="str">
        <f t="shared" si="39"/>
        <v>2°3°2FI/QUIMA</v>
      </c>
      <c r="O232" s="2"/>
      <c r="P232" s="2" t="str">
        <f>VLOOKUP(G232,[1]Hoja1!$A:$P,16,0)</f>
        <v xml:space="preserve"> </v>
      </c>
      <c r="Q232" s="2"/>
      <c r="S232">
        <f>VLOOKUP(G232,[1]Hoja1!$A:$O,5,0)</f>
        <v>1644158</v>
      </c>
      <c r="U232" s="45" t="s">
        <v>2751</v>
      </c>
      <c r="V232" s="46">
        <f t="shared" si="40"/>
        <v>1644158</v>
      </c>
      <c r="W232" s="47" t="s">
        <v>1519</v>
      </c>
      <c r="X232" s="46" t="str">
        <f t="shared" si="41"/>
        <v>1</v>
      </c>
      <c r="Y232" s="47" t="s">
        <v>1518</v>
      </c>
      <c r="Z232" s="46" t="str">
        <f t="shared" si="42"/>
        <v>M</v>
      </c>
      <c r="AA232" s="47" t="s">
        <v>2752</v>
      </c>
      <c r="AB232" s="46" t="str">
        <f t="shared" si="43"/>
        <v>MARTES</v>
      </c>
      <c r="AC232" s="47" t="s">
        <v>2753</v>
      </c>
      <c r="AD232">
        <f t="shared" si="44"/>
        <v>0</v>
      </c>
      <c r="AE232" s="47" t="s">
        <v>2754</v>
      </c>
      <c r="AH232" t="str">
        <f t="shared" si="45"/>
        <v>INSERT INTO horario_curso_materia (horario_curso_materia.FK_CUR_mat,horario_curso_materia.FK_HOR,horario_curso_materia.DIA,horario_curso_materia.tipo_turno) VALUES (  (SELECT curso_materia.ID_CUR_MAT FROM curso_materia WHERE curso_materia.CUPOF='1644158' ) ,
    (SELECT horario.ID_HOR FROM horario WHERE horario.modulo='1 ' and horario.turno='M ' ),'MARTES ' , '0 ' );</v>
      </c>
    </row>
    <row r="233" spans="1:34" ht="15" hidden="1" customHeight="1" x14ac:dyDescent="0.3">
      <c r="A233" s="1" t="str">
        <f t="shared" si="36"/>
        <v>2°3°</v>
      </c>
      <c r="B233" s="54" t="str">
        <f t="shared" si="37"/>
        <v>2°3°1MATARDE231</v>
      </c>
      <c r="C233" s="62">
        <f>VLOOKUP(G233,[1]Hoja1!$A:$O,3,0)</f>
        <v>231</v>
      </c>
      <c r="D233" s="2" t="str">
        <f t="shared" si="38"/>
        <v>1MAT47</v>
      </c>
      <c r="E233" s="62" t="s">
        <v>17</v>
      </c>
      <c r="F233" s="62" t="s">
        <v>10</v>
      </c>
      <c r="G233" s="62" t="s">
        <v>80</v>
      </c>
      <c r="H233" s="8" t="str">
        <f>VLOOKUP(G233,[1]Hoja1!$A:$O,6,0)</f>
        <v>SISTEMAS TECNOLOGICOS</v>
      </c>
      <c r="I233" s="4">
        <v>47</v>
      </c>
      <c r="J233" s="4"/>
      <c r="K233" s="80" t="str">
        <f t="shared" si="46"/>
        <v>MA</v>
      </c>
      <c r="L233" s="4" t="s">
        <v>512</v>
      </c>
      <c r="M233" s="86" t="str">
        <f>VLOOKUP(G233,[1]Hoja1!$A:$O,15,0)</f>
        <v xml:space="preserve">GOMEZ ANALIA </v>
      </c>
      <c r="N233" s="2" t="str">
        <f t="shared" si="39"/>
        <v>2°3°2312TST2MA</v>
      </c>
      <c r="O233" s="2"/>
      <c r="P233" s="2" t="str">
        <f>VLOOKUP(G233,[1]Hoja1!$A:$P,16,0)</f>
        <v xml:space="preserve"> </v>
      </c>
      <c r="Q233" s="2"/>
      <c r="S233">
        <f>VLOOKUP(G233,[1]Hoja1!$A:$O,5,0)</f>
        <v>2673119</v>
      </c>
      <c r="U233" s="45" t="s">
        <v>2751</v>
      </c>
      <c r="V233" s="46">
        <f t="shared" si="40"/>
        <v>2673119</v>
      </c>
      <c r="W233" s="47" t="s">
        <v>1519</v>
      </c>
      <c r="X233" s="46" t="str">
        <f t="shared" si="41"/>
        <v>1</v>
      </c>
      <c r="Y233" s="47" t="s">
        <v>1518</v>
      </c>
      <c r="Z233" s="46" t="str">
        <f t="shared" si="42"/>
        <v>T</v>
      </c>
      <c r="AA233" s="47" t="s">
        <v>2752</v>
      </c>
      <c r="AB233" s="46" t="str">
        <f t="shared" si="43"/>
        <v>MARTES</v>
      </c>
      <c r="AC233" s="47" t="s">
        <v>2753</v>
      </c>
      <c r="AD233" t="str">
        <f t="shared" si="44"/>
        <v>CONTRATURNO</v>
      </c>
      <c r="AE233" s="47" t="s">
        <v>2754</v>
      </c>
      <c r="AH233" t="str">
        <f t="shared" si="45"/>
        <v>INSERT INTO horario_curso_materia (horario_curso_materia.FK_CUR_mat,horario_curso_materia.FK_HOR,horario_curso_materia.DIA,horario_curso_materia.tipo_turno) VALUES (  (SELECT curso_materia.ID_CUR_MAT FROM curso_materia WHERE curso_materia.CUPOF='2673119' ) ,
    (SELECT horario.ID_HOR FROM horario WHERE horario.modulo='1 ' and horario.turno='T ' ),'MARTES ' , 'CONTRATURNO ' );</v>
      </c>
    </row>
    <row r="234" spans="1:34" ht="15" hidden="1" customHeight="1" x14ac:dyDescent="0.3">
      <c r="A234" s="1" t="str">
        <f t="shared" si="36"/>
        <v>2°3°</v>
      </c>
      <c r="B234" s="54" t="str">
        <f t="shared" si="37"/>
        <v>2°3°1MIMAÑANA0</v>
      </c>
      <c r="C234" s="62">
        <f>VLOOKUP(G234,[1]Hoja1!$A:$O,3,0)</f>
        <v>0</v>
      </c>
      <c r="D234" s="2" t="str">
        <f t="shared" si="38"/>
        <v>1MIM</v>
      </c>
      <c r="E234" s="62" t="s">
        <v>24</v>
      </c>
      <c r="F234" s="62" t="s">
        <v>27</v>
      </c>
      <c r="G234" s="62" t="s">
        <v>323</v>
      </c>
      <c r="H234" s="8" t="str">
        <f>VLOOKUP(G234,[1]Hoja1!$A:$O,6,0)</f>
        <v>BIOLOGIA</v>
      </c>
      <c r="I234" s="4"/>
      <c r="J234" s="4"/>
      <c r="K234" s="80" t="str">
        <f t="shared" si="46"/>
        <v>MI</v>
      </c>
      <c r="L234" s="4"/>
      <c r="M234" s="86" t="str">
        <f>VLOOKUP(G234,[1]Hoja1!$A:$O,15,0)</f>
        <v>PERALTA LOURDES MARIA EUGE</v>
      </c>
      <c r="N234" s="2" t="str">
        <f t="shared" si="39"/>
        <v>2°3°2BIOMI</v>
      </c>
      <c r="O234" s="2"/>
      <c r="P234" s="2" t="str">
        <f>VLOOKUP(G234,[1]Hoja1!$A:$P,16,0)</f>
        <v xml:space="preserve"> </v>
      </c>
      <c r="Q234" s="2"/>
      <c r="S234">
        <f>VLOOKUP(G234,[1]Hoja1!$A:$O,5,0)</f>
        <v>1644159</v>
      </c>
      <c r="U234" s="45" t="s">
        <v>2751</v>
      </c>
      <c r="V234" s="46">
        <f t="shared" si="40"/>
        <v>1644159</v>
      </c>
      <c r="W234" s="47" t="s">
        <v>1519</v>
      </c>
      <c r="X234" s="46" t="str">
        <f t="shared" si="41"/>
        <v>1</v>
      </c>
      <c r="Y234" s="47" t="s">
        <v>1518</v>
      </c>
      <c r="Z234" s="46" t="str">
        <f t="shared" si="42"/>
        <v>M</v>
      </c>
      <c r="AA234" s="47" t="s">
        <v>2752</v>
      </c>
      <c r="AB234" s="46" t="str">
        <f t="shared" si="43"/>
        <v>MIERCOLES</v>
      </c>
      <c r="AC234" s="47" t="s">
        <v>2753</v>
      </c>
      <c r="AD234">
        <f t="shared" si="44"/>
        <v>0</v>
      </c>
      <c r="AE234" s="47" t="s">
        <v>2754</v>
      </c>
      <c r="AH234" t="str">
        <f t="shared" si="45"/>
        <v>INSERT INTO horario_curso_materia (horario_curso_materia.FK_CUR_mat,horario_curso_materia.FK_HOR,horario_curso_materia.DIA,horario_curso_materia.tipo_turno) VALUES (  (SELECT curso_materia.ID_CUR_MAT FROM curso_materia WHERE curso_materia.CUPOF='1644159' ) ,
    (SELECT horario.ID_HOR FROM horario WHERE horario.modulo='1 ' and horario.turno='M ' ),'MIERCOLES ' , '0 ' );</v>
      </c>
    </row>
    <row r="235" spans="1:34" ht="15" hidden="1" customHeight="1" x14ac:dyDescent="0.3">
      <c r="A235" s="1" t="str">
        <f t="shared" si="36"/>
        <v>2°3°</v>
      </c>
      <c r="B235" s="54" t="str">
        <f t="shared" si="37"/>
        <v>2°3°1MITARDE231</v>
      </c>
      <c r="C235" s="62">
        <f>VLOOKUP(G235,[1]Hoja1!$A:$O,3,0)</f>
        <v>231</v>
      </c>
      <c r="D235" s="2" t="str">
        <f t="shared" si="38"/>
        <v>1MITCARPINTERIA</v>
      </c>
      <c r="E235" s="62" t="s">
        <v>24</v>
      </c>
      <c r="F235" s="62" t="s">
        <v>10</v>
      </c>
      <c r="G235" s="62" t="s">
        <v>81</v>
      </c>
      <c r="H235" s="8" t="str">
        <f>VLOOKUP(G235,[1]Hoja1!$A:$O,6,0)</f>
        <v>PROCEDIMIENTOS TECNICOS</v>
      </c>
      <c r="I235" s="4" t="s">
        <v>23</v>
      </c>
      <c r="J235" s="4"/>
      <c r="K235" s="80" t="str">
        <f t="shared" si="46"/>
        <v>MI</v>
      </c>
      <c r="L235" s="4" t="s">
        <v>512</v>
      </c>
      <c r="M235" s="86" t="str">
        <f>VLOOKUP(G235,[1]Hoja1!$A:$O,15,0)</f>
        <v>CHAMORRO CRISTIAN</v>
      </c>
      <c r="N235" s="2" t="str">
        <f t="shared" si="39"/>
        <v>2°3°2312TPT2MI</v>
      </c>
      <c r="O235" s="2"/>
      <c r="P235" s="2" t="str">
        <f>VLOOKUP(G235,[1]Hoja1!$A:$P,16,0)</f>
        <v xml:space="preserve"> </v>
      </c>
      <c r="Q235" s="2"/>
      <c r="S235">
        <f>VLOOKUP(G235,[1]Hoja1!$A:$O,5,0)</f>
        <v>2673121</v>
      </c>
      <c r="U235" s="45" t="s">
        <v>2751</v>
      </c>
      <c r="V235" s="46">
        <f t="shared" si="40"/>
        <v>2673121</v>
      </c>
      <c r="W235" s="47" t="s">
        <v>1519</v>
      </c>
      <c r="X235" s="46" t="str">
        <f t="shared" si="41"/>
        <v>1</v>
      </c>
      <c r="Y235" s="47" t="s">
        <v>1518</v>
      </c>
      <c r="Z235" s="46" t="str">
        <f t="shared" si="42"/>
        <v>T</v>
      </c>
      <c r="AA235" s="47" t="s">
        <v>2752</v>
      </c>
      <c r="AB235" s="46" t="str">
        <f t="shared" si="43"/>
        <v>MIERCOLES</v>
      </c>
      <c r="AC235" s="47" t="s">
        <v>2753</v>
      </c>
      <c r="AD235" t="str">
        <f t="shared" si="44"/>
        <v>CONTRATURNO</v>
      </c>
      <c r="AE235" s="47" t="s">
        <v>2754</v>
      </c>
      <c r="AH235" t="str">
        <f t="shared" si="45"/>
        <v>INSERT INTO horario_curso_materia (horario_curso_materia.FK_CUR_mat,horario_curso_materia.FK_HOR,horario_curso_materia.DIA,horario_curso_materia.tipo_turno) VALUES (  (SELECT curso_materia.ID_CUR_MAT FROM curso_materia WHERE curso_materia.CUPOF='2673121' ) ,
    (SELECT horario.ID_HOR FROM horario WHERE horario.modulo='1 ' and horario.turno='T ' ),'MIERCOLES ' , 'CONTRATURNO ' );</v>
      </c>
    </row>
    <row r="236" spans="1:34" ht="15" hidden="1" customHeight="1" x14ac:dyDescent="0.3">
      <c r="A236" s="1" t="str">
        <f t="shared" si="36"/>
        <v>2°3°</v>
      </c>
      <c r="B236" s="54" t="str">
        <f t="shared" si="37"/>
        <v>2°3°1MITARDE232</v>
      </c>
      <c r="C236" s="62">
        <f>VLOOKUP(G236,[1]Hoja1!$A:$O,3,0)</f>
        <v>232</v>
      </c>
      <c r="D236" s="2" t="str">
        <f t="shared" si="38"/>
        <v>1MITHERRERIA</v>
      </c>
      <c r="E236" s="62" t="s">
        <v>24</v>
      </c>
      <c r="F236" s="62" t="s">
        <v>10</v>
      </c>
      <c r="G236" s="62" t="s">
        <v>82</v>
      </c>
      <c r="H236" s="8" t="str">
        <f>VLOOKUP(G236,[1]Hoja1!$A:$O,6,0)</f>
        <v>PROCEDIMIENTOS TECNICOS</v>
      </c>
      <c r="I236" s="4" t="s">
        <v>21</v>
      </c>
      <c r="J236" s="4"/>
      <c r="K236" s="80" t="str">
        <f t="shared" si="46"/>
        <v>MI</v>
      </c>
      <c r="L236" s="4" t="s">
        <v>512</v>
      </c>
      <c r="M236" s="86" t="str">
        <f>VLOOKUP(G236,[1]Hoja1!$A:$O,15,0)</f>
        <v>BECERRO GUSTAVO ALEJANDRO</v>
      </c>
      <c r="N236" s="2" t="str">
        <f t="shared" si="39"/>
        <v>2°3°2322TPT2MI</v>
      </c>
      <c r="O236" s="2"/>
      <c r="P236" s="2" t="str">
        <f>VLOOKUP(G236,[1]Hoja1!$A:$P,16,0)</f>
        <v xml:space="preserve"> </v>
      </c>
      <c r="Q236" s="2"/>
      <c r="S236">
        <f>VLOOKUP(G236,[1]Hoja1!$A:$O,5,0)</f>
        <v>2672126</v>
      </c>
      <c r="U236" s="45" t="s">
        <v>2751</v>
      </c>
      <c r="V236" s="46">
        <f t="shared" si="40"/>
        <v>2672126</v>
      </c>
      <c r="W236" s="47" t="s">
        <v>1519</v>
      </c>
      <c r="X236" s="46" t="str">
        <f t="shared" si="41"/>
        <v>1</v>
      </c>
      <c r="Y236" s="47" t="s">
        <v>1518</v>
      </c>
      <c r="Z236" s="46" t="str">
        <f t="shared" si="42"/>
        <v>T</v>
      </c>
      <c r="AA236" s="47" t="s">
        <v>2752</v>
      </c>
      <c r="AB236" s="46" t="str">
        <f t="shared" si="43"/>
        <v>MIERCOLES</v>
      </c>
      <c r="AC236" s="47" t="s">
        <v>2753</v>
      </c>
      <c r="AD236" t="str">
        <f t="shared" si="44"/>
        <v>CONTRATURNO</v>
      </c>
      <c r="AE236" s="47" t="s">
        <v>2754</v>
      </c>
      <c r="AH236" t="str">
        <f t="shared" si="45"/>
        <v>INSERT INTO horario_curso_materia (horario_curso_materia.FK_CUR_mat,horario_curso_materia.FK_HOR,horario_curso_materia.DIA,horario_curso_materia.tipo_turno) VALUES (  (SELECT curso_materia.ID_CUR_MAT FROM curso_materia WHERE curso_materia.CUPOF='2672126' ) ,
    (SELECT horario.ID_HOR FROM horario WHERE horario.modulo='1 ' and horario.turno='T ' ),'MIERCOLES ' , 'CONTRATURNO ' );</v>
      </c>
    </row>
    <row r="237" spans="1:34" ht="15" hidden="1" customHeight="1" x14ac:dyDescent="0.3">
      <c r="A237" s="1" t="str">
        <f t="shared" si="36"/>
        <v>2°3°</v>
      </c>
      <c r="B237" s="54" t="str">
        <f t="shared" si="37"/>
        <v>2°3°1VIMAÑANA0</v>
      </c>
      <c r="C237" s="62">
        <f>VLOOKUP(G237,[1]Hoja1!$A:$O,3,0)</f>
        <v>0</v>
      </c>
      <c r="D237" s="2" t="str">
        <f t="shared" si="38"/>
        <v>1VIM</v>
      </c>
      <c r="E237" s="62" t="s">
        <v>57</v>
      </c>
      <c r="F237" s="62" t="s">
        <v>27</v>
      </c>
      <c r="G237" s="62" t="s">
        <v>326</v>
      </c>
      <c r="H237" s="8" t="str">
        <f>VLOOKUP(G237,[1]Hoja1!$A:$O,6,0)</f>
        <v>INGLÉS</v>
      </c>
      <c r="I237" s="4"/>
      <c r="J237" s="4"/>
      <c r="K237" s="80" t="str">
        <f t="shared" si="46"/>
        <v>VI</v>
      </c>
      <c r="L237" s="4"/>
      <c r="M237" s="86" t="str">
        <f>VLOOKUP(G237,[1]Hoja1!$A:$O,15,0)</f>
        <v>RAMIREZ GISELE</v>
      </c>
      <c r="N237" s="2" t="str">
        <f t="shared" si="39"/>
        <v>2°3°2INGVI</v>
      </c>
      <c r="O237" s="2"/>
      <c r="P237" s="2" t="str">
        <f>VLOOKUP(G237,[1]Hoja1!$A:$P,16,0)</f>
        <v xml:space="preserve"> </v>
      </c>
      <c r="Q237" s="2"/>
      <c r="S237">
        <f>VLOOKUP(G237,[1]Hoja1!$A:$O,5,0)</f>
        <v>807720</v>
      </c>
      <c r="U237" s="45" t="s">
        <v>2751</v>
      </c>
      <c r="V237" s="46">
        <f t="shared" si="40"/>
        <v>807720</v>
      </c>
      <c r="W237" s="47" t="s">
        <v>1519</v>
      </c>
      <c r="X237" s="46" t="str">
        <f t="shared" si="41"/>
        <v>1</v>
      </c>
      <c r="Y237" s="47" t="s">
        <v>1518</v>
      </c>
      <c r="Z237" s="46" t="str">
        <f t="shared" si="42"/>
        <v>M</v>
      </c>
      <c r="AA237" s="47" t="s">
        <v>2752</v>
      </c>
      <c r="AB237" s="46" t="str">
        <f t="shared" si="43"/>
        <v>VIERNES</v>
      </c>
      <c r="AC237" s="47" t="s">
        <v>2753</v>
      </c>
      <c r="AD237">
        <f t="shared" si="44"/>
        <v>0</v>
      </c>
      <c r="AE237" s="47" t="s">
        <v>2754</v>
      </c>
      <c r="AH237" t="str">
        <f t="shared" si="45"/>
        <v>INSERT INTO horario_curso_materia (horario_curso_materia.FK_CUR_mat,horario_curso_materia.FK_HOR,horario_curso_materia.DIA,horario_curso_materia.tipo_turno) VALUES (  (SELECT curso_materia.ID_CUR_MAT FROM curso_materia WHERE curso_materia.CUPOF='807720' ) ,
    (SELECT horario.ID_HOR FROM horario WHERE horario.modulo='1 ' and horario.turno='M ' ),'VIERNES ' , '0 ' );</v>
      </c>
    </row>
    <row r="238" spans="1:34" ht="15" hidden="1" customHeight="1" x14ac:dyDescent="0.3">
      <c r="A238" s="1" t="str">
        <f t="shared" si="36"/>
        <v>2°3°</v>
      </c>
      <c r="B238" s="54" t="str">
        <f t="shared" si="37"/>
        <v>2°3°1MATARDE232</v>
      </c>
      <c r="C238" s="62">
        <f>VLOOKUP(G238,[1]Hoja1!$A:$O,3,0)</f>
        <v>232</v>
      </c>
      <c r="D238" s="2" t="str">
        <f t="shared" si="38"/>
        <v>1MATaula 4</v>
      </c>
      <c r="E238" s="62" t="s">
        <v>17</v>
      </c>
      <c r="F238" s="62" t="s">
        <v>10</v>
      </c>
      <c r="G238" s="62" t="s">
        <v>85</v>
      </c>
      <c r="H238" s="8" t="str">
        <f>VLOOKUP(G238,[1]Hoja1!$A:$O,6,0)</f>
        <v>LENGUAJES TECNOLOGICOS</v>
      </c>
      <c r="I238" s="4" t="s">
        <v>1437</v>
      </c>
      <c r="J238" s="4"/>
      <c r="K238" s="80" t="str">
        <f t="shared" si="46"/>
        <v>MA</v>
      </c>
      <c r="L238" s="4" t="s">
        <v>512</v>
      </c>
      <c r="M238" s="86" t="str">
        <f>VLOOKUP(G238,[1]Hoja1!$A:$O,15,0)</f>
        <v xml:space="preserve">CASTILLO MARISOL ANABEL </v>
      </c>
      <c r="N238" s="2" t="str">
        <f t="shared" si="39"/>
        <v>2°3°2322TLT2MA</v>
      </c>
      <c r="O238" s="2"/>
      <c r="P238" s="2" t="str">
        <f>VLOOKUP(G238,[1]Hoja1!$A:$P,16,0)</f>
        <v xml:space="preserve"> </v>
      </c>
      <c r="Q238" s="2"/>
      <c r="S238">
        <f>VLOOKUP(G238,[1]Hoja1!$A:$O,5,0)</f>
        <v>2673123</v>
      </c>
      <c r="U238" s="45" t="s">
        <v>2751</v>
      </c>
      <c r="V238" s="46">
        <f t="shared" si="40"/>
        <v>2673123</v>
      </c>
      <c r="W238" s="47" t="s">
        <v>1519</v>
      </c>
      <c r="X238" s="46" t="str">
        <f t="shared" si="41"/>
        <v>1</v>
      </c>
      <c r="Y238" s="47" t="s">
        <v>1518</v>
      </c>
      <c r="Z238" s="46" t="str">
        <f t="shared" si="42"/>
        <v>T</v>
      </c>
      <c r="AA238" s="47" t="s">
        <v>2752</v>
      </c>
      <c r="AB238" s="46" t="str">
        <f t="shared" si="43"/>
        <v>MARTES</v>
      </c>
      <c r="AC238" s="47" t="s">
        <v>2753</v>
      </c>
      <c r="AD238" t="str">
        <f t="shared" si="44"/>
        <v>CONTRATURNO</v>
      </c>
      <c r="AE238" s="47" t="s">
        <v>2754</v>
      </c>
      <c r="AH238" t="str">
        <f t="shared" si="45"/>
        <v>INSERT INTO horario_curso_materia (horario_curso_materia.FK_CUR_mat,horario_curso_materia.FK_HOR,horario_curso_materia.DIA,horario_curso_materia.tipo_turno) VALUES (  (SELECT curso_materia.ID_CUR_MAT FROM curso_materia WHERE curso_materia.CUPOF='2673123' ) ,
    (SELECT horario.ID_HOR FROM horario WHERE horario.modulo='1 ' and horario.turno='T ' ),'MARTES ' , 'CONTRATURNO ' );</v>
      </c>
    </row>
    <row r="239" spans="1:34" ht="15" hidden="1" customHeight="1" x14ac:dyDescent="0.3">
      <c r="A239" s="1" t="str">
        <f t="shared" si="36"/>
        <v>2°3°</v>
      </c>
      <c r="B239" s="54" t="str">
        <f t="shared" si="37"/>
        <v>2°3°2JUMAÑANA0</v>
      </c>
      <c r="C239" s="62">
        <f>VLOOKUP(G239,[1]Hoja1!$A:$O,3,0)</f>
        <v>0</v>
      </c>
      <c r="D239" s="2" t="str">
        <f t="shared" si="38"/>
        <v>2JUM</v>
      </c>
      <c r="E239" s="62" t="s">
        <v>45</v>
      </c>
      <c r="F239" s="62" t="s">
        <v>27</v>
      </c>
      <c r="G239" s="62" t="s">
        <v>318</v>
      </c>
      <c r="H239" s="8" t="str">
        <f>VLOOKUP(G239,[1]Hoja1!$A:$O,6,0)</f>
        <v>MATEMATICA</v>
      </c>
      <c r="I239" s="4"/>
      <c r="J239" s="4"/>
      <c r="K239" s="80" t="str">
        <f t="shared" si="46"/>
        <v>JU</v>
      </c>
      <c r="L239" s="4"/>
      <c r="M239" s="86" t="str">
        <f>VLOOKUP(G239,[1]Hoja1!$A:$O,15,0)</f>
        <v>ALARCON, MARIA</v>
      </c>
      <c r="N239" s="2" t="str">
        <f t="shared" si="39"/>
        <v>2°3°2MATJU</v>
      </c>
      <c r="O239" s="2"/>
      <c r="P239" s="2" t="str">
        <f>VLOOKUP(G239,[1]Hoja1!$A:$P,16,0)</f>
        <v xml:space="preserve"> </v>
      </c>
      <c r="Q239" s="2"/>
      <c r="S239">
        <f>VLOOKUP(G239,[1]Hoja1!$A:$O,5,0)</f>
        <v>807717</v>
      </c>
      <c r="U239" s="45" t="s">
        <v>2751</v>
      </c>
      <c r="V239" s="46">
        <f t="shared" si="40"/>
        <v>807717</v>
      </c>
      <c r="W239" s="47" t="s">
        <v>1519</v>
      </c>
      <c r="X239" s="46" t="str">
        <f t="shared" si="41"/>
        <v>2</v>
      </c>
      <c r="Y239" s="47" t="s">
        <v>1518</v>
      </c>
      <c r="Z239" s="46" t="str">
        <f t="shared" si="42"/>
        <v>M</v>
      </c>
      <c r="AA239" s="47" t="s">
        <v>2752</v>
      </c>
      <c r="AB239" s="46" t="str">
        <f t="shared" si="43"/>
        <v>JUEVES</v>
      </c>
      <c r="AC239" s="47" t="s">
        <v>2753</v>
      </c>
      <c r="AD239">
        <f t="shared" si="44"/>
        <v>0</v>
      </c>
      <c r="AE239" s="47" t="s">
        <v>2754</v>
      </c>
      <c r="AH239" t="str">
        <f t="shared" si="45"/>
        <v>INSERT INTO horario_curso_materia (horario_curso_materia.FK_CUR_mat,horario_curso_materia.FK_HOR,horario_curso_materia.DIA,horario_curso_materia.tipo_turno) VALUES (  (SELECT curso_materia.ID_CUR_MAT FROM curso_materia WHERE curso_materia.CUPOF='807717' ) ,
    (SELECT horario.ID_HOR FROM horario WHERE horario.modulo='2 ' and horario.turno='M ' ),'JUEVES ' , '0 ' );</v>
      </c>
    </row>
    <row r="240" spans="1:34" ht="15" hidden="1" customHeight="1" x14ac:dyDescent="0.3">
      <c r="A240" s="1" t="str">
        <f t="shared" si="36"/>
        <v>2°3°</v>
      </c>
      <c r="B240" s="54" t="str">
        <f t="shared" si="37"/>
        <v>2°3°2LUMAÑANA0</v>
      </c>
      <c r="C240" s="62">
        <f>VLOOKUP(G240,[1]Hoja1!$A:$O,3,0)</f>
        <v>0</v>
      </c>
      <c r="D240" s="2" t="str">
        <f t="shared" si="38"/>
        <v>2LUM</v>
      </c>
      <c r="E240" s="62" t="s">
        <v>12</v>
      </c>
      <c r="F240" s="62" t="s">
        <v>27</v>
      </c>
      <c r="G240" s="62" t="s">
        <v>318</v>
      </c>
      <c r="H240" s="8" t="str">
        <f>VLOOKUP(G240,[1]Hoja1!$A:$O,6,0)</f>
        <v>MATEMATICA</v>
      </c>
      <c r="I240" s="4"/>
      <c r="J240" s="4"/>
      <c r="K240" s="80" t="str">
        <f t="shared" si="46"/>
        <v>LU</v>
      </c>
      <c r="L240" s="4"/>
      <c r="M240" s="86" t="str">
        <f>VLOOKUP(G240,[1]Hoja1!$A:$O,15,0)</f>
        <v>ALARCON, MARIA</v>
      </c>
      <c r="N240" s="2" t="str">
        <f t="shared" si="39"/>
        <v>2°3°2MATLU</v>
      </c>
      <c r="O240" s="2"/>
      <c r="P240" s="2" t="str">
        <f>VLOOKUP(G240,[1]Hoja1!$A:$P,16,0)</f>
        <v xml:space="preserve"> </v>
      </c>
      <c r="Q240" s="2"/>
      <c r="S240">
        <f>VLOOKUP(G240,[1]Hoja1!$A:$O,5,0)</f>
        <v>807717</v>
      </c>
      <c r="U240" s="45" t="s">
        <v>2751</v>
      </c>
      <c r="V240" s="46">
        <f t="shared" si="40"/>
        <v>807717</v>
      </c>
      <c r="W240" s="47" t="s">
        <v>1519</v>
      </c>
      <c r="X240" s="46" t="str">
        <f t="shared" si="41"/>
        <v>2</v>
      </c>
      <c r="Y240" s="47" t="s">
        <v>1518</v>
      </c>
      <c r="Z240" s="46" t="str">
        <f t="shared" si="42"/>
        <v>M</v>
      </c>
      <c r="AA240" s="47" t="s">
        <v>2752</v>
      </c>
      <c r="AB240" s="46" t="str">
        <f t="shared" si="43"/>
        <v>LUNES</v>
      </c>
      <c r="AC240" s="47" t="s">
        <v>2753</v>
      </c>
      <c r="AD240">
        <f t="shared" si="44"/>
        <v>0</v>
      </c>
      <c r="AE240" s="47" t="s">
        <v>2754</v>
      </c>
      <c r="AH240" t="str">
        <f t="shared" si="45"/>
        <v>INSERT INTO horario_curso_materia (horario_curso_materia.FK_CUR_mat,horario_curso_materia.FK_HOR,horario_curso_materia.DIA,horario_curso_materia.tipo_turno) VALUES (  (SELECT curso_materia.ID_CUR_MAT FROM curso_materia WHERE curso_materia.CUPOF='807717' ) ,
    (SELECT horario.ID_HOR FROM horario WHERE horario.modulo='2 ' and horario.turno='M ' ),'LUNES ' , '0 ' );</v>
      </c>
    </row>
    <row r="241" spans="1:34" ht="15" hidden="1" customHeight="1" x14ac:dyDescent="0.3">
      <c r="A241" s="1" t="str">
        <f t="shared" si="36"/>
        <v>2°3°</v>
      </c>
      <c r="B241" s="54" t="str">
        <f t="shared" si="37"/>
        <v>2°3°2MAMAÑANA0</v>
      </c>
      <c r="C241" s="62">
        <f>VLOOKUP(G241,[1]Hoja1!$A:$O,3,0)</f>
        <v>0</v>
      </c>
      <c r="D241" s="2" t="str">
        <f t="shared" si="38"/>
        <v>2MAM</v>
      </c>
      <c r="E241" s="62" t="s">
        <v>19</v>
      </c>
      <c r="F241" s="62" t="s">
        <v>27</v>
      </c>
      <c r="G241" s="62" t="s">
        <v>321</v>
      </c>
      <c r="H241" s="8" t="str">
        <f>VLOOKUP(G241,[1]Hoja1!$A:$O,6,0)</f>
        <v>FISICO-QUIMICA</v>
      </c>
      <c r="I241" s="4"/>
      <c r="J241" s="4"/>
      <c r="K241" s="80" t="str">
        <f t="shared" si="46"/>
        <v>MA</v>
      </c>
      <c r="L241" s="4"/>
      <c r="M241" s="86" t="str">
        <f>VLOOKUP(G241,[1]Hoja1!$A:$O,15,0)</f>
        <v xml:space="preserve">PEREYRA MARISA ALEJANDR </v>
      </c>
      <c r="N241" s="2" t="str">
        <f t="shared" si="39"/>
        <v>2°3°2FI/QUIMA</v>
      </c>
      <c r="O241" s="2"/>
      <c r="P241" s="2" t="str">
        <f>VLOOKUP(G241,[1]Hoja1!$A:$P,16,0)</f>
        <v xml:space="preserve"> </v>
      </c>
      <c r="Q241" s="2"/>
      <c r="S241">
        <f>VLOOKUP(G241,[1]Hoja1!$A:$O,5,0)</f>
        <v>1644158</v>
      </c>
      <c r="U241" s="45" t="s">
        <v>2751</v>
      </c>
      <c r="V241" s="46">
        <f t="shared" si="40"/>
        <v>1644158</v>
      </c>
      <c r="W241" s="47" t="s">
        <v>1519</v>
      </c>
      <c r="X241" s="46" t="str">
        <f t="shared" si="41"/>
        <v>2</v>
      </c>
      <c r="Y241" s="47" t="s">
        <v>1518</v>
      </c>
      <c r="Z241" s="46" t="str">
        <f t="shared" si="42"/>
        <v>M</v>
      </c>
      <c r="AA241" s="47" t="s">
        <v>2752</v>
      </c>
      <c r="AB241" s="46" t="str">
        <f t="shared" si="43"/>
        <v>MARTES</v>
      </c>
      <c r="AC241" s="47" t="s">
        <v>2753</v>
      </c>
      <c r="AD241">
        <f t="shared" si="44"/>
        <v>0</v>
      </c>
      <c r="AE241" s="47" t="s">
        <v>2754</v>
      </c>
      <c r="AH241" t="str">
        <f t="shared" si="45"/>
        <v>INSERT INTO horario_curso_materia (horario_curso_materia.FK_CUR_mat,horario_curso_materia.FK_HOR,horario_curso_materia.DIA,horario_curso_materia.tipo_turno) VALUES (  (SELECT curso_materia.ID_CUR_MAT FROM curso_materia WHERE curso_materia.CUPOF='1644158' ) ,
    (SELECT horario.ID_HOR FROM horario WHERE horario.modulo='2 ' and horario.turno='M ' ),'MARTES ' , '0 ' );</v>
      </c>
    </row>
    <row r="242" spans="1:34" ht="15" hidden="1" customHeight="1" x14ac:dyDescent="0.3">
      <c r="A242" s="1" t="str">
        <f t="shared" si="36"/>
        <v>2°3°</v>
      </c>
      <c r="B242" s="54" t="str">
        <f t="shared" si="37"/>
        <v>2°3°2MATARDE231</v>
      </c>
      <c r="C242" s="62">
        <f>VLOOKUP(G242,[1]Hoja1!$A:$O,3,0)</f>
        <v>231</v>
      </c>
      <c r="D242" s="2" t="str">
        <f t="shared" si="38"/>
        <v>2MAT47</v>
      </c>
      <c r="E242" s="62" t="s">
        <v>19</v>
      </c>
      <c r="F242" s="62" t="s">
        <v>10</v>
      </c>
      <c r="G242" s="62" t="s">
        <v>80</v>
      </c>
      <c r="H242" s="8" t="str">
        <f>VLOOKUP(G242,[1]Hoja1!$A:$O,6,0)</f>
        <v>SISTEMAS TECNOLOGICOS</v>
      </c>
      <c r="I242" s="4">
        <v>47</v>
      </c>
      <c r="J242" s="4"/>
      <c r="K242" s="80" t="str">
        <f t="shared" si="46"/>
        <v>MA</v>
      </c>
      <c r="L242" s="4" t="s">
        <v>512</v>
      </c>
      <c r="M242" s="86" t="str">
        <f>VLOOKUP(G242,[1]Hoja1!$A:$O,15,0)</f>
        <v xml:space="preserve">GOMEZ ANALIA </v>
      </c>
      <c r="N242" s="2" t="str">
        <f t="shared" si="39"/>
        <v>2°3°2312TST2MA</v>
      </c>
      <c r="O242" s="2"/>
      <c r="P242" s="2" t="str">
        <f>VLOOKUP(G242,[1]Hoja1!$A:$P,16,0)</f>
        <v xml:space="preserve"> </v>
      </c>
      <c r="Q242" s="2"/>
      <c r="S242">
        <f>VLOOKUP(G242,[1]Hoja1!$A:$O,5,0)</f>
        <v>2673119</v>
      </c>
      <c r="U242" s="45" t="s">
        <v>2751</v>
      </c>
      <c r="V242" s="46">
        <f t="shared" si="40"/>
        <v>2673119</v>
      </c>
      <c r="W242" s="47" t="s">
        <v>1519</v>
      </c>
      <c r="X242" s="46" t="str">
        <f t="shared" si="41"/>
        <v>2</v>
      </c>
      <c r="Y242" s="47" t="s">
        <v>1518</v>
      </c>
      <c r="Z242" s="46" t="str">
        <f t="shared" si="42"/>
        <v>T</v>
      </c>
      <c r="AA242" s="47" t="s">
        <v>2752</v>
      </c>
      <c r="AB242" s="46" t="str">
        <f t="shared" si="43"/>
        <v>MARTES</v>
      </c>
      <c r="AC242" s="47" t="s">
        <v>2753</v>
      </c>
      <c r="AD242" t="str">
        <f t="shared" si="44"/>
        <v>CONTRATURNO</v>
      </c>
      <c r="AE242" s="47" t="s">
        <v>2754</v>
      </c>
      <c r="AH242" t="str">
        <f t="shared" si="45"/>
        <v>INSERT INTO horario_curso_materia (horario_curso_materia.FK_CUR_mat,horario_curso_materia.FK_HOR,horario_curso_materia.DIA,horario_curso_materia.tipo_turno) VALUES (  (SELECT curso_materia.ID_CUR_MAT FROM curso_materia WHERE curso_materia.CUPOF='2673119' ) ,
    (SELECT horario.ID_HOR FROM horario WHERE horario.modulo='2 ' and horario.turno='T ' ),'MARTES ' , 'CONTRATURNO ' );</v>
      </c>
    </row>
    <row r="243" spans="1:34" ht="15" hidden="1" customHeight="1" x14ac:dyDescent="0.3">
      <c r="A243" s="1" t="str">
        <f t="shared" si="36"/>
        <v>2°3°</v>
      </c>
      <c r="B243" s="54" t="str">
        <f t="shared" si="37"/>
        <v>2°3°2MIMAÑANA0</v>
      </c>
      <c r="C243" s="62">
        <f>VLOOKUP(G243,[1]Hoja1!$A:$O,3,0)</f>
        <v>0</v>
      </c>
      <c r="D243" s="2" t="str">
        <f t="shared" si="38"/>
        <v>2MIM</v>
      </c>
      <c r="E243" s="62" t="s">
        <v>26</v>
      </c>
      <c r="F243" s="62" t="s">
        <v>27</v>
      </c>
      <c r="G243" s="62" t="s">
        <v>323</v>
      </c>
      <c r="H243" s="8" t="str">
        <f>VLOOKUP(G243,[1]Hoja1!$A:$O,6,0)</f>
        <v>BIOLOGIA</v>
      </c>
      <c r="I243" s="4"/>
      <c r="J243" s="4"/>
      <c r="K243" s="80" t="str">
        <f t="shared" si="46"/>
        <v>MI</v>
      </c>
      <c r="L243" s="4"/>
      <c r="M243" s="86" t="str">
        <f>VLOOKUP(G243,[1]Hoja1!$A:$O,15,0)</f>
        <v>PERALTA LOURDES MARIA EUGE</v>
      </c>
      <c r="N243" s="2" t="str">
        <f t="shared" si="39"/>
        <v>2°3°2BIOMI</v>
      </c>
      <c r="O243" s="2"/>
      <c r="P243" s="2" t="str">
        <f>VLOOKUP(G243,[1]Hoja1!$A:$P,16,0)</f>
        <v xml:space="preserve"> </v>
      </c>
      <c r="Q243" s="2"/>
      <c r="S243">
        <f>VLOOKUP(G243,[1]Hoja1!$A:$O,5,0)</f>
        <v>1644159</v>
      </c>
      <c r="U243" s="45" t="s">
        <v>2751</v>
      </c>
      <c r="V243" s="46">
        <f t="shared" si="40"/>
        <v>1644159</v>
      </c>
      <c r="W243" s="47" t="s">
        <v>1519</v>
      </c>
      <c r="X243" s="46" t="str">
        <f t="shared" si="41"/>
        <v>2</v>
      </c>
      <c r="Y243" s="47" t="s">
        <v>1518</v>
      </c>
      <c r="Z243" s="46" t="str">
        <f t="shared" si="42"/>
        <v>M</v>
      </c>
      <c r="AA243" s="47" t="s">
        <v>2752</v>
      </c>
      <c r="AB243" s="46" t="str">
        <f t="shared" si="43"/>
        <v>MIERCOLES</v>
      </c>
      <c r="AC243" s="47" t="s">
        <v>2753</v>
      </c>
      <c r="AD243">
        <f t="shared" si="44"/>
        <v>0</v>
      </c>
      <c r="AE243" s="47" t="s">
        <v>2754</v>
      </c>
      <c r="AH243" t="str">
        <f t="shared" si="45"/>
        <v>INSERT INTO horario_curso_materia (horario_curso_materia.FK_CUR_mat,horario_curso_materia.FK_HOR,horario_curso_materia.DIA,horario_curso_materia.tipo_turno) VALUES (  (SELECT curso_materia.ID_CUR_MAT FROM curso_materia WHERE curso_materia.CUPOF='1644159' ) ,
    (SELECT horario.ID_HOR FROM horario WHERE horario.modulo='2 ' and horario.turno='M ' ),'MIERCOLES ' , '0 ' );</v>
      </c>
    </row>
    <row r="244" spans="1:34" ht="15" hidden="1" customHeight="1" x14ac:dyDescent="0.3">
      <c r="A244" s="1" t="str">
        <f t="shared" si="36"/>
        <v>2°3°</v>
      </c>
      <c r="B244" s="54" t="str">
        <f t="shared" si="37"/>
        <v>2°3°2MITARDE231</v>
      </c>
      <c r="C244" s="62">
        <f>VLOOKUP(G244,[1]Hoja1!$A:$O,3,0)</f>
        <v>231</v>
      </c>
      <c r="D244" s="2" t="str">
        <f t="shared" si="38"/>
        <v>2MITCARPINTERIA</v>
      </c>
      <c r="E244" s="62" t="s">
        <v>26</v>
      </c>
      <c r="F244" s="62" t="s">
        <v>10</v>
      </c>
      <c r="G244" s="62" t="s">
        <v>81</v>
      </c>
      <c r="H244" s="8" t="str">
        <f>VLOOKUP(G244,[1]Hoja1!$A:$O,6,0)</f>
        <v>PROCEDIMIENTOS TECNICOS</v>
      </c>
      <c r="I244" s="4" t="s">
        <v>23</v>
      </c>
      <c r="J244" s="4"/>
      <c r="K244" s="80" t="str">
        <f t="shared" si="46"/>
        <v>MI</v>
      </c>
      <c r="L244" s="4" t="s">
        <v>512</v>
      </c>
      <c r="M244" s="86" t="str">
        <f>VLOOKUP(G244,[1]Hoja1!$A:$O,15,0)</f>
        <v>CHAMORRO CRISTIAN</v>
      </c>
      <c r="N244" s="2" t="str">
        <f t="shared" si="39"/>
        <v>2°3°2312TPT2MI</v>
      </c>
      <c r="O244" s="2"/>
      <c r="P244" s="2" t="str">
        <f>VLOOKUP(G244,[1]Hoja1!$A:$P,16,0)</f>
        <v xml:space="preserve"> </v>
      </c>
      <c r="Q244" s="2"/>
      <c r="S244">
        <f>VLOOKUP(G244,[1]Hoja1!$A:$O,5,0)</f>
        <v>2673121</v>
      </c>
      <c r="U244" s="45" t="s">
        <v>2751</v>
      </c>
      <c r="V244" s="46">
        <f t="shared" si="40"/>
        <v>2673121</v>
      </c>
      <c r="W244" s="47" t="s">
        <v>1519</v>
      </c>
      <c r="X244" s="46" t="str">
        <f t="shared" si="41"/>
        <v>2</v>
      </c>
      <c r="Y244" s="47" t="s">
        <v>1518</v>
      </c>
      <c r="Z244" s="46" t="str">
        <f t="shared" si="42"/>
        <v>T</v>
      </c>
      <c r="AA244" s="47" t="s">
        <v>2752</v>
      </c>
      <c r="AB244" s="46" t="str">
        <f t="shared" si="43"/>
        <v>MIERCOLES</v>
      </c>
      <c r="AC244" s="47" t="s">
        <v>2753</v>
      </c>
      <c r="AD244" t="str">
        <f t="shared" si="44"/>
        <v>CONTRATURNO</v>
      </c>
      <c r="AE244" s="47" t="s">
        <v>2754</v>
      </c>
      <c r="AH244" t="str">
        <f t="shared" si="45"/>
        <v>INSERT INTO horario_curso_materia (horario_curso_materia.FK_CUR_mat,horario_curso_materia.FK_HOR,horario_curso_materia.DIA,horario_curso_materia.tipo_turno) VALUES (  (SELECT curso_materia.ID_CUR_MAT FROM curso_materia WHERE curso_materia.CUPOF='2673121' ) ,
    (SELECT horario.ID_HOR FROM horario WHERE horario.modulo='2 ' and horario.turno='T ' ),'MIERCOLES ' , 'CONTRATURNO ' );</v>
      </c>
    </row>
    <row r="245" spans="1:34" ht="15" hidden="1" customHeight="1" x14ac:dyDescent="0.3">
      <c r="A245" s="1" t="str">
        <f t="shared" si="36"/>
        <v>2°3°</v>
      </c>
      <c r="B245" s="54" t="str">
        <f t="shared" si="37"/>
        <v>2°3°2MITARDE232</v>
      </c>
      <c r="C245" s="62">
        <f>VLOOKUP(G245,[1]Hoja1!$A:$O,3,0)</f>
        <v>232</v>
      </c>
      <c r="D245" s="2" t="str">
        <f t="shared" si="38"/>
        <v>2MITHERRERIA</v>
      </c>
      <c r="E245" s="62" t="s">
        <v>26</v>
      </c>
      <c r="F245" s="62" t="s">
        <v>10</v>
      </c>
      <c r="G245" s="62" t="s">
        <v>82</v>
      </c>
      <c r="H245" s="8" t="str">
        <f>VLOOKUP(G245,[1]Hoja1!$A:$O,6,0)</f>
        <v>PROCEDIMIENTOS TECNICOS</v>
      </c>
      <c r="I245" s="4" t="s">
        <v>21</v>
      </c>
      <c r="J245" s="4"/>
      <c r="K245" s="80" t="str">
        <f t="shared" si="46"/>
        <v>MI</v>
      </c>
      <c r="L245" s="4" t="s">
        <v>512</v>
      </c>
      <c r="M245" s="86" t="str">
        <f>VLOOKUP(G245,[1]Hoja1!$A:$O,15,0)</f>
        <v>BECERRO GUSTAVO ALEJANDRO</v>
      </c>
      <c r="N245" s="2" t="str">
        <f t="shared" si="39"/>
        <v>2°3°2322TPT2MI</v>
      </c>
      <c r="O245" s="2"/>
      <c r="P245" s="2" t="str">
        <f>VLOOKUP(G245,[1]Hoja1!$A:$P,16,0)</f>
        <v xml:space="preserve"> </v>
      </c>
      <c r="Q245" s="2"/>
      <c r="S245">
        <f>VLOOKUP(G245,[1]Hoja1!$A:$O,5,0)</f>
        <v>2672126</v>
      </c>
      <c r="U245" s="45" t="s">
        <v>2751</v>
      </c>
      <c r="V245" s="46">
        <f t="shared" si="40"/>
        <v>2672126</v>
      </c>
      <c r="W245" s="47" t="s">
        <v>1519</v>
      </c>
      <c r="X245" s="46" t="str">
        <f t="shared" si="41"/>
        <v>2</v>
      </c>
      <c r="Y245" s="47" t="s">
        <v>1518</v>
      </c>
      <c r="Z245" s="46" t="str">
        <f t="shared" si="42"/>
        <v>T</v>
      </c>
      <c r="AA245" s="47" t="s">
        <v>2752</v>
      </c>
      <c r="AB245" s="46" t="str">
        <f t="shared" si="43"/>
        <v>MIERCOLES</v>
      </c>
      <c r="AC245" s="47" t="s">
        <v>2753</v>
      </c>
      <c r="AD245" t="str">
        <f t="shared" si="44"/>
        <v>CONTRATURNO</v>
      </c>
      <c r="AE245" s="47" t="s">
        <v>2754</v>
      </c>
      <c r="AH245" t="str">
        <f t="shared" si="45"/>
        <v>INSERT INTO horario_curso_materia (horario_curso_materia.FK_CUR_mat,horario_curso_materia.FK_HOR,horario_curso_materia.DIA,horario_curso_materia.tipo_turno) VALUES (  (SELECT curso_materia.ID_CUR_MAT FROM curso_materia WHERE curso_materia.CUPOF='2672126' ) ,
    (SELECT horario.ID_HOR FROM horario WHERE horario.modulo='2 ' and horario.turno='T ' ),'MIERCOLES ' , 'CONTRATURNO ' );</v>
      </c>
    </row>
    <row r="246" spans="1:34" ht="15" hidden="1" customHeight="1" x14ac:dyDescent="0.3">
      <c r="A246" s="1" t="str">
        <f t="shared" si="36"/>
        <v>2°3°</v>
      </c>
      <c r="B246" s="54" t="str">
        <f t="shared" si="37"/>
        <v>2°3°2VIMAÑANA0</v>
      </c>
      <c r="C246" s="62">
        <f>VLOOKUP(G246,[1]Hoja1!$A:$O,3,0)</f>
        <v>0</v>
      </c>
      <c r="D246" s="2" t="str">
        <f t="shared" si="38"/>
        <v>2VIM</v>
      </c>
      <c r="E246" s="62" t="s">
        <v>59</v>
      </c>
      <c r="F246" s="62" t="s">
        <v>27</v>
      </c>
      <c r="G246" s="62" t="s">
        <v>326</v>
      </c>
      <c r="H246" s="8" t="str">
        <f>VLOOKUP(G246,[1]Hoja1!$A:$O,6,0)</f>
        <v>INGLÉS</v>
      </c>
      <c r="I246" s="4"/>
      <c r="J246" s="4"/>
      <c r="K246" s="80" t="str">
        <f t="shared" si="46"/>
        <v>VI</v>
      </c>
      <c r="L246" s="4"/>
      <c r="M246" s="86" t="str">
        <f>VLOOKUP(G246,[1]Hoja1!$A:$O,15,0)</f>
        <v>RAMIREZ GISELE</v>
      </c>
      <c r="N246" s="2" t="str">
        <f t="shared" si="39"/>
        <v>2°3°2INGVI</v>
      </c>
      <c r="O246" s="2"/>
      <c r="P246" s="2" t="str">
        <f>VLOOKUP(G246,[1]Hoja1!$A:$P,16,0)</f>
        <v xml:space="preserve"> </v>
      </c>
      <c r="Q246" s="2"/>
      <c r="S246">
        <f>VLOOKUP(G246,[1]Hoja1!$A:$O,5,0)</f>
        <v>807720</v>
      </c>
      <c r="U246" s="45" t="s">
        <v>2751</v>
      </c>
      <c r="V246" s="46">
        <f t="shared" si="40"/>
        <v>807720</v>
      </c>
      <c r="W246" s="47" t="s">
        <v>1519</v>
      </c>
      <c r="X246" s="46" t="str">
        <f t="shared" si="41"/>
        <v>2</v>
      </c>
      <c r="Y246" s="47" t="s">
        <v>1518</v>
      </c>
      <c r="Z246" s="46" t="str">
        <f t="shared" si="42"/>
        <v>M</v>
      </c>
      <c r="AA246" s="47" t="s">
        <v>2752</v>
      </c>
      <c r="AB246" s="46" t="str">
        <f t="shared" si="43"/>
        <v>VIERNES</v>
      </c>
      <c r="AC246" s="47" t="s">
        <v>2753</v>
      </c>
      <c r="AD246">
        <f t="shared" si="44"/>
        <v>0</v>
      </c>
      <c r="AE246" s="47" t="s">
        <v>2754</v>
      </c>
      <c r="AH246" t="str">
        <f t="shared" si="45"/>
        <v>INSERT INTO horario_curso_materia (horario_curso_materia.FK_CUR_mat,horario_curso_materia.FK_HOR,horario_curso_materia.DIA,horario_curso_materia.tipo_turno) VALUES (  (SELECT curso_materia.ID_CUR_MAT FROM curso_materia WHERE curso_materia.CUPOF='807720' ) ,
    (SELECT horario.ID_HOR FROM horario WHERE horario.modulo='2 ' and horario.turno='M ' ),'VIERNES ' , '0 ' );</v>
      </c>
    </row>
    <row r="247" spans="1:34" ht="15" hidden="1" customHeight="1" x14ac:dyDescent="0.3">
      <c r="A247" s="1" t="str">
        <f t="shared" si="36"/>
        <v>2°3°</v>
      </c>
      <c r="B247" s="54" t="str">
        <f t="shared" si="37"/>
        <v>2°3°2MATARDE232</v>
      </c>
      <c r="C247" s="62">
        <f>VLOOKUP(G247,[1]Hoja1!$A:$O,3,0)</f>
        <v>232</v>
      </c>
      <c r="D247" s="2" t="str">
        <f t="shared" si="38"/>
        <v>2MATaula 4</v>
      </c>
      <c r="E247" s="62" t="s">
        <v>19</v>
      </c>
      <c r="F247" s="62" t="s">
        <v>10</v>
      </c>
      <c r="G247" s="62" t="s">
        <v>85</v>
      </c>
      <c r="H247" s="8" t="str">
        <f>VLOOKUP(G247,[1]Hoja1!$A:$O,6,0)</f>
        <v>LENGUAJES TECNOLOGICOS</v>
      </c>
      <c r="I247" s="4" t="s">
        <v>1437</v>
      </c>
      <c r="J247" s="4"/>
      <c r="K247" s="80" t="str">
        <f t="shared" si="46"/>
        <v>MA</v>
      </c>
      <c r="L247" s="4" t="s">
        <v>512</v>
      </c>
      <c r="M247" s="86" t="str">
        <f>VLOOKUP(G247,[1]Hoja1!$A:$O,15,0)</f>
        <v xml:space="preserve">CASTILLO MARISOL ANABEL </v>
      </c>
      <c r="N247" s="2" t="str">
        <f t="shared" si="39"/>
        <v>2°3°2322TLT2MA</v>
      </c>
      <c r="O247" s="2"/>
      <c r="P247" s="2" t="str">
        <f>VLOOKUP(G247,[1]Hoja1!$A:$P,16,0)</f>
        <v xml:space="preserve"> </v>
      </c>
      <c r="Q247" s="2"/>
      <c r="S247">
        <f>VLOOKUP(G247,[1]Hoja1!$A:$O,5,0)</f>
        <v>2673123</v>
      </c>
      <c r="U247" s="45" t="s">
        <v>2751</v>
      </c>
      <c r="V247" s="46">
        <f t="shared" si="40"/>
        <v>2673123</v>
      </c>
      <c r="W247" s="47" t="s">
        <v>1519</v>
      </c>
      <c r="X247" s="46" t="str">
        <f t="shared" si="41"/>
        <v>2</v>
      </c>
      <c r="Y247" s="47" t="s">
        <v>1518</v>
      </c>
      <c r="Z247" s="46" t="str">
        <f t="shared" si="42"/>
        <v>T</v>
      </c>
      <c r="AA247" s="47" t="s">
        <v>2752</v>
      </c>
      <c r="AB247" s="46" t="str">
        <f t="shared" si="43"/>
        <v>MARTES</v>
      </c>
      <c r="AC247" s="47" t="s">
        <v>2753</v>
      </c>
      <c r="AD247" t="str">
        <f t="shared" si="44"/>
        <v>CONTRATURNO</v>
      </c>
      <c r="AE247" s="47" t="s">
        <v>2754</v>
      </c>
      <c r="AH247" t="str">
        <f t="shared" si="45"/>
        <v>INSERT INTO horario_curso_materia (horario_curso_materia.FK_CUR_mat,horario_curso_materia.FK_HOR,horario_curso_materia.DIA,horario_curso_materia.tipo_turno) VALUES (  (SELECT curso_materia.ID_CUR_MAT FROM curso_materia WHERE curso_materia.CUPOF='2673123' ) ,
    (SELECT horario.ID_HOR FROM horario WHERE horario.modulo='2 ' and horario.turno='T ' ),'MARTES ' , 'CONTRATURNO ' );</v>
      </c>
    </row>
    <row r="248" spans="1:34" ht="15" hidden="1" customHeight="1" x14ac:dyDescent="0.3">
      <c r="A248" s="1" t="str">
        <f t="shared" si="36"/>
        <v>2°3°</v>
      </c>
      <c r="B248" s="54" t="str">
        <f t="shared" si="37"/>
        <v>2°3°3JUMAÑANA0</v>
      </c>
      <c r="C248" s="62">
        <f>VLOOKUP(G248,[1]Hoja1!$A:$O,3,0)</f>
        <v>0</v>
      </c>
      <c r="D248" s="2" t="str">
        <f t="shared" si="38"/>
        <v>3JUM</v>
      </c>
      <c r="E248" s="62" t="s">
        <v>46</v>
      </c>
      <c r="F248" s="62" t="s">
        <v>27</v>
      </c>
      <c r="G248" s="62" t="s">
        <v>325</v>
      </c>
      <c r="H248" s="8" t="str">
        <f>VLOOKUP(G248,[1]Hoja1!$A:$O,6,0)</f>
        <v>GEOGRAFIA</v>
      </c>
      <c r="I248" s="4"/>
      <c r="J248" s="4"/>
      <c r="K248" s="80" t="str">
        <f t="shared" si="46"/>
        <v>JU</v>
      </c>
      <c r="L248" s="4"/>
      <c r="M248" s="86" t="str">
        <f>VLOOKUP(G248,[1]Hoja1!$A:$O,15,0)</f>
        <v>ROJAS SOLEDAD</v>
      </c>
      <c r="N248" s="2" t="str">
        <f t="shared" si="39"/>
        <v>2°3°2GEOJU</v>
      </c>
      <c r="O248" s="2"/>
      <c r="P248" s="2" t="str">
        <f>VLOOKUP(G248,[1]Hoja1!$A:$P,16,0)</f>
        <v xml:space="preserve"> </v>
      </c>
      <c r="Q248" s="2"/>
      <c r="S248">
        <f>VLOOKUP(G248,[1]Hoja1!$A:$O,5,0)</f>
        <v>1228009</v>
      </c>
      <c r="U248" s="45" t="s">
        <v>2751</v>
      </c>
      <c r="V248" s="46">
        <f t="shared" si="40"/>
        <v>1228009</v>
      </c>
      <c r="W248" s="47" t="s">
        <v>1519</v>
      </c>
      <c r="X248" s="46" t="str">
        <f t="shared" si="41"/>
        <v>3</v>
      </c>
      <c r="Y248" s="47" t="s">
        <v>1518</v>
      </c>
      <c r="Z248" s="46" t="str">
        <f t="shared" si="42"/>
        <v>M</v>
      </c>
      <c r="AA248" s="47" t="s">
        <v>2752</v>
      </c>
      <c r="AB248" s="46" t="str">
        <f t="shared" si="43"/>
        <v>JUEVES</v>
      </c>
      <c r="AC248" s="47" t="s">
        <v>2753</v>
      </c>
      <c r="AD248">
        <f t="shared" si="44"/>
        <v>0</v>
      </c>
      <c r="AE248" s="47" t="s">
        <v>2754</v>
      </c>
      <c r="AH248" t="str">
        <f t="shared" si="45"/>
        <v>INSERT INTO horario_curso_materia (horario_curso_materia.FK_CUR_mat,horario_curso_materia.FK_HOR,horario_curso_materia.DIA,horario_curso_materia.tipo_turno) VALUES (  (SELECT curso_materia.ID_CUR_MAT FROM curso_materia WHERE curso_materia.CUPOF='1228009' ) ,
    (SELECT horario.ID_HOR FROM horario WHERE horario.modulo='3 ' and horario.turno='M ' ),'JUEVES ' , '0 ' );</v>
      </c>
    </row>
    <row r="249" spans="1:34" ht="15" hidden="1" customHeight="1" x14ac:dyDescent="0.3">
      <c r="A249" s="1" t="str">
        <f t="shared" si="36"/>
        <v>2°3°</v>
      </c>
      <c r="B249" s="54" t="str">
        <f t="shared" si="37"/>
        <v>2°3°3JUTARDE231</v>
      </c>
      <c r="C249" s="62">
        <f>VLOOKUP(G249,[1]Hoja1!$A:$O,3,0)</f>
        <v>231</v>
      </c>
      <c r="D249" s="2" t="str">
        <f t="shared" si="38"/>
        <v>3JUTCARPINTERIA</v>
      </c>
      <c r="E249" s="62" t="s">
        <v>46</v>
      </c>
      <c r="F249" s="62" t="s">
        <v>10</v>
      </c>
      <c r="G249" s="62" t="s">
        <v>81</v>
      </c>
      <c r="H249" s="8" t="str">
        <f>VLOOKUP(G249,[1]Hoja1!$A:$O,6,0)</f>
        <v>PROCEDIMIENTOS TECNICOS</v>
      </c>
      <c r="I249" s="4" t="s">
        <v>23</v>
      </c>
      <c r="J249" s="4"/>
      <c r="K249" s="80" t="str">
        <f t="shared" si="46"/>
        <v>JU</v>
      </c>
      <c r="L249" s="4" t="s">
        <v>512</v>
      </c>
      <c r="M249" s="86" t="str">
        <f>VLOOKUP(G249,[1]Hoja1!$A:$O,15,0)</f>
        <v>CHAMORRO CRISTIAN</v>
      </c>
      <c r="N249" s="2" t="str">
        <f t="shared" si="39"/>
        <v>2°3°2312TPT2JU</v>
      </c>
      <c r="O249" s="2"/>
      <c r="P249" s="2" t="str">
        <f>VLOOKUP(G249,[1]Hoja1!$A:$P,16,0)</f>
        <v xml:space="preserve"> </v>
      </c>
      <c r="Q249" s="2"/>
      <c r="S249">
        <f>VLOOKUP(G249,[1]Hoja1!$A:$O,5,0)</f>
        <v>2673121</v>
      </c>
      <c r="U249" s="45" t="s">
        <v>2751</v>
      </c>
      <c r="V249" s="46">
        <f t="shared" si="40"/>
        <v>2673121</v>
      </c>
      <c r="W249" s="47" t="s">
        <v>1519</v>
      </c>
      <c r="X249" s="46" t="str">
        <f t="shared" si="41"/>
        <v>3</v>
      </c>
      <c r="Y249" s="47" t="s">
        <v>1518</v>
      </c>
      <c r="Z249" s="46" t="str">
        <f t="shared" si="42"/>
        <v>T</v>
      </c>
      <c r="AA249" s="47" t="s">
        <v>2752</v>
      </c>
      <c r="AB249" s="46" t="str">
        <f t="shared" si="43"/>
        <v>JUEVES</v>
      </c>
      <c r="AC249" s="47" t="s">
        <v>2753</v>
      </c>
      <c r="AD249" t="str">
        <f t="shared" si="44"/>
        <v>CONTRATURNO</v>
      </c>
      <c r="AE249" s="47" t="s">
        <v>2754</v>
      </c>
      <c r="AH249" t="str">
        <f t="shared" si="45"/>
        <v>INSERT INTO horario_curso_materia (horario_curso_materia.FK_CUR_mat,horario_curso_materia.FK_HOR,horario_curso_materia.DIA,horario_curso_materia.tipo_turno) VALUES (  (SELECT curso_materia.ID_CUR_MAT FROM curso_materia WHERE curso_materia.CUPOF='2673121' ) ,
    (SELECT horario.ID_HOR FROM horario WHERE horario.modulo='3 ' and horario.turno='T ' ),'JUEVES ' , 'CONTRATURNO ' );</v>
      </c>
    </row>
    <row r="250" spans="1:34" ht="15" hidden="1" customHeight="1" x14ac:dyDescent="0.3">
      <c r="A250" s="1" t="str">
        <f t="shared" si="36"/>
        <v>2°3°</v>
      </c>
      <c r="B250" s="54" t="str">
        <f t="shared" si="37"/>
        <v>2°3°3LUMAÑANA0</v>
      </c>
      <c r="C250" s="62">
        <f>VLOOKUP(G250,[1]Hoja1!$A:$O,3,0)</f>
        <v>0</v>
      </c>
      <c r="D250" s="2" t="str">
        <f t="shared" si="38"/>
        <v>3LUM</v>
      </c>
      <c r="E250" s="62" t="s">
        <v>29</v>
      </c>
      <c r="F250" s="62" t="s">
        <v>27</v>
      </c>
      <c r="G250" s="62" t="s">
        <v>319</v>
      </c>
      <c r="H250" s="8" t="str">
        <f>VLOOKUP(G250,[1]Hoja1!$A:$O,6,0)</f>
        <v>PRACTICA DEL LENGUAJE</v>
      </c>
      <c r="I250" s="4"/>
      <c r="J250" s="4"/>
      <c r="K250" s="80" t="str">
        <f t="shared" si="46"/>
        <v>LU</v>
      </c>
      <c r="L250" s="4"/>
      <c r="M250" s="86" t="str">
        <f>VLOOKUP(G250,[1]Hoja1!$A:$O,15,0)</f>
        <v>VELAZQUEZ VALERIA</v>
      </c>
      <c r="N250" s="2" t="str">
        <f t="shared" si="39"/>
        <v>2°3°2PLGLU</v>
      </c>
      <c r="O250" s="2"/>
      <c r="P250" s="2" t="str">
        <f>VLOOKUP(G250,[1]Hoja1!$A:$P,16,0)</f>
        <v xml:space="preserve"> </v>
      </c>
      <c r="Q250" s="2"/>
      <c r="S250">
        <f>VLOOKUP(G250,[1]Hoja1!$A:$O,5,0)</f>
        <v>807715</v>
      </c>
      <c r="U250" s="45" t="s">
        <v>2751</v>
      </c>
      <c r="V250" s="46">
        <f t="shared" si="40"/>
        <v>807715</v>
      </c>
      <c r="W250" s="47" t="s">
        <v>1519</v>
      </c>
      <c r="X250" s="46" t="str">
        <f t="shared" si="41"/>
        <v>3</v>
      </c>
      <c r="Y250" s="47" t="s">
        <v>1518</v>
      </c>
      <c r="Z250" s="46" t="str">
        <f t="shared" si="42"/>
        <v>M</v>
      </c>
      <c r="AA250" s="47" t="s">
        <v>2752</v>
      </c>
      <c r="AB250" s="46" t="str">
        <f t="shared" si="43"/>
        <v>LUNES</v>
      </c>
      <c r="AC250" s="47" t="s">
        <v>2753</v>
      </c>
      <c r="AD250">
        <f t="shared" si="44"/>
        <v>0</v>
      </c>
      <c r="AE250" s="47" t="s">
        <v>2754</v>
      </c>
      <c r="AH250" t="str">
        <f t="shared" si="45"/>
        <v>INSERT INTO horario_curso_materia (horario_curso_materia.FK_CUR_mat,horario_curso_materia.FK_HOR,horario_curso_materia.DIA,horario_curso_materia.tipo_turno) VALUES (  (SELECT curso_materia.ID_CUR_MAT FROM curso_materia WHERE curso_materia.CUPOF='807715' ) ,
    (SELECT horario.ID_HOR FROM horario WHERE horario.modulo='3 ' and horario.turno='M ' ),'LUNES ' , '0 ' );</v>
      </c>
    </row>
    <row r="251" spans="1:34" ht="15" hidden="1" customHeight="1" x14ac:dyDescent="0.3">
      <c r="A251" s="1" t="str">
        <f t="shared" si="36"/>
        <v>2°3°</v>
      </c>
      <c r="B251" s="54" t="str">
        <f t="shared" si="37"/>
        <v>2°3°3MAMAÑANA0</v>
      </c>
      <c r="C251" s="62">
        <f>VLOOKUP(G251,[1]Hoja1!$A:$O,3,0)</f>
        <v>0</v>
      </c>
      <c r="D251" s="2" t="str">
        <f t="shared" si="38"/>
        <v>3MAM</v>
      </c>
      <c r="E251" s="62" t="s">
        <v>13</v>
      </c>
      <c r="F251" s="62" t="s">
        <v>27</v>
      </c>
      <c r="G251" s="62" t="s">
        <v>322</v>
      </c>
      <c r="H251" s="8" t="str">
        <f>VLOOKUP(G251,[1]Hoja1!$A:$O,6,0)</f>
        <v>HISTORIA</v>
      </c>
      <c r="I251" s="4"/>
      <c r="J251" s="4"/>
      <c r="K251" s="80" t="str">
        <f t="shared" si="46"/>
        <v>MA</v>
      </c>
      <c r="L251" s="4"/>
      <c r="M251" s="86" t="str">
        <f>VLOOKUP(G251,[1]Hoja1!$A:$O,15,0)</f>
        <v>JUAREZ NORMA</v>
      </c>
      <c r="N251" s="2" t="str">
        <f t="shared" si="39"/>
        <v>2°3°2HISMA</v>
      </c>
      <c r="O251" s="2"/>
      <c r="P251" s="2" t="str">
        <f>VLOOKUP(G251,[1]Hoja1!$A:$P,16,0)</f>
        <v xml:space="preserve"> </v>
      </c>
      <c r="Q251" s="2"/>
      <c r="S251">
        <f>VLOOKUP(G251,[1]Hoja1!$A:$O,5,0)</f>
        <v>1644157</v>
      </c>
      <c r="U251" s="45" t="s">
        <v>2751</v>
      </c>
      <c r="V251" s="46">
        <f t="shared" si="40"/>
        <v>1644157</v>
      </c>
      <c r="W251" s="47" t="s">
        <v>1519</v>
      </c>
      <c r="X251" s="46" t="str">
        <f t="shared" si="41"/>
        <v>3</v>
      </c>
      <c r="Y251" s="47" t="s">
        <v>1518</v>
      </c>
      <c r="Z251" s="46" t="str">
        <f t="shared" si="42"/>
        <v>M</v>
      </c>
      <c r="AA251" s="47" t="s">
        <v>2752</v>
      </c>
      <c r="AB251" s="46" t="str">
        <f t="shared" si="43"/>
        <v>MARTES</v>
      </c>
      <c r="AC251" s="47" t="s">
        <v>2753</v>
      </c>
      <c r="AD251">
        <f t="shared" si="44"/>
        <v>0</v>
      </c>
      <c r="AE251" s="47" t="s">
        <v>2754</v>
      </c>
      <c r="AH251" t="str">
        <f t="shared" si="45"/>
        <v>INSERT INTO horario_curso_materia (horario_curso_materia.FK_CUR_mat,horario_curso_materia.FK_HOR,horario_curso_materia.DIA,horario_curso_materia.tipo_turno) VALUES (  (SELECT curso_materia.ID_CUR_MAT FROM curso_materia WHERE curso_materia.CUPOF='1644157' ) ,
    (SELECT horario.ID_HOR FROM horario WHERE horario.modulo='3 ' and horario.turno='M ' ),'MARTES ' , '0 ' );</v>
      </c>
    </row>
    <row r="252" spans="1:34" ht="15" hidden="1" customHeight="1" x14ac:dyDescent="0.3">
      <c r="A252" s="1" t="str">
        <f t="shared" si="36"/>
        <v>2°3°</v>
      </c>
      <c r="B252" s="54" t="str">
        <f t="shared" si="37"/>
        <v>2°3°3MATARDE232</v>
      </c>
      <c r="C252" s="62">
        <f>VLOOKUP(G252,[1]Hoja1!$A:$O,3,0)</f>
        <v>232</v>
      </c>
      <c r="D252" s="2" t="str">
        <f t="shared" si="38"/>
        <v>3MAT47</v>
      </c>
      <c r="E252" s="62" t="s">
        <v>13</v>
      </c>
      <c r="F252" s="62" t="s">
        <v>10</v>
      </c>
      <c r="G252" s="62" t="s">
        <v>84</v>
      </c>
      <c r="H252" s="8" t="str">
        <f>VLOOKUP(G252,[1]Hoja1!$A:$O,6,0)</f>
        <v>SISTEMAS TECNOLOGICOS</v>
      </c>
      <c r="I252" s="4">
        <v>47</v>
      </c>
      <c r="J252" s="4"/>
      <c r="K252" s="80" t="str">
        <f t="shared" si="46"/>
        <v>MA</v>
      </c>
      <c r="L252" s="4" t="s">
        <v>512</v>
      </c>
      <c r="M252" s="86" t="str">
        <f>VLOOKUP(G252,[1]Hoja1!$A:$O,15,0)</f>
        <v>GOMEZ ANALIA</v>
      </c>
      <c r="N252" s="2" t="str">
        <f t="shared" si="39"/>
        <v>2°3°2322TST2MA</v>
      </c>
      <c r="O252" s="2"/>
      <c r="P252" s="2" t="str">
        <f>VLOOKUP(G252,[1]Hoja1!$A:$P,16,0)</f>
        <v xml:space="preserve"> </v>
      </c>
      <c r="Q252" s="2"/>
      <c r="S252">
        <f>VLOOKUP(G252,[1]Hoja1!$A:$O,5,0)</f>
        <v>2673124</v>
      </c>
      <c r="U252" s="45" t="s">
        <v>2751</v>
      </c>
      <c r="V252" s="46">
        <f t="shared" si="40"/>
        <v>2673124</v>
      </c>
      <c r="W252" s="47" t="s">
        <v>1519</v>
      </c>
      <c r="X252" s="46" t="str">
        <f t="shared" si="41"/>
        <v>3</v>
      </c>
      <c r="Y252" s="47" t="s">
        <v>1518</v>
      </c>
      <c r="Z252" s="46" t="str">
        <f t="shared" si="42"/>
        <v>T</v>
      </c>
      <c r="AA252" s="47" t="s">
        <v>2752</v>
      </c>
      <c r="AB252" s="46" t="str">
        <f t="shared" si="43"/>
        <v>MARTES</v>
      </c>
      <c r="AC252" s="47" t="s">
        <v>2753</v>
      </c>
      <c r="AD252" t="str">
        <f t="shared" si="44"/>
        <v>CONTRATURNO</v>
      </c>
      <c r="AE252" s="47" t="s">
        <v>2754</v>
      </c>
      <c r="AH252" t="str">
        <f t="shared" si="45"/>
        <v>INSERT INTO horario_curso_materia (horario_curso_materia.FK_CUR_mat,horario_curso_materia.FK_HOR,horario_curso_materia.DIA,horario_curso_materia.tipo_turno) VALUES (  (SELECT curso_materia.ID_CUR_MAT FROM curso_materia WHERE curso_materia.CUPOF='2673124' ) ,
    (SELECT horario.ID_HOR FROM horario WHERE horario.modulo='3 ' and horario.turno='T ' ),'MARTES ' , 'CONTRATURNO ' );</v>
      </c>
    </row>
    <row r="253" spans="1:34" ht="15" hidden="1" customHeight="1" x14ac:dyDescent="0.3">
      <c r="A253" s="1" t="str">
        <f t="shared" si="36"/>
        <v>2°3°</v>
      </c>
      <c r="B253" s="54" t="str">
        <f t="shared" si="37"/>
        <v>2°3°3MIMAÑANA0</v>
      </c>
      <c r="C253" s="62">
        <f>VLOOKUP(G253,[1]Hoja1!$A:$O,3,0)</f>
        <v>0</v>
      </c>
      <c r="D253" s="2" t="str">
        <f t="shared" si="38"/>
        <v>3MIM</v>
      </c>
      <c r="E253" s="62" t="s">
        <v>50</v>
      </c>
      <c r="F253" s="62" t="s">
        <v>27</v>
      </c>
      <c r="G253" s="62" t="s">
        <v>324</v>
      </c>
      <c r="H253" s="8" t="str">
        <f>VLOOKUP(G253,[1]Hoja1!$A:$O,6,0)</f>
        <v>EDUCACION ARTISTICA (PLASTICA)</v>
      </c>
      <c r="I253" s="4"/>
      <c r="J253" s="4"/>
      <c r="K253" s="80" t="str">
        <f t="shared" si="46"/>
        <v>MI</v>
      </c>
      <c r="L253" s="4"/>
      <c r="M253" s="86" t="str">
        <f>VLOOKUP(G253,[1]Hoja1!$A:$O,15,0)</f>
        <v xml:space="preserve">PEREYRA, GISELA VANESA  </v>
      </c>
      <c r="N253" s="2" t="str">
        <f t="shared" si="39"/>
        <v>2°3°2ARTMI</v>
      </c>
      <c r="O253" s="2"/>
      <c r="P253" s="2" t="str">
        <f>VLOOKUP(G253,[1]Hoja1!$A:$P,16,0)</f>
        <v xml:space="preserve"> </v>
      </c>
      <c r="Q253" s="2"/>
      <c r="S253">
        <f>VLOOKUP(G253,[1]Hoja1!$A:$O,5,0)</f>
        <v>807722</v>
      </c>
      <c r="U253" s="45" t="s">
        <v>2751</v>
      </c>
      <c r="V253" s="46">
        <f t="shared" si="40"/>
        <v>807722</v>
      </c>
      <c r="W253" s="47" t="s">
        <v>1519</v>
      </c>
      <c r="X253" s="46" t="str">
        <f t="shared" si="41"/>
        <v>3</v>
      </c>
      <c r="Y253" s="47" t="s">
        <v>1518</v>
      </c>
      <c r="Z253" s="46" t="str">
        <f t="shared" si="42"/>
        <v>M</v>
      </c>
      <c r="AA253" s="47" t="s">
        <v>2752</v>
      </c>
      <c r="AB253" s="46" t="str">
        <f t="shared" si="43"/>
        <v>MIERCOLES</v>
      </c>
      <c r="AC253" s="47" t="s">
        <v>2753</v>
      </c>
      <c r="AD253">
        <f t="shared" si="44"/>
        <v>0</v>
      </c>
      <c r="AE253" s="47" t="s">
        <v>2754</v>
      </c>
      <c r="AH253" t="str">
        <f t="shared" si="45"/>
        <v>INSERT INTO horario_curso_materia (horario_curso_materia.FK_CUR_mat,horario_curso_materia.FK_HOR,horario_curso_materia.DIA,horario_curso_materia.tipo_turno) VALUES (  (SELECT curso_materia.ID_CUR_MAT FROM curso_materia WHERE curso_materia.CUPOF='807722' ) ,
    (SELECT horario.ID_HOR FROM horario WHERE horario.modulo='3 ' and horario.turno='M ' ),'MIERCOLES ' , '0 ' );</v>
      </c>
    </row>
    <row r="254" spans="1:34" ht="15" hidden="1" customHeight="1" x14ac:dyDescent="0.3">
      <c r="A254" s="1" t="str">
        <f t="shared" si="36"/>
        <v>2°3°</v>
      </c>
      <c r="B254" s="54" t="str">
        <f t="shared" si="37"/>
        <v>2°3°3MITARDE231</v>
      </c>
      <c r="C254" s="62">
        <f>VLOOKUP(G254,[1]Hoja1!$A:$O,3,0)</f>
        <v>231</v>
      </c>
      <c r="D254" s="2" t="str">
        <f t="shared" si="38"/>
        <v>3MITAULA 2</v>
      </c>
      <c r="E254" s="62" t="s">
        <v>50</v>
      </c>
      <c r="F254" s="62" t="s">
        <v>10</v>
      </c>
      <c r="G254" s="62" t="s">
        <v>83</v>
      </c>
      <c r="H254" s="8" t="str">
        <f>VLOOKUP(G254,[1]Hoja1!$A:$O,6,0)</f>
        <v>LENGUAJES TECNOLOGICOS</v>
      </c>
      <c r="I254" s="4" t="s">
        <v>1486</v>
      </c>
      <c r="J254" s="4"/>
      <c r="K254" s="80" t="str">
        <f t="shared" si="46"/>
        <v>MI</v>
      </c>
      <c r="L254" s="4" t="s">
        <v>512</v>
      </c>
      <c r="M254" s="86" t="str">
        <f>VLOOKUP(G254,[1]Hoja1!$A:$O,15,0)</f>
        <v>CRUZ JESUS NAZARENO 20256926157</v>
      </c>
      <c r="N254" s="2" t="str">
        <f t="shared" si="39"/>
        <v>2°3°2312TLT2MI</v>
      </c>
      <c r="O254" s="2"/>
      <c r="P254" s="2" t="str">
        <f>VLOOKUP(G254,[1]Hoja1!$A:$P,16,0)</f>
        <v xml:space="preserve"> </v>
      </c>
      <c r="Q254" s="2"/>
      <c r="S254">
        <f>VLOOKUP(G254,[1]Hoja1!$A:$O,5,0)</f>
        <v>2673117</v>
      </c>
      <c r="U254" s="45" t="s">
        <v>2751</v>
      </c>
      <c r="V254" s="46">
        <f t="shared" si="40"/>
        <v>2673117</v>
      </c>
      <c r="W254" s="47" t="s">
        <v>1519</v>
      </c>
      <c r="X254" s="46" t="str">
        <f t="shared" si="41"/>
        <v>3</v>
      </c>
      <c r="Y254" s="47" t="s">
        <v>1518</v>
      </c>
      <c r="Z254" s="46" t="str">
        <f t="shared" si="42"/>
        <v>T</v>
      </c>
      <c r="AA254" s="47" t="s">
        <v>2752</v>
      </c>
      <c r="AB254" s="46" t="str">
        <f t="shared" si="43"/>
        <v>MIERCOLES</v>
      </c>
      <c r="AC254" s="47" t="s">
        <v>2753</v>
      </c>
      <c r="AD254" t="str">
        <f t="shared" si="44"/>
        <v>CONTRATURNO</v>
      </c>
      <c r="AE254" s="47" t="s">
        <v>2754</v>
      </c>
      <c r="AH254" t="str">
        <f t="shared" si="45"/>
        <v>INSERT INTO horario_curso_materia (horario_curso_materia.FK_CUR_mat,horario_curso_materia.FK_HOR,horario_curso_materia.DIA,horario_curso_materia.tipo_turno) VALUES (  (SELECT curso_materia.ID_CUR_MAT FROM curso_materia WHERE curso_materia.CUPOF='2673117' ) ,
    (SELECT horario.ID_HOR FROM horario WHERE horario.modulo='3 ' and horario.turno='T ' ),'MIERCOLES ' , 'CONTRATURNO ' );</v>
      </c>
    </row>
    <row r="255" spans="1:34" ht="15" hidden="1" customHeight="1" x14ac:dyDescent="0.3">
      <c r="A255" s="1" t="str">
        <f t="shared" si="36"/>
        <v>2°3°</v>
      </c>
      <c r="B255" s="54" t="str">
        <f t="shared" si="37"/>
        <v>2°3°3MITARDE232</v>
      </c>
      <c r="C255" s="62">
        <f>VLOOKUP(G255,[1]Hoja1!$A:$O,3,0)</f>
        <v>232</v>
      </c>
      <c r="D255" s="2" t="str">
        <f t="shared" si="38"/>
        <v>3MITHERRERIA</v>
      </c>
      <c r="E255" s="62" t="s">
        <v>50</v>
      </c>
      <c r="F255" s="62" t="s">
        <v>10</v>
      </c>
      <c r="G255" s="62" t="s">
        <v>82</v>
      </c>
      <c r="H255" s="8" t="str">
        <f>VLOOKUP(G255,[1]Hoja1!$A:$O,6,0)</f>
        <v>PROCEDIMIENTOS TECNICOS</v>
      </c>
      <c r="I255" s="4" t="s">
        <v>21</v>
      </c>
      <c r="J255" s="4"/>
      <c r="K255" s="80" t="str">
        <f t="shared" si="46"/>
        <v>MI</v>
      </c>
      <c r="L255" s="4" t="s">
        <v>512</v>
      </c>
      <c r="M255" s="86" t="str">
        <f>VLOOKUP(G255,[1]Hoja1!$A:$O,15,0)</f>
        <v>BECERRO GUSTAVO ALEJANDRO</v>
      </c>
      <c r="N255" s="2" t="str">
        <f t="shared" si="39"/>
        <v>2°3°2322TPT2MI</v>
      </c>
      <c r="O255" s="2"/>
      <c r="P255" s="2" t="str">
        <f>VLOOKUP(G255,[1]Hoja1!$A:$P,16,0)</f>
        <v xml:space="preserve"> </v>
      </c>
      <c r="Q255" s="2"/>
      <c r="S255">
        <f>VLOOKUP(G255,[1]Hoja1!$A:$O,5,0)</f>
        <v>2672126</v>
      </c>
      <c r="U255" s="45" t="s">
        <v>2751</v>
      </c>
      <c r="V255" s="46">
        <f t="shared" si="40"/>
        <v>2672126</v>
      </c>
      <c r="W255" s="47" t="s">
        <v>1519</v>
      </c>
      <c r="X255" s="46" t="str">
        <f t="shared" si="41"/>
        <v>3</v>
      </c>
      <c r="Y255" s="47" t="s">
        <v>1518</v>
      </c>
      <c r="Z255" s="46" t="str">
        <f t="shared" si="42"/>
        <v>T</v>
      </c>
      <c r="AA255" s="47" t="s">
        <v>2752</v>
      </c>
      <c r="AB255" s="46" t="str">
        <f t="shared" si="43"/>
        <v>MIERCOLES</v>
      </c>
      <c r="AC255" s="47" t="s">
        <v>2753</v>
      </c>
      <c r="AD255" t="str">
        <f t="shared" si="44"/>
        <v>CONTRATURNO</v>
      </c>
      <c r="AE255" s="47" t="s">
        <v>2754</v>
      </c>
      <c r="AH255" t="str">
        <f t="shared" si="45"/>
        <v>INSERT INTO horario_curso_materia (horario_curso_materia.FK_CUR_mat,horario_curso_materia.FK_HOR,horario_curso_materia.DIA,horario_curso_materia.tipo_turno) VALUES (  (SELECT curso_materia.ID_CUR_MAT FROM curso_materia WHERE curso_materia.CUPOF='2672126' ) ,
    (SELECT horario.ID_HOR FROM horario WHERE horario.modulo='3 ' and horario.turno='T ' ),'MIERCOLES ' , 'CONTRATURNO ' );</v>
      </c>
    </row>
    <row r="256" spans="1:34" ht="15" hidden="1" customHeight="1" x14ac:dyDescent="0.3">
      <c r="A256" s="1" t="str">
        <f t="shared" si="36"/>
        <v>2°3°</v>
      </c>
      <c r="B256" s="54" t="str">
        <f t="shared" si="37"/>
        <v>2°3°3VIMAÑANA0</v>
      </c>
      <c r="C256" s="62">
        <f>VLOOKUP(G256,[1]Hoja1!$A:$O,3,0)</f>
        <v>0</v>
      </c>
      <c r="D256" s="2" t="str">
        <f t="shared" si="38"/>
        <v>3VIM</v>
      </c>
      <c r="E256" s="62" t="s">
        <v>35</v>
      </c>
      <c r="F256" s="62" t="s">
        <v>27</v>
      </c>
      <c r="G256" s="62" t="s">
        <v>319</v>
      </c>
      <c r="H256" s="8" t="str">
        <f>VLOOKUP(G256,[1]Hoja1!$A:$O,6,0)</f>
        <v>PRACTICA DEL LENGUAJE</v>
      </c>
      <c r="I256" s="4"/>
      <c r="J256" s="4"/>
      <c r="K256" s="80" t="str">
        <f t="shared" si="46"/>
        <v>VI</v>
      </c>
      <c r="L256" s="4"/>
      <c r="M256" s="86" t="str">
        <f>VLOOKUP(G256,[1]Hoja1!$A:$O,15,0)</f>
        <v>VELAZQUEZ VALERIA</v>
      </c>
      <c r="N256" s="2" t="str">
        <f t="shared" si="39"/>
        <v>2°3°2PLGVI</v>
      </c>
      <c r="O256" s="2"/>
      <c r="P256" s="2" t="str">
        <f>VLOOKUP(G256,[1]Hoja1!$A:$P,16,0)</f>
        <v xml:space="preserve"> </v>
      </c>
      <c r="Q256" s="2"/>
      <c r="S256">
        <f>VLOOKUP(G256,[1]Hoja1!$A:$O,5,0)</f>
        <v>807715</v>
      </c>
      <c r="U256" s="45" t="s">
        <v>2751</v>
      </c>
      <c r="V256" s="46">
        <f t="shared" si="40"/>
        <v>807715</v>
      </c>
      <c r="W256" s="47" t="s">
        <v>1519</v>
      </c>
      <c r="X256" s="46" t="str">
        <f t="shared" si="41"/>
        <v>3</v>
      </c>
      <c r="Y256" s="47" t="s">
        <v>1518</v>
      </c>
      <c r="Z256" s="46" t="str">
        <f t="shared" si="42"/>
        <v>M</v>
      </c>
      <c r="AA256" s="47" t="s">
        <v>2752</v>
      </c>
      <c r="AB256" s="46" t="str">
        <f t="shared" si="43"/>
        <v>VIERNES</v>
      </c>
      <c r="AC256" s="47" t="s">
        <v>2753</v>
      </c>
      <c r="AD256">
        <f t="shared" si="44"/>
        <v>0</v>
      </c>
      <c r="AE256" s="47" t="s">
        <v>2754</v>
      </c>
      <c r="AH256" t="str">
        <f t="shared" si="45"/>
        <v>INSERT INTO horario_curso_materia (horario_curso_materia.FK_CUR_mat,horario_curso_materia.FK_HOR,horario_curso_materia.DIA,horario_curso_materia.tipo_turno) VALUES (  (SELECT curso_materia.ID_CUR_MAT FROM curso_materia WHERE curso_materia.CUPOF='807715' ) ,
    (SELECT horario.ID_HOR FROM horario WHERE horario.modulo='3 ' and horario.turno='M ' ),'VIERNES ' , '0 ' );</v>
      </c>
    </row>
    <row r="257" spans="1:34" ht="15" hidden="1" customHeight="1" x14ac:dyDescent="0.3">
      <c r="A257" s="1" t="str">
        <f t="shared" si="36"/>
        <v>2°3°</v>
      </c>
      <c r="B257" s="54" t="str">
        <f t="shared" si="37"/>
        <v>2°3°1LUTARDE0</v>
      </c>
      <c r="C257" s="62">
        <f>VLOOKUP(G257,[1]Hoja1!$A:$O,3,0)</f>
        <v>0</v>
      </c>
      <c r="D257" s="2" t="str">
        <f t="shared" si="38"/>
        <v>1LUTPATIO2</v>
      </c>
      <c r="E257" s="62" t="s">
        <v>9</v>
      </c>
      <c r="F257" s="62" t="s">
        <v>10</v>
      </c>
      <c r="G257" s="62" t="s">
        <v>327</v>
      </c>
      <c r="H257" s="8" t="str">
        <f>VLOOKUP(G257,[1]Hoja1!$A:$O,6,0)</f>
        <v>EDUCACIÓN FISICA</v>
      </c>
      <c r="I257" s="4" t="s">
        <v>295</v>
      </c>
      <c r="J257" s="4"/>
      <c r="K257" s="80" t="str">
        <f t="shared" si="46"/>
        <v>LU</v>
      </c>
      <c r="L257" s="4" t="s">
        <v>512</v>
      </c>
      <c r="M257" s="86" t="str">
        <f>VLOOKUP(G257,[1]Hoja1!$A:$O,15,0)</f>
        <v xml:space="preserve">AMAYA SILVIA </v>
      </c>
      <c r="N257" s="2" t="str">
        <f t="shared" si="39"/>
        <v>2°3°2EFILU</v>
      </c>
      <c r="O257" s="2"/>
      <c r="P257" s="2" t="str">
        <f>VLOOKUP(G257,[1]Hoja1!$A:$P,16,0)</f>
        <v xml:space="preserve"> </v>
      </c>
      <c r="Q257" s="2"/>
      <c r="S257">
        <f>VLOOKUP(G257,[1]Hoja1!$A:$O,5,0)</f>
        <v>807724</v>
      </c>
      <c r="U257" s="45" t="s">
        <v>2751</v>
      </c>
      <c r="V257" s="46">
        <f t="shared" si="40"/>
        <v>807724</v>
      </c>
      <c r="W257" s="47" t="s">
        <v>1519</v>
      </c>
      <c r="X257" s="46" t="str">
        <f t="shared" si="41"/>
        <v>1</v>
      </c>
      <c r="Y257" s="47" t="s">
        <v>1518</v>
      </c>
      <c r="Z257" s="46" t="str">
        <f t="shared" si="42"/>
        <v>T</v>
      </c>
      <c r="AA257" s="47" t="s">
        <v>2752</v>
      </c>
      <c r="AB257" s="46" t="str">
        <f t="shared" si="43"/>
        <v>LUNES</v>
      </c>
      <c r="AC257" s="47" t="s">
        <v>2753</v>
      </c>
      <c r="AD257" t="str">
        <f t="shared" si="44"/>
        <v>CONTRATURNO</v>
      </c>
      <c r="AE257" s="47" t="s">
        <v>2754</v>
      </c>
      <c r="AH257" t="str">
        <f t="shared" si="45"/>
        <v>INSERT INTO horario_curso_materia (horario_curso_materia.FK_CUR_mat,horario_curso_materia.FK_HOR,horario_curso_materia.DIA,horario_curso_materia.tipo_turno) VALUES (  (SELECT curso_materia.ID_CUR_MAT FROM curso_materia WHERE curso_materia.CUPOF='807724' ) ,
    (SELECT horario.ID_HOR FROM horario WHERE horario.modulo='1 ' and horario.turno='T ' ),'LUNES ' , 'CONTRATURNO ' );</v>
      </c>
    </row>
    <row r="258" spans="1:34" ht="15" hidden="1" customHeight="1" x14ac:dyDescent="0.3">
      <c r="A258" s="1" t="str">
        <f t="shared" si="36"/>
        <v>2°3°</v>
      </c>
      <c r="B258" s="54" t="str">
        <f t="shared" si="37"/>
        <v>2°3°4JUMAÑANA0</v>
      </c>
      <c r="C258" s="62">
        <f>VLOOKUP(G258,[1]Hoja1!$A:$O,3,0)</f>
        <v>0</v>
      </c>
      <c r="D258" s="2" t="str">
        <f t="shared" si="38"/>
        <v>4JUM</v>
      </c>
      <c r="E258" s="62" t="s">
        <v>48</v>
      </c>
      <c r="F258" s="62" t="s">
        <v>27</v>
      </c>
      <c r="G258" s="62" t="s">
        <v>325</v>
      </c>
      <c r="H258" s="8" t="str">
        <f>VLOOKUP(G258,[1]Hoja1!$A:$O,6,0)</f>
        <v>GEOGRAFIA</v>
      </c>
      <c r="I258" s="4"/>
      <c r="J258" s="4"/>
      <c r="K258" s="80" t="str">
        <f t="shared" si="46"/>
        <v>JU</v>
      </c>
      <c r="L258" s="4"/>
      <c r="M258" s="86" t="str">
        <f>VLOOKUP(G258,[1]Hoja1!$A:$O,15,0)</f>
        <v>ROJAS SOLEDAD</v>
      </c>
      <c r="N258" s="2" t="str">
        <f t="shared" si="39"/>
        <v>2°3°2GEOJU</v>
      </c>
      <c r="O258" s="2"/>
      <c r="P258" s="2" t="str">
        <f>VLOOKUP(G258,[1]Hoja1!$A:$P,16,0)</f>
        <v xml:space="preserve"> </v>
      </c>
      <c r="Q258" s="2"/>
      <c r="S258">
        <f>VLOOKUP(G258,[1]Hoja1!$A:$O,5,0)</f>
        <v>1228009</v>
      </c>
      <c r="U258" s="45" t="s">
        <v>2751</v>
      </c>
      <c r="V258" s="46">
        <f t="shared" si="40"/>
        <v>1228009</v>
      </c>
      <c r="W258" s="47" t="s">
        <v>1519</v>
      </c>
      <c r="X258" s="46" t="str">
        <f t="shared" si="41"/>
        <v>4</v>
      </c>
      <c r="Y258" s="47" t="s">
        <v>1518</v>
      </c>
      <c r="Z258" s="46" t="str">
        <f t="shared" si="42"/>
        <v>M</v>
      </c>
      <c r="AA258" s="47" t="s">
        <v>2752</v>
      </c>
      <c r="AB258" s="46" t="str">
        <f t="shared" si="43"/>
        <v>JUEVES</v>
      </c>
      <c r="AC258" s="47" t="s">
        <v>2753</v>
      </c>
      <c r="AD258">
        <f t="shared" si="44"/>
        <v>0</v>
      </c>
      <c r="AE258" s="47" t="s">
        <v>2754</v>
      </c>
      <c r="AH258" t="str">
        <f t="shared" si="45"/>
        <v>INSERT INTO horario_curso_materia (horario_curso_materia.FK_CUR_mat,horario_curso_materia.FK_HOR,horario_curso_materia.DIA,horario_curso_materia.tipo_turno) VALUES (  (SELECT curso_materia.ID_CUR_MAT FROM curso_materia WHERE curso_materia.CUPOF='1228009' ) ,
    (SELECT horario.ID_HOR FROM horario WHERE horario.modulo='4 ' and horario.turno='M ' ),'JUEVES ' , '0 ' );</v>
      </c>
    </row>
    <row r="259" spans="1:34" ht="15" hidden="1" customHeight="1" x14ac:dyDescent="0.3">
      <c r="A259" s="1" t="str">
        <f t="shared" si="36"/>
        <v>2°3°</v>
      </c>
      <c r="B259" s="54" t="str">
        <f t="shared" si="37"/>
        <v>2°3°4JUTARDE231</v>
      </c>
      <c r="C259" s="62">
        <f>VLOOKUP(G259,[1]Hoja1!$A:$O,3,0)</f>
        <v>231</v>
      </c>
      <c r="D259" s="2" t="str">
        <f t="shared" si="38"/>
        <v>4JUTCARPINTERIA</v>
      </c>
      <c r="E259" s="62" t="s">
        <v>48</v>
      </c>
      <c r="F259" s="62" t="s">
        <v>10</v>
      </c>
      <c r="G259" s="62" t="s">
        <v>81</v>
      </c>
      <c r="H259" s="8" t="str">
        <f>VLOOKUP(G259,[1]Hoja1!$A:$O,6,0)</f>
        <v>PROCEDIMIENTOS TECNICOS</v>
      </c>
      <c r="I259" s="4" t="s">
        <v>23</v>
      </c>
      <c r="J259" s="4"/>
      <c r="K259" s="80" t="str">
        <f t="shared" si="46"/>
        <v>JU</v>
      </c>
      <c r="L259" s="4" t="s">
        <v>512</v>
      </c>
      <c r="M259" s="86" t="str">
        <f>VLOOKUP(G259,[1]Hoja1!$A:$O,15,0)</f>
        <v>CHAMORRO CRISTIAN</v>
      </c>
      <c r="N259" s="2" t="str">
        <f t="shared" si="39"/>
        <v>2°3°2312TPT2JU</v>
      </c>
      <c r="O259" s="2"/>
      <c r="P259" s="2" t="str">
        <f>VLOOKUP(G259,[1]Hoja1!$A:$P,16,0)</f>
        <v xml:space="preserve"> </v>
      </c>
      <c r="Q259" s="2"/>
      <c r="S259">
        <f>VLOOKUP(G259,[1]Hoja1!$A:$O,5,0)</f>
        <v>2673121</v>
      </c>
      <c r="U259" s="45" t="s">
        <v>2751</v>
      </c>
      <c r="V259" s="46">
        <f t="shared" si="40"/>
        <v>2673121</v>
      </c>
      <c r="W259" s="47" t="s">
        <v>1519</v>
      </c>
      <c r="X259" s="46" t="str">
        <f t="shared" si="41"/>
        <v>4</v>
      </c>
      <c r="Y259" s="47" t="s">
        <v>1518</v>
      </c>
      <c r="Z259" s="46" t="str">
        <f t="shared" si="42"/>
        <v>T</v>
      </c>
      <c r="AA259" s="47" t="s">
        <v>2752</v>
      </c>
      <c r="AB259" s="46" t="str">
        <f t="shared" si="43"/>
        <v>JUEVES</v>
      </c>
      <c r="AC259" s="47" t="s">
        <v>2753</v>
      </c>
      <c r="AD259" t="str">
        <f t="shared" si="44"/>
        <v>CONTRATURNO</v>
      </c>
      <c r="AE259" s="47" t="s">
        <v>2754</v>
      </c>
      <c r="AH259" t="str">
        <f t="shared" si="45"/>
        <v>INSERT INTO horario_curso_materia (horario_curso_materia.FK_CUR_mat,horario_curso_materia.FK_HOR,horario_curso_materia.DIA,horario_curso_materia.tipo_turno) VALUES (  (SELECT curso_materia.ID_CUR_MAT FROM curso_materia WHERE curso_materia.CUPOF='2673121' ) ,
    (SELECT horario.ID_HOR FROM horario WHERE horario.modulo='4 ' and horario.turno='T ' ),'JUEVES ' , 'CONTRATURNO ' );</v>
      </c>
    </row>
    <row r="260" spans="1:34" ht="15" hidden="1" customHeight="1" x14ac:dyDescent="0.3">
      <c r="A260" s="1" t="str">
        <f t="shared" si="36"/>
        <v>2°3°</v>
      </c>
      <c r="B260" s="54" t="str">
        <f t="shared" si="37"/>
        <v>2°3°4LUMAÑANA0</v>
      </c>
      <c r="C260" s="62">
        <f>VLOOKUP(G260,[1]Hoja1!$A:$O,3,0)</f>
        <v>0</v>
      </c>
      <c r="D260" s="2" t="str">
        <f t="shared" si="38"/>
        <v>4LUM</v>
      </c>
      <c r="E260" s="62" t="s">
        <v>31</v>
      </c>
      <c r="F260" s="62" t="s">
        <v>27</v>
      </c>
      <c r="G260" s="62" t="s">
        <v>319</v>
      </c>
      <c r="H260" s="8" t="str">
        <f>VLOOKUP(G260,[1]Hoja1!$A:$O,6,0)</f>
        <v>PRACTICA DEL LENGUAJE</v>
      </c>
      <c r="I260" s="4"/>
      <c r="J260" s="4"/>
      <c r="K260" s="80" t="str">
        <f t="shared" si="46"/>
        <v>LU</v>
      </c>
      <c r="L260" s="4"/>
      <c r="M260" s="86" t="str">
        <f>VLOOKUP(G260,[1]Hoja1!$A:$O,15,0)</f>
        <v>VELAZQUEZ VALERIA</v>
      </c>
      <c r="N260" s="2" t="str">
        <f t="shared" si="39"/>
        <v>2°3°2PLGLU</v>
      </c>
      <c r="O260" s="2"/>
      <c r="P260" s="39" t="str">
        <f>VLOOKUP(G260,[1]Hoja1!$A:$P,16,0)</f>
        <v xml:space="preserve"> </v>
      </c>
      <c r="Q260" s="39"/>
      <c r="S260">
        <f>VLOOKUP(G260,[1]Hoja1!$A:$O,5,0)</f>
        <v>807715</v>
      </c>
      <c r="U260" s="45" t="s">
        <v>2751</v>
      </c>
      <c r="V260" s="46">
        <f t="shared" si="40"/>
        <v>807715</v>
      </c>
      <c r="W260" s="47" t="s">
        <v>1519</v>
      </c>
      <c r="X260" s="46" t="str">
        <f t="shared" si="41"/>
        <v>4</v>
      </c>
      <c r="Y260" s="47" t="s">
        <v>1518</v>
      </c>
      <c r="Z260" s="46" t="str">
        <f t="shared" si="42"/>
        <v>M</v>
      </c>
      <c r="AA260" s="47" t="s">
        <v>2752</v>
      </c>
      <c r="AB260" s="46" t="str">
        <f t="shared" si="43"/>
        <v>LUNES</v>
      </c>
      <c r="AC260" s="47" t="s">
        <v>2753</v>
      </c>
      <c r="AD260">
        <f t="shared" si="44"/>
        <v>0</v>
      </c>
      <c r="AE260" s="47" t="s">
        <v>2754</v>
      </c>
      <c r="AH260" t="str">
        <f t="shared" si="45"/>
        <v>INSERT INTO horario_curso_materia (horario_curso_materia.FK_CUR_mat,horario_curso_materia.FK_HOR,horario_curso_materia.DIA,horario_curso_materia.tipo_turno) VALUES (  (SELECT curso_materia.ID_CUR_MAT FROM curso_materia WHERE curso_materia.CUPOF='807715' ) ,
    (SELECT horario.ID_HOR FROM horario WHERE horario.modulo='4 ' and horario.turno='M ' ),'LUNES ' , '0 ' );</v>
      </c>
    </row>
    <row r="261" spans="1:34" ht="15" hidden="1" customHeight="1" x14ac:dyDescent="0.3">
      <c r="A261" s="1" t="str">
        <f t="shared" si="36"/>
        <v>2°3°</v>
      </c>
      <c r="B261" s="54" t="str">
        <f t="shared" si="37"/>
        <v>2°3°4MAMAÑANA0</v>
      </c>
      <c r="C261" s="62">
        <f>VLOOKUP(G261,[1]Hoja1!$A:$O,3,0)</f>
        <v>0</v>
      </c>
      <c r="D261" s="2" t="str">
        <f t="shared" si="38"/>
        <v>4MAM</v>
      </c>
      <c r="E261" s="62" t="s">
        <v>16</v>
      </c>
      <c r="F261" s="62" t="s">
        <v>27</v>
      </c>
      <c r="G261" s="62" t="s">
        <v>322</v>
      </c>
      <c r="H261" s="8" t="str">
        <f>VLOOKUP(G261,[1]Hoja1!$A:$O,6,0)</f>
        <v>HISTORIA</v>
      </c>
      <c r="I261" s="4"/>
      <c r="J261" s="4"/>
      <c r="K261" s="80" t="str">
        <f t="shared" si="46"/>
        <v>MA</v>
      </c>
      <c r="L261" s="4"/>
      <c r="M261" s="86" t="str">
        <f>VLOOKUP(G261,[1]Hoja1!$A:$O,15,0)</f>
        <v>JUAREZ NORMA</v>
      </c>
      <c r="N261" s="2" t="str">
        <f t="shared" si="39"/>
        <v>2°3°2HISMA</v>
      </c>
      <c r="O261" s="2"/>
      <c r="P261" s="2" t="str">
        <f>VLOOKUP(G261,[1]Hoja1!$A:$P,16,0)</f>
        <v xml:space="preserve"> </v>
      </c>
      <c r="Q261" s="2"/>
      <c r="S261">
        <f>VLOOKUP(G261,[1]Hoja1!$A:$O,5,0)</f>
        <v>1644157</v>
      </c>
      <c r="U261" s="45" t="s">
        <v>2751</v>
      </c>
      <c r="V261" s="46">
        <f t="shared" si="40"/>
        <v>1644157</v>
      </c>
      <c r="W261" s="47" t="s">
        <v>1519</v>
      </c>
      <c r="X261" s="46" t="str">
        <f t="shared" si="41"/>
        <v>4</v>
      </c>
      <c r="Y261" s="47" t="s">
        <v>1518</v>
      </c>
      <c r="Z261" s="46" t="str">
        <f t="shared" si="42"/>
        <v>M</v>
      </c>
      <c r="AA261" s="47" t="s">
        <v>2752</v>
      </c>
      <c r="AB261" s="46" t="str">
        <f t="shared" si="43"/>
        <v>MARTES</v>
      </c>
      <c r="AC261" s="47" t="s">
        <v>2753</v>
      </c>
      <c r="AD261">
        <f t="shared" si="44"/>
        <v>0</v>
      </c>
      <c r="AE261" s="47" t="s">
        <v>2754</v>
      </c>
      <c r="AH261" t="str">
        <f t="shared" si="45"/>
        <v>INSERT INTO horario_curso_materia (horario_curso_materia.FK_CUR_mat,horario_curso_materia.FK_HOR,horario_curso_materia.DIA,horario_curso_materia.tipo_turno) VALUES (  (SELECT curso_materia.ID_CUR_MAT FROM curso_materia WHERE curso_materia.CUPOF='1644157' ) ,
    (SELECT horario.ID_HOR FROM horario WHERE horario.modulo='4 ' and horario.turno='M ' ),'MARTES ' , '0 ' );</v>
      </c>
    </row>
    <row r="262" spans="1:34" ht="15" hidden="1" customHeight="1" x14ac:dyDescent="0.3">
      <c r="A262" s="1" t="str">
        <f t="shared" ref="A262:A320" si="47">LEFT(B262,4)</f>
        <v>2°3°</v>
      </c>
      <c r="B262" s="54" t="str">
        <f t="shared" ref="B262:B325" si="48">CONCATENATE(LEFT(G262,4),E262,F262,C262)</f>
        <v>2°3°4MATARDE232</v>
      </c>
      <c r="C262" s="62">
        <f>VLOOKUP(G262,[1]Hoja1!$A:$O,3,0)</f>
        <v>232</v>
      </c>
      <c r="D262" s="2" t="str">
        <f t="shared" ref="D262:D309" si="49">CONCATENATE(E262,LEFT(F262,1),I262)</f>
        <v>4MAT47</v>
      </c>
      <c r="E262" s="62" t="s">
        <v>16</v>
      </c>
      <c r="F262" s="62" t="s">
        <v>10</v>
      </c>
      <c r="G262" s="62" t="s">
        <v>84</v>
      </c>
      <c r="H262" s="8" t="str">
        <f>VLOOKUP(G262,[1]Hoja1!$A:$O,6,0)</f>
        <v>SISTEMAS TECNOLOGICOS</v>
      </c>
      <c r="I262" s="4">
        <v>47</v>
      </c>
      <c r="J262" s="4"/>
      <c r="K262" s="80" t="str">
        <f t="shared" si="46"/>
        <v>MA</v>
      </c>
      <c r="L262" s="4" t="s">
        <v>512</v>
      </c>
      <c r="M262" s="86" t="str">
        <f>VLOOKUP(G262,[1]Hoja1!$A:$O,15,0)</f>
        <v>GOMEZ ANALIA</v>
      </c>
      <c r="N262" s="2" t="str">
        <f t="shared" ref="N262:N320" si="50">CONCATENATE(G262,LEFT(K262,2))</f>
        <v>2°3°2322TST2MA</v>
      </c>
      <c r="O262" s="2"/>
      <c r="P262" s="2" t="str">
        <f>VLOOKUP(G262,[1]Hoja1!$A:$P,16,0)</f>
        <v xml:space="preserve"> </v>
      </c>
      <c r="Q262" s="2"/>
      <c r="S262">
        <f>VLOOKUP(G262,[1]Hoja1!$A:$O,5,0)</f>
        <v>2673124</v>
      </c>
      <c r="U262" s="45" t="s">
        <v>2751</v>
      </c>
      <c r="V262" s="46">
        <f t="shared" ref="V262:V320" si="51">S262</f>
        <v>2673124</v>
      </c>
      <c r="W262" s="47" t="s">
        <v>1519</v>
      </c>
      <c r="X262" s="46" t="str">
        <f t="shared" ref="X262:X320" si="52">IF(LEFT(E262,1)="p","prehora",LEFT(E262,1))</f>
        <v>4</v>
      </c>
      <c r="Y262" s="47" t="s">
        <v>1518</v>
      </c>
      <c r="Z262" s="46" t="str">
        <f t="shared" ref="Z262:Z320" si="53">LEFT(F262,1)</f>
        <v>T</v>
      </c>
      <c r="AA262" s="47" t="s">
        <v>2752</v>
      </c>
      <c r="AB262" s="46" t="str">
        <f t="shared" ref="AB262:AB320" si="54">IF(IF(LEFT(E262,1)="p",MID(E262,8,2),MID(E262,2,2))="lu","LUNES",IF(IF(LEFT(E262,1)="p",MID(E262,8,2),MID(E262,2,2))="ma","MARTES",IF(IF(LEFT(E262,1)="p",MID(E262,8,2),MID(E262,2,2))="MI","MIERCOLES",IF(IF(LEFT(E262,1)="p",MID(E262,8,2),MID(E262,2,2))="JU","JUEVES",IF(IF(LEFT(E262,1)="p",MID(E262,8,2),MID(E262,2,2))="vi","VIERNES","")))))</f>
        <v>MARTES</v>
      </c>
      <c r="AC262" s="47" t="s">
        <v>2753</v>
      </c>
      <c r="AD262" t="str">
        <f t="shared" ref="AD262:AD320" si="55">L262</f>
        <v>CONTRATURNO</v>
      </c>
      <c r="AE262" s="47" t="s">
        <v>2754</v>
      </c>
      <c r="AH262" t="str">
        <f t="shared" ref="AH262:AH320" si="56">U262&amp;V262&amp;W262&amp;X262&amp;Y262&amp;Z262&amp;AA262&amp;AB262&amp;AC262&amp;AD262&amp;AE262</f>
        <v>INSERT INTO horario_curso_materia (horario_curso_materia.FK_CUR_mat,horario_curso_materia.FK_HOR,horario_curso_materia.DIA,horario_curso_materia.tipo_turno) VALUES (  (SELECT curso_materia.ID_CUR_MAT FROM curso_materia WHERE curso_materia.CUPOF='2673124' ) ,
    (SELECT horario.ID_HOR FROM horario WHERE horario.modulo='4 ' and horario.turno='T ' ),'MARTES ' , 'CONTRATURNO ' );</v>
      </c>
    </row>
    <row r="263" spans="1:34" ht="15" hidden="1" customHeight="1" x14ac:dyDescent="0.3">
      <c r="A263" s="1" t="str">
        <f t="shared" si="47"/>
        <v>2°3°</v>
      </c>
      <c r="B263" s="54" t="str">
        <f t="shared" si="48"/>
        <v>2°3°4MIMAÑANA0</v>
      </c>
      <c r="C263" s="62">
        <f>VLOOKUP(G263,[1]Hoja1!$A:$O,3,0)</f>
        <v>0</v>
      </c>
      <c r="D263" s="2" t="str">
        <f t="shared" si="49"/>
        <v>4MIM</v>
      </c>
      <c r="E263" s="62" t="s">
        <v>52</v>
      </c>
      <c r="F263" s="62" t="s">
        <v>27</v>
      </c>
      <c r="G263" s="62" t="s">
        <v>324</v>
      </c>
      <c r="H263" s="8" t="str">
        <f>VLOOKUP(G263,[1]Hoja1!$A:$O,6,0)</f>
        <v>EDUCACION ARTISTICA (PLASTICA)</v>
      </c>
      <c r="I263" s="4"/>
      <c r="J263" s="4"/>
      <c r="K263" s="80" t="str">
        <f t="shared" si="46"/>
        <v>MI</v>
      </c>
      <c r="L263" s="4"/>
      <c r="M263" s="86" t="str">
        <f>VLOOKUP(G263,[1]Hoja1!$A:$O,15,0)</f>
        <v xml:space="preserve">PEREYRA, GISELA VANESA  </v>
      </c>
      <c r="N263" s="2" t="str">
        <f t="shared" si="50"/>
        <v>2°3°2ARTMI</v>
      </c>
      <c r="O263" s="2"/>
      <c r="P263" s="2" t="str">
        <f>VLOOKUP(G263,[1]Hoja1!$A:$P,16,0)</f>
        <v xml:space="preserve"> </v>
      </c>
      <c r="Q263" s="2"/>
      <c r="S263">
        <f>VLOOKUP(G263,[1]Hoja1!$A:$O,5,0)</f>
        <v>807722</v>
      </c>
      <c r="U263" s="45" t="s">
        <v>2751</v>
      </c>
      <c r="V263" s="46">
        <f t="shared" si="51"/>
        <v>807722</v>
      </c>
      <c r="W263" s="47" t="s">
        <v>1519</v>
      </c>
      <c r="X263" s="46" t="str">
        <f t="shared" si="52"/>
        <v>4</v>
      </c>
      <c r="Y263" s="47" t="s">
        <v>1518</v>
      </c>
      <c r="Z263" s="46" t="str">
        <f t="shared" si="53"/>
        <v>M</v>
      </c>
      <c r="AA263" s="47" t="s">
        <v>2752</v>
      </c>
      <c r="AB263" s="46" t="str">
        <f t="shared" si="54"/>
        <v>MIERCOLES</v>
      </c>
      <c r="AC263" s="47" t="s">
        <v>2753</v>
      </c>
      <c r="AD263">
        <f t="shared" si="55"/>
        <v>0</v>
      </c>
      <c r="AE263" s="47" t="s">
        <v>2754</v>
      </c>
      <c r="AH263" t="str">
        <f t="shared" si="56"/>
        <v>INSERT INTO horario_curso_materia (horario_curso_materia.FK_CUR_mat,horario_curso_materia.FK_HOR,horario_curso_materia.DIA,horario_curso_materia.tipo_turno) VALUES (  (SELECT curso_materia.ID_CUR_MAT FROM curso_materia WHERE curso_materia.CUPOF='807722' ) ,
    (SELECT horario.ID_HOR FROM horario WHERE horario.modulo='4 ' and horario.turno='M ' ),'MIERCOLES ' , '0 ' );</v>
      </c>
    </row>
    <row r="264" spans="1:34" ht="15" hidden="1" customHeight="1" x14ac:dyDescent="0.3">
      <c r="A264" s="1" t="str">
        <f t="shared" si="47"/>
        <v>2°3°</v>
      </c>
      <c r="B264" s="54" t="str">
        <f t="shared" si="48"/>
        <v>2°3°4MITARDE231</v>
      </c>
      <c r="C264" s="62">
        <f>VLOOKUP(G264,[1]Hoja1!$A:$O,3,0)</f>
        <v>231</v>
      </c>
      <c r="D264" s="2" t="str">
        <f t="shared" si="49"/>
        <v>4MITAULA 2</v>
      </c>
      <c r="E264" s="62" t="s">
        <v>52</v>
      </c>
      <c r="F264" s="62" t="s">
        <v>10</v>
      </c>
      <c r="G264" s="62" t="s">
        <v>83</v>
      </c>
      <c r="H264" s="8" t="str">
        <f>VLOOKUP(G264,[1]Hoja1!$A:$O,6,0)</f>
        <v>LENGUAJES TECNOLOGICOS</v>
      </c>
      <c r="I264" s="4" t="s">
        <v>1486</v>
      </c>
      <c r="J264" s="4"/>
      <c r="K264" s="80" t="str">
        <f t="shared" si="46"/>
        <v>MI</v>
      </c>
      <c r="L264" s="4" t="s">
        <v>512</v>
      </c>
      <c r="M264" s="86" t="str">
        <f>VLOOKUP(G264,[1]Hoja1!$A:$O,15,0)</f>
        <v>CRUZ JESUS NAZARENO 20256926157</v>
      </c>
      <c r="N264" s="2" t="str">
        <f t="shared" si="50"/>
        <v>2°3°2312TLT2MI</v>
      </c>
      <c r="O264" s="2"/>
      <c r="P264" s="2" t="str">
        <f>VLOOKUP(G264,[1]Hoja1!$A:$P,16,0)</f>
        <v xml:space="preserve"> </v>
      </c>
      <c r="Q264" s="2"/>
      <c r="S264">
        <f>VLOOKUP(G264,[1]Hoja1!$A:$O,5,0)</f>
        <v>2673117</v>
      </c>
      <c r="U264" s="45" t="s">
        <v>2751</v>
      </c>
      <c r="V264" s="46">
        <f t="shared" si="51"/>
        <v>2673117</v>
      </c>
      <c r="W264" s="47" t="s">
        <v>1519</v>
      </c>
      <c r="X264" s="46" t="str">
        <f t="shared" si="52"/>
        <v>4</v>
      </c>
      <c r="Y264" s="47" t="s">
        <v>1518</v>
      </c>
      <c r="Z264" s="46" t="str">
        <f t="shared" si="53"/>
        <v>T</v>
      </c>
      <c r="AA264" s="47" t="s">
        <v>2752</v>
      </c>
      <c r="AB264" s="46" t="str">
        <f t="shared" si="54"/>
        <v>MIERCOLES</v>
      </c>
      <c r="AC264" s="47" t="s">
        <v>2753</v>
      </c>
      <c r="AD264" t="str">
        <f t="shared" si="55"/>
        <v>CONTRATURNO</v>
      </c>
      <c r="AE264" s="47" t="s">
        <v>2754</v>
      </c>
      <c r="AH264" t="str">
        <f t="shared" si="56"/>
        <v>INSERT INTO horario_curso_materia (horario_curso_materia.FK_CUR_mat,horario_curso_materia.FK_HOR,horario_curso_materia.DIA,horario_curso_materia.tipo_turno) VALUES (  (SELECT curso_materia.ID_CUR_MAT FROM curso_materia WHERE curso_materia.CUPOF='2673117' ) ,
    (SELECT horario.ID_HOR FROM horario WHERE horario.modulo='4 ' and horario.turno='T ' ),'MIERCOLES ' , 'CONTRATURNO ' );</v>
      </c>
    </row>
    <row r="265" spans="1:34" ht="15" hidden="1" customHeight="1" x14ac:dyDescent="0.3">
      <c r="A265" s="1" t="str">
        <f t="shared" si="47"/>
        <v>2°3°</v>
      </c>
      <c r="B265" s="54" t="str">
        <f t="shared" si="48"/>
        <v>2°3°4MITARDE232</v>
      </c>
      <c r="C265" s="62">
        <f>VLOOKUP(G265,[1]Hoja1!$A:$O,3,0)</f>
        <v>232</v>
      </c>
      <c r="D265" s="2" t="str">
        <f t="shared" si="49"/>
        <v>4MITHERRERIA</v>
      </c>
      <c r="E265" s="62" t="s">
        <v>52</v>
      </c>
      <c r="F265" s="62" t="s">
        <v>10</v>
      </c>
      <c r="G265" s="62" t="s">
        <v>82</v>
      </c>
      <c r="H265" s="8" t="str">
        <f>VLOOKUP(G265,[1]Hoja1!$A:$O,6,0)</f>
        <v>PROCEDIMIENTOS TECNICOS</v>
      </c>
      <c r="I265" s="4" t="s">
        <v>21</v>
      </c>
      <c r="J265" s="4"/>
      <c r="K265" s="80" t="str">
        <f t="shared" si="46"/>
        <v>MI</v>
      </c>
      <c r="L265" s="4" t="s">
        <v>512</v>
      </c>
      <c r="M265" s="86" t="str">
        <f>VLOOKUP(G265,[1]Hoja1!$A:$O,15,0)</f>
        <v>BECERRO GUSTAVO ALEJANDRO</v>
      </c>
      <c r="N265" s="2" t="str">
        <f t="shared" si="50"/>
        <v>2°3°2322TPT2MI</v>
      </c>
      <c r="O265" s="2"/>
      <c r="P265" s="2" t="str">
        <f>VLOOKUP(G265,[1]Hoja1!$A:$P,16,0)</f>
        <v xml:space="preserve"> </v>
      </c>
      <c r="Q265" s="2"/>
      <c r="S265">
        <f>VLOOKUP(G265,[1]Hoja1!$A:$O,5,0)</f>
        <v>2672126</v>
      </c>
      <c r="U265" s="45" t="s">
        <v>2751</v>
      </c>
      <c r="V265" s="46">
        <f t="shared" si="51"/>
        <v>2672126</v>
      </c>
      <c r="W265" s="47" t="s">
        <v>1519</v>
      </c>
      <c r="X265" s="46" t="str">
        <f t="shared" si="52"/>
        <v>4</v>
      </c>
      <c r="Y265" s="47" t="s">
        <v>1518</v>
      </c>
      <c r="Z265" s="46" t="str">
        <f t="shared" si="53"/>
        <v>T</v>
      </c>
      <c r="AA265" s="47" t="s">
        <v>2752</v>
      </c>
      <c r="AB265" s="46" t="str">
        <f t="shared" si="54"/>
        <v>MIERCOLES</v>
      </c>
      <c r="AC265" s="47" t="s">
        <v>2753</v>
      </c>
      <c r="AD265" t="str">
        <f t="shared" si="55"/>
        <v>CONTRATURNO</v>
      </c>
      <c r="AE265" s="47" t="s">
        <v>2754</v>
      </c>
      <c r="AH265" t="str">
        <f t="shared" si="56"/>
        <v>INSERT INTO horario_curso_materia (horario_curso_materia.FK_CUR_mat,horario_curso_materia.FK_HOR,horario_curso_materia.DIA,horario_curso_materia.tipo_turno) VALUES (  (SELECT curso_materia.ID_CUR_MAT FROM curso_materia WHERE curso_materia.CUPOF='2672126' ) ,
    (SELECT horario.ID_HOR FROM horario WHERE horario.modulo='4 ' and horario.turno='T ' ),'MIERCOLES ' , 'CONTRATURNO ' );</v>
      </c>
    </row>
    <row r="266" spans="1:34" ht="15" hidden="1" customHeight="1" x14ac:dyDescent="0.3">
      <c r="A266" s="1" t="str">
        <f t="shared" si="47"/>
        <v>2°3°</v>
      </c>
      <c r="B266" s="54" t="str">
        <f t="shared" si="48"/>
        <v>2°3°4VIMAÑANA0</v>
      </c>
      <c r="C266" s="62">
        <f>VLOOKUP(G266,[1]Hoja1!$A:$O,3,0)</f>
        <v>0</v>
      </c>
      <c r="D266" s="2" t="str">
        <f t="shared" si="49"/>
        <v>4VIM</v>
      </c>
      <c r="E266" s="62" t="s">
        <v>36</v>
      </c>
      <c r="F266" s="62" t="s">
        <v>27</v>
      </c>
      <c r="G266" s="62" t="s">
        <v>319</v>
      </c>
      <c r="H266" s="8" t="str">
        <f>VLOOKUP(G266,[1]Hoja1!$A:$O,6,0)</f>
        <v>PRACTICA DEL LENGUAJE</v>
      </c>
      <c r="I266" s="4"/>
      <c r="J266" s="4"/>
      <c r="K266" s="80" t="str">
        <f t="shared" si="46"/>
        <v>VI</v>
      </c>
      <c r="L266" s="4"/>
      <c r="M266" s="86" t="str">
        <f>VLOOKUP(G266,[1]Hoja1!$A:$O,15,0)</f>
        <v>VELAZQUEZ VALERIA</v>
      </c>
      <c r="N266" s="2" t="str">
        <f t="shared" si="50"/>
        <v>2°3°2PLGVI</v>
      </c>
      <c r="O266" s="2"/>
      <c r="P266" s="2" t="str">
        <f>VLOOKUP(G266,[1]Hoja1!$A:$P,16,0)</f>
        <v xml:space="preserve"> </v>
      </c>
      <c r="Q266" s="2"/>
      <c r="S266">
        <f>VLOOKUP(G266,[1]Hoja1!$A:$O,5,0)</f>
        <v>807715</v>
      </c>
      <c r="U266" s="45" t="s">
        <v>2751</v>
      </c>
      <c r="V266" s="46">
        <f t="shared" si="51"/>
        <v>807715</v>
      </c>
      <c r="W266" s="47" t="s">
        <v>1519</v>
      </c>
      <c r="X266" s="46" t="str">
        <f t="shared" si="52"/>
        <v>4</v>
      </c>
      <c r="Y266" s="47" t="s">
        <v>1518</v>
      </c>
      <c r="Z266" s="46" t="str">
        <f t="shared" si="53"/>
        <v>M</v>
      </c>
      <c r="AA266" s="47" t="s">
        <v>2752</v>
      </c>
      <c r="AB266" s="46" t="str">
        <f t="shared" si="54"/>
        <v>VIERNES</v>
      </c>
      <c r="AC266" s="47" t="s">
        <v>2753</v>
      </c>
      <c r="AD266">
        <f t="shared" si="55"/>
        <v>0</v>
      </c>
      <c r="AE266" s="47" t="s">
        <v>2754</v>
      </c>
      <c r="AH266" t="str">
        <f t="shared" si="56"/>
        <v>INSERT INTO horario_curso_materia (horario_curso_materia.FK_CUR_mat,horario_curso_materia.FK_HOR,horario_curso_materia.DIA,horario_curso_materia.tipo_turno) VALUES (  (SELECT curso_materia.ID_CUR_MAT FROM curso_materia WHERE curso_materia.CUPOF='807715' ) ,
    (SELECT horario.ID_HOR FROM horario WHERE horario.modulo='4 ' and horario.turno='M ' ),'VIERNES ' , '0 ' );</v>
      </c>
    </row>
    <row r="267" spans="1:34" ht="15" hidden="1" customHeight="1" x14ac:dyDescent="0.3">
      <c r="A267" s="1" t="str">
        <f t="shared" si="47"/>
        <v>2°3°</v>
      </c>
      <c r="B267" s="54" t="str">
        <f t="shared" si="48"/>
        <v>2°3°2LUTARDE0</v>
      </c>
      <c r="C267" s="62">
        <f>VLOOKUP(G267,[1]Hoja1!$A:$O,3,0)</f>
        <v>0</v>
      </c>
      <c r="D267" s="2" t="str">
        <f t="shared" si="49"/>
        <v>2LUTPATIO2</v>
      </c>
      <c r="E267" s="62" t="s">
        <v>12</v>
      </c>
      <c r="F267" s="62" t="s">
        <v>10</v>
      </c>
      <c r="G267" s="62" t="s">
        <v>327</v>
      </c>
      <c r="H267" s="8" t="str">
        <f>VLOOKUP(G267,[1]Hoja1!$A:$O,6,0)</f>
        <v>EDUCACIÓN FISICA</v>
      </c>
      <c r="I267" s="4" t="s">
        <v>295</v>
      </c>
      <c r="J267" s="4"/>
      <c r="K267" s="80" t="str">
        <f t="shared" si="46"/>
        <v>LU</v>
      </c>
      <c r="L267" s="4" t="s">
        <v>512</v>
      </c>
      <c r="M267" s="86" t="str">
        <f>VLOOKUP(G267,[1]Hoja1!$A:$O,15,0)</f>
        <v xml:space="preserve">AMAYA SILVIA </v>
      </c>
      <c r="N267" s="2" t="str">
        <f t="shared" si="50"/>
        <v>2°3°2EFILU</v>
      </c>
      <c r="O267" s="2"/>
      <c r="P267" s="2" t="str">
        <f>VLOOKUP(G267,[1]Hoja1!$A:$P,16,0)</f>
        <v xml:space="preserve"> </v>
      </c>
      <c r="Q267" s="2"/>
      <c r="S267">
        <f>VLOOKUP(G267,[1]Hoja1!$A:$O,5,0)</f>
        <v>807724</v>
      </c>
      <c r="U267" s="45" t="s">
        <v>2751</v>
      </c>
      <c r="V267" s="46">
        <f t="shared" si="51"/>
        <v>807724</v>
      </c>
      <c r="W267" s="47" t="s">
        <v>1519</v>
      </c>
      <c r="X267" s="46" t="str">
        <f t="shared" si="52"/>
        <v>2</v>
      </c>
      <c r="Y267" s="47" t="s">
        <v>1518</v>
      </c>
      <c r="Z267" s="46" t="str">
        <f t="shared" si="53"/>
        <v>T</v>
      </c>
      <c r="AA267" s="47" t="s">
        <v>2752</v>
      </c>
      <c r="AB267" s="46" t="str">
        <f t="shared" si="54"/>
        <v>LUNES</v>
      </c>
      <c r="AC267" s="47" t="s">
        <v>2753</v>
      </c>
      <c r="AD267" t="str">
        <f t="shared" si="55"/>
        <v>CONTRATURNO</v>
      </c>
      <c r="AE267" s="47" t="s">
        <v>2754</v>
      </c>
      <c r="AH267" t="str">
        <f t="shared" si="56"/>
        <v>INSERT INTO horario_curso_materia (horario_curso_materia.FK_CUR_mat,horario_curso_materia.FK_HOR,horario_curso_materia.DIA,horario_curso_materia.tipo_turno) VALUES (  (SELECT curso_materia.ID_CUR_MAT FROM curso_materia WHERE curso_materia.CUPOF='807724' ) ,
    (SELECT horario.ID_HOR FROM horario WHERE horario.modulo='2 ' and horario.turno='T ' ),'LUNES ' , 'CONTRATURNO ' );</v>
      </c>
    </row>
    <row r="268" spans="1:34" ht="15" hidden="1" customHeight="1" x14ac:dyDescent="0.3">
      <c r="A268" s="1" t="str">
        <f t="shared" si="47"/>
        <v>2°3°</v>
      </c>
      <c r="B268" s="54" t="str">
        <f t="shared" si="48"/>
        <v>2°3°5JUMAÑANA0</v>
      </c>
      <c r="C268" s="62">
        <f>VLOOKUP(G268,[1]Hoja1!$A:$O,3,0)</f>
        <v>0</v>
      </c>
      <c r="D268" s="2" t="str">
        <f t="shared" si="49"/>
        <v>5JUM</v>
      </c>
      <c r="E268" s="62" t="s">
        <v>139</v>
      </c>
      <c r="F268" s="62" t="s">
        <v>27</v>
      </c>
      <c r="G268" s="62" t="s">
        <v>320</v>
      </c>
      <c r="H268" s="8" t="str">
        <f>VLOOKUP(G268,[1]Hoja1!$A:$O,6,0)</f>
        <v>CONSTRUCCION DE LA CIUDADANIA</v>
      </c>
      <c r="I268" s="4"/>
      <c r="J268" s="4"/>
      <c r="K268" s="80" t="str">
        <f t="shared" si="46"/>
        <v>JU</v>
      </c>
      <c r="L268" s="4"/>
      <c r="M268" s="86" t="str">
        <f>VLOOKUP(G268,[1]Hoja1!$A:$O,15,0)</f>
        <v>ARCE MIRTA</v>
      </c>
      <c r="N268" s="2" t="str">
        <f t="shared" si="50"/>
        <v>2°3°2CCDJU</v>
      </c>
      <c r="O268" s="2"/>
      <c r="P268" s="2" t="str">
        <f>VLOOKUP(G268,[1]Hoja1!$A:$P,16,0)</f>
        <v xml:space="preserve"> </v>
      </c>
      <c r="Q268" s="2"/>
      <c r="S268">
        <f>VLOOKUP(G268,[1]Hoja1!$A:$O,5,0)</f>
        <v>2683123</v>
      </c>
      <c r="U268" s="45" t="s">
        <v>2751</v>
      </c>
      <c r="V268" s="46">
        <f t="shared" si="51"/>
        <v>2683123</v>
      </c>
      <c r="W268" s="47" t="s">
        <v>1519</v>
      </c>
      <c r="X268" s="46" t="str">
        <f t="shared" si="52"/>
        <v>5</v>
      </c>
      <c r="Y268" s="47" t="s">
        <v>1518</v>
      </c>
      <c r="Z268" s="46" t="str">
        <f t="shared" si="53"/>
        <v>M</v>
      </c>
      <c r="AA268" s="47" t="s">
        <v>2752</v>
      </c>
      <c r="AB268" s="46" t="str">
        <f t="shared" si="54"/>
        <v>JUEVES</v>
      </c>
      <c r="AC268" s="47" t="s">
        <v>2753</v>
      </c>
      <c r="AD268">
        <f t="shared" si="55"/>
        <v>0</v>
      </c>
      <c r="AE268" s="47" t="s">
        <v>2754</v>
      </c>
      <c r="AH268" t="str">
        <f t="shared" si="56"/>
        <v>INSERT INTO horario_curso_materia (horario_curso_materia.FK_CUR_mat,horario_curso_materia.FK_HOR,horario_curso_materia.DIA,horario_curso_materia.tipo_turno) VALUES (  (SELECT curso_materia.ID_CUR_MAT FROM curso_materia WHERE curso_materia.CUPOF='2683123' ) ,
    (SELECT horario.ID_HOR FROM horario WHERE horario.modulo='5 ' and horario.turno='M ' ),'JUEVES ' , '0 ' );</v>
      </c>
    </row>
    <row r="269" spans="1:34" ht="15" hidden="1" customHeight="1" x14ac:dyDescent="0.3">
      <c r="A269" s="1" t="str">
        <f t="shared" si="47"/>
        <v>2°3°</v>
      </c>
      <c r="B269" s="54" t="str">
        <f t="shared" si="48"/>
        <v>2°3°5LUMAÑANA0</v>
      </c>
      <c r="C269" s="62">
        <f>VLOOKUP(G269,[1]Hoja1!$A:$O,3,0)</f>
        <v>0</v>
      </c>
      <c r="D269" s="2" t="str">
        <f t="shared" si="49"/>
        <v>5LUM</v>
      </c>
      <c r="E269" s="62" t="s">
        <v>102</v>
      </c>
      <c r="F269" s="62" t="s">
        <v>27</v>
      </c>
      <c r="G269" s="62" t="s">
        <v>320</v>
      </c>
      <c r="H269" s="8" t="str">
        <f>VLOOKUP(G269,[1]Hoja1!$A:$O,6,0)</f>
        <v>CONSTRUCCION DE LA CIUDADANIA</v>
      </c>
      <c r="I269" s="4"/>
      <c r="J269" s="4"/>
      <c r="K269" s="80" t="str">
        <f t="shared" si="46"/>
        <v>LU</v>
      </c>
      <c r="L269" s="4"/>
      <c r="M269" s="86" t="str">
        <f>VLOOKUP(G269,[1]Hoja1!$A:$O,15,0)</f>
        <v>ARCE MIRTA</v>
      </c>
      <c r="N269" s="2" t="str">
        <f t="shared" si="50"/>
        <v>2°3°2CCDLU</v>
      </c>
      <c r="O269" s="2"/>
      <c r="P269" s="2" t="str">
        <f>VLOOKUP(G269,[1]Hoja1!$A:$P,16,0)</f>
        <v xml:space="preserve"> </v>
      </c>
      <c r="Q269" s="2"/>
      <c r="S269">
        <f>VLOOKUP(G269,[1]Hoja1!$A:$O,5,0)</f>
        <v>2683123</v>
      </c>
      <c r="U269" s="45" t="s">
        <v>2751</v>
      </c>
      <c r="V269" s="46">
        <f t="shared" si="51"/>
        <v>2683123</v>
      </c>
      <c r="W269" s="47" t="s">
        <v>1519</v>
      </c>
      <c r="X269" s="46" t="str">
        <f t="shared" si="52"/>
        <v>5</v>
      </c>
      <c r="Y269" s="47" t="s">
        <v>1518</v>
      </c>
      <c r="Z269" s="46" t="str">
        <f t="shared" si="53"/>
        <v>M</v>
      </c>
      <c r="AA269" s="47" t="s">
        <v>2752</v>
      </c>
      <c r="AB269" s="46" t="str">
        <f t="shared" si="54"/>
        <v>LUNES</v>
      </c>
      <c r="AC269" s="47" t="s">
        <v>2753</v>
      </c>
      <c r="AD269">
        <f t="shared" si="55"/>
        <v>0</v>
      </c>
      <c r="AE269" s="47" t="s">
        <v>2754</v>
      </c>
      <c r="AH269" t="str">
        <f t="shared" si="56"/>
        <v>INSERT INTO horario_curso_materia (horario_curso_materia.FK_CUR_mat,horario_curso_materia.FK_HOR,horario_curso_materia.DIA,horario_curso_materia.tipo_turno) VALUES (  (SELECT curso_materia.ID_CUR_MAT FROM curso_materia WHERE curso_materia.CUPOF='2683123' ) ,
    (SELECT horario.ID_HOR FROM horario WHERE horario.modulo='5 ' and horario.turno='M ' ),'LUNES ' , '0 ' );</v>
      </c>
    </row>
    <row r="270" spans="1:34" ht="15" hidden="1" customHeight="1" x14ac:dyDescent="0.3">
      <c r="A270" s="1" t="str">
        <f t="shared" si="47"/>
        <v>2°4°</v>
      </c>
      <c r="B270" s="54" t="str">
        <f t="shared" si="48"/>
        <v>2°4°1JUMAÑANA0</v>
      </c>
      <c r="C270" s="62">
        <f>VLOOKUP(G270,[1]Hoja1!$A:$O,3,0)</f>
        <v>0</v>
      </c>
      <c r="D270" s="2" t="str">
        <f t="shared" si="49"/>
        <v>1JUMPATIO</v>
      </c>
      <c r="E270" s="4" t="s">
        <v>43</v>
      </c>
      <c r="F270" s="62" t="s">
        <v>27</v>
      </c>
      <c r="G270" s="72" t="s">
        <v>337</v>
      </c>
      <c r="H270" s="8" t="str">
        <f>VLOOKUP(G270,[1]Hoja1!$A:$O,6,0)</f>
        <v>EDUCACIÓN FISICA</v>
      </c>
      <c r="I270" s="4" t="s">
        <v>241</v>
      </c>
      <c r="J270" s="4"/>
      <c r="K270" s="80" t="str">
        <f t="shared" si="46"/>
        <v>JU</v>
      </c>
      <c r="L270" s="4" t="s">
        <v>512</v>
      </c>
      <c r="M270" s="86" t="str">
        <f>VLOOKUP(G270,[1]Hoja1!$A:$O,15,0)</f>
        <v>SANCHEZ CARLOS</v>
      </c>
      <c r="N270" s="2" t="str">
        <f t="shared" si="50"/>
        <v>2°4°2EFIJU</v>
      </c>
      <c r="O270" s="2"/>
      <c r="P270" s="2" t="str">
        <f>VLOOKUP(G270,[1]Hoja1!$A:$P,16,0)</f>
        <v xml:space="preserve"> </v>
      </c>
      <c r="Q270" s="2"/>
      <c r="S270">
        <f>VLOOKUP(G270,[1]Hoja1!$A:$O,5,0)</f>
        <v>1642683</v>
      </c>
      <c r="U270" s="45" t="s">
        <v>2751</v>
      </c>
      <c r="V270" s="46">
        <f t="shared" si="51"/>
        <v>1642683</v>
      </c>
      <c r="W270" s="47" t="s">
        <v>1519</v>
      </c>
      <c r="X270" s="46" t="str">
        <f t="shared" si="52"/>
        <v>1</v>
      </c>
      <c r="Y270" s="47" t="s">
        <v>1518</v>
      </c>
      <c r="Z270" s="46" t="str">
        <f t="shared" si="53"/>
        <v>M</v>
      </c>
      <c r="AA270" s="47" t="s">
        <v>2752</v>
      </c>
      <c r="AB270" s="46" t="str">
        <f t="shared" si="54"/>
        <v>JUEVES</v>
      </c>
      <c r="AC270" s="47" t="s">
        <v>2753</v>
      </c>
      <c r="AD270" t="str">
        <f t="shared" si="55"/>
        <v>CONTRATURNO</v>
      </c>
      <c r="AE270" s="47" t="s">
        <v>2754</v>
      </c>
      <c r="AH270" t="str">
        <f t="shared" si="56"/>
        <v>INSERT INTO horario_curso_materia (horario_curso_materia.FK_CUR_mat,horario_curso_materia.FK_HOR,horario_curso_materia.DIA,horario_curso_materia.tipo_turno) VALUES (  (SELECT curso_materia.ID_CUR_MAT FROM curso_materia WHERE curso_materia.CUPOF='1642683' ) ,
    (SELECT horario.ID_HOR FROM horario WHERE horario.modulo='1 ' and horario.turno='M ' ),'JUEVES ' , 'CONTRATURNO ' );</v>
      </c>
    </row>
    <row r="271" spans="1:34" ht="15" hidden="1" customHeight="1" x14ac:dyDescent="0.3">
      <c r="A271" s="1" t="str">
        <f t="shared" si="47"/>
        <v>2°4°</v>
      </c>
      <c r="B271" s="54" t="str">
        <f t="shared" si="48"/>
        <v>2°4°1JUTARDE0</v>
      </c>
      <c r="C271" s="62">
        <f>VLOOKUP(G271,[1]Hoja1!$A:$O,3,0)</f>
        <v>0</v>
      </c>
      <c r="D271" s="2" t="str">
        <f t="shared" si="49"/>
        <v>1JUT</v>
      </c>
      <c r="E271" s="62" t="s">
        <v>43</v>
      </c>
      <c r="F271" s="62" t="s">
        <v>10</v>
      </c>
      <c r="G271" s="62" t="s">
        <v>330</v>
      </c>
      <c r="H271" s="8" t="str">
        <f>VLOOKUP(G271,[1]Hoja1!$A:$O,6,0)</f>
        <v>MATEMATICA</v>
      </c>
      <c r="I271" s="4"/>
      <c r="J271" s="4"/>
      <c r="K271" s="80" t="str">
        <f t="shared" si="46"/>
        <v>JU</v>
      </c>
      <c r="L271" s="4"/>
      <c r="M271" s="86" t="str">
        <f>VLOOKUP(G271,[1]Hoja1!$A:$O,15,0)</f>
        <v>FERRARIS OJEDA JULIETA</v>
      </c>
      <c r="N271" s="2" t="str">
        <f t="shared" si="50"/>
        <v>2°4°2MATJU</v>
      </c>
      <c r="O271" s="2"/>
      <c r="P271" s="2" t="str">
        <f>VLOOKUP(G271,[1]Hoja1!$A:$P,16,0)</f>
        <v xml:space="preserve"> </v>
      </c>
      <c r="Q271" s="2"/>
      <c r="S271">
        <f>VLOOKUP(G271,[1]Hoja1!$A:$O,5,0)</f>
        <v>1642674</v>
      </c>
      <c r="U271" s="45" t="s">
        <v>2751</v>
      </c>
      <c r="V271" s="46">
        <f t="shared" si="51"/>
        <v>1642674</v>
      </c>
      <c r="W271" s="47" t="s">
        <v>1519</v>
      </c>
      <c r="X271" s="46" t="str">
        <f t="shared" si="52"/>
        <v>1</v>
      </c>
      <c r="Y271" s="47" t="s">
        <v>1518</v>
      </c>
      <c r="Z271" s="46" t="str">
        <f t="shared" si="53"/>
        <v>T</v>
      </c>
      <c r="AA271" s="47" t="s">
        <v>2752</v>
      </c>
      <c r="AB271" s="46" t="str">
        <f t="shared" si="54"/>
        <v>JUEVES</v>
      </c>
      <c r="AC271" s="47" t="s">
        <v>2753</v>
      </c>
      <c r="AD271">
        <f t="shared" si="55"/>
        <v>0</v>
      </c>
      <c r="AE271" s="47" t="s">
        <v>2754</v>
      </c>
      <c r="AH271" t="str">
        <f t="shared" si="56"/>
        <v>INSERT INTO horario_curso_materia (horario_curso_materia.FK_CUR_mat,horario_curso_materia.FK_HOR,horario_curso_materia.DIA,horario_curso_materia.tipo_turno) VALUES (  (SELECT curso_materia.ID_CUR_MAT FROM curso_materia WHERE curso_materia.CUPOF='1642674' ) ,
    (SELECT horario.ID_HOR FROM horario WHERE horario.modulo='1 ' and horario.turno='T ' ),'JUEVES ' , '0 ' );</v>
      </c>
    </row>
    <row r="272" spans="1:34" ht="15" hidden="1" customHeight="1" x14ac:dyDescent="0.3">
      <c r="A272" s="1" t="str">
        <f t="shared" si="47"/>
        <v>2°4°</v>
      </c>
      <c r="B272" s="54" t="str">
        <f t="shared" si="48"/>
        <v>2°4°1LUMAÑANA242</v>
      </c>
      <c r="C272" s="62">
        <f>VLOOKUP(G272,[1]Hoja1!$A:$O,3,0)</f>
        <v>242</v>
      </c>
      <c r="D272" s="2" t="str">
        <f t="shared" si="49"/>
        <v>1LUM45</v>
      </c>
      <c r="E272" s="62" t="s">
        <v>9</v>
      </c>
      <c r="F272" s="62" t="s">
        <v>27</v>
      </c>
      <c r="G272" s="62" t="s">
        <v>91</v>
      </c>
      <c r="H272" s="8" t="str">
        <f>VLOOKUP(G272,[1]Hoja1!$A:$O,6,0)</f>
        <v>SISTEMAS TECNOLOGICOS</v>
      </c>
      <c r="I272" s="4">
        <v>45</v>
      </c>
      <c r="J272" s="4"/>
      <c r="K272" s="80" t="str">
        <f t="shared" si="46"/>
        <v>LU</v>
      </c>
      <c r="L272" s="4" t="s">
        <v>512</v>
      </c>
      <c r="M272" s="86" t="str">
        <f>VLOOKUP(G272,[1]Hoja1!$A:$O,15,0)</f>
        <v xml:space="preserve">ETCHEVERRY MARTIN  </v>
      </c>
      <c r="N272" s="2" t="str">
        <f t="shared" si="50"/>
        <v>2°4°2422TST2LU</v>
      </c>
      <c r="O272" s="2" t="s">
        <v>1506</v>
      </c>
      <c r="P272" s="2" t="str">
        <f>VLOOKUP(G272,[1]Hoja1!$A:$P,16,0)</f>
        <v xml:space="preserve"> </v>
      </c>
      <c r="Q272" s="2"/>
      <c r="S272">
        <f>VLOOKUP(G272,[1]Hoja1!$A:$O,5,0)</f>
        <v>2673428</v>
      </c>
      <c r="U272" s="45" t="s">
        <v>2751</v>
      </c>
      <c r="V272" s="46">
        <f t="shared" si="51"/>
        <v>2673428</v>
      </c>
      <c r="W272" s="47" t="s">
        <v>1519</v>
      </c>
      <c r="X272" s="46" t="str">
        <f t="shared" si="52"/>
        <v>1</v>
      </c>
      <c r="Y272" s="47" t="s">
        <v>1518</v>
      </c>
      <c r="Z272" s="46" t="str">
        <f t="shared" si="53"/>
        <v>M</v>
      </c>
      <c r="AA272" s="47" t="s">
        <v>2752</v>
      </c>
      <c r="AB272" s="46" t="str">
        <f t="shared" si="54"/>
        <v>LUNES</v>
      </c>
      <c r="AC272" s="47" t="s">
        <v>2753</v>
      </c>
      <c r="AD272" t="str">
        <f t="shared" si="55"/>
        <v>CONTRATURNO</v>
      </c>
      <c r="AE272" s="47" t="s">
        <v>2754</v>
      </c>
      <c r="AH272" t="str">
        <f t="shared" si="56"/>
        <v>INSERT INTO horario_curso_materia (horario_curso_materia.FK_CUR_mat,horario_curso_materia.FK_HOR,horario_curso_materia.DIA,horario_curso_materia.tipo_turno) VALUES (  (SELECT curso_materia.ID_CUR_MAT FROM curso_materia WHERE curso_materia.CUPOF='2673428' ) ,
    (SELECT horario.ID_HOR FROM horario WHERE horario.modulo='1 ' and horario.turno='M ' ),'LUNES ' , 'CONTRATURNO ' );</v>
      </c>
    </row>
    <row r="273" spans="1:34" ht="15" hidden="1" customHeight="1" x14ac:dyDescent="0.3">
      <c r="A273" s="1" t="str">
        <f t="shared" si="47"/>
        <v>2°4°</v>
      </c>
      <c r="B273" s="54" t="str">
        <f t="shared" si="48"/>
        <v>2°4°1LUTARDE0</v>
      </c>
      <c r="C273" s="62">
        <f>VLOOKUP(G273,[1]Hoja1!$A:$O,3,0)</f>
        <v>0</v>
      </c>
      <c r="D273" s="2" t="str">
        <f t="shared" si="49"/>
        <v>1LUT</v>
      </c>
      <c r="E273" s="62" t="s">
        <v>9</v>
      </c>
      <c r="F273" s="62" t="s">
        <v>10</v>
      </c>
      <c r="G273" s="62" t="s">
        <v>328</v>
      </c>
      <c r="H273" s="8" t="str">
        <f>VLOOKUP(G273,[1]Hoja1!$A:$O,6,0)</f>
        <v>FISICO-QUIMICA</v>
      </c>
      <c r="I273" s="4"/>
      <c r="J273" s="4"/>
      <c r="K273" s="80" t="str">
        <f t="shared" si="46"/>
        <v>LU</v>
      </c>
      <c r="L273" s="4"/>
      <c r="M273" s="86" t="str">
        <f>VLOOKUP(G273,[1]Hoja1!$A:$O,15,0)</f>
        <v xml:space="preserve">DA CHILE IGLESIAS V                 </v>
      </c>
      <c r="N273" s="2" t="str">
        <f t="shared" si="50"/>
        <v>2°4°2FI/QUILU</v>
      </c>
      <c r="O273" s="2"/>
      <c r="P273" s="2" t="str">
        <f>VLOOKUP(G273,[1]Hoja1!$A:$P,16,0)</f>
        <v xml:space="preserve"> </v>
      </c>
      <c r="Q273" s="2"/>
      <c r="S273">
        <f>VLOOKUP(G273,[1]Hoja1!$A:$O,5,0)</f>
        <v>1642679</v>
      </c>
      <c r="U273" s="45" t="s">
        <v>2751</v>
      </c>
      <c r="V273" s="46">
        <f t="shared" si="51"/>
        <v>1642679</v>
      </c>
      <c r="W273" s="47" t="s">
        <v>1519</v>
      </c>
      <c r="X273" s="46" t="str">
        <f t="shared" si="52"/>
        <v>1</v>
      </c>
      <c r="Y273" s="47" t="s">
        <v>1518</v>
      </c>
      <c r="Z273" s="46" t="str">
        <f t="shared" si="53"/>
        <v>T</v>
      </c>
      <c r="AA273" s="47" t="s">
        <v>2752</v>
      </c>
      <c r="AB273" s="46" t="str">
        <f t="shared" si="54"/>
        <v>LUNES</v>
      </c>
      <c r="AC273" s="47" t="s">
        <v>2753</v>
      </c>
      <c r="AD273">
        <f t="shared" si="55"/>
        <v>0</v>
      </c>
      <c r="AE273" s="47" t="s">
        <v>2754</v>
      </c>
      <c r="AH273" t="str">
        <f t="shared" si="56"/>
        <v>INSERT INTO horario_curso_materia (horario_curso_materia.FK_CUR_mat,horario_curso_materia.FK_HOR,horario_curso_materia.DIA,horario_curso_materia.tipo_turno) VALUES (  (SELECT curso_materia.ID_CUR_MAT FROM curso_materia WHERE curso_materia.CUPOF='1642679' ) ,
    (SELECT horario.ID_HOR FROM horario WHERE horario.modulo='1 ' and horario.turno='T ' ),'LUNES ' , '0 ' );</v>
      </c>
    </row>
    <row r="274" spans="1:34" ht="15" hidden="1" customHeight="1" x14ac:dyDescent="0.3">
      <c r="A274" s="1" t="str">
        <f t="shared" si="47"/>
        <v>2°4°</v>
      </c>
      <c r="B274" s="54" t="str">
        <f t="shared" si="48"/>
        <v>2°4°1maMAÑANA241</v>
      </c>
      <c r="C274" s="62">
        <f>VLOOKUP(G274,[1]Hoja1!$A:$O,3,0)</f>
        <v>241</v>
      </c>
      <c r="D274" s="2" t="str">
        <f t="shared" si="49"/>
        <v>1maM33</v>
      </c>
      <c r="E274" s="62" t="s">
        <v>88</v>
      </c>
      <c r="F274" s="62" t="s">
        <v>27</v>
      </c>
      <c r="G274" s="62" t="s">
        <v>89</v>
      </c>
      <c r="H274" s="8" t="str">
        <f>VLOOKUP(G274,[1]Hoja1!$A:$O,6,0)</f>
        <v>SISTEMAS TECNOLOGICOS</v>
      </c>
      <c r="I274" s="4">
        <v>33</v>
      </c>
      <c r="J274" s="4"/>
      <c r="K274" s="80" t="str">
        <f t="shared" si="46"/>
        <v>ma</v>
      </c>
      <c r="L274" s="4" t="s">
        <v>512</v>
      </c>
      <c r="M274" s="86" t="str">
        <f>VLOOKUP(G274,[1]Hoja1!$A:$O,15,0)</f>
        <v xml:space="preserve">AVILA </v>
      </c>
      <c r="N274" s="2" t="str">
        <f t="shared" si="50"/>
        <v>2°4°2412TST2ma</v>
      </c>
      <c r="O274" s="2"/>
      <c r="P274" s="2" t="str">
        <f>VLOOKUP(G274,[1]Hoja1!$A:$P,16,0)</f>
        <v xml:space="preserve"> </v>
      </c>
      <c r="Q274" s="2"/>
      <c r="S274">
        <f>VLOOKUP(G274,[1]Hoja1!$A:$O,5,0)</f>
        <v>2673423</v>
      </c>
      <c r="U274" s="45" t="s">
        <v>2751</v>
      </c>
      <c r="V274" s="46">
        <f t="shared" si="51"/>
        <v>2673423</v>
      </c>
      <c r="W274" s="47" t="s">
        <v>1519</v>
      </c>
      <c r="X274" s="46" t="str">
        <f t="shared" si="52"/>
        <v>1</v>
      </c>
      <c r="Y274" s="47" t="s">
        <v>1518</v>
      </c>
      <c r="Z274" s="46" t="str">
        <f t="shared" si="53"/>
        <v>M</v>
      </c>
      <c r="AA274" s="47" t="s">
        <v>2752</v>
      </c>
      <c r="AB274" s="46" t="str">
        <f t="shared" si="54"/>
        <v>MARTES</v>
      </c>
      <c r="AC274" s="47" t="s">
        <v>2753</v>
      </c>
      <c r="AD274" t="str">
        <f t="shared" si="55"/>
        <v>CONTRATURNO</v>
      </c>
      <c r="AE274" s="47" t="s">
        <v>2754</v>
      </c>
      <c r="AH274" t="str">
        <f t="shared" si="56"/>
        <v>INSERT INTO horario_curso_materia (horario_curso_materia.FK_CUR_mat,horario_curso_materia.FK_HOR,horario_curso_materia.DIA,horario_curso_materia.tipo_turno) VALUES (  (SELECT curso_materia.ID_CUR_MAT FROM curso_materia WHERE curso_materia.CUPOF='2673423' ) ,
    (SELECT horario.ID_HOR FROM horario WHERE horario.modulo='1 ' and horario.turno='M ' ),'MARTES ' , 'CONTRATURNO ' );</v>
      </c>
    </row>
    <row r="275" spans="1:34" ht="15" hidden="1" customHeight="1" x14ac:dyDescent="0.3">
      <c r="A275" s="1" t="str">
        <f t="shared" si="47"/>
        <v>2°4°</v>
      </c>
      <c r="B275" s="54" t="str">
        <f t="shared" si="48"/>
        <v>2°4°1MAMAÑANA242</v>
      </c>
      <c r="C275" s="62">
        <f>VLOOKUP(G275,[1]Hoja1!$A:$O,3,0)</f>
        <v>242</v>
      </c>
      <c r="D275" s="2" t="str">
        <f t="shared" si="49"/>
        <v>1MAMHERRERIA</v>
      </c>
      <c r="E275" s="62" t="s">
        <v>17</v>
      </c>
      <c r="F275" s="62" t="s">
        <v>27</v>
      </c>
      <c r="G275" s="62" t="s">
        <v>86</v>
      </c>
      <c r="H275" s="8" t="str">
        <f>VLOOKUP(G275,[1]Hoja1!$A:$O,6,0)</f>
        <v>PROCEDIMIENTOS TECNICOS</v>
      </c>
      <c r="I275" s="4" t="s">
        <v>21</v>
      </c>
      <c r="J275" s="4"/>
      <c r="K275" s="80" t="str">
        <f t="shared" si="46"/>
        <v>MA</v>
      </c>
      <c r="L275" s="4" t="s">
        <v>512</v>
      </c>
      <c r="M275" s="86" t="str">
        <f>VLOOKUP(G275,[1]Hoja1!$A:$O,15,0)</f>
        <v>CRUZ DAVID</v>
      </c>
      <c r="N275" s="2" t="str">
        <f t="shared" si="50"/>
        <v>2°4°2422TPT2MA</v>
      </c>
      <c r="O275" s="2"/>
      <c r="P275" s="2" t="str">
        <f>VLOOKUP(G275,[1]Hoja1!$A:$P,16,0)</f>
        <v xml:space="preserve"> </v>
      </c>
      <c r="Q275" s="2"/>
      <c r="S275">
        <f>VLOOKUP(G275,[1]Hoja1!$A:$O,5,0)</f>
        <v>2673429</v>
      </c>
      <c r="U275" s="45" t="s">
        <v>2751</v>
      </c>
      <c r="V275" s="46">
        <f t="shared" si="51"/>
        <v>2673429</v>
      </c>
      <c r="W275" s="47" t="s">
        <v>1519</v>
      </c>
      <c r="X275" s="46" t="str">
        <f t="shared" si="52"/>
        <v>1</v>
      </c>
      <c r="Y275" s="47" t="s">
        <v>1518</v>
      </c>
      <c r="Z275" s="46" t="str">
        <f t="shared" si="53"/>
        <v>M</v>
      </c>
      <c r="AA275" s="47" t="s">
        <v>2752</v>
      </c>
      <c r="AB275" s="46" t="str">
        <f t="shared" si="54"/>
        <v>MARTES</v>
      </c>
      <c r="AC275" s="47" t="s">
        <v>2753</v>
      </c>
      <c r="AD275" t="str">
        <f t="shared" si="55"/>
        <v>CONTRATURNO</v>
      </c>
      <c r="AE275" s="47" t="s">
        <v>2754</v>
      </c>
      <c r="AH275" t="str">
        <f t="shared" si="56"/>
        <v>INSERT INTO horario_curso_materia (horario_curso_materia.FK_CUR_mat,horario_curso_materia.FK_HOR,horario_curso_materia.DIA,horario_curso_materia.tipo_turno) VALUES (  (SELECT curso_materia.ID_CUR_MAT FROM curso_materia WHERE curso_materia.CUPOF='2673429' ) ,
    (SELECT horario.ID_HOR FROM horario WHERE horario.modulo='1 ' and horario.turno='M ' ),'MARTES ' , 'CONTRATURNO ' );</v>
      </c>
    </row>
    <row r="276" spans="1:34" ht="15" hidden="1" customHeight="1" x14ac:dyDescent="0.3">
      <c r="A276" s="1" t="str">
        <f t="shared" si="47"/>
        <v>2°4°</v>
      </c>
      <c r="B276" s="54" t="str">
        <f t="shared" si="48"/>
        <v>2°4°1MATARDE0</v>
      </c>
      <c r="C276" s="62">
        <f>VLOOKUP(G276,[1]Hoja1!$A:$O,3,0)</f>
        <v>0</v>
      </c>
      <c r="D276" s="2" t="str">
        <f t="shared" si="49"/>
        <v>1MAT</v>
      </c>
      <c r="E276" s="62" t="s">
        <v>17</v>
      </c>
      <c r="F276" s="62" t="s">
        <v>10</v>
      </c>
      <c r="G276" s="62" t="s">
        <v>331</v>
      </c>
      <c r="H276" s="8" t="str">
        <f>VLOOKUP(G276,[1]Hoja1!$A:$O,6,0)</f>
        <v>EDUCACION ARTISTICA (PLASTICA)</v>
      </c>
      <c r="I276" s="4"/>
      <c r="J276" s="4"/>
      <c r="K276" s="80" t="str">
        <f t="shared" ref="K276:K328" si="57">RIGHT(E276,2)</f>
        <v>MA</v>
      </c>
      <c r="L276" s="4"/>
      <c r="M276" s="86" t="str">
        <f>VLOOKUP(G276,[1]Hoja1!$A:$O,15,0)</f>
        <v xml:space="preserve">QUEVEDO OMAR </v>
      </c>
      <c r="N276" s="2" t="str">
        <f t="shared" si="50"/>
        <v>2°4°2ARTMA</v>
      </c>
      <c r="O276" s="2"/>
      <c r="P276" s="2" t="str">
        <f>VLOOKUP(G276,[1]Hoja1!$A:$P,16,0)</f>
        <v xml:space="preserve"> </v>
      </c>
      <c r="Q276" s="2"/>
      <c r="S276">
        <f>VLOOKUP(G276,[1]Hoja1!$A:$O,5,0)</f>
        <v>1642684</v>
      </c>
      <c r="U276" s="45" t="s">
        <v>2751</v>
      </c>
      <c r="V276" s="46">
        <f t="shared" si="51"/>
        <v>1642684</v>
      </c>
      <c r="W276" s="47" t="s">
        <v>1519</v>
      </c>
      <c r="X276" s="46" t="str">
        <f t="shared" si="52"/>
        <v>1</v>
      </c>
      <c r="Y276" s="47" t="s">
        <v>1518</v>
      </c>
      <c r="Z276" s="46" t="str">
        <f t="shared" si="53"/>
        <v>T</v>
      </c>
      <c r="AA276" s="47" t="s">
        <v>2752</v>
      </c>
      <c r="AB276" s="46" t="str">
        <f t="shared" si="54"/>
        <v>MARTES</v>
      </c>
      <c r="AC276" s="47" t="s">
        <v>2753</v>
      </c>
      <c r="AD276">
        <f t="shared" si="55"/>
        <v>0</v>
      </c>
      <c r="AE276" s="47" t="s">
        <v>2754</v>
      </c>
      <c r="AH276" t="str">
        <f t="shared" si="56"/>
        <v>INSERT INTO horario_curso_materia (horario_curso_materia.FK_CUR_mat,horario_curso_materia.FK_HOR,horario_curso_materia.DIA,horario_curso_materia.tipo_turno) VALUES (  (SELECT curso_materia.ID_CUR_MAT FROM curso_materia WHERE curso_materia.CUPOF='1642684' ) ,
    (SELECT horario.ID_HOR FROM horario WHERE horario.modulo='1 ' and horario.turno='T ' ),'MARTES ' , '0 ' );</v>
      </c>
    </row>
    <row r="277" spans="1:34" ht="15" hidden="1" customHeight="1" x14ac:dyDescent="0.3">
      <c r="A277" s="1" t="str">
        <f t="shared" si="47"/>
        <v>2°4°</v>
      </c>
      <c r="B277" s="54" t="str">
        <f t="shared" si="48"/>
        <v>2°4°1MIMAÑANA241</v>
      </c>
      <c r="C277" s="62">
        <f>VLOOKUP(G277,[1]Hoja1!$A:$O,3,0)</f>
        <v>241</v>
      </c>
      <c r="D277" s="2" t="str">
        <f t="shared" si="49"/>
        <v>1MIMAULA 4</v>
      </c>
      <c r="E277" s="62" t="s">
        <v>24</v>
      </c>
      <c r="F277" s="62" t="s">
        <v>27</v>
      </c>
      <c r="G277" s="62" t="s">
        <v>87</v>
      </c>
      <c r="H277" s="8" t="str">
        <f>VLOOKUP(G277,[1]Hoja1!$A:$O,6,0)</f>
        <v>LENGUAJES TECNOLOGICOS</v>
      </c>
      <c r="I277" s="4" t="s">
        <v>1485</v>
      </c>
      <c r="J277" s="4"/>
      <c r="K277" s="80" t="str">
        <f t="shared" si="57"/>
        <v>MI</v>
      </c>
      <c r="L277" s="4" t="s">
        <v>512</v>
      </c>
      <c r="M277" s="86" t="str">
        <f>VLOOKUP(G277,[1]Hoja1!$A:$O,15,0)</f>
        <v>FISTER, VICTOR</v>
      </c>
      <c r="N277" s="2" t="str">
        <f t="shared" si="50"/>
        <v>2°4°2412TLT2MI</v>
      </c>
      <c r="O277" s="2"/>
      <c r="P277" s="2" t="str">
        <f>VLOOKUP(G277,[1]Hoja1!$A:$P,16,0)</f>
        <v xml:space="preserve"> </v>
      </c>
      <c r="Q277" s="2"/>
      <c r="S277">
        <f>VLOOKUP(G277,[1]Hoja1!$A:$O,5,0)</f>
        <v>2673421</v>
      </c>
      <c r="U277" s="45" t="s">
        <v>2751</v>
      </c>
      <c r="V277" s="46">
        <f t="shared" si="51"/>
        <v>2673421</v>
      </c>
      <c r="W277" s="47" t="s">
        <v>1519</v>
      </c>
      <c r="X277" s="46" t="str">
        <f t="shared" si="52"/>
        <v>1</v>
      </c>
      <c r="Y277" s="47" t="s">
        <v>1518</v>
      </c>
      <c r="Z277" s="46" t="str">
        <f t="shared" si="53"/>
        <v>M</v>
      </c>
      <c r="AA277" s="47" t="s">
        <v>2752</v>
      </c>
      <c r="AB277" s="46" t="str">
        <f t="shared" si="54"/>
        <v>MIERCOLES</v>
      </c>
      <c r="AC277" s="47" t="s">
        <v>2753</v>
      </c>
      <c r="AD277" t="str">
        <f t="shared" si="55"/>
        <v>CONTRATURNO</v>
      </c>
      <c r="AE277" s="47" t="s">
        <v>2754</v>
      </c>
      <c r="AH277" t="str">
        <f t="shared" si="56"/>
        <v>INSERT INTO horario_curso_materia (horario_curso_materia.FK_CUR_mat,horario_curso_materia.FK_HOR,horario_curso_materia.DIA,horario_curso_materia.tipo_turno) VALUES (  (SELECT curso_materia.ID_CUR_MAT FROM curso_materia WHERE curso_materia.CUPOF='2673421' ) ,
    (SELECT horario.ID_HOR FROM horario WHERE horario.modulo='1 ' and horario.turno='M ' ),'MIERCOLES ' , 'CONTRATURNO ' );</v>
      </c>
    </row>
    <row r="278" spans="1:34" ht="15" hidden="1" customHeight="1" x14ac:dyDescent="0.3">
      <c r="A278" s="1" t="str">
        <f t="shared" si="47"/>
        <v>2°4°</v>
      </c>
      <c r="B278" s="54" t="str">
        <f t="shared" si="48"/>
        <v>2°4°3miMAÑANA242</v>
      </c>
      <c r="C278" s="62">
        <f>VLOOKUP(G278,[1]Hoja1!$A:$O,3,0)</f>
        <v>242</v>
      </c>
      <c r="D278" s="2" t="str">
        <f t="shared" si="49"/>
        <v>3miM45</v>
      </c>
      <c r="E278" s="62" t="s">
        <v>1331</v>
      </c>
      <c r="F278" s="62" t="s">
        <v>27</v>
      </c>
      <c r="G278" s="62" t="s">
        <v>92</v>
      </c>
      <c r="H278" s="8" t="str">
        <f>VLOOKUP(G278,[1]Hoja1!$A:$O,6,0)</f>
        <v>LENGUAJES TECNOLOGICOS</v>
      </c>
      <c r="I278" s="4">
        <v>45</v>
      </c>
      <c r="J278" s="4"/>
      <c r="K278" s="80" t="str">
        <f t="shared" si="57"/>
        <v>mi</v>
      </c>
      <c r="L278" s="4" t="s">
        <v>512</v>
      </c>
      <c r="M278" s="86" t="str">
        <f>VLOOKUP(G278,[1]Hoja1!$A:$O,15,0)</f>
        <v xml:space="preserve">LEYES RICARDO  </v>
      </c>
      <c r="N278" s="2" t="str">
        <f t="shared" si="50"/>
        <v>2°4°2422TLT2mi</v>
      </c>
      <c r="O278" s="2"/>
      <c r="P278" s="2" t="str">
        <f>VLOOKUP(G278,[1]Hoja1!$A:$P,16,0)</f>
        <v xml:space="preserve"> </v>
      </c>
      <c r="Q278" s="2"/>
      <c r="S278">
        <f>VLOOKUP(G278,[1]Hoja1!$A:$O,5,0)</f>
        <v>2673427</v>
      </c>
      <c r="U278" s="45" t="s">
        <v>2751</v>
      </c>
      <c r="V278" s="46">
        <f t="shared" si="51"/>
        <v>2673427</v>
      </c>
      <c r="W278" s="47" t="s">
        <v>1519</v>
      </c>
      <c r="X278" s="46" t="str">
        <f t="shared" si="52"/>
        <v>3</v>
      </c>
      <c r="Y278" s="47" t="s">
        <v>1518</v>
      </c>
      <c r="Z278" s="46" t="str">
        <f t="shared" si="53"/>
        <v>M</v>
      </c>
      <c r="AA278" s="47" t="s">
        <v>2752</v>
      </c>
      <c r="AB278" s="46" t="str">
        <f t="shared" si="54"/>
        <v>MIERCOLES</v>
      </c>
      <c r="AC278" s="47" t="s">
        <v>2753</v>
      </c>
      <c r="AD278" t="str">
        <f t="shared" si="55"/>
        <v>CONTRATURNO</v>
      </c>
      <c r="AE278" s="47" t="s">
        <v>2754</v>
      </c>
      <c r="AH278" t="str">
        <f t="shared" si="56"/>
        <v>INSERT INTO horario_curso_materia (horario_curso_materia.FK_CUR_mat,horario_curso_materia.FK_HOR,horario_curso_materia.DIA,horario_curso_materia.tipo_turno) VALUES (  (SELECT curso_materia.ID_CUR_MAT FROM curso_materia WHERE curso_materia.CUPOF='2673427' ) ,
    (SELECT horario.ID_HOR FROM horario WHERE horario.modulo='3 ' and horario.turno='M ' ),'MIERCOLES ' , 'CONTRATURNO ' );</v>
      </c>
    </row>
    <row r="279" spans="1:34" ht="15" hidden="1" customHeight="1" x14ac:dyDescent="0.3">
      <c r="A279" s="1" t="str">
        <f t="shared" si="47"/>
        <v>2°4°</v>
      </c>
      <c r="B279" s="54" t="str">
        <f t="shared" si="48"/>
        <v>2°4°1MITARDE0</v>
      </c>
      <c r="C279" s="62">
        <f>VLOOKUP(G279,[1]Hoja1!$A:$O,3,0)</f>
        <v>0</v>
      </c>
      <c r="D279" s="2" t="str">
        <f t="shared" si="49"/>
        <v>1MIT</v>
      </c>
      <c r="E279" s="62" t="s">
        <v>24</v>
      </c>
      <c r="F279" s="62" t="s">
        <v>10</v>
      </c>
      <c r="G279" s="62" t="s">
        <v>333</v>
      </c>
      <c r="H279" s="8" t="str">
        <f>VLOOKUP(G279,[1]Hoja1!$A:$O,6,0)</f>
        <v>CONSTRUCCION DE LA CIUDADANIA</v>
      </c>
      <c r="I279" s="4"/>
      <c r="J279" s="4"/>
      <c r="K279" s="80" t="str">
        <f t="shared" si="57"/>
        <v>MI</v>
      </c>
      <c r="L279" s="4"/>
      <c r="M279" s="86" t="str">
        <f>VLOOKUP(G279,[1]Hoja1!$A:$O,15,0)</f>
        <v>AMAYA SILVIA</v>
      </c>
      <c r="N279" s="2" t="str">
        <f t="shared" si="50"/>
        <v>2°4°2CCDMI</v>
      </c>
      <c r="O279" s="2"/>
      <c r="P279" s="2" t="str">
        <f>VLOOKUP(G279,[1]Hoja1!$A:$P,16,0)</f>
        <v xml:space="preserve"> </v>
      </c>
      <c r="Q279" s="2"/>
      <c r="S279">
        <f>VLOOKUP(G279,[1]Hoja1!$A:$O,5,0)</f>
        <v>1642681</v>
      </c>
      <c r="U279" s="45" t="s">
        <v>2751</v>
      </c>
      <c r="V279" s="46">
        <f t="shared" si="51"/>
        <v>1642681</v>
      </c>
      <c r="W279" s="47" t="s">
        <v>1519</v>
      </c>
      <c r="X279" s="46" t="str">
        <f t="shared" si="52"/>
        <v>1</v>
      </c>
      <c r="Y279" s="47" t="s">
        <v>1518</v>
      </c>
      <c r="Z279" s="46" t="str">
        <f t="shared" si="53"/>
        <v>T</v>
      </c>
      <c r="AA279" s="47" t="s">
        <v>2752</v>
      </c>
      <c r="AB279" s="46" t="str">
        <f t="shared" si="54"/>
        <v>MIERCOLES</v>
      </c>
      <c r="AC279" s="47" t="s">
        <v>2753</v>
      </c>
      <c r="AD279">
        <f t="shared" si="55"/>
        <v>0</v>
      </c>
      <c r="AE279" s="47" t="s">
        <v>2754</v>
      </c>
      <c r="AH279" t="str">
        <f t="shared" si="56"/>
        <v>INSERT INTO horario_curso_materia (horario_curso_materia.FK_CUR_mat,horario_curso_materia.FK_HOR,horario_curso_materia.DIA,horario_curso_materia.tipo_turno) VALUES (  (SELECT curso_materia.ID_CUR_MAT FROM curso_materia WHERE curso_materia.CUPOF='1642681' ) ,
    (SELECT horario.ID_HOR FROM horario WHERE horario.modulo='1 ' and horario.turno='T ' ),'MIERCOLES ' , '0 ' );</v>
      </c>
    </row>
    <row r="280" spans="1:34" ht="15" hidden="1" customHeight="1" x14ac:dyDescent="0.3">
      <c r="A280" s="1" t="str">
        <f t="shared" si="47"/>
        <v>2°4°</v>
      </c>
      <c r="B280" s="54" t="str">
        <f t="shared" si="48"/>
        <v>2°4°1VIMAÑANA241</v>
      </c>
      <c r="C280" s="62">
        <f>VLOOKUP(G280,[1]Hoja1!$A:$O,3,0)</f>
        <v>241</v>
      </c>
      <c r="D280" s="2" t="str">
        <f t="shared" si="49"/>
        <v>1VIMHERRERIA</v>
      </c>
      <c r="E280" s="62" t="s">
        <v>57</v>
      </c>
      <c r="F280" s="62" t="s">
        <v>27</v>
      </c>
      <c r="G280" s="62" t="s">
        <v>93</v>
      </c>
      <c r="H280" s="8" t="str">
        <f>VLOOKUP(G280,[1]Hoja1!$A:$O,6,0)</f>
        <v>PROCEDIMIENTOS TECNICOS</v>
      </c>
      <c r="I280" s="4" t="s">
        <v>21</v>
      </c>
      <c r="J280" s="4"/>
      <c r="K280" s="80" t="str">
        <f t="shared" si="57"/>
        <v>VI</v>
      </c>
      <c r="L280" s="4" t="s">
        <v>512</v>
      </c>
      <c r="M280" s="86" t="str">
        <f>VLOOKUP(G280,[1]Hoja1!$A:$O,15,0)</f>
        <v>CRUZ DAVID</v>
      </c>
      <c r="N280" s="2" t="str">
        <f t="shared" si="50"/>
        <v>2°4°2412TPT2VI</v>
      </c>
      <c r="O280" s="2"/>
      <c r="P280" s="2" t="str">
        <f>VLOOKUP(G280,[1]Hoja1!$A:$P,16,0)</f>
        <v xml:space="preserve"> </v>
      </c>
      <c r="Q280" s="2"/>
      <c r="S280">
        <f>VLOOKUP(G280,[1]Hoja1!$A:$O,5,0)</f>
        <v>2673425</v>
      </c>
      <c r="U280" s="45" t="s">
        <v>2751</v>
      </c>
      <c r="V280" s="46">
        <f t="shared" si="51"/>
        <v>2673425</v>
      </c>
      <c r="W280" s="47" t="s">
        <v>1519</v>
      </c>
      <c r="X280" s="46" t="str">
        <f t="shared" si="52"/>
        <v>1</v>
      </c>
      <c r="Y280" s="47" t="s">
        <v>1518</v>
      </c>
      <c r="Z280" s="46" t="str">
        <f t="shared" si="53"/>
        <v>M</v>
      </c>
      <c r="AA280" s="47" t="s">
        <v>2752</v>
      </c>
      <c r="AB280" s="46" t="str">
        <f t="shared" si="54"/>
        <v>VIERNES</v>
      </c>
      <c r="AC280" s="47" t="s">
        <v>2753</v>
      </c>
      <c r="AD280" t="str">
        <f t="shared" si="55"/>
        <v>CONTRATURNO</v>
      </c>
      <c r="AE280" s="47" t="s">
        <v>2754</v>
      </c>
      <c r="AH280" t="str">
        <f t="shared" si="56"/>
        <v>INSERT INTO horario_curso_materia (horario_curso_materia.FK_CUR_mat,horario_curso_materia.FK_HOR,horario_curso_materia.DIA,horario_curso_materia.tipo_turno) VALUES (  (SELECT curso_materia.ID_CUR_MAT FROM curso_materia WHERE curso_materia.CUPOF='2673425' ) ,
    (SELECT horario.ID_HOR FROM horario WHERE horario.modulo='1 ' and horario.turno='M ' ),'VIERNES ' , 'CONTRATURNO ' );</v>
      </c>
    </row>
    <row r="281" spans="1:34" ht="15" hidden="1" customHeight="1" x14ac:dyDescent="0.3">
      <c r="A281" s="1" t="str">
        <f t="shared" si="47"/>
        <v>2°4°</v>
      </c>
      <c r="B281" s="54" t="str">
        <f t="shared" si="48"/>
        <v>2°4°1VITARDE0</v>
      </c>
      <c r="C281" s="62">
        <f>VLOOKUP(G281,[1]Hoja1!$A:$O,3,0)</f>
        <v>0</v>
      </c>
      <c r="D281" s="2" t="str">
        <f t="shared" si="49"/>
        <v>1VIT</v>
      </c>
      <c r="E281" s="62" t="s">
        <v>57</v>
      </c>
      <c r="F281" s="62" t="s">
        <v>10</v>
      </c>
      <c r="G281" s="62" t="s">
        <v>335</v>
      </c>
      <c r="H281" s="8" t="str">
        <f>VLOOKUP(G281,[1]Hoja1!$A:$O,6,0)</f>
        <v>PRACTICA DEL LENGUAJE</v>
      </c>
      <c r="I281" s="4"/>
      <c r="J281" s="4"/>
      <c r="K281" s="80" t="str">
        <f t="shared" si="57"/>
        <v>VI</v>
      </c>
      <c r="L281" s="4"/>
      <c r="M281" s="86" t="str">
        <f>VLOOKUP(G281,[1]Hoja1!$A:$O,15,0)</f>
        <v>ARANDA NELIDA</v>
      </c>
      <c r="N281" s="2" t="str">
        <f t="shared" si="50"/>
        <v>2°4°2PLGVI</v>
      </c>
      <c r="O281" s="2"/>
      <c r="P281" s="2" t="str">
        <f>VLOOKUP(G281,[1]Hoja1!$A:$P,16,0)</f>
        <v xml:space="preserve"> </v>
      </c>
      <c r="Q281" s="2"/>
      <c r="S281">
        <f>VLOOKUP(G281,[1]Hoja1!$A:$O,5,0)</f>
        <v>1642672</v>
      </c>
      <c r="U281" s="45" t="s">
        <v>2751</v>
      </c>
      <c r="V281" s="46">
        <f t="shared" si="51"/>
        <v>1642672</v>
      </c>
      <c r="W281" s="47" t="s">
        <v>1519</v>
      </c>
      <c r="X281" s="46" t="str">
        <f t="shared" si="52"/>
        <v>1</v>
      </c>
      <c r="Y281" s="47" t="s">
        <v>1518</v>
      </c>
      <c r="Z281" s="46" t="str">
        <f t="shared" si="53"/>
        <v>T</v>
      </c>
      <c r="AA281" s="47" t="s">
        <v>2752</v>
      </c>
      <c r="AB281" s="46" t="str">
        <f t="shared" si="54"/>
        <v>VIERNES</v>
      </c>
      <c r="AC281" s="47" t="s">
        <v>2753</v>
      </c>
      <c r="AD281">
        <f t="shared" si="55"/>
        <v>0</v>
      </c>
      <c r="AE281" s="47" t="s">
        <v>2754</v>
      </c>
      <c r="AH281" t="str">
        <f t="shared" si="56"/>
        <v>INSERT INTO horario_curso_materia (horario_curso_materia.FK_CUR_mat,horario_curso_materia.FK_HOR,horario_curso_materia.DIA,horario_curso_materia.tipo_turno) VALUES (  (SELECT curso_materia.ID_CUR_MAT FROM curso_materia WHERE curso_materia.CUPOF='1642672' ) ,
    (SELECT horario.ID_HOR FROM horario WHERE horario.modulo='1 ' and horario.turno='T ' ),'VIERNES ' , '0 ' );</v>
      </c>
    </row>
    <row r="282" spans="1:34" ht="15" hidden="1" customHeight="1" x14ac:dyDescent="0.3">
      <c r="A282" s="1" t="str">
        <f t="shared" si="47"/>
        <v>2°4°</v>
      </c>
      <c r="B282" s="54" t="str">
        <f t="shared" si="48"/>
        <v>2°4°2JUMAÑANA0</v>
      </c>
      <c r="C282" s="62">
        <f>VLOOKUP(G282,[1]Hoja1!$A:$O,3,0)</f>
        <v>0</v>
      </c>
      <c r="D282" s="2" t="str">
        <f t="shared" si="49"/>
        <v>2JUMPATIO</v>
      </c>
      <c r="E282" s="4" t="s">
        <v>45</v>
      </c>
      <c r="F282" s="62" t="s">
        <v>27</v>
      </c>
      <c r="G282" s="72" t="s">
        <v>337</v>
      </c>
      <c r="H282" s="8" t="str">
        <f>VLOOKUP(G282,[1]Hoja1!$A:$O,6,0)</f>
        <v>EDUCACIÓN FISICA</v>
      </c>
      <c r="I282" s="4" t="s">
        <v>241</v>
      </c>
      <c r="J282" s="4"/>
      <c r="K282" s="80" t="str">
        <f t="shared" si="57"/>
        <v>JU</v>
      </c>
      <c r="L282" s="4" t="s">
        <v>512</v>
      </c>
      <c r="M282" s="86" t="str">
        <f>VLOOKUP(G282,[1]Hoja1!$A:$O,15,0)</f>
        <v>SANCHEZ CARLOS</v>
      </c>
      <c r="N282" s="2" t="str">
        <f t="shared" si="50"/>
        <v>2°4°2EFIJU</v>
      </c>
      <c r="O282" s="2"/>
      <c r="P282" s="2" t="str">
        <f>VLOOKUP(G282,[1]Hoja1!$A:$P,16,0)</f>
        <v xml:space="preserve"> </v>
      </c>
      <c r="Q282" s="2"/>
      <c r="S282">
        <f>VLOOKUP(G282,[1]Hoja1!$A:$O,5,0)</f>
        <v>1642683</v>
      </c>
      <c r="U282" s="45" t="s">
        <v>2751</v>
      </c>
      <c r="V282" s="46">
        <f t="shared" si="51"/>
        <v>1642683</v>
      </c>
      <c r="W282" s="47" t="s">
        <v>1519</v>
      </c>
      <c r="X282" s="46" t="str">
        <f t="shared" si="52"/>
        <v>2</v>
      </c>
      <c r="Y282" s="47" t="s">
        <v>1518</v>
      </c>
      <c r="Z282" s="46" t="str">
        <f t="shared" si="53"/>
        <v>M</v>
      </c>
      <c r="AA282" s="47" t="s">
        <v>2752</v>
      </c>
      <c r="AB282" s="46" t="str">
        <f t="shared" si="54"/>
        <v>JUEVES</v>
      </c>
      <c r="AC282" s="47" t="s">
        <v>2753</v>
      </c>
      <c r="AD282" t="str">
        <f t="shared" si="55"/>
        <v>CONTRATURNO</v>
      </c>
      <c r="AE282" s="47" t="s">
        <v>2754</v>
      </c>
      <c r="AH282" t="str">
        <f t="shared" si="56"/>
        <v>INSERT INTO horario_curso_materia (horario_curso_materia.FK_CUR_mat,horario_curso_materia.FK_HOR,horario_curso_materia.DIA,horario_curso_materia.tipo_turno) VALUES (  (SELECT curso_materia.ID_CUR_MAT FROM curso_materia WHERE curso_materia.CUPOF='1642683' ) ,
    (SELECT horario.ID_HOR FROM horario WHERE horario.modulo='2 ' and horario.turno='M ' ),'JUEVES ' , 'CONTRATURNO ' );</v>
      </c>
    </row>
    <row r="283" spans="1:34" ht="15" hidden="1" customHeight="1" x14ac:dyDescent="0.3">
      <c r="A283" s="1" t="str">
        <f t="shared" si="47"/>
        <v>2°4°</v>
      </c>
      <c r="B283" s="54" t="str">
        <f t="shared" si="48"/>
        <v>2°4°2JUTARDE0</v>
      </c>
      <c r="C283" s="62">
        <f>VLOOKUP(G283,[1]Hoja1!$A:$O,3,0)</f>
        <v>0</v>
      </c>
      <c r="D283" s="2" t="str">
        <f t="shared" si="49"/>
        <v>2JUT</v>
      </c>
      <c r="E283" s="62" t="s">
        <v>45</v>
      </c>
      <c r="F283" s="62" t="s">
        <v>10</v>
      </c>
      <c r="G283" s="62" t="s">
        <v>330</v>
      </c>
      <c r="H283" s="8" t="str">
        <f>VLOOKUP(G283,[1]Hoja1!$A:$O,6,0)</f>
        <v>MATEMATICA</v>
      </c>
      <c r="I283" s="4"/>
      <c r="J283" s="4"/>
      <c r="K283" s="80" t="str">
        <f t="shared" si="57"/>
        <v>JU</v>
      </c>
      <c r="L283" s="4"/>
      <c r="M283" s="86" t="str">
        <f>VLOOKUP(G283,[1]Hoja1!$A:$O,15,0)</f>
        <v>FERRARIS OJEDA JULIETA</v>
      </c>
      <c r="N283" s="2" t="str">
        <f t="shared" si="50"/>
        <v>2°4°2MATJU</v>
      </c>
      <c r="O283" s="2"/>
      <c r="P283" s="2" t="str">
        <f>VLOOKUP(G283,[1]Hoja1!$A:$P,16,0)</f>
        <v xml:space="preserve"> </v>
      </c>
      <c r="Q283" s="2"/>
      <c r="S283">
        <f>VLOOKUP(G283,[1]Hoja1!$A:$O,5,0)</f>
        <v>1642674</v>
      </c>
      <c r="U283" s="45" t="s">
        <v>2751</v>
      </c>
      <c r="V283" s="46">
        <f t="shared" si="51"/>
        <v>1642674</v>
      </c>
      <c r="W283" s="47" t="s">
        <v>1519</v>
      </c>
      <c r="X283" s="46" t="str">
        <f t="shared" si="52"/>
        <v>2</v>
      </c>
      <c r="Y283" s="47" t="s">
        <v>1518</v>
      </c>
      <c r="Z283" s="46" t="str">
        <f t="shared" si="53"/>
        <v>T</v>
      </c>
      <c r="AA283" s="47" t="s">
        <v>2752</v>
      </c>
      <c r="AB283" s="46" t="str">
        <f t="shared" si="54"/>
        <v>JUEVES</v>
      </c>
      <c r="AC283" s="47" t="s">
        <v>2753</v>
      </c>
      <c r="AD283">
        <f t="shared" si="55"/>
        <v>0</v>
      </c>
      <c r="AE283" s="47" t="s">
        <v>2754</v>
      </c>
      <c r="AH283" t="str">
        <f t="shared" si="56"/>
        <v>INSERT INTO horario_curso_materia (horario_curso_materia.FK_CUR_mat,horario_curso_materia.FK_HOR,horario_curso_materia.DIA,horario_curso_materia.tipo_turno) VALUES (  (SELECT curso_materia.ID_CUR_MAT FROM curso_materia WHERE curso_materia.CUPOF='1642674' ) ,
    (SELECT horario.ID_HOR FROM horario WHERE horario.modulo='2 ' and horario.turno='T ' ),'JUEVES ' , '0 ' );</v>
      </c>
    </row>
    <row r="284" spans="1:34" ht="15" hidden="1" customHeight="1" x14ac:dyDescent="0.3">
      <c r="A284" s="1" t="str">
        <f t="shared" si="47"/>
        <v>2°4°</v>
      </c>
      <c r="B284" s="54" t="str">
        <f t="shared" si="48"/>
        <v>2°4°2LUMAÑANA242</v>
      </c>
      <c r="C284" s="62">
        <f>VLOOKUP(G284,[1]Hoja1!$A:$O,3,0)</f>
        <v>242</v>
      </c>
      <c r="D284" s="2" t="str">
        <f t="shared" si="49"/>
        <v>2LUM45</v>
      </c>
      <c r="E284" s="62" t="s">
        <v>12</v>
      </c>
      <c r="F284" s="62" t="s">
        <v>27</v>
      </c>
      <c r="G284" s="62" t="s">
        <v>91</v>
      </c>
      <c r="H284" s="8" t="str">
        <f>VLOOKUP(G284,[1]Hoja1!$A:$O,6,0)</f>
        <v>SISTEMAS TECNOLOGICOS</v>
      </c>
      <c r="I284" s="4">
        <v>45</v>
      </c>
      <c r="J284" s="4"/>
      <c r="K284" s="80" t="str">
        <f t="shared" si="57"/>
        <v>LU</v>
      </c>
      <c r="L284" s="4" t="s">
        <v>512</v>
      </c>
      <c r="M284" s="86" t="str">
        <f>VLOOKUP(G284,[1]Hoja1!$A:$O,15,0)</f>
        <v xml:space="preserve">ETCHEVERRY MARTIN  </v>
      </c>
      <c r="N284" s="2" t="str">
        <f t="shared" si="50"/>
        <v>2°4°2422TST2LU</v>
      </c>
      <c r="O284" s="2" t="s">
        <v>1507</v>
      </c>
      <c r="P284" s="2" t="str">
        <f>VLOOKUP(G284,[1]Hoja1!$A:$P,16,0)</f>
        <v xml:space="preserve"> </v>
      </c>
      <c r="Q284" s="2"/>
      <c r="S284">
        <f>VLOOKUP(G284,[1]Hoja1!$A:$O,5,0)</f>
        <v>2673428</v>
      </c>
      <c r="U284" s="45" t="s">
        <v>2751</v>
      </c>
      <c r="V284" s="46">
        <f t="shared" si="51"/>
        <v>2673428</v>
      </c>
      <c r="W284" s="47" t="s">
        <v>1519</v>
      </c>
      <c r="X284" s="46" t="str">
        <f t="shared" si="52"/>
        <v>2</v>
      </c>
      <c r="Y284" s="47" t="s">
        <v>1518</v>
      </c>
      <c r="Z284" s="46" t="str">
        <f t="shared" si="53"/>
        <v>M</v>
      </c>
      <c r="AA284" s="47" t="s">
        <v>2752</v>
      </c>
      <c r="AB284" s="46" t="str">
        <f t="shared" si="54"/>
        <v>LUNES</v>
      </c>
      <c r="AC284" s="47" t="s">
        <v>2753</v>
      </c>
      <c r="AD284" t="str">
        <f t="shared" si="55"/>
        <v>CONTRATURNO</v>
      </c>
      <c r="AE284" s="47" t="s">
        <v>2754</v>
      </c>
      <c r="AH284" t="str">
        <f t="shared" si="56"/>
        <v>INSERT INTO horario_curso_materia (horario_curso_materia.FK_CUR_mat,horario_curso_materia.FK_HOR,horario_curso_materia.DIA,horario_curso_materia.tipo_turno) VALUES (  (SELECT curso_materia.ID_CUR_MAT FROM curso_materia WHERE curso_materia.CUPOF='2673428' ) ,
    (SELECT horario.ID_HOR FROM horario WHERE horario.modulo='2 ' and horario.turno='M ' ),'LUNES ' , 'CONTRATURNO ' );</v>
      </c>
    </row>
    <row r="285" spans="1:34" ht="15" hidden="1" customHeight="1" x14ac:dyDescent="0.3">
      <c r="A285" s="1" t="str">
        <f t="shared" si="47"/>
        <v>2°4°</v>
      </c>
      <c r="B285" s="54" t="str">
        <f t="shared" si="48"/>
        <v>2°4°2LUTARDE0</v>
      </c>
      <c r="C285" s="62">
        <f>VLOOKUP(G285,[1]Hoja1!$A:$O,3,0)</f>
        <v>0</v>
      </c>
      <c r="D285" s="2" t="str">
        <f t="shared" si="49"/>
        <v>2LUT</v>
      </c>
      <c r="E285" s="62" t="s">
        <v>12</v>
      </c>
      <c r="F285" s="62" t="s">
        <v>10</v>
      </c>
      <c r="G285" s="62" t="s">
        <v>328</v>
      </c>
      <c r="H285" s="8" t="str">
        <f>VLOOKUP(G285,[1]Hoja1!$A:$O,6,0)</f>
        <v>FISICO-QUIMICA</v>
      </c>
      <c r="I285" s="4"/>
      <c r="J285" s="4"/>
      <c r="K285" s="80" t="str">
        <f t="shared" si="57"/>
        <v>LU</v>
      </c>
      <c r="L285" s="4"/>
      <c r="M285" s="86" t="str">
        <f>VLOOKUP(G285,[1]Hoja1!$A:$O,15,0)</f>
        <v xml:space="preserve">DA CHILE IGLESIAS V                 </v>
      </c>
      <c r="N285" s="2" t="str">
        <f t="shared" si="50"/>
        <v>2°4°2FI/QUILU</v>
      </c>
      <c r="O285" s="2"/>
      <c r="P285" s="2" t="str">
        <f>VLOOKUP(G285,[1]Hoja1!$A:$P,16,0)</f>
        <v xml:space="preserve"> </v>
      </c>
      <c r="Q285" s="2"/>
      <c r="S285">
        <f>VLOOKUP(G285,[1]Hoja1!$A:$O,5,0)</f>
        <v>1642679</v>
      </c>
      <c r="U285" s="45" t="s">
        <v>2751</v>
      </c>
      <c r="V285" s="46">
        <f t="shared" si="51"/>
        <v>1642679</v>
      </c>
      <c r="W285" s="47" t="s">
        <v>1519</v>
      </c>
      <c r="X285" s="46" t="str">
        <f t="shared" si="52"/>
        <v>2</v>
      </c>
      <c r="Y285" s="47" t="s">
        <v>1518</v>
      </c>
      <c r="Z285" s="46" t="str">
        <f t="shared" si="53"/>
        <v>T</v>
      </c>
      <c r="AA285" s="47" t="s">
        <v>2752</v>
      </c>
      <c r="AB285" s="46" t="str">
        <f t="shared" si="54"/>
        <v>LUNES</v>
      </c>
      <c r="AC285" s="47" t="s">
        <v>2753</v>
      </c>
      <c r="AD285">
        <f t="shared" si="55"/>
        <v>0</v>
      </c>
      <c r="AE285" s="47" t="s">
        <v>2754</v>
      </c>
      <c r="AH285" t="str">
        <f t="shared" si="56"/>
        <v>INSERT INTO horario_curso_materia (horario_curso_materia.FK_CUR_mat,horario_curso_materia.FK_HOR,horario_curso_materia.DIA,horario_curso_materia.tipo_turno) VALUES (  (SELECT curso_materia.ID_CUR_MAT FROM curso_materia WHERE curso_materia.CUPOF='1642679' ) ,
    (SELECT horario.ID_HOR FROM horario WHERE horario.modulo='2 ' and horario.turno='T ' ),'LUNES ' , '0 ' );</v>
      </c>
    </row>
    <row r="286" spans="1:34" ht="15" hidden="1" customHeight="1" x14ac:dyDescent="0.3">
      <c r="A286" s="1" t="str">
        <f t="shared" si="47"/>
        <v>2°4°</v>
      </c>
      <c r="B286" s="54" t="str">
        <f t="shared" si="48"/>
        <v>2°4°2maMAÑANA241</v>
      </c>
      <c r="C286" s="62">
        <f>VLOOKUP(G286,[1]Hoja1!$A:$O,3,0)</f>
        <v>241</v>
      </c>
      <c r="D286" s="2" t="str">
        <f t="shared" si="49"/>
        <v>2maM33</v>
      </c>
      <c r="E286" s="62" t="s">
        <v>90</v>
      </c>
      <c r="F286" s="62" t="s">
        <v>27</v>
      </c>
      <c r="G286" s="62" t="s">
        <v>89</v>
      </c>
      <c r="H286" s="8" t="str">
        <f>VLOOKUP(G286,[1]Hoja1!$A:$O,6,0)</f>
        <v>SISTEMAS TECNOLOGICOS</v>
      </c>
      <c r="I286" s="4">
        <v>33</v>
      </c>
      <c r="J286" s="4"/>
      <c r="K286" s="80" t="str">
        <f t="shared" si="57"/>
        <v>ma</v>
      </c>
      <c r="L286" s="4" t="s">
        <v>512</v>
      </c>
      <c r="M286" s="86" t="str">
        <f>VLOOKUP(G286,[1]Hoja1!$A:$O,15,0)</f>
        <v xml:space="preserve">AVILA </v>
      </c>
      <c r="N286" s="2" t="str">
        <f t="shared" si="50"/>
        <v>2°4°2412TST2ma</v>
      </c>
      <c r="O286" s="2"/>
      <c r="P286" s="2" t="str">
        <f>VLOOKUP(G286,[1]Hoja1!$A:$P,16,0)</f>
        <v xml:space="preserve"> </v>
      </c>
      <c r="Q286" s="2"/>
      <c r="S286">
        <f>VLOOKUP(G286,[1]Hoja1!$A:$O,5,0)</f>
        <v>2673423</v>
      </c>
      <c r="U286" s="45" t="s">
        <v>2751</v>
      </c>
      <c r="V286" s="46">
        <f t="shared" si="51"/>
        <v>2673423</v>
      </c>
      <c r="W286" s="47" t="s">
        <v>1519</v>
      </c>
      <c r="X286" s="46" t="str">
        <f t="shared" si="52"/>
        <v>2</v>
      </c>
      <c r="Y286" s="47" t="s">
        <v>1518</v>
      </c>
      <c r="Z286" s="46" t="str">
        <f t="shared" si="53"/>
        <v>M</v>
      </c>
      <c r="AA286" s="47" t="s">
        <v>2752</v>
      </c>
      <c r="AB286" s="46" t="str">
        <f t="shared" si="54"/>
        <v>MARTES</v>
      </c>
      <c r="AC286" s="47" t="s">
        <v>2753</v>
      </c>
      <c r="AD286" t="str">
        <f t="shared" si="55"/>
        <v>CONTRATURNO</v>
      </c>
      <c r="AE286" s="47" t="s">
        <v>2754</v>
      </c>
      <c r="AH286" t="str">
        <f t="shared" si="56"/>
        <v>INSERT INTO horario_curso_materia (horario_curso_materia.FK_CUR_mat,horario_curso_materia.FK_HOR,horario_curso_materia.DIA,horario_curso_materia.tipo_turno) VALUES (  (SELECT curso_materia.ID_CUR_MAT FROM curso_materia WHERE curso_materia.CUPOF='2673423' ) ,
    (SELECT horario.ID_HOR FROM horario WHERE horario.modulo='2 ' and horario.turno='M ' ),'MARTES ' , 'CONTRATURNO ' );</v>
      </c>
    </row>
    <row r="287" spans="1:34" ht="15" hidden="1" customHeight="1" x14ac:dyDescent="0.3">
      <c r="A287" s="1" t="str">
        <f t="shared" si="47"/>
        <v>2°4°</v>
      </c>
      <c r="B287" s="54" t="str">
        <f t="shared" si="48"/>
        <v>2°4°2MAMAÑANA242</v>
      </c>
      <c r="C287" s="62">
        <f>VLOOKUP(G287,[1]Hoja1!$A:$O,3,0)</f>
        <v>242</v>
      </c>
      <c r="D287" s="2" t="str">
        <f t="shared" si="49"/>
        <v>2MAMHERRERIA</v>
      </c>
      <c r="E287" s="62" t="s">
        <v>19</v>
      </c>
      <c r="F287" s="62" t="s">
        <v>27</v>
      </c>
      <c r="G287" s="62" t="s">
        <v>86</v>
      </c>
      <c r="H287" s="8" t="str">
        <f>VLOOKUP(G287,[1]Hoja1!$A:$O,6,0)</f>
        <v>PROCEDIMIENTOS TECNICOS</v>
      </c>
      <c r="I287" s="4" t="s">
        <v>21</v>
      </c>
      <c r="J287" s="4"/>
      <c r="K287" s="80" t="str">
        <f t="shared" si="57"/>
        <v>MA</v>
      </c>
      <c r="L287" s="4" t="s">
        <v>512</v>
      </c>
      <c r="M287" s="86" t="str">
        <f>VLOOKUP(G287,[1]Hoja1!$A:$O,15,0)</f>
        <v>CRUZ DAVID</v>
      </c>
      <c r="N287" s="2" t="str">
        <f t="shared" si="50"/>
        <v>2°4°2422TPT2MA</v>
      </c>
      <c r="O287" s="2"/>
      <c r="P287" s="2" t="str">
        <f>VLOOKUP(G287,[1]Hoja1!$A:$P,16,0)</f>
        <v xml:space="preserve"> </v>
      </c>
      <c r="Q287" s="2"/>
      <c r="S287">
        <f>VLOOKUP(G287,[1]Hoja1!$A:$O,5,0)</f>
        <v>2673429</v>
      </c>
      <c r="U287" s="45" t="s">
        <v>2751</v>
      </c>
      <c r="V287" s="46">
        <f t="shared" si="51"/>
        <v>2673429</v>
      </c>
      <c r="W287" s="47" t="s">
        <v>1519</v>
      </c>
      <c r="X287" s="46" t="str">
        <f t="shared" si="52"/>
        <v>2</v>
      </c>
      <c r="Y287" s="47" t="s">
        <v>1518</v>
      </c>
      <c r="Z287" s="46" t="str">
        <f t="shared" si="53"/>
        <v>M</v>
      </c>
      <c r="AA287" s="47" t="s">
        <v>2752</v>
      </c>
      <c r="AB287" s="46" t="str">
        <f t="shared" si="54"/>
        <v>MARTES</v>
      </c>
      <c r="AC287" s="47" t="s">
        <v>2753</v>
      </c>
      <c r="AD287" t="str">
        <f t="shared" si="55"/>
        <v>CONTRATURNO</v>
      </c>
      <c r="AE287" s="47" t="s">
        <v>2754</v>
      </c>
      <c r="AH287" t="str">
        <f t="shared" si="56"/>
        <v>INSERT INTO horario_curso_materia (horario_curso_materia.FK_CUR_mat,horario_curso_materia.FK_HOR,horario_curso_materia.DIA,horario_curso_materia.tipo_turno) VALUES (  (SELECT curso_materia.ID_CUR_MAT FROM curso_materia WHERE curso_materia.CUPOF='2673429' ) ,
    (SELECT horario.ID_HOR FROM horario WHERE horario.modulo='2 ' and horario.turno='M ' ),'MARTES ' , 'CONTRATURNO ' );</v>
      </c>
    </row>
    <row r="288" spans="1:34" ht="15" hidden="1" customHeight="1" x14ac:dyDescent="0.3">
      <c r="A288" s="1" t="str">
        <f t="shared" si="47"/>
        <v>2°4°</v>
      </c>
      <c r="B288" s="54" t="str">
        <f t="shared" si="48"/>
        <v>2°4°2MATARDE0</v>
      </c>
      <c r="C288" s="62">
        <f>VLOOKUP(G288,[1]Hoja1!$A:$O,3,0)</f>
        <v>0</v>
      </c>
      <c r="D288" s="2" t="str">
        <f t="shared" si="49"/>
        <v>2MAT</v>
      </c>
      <c r="E288" s="62" t="s">
        <v>19</v>
      </c>
      <c r="F288" s="62" t="s">
        <v>10</v>
      </c>
      <c r="G288" s="62" t="s">
        <v>331</v>
      </c>
      <c r="H288" s="8" t="str">
        <f>VLOOKUP(G288,[1]Hoja1!$A:$O,6,0)</f>
        <v>EDUCACION ARTISTICA (PLASTICA)</v>
      </c>
      <c r="I288" s="4"/>
      <c r="J288" s="4"/>
      <c r="K288" s="80" t="str">
        <f t="shared" si="57"/>
        <v>MA</v>
      </c>
      <c r="L288" s="4"/>
      <c r="M288" s="86" t="str">
        <f>VLOOKUP(G288,[1]Hoja1!$A:$O,15,0)</f>
        <v xml:space="preserve">QUEVEDO OMAR </v>
      </c>
      <c r="N288" s="2" t="str">
        <f t="shared" si="50"/>
        <v>2°4°2ARTMA</v>
      </c>
      <c r="O288" s="2"/>
      <c r="P288" s="2" t="str">
        <f>VLOOKUP(G288,[1]Hoja1!$A:$P,16,0)</f>
        <v xml:space="preserve"> </v>
      </c>
      <c r="Q288" s="2"/>
      <c r="S288">
        <f>VLOOKUP(G288,[1]Hoja1!$A:$O,5,0)</f>
        <v>1642684</v>
      </c>
      <c r="U288" s="45" t="s">
        <v>2751</v>
      </c>
      <c r="V288" s="46">
        <f t="shared" si="51"/>
        <v>1642684</v>
      </c>
      <c r="W288" s="47" t="s">
        <v>1519</v>
      </c>
      <c r="X288" s="46" t="str">
        <f t="shared" si="52"/>
        <v>2</v>
      </c>
      <c r="Y288" s="47" t="s">
        <v>1518</v>
      </c>
      <c r="Z288" s="46" t="str">
        <f t="shared" si="53"/>
        <v>T</v>
      </c>
      <c r="AA288" s="47" t="s">
        <v>2752</v>
      </c>
      <c r="AB288" s="46" t="str">
        <f t="shared" si="54"/>
        <v>MARTES</v>
      </c>
      <c r="AC288" s="47" t="s">
        <v>2753</v>
      </c>
      <c r="AD288">
        <f t="shared" si="55"/>
        <v>0</v>
      </c>
      <c r="AE288" s="47" t="s">
        <v>2754</v>
      </c>
      <c r="AH288" t="str">
        <f t="shared" si="56"/>
        <v>INSERT INTO horario_curso_materia (horario_curso_materia.FK_CUR_mat,horario_curso_materia.FK_HOR,horario_curso_materia.DIA,horario_curso_materia.tipo_turno) VALUES (  (SELECT curso_materia.ID_CUR_MAT FROM curso_materia WHERE curso_materia.CUPOF='1642684' ) ,
    (SELECT horario.ID_HOR FROM horario WHERE horario.modulo='2 ' and horario.turno='T ' ),'MARTES ' , '0 ' );</v>
      </c>
    </row>
    <row r="289" spans="1:34" ht="15" hidden="1" customHeight="1" x14ac:dyDescent="0.3">
      <c r="A289" s="1" t="str">
        <f t="shared" si="47"/>
        <v>2°4°</v>
      </c>
      <c r="B289" s="54" t="str">
        <f t="shared" si="48"/>
        <v>2°4°2MIMAÑANA241</v>
      </c>
      <c r="C289" s="62">
        <f>VLOOKUP(G289,[1]Hoja1!$A:$O,3,0)</f>
        <v>241</v>
      </c>
      <c r="D289" s="2" t="str">
        <f t="shared" si="49"/>
        <v>2MIMAULA 4</v>
      </c>
      <c r="E289" s="62" t="s">
        <v>26</v>
      </c>
      <c r="F289" s="62" t="s">
        <v>27</v>
      </c>
      <c r="G289" s="62" t="s">
        <v>87</v>
      </c>
      <c r="H289" s="8" t="str">
        <f>VLOOKUP(G289,[1]Hoja1!$A:$O,6,0)</f>
        <v>LENGUAJES TECNOLOGICOS</v>
      </c>
      <c r="I289" s="4" t="s">
        <v>1485</v>
      </c>
      <c r="J289" s="4"/>
      <c r="K289" s="80" t="str">
        <f t="shared" si="57"/>
        <v>MI</v>
      </c>
      <c r="L289" s="4" t="s">
        <v>512</v>
      </c>
      <c r="M289" s="86" t="str">
        <f>VLOOKUP(G289,[1]Hoja1!$A:$O,15,0)</f>
        <v>FISTER, VICTOR</v>
      </c>
      <c r="N289" s="2" t="str">
        <f t="shared" si="50"/>
        <v>2°4°2412TLT2MI</v>
      </c>
      <c r="O289" s="2"/>
      <c r="P289" s="2" t="str">
        <f>VLOOKUP(G289,[1]Hoja1!$A:$P,16,0)</f>
        <v xml:space="preserve"> </v>
      </c>
      <c r="Q289" s="2"/>
      <c r="S289">
        <f>VLOOKUP(G289,[1]Hoja1!$A:$O,5,0)</f>
        <v>2673421</v>
      </c>
      <c r="U289" s="45" t="s">
        <v>2751</v>
      </c>
      <c r="V289" s="46">
        <f t="shared" si="51"/>
        <v>2673421</v>
      </c>
      <c r="W289" s="47" t="s">
        <v>1519</v>
      </c>
      <c r="X289" s="46" t="str">
        <f t="shared" si="52"/>
        <v>2</v>
      </c>
      <c r="Y289" s="47" t="s">
        <v>1518</v>
      </c>
      <c r="Z289" s="46" t="str">
        <f t="shared" si="53"/>
        <v>M</v>
      </c>
      <c r="AA289" s="47" t="s">
        <v>2752</v>
      </c>
      <c r="AB289" s="46" t="str">
        <f t="shared" si="54"/>
        <v>MIERCOLES</v>
      </c>
      <c r="AC289" s="47" t="s">
        <v>2753</v>
      </c>
      <c r="AD289" t="str">
        <f t="shared" si="55"/>
        <v>CONTRATURNO</v>
      </c>
      <c r="AE289" s="47" t="s">
        <v>2754</v>
      </c>
      <c r="AH289" t="str">
        <f t="shared" si="56"/>
        <v>INSERT INTO horario_curso_materia (horario_curso_materia.FK_CUR_mat,horario_curso_materia.FK_HOR,horario_curso_materia.DIA,horario_curso_materia.tipo_turno) VALUES (  (SELECT curso_materia.ID_CUR_MAT FROM curso_materia WHERE curso_materia.CUPOF='2673421' ) ,
    (SELECT horario.ID_HOR FROM horario WHERE horario.modulo='2 ' and horario.turno='M ' ),'MIERCOLES ' , 'CONTRATURNO ' );</v>
      </c>
    </row>
    <row r="290" spans="1:34" ht="15" hidden="1" customHeight="1" x14ac:dyDescent="0.3">
      <c r="A290" s="1" t="str">
        <f t="shared" si="47"/>
        <v>2°4°</v>
      </c>
      <c r="B290" s="54" t="str">
        <f t="shared" si="48"/>
        <v>2°4°4miMAÑANA242</v>
      </c>
      <c r="C290" s="62">
        <f>VLOOKUP(G290,[1]Hoja1!$A:$O,3,0)</f>
        <v>242</v>
      </c>
      <c r="D290" s="2" t="str">
        <f t="shared" si="49"/>
        <v>4miM45</v>
      </c>
      <c r="E290" s="62" t="s">
        <v>1344</v>
      </c>
      <c r="F290" s="62" t="s">
        <v>27</v>
      </c>
      <c r="G290" s="62" t="s">
        <v>92</v>
      </c>
      <c r="H290" s="8" t="str">
        <f>VLOOKUP(G290,[1]Hoja1!$A:$O,6,0)</f>
        <v>LENGUAJES TECNOLOGICOS</v>
      </c>
      <c r="I290" s="4">
        <v>45</v>
      </c>
      <c r="J290" s="4"/>
      <c r="K290" s="80" t="str">
        <f t="shared" si="57"/>
        <v>mi</v>
      </c>
      <c r="L290" s="4" t="s">
        <v>512</v>
      </c>
      <c r="M290" s="86" t="str">
        <f>VLOOKUP(G290,[1]Hoja1!$A:$O,15,0)</f>
        <v xml:space="preserve">LEYES RICARDO  </v>
      </c>
      <c r="N290" s="2" t="str">
        <f t="shared" si="50"/>
        <v>2°4°2422TLT2mi</v>
      </c>
      <c r="O290" s="2"/>
      <c r="P290" s="2" t="str">
        <f>VLOOKUP(G290,[1]Hoja1!$A:$P,16,0)</f>
        <v xml:space="preserve"> </v>
      </c>
      <c r="Q290" s="2"/>
      <c r="S290">
        <f>VLOOKUP(G290,[1]Hoja1!$A:$O,5,0)</f>
        <v>2673427</v>
      </c>
      <c r="U290" s="45" t="s">
        <v>2751</v>
      </c>
      <c r="V290" s="46">
        <f t="shared" si="51"/>
        <v>2673427</v>
      </c>
      <c r="W290" s="47" t="s">
        <v>1519</v>
      </c>
      <c r="X290" s="46" t="str">
        <f t="shared" si="52"/>
        <v>4</v>
      </c>
      <c r="Y290" s="47" t="s">
        <v>1518</v>
      </c>
      <c r="Z290" s="46" t="str">
        <f t="shared" si="53"/>
        <v>M</v>
      </c>
      <c r="AA290" s="47" t="s">
        <v>2752</v>
      </c>
      <c r="AB290" s="46" t="str">
        <f t="shared" si="54"/>
        <v>MIERCOLES</v>
      </c>
      <c r="AC290" s="47" t="s">
        <v>2753</v>
      </c>
      <c r="AD290" t="str">
        <f t="shared" si="55"/>
        <v>CONTRATURNO</v>
      </c>
      <c r="AE290" s="47" t="s">
        <v>2754</v>
      </c>
      <c r="AH290" t="str">
        <f t="shared" si="56"/>
        <v>INSERT INTO horario_curso_materia (horario_curso_materia.FK_CUR_mat,horario_curso_materia.FK_HOR,horario_curso_materia.DIA,horario_curso_materia.tipo_turno) VALUES (  (SELECT curso_materia.ID_CUR_MAT FROM curso_materia WHERE curso_materia.CUPOF='2673427' ) ,
    (SELECT horario.ID_HOR FROM horario WHERE horario.modulo='4 ' and horario.turno='M ' ),'MIERCOLES ' , 'CONTRATURNO ' );</v>
      </c>
    </row>
    <row r="291" spans="1:34" ht="15" hidden="1" customHeight="1" x14ac:dyDescent="0.3">
      <c r="A291" s="1" t="str">
        <f t="shared" si="47"/>
        <v>2°4°</v>
      </c>
      <c r="B291" s="54" t="str">
        <f t="shared" si="48"/>
        <v>2°4°2MITARDE0</v>
      </c>
      <c r="C291" s="62">
        <f>VLOOKUP(G291,[1]Hoja1!$A:$O,3,0)</f>
        <v>0</v>
      </c>
      <c r="D291" s="2" t="str">
        <f t="shared" si="49"/>
        <v>2MIT</v>
      </c>
      <c r="E291" s="62" t="s">
        <v>26</v>
      </c>
      <c r="F291" s="62" t="s">
        <v>10</v>
      </c>
      <c r="G291" s="62" t="s">
        <v>333</v>
      </c>
      <c r="H291" s="8" t="str">
        <f>VLOOKUP(G291,[1]Hoja1!$A:$O,6,0)</f>
        <v>CONSTRUCCION DE LA CIUDADANIA</v>
      </c>
      <c r="I291" s="4"/>
      <c r="J291" s="4"/>
      <c r="K291" s="80" t="str">
        <f t="shared" si="57"/>
        <v>MI</v>
      </c>
      <c r="L291" s="4"/>
      <c r="M291" s="86" t="str">
        <f>VLOOKUP(G291,[1]Hoja1!$A:$O,15,0)</f>
        <v>AMAYA SILVIA</v>
      </c>
      <c r="N291" s="2" t="str">
        <f t="shared" si="50"/>
        <v>2°4°2CCDMI</v>
      </c>
      <c r="O291" s="2"/>
      <c r="P291" s="2" t="str">
        <f>VLOOKUP(G291,[1]Hoja1!$A:$P,16,0)</f>
        <v xml:space="preserve"> </v>
      </c>
      <c r="Q291" s="2"/>
      <c r="S291">
        <f>VLOOKUP(G291,[1]Hoja1!$A:$O,5,0)</f>
        <v>1642681</v>
      </c>
      <c r="U291" s="45" t="s">
        <v>2751</v>
      </c>
      <c r="V291" s="46">
        <f t="shared" si="51"/>
        <v>1642681</v>
      </c>
      <c r="W291" s="47" t="s">
        <v>1519</v>
      </c>
      <c r="X291" s="46" t="str">
        <f t="shared" si="52"/>
        <v>2</v>
      </c>
      <c r="Y291" s="47" t="s">
        <v>1518</v>
      </c>
      <c r="Z291" s="46" t="str">
        <f t="shared" si="53"/>
        <v>T</v>
      </c>
      <c r="AA291" s="47" t="s">
        <v>2752</v>
      </c>
      <c r="AB291" s="46" t="str">
        <f t="shared" si="54"/>
        <v>MIERCOLES</v>
      </c>
      <c r="AC291" s="47" t="s">
        <v>2753</v>
      </c>
      <c r="AD291">
        <f t="shared" si="55"/>
        <v>0</v>
      </c>
      <c r="AE291" s="47" t="s">
        <v>2754</v>
      </c>
      <c r="AH291" t="str">
        <f t="shared" si="56"/>
        <v>INSERT INTO horario_curso_materia (horario_curso_materia.FK_CUR_mat,horario_curso_materia.FK_HOR,horario_curso_materia.DIA,horario_curso_materia.tipo_turno) VALUES (  (SELECT curso_materia.ID_CUR_MAT FROM curso_materia WHERE curso_materia.CUPOF='1642681' ) ,
    (SELECT horario.ID_HOR FROM horario WHERE horario.modulo='2 ' and horario.turno='T ' ),'MIERCOLES ' , '0 ' );</v>
      </c>
    </row>
    <row r="292" spans="1:34" ht="15" hidden="1" customHeight="1" x14ac:dyDescent="0.3">
      <c r="A292" s="1" t="str">
        <f t="shared" si="47"/>
        <v>2°4°</v>
      </c>
      <c r="B292" s="54" t="str">
        <f t="shared" si="48"/>
        <v>2°4°2VIMAÑANA241</v>
      </c>
      <c r="C292" s="62">
        <f>VLOOKUP(G292,[1]Hoja1!$A:$O,3,0)</f>
        <v>241</v>
      </c>
      <c r="D292" s="2" t="str">
        <f t="shared" si="49"/>
        <v>2VIMHERRERIA</v>
      </c>
      <c r="E292" s="62" t="s">
        <v>59</v>
      </c>
      <c r="F292" s="62" t="s">
        <v>27</v>
      </c>
      <c r="G292" s="62" t="s">
        <v>93</v>
      </c>
      <c r="H292" s="8" t="str">
        <f>VLOOKUP(G292,[1]Hoja1!$A:$O,6,0)</f>
        <v>PROCEDIMIENTOS TECNICOS</v>
      </c>
      <c r="I292" s="4" t="s">
        <v>21</v>
      </c>
      <c r="J292" s="4"/>
      <c r="K292" s="80" t="str">
        <f t="shared" si="57"/>
        <v>VI</v>
      </c>
      <c r="L292" s="4" t="s">
        <v>512</v>
      </c>
      <c r="M292" s="86" t="str">
        <f>VLOOKUP(G292,[1]Hoja1!$A:$O,15,0)</f>
        <v>CRUZ DAVID</v>
      </c>
      <c r="N292" s="2" t="str">
        <f t="shared" si="50"/>
        <v>2°4°2412TPT2VI</v>
      </c>
      <c r="O292" s="2"/>
      <c r="P292" s="2" t="str">
        <f>VLOOKUP(G292,[1]Hoja1!$A:$P,16,0)</f>
        <v xml:space="preserve"> </v>
      </c>
      <c r="Q292" s="2"/>
      <c r="S292">
        <f>VLOOKUP(G292,[1]Hoja1!$A:$O,5,0)</f>
        <v>2673425</v>
      </c>
      <c r="U292" s="45" t="s">
        <v>2751</v>
      </c>
      <c r="V292" s="46">
        <f t="shared" si="51"/>
        <v>2673425</v>
      </c>
      <c r="W292" s="47" t="s">
        <v>1519</v>
      </c>
      <c r="X292" s="46" t="str">
        <f t="shared" si="52"/>
        <v>2</v>
      </c>
      <c r="Y292" s="47" t="s">
        <v>1518</v>
      </c>
      <c r="Z292" s="46" t="str">
        <f t="shared" si="53"/>
        <v>M</v>
      </c>
      <c r="AA292" s="47" t="s">
        <v>2752</v>
      </c>
      <c r="AB292" s="46" t="str">
        <f t="shared" si="54"/>
        <v>VIERNES</v>
      </c>
      <c r="AC292" s="47" t="s">
        <v>2753</v>
      </c>
      <c r="AD292" t="str">
        <f t="shared" si="55"/>
        <v>CONTRATURNO</v>
      </c>
      <c r="AE292" s="47" t="s">
        <v>2754</v>
      </c>
      <c r="AH292" t="str">
        <f t="shared" si="56"/>
        <v>INSERT INTO horario_curso_materia (horario_curso_materia.FK_CUR_mat,horario_curso_materia.FK_HOR,horario_curso_materia.DIA,horario_curso_materia.tipo_turno) VALUES (  (SELECT curso_materia.ID_CUR_MAT FROM curso_materia WHERE curso_materia.CUPOF='2673425' ) ,
    (SELECT horario.ID_HOR FROM horario WHERE horario.modulo='2 ' and horario.turno='M ' ),'VIERNES ' , 'CONTRATURNO ' );</v>
      </c>
    </row>
    <row r="293" spans="1:34" ht="15" hidden="1" customHeight="1" x14ac:dyDescent="0.3">
      <c r="A293" s="1" t="str">
        <f t="shared" si="47"/>
        <v>2°4°</v>
      </c>
      <c r="B293" s="54" t="str">
        <f t="shared" si="48"/>
        <v>2°4°2VITARDE0</v>
      </c>
      <c r="C293" s="62">
        <f>VLOOKUP(G293,[1]Hoja1!$A:$O,3,0)</f>
        <v>0</v>
      </c>
      <c r="D293" s="2" t="str">
        <f t="shared" si="49"/>
        <v>2VIT</v>
      </c>
      <c r="E293" s="62" t="s">
        <v>59</v>
      </c>
      <c r="F293" s="62" t="s">
        <v>10</v>
      </c>
      <c r="G293" s="62" t="s">
        <v>335</v>
      </c>
      <c r="H293" s="8" t="str">
        <f>VLOOKUP(G293,[1]Hoja1!$A:$O,6,0)</f>
        <v>PRACTICA DEL LENGUAJE</v>
      </c>
      <c r="I293" s="4"/>
      <c r="J293" s="4"/>
      <c r="K293" s="80" t="str">
        <f t="shared" si="57"/>
        <v>VI</v>
      </c>
      <c r="L293" s="4"/>
      <c r="M293" s="86" t="str">
        <f>VLOOKUP(G293,[1]Hoja1!$A:$O,15,0)</f>
        <v>ARANDA NELIDA</v>
      </c>
      <c r="N293" s="2" t="str">
        <f t="shared" si="50"/>
        <v>2°4°2PLGVI</v>
      </c>
      <c r="O293" s="2"/>
      <c r="P293" s="2" t="str">
        <f>VLOOKUP(G293,[1]Hoja1!$A:$P,16,0)</f>
        <v xml:space="preserve"> </v>
      </c>
      <c r="Q293" s="2"/>
      <c r="S293">
        <f>VLOOKUP(G293,[1]Hoja1!$A:$O,5,0)</f>
        <v>1642672</v>
      </c>
      <c r="U293" s="45" t="s">
        <v>2751</v>
      </c>
      <c r="V293" s="46">
        <f t="shared" si="51"/>
        <v>1642672</v>
      </c>
      <c r="W293" s="47" t="s">
        <v>1519</v>
      </c>
      <c r="X293" s="46" t="str">
        <f t="shared" si="52"/>
        <v>2</v>
      </c>
      <c r="Y293" s="47" t="s">
        <v>1518</v>
      </c>
      <c r="Z293" s="46" t="str">
        <f t="shared" si="53"/>
        <v>T</v>
      </c>
      <c r="AA293" s="47" t="s">
        <v>2752</v>
      </c>
      <c r="AB293" s="46" t="str">
        <f t="shared" si="54"/>
        <v>VIERNES</v>
      </c>
      <c r="AC293" s="47" t="s">
        <v>2753</v>
      </c>
      <c r="AD293">
        <f t="shared" si="55"/>
        <v>0</v>
      </c>
      <c r="AE293" s="47" t="s">
        <v>2754</v>
      </c>
      <c r="AH293" t="str">
        <f t="shared" si="56"/>
        <v>INSERT INTO horario_curso_materia (horario_curso_materia.FK_CUR_mat,horario_curso_materia.FK_HOR,horario_curso_materia.DIA,horario_curso_materia.tipo_turno) VALUES (  (SELECT curso_materia.ID_CUR_MAT FROM curso_materia WHERE curso_materia.CUPOF='1642672' ) ,
    (SELECT horario.ID_HOR FROM horario WHERE horario.modulo='2 ' and horario.turno='T ' ),'VIERNES ' , '0 ' );</v>
      </c>
    </row>
    <row r="294" spans="1:34" ht="15" hidden="1" customHeight="1" x14ac:dyDescent="0.3">
      <c r="A294" s="1" t="str">
        <f t="shared" si="47"/>
        <v>2°4°</v>
      </c>
      <c r="B294" s="54" t="str">
        <f t="shared" si="48"/>
        <v>2°4°3JUTARDE0</v>
      </c>
      <c r="C294" s="62">
        <f>VLOOKUP(G294,[1]Hoja1!$A:$O,3,0)</f>
        <v>0</v>
      </c>
      <c r="D294" s="2" t="str">
        <f t="shared" si="49"/>
        <v>3JUT</v>
      </c>
      <c r="E294" s="62" t="s">
        <v>46</v>
      </c>
      <c r="F294" s="62" t="s">
        <v>10</v>
      </c>
      <c r="G294" s="62" t="s">
        <v>335</v>
      </c>
      <c r="H294" s="8" t="str">
        <f>VLOOKUP(G294,[1]Hoja1!$A:$O,6,0)</f>
        <v>PRACTICA DEL LENGUAJE</v>
      </c>
      <c r="I294" s="4"/>
      <c r="J294" s="4"/>
      <c r="K294" s="80" t="str">
        <f t="shared" si="57"/>
        <v>JU</v>
      </c>
      <c r="L294" s="4"/>
      <c r="M294" s="86" t="str">
        <f>VLOOKUP(G294,[1]Hoja1!$A:$O,15,0)</f>
        <v>ARANDA NELIDA</v>
      </c>
      <c r="N294" s="2" t="str">
        <f t="shared" si="50"/>
        <v>2°4°2PLGJU</v>
      </c>
      <c r="O294" s="2"/>
      <c r="P294" s="2" t="str">
        <f>VLOOKUP(G294,[1]Hoja1!$A:$P,16,0)</f>
        <v xml:space="preserve"> </v>
      </c>
      <c r="Q294" s="2"/>
      <c r="S294">
        <f>VLOOKUP(G294,[1]Hoja1!$A:$O,5,0)</f>
        <v>1642672</v>
      </c>
      <c r="U294" s="45" t="s">
        <v>2751</v>
      </c>
      <c r="V294" s="46">
        <f t="shared" si="51"/>
        <v>1642672</v>
      </c>
      <c r="W294" s="47" t="s">
        <v>1519</v>
      </c>
      <c r="X294" s="46" t="str">
        <f t="shared" si="52"/>
        <v>3</v>
      </c>
      <c r="Y294" s="47" t="s">
        <v>1518</v>
      </c>
      <c r="Z294" s="46" t="str">
        <f t="shared" si="53"/>
        <v>T</v>
      </c>
      <c r="AA294" s="47" t="s">
        <v>2752</v>
      </c>
      <c r="AB294" s="46" t="str">
        <f t="shared" si="54"/>
        <v>JUEVES</v>
      </c>
      <c r="AC294" s="47" t="s">
        <v>2753</v>
      </c>
      <c r="AD294">
        <f t="shared" si="55"/>
        <v>0</v>
      </c>
      <c r="AE294" s="47" t="s">
        <v>2754</v>
      </c>
      <c r="AH294" t="str">
        <f t="shared" si="56"/>
        <v>INSERT INTO horario_curso_materia (horario_curso_materia.FK_CUR_mat,horario_curso_materia.FK_HOR,horario_curso_materia.DIA,horario_curso_materia.tipo_turno) VALUES (  (SELECT curso_materia.ID_CUR_MAT FROM curso_materia WHERE curso_materia.CUPOF='1642672' ) ,
    (SELECT horario.ID_HOR FROM horario WHERE horario.modulo='3 ' and horario.turno='T ' ),'JUEVES ' , '0 ' );</v>
      </c>
    </row>
    <row r="295" spans="1:34" ht="15" hidden="1" customHeight="1" x14ac:dyDescent="0.3">
      <c r="A295" s="1" t="str">
        <f t="shared" si="47"/>
        <v>2°4°</v>
      </c>
      <c r="B295" s="54" t="str">
        <f t="shared" si="48"/>
        <v>2°4°3LUTARDE0</v>
      </c>
      <c r="C295" s="62">
        <f>VLOOKUP(G295,[1]Hoja1!$A:$O,3,0)</f>
        <v>0</v>
      </c>
      <c r="D295" s="2" t="str">
        <f t="shared" si="49"/>
        <v>3LUT</v>
      </c>
      <c r="E295" s="62" t="s">
        <v>29</v>
      </c>
      <c r="F295" s="62" t="s">
        <v>10</v>
      </c>
      <c r="G295" s="62" t="s">
        <v>329</v>
      </c>
      <c r="H295" s="8" t="str">
        <f>VLOOKUP(G295,[1]Hoja1!$A:$O,6,0)</f>
        <v>HISTORIA</v>
      </c>
      <c r="I295" s="4"/>
      <c r="J295" s="4"/>
      <c r="K295" s="80" t="str">
        <f t="shared" si="57"/>
        <v>LU</v>
      </c>
      <c r="L295" s="4"/>
      <c r="M295" s="86" t="str">
        <f>VLOOKUP(G295,[1]Hoja1!$A:$O,15,0)</f>
        <v xml:space="preserve">TORRES LUIS                    </v>
      </c>
      <c r="N295" s="2" t="str">
        <f t="shared" si="50"/>
        <v>2°4°2HISLU</v>
      </c>
      <c r="O295" s="2"/>
      <c r="P295" s="2" t="str">
        <f>VLOOKUP(G295,[1]Hoja1!$A:$P,16,0)</f>
        <v xml:space="preserve"> </v>
      </c>
      <c r="Q295" s="2"/>
      <c r="S295">
        <f>VLOOKUP(G295,[1]Hoja1!$A:$O,5,0)</f>
        <v>1642678</v>
      </c>
      <c r="U295" s="45" t="s">
        <v>2751</v>
      </c>
      <c r="V295" s="46">
        <f t="shared" si="51"/>
        <v>1642678</v>
      </c>
      <c r="W295" s="47" t="s">
        <v>1519</v>
      </c>
      <c r="X295" s="46" t="str">
        <f t="shared" si="52"/>
        <v>3</v>
      </c>
      <c r="Y295" s="47" t="s">
        <v>1518</v>
      </c>
      <c r="Z295" s="46" t="str">
        <f t="shared" si="53"/>
        <v>T</v>
      </c>
      <c r="AA295" s="47" t="s">
        <v>2752</v>
      </c>
      <c r="AB295" s="46" t="str">
        <f t="shared" si="54"/>
        <v>LUNES</v>
      </c>
      <c r="AC295" s="47" t="s">
        <v>2753</v>
      </c>
      <c r="AD295">
        <f t="shared" si="55"/>
        <v>0</v>
      </c>
      <c r="AE295" s="47" t="s">
        <v>2754</v>
      </c>
      <c r="AH295" t="str">
        <f t="shared" si="56"/>
        <v>INSERT INTO horario_curso_materia (horario_curso_materia.FK_CUR_mat,horario_curso_materia.FK_HOR,horario_curso_materia.DIA,horario_curso_materia.tipo_turno) VALUES (  (SELECT curso_materia.ID_CUR_MAT FROM curso_materia WHERE curso_materia.CUPOF='1642678' ) ,
    (SELECT horario.ID_HOR FROM horario WHERE horario.modulo='3 ' and horario.turno='T ' ),'LUNES ' , '0 ' );</v>
      </c>
    </row>
    <row r="296" spans="1:34" ht="15" hidden="1" customHeight="1" x14ac:dyDescent="0.3">
      <c r="A296" s="1" t="str">
        <f t="shared" si="47"/>
        <v>2°4°</v>
      </c>
      <c r="B296" s="54" t="str">
        <f t="shared" si="48"/>
        <v>2°4°3MAMAÑANA242</v>
      </c>
      <c r="C296" s="62">
        <f>VLOOKUP(G296,[1]Hoja1!$A:$O,3,0)</f>
        <v>242</v>
      </c>
      <c r="D296" s="2" t="str">
        <f t="shared" si="49"/>
        <v>3MAMHERRERIA</v>
      </c>
      <c r="E296" s="62" t="s">
        <v>13</v>
      </c>
      <c r="F296" s="62" t="s">
        <v>27</v>
      </c>
      <c r="G296" s="62" t="s">
        <v>86</v>
      </c>
      <c r="H296" s="8" t="str">
        <f>VLOOKUP(G296,[1]Hoja1!$A:$O,6,0)</f>
        <v>PROCEDIMIENTOS TECNICOS</v>
      </c>
      <c r="I296" s="4" t="s">
        <v>21</v>
      </c>
      <c r="J296" s="4"/>
      <c r="K296" s="80" t="str">
        <f t="shared" si="57"/>
        <v>MA</v>
      </c>
      <c r="L296" s="4" t="s">
        <v>512</v>
      </c>
      <c r="M296" s="86" t="str">
        <f>VLOOKUP(G296,[1]Hoja1!$A:$O,15,0)</f>
        <v>CRUZ DAVID</v>
      </c>
      <c r="N296" s="2" t="str">
        <f t="shared" si="50"/>
        <v>2°4°2422TPT2MA</v>
      </c>
      <c r="O296" s="2"/>
      <c r="P296" s="2" t="str">
        <f>VLOOKUP(G296,[1]Hoja1!$A:$P,16,0)</f>
        <v xml:space="preserve"> </v>
      </c>
      <c r="Q296" s="2"/>
      <c r="S296">
        <f>VLOOKUP(G296,[1]Hoja1!$A:$O,5,0)</f>
        <v>2673429</v>
      </c>
      <c r="U296" s="45" t="s">
        <v>2751</v>
      </c>
      <c r="V296" s="46">
        <f t="shared" si="51"/>
        <v>2673429</v>
      </c>
      <c r="W296" s="47" t="s">
        <v>1519</v>
      </c>
      <c r="X296" s="46" t="str">
        <f t="shared" si="52"/>
        <v>3</v>
      </c>
      <c r="Y296" s="47" t="s">
        <v>1518</v>
      </c>
      <c r="Z296" s="46" t="str">
        <f t="shared" si="53"/>
        <v>M</v>
      </c>
      <c r="AA296" s="47" t="s">
        <v>2752</v>
      </c>
      <c r="AB296" s="46" t="str">
        <f t="shared" si="54"/>
        <v>MARTES</v>
      </c>
      <c r="AC296" s="47" t="s">
        <v>2753</v>
      </c>
      <c r="AD296" t="str">
        <f t="shared" si="55"/>
        <v>CONTRATURNO</v>
      </c>
      <c r="AE296" s="47" t="s">
        <v>2754</v>
      </c>
      <c r="AH296" t="str">
        <f t="shared" si="56"/>
        <v>INSERT INTO horario_curso_materia (horario_curso_materia.FK_CUR_mat,horario_curso_materia.FK_HOR,horario_curso_materia.DIA,horario_curso_materia.tipo_turno) VALUES (  (SELECT curso_materia.ID_CUR_MAT FROM curso_materia WHERE curso_materia.CUPOF='2673429' ) ,
    (SELECT horario.ID_HOR FROM horario WHERE horario.modulo='3 ' and horario.turno='M ' ),'MARTES ' , 'CONTRATURNO ' );</v>
      </c>
    </row>
    <row r="297" spans="1:34" ht="15" hidden="1" customHeight="1" x14ac:dyDescent="0.3">
      <c r="A297" s="1" t="str">
        <f t="shared" si="47"/>
        <v>2°4°</v>
      </c>
      <c r="B297" s="54" t="str">
        <f t="shared" si="48"/>
        <v>2°4°3MATARDE0</v>
      </c>
      <c r="C297" s="62">
        <f>VLOOKUP(G297,[1]Hoja1!$A:$O,3,0)</f>
        <v>0</v>
      </c>
      <c r="D297" s="2" t="str">
        <f t="shared" si="49"/>
        <v>3MAT</v>
      </c>
      <c r="E297" s="62" t="s">
        <v>13</v>
      </c>
      <c r="F297" s="62" t="s">
        <v>10</v>
      </c>
      <c r="G297" s="62" t="s">
        <v>332</v>
      </c>
      <c r="H297" s="8" t="str">
        <f>VLOOKUP(G297,[1]Hoja1!$A:$O,6,0)</f>
        <v>BIOLOGIA</v>
      </c>
      <c r="I297" s="4"/>
      <c r="J297" s="4"/>
      <c r="K297" s="80" t="str">
        <f t="shared" si="57"/>
        <v>MA</v>
      </c>
      <c r="L297" s="4"/>
      <c r="M297" s="86" t="str">
        <f>VLOOKUP(G297,[1]Hoja1!$A:$O,15,0)</f>
        <v>BARRIONUEVO MARIANELA</v>
      </c>
      <c r="N297" s="2" t="str">
        <f t="shared" si="50"/>
        <v>2°4°2BIOMA</v>
      </c>
      <c r="O297" s="2"/>
      <c r="P297" s="2" t="str">
        <f>VLOOKUP(G297,[1]Hoja1!$A:$P,16,0)</f>
        <v xml:space="preserve"> </v>
      </c>
      <c r="Q297" s="2"/>
      <c r="S297">
        <f>VLOOKUP(G297,[1]Hoja1!$A:$O,5,0)</f>
        <v>1642680</v>
      </c>
      <c r="U297" s="45" t="s">
        <v>2751</v>
      </c>
      <c r="V297" s="46">
        <f t="shared" si="51"/>
        <v>1642680</v>
      </c>
      <c r="W297" s="47" t="s">
        <v>1519</v>
      </c>
      <c r="X297" s="46" t="str">
        <f t="shared" si="52"/>
        <v>3</v>
      </c>
      <c r="Y297" s="47" t="s">
        <v>1518</v>
      </c>
      <c r="Z297" s="46" t="str">
        <f t="shared" si="53"/>
        <v>T</v>
      </c>
      <c r="AA297" s="47" t="s">
        <v>2752</v>
      </c>
      <c r="AB297" s="46" t="str">
        <f t="shared" si="54"/>
        <v>MARTES</v>
      </c>
      <c r="AC297" s="47" t="s">
        <v>2753</v>
      </c>
      <c r="AD297">
        <f t="shared" si="55"/>
        <v>0</v>
      </c>
      <c r="AE297" s="47" t="s">
        <v>2754</v>
      </c>
      <c r="AH297" t="str">
        <f t="shared" si="56"/>
        <v>INSERT INTO horario_curso_materia (horario_curso_materia.FK_CUR_mat,horario_curso_materia.FK_HOR,horario_curso_materia.DIA,horario_curso_materia.tipo_turno) VALUES (  (SELECT curso_materia.ID_CUR_MAT FROM curso_materia WHERE curso_materia.CUPOF='1642680' ) ,
    (SELECT horario.ID_HOR FROM horario WHERE horario.modulo='3 ' and horario.turno='T ' ),'MARTES ' , '0 ' );</v>
      </c>
    </row>
    <row r="298" spans="1:34" ht="15" hidden="1" customHeight="1" x14ac:dyDescent="0.3">
      <c r="A298" s="1" t="str">
        <f t="shared" si="47"/>
        <v>2°4°</v>
      </c>
      <c r="B298" s="54" t="str">
        <f t="shared" si="48"/>
        <v>2°4°3MITARDE0</v>
      </c>
      <c r="C298" s="62">
        <f>VLOOKUP(G298,[1]Hoja1!$A:$O,3,0)</f>
        <v>0</v>
      </c>
      <c r="D298" s="2" t="str">
        <f t="shared" si="49"/>
        <v>3MIT</v>
      </c>
      <c r="E298" s="62" t="s">
        <v>50</v>
      </c>
      <c r="F298" s="62" t="s">
        <v>10</v>
      </c>
      <c r="G298" s="62" t="s">
        <v>334</v>
      </c>
      <c r="H298" s="8" t="str">
        <f>VLOOKUP(G298,[1]Hoja1!$A:$O,6,0)</f>
        <v>GEOGRAFIA</v>
      </c>
      <c r="I298" s="4"/>
      <c r="J298" s="4"/>
      <c r="K298" s="80" t="str">
        <f t="shared" si="57"/>
        <v>MI</v>
      </c>
      <c r="L298" s="4"/>
      <c r="M298" s="86" t="str">
        <f>VLOOKUP(G298,[1]Hoja1!$A:$O,15,0)</f>
        <v>OSTRIZ GISELA JORGELINA</v>
      </c>
      <c r="N298" s="2" t="str">
        <f t="shared" si="50"/>
        <v>2°4°2GEOMI</v>
      </c>
      <c r="O298" s="2"/>
      <c r="P298" s="2" t="str">
        <f>VLOOKUP(G298,[1]Hoja1!$A:$P,16,0)</f>
        <v xml:space="preserve"> </v>
      </c>
      <c r="Q298" s="2"/>
      <c r="S298">
        <f>VLOOKUP(G298,[1]Hoja1!$A:$O,5,0)</f>
        <v>1642675</v>
      </c>
      <c r="U298" s="45" t="s">
        <v>2751</v>
      </c>
      <c r="V298" s="46">
        <f t="shared" si="51"/>
        <v>1642675</v>
      </c>
      <c r="W298" s="47" t="s">
        <v>1519</v>
      </c>
      <c r="X298" s="46" t="str">
        <f t="shared" si="52"/>
        <v>3</v>
      </c>
      <c r="Y298" s="47" t="s">
        <v>1518</v>
      </c>
      <c r="Z298" s="46" t="str">
        <f t="shared" si="53"/>
        <v>T</v>
      </c>
      <c r="AA298" s="47" t="s">
        <v>2752</v>
      </c>
      <c r="AB298" s="46" t="str">
        <f t="shared" si="54"/>
        <v>MIERCOLES</v>
      </c>
      <c r="AC298" s="47" t="s">
        <v>2753</v>
      </c>
      <c r="AD298">
        <f t="shared" si="55"/>
        <v>0</v>
      </c>
      <c r="AE298" s="47" t="s">
        <v>2754</v>
      </c>
      <c r="AH298" t="str">
        <f t="shared" si="56"/>
        <v>INSERT INTO horario_curso_materia (horario_curso_materia.FK_CUR_mat,horario_curso_materia.FK_HOR,horario_curso_materia.DIA,horario_curso_materia.tipo_turno) VALUES (  (SELECT curso_materia.ID_CUR_MAT FROM curso_materia WHERE curso_materia.CUPOF='1642675' ) ,
    (SELECT horario.ID_HOR FROM horario WHERE horario.modulo='3 ' and horario.turno='T ' ),'MIERCOLES ' , '0 ' );</v>
      </c>
    </row>
    <row r="299" spans="1:34" ht="15" hidden="1" customHeight="1" x14ac:dyDescent="0.3">
      <c r="A299" s="1" t="str">
        <f t="shared" si="47"/>
        <v>2°4°</v>
      </c>
      <c r="B299" s="54" t="str">
        <f t="shared" si="48"/>
        <v>2°4°3VIMAÑANA241</v>
      </c>
      <c r="C299" s="62">
        <f>VLOOKUP(G299,[1]Hoja1!$A:$O,3,0)</f>
        <v>241</v>
      </c>
      <c r="D299" s="2" t="str">
        <f t="shared" si="49"/>
        <v>3VIMHERRERIA</v>
      </c>
      <c r="E299" s="62" t="s">
        <v>35</v>
      </c>
      <c r="F299" s="62" t="s">
        <v>27</v>
      </c>
      <c r="G299" s="62" t="s">
        <v>93</v>
      </c>
      <c r="H299" s="8" t="str">
        <f>VLOOKUP(G299,[1]Hoja1!$A:$O,6,0)</f>
        <v>PROCEDIMIENTOS TECNICOS</v>
      </c>
      <c r="I299" s="4" t="s">
        <v>21</v>
      </c>
      <c r="J299" s="4"/>
      <c r="K299" s="80" t="str">
        <f t="shared" si="57"/>
        <v>VI</v>
      </c>
      <c r="L299" s="4" t="s">
        <v>512</v>
      </c>
      <c r="M299" s="86" t="str">
        <f>VLOOKUP(G299,[1]Hoja1!$A:$O,15,0)</f>
        <v>CRUZ DAVID</v>
      </c>
      <c r="N299" s="2" t="str">
        <f t="shared" si="50"/>
        <v>2°4°2412TPT2VI</v>
      </c>
      <c r="O299" s="2"/>
      <c r="P299" s="2" t="str">
        <f>VLOOKUP(G299,[1]Hoja1!$A:$P,16,0)</f>
        <v xml:space="preserve"> </v>
      </c>
      <c r="Q299" s="2"/>
      <c r="S299">
        <f>VLOOKUP(G299,[1]Hoja1!$A:$O,5,0)</f>
        <v>2673425</v>
      </c>
      <c r="U299" s="45" t="s">
        <v>2751</v>
      </c>
      <c r="V299" s="46">
        <f t="shared" si="51"/>
        <v>2673425</v>
      </c>
      <c r="W299" s="47" t="s">
        <v>1519</v>
      </c>
      <c r="X299" s="46" t="str">
        <f t="shared" si="52"/>
        <v>3</v>
      </c>
      <c r="Y299" s="47" t="s">
        <v>1518</v>
      </c>
      <c r="Z299" s="46" t="str">
        <f t="shared" si="53"/>
        <v>M</v>
      </c>
      <c r="AA299" s="47" t="s">
        <v>2752</v>
      </c>
      <c r="AB299" s="46" t="str">
        <f t="shared" si="54"/>
        <v>VIERNES</v>
      </c>
      <c r="AC299" s="47" t="s">
        <v>2753</v>
      </c>
      <c r="AD299" t="str">
        <f t="shared" si="55"/>
        <v>CONTRATURNO</v>
      </c>
      <c r="AE299" s="47" t="s">
        <v>2754</v>
      </c>
      <c r="AH299" t="str">
        <f t="shared" si="56"/>
        <v>INSERT INTO horario_curso_materia (horario_curso_materia.FK_CUR_mat,horario_curso_materia.FK_HOR,horario_curso_materia.DIA,horario_curso_materia.tipo_turno) VALUES (  (SELECT curso_materia.ID_CUR_MAT FROM curso_materia WHERE curso_materia.CUPOF='2673425' ) ,
    (SELECT horario.ID_HOR FROM horario WHERE horario.modulo='3 ' and horario.turno='M ' ),'VIERNES ' , 'CONTRATURNO ' );</v>
      </c>
    </row>
    <row r="300" spans="1:34" ht="15" hidden="1" customHeight="1" x14ac:dyDescent="0.3">
      <c r="A300" s="1" t="str">
        <f t="shared" si="47"/>
        <v>2°4°</v>
      </c>
      <c r="B300" s="54" t="str">
        <f t="shared" si="48"/>
        <v>2°4°3VITARDE0</v>
      </c>
      <c r="C300" s="62">
        <f>VLOOKUP(G300,[1]Hoja1!$A:$O,3,0)</f>
        <v>0</v>
      </c>
      <c r="D300" s="2" t="str">
        <f t="shared" si="49"/>
        <v>3VIT</v>
      </c>
      <c r="E300" s="62" t="s">
        <v>35</v>
      </c>
      <c r="F300" s="62" t="s">
        <v>10</v>
      </c>
      <c r="G300" s="62" t="s">
        <v>336</v>
      </c>
      <c r="H300" s="8" t="str">
        <f>VLOOKUP(G300,[1]Hoja1!$A:$O,6,0)</f>
        <v>INGLÉS</v>
      </c>
      <c r="I300" s="4"/>
      <c r="J300" s="4"/>
      <c r="K300" s="80" t="str">
        <f t="shared" si="57"/>
        <v>VI</v>
      </c>
      <c r="L300" s="4"/>
      <c r="M300" s="86" t="str">
        <f>VLOOKUP(G300,[1]Hoja1!$A:$O,15,0)</f>
        <v xml:space="preserve">GOMEZ HERNANDEZ MARIANA   27275092180 </v>
      </c>
      <c r="N300" s="2" t="str">
        <f t="shared" si="50"/>
        <v>2°4°2INGVI</v>
      </c>
      <c r="O300" s="2"/>
      <c r="P300" s="2" t="str">
        <f>VLOOKUP(G300,[1]Hoja1!$A:$P,16,0)</f>
        <v xml:space="preserve"> </v>
      </c>
      <c r="Q300" s="2"/>
      <c r="S300">
        <f>VLOOKUP(G300,[1]Hoja1!$A:$O,5,0)</f>
        <v>1642673</v>
      </c>
      <c r="U300" s="45" t="s">
        <v>2751</v>
      </c>
      <c r="V300" s="46">
        <f t="shared" si="51"/>
        <v>1642673</v>
      </c>
      <c r="W300" s="47" t="s">
        <v>1519</v>
      </c>
      <c r="X300" s="46" t="str">
        <f t="shared" si="52"/>
        <v>3</v>
      </c>
      <c r="Y300" s="47" t="s">
        <v>1518</v>
      </c>
      <c r="Z300" s="46" t="str">
        <f t="shared" si="53"/>
        <v>T</v>
      </c>
      <c r="AA300" s="47" t="s">
        <v>2752</v>
      </c>
      <c r="AB300" s="46" t="str">
        <f t="shared" si="54"/>
        <v>VIERNES</v>
      </c>
      <c r="AC300" s="47" t="s">
        <v>2753</v>
      </c>
      <c r="AD300">
        <f t="shared" si="55"/>
        <v>0</v>
      </c>
      <c r="AE300" s="47" t="s">
        <v>2754</v>
      </c>
      <c r="AH300" t="str">
        <f t="shared" si="56"/>
        <v>INSERT INTO horario_curso_materia (horario_curso_materia.FK_CUR_mat,horario_curso_materia.FK_HOR,horario_curso_materia.DIA,horario_curso_materia.tipo_turno) VALUES (  (SELECT curso_materia.ID_CUR_MAT FROM curso_materia WHERE curso_materia.CUPOF='1642673' ) ,
    (SELECT horario.ID_HOR FROM horario WHERE horario.modulo='3 ' and horario.turno='T ' ),'VIERNES ' , '0 ' );</v>
      </c>
    </row>
    <row r="301" spans="1:34" ht="15" hidden="1" customHeight="1" x14ac:dyDescent="0.3">
      <c r="A301" s="1" t="str">
        <f t="shared" si="47"/>
        <v>2°4°</v>
      </c>
      <c r="B301" s="54" t="str">
        <f t="shared" si="48"/>
        <v>2°4°4JUTARDE0</v>
      </c>
      <c r="C301" s="62">
        <f>VLOOKUP(G301,[1]Hoja1!$A:$O,3,0)</f>
        <v>0</v>
      </c>
      <c r="D301" s="2" t="str">
        <f t="shared" si="49"/>
        <v>4JUT</v>
      </c>
      <c r="E301" s="62" t="s">
        <v>48</v>
      </c>
      <c r="F301" s="62" t="s">
        <v>10</v>
      </c>
      <c r="G301" s="62" t="s">
        <v>335</v>
      </c>
      <c r="H301" s="8" t="str">
        <f>VLOOKUP(G301,[1]Hoja1!$A:$O,6,0)</f>
        <v>PRACTICA DEL LENGUAJE</v>
      </c>
      <c r="I301" s="4"/>
      <c r="J301" s="4"/>
      <c r="K301" s="80" t="str">
        <f t="shared" si="57"/>
        <v>JU</v>
      </c>
      <c r="L301" s="4"/>
      <c r="M301" s="86" t="str">
        <f>VLOOKUP(G301,[1]Hoja1!$A:$O,15,0)</f>
        <v>ARANDA NELIDA</v>
      </c>
      <c r="N301" s="2" t="str">
        <f t="shared" si="50"/>
        <v>2°4°2PLGJU</v>
      </c>
      <c r="O301" s="2"/>
      <c r="P301" s="2" t="str">
        <f>VLOOKUP(G301,[1]Hoja1!$A:$P,16,0)</f>
        <v xml:space="preserve"> </v>
      </c>
      <c r="Q301" s="2"/>
      <c r="S301">
        <f>VLOOKUP(G301,[1]Hoja1!$A:$O,5,0)</f>
        <v>1642672</v>
      </c>
      <c r="U301" s="45" t="s">
        <v>2751</v>
      </c>
      <c r="V301" s="46">
        <f t="shared" si="51"/>
        <v>1642672</v>
      </c>
      <c r="W301" s="47" t="s">
        <v>1519</v>
      </c>
      <c r="X301" s="46" t="str">
        <f t="shared" si="52"/>
        <v>4</v>
      </c>
      <c r="Y301" s="47" t="s">
        <v>1518</v>
      </c>
      <c r="Z301" s="46" t="str">
        <f t="shared" si="53"/>
        <v>T</v>
      </c>
      <c r="AA301" s="47" t="s">
        <v>2752</v>
      </c>
      <c r="AB301" s="46" t="str">
        <f t="shared" si="54"/>
        <v>JUEVES</v>
      </c>
      <c r="AC301" s="47" t="s">
        <v>2753</v>
      </c>
      <c r="AD301">
        <f t="shared" si="55"/>
        <v>0</v>
      </c>
      <c r="AE301" s="47" t="s">
        <v>2754</v>
      </c>
      <c r="AH301" t="str">
        <f t="shared" si="56"/>
        <v>INSERT INTO horario_curso_materia (horario_curso_materia.FK_CUR_mat,horario_curso_materia.FK_HOR,horario_curso_materia.DIA,horario_curso_materia.tipo_turno) VALUES (  (SELECT curso_materia.ID_CUR_MAT FROM curso_materia WHERE curso_materia.CUPOF='1642672' ) ,
    (SELECT horario.ID_HOR FROM horario WHERE horario.modulo='4 ' and horario.turno='T ' ),'JUEVES ' , '0 ' );</v>
      </c>
    </row>
    <row r="302" spans="1:34" ht="15" hidden="1" customHeight="1" x14ac:dyDescent="0.3">
      <c r="A302" s="1" t="str">
        <f t="shared" si="47"/>
        <v>2°4°</v>
      </c>
      <c r="B302" s="54" t="str">
        <f t="shared" si="48"/>
        <v>2°4°4LUTARDE0</v>
      </c>
      <c r="C302" s="62">
        <f>VLOOKUP(G302,[1]Hoja1!$A:$O,3,0)</f>
        <v>0</v>
      </c>
      <c r="D302" s="2" t="str">
        <f t="shared" si="49"/>
        <v>4LUT</v>
      </c>
      <c r="E302" s="62" t="s">
        <v>31</v>
      </c>
      <c r="F302" s="62" t="s">
        <v>10</v>
      </c>
      <c r="G302" s="62" t="s">
        <v>329</v>
      </c>
      <c r="H302" s="8" t="str">
        <f>VLOOKUP(G302,[1]Hoja1!$A:$O,6,0)</f>
        <v>HISTORIA</v>
      </c>
      <c r="I302" s="4"/>
      <c r="J302" s="4"/>
      <c r="K302" s="80" t="str">
        <f t="shared" si="57"/>
        <v>LU</v>
      </c>
      <c r="L302" s="4"/>
      <c r="M302" s="86" t="str">
        <f>VLOOKUP(G302,[1]Hoja1!$A:$O,15,0)</f>
        <v xml:space="preserve">TORRES LUIS                    </v>
      </c>
      <c r="N302" s="2" t="str">
        <f t="shared" si="50"/>
        <v>2°4°2HISLU</v>
      </c>
      <c r="O302" s="2"/>
      <c r="P302" s="2" t="str">
        <f>VLOOKUP(G302,[1]Hoja1!$A:$P,16,0)</f>
        <v xml:space="preserve"> </v>
      </c>
      <c r="Q302" s="2"/>
      <c r="S302">
        <f>VLOOKUP(G302,[1]Hoja1!$A:$O,5,0)</f>
        <v>1642678</v>
      </c>
      <c r="U302" s="45" t="s">
        <v>2751</v>
      </c>
      <c r="V302" s="46">
        <f t="shared" si="51"/>
        <v>1642678</v>
      </c>
      <c r="W302" s="47" t="s">
        <v>1519</v>
      </c>
      <c r="X302" s="46" t="str">
        <f t="shared" si="52"/>
        <v>4</v>
      </c>
      <c r="Y302" s="47" t="s">
        <v>1518</v>
      </c>
      <c r="Z302" s="46" t="str">
        <f t="shared" si="53"/>
        <v>T</v>
      </c>
      <c r="AA302" s="47" t="s">
        <v>2752</v>
      </c>
      <c r="AB302" s="46" t="str">
        <f t="shared" si="54"/>
        <v>LUNES</v>
      </c>
      <c r="AC302" s="47" t="s">
        <v>2753</v>
      </c>
      <c r="AD302">
        <f t="shared" si="55"/>
        <v>0</v>
      </c>
      <c r="AE302" s="47" t="s">
        <v>2754</v>
      </c>
      <c r="AH302" t="str">
        <f t="shared" si="56"/>
        <v>INSERT INTO horario_curso_materia (horario_curso_materia.FK_CUR_mat,horario_curso_materia.FK_HOR,horario_curso_materia.DIA,horario_curso_materia.tipo_turno) VALUES (  (SELECT curso_materia.ID_CUR_MAT FROM curso_materia WHERE curso_materia.CUPOF='1642678' ) ,
    (SELECT horario.ID_HOR FROM horario WHERE horario.modulo='4 ' and horario.turno='T ' ),'LUNES ' , '0 ' );</v>
      </c>
    </row>
    <row r="303" spans="1:34" ht="15" hidden="1" customHeight="1" x14ac:dyDescent="0.3">
      <c r="A303" s="1" t="str">
        <f t="shared" si="47"/>
        <v>2°4°</v>
      </c>
      <c r="B303" s="54" t="str">
        <f t="shared" si="48"/>
        <v>2°4°4MAMAÑANA242</v>
      </c>
      <c r="C303" s="62">
        <f>VLOOKUP(G303,[1]Hoja1!$A:$O,3,0)</f>
        <v>242</v>
      </c>
      <c r="D303" s="2" t="str">
        <f t="shared" si="49"/>
        <v>4MAMHERRERIA</v>
      </c>
      <c r="E303" s="62" t="s">
        <v>16</v>
      </c>
      <c r="F303" s="62" t="s">
        <v>27</v>
      </c>
      <c r="G303" s="62" t="s">
        <v>86</v>
      </c>
      <c r="H303" s="8" t="str">
        <f>VLOOKUP(G303,[1]Hoja1!$A:$O,6,0)</f>
        <v>PROCEDIMIENTOS TECNICOS</v>
      </c>
      <c r="I303" s="4" t="s">
        <v>21</v>
      </c>
      <c r="J303" s="4"/>
      <c r="K303" s="80" t="str">
        <f t="shared" si="57"/>
        <v>MA</v>
      </c>
      <c r="L303" s="4" t="s">
        <v>512</v>
      </c>
      <c r="M303" s="86" t="str">
        <f>VLOOKUP(G303,[1]Hoja1!$A:$O,15,0)</f>
        <v>CRUZ DAVID</v>
      </c>
      <c r="N303" s="2" t="str">
        <f t="shared" si="50"/>
        <v>2°4°2422TPT2MA</v>
      </c>
      <c r="O303" s="2"/>
      <c r="P303" s="2" t="str">
        <f>VLOOKUP(G303,[1]Hoja1!$A:$P,16,0)</f>
        <v xml:space="preserve"> </v>
      </c>
      <c r="Q303" s="2"/>
      <c r="S303">
        <f>VLOOKUP(G303,[1]Hoja1!$A:$O,5,0)</f>
        <v>2673429</v>
      </c>
      <c r="U303" s="45" t="s">
        <v>2751</v>
      </c>
      <c r="V303" s="46">
        <f t="shared" si="51"/>
        <v>2673429</v>
      </c>
      <c r="W303" s="47" t="s">
        <v>1519</v>
      </c>
      <c r="X303" s="46" t="str">
        <f t="shared" si="52"/>
        <v>4</v>
      </c>
      <c r="Y303" s="47" t="s">
        <v>1518</v>
      </c>
      <c r="Z303" s="46" t="str">
        <f t="shared" si="53"/>
        <v>M</v>
      </c>
      <c r="AA303" s="47" t="s">
        <v>2752</v>
      </c>
      <c r="AB303" s="46" t="str">
        <f t="shared" si="54"/>
        <v>MARTES</v>
      </c>
      <c r="AC303" s="47" t="s">
        <v>2753</v>
      </c>
      <c r="AD303" t="str">
        <f t="shared" si="55"/>
        <v>CONTRATURNO</v>
      </c>
      <c r="AE303" s="47" t="s">
        <v>2754</v>
      </c>
      <c r="AH303" t="str">
        <f t="shared" si="56"/>
        <v>INSERT INTO horario_curso_materia (horario_curso_materia.FK_CUR_mat,horario_curso_materia.FK_HOR,horario_curso_materia.DIA,horario_curso_materia.tipo_turno) VALUES (  (SELECT curso_materia.ID_CUR_MAT FROM curso_materia WHERE curso_materia.CUPOF='2673429' ) ,
    (SELECT horario.ID_HOR FROM horario WHERE horario.modulo='4 ' and horario.turno='M ' ),'MARTES ' , 'CONTRATURNO ' );</v>
      </c>
    </row>
    <row r="304" spans="1:34" ht="15" hidden="1" customHeight="1" x14ac:dyDescent="0.3">
      <c r="A304" s="1" t="str">
        <f t="shared" si="47"/>
        <v>2°4°</v>
      </c>
      <c r="B304" s="54" t="str">
        <f t="shared" si="48"/>
        <v>2°4°4MATARDE0</v>
      </c>
      <c r="C304" s="62">
        <f>VLOOKUP(G304,[1]Hoja1!$A:$O,3,0)</f>
        <v>0</v>
      </c>
      <c r="D304" s="2" t="str">
        <f t="shared" si="49"/>
        <v>4MAT</v>
      </c>
      <c r="E304" s="62" t="s">
        <v>16</v>
      </c>
      <c r="F304" s="62" t="s">
        <v>10</v>
      </c>
      <c r="G304" s="62" t="s">
        <v>332</v>
      </c>
      <c r="H304" s="8" t="str">
        <f>VLOOKUP(G304,[1]Hoja1!$A:$O,6,0)</f>
        <v>BIOLOGIA</v>
      </c>
      <c r="I304" s="4"/>
      <c r="J304" s="4"/>
      <c r="K304" s="80" t="str">
        <f t="shared" si="57"/>
        <v>MA</v>
      </c>
      <c r="L304" s="4"/>
      <c r="M304" s="86" t="str">
        <f>VLOOKUP(G304,[1]Hoja1!$A:$O,15,0)</f>
        <v>BARRIONUEVO MARIANELA</v>
      </c>
      <c r="N304" s="2" t="str">
        <f t="shared" si="50"/>
        <v>2°4°2BIOMA</v>
      </c>
      <c r="O304" s="2"/>
      <c r="P304" s="2" t="str">
        <f>VLOOKUP(G304,[1]Hoja1!$A:$P,16,0)</f>
        <v xml:space="preserve"> </v>
      </c>
      <c r="Q304" s="2"/>
      <c r="S304">
        <f>VLOOKUP(G304,[1]Hoja1!$A:$O,5,0)</f>
        <v>1642680</v>
      </c>
      <c r="U304" s="45" t="s">
        <v>2751</v>
      </c>
      <c r="V304" s="46">
        <f t="shared" si="51"/>
        <v>1642680</v>
      </c>
      <c r="W304" s="47" t="s">
        <v>1519</v>
      </c>
      <c r="X304" s="46" t="str">
        <f t="shared" si="52"/>
        <v>4</v>
      </c>
      <c r="Y304" s="47" t="s">
        <v>1518</v>
      </c>
      <c r="Z304" s="46" t="str">
        <f t="shared" si="53"/>
        <v>T</v>
      </c>
      <c r="AA304" s="47" t="s">
        <v>2752</v>
      </c>
      <c r="AB304" s="46" t="str">
        <f t="shared" si="54"/>
        <v>MARTES</v>
      </c>
      <c r="AC304" s="47" t="s">
        <v>2753</v>
      </c>
      <c r="AD304">
        <f t="shared" si="55"/>
        <v>0</v>
      </c>
      <c r="AE304" s="47" t="s">
        <v>2754</v>
      </c>
      <c r="AH304" t="str">
        <f t="shared" si="56"/>
        <v>INSERT INTO horario_curso_materia (horario_curso_materia.FK_CUR_mat,horario_curso_materia.FK_HOR,horario_curso_materia.DIA,horario_curso_materia.tipo_turno) VALUES (  (SELECT curso_materia.ID_CUR_MAT FROM curso_materia WHERE curso_materia.CUPOF='1642680' ) ,
    (SELECT horario.ID_HOR FROM horario WHERE horario.modulo='4 ' and horario.turno='T ' ),'MARTES ' , '0 ' );</v>
      </c>
    </row>
    <row r="305" spans="1:34" ht="15" hidden="1" customHeight="1" x14ac:dyDescent="0.3">
      <c r="A305" s="1" t="str">
        <f t="shared" si="47"/>
        <v>2°4°</v>
      </c>
      <c r="B305" s="54" t="str">
        <f t="shared" si="48"/>
        <v>2°4°4MITARDE0</v>
      </c>
      <c r="C305" s="62">
        <f>VLOOKUP(G305,[1]Hoja1!$A:$O,3,0)</f>
        <v>0</v>
      </c>
      <c r="D305" s="2" t="str">
        <f t="shared" si="49"/>
        <v>4MIT</v>
      </c>
      <c r="E305" s="62" t="s">
        <v>52</v>
      </c>
      <c r="F305" s="62" t="s">
        <v>10</v>
      </c>
      <c r="G305" s="62" t="s">
        <v>334</v>
      </c>
      <c r="H305" s="8" t="str">
        <f>VLOOKUP(G305,[1]Hoja1!$A:$O,6,0)</f>
        <v>GEOGRAFIA</v>
      </c>
      <c r="I305" s="4"/>
      <c r="J305" s="4"/>
      <c r="K305" s="80" t="str">
        <f t="shared" si="57"/>
        <v>MI</v>
      </c>
      <c r="L305" s="4"/>
      <c r="M305" s="86" t="str">
        <f>VLOOKUP(G305,[1]Hoja1!$A:$O,15,0)</f>
        <v>OSTRIZ GISELA JORGELINA</v>
      </c>
      <c r="N305" s="2" t="str">
        <f t="shared" si="50"/>
        <v>2°4°2GEOMI</v>
      </c>
      <c r="O305" s="2"/>
      <c r="P305" s="2" t="str">
        <f>VLOOKUP(G305,[1]Hoja1!$A:$P,16,0)</f>
        <v xml:space="preserve"> </v>
      </c>
      <c r="Q305" s="2"/>
      <c r="S305">
        <f>VLOOKUP(G305,[1]Hoja1!$A:$O,5,0)</f>
        <v>1642675</v>
      </c>
      <c r="U305" s="45" t="s">
        <v>2751</v>
      </c>
      <c r="V305" s="46">
        <f t="shared" si="51"/>
        <v>1642675</v>
      </c>
      <c r="W305" s="47" t="s">
        <v>1519</v>
      </c>
      <c r="X305" s="46" t="str">
        <f t="shared" si="52"/>
        <v>4</v>
      </c>
      <c r="Y305" s="47" t="s">
        <v>1518</v>
      </c>
      <c r="Z305" s="46" t="str">
        <f t="shared" si="53"/>
        <v>T</v>
      </c>
      <c r="AA305" s="47" t="s">
        <v>2752</v>
      </c>
      <c r="AB305" s="46" t="str">
        <f t="shared" si="54"/>
        <v>MIERCOLES</v>
      </c>
      <c r="AC305" s="47" t="s">
        <v>2753</v>
      </c>
      <c r="AD305">
        <f t="shared" si="55"/>
        <v>0</v>
      </c>
      <c r="AE305" s="47" t="s">
        <v>2754</v>
      </c>
      <c r="AH305" t="str">
        <f t="shared" si="56"/>
        <v>INSERT INTO horario_curso_materia (horario_curso_materia.FK_CUR_mat,horario_curso_materia.FK_HOR,horario_curso_materia.DIA,horario_curso_materia.tipo_turno) VALUES (  (SELECT curso_materia.ID_CUR_MAT FROM curso_materia WHERE curso_materia.CUPOF='1642675' ) ,
    (SELECT horario.ID_HOR FROM horario WHERE horario.modulo='4 ' and horario.turno='T ' ),'MIERCOLES ' , '0 ' );</v>
      </c>
    </row>
    <row r="306" spans="1:34" ht="15" hidden="1" customHeight="1" x14ac:dyDescent="0.3">
      <c r="A306" s="1" t="str">
        <f t="shared" si="47"/>
        <v>2°4°</v>
      </c>
      <c r="B306" s="54" t="str">
        <f t="shared" si="48"/>
        <v>2°4°4VIMAÑANA241</v>
      </c>
      <c r="C306" s="62">
        <f>VLOOKUP(G306,[1]Hoja1!$A:$O,3,0)</f>
        <v>241</v>
      </c>
      <c r="D306" s="2" t="str">
        <f t="shared" si="49"/>
        <v>4VIMHERRERIA</v>
      </c>
      <c r="E306" s="62" t="s">
        <v>36</v>
      </c>
      <c r="F306" s="62" t="s">
        <v>27</v>
      </c>
      <c r="G306" s="62" t="s">
        <v>93</v>
      </c>
      <c r="H306" s="8" t="str">
        <f>VLOOKUP(G306,[1]Hoja1!$A:$O,6,0)</f>
        <v>PROCEDIMIENTOS TECNICOS</v>
      </c>
      <c r="I306" s="4" t="s">
        <v>21</v>
      </c>
      <c r="J306" s="4"/>
      <c r="K306" s="80" t="str">
        <f t="shared" si="57"/>
        <v>VI</v>
      </c>
      <c r="L306" s="4" t="s">
        <v>512</v>
      </c>
      <c r="M306" s="86" t="str">
        <f>VLOOKUP(G306,[1]Hoja1!$A:$O,15,0)</f>
        <v>CRUZ DAVID</v>
      </c>
      <c r="N306" s="2" t="str">
        <f t="shared" si="50"/>
        <v>2°4°2412TPT2VI</v>
      </c>
      <c r="O306" s="2"/>
      <c r="P306" s="2" t="str">
        <f>VLOOKUP(G306,[1]Hoja1!$A:$P,16,0)</f>
        <v xml:space="preserve"> </v>
      </c>
      <c r="Q306" s="2"/>
      <c r="S306">
        <f>VLOOKUP(G306,[1]Hoja1!$A:$O,5,0)</f>
        <v>2673425</v>
      </c>
      <c r="U306" s="45" t="s">
        <v>2751</v>
      </c>
      <c r="V306" s="46">
        <f t="shared" si="51"/>
        <v>2673425</v>
      </c>
      <c r="W306" s="47" t="s">
        <v>1519</v>
      </c>
      <c r="X306" s="46" t="str">
        <f t="shared" si="52"/>
        <v>4</v>
      </c>
      <c r="Y306" s="47" t="s">
        <v>1518</v>
      </c>
      <c r="Z306" s="46" t="str">
        <f t="shared" si="53"/>
        <v>M</v>
      </c>
      <c r="AA306" s="47" t="s">
        <v>2752</v>
      </c>
      <c r="AB306" s="46" t="str">
        <f t="shared" si="54"/>
        <v>VIERNES</v>
      </c>
      <c r="AC306" s="47" t="s">
        <v>2753</v>
      </c>
      <c r="AD306" t="str">
        <f t="shared" si="55"/>
        <v>CONTRATURNO</v>
      </c>
      <c r="AE306" s="47" t="s">
        <v>2754</v>
      </c>
      <c r="AH306" t="str">
        <f t="shared" si="56"/>
        <v>INSERT INTO horario_curso_materia (horario_curso_materia.FK_CUR_mat,horario_curso_materia.FK_HOR,horario_curso_materia.DIA,horario_curso_materia.tipo_turno) VALUES (  (SELECT curso_materia.ID_CUR_MAT FROM curso_materia WHERE curso_materia.CUPOF='2673425' ) ,
    (SELECT horario.ID_HOR FROM horario WHERE horario.modulo='4 ' and horario.turno='M ' ),'VIERNES ' , 'CONTRATURNO ' );</v>
      </c>
    </row>
    <row r="307" spans="1:34" ht="15" hidden="1" customHeight="1" x14ac:dyDescent="0.3">
      <c r="A307" s="1" t="str">
        <f t="shared" si="47"/>
        <v>2°4°</v>
      </c>
      <c r="B307" s="54" t="str">
        <f t="shared" si="48"/>
        <v>2°4°4VITARDE0</v>
      </c>
      <c r="C307" s="62">
        <f>VLOOKUP(G307,[1]Hoja1!$A:$O,3,0)</f>
        <v>0</v>
      </c>
      <c r="D307" s="2" t="str">
        <f t="shared" si="49"/>
        <v>4VIT</v>
      </c>
      <c r="E307" s="62" t="s">
        <v>36</v>
      </c>
      <c r="F307" s="62" t="s">
        <v>10</v>
      </c>
      <c r="G307" s="62" t="s">
        <v>336</v>
      </c>
      <c r="H307" s="8" t="str">
        <f>VLOOKUP(G307,[1]Hoja1!$A:$O,6,0)</f>
        <v>INGLÉS</v>
      </c>
      <c r="I307" s="4"/>
      <c r="J307" s="4"/>
      <c r="K307" s="80" t="str">
        <f t="shared" si="57"/>
        <v>VI</v>
      </c>
      <c r="L307" s="4"/>
      <c r="M307" s="86" t="str">
        <f>VLOOKUP(G307,[1]Hoja1!$A:$O,15,0)</f>
        <v xml:space="preserve">GOMEZ HERNANDEZ MARIANA   27275092180 </v>
      </c>
      <c r="N307" s="2" t="str">
        <f t="shared" si="50"/>
        <v>2°4°2INGVI</v>
      </c>
      <c r="O307" s="2"/>
      <c r="P307" s="2" t="str">
        <f>VLOOKUP(G307,[1]Hoja1!$A:$P,16,0)</f>
        <v xml:space="preserve"> </v>
      </c>
      <c r="Q307" s="2"/>
      <c r="S307">
        <f>VLOOKUP(G307,[1]Hoja1!$A:$O,5,0)</f>
        <v>1642673</v>
      </c>
      <c r="U307" s="45" t="s">
        <v>2751</v>
      </c>
      <c r="V307" s="46">
        <f t="shared" si="51"/>
        <v>1642673</v>
      </c>
      <c r="W307" s="47" t="s">
        <v>1519</v>
      </c>
      <c r="X307" s="46" t="str">
        <f t="shared" si="52"/>
        <v>4</v>
      </c>
      <c r="Y307" s="47" t="s">
        <v>1518</v>
      </c>
      <c r="Z307" s="46" t="str">
        <f t="shared" si="53"/>
        <v>T</v>
      </c>
      <c r="AA307" s="47" t="s">
        <v>2752</v>
      </c>
      <c r="AB307" s="46" t="str">
        <f t="shared" si="54"/>
        <v>VIERNES</v>
      </c>
      <c r="AC307" s="47" t="s">
        <v>2753</v>
      </c>
      <c r="AD307">
        <f t="shared" si="55"/>
        <v>0</v>
      </c>
      <c r="AE307" s="47" t="s">
        <v>2754</v>
      </c>
      <c r="AH307" t="str">
        <f t="shared" si="56"/>
        <v>INSERT INTO horario_curso_materia (horario_curso_materia.FK_CUR_mat,horario_curso_materia.FK_HOR,horario_curso_materia.DIA,horario_curso_materia.tipo_turno) VALUES (  (SELECT curso_materia.ID_CUR_MAT FROM curso_materia WHERE curso_materia.CUPOF='1642673' ) ,
    (SELECT horario.ID_HOR FROM horario WHERE horario.modulo='4 ' and horario.turno='T ' ),'VIERNES ' , '0 ' );</v>
      </c>
    </row>
    <row r="308" spans="1:34" ht="15" hidden="1" customHeight="1" x14ac:dyDescent="0.3">
      <c r="A308" s="1" t="str">
        <f t="shared" si="47"/>
        <v>2°4°</v>
      </c>
      <c r="B308" s="54" t="str">
        <f t="shared" si="48"/>
        <v>2°4°PREHORALUTARDE0</v>
      </c>
      <c r="C308" s="62">
        <f>VLOOKUP(G308,[1]Hoja1!$A:$O,3,0)</f>
        <v>0</v>
      </c>
      <c r="D308" s="2" t="str">
        <f t="shared" si="49"/>
        <v>PREHORALUT</v>
      </c>
      <c r="E308" s="62" t="s">
        <v>2775</v>
      </c>
      <c r="F308" s="62" t="s">
        <v>10</v>
      </c>
      <c r="G308" s="62" t="s">
        <v>330</v>
      </c>
      <c r="H308" s="8" t="str">
        <f>VLOOKUP(G308,[1]Hoja1!$A:$O,6,0)</f>
        <v>MATEMATICA</v>
      </c>
      <c r="I308" s="4"/>
      <c r="J308" s="4"/>
      <c r="K308" s="80" t="str">
        <f t="shared" si="57"/>
        <v>LU</v>
      </c>
      <c r="L308" s="4"/>
      <c r="M308" s="86" t="str">
        <f>VLOOKUP(G308,[1]Hoja1!$A:$O,15,0)</f>
        <v>FERRARIS OJEDA JULIETA</v>
      </c>
      <c r="N308" s="2" t="str">
        <f t="shared" si="50"/>
        <v>2°4°2MATLU</v>
      </c>
      <c r="O308" s="2"/>
      <c r="P308" s="2" t="str">
        <f>VLOOKUP(G308,[1]Hoja1!$A:$P,16,0)</f>
        <v xml:space="preserve"> </v>
      </c>
      <c r="Q308" s="2"/>
      <c r="S308">
        <f>VLOOKUP(G308,[1]Hoja1!$A:$O,5,0)</f>
        <v>1642674</v>
      </c>
      <c r="U308" s="45" t="s">
        <v>2751</v>
      </c>
      <c r="V308" s="46">
        <f t="shared" si="51"/>
        <v>1642674</v>
      </c>
      <c r="W308" s="47" t="s">
        <v>1519</v>
      </c>
      <c r="X308" s="46" t="str">
        <f t="shared" si="52"/>
        <v>prehora</v>
      </c>
      <c r="Y308" s="47" t="s">
        <v>1518</v>
      </c>
      <c r="Z308" s="46" t="str">
        <f t="shared" si="53"/>
        <v>T</v>
      </c>
      <c r="AA308" s="47" t="s">
        <v>2752</v>
      </c>
      <c r="AB308" s="46" t="str">
        <f t="shared" si="54"/>
        <v>LUNES</v>
      </c>
      <c r="AC308" s="47" t="s">
        <v>2753</v>
      </c>
      <c r="AD308">
        <f t="shared" si="55"/>
        <v>0</v>
      </c>
      <c r="AE308" s="47" t="s">
        <v>2754</v>
      </c>
      <c r="AH308" t="str">
        <f t="shared" si="56"/>
        <v>INSERT INTO horario_curso_materia (horario_curso_materia.FK_CUR_mat,horario_curso_materia.FK_HOR,horario_curso_materia.DIA,horario_curso_materia.tipo_turno) VALUES (  (SELECT curso_materia.ID_CUR_MAT FROM curso_materia WHERE curso_materia.CUPOF='1642674' ) ,
    (SELECT horario.ID_HOR FROM horario WHERE horario.modulo='prehora ' and horario.turno='T ' ),'LUNES ' , '0 ' );</v>
      </c>
    </row>
    <row r="309" spans="1:34" ht="15" hidden="1" customHeight="1" x14ac:dyDescent="0.3">
      <c r="A309" s="1" t="str">
        <f t="shared" si="47"/>
        <v>2°4°</v>
      </c>
      <c r="B309" s="54" t="str">
        <f t="shared" si="48"/>
        <v>2°4°PREHORAMATARDE0</v>
      </c>
      <c r="C309" s="62">
        <f>VLOOKUP(G309,[1]Hoja1!$A:$O,3,0)</f>
        <v>0</v>
      </c>
      <c r="D309" s="2" t="str">
        <f t="shared" si="49"/>
        <v>PREHORAMAT</v>
      </c>
      <c r="E309" s="62" t="s">
        <v>430</v>
      </c>
      <c r="F309" s="62" t="s">
        <v>10</v>
      </c>
      <c r="G309" s="62" t="s">
        <v>330</v>
      </c>
      <c r="H309" s="8" t="str">
        <f>VLOOKUP(G309,[1]Hoja1!$A:$O,6,0)</f>
        <v>MATEMATICA</v>
      </c>
      <c r="I309" s="4"/>
      <c r="J309" s="4"/>
      <c r="K309" s="80" t="str">
        <f t="shared" si="57"/>
        <v>MA</v>
      </c>
      <c r="L309" s="4"/>
      <c r="M309" s="86" t="str">
        <f>VLOOKUP(G309,[1]Hoja1!$A:$O,15,0)</f>
        <v>FERRARIS OJEDA JULIETA</v>
      </c>
      <c r="N309" s="2" t="str">
        <f t="shared" si="50"/>
        <v>2°4°2MATMA</v>
      </c>
      <c r="O309" s="2"/>
      <c r="P309" s="2" t="str">
        <f>VLOOKUP(G309,[1]Hoja1!$A:$P,16,0)</f>
        <v xml:space="preserve"> </v>
      </c>
      <c r="Q309" s="2"/>
      <c r="S309">
        <f>VLOOKUP(G309,[1]Hoja1!$A:$O,5,0)</f>
        <v>1642674</v>
      </c>
      <c r="U309" s="45" t="s">
        <v>2751</v>
      </c>
      <c r="V309" s="46">
        <f t="shared" si="51"/>
        <v>1642674</v>
      </c>
      <c r="W309" s="47" t="s">
        <v>1519</v>
      </c>
      <c r="X309" s="46" t="str">
        <f t="shared" si="52"/>
        <v>prehora</v>
      </c>
      <c r="Y309" s="47" t="s">
        <v>1518</v>
      </c>
      <c r="Z309" s="46" t="str">
        <f t="shared" si="53"/>
        <v>T</v>
      </c>
      <c r="AA309" s="47" t="s">
        <v>2752</v>
      </c>
      <c r="AB309" s="46" t="str">
        <f t="shared" si="54"/>
        <v>MARTES</v>
      </c>
      <c r="AC309" s="47" t="s">
        <v>2753</v>
      </c>
      <c r="AD309">
        <f t="shared" si="55"/>
        <v>0</v>
      </c>
      <c r="AE309" s="47" t="s">
        <v>2754</v>
      </c>
      <c r="AH309" t="str">
        <f t="shared" si="56"/>
        <v>INSERT INTO horario_curso_materia (horario_curso_materia.FK_CUR_mat,horario_curso_materia.FK_HOR,horario_curso_materia.DIA,horario_curso_materia.tipo_turno) VALUES (  (SELECT curso_materia.ID_CUR_MAT FROM curso_materia WHERE curso_materia.CUPOF='1642674' ) ,
    (SELECT horario.ID_HOR FROM horario WHERE horario.modulo='prehora ' and horario.turno='T ' ),'MARTES ' , '0 ' );</v>
      </c>
    </row>
    <row r="310" spans="1:34" ht="15" hidden="1" customHeight="1" x14ac:dyDescent="0.3">
      <c r="A310" s="1" t="str">
        <f t="shared" si="47"/>
        <v>2°5°</v>
      </c>
      <c r="B310" s="54" t="str">
        <f t="shared" si="48"/>
        <v>2°5°1JUMAÑANA0</v>
      </c>
      <c r="C310" s="62">
        <f>VLOOKUP(G310,[1]Hoja1!$A:$O,3,0)</f>
        <v>0</v>
      </c>
      <c r="D310" s="2" t="str">
        <f t="shared" ref="D310:D357" si="58">CONCATENATE(E310,LEFT(F310,1),I310)</f>
        <v>1JUM</v>
      </c>
      <c r="E310" s="4" t="s">
        <v>43</v>
      </c>
      <c r="F310" s="62" t="s">
        <v>27</v>
      </c>
      <c r="G310" s="72" t="s">
        <v>343</v>
      </c>
      <c r="H310" s="8" t="str">
        <f>VLOOKUP(G310,[1]Hoja1!$A:$O,6,0)</f>
        <v>FISICO-QUIMICA</v>
      </c>
      <c r="I310" s="4"/>
      <c r="J310" s="4"/>
      <c r="K310" s="80" t="str">
        <f t="shared" si="57"/>
        <v>JU</v>
      </c>
      <c r="L310" s="4"/>
      <c r="M310" s="86" t="str">
        <f>VLOOKUP(G310,[1]Hoja1!$A:$O,15,0)</f>
        <v>MARTINEZ, CARLA</v>
      </c>
      <c r="N310" s="2" t="str">
        <f t="shared" si="50"/>
        <v>2°5°2FI/QUIJU</v>
      </c>
      <c r="O310" s="2"/>
      <c r="P310" s="2" t="str">
        <f>VLOOKUP(G310,[1]Hoja1!$A:$P,16,0)</f>
        <v xml:space="preserve"> </v>
      </c>
      <c r="Q310" s="2"/>
      <c r="S310">
        <f>VLOOKUP(G310,[1]Hoja1!$A:$O,5,0)</f>
        <v>1920684</v>
      </c>
      <c r="U310" s="45" t="s">
        <v>2751</v>
      </c>
      <c r="V310" s="46">
        <f t="shared" si="51"/>
        <v>1920684</v>
      </c>
      <c r="W310" s="47" t="s">
        <v>1519</v>
      </c>
      <c r="X310" s="46" t="str">
        <f t="shared" si="52"/>
        <v>1</v>
      </c>
      <c r="Y310" s="47" t="s">
        <v>1518</v>
      </c>
      <c r="Z310" s="46" t="str">
        <f t="shared" si="53"/>
        <v>M</v>
      </c>
      <c r="AA310" s="47" t="s">
        <v>2752</v>
      </c>
      <c r="AB310" s="46" t="str">
        <f t="shared" si="54"/>
        <v>JUEVES</v>
      </c>
      <c r="AC310" s="47" t="s">
        <v>2753</v>
      </c>
      <c r="AD310">
        <f t="shared" si="55"/>
        <v>0</v>
      </c>
      <c r="AE310" s="47" t="s">
        <v>2754</v>
      </c>
      <c r="AH310" t="str">
        <f t="shared" si="56"/>
        <v>INSERT INTO horario_curso_materia (horario_curso_materia.FK_CUR_mat,horario_curso_materia.FK_HOR,horario_curso_materia.DIA,horario_curso_materia.tipo_turno) VALUES (  (SELECT curso_materia.ID_CUR_MAT FROM curso_materia WHERE curso_materia.CUPOF='1920684' ) ,
    (SELECT horario.ID_HOR FROM horario WHERE horario.modulo='1 ' and horario.turno='M ' ),'JUEVES ' , '0 ' );</v>
      </c>
    </row>
    <row r="311" spans="1:34" ht="15" hidden="1" customHeight="1" x14ac:dyDescent="0.3">
      <c r="A311" s="1" t="str">
        <f t="shared" si="47"/>
        <v>2°5°</v>
      </c>
      <c r="B311" s="54" t="str">
        <f t="shared" si="48"/>
        <v>2°5°1LUMAÑANA0</v>
      </c>
      <c r="C311" s="62">
        <f>VLOOKUP(G311,[1]Hoja1!$A:$O,3,0)</f>
        <v>0</v>
      </c>
      <c r="D311" s="2" t="str">
        <f t="shared" si="58"/>
        <v>1LUM</v>
      </c>
      <c r="E311" s="62" t="s">
        <v>9</v>
      </c>
      <c r="F311" s="62" t="s">
        <v>27</v>
      </c>
      <c r="G311" s="62" t="s">
        <v>338</v>
      </c>
      <c r="H311" s="8" t="str">
        <f>VLOOKUP(G311,[1]Hoja1!$A:$O,6,0)</f>
        <v>HISTORIA</v>
      </c>
      <c r="I311" s="4"/>
      <c r="J311" s="4"/>
      <c r="K311" s="80" t="str">
        <f t="shared" si="57"/>
        <v>LU</v>
      </c>
      <c r="L311" s="4"/>
      <c r="M311" s="86" t="str">
        <f>VLOOKUP(G311,[1]Hoja1!$A:$O,15,0)</f>
        <v>LOPEZ NARINA</v>
      </c>
      <c r="N311" s="2" t="str">
        <f t="shared" si="50"/>
        <v>2°5°2HISLU</v>
      </c>
      <c r="O311" s="2"/>
      <c r="P311" s="2" t="str">
        <f>VLOOKUP(G311,[1]Hoja1!$A:$P,16,0)</f>
        <v xml:space="preserve"> </v>
      </c>
      <c r="Q311" s="2"/>
      <c r="S311">
        <f>VLOOKUP(G311,[1]Hoja1!$A:$O,5,0)</f>
        <v>1920688</v>
      </c>
      <c r="U311" s="45" t="s">
        <v>2751</v>
      </c>
      <c r="V311" s="46">
        <f t="shared" si="51"/>
        <v>1920688</v>
      </c>
      <c r="W311" s="47" t="s">
        <v>1519</v>
      </c>
      <c r="X311" s="46" t="str">
        <f t="shared" si="52"/>
        <v>1</v>
      </c>
      <c r="Y311" s="47" t="s">
        <v>1518</v>
      </c>
      <c r="Z311" s="46" t="str">
        <f t="shared" si="53"/>
        <v>M</v>
      </c>
      <c r="AA311" s="47" t="s">
        <v>2752</v>
      </c>
      <c r="AB311" s="46" t="str">
        <f t="shared" si="54"/>
        <v>LUNES</v>
      </c>
      <c r="AC311" s="47" t="s">
        <v>2753</v>
      </c>
      <c r="AD311">
        <f t="shared" si="55"/>
        <v>0</v>
      </c>
      <c r="AE311" s="47" t="s">
        <v>2754</v>
      </c>
      <c r="AH311" t="str">
        <f t="shared" si="56"/>
        <v>INSERT INTO horario_curso_materia (horario_curso_materia.FK_CUR_mat,horario_curso_materia.FK_HOR,horario_curso_materia.DIA,horario_curso_materia.tipo_turno) VALUES (  (SELECT curso_materia.ID_CUR_MAT FROM curso_materia WHERE curso_materia.CUPOF='1920688' ) ,
    (SELECT horario.ID_HOR FROM horario WHERE horario.modulo='1 ' and horario.turno='M ' ),'LUNES ' , '0 ' );</v>
      </c>
    </row>
    <row r="312" spans="1:34" ht="15" hidden="1" customHeight="1" x14ac:dyDescent="0.3">
      <c r="A312" s="1" t="str">
        <f t="shared" si="47"/>
        <v>2°5°</v>
      </c>
      <c r="B312" s="54" t="str">
        <f t="shared" si="48"/>
        <v>2°5°1MAMAÑANA0</v>
      </c>
      <c r="C312" s="62">
        <f>VLOOKUP(G312,[1]Hoja1!$A:$O,3,0)</f>
        <v>0</v>
      </c>
      <c r="D312" s="2" t="str">
        <f t="shared" si="58"/>
        <v>1MAM</v>
      </c>
      <c r="E312" s="62" t="s">
        <v>17</v>
      </c>
      <c r="F312" s="62" t="s">
        <v>27</v>
      </c>
      <c r="G312" s="62" t="s">
        <v>340</v>
      </c>
      <c r="H312" s="8" t="str">
        <f>VLOOKUP(G312,[1]Hoja1!$A:$O,6,0)</f>
        <v>EDUCACION ARTISTICA (PLASTICA)</v>
      </c>
      <c r="I312" s="4"/>
      <c r="J312" s="4"/>
      <c r="K312" s="80" t="str">
        <f t="shared" si="57"/>
        <v>MA</v>
      </c>
      <c r="L312" s="4"/>
      <c r="M312" s="86" t="str">
        <f>VLOOKUP(G312,[1]Hoja1!$A:$O,15,0)</f>
        <v xml:space="preserve">ISSETTA LORENA </v>
      </c>
      <c r="N312" s="2" t="str">
        <f t="shared" si="50"/>
        <v>2°5°2ARTMA</v>
      </c>
      <c r="O312" s="2"/>
      <c r="P312" s="2" t="str">
        <f>VLOOKUP(G312,[1]Hoja1!$A:$P,16,0)</f>
        <v xml:space="preserve"> </v>
      </c>
      <c r="Q312" s="2"/>
      <c r="S312">
        <f>VLOOKUP(G312,[1]Hoja1!$A:$O,5,0)</f>
        <v>1920681</v>
      </c>
      <c r="U312" s="45" t="s">
        <v>2751</v>
      </c>
      <c r="V312" s="46">
        <f t="shared" si="51"/>
        <v>1920681</v>
      </c>
      <c r="W312" s="47" t="s">
        <v>1519</v>
      </c>
      <c r="X312" s="46" t="str">
        <f t="shared" si="52"/>
        <v>1</v>
      </c>
      <c r="Y312" s="47" t="s">
        <v>1518</v>
      </c>
      <c r="Z312" s="46" t="str">
        <f t="shared" si="53"/>
        <v>M</v>
      </c>
      <c r="AA312" s="47" t="s">
        <v>2752</v>
      </c>
      <c r="AB312" s="46" t="str">
        <f t="shared" si="54"/>
        <v>MARTES</v>
      </c>
      <c r="AC312" s="47" t="s">
        <v>2753</v>
      </c>
      <c r="AD312">
        <f t="shared" si="55"/>
        <v>0</v>
      </c>
      <c r="AE312" s="47" t="s">
        <v>2754</v>
      </c>
      <c r="AH312" t="str">
        <f t="shared" si="56"/>
        <v>INSERT INTO horario_curso_materia (horario_curso_materia.FK_CUR_mat,horario_curso_materia.FK_HOR,horario_curso_materia.DIA,horario_curso_materia.tipo_turno) VALUES (  (SELECT curso_materia.ID_CUR_MAT FROM curso_materia WHERE curso_materia.CUPOF='1920681' ) ,
    (SELECT horario.ID_HOR FROM horario WHERE horario.modulo='1 ' and horario.turno='M ' ),'MARTES ' , '0 ' );</v>
      </c>
    </row>
    <row r="313" spans="1:34" ht="15" hidden="1" customHeight="1" x14ac:dyDescent="0.3">
      <c r="A313" s="1" t="str">
        <f t="shared" si="47"/>
        <v>2°5°</v>
      </c>
      <c r="B313" s="54" t="str">
        <f t="shared" si="48"/>
        <v>2°5°1MIMAÑANA0</v>
      </c>
      <c r="C313" s="62">
        <f>VLOOKUP(G313,[1]Hoja1!$A:$O,3,0)</f>
        <v>0</v>
      </c>
      <c r="D313" s="2" t="str">
        <f t="shared" si="58"/>
        <v>1MIM</v>
      </c>
      <c r="E313" s="62" t="s">
        <v>24</v>
      </c>
      <c r="F313" s="62" t="s">
        <v>27</v>
      </c>
      <c r="G313" s="62" t="s">
        <v>341</v>
      </c>
      <c r="H313" s="8" t="str">
        <f>VLOOKUP(G313,[1]Hoja1!$A:$O,6,0)</f>
        <v>MATEMATICA</v>
      </c>
      <c r="I313" s="4"/>
      <c r="J313" s="4"/>
      <c r="K313" s="80" t="str">
        <f t="shared" si="57"/>
        <v>MI</v>
      </c>
      <c r="L313" s="4"/>
      <c r="M313" s="86" t="str">
        <f>VLOOKUP(G313,[1]Hoja1!$A:$O,15,0)</f>
        <v xml:space="preserve">CENTURION SILVIA BEATRIZ   </v>
      </c>
      <c r="N313" s="2" t="str">
        <f t="shared" si="50"/>
        <v>2°5°2MATMI</v>
      </c>
      <c r="O313" s="2"/>
      <c r="P313" s="2" t="str">
        <f>VLOOKUP(G313,[1]Hoja1!$A:$P,16,0)</f>
        <v xml:space="preserve"> </v>
      </c>
      <c r="Q313" s="2"/>
      <c r="S313">
        <f>VLOOKUP(G313,[1]Hoja1!$A:$O,5,0)</f>
        <v>1920690</v>
      </c>
      <c r="U313" s="45" t="s">
        <v>2751</v>
      </c>
      <c r="V313" s="46">
        <f t="shared" si="51"/>
        <v>1920690</v>
      </c>
      <c r="W313" s="47" t="s">
        <v>1519</v>
      </c>
      <c r="X313" s="46" t="str">
        <f t="shared" si="52"/>
        <v>1</v>
      </c>
      <c r="Y313" s="47" t="s">
        <v>1518</v>
      </c>
      <c r="Z313" s="46" t="str">
        <f t="shared" si="53"/>
        <v>M</v>
      </c>
      <c r="AA313" s="47" t="s">
        <v>2752</v>
      </c>
      <c r="AB313" s="46" t="str">
        <f t="shared" si="54"/>
        <v>MIERCOLES</v>
      </c>
      <c r="AC313" s="47" t="s">
        <v>2753</v>
      </c>
      <c r="AD313">
        <f t="shared" si="55"/>
        <v>0</v>
      </c>
      <c r="AE313" s="47" t="s">
        <v>2754</v>
      </c>
      <c r="AH313" t="str">
        <f t="shared" si="56"/>
        <v>INSERT INTO horario_curso_materia (horario_curso_materia.FK_CUR_mat,horario_curso_materia.FK_HOR,horario_curso_materia.DIA,horario_curso_materia.tipo_turno) VALUES (  (SELECT curso_materia.ID_CUR_MAT FROM curso_materia WHERE curso_materia.CUPOF='1920690' ) ,
    (SELECT horario.ID_HOR FROM horario WHERE horario.modulo='1 ' and horario.turno='M ' ),'MIERCOLES ' , '0 ' );</v>
      </c>
    </row>
    <row r="314" spans="1:34" ht="15" hidden="1" customHeight="1" x14ac:dyDescent="0.3">
      <c r="A314" s="1" t="str">
        <f t="shared" si="47"/>
        <v>2°5°</v>
      </c>
      <c r="B314" s="54" t="str">
        <f t="shared" si="48"/>
        <v>2°5°3VIMAÑANA0</v>
      </c>
      <c r="C314" s="62">
        <f>VLOOKUP(G314,[1]Hoja1!$A:$O,3,0)</f>
        <v>0</v>
      </c>
      <c r="D314" s="2" t="str">
        <f t="shared" si="58"/>
        <v>3VIM</v>
      </c>
      <c r="E314" s="62" t="s">
        <v>35</v>
      </c>
      <c r="F314" s="62" t="s">
        <v>27</v>
      </c>
      <c r="G314" s="62" t="s">
        <v>345</v>
      </c>
      <c r="H314" s="8" t="str">
        <f>VLOOKUP(G314,[1]Hoja1!$A:$O,6,0)</f>
        <v>BIOLOGIA</v>
      </c>
      <c r="I314" s="4"/>
      <c r="J314" s="4"/>
      <c r="K314" s="80" t="str">
        <f t="shared" si="57"/>
        <v>VI</v>
      </c>
      <c r="L314" s="4"/>
      <c r="M314" s="86" t="str">
        <f>VLOOKUP(G314,[1]Hoja1!$A:$O,15,0)</f>
        <v>FARIAS CLAUDIA ANTONIA</v>
      </c>
      <c r="N314" s="2" t="str">
        <f t="shared" si="50"/>
        <v>2°5°2BIOVI</v>
      </c>
      <c r="O314" s="2"/>
      <c r="P314" s="2" t="str">
        <f>VLOOKUP(G314,[1]Hoja1!$A:$P,16,0)</f>
        <v xml:space="preserve"> </v>
      </c>
      <c r="Q314" s="2"/>
      <c r="S314">
        <f>VLOOKUP(G314,[1]Hoja1!$A:$O,5,0)</f>
        <v>1920674</v>
      </c>
      <c r="U314" s="45" t="s">
        <v>2751</v>
      </c>
      <c r="V314" s="46">
        <f t="shared" si="51"/>
        <v>1920674</v>
      </c>
      <c r="W314" s="47" t="s">
        <v>1519</v>
      </c>
      <c r="X314" s="46" t="str">
        <f t="shared" si="52"/>
        <v>3</v>
      </c>
      <c r="Y314" s="47" t="s">
        <v>1518</v>
      </c>
      <c r="Z314" s="46" t="str">
        <f t="shared" si="53"/>
        <v>M</v>
      </c>
      <c r="AA314" s="47" t="s">
        <v>2752</v>
      </c>
      <c r="AB314" s="46" t="str">
        <f t="shared" si="54"/>
        <v>VIERNES</v>
      </c>
      <c r="AC314" s="47" t="s">
        <v>2753</v>
      </c>
      <c r="AD314">
        <f t="shared" si="55"/>
        <v>0</v>
      </c>
      <c r="AE314" s="47" t="s">
        <v>2754</v>
      </c>
      <c r="AH314" t="str">
        <f t="shared" si="56"/>
        <v>INSERT INTO horario_curso_materia (horario_curso_materia.FK_CUR_mat,horario_curso_materia.FK_HOR,horario_curso_materia.DIA,horario_curso_materia.tipo_turno) VALUES (  (SELECT curso_materia.ID_CUR_MAT FROM curso_materia WHERE curso_materia.CUPOF='1920674' ) ,
    (SELECT horario.ID_HOR FROM horario WHERE horario.modulo='3 ' and horario.turno='M ' ),'VIERNES ' , '0 ' );</v>
      </c>
    </row>
    <row r="315" spans="1:34" ht="15" hidden="1" customHeight="1" x14ac:dyDescent="0.3">
      <c r="A315" s="1" t="str">
        <f t="shared" si="47"/>
        <v>2°5°</v>
      </c>
      <c r="B315" s="54" t="str">
        <f t="shared" si="48"/>
        <v>2°5°1viTARDE252</v>
      </c>
      <c r="C315" s="62">
        <f>VLOOKUP(G315,[1]Hoja1!$A:$O,3,0)</f>
        <v>252</v>
      </c>
      <c r="D315" s="2" t="str">
        <f t="shared" si="58"/>
        <v>1viT12</v>
      </c>
      <c r="E315" s="62" t="s">
        <v>1375</v>
      </c>
      <c r="F315" s="62" t="s">
        <v>10</v>
      </c>
      <c r="G315" s="62" t="s">
        <v>99</v>
      </c>
      <c r="H315" s="8" t="str">
        <f>VLOOKUP(G315,[1]Hoja1!$A:$O,6,0)</f>
        <v>LENGUAJES TECNOLOGICOS</v>
      </c>
      <c r="I315" s="4">
        <v>12</v>
      </c>
      <c r="J315" s="4"/>
      <c r="K315" s="80" t="str">
        <f t="shared" si="57"/>
        <v>vi</v>
      </c>
      <c r="L315" s="4"/>
      <c r="M315" s="86" t="str">
        <f>VLOOKUP(G315,[1]Hoja1!$A:$O,15,0)</f>
        <v>BELIZAN JUAN</v>
      </c>
      <c r="N315" s="2" t="str">
        <f t="shared" si="50"/>
        <v>2°5°2522TLT2vi</v>
      </c>
      <c r="O315" s="2"/>
      <c r="P315" s="2" t="str">
        <f>VLOOKUP(G315,[1]Hoja1!$A:$P,16,0)</f>
        <v xml:space="preserve"> </v>
      </c>
      <c r="Q315" s="2"/>
      <c r="S315">
        <f>VLOOKUP(G315,[1]Hoja1!$A:$O,5,0)</f>
        <v>1920695</v>
      </c>
      <c r="U315" s="45" t="s">
        <v>2751</v>
      </c>
      <c r="V315" s="46">
        <f t="shared" si="51"/>
        <v>1920695</v>
      </c>
      <c r="W315" s="47" t="s">
        <v>1519</v>
      </c>
      <c r="X315" s="46" t="str">
        <f t="shared" si="52"/>
        <v>1</v>
      </c>
      <c r="Y315" s="47" t="s">
        <v>1518</v>
      </c>
      <c r="Z315" s="46" t="str">
        <f t="shared" si="53"/>
        <v>T</v>
      </c>
      <c r="AA315" s="47" t="s">
        <v>2752</v>
      </c>
      <c r="AB315" s="46" t="str">
        <f t="shared" si="54"/>
        <v>VIERNES</v>
      </c>
      <c r="AC315" s="47" t="s">
        <v>2753</v>
      </c>
      <c r="AD315">
        <f t="shared" si="55"/>
        <v>0</v>
      </c>
      <c r="AE315" s="47" t="s">
        <v>2754</v>
      </c>
      <c r="AH315" t="str">
        <f t="shared" si="56"/>
        <v>INSERT INTO horario_curso_materia (horario_curso_materia.FK_CUR_mat,horario_curso_materia.FK_HOR,horario_curso_materia.DIA,horario_curso_materia.tipo_turno) VALUES (  (SELECT curso_materia.ID_CUR_MAT FROM curso_materia WHERE curso_materia.CUPOF='1920695' ) ,
    (SELECT horario.ID_HOR FROM horario WHERE horario.modulo='1 ' and horario.turno='T ' ),'VIERNES ' , '0 ' );</v>
      </c>
    </row>
    <row r="316" spans="1:34" ht="15" hidden="1" customHeight="1" x14ac:dyDescent="0.3">
      <c r="A316" s="1" t="str">
        <f t="shared" si="47"/>
        <v>2°5°</v>
      </c>
      <c r="B316" s="54" t="str">
        <f t="shared" si="48"/>
        <v>2°5°2JUMAÑANA0</v>
      </c>
      <c r="C316" s="62">
        <f>VLOOKUP(G316,[1]Hoja1!$A:$O,3,0)</f>
        <v>0</v>
      </c>
      <c r="D316" s="2" t="str">
        <f t="shared" si="58"/>
        <v>2JUM</v>
      </c>
      <c r="E316" s="4" t="s">
        <v>45</v>
      </c>
      <c r="F316" s="62" t="s">
        <v>27</v>
      </c>
      <c r="G316" s="72" t="s">
        <v>343</v>
      </c>
      <c r="H316" s="8" t="str">
        <f>VLOOKUP(G316,[1]Hoja1!$A:$O,6,0)</f>
        <v>FISICO-QUIMICA</v>
      </c>
      <c r="I316" s="4"/>
      <c r="J316" s="4"/>
      <c r="K316" s="80" t="str">
        <f t="shared" si="57"/>
        <v>JU</v>
      </c>
      <c r="L316" s="4"/>
      <c r="M316" s="86" t="str">
        <f>VLOOKUP(G316,[1]Hoja1!$A:$O,15,0)</f>
        <v>MARTINEZ, CARLA</v>
      </c>
      <c r="N316" s="2" t="str">
        <f t="shared" si="50"/>
        <v>2°5°2FI/QUIJU</v>
      </c>
      <c r="O316" s="2"/>
      <c r="P316" s="2" t="str">
        <f>VLOOKUP(G316,[1]Hoja1!$A:$P,16,0)</f>
        <v xml:space="preserve"> </v>
      </c>
      <c r="Q316" s="2"/>
      <c r="S316">
        <f>VLOOKUP(G316,[1]Hoja1!$A:$O,5,0)</f>
        <v>1920684</v>
      </c>
      <c r="U316" s="45" t="s">
        <v>2751</v>
      </c>
      <c r="V316" s="46">
        <f t="shared" si="51"/>
        <v>1920684</v>
      </c>
      <c r="W316" s="47" t="s">
        <v>1519</v>
      </c>
      <c r="X316" s="46" t="str">
        <f t="shared" si="52"/>
        <v>2</v>
      </c>
      <c r="Y316" s="47" t="s">
        <v>1518</v>
      </c>
      <c r="Z316" s="46" t="str">
        <f t="shared" si="53"/>
        <v>M</v>
      </c>
      <c r="AA316" s="47" t="s">
        <v>2752</v>
      </c>
      <c r="AB316" s="46" t="str">
        <f t="shared" si="54"/>
        <v>JUEVES</v>
      </c>
      <c r="AC316" s="47" t="s">
        <v>2753</v>
      </c>
      <c r="AD316">
        <f t="shared" si="55"/>
        <v>0</v>
      </c>
      <c r="AE316" s="47" t="s">
        <v>2754</v>
      </c>
      <c r="AH316" t="str">
        <f t="shared" si="56"/>
        <v>INSERT INTO horario_curso_materia (horario_curso_materia.FK_CUR_mat,horario_curso_materia.FK_HOR,horario_curso_materia.DIA,horario_curso_materia.tipo_turno) VALUES (  (SELECT curso_materia.ID_CUR_MAT FROM curso_materia WHERE curso_materia.CUPOF='1920684' ) ,
    (SELECT horario.ID_HOR FROM horario WHERE horario.modulo='2 ' and horario.turno='M ' ),'JUEVES ' , '0 ' );</v>
      </c>
    </row>
    <row r="317" spans="1:34" ht="15" hidden="1" customHeight="1" x14ac:dyDescent="0.3">
      <c r="A317" s="1" t="str">
        <f t="shared" si="47"/>
        <v>2°5°</v>
      </c>
      <c r="B317" s="54" t="str">
        <f t="shared" si="48"/>
        <v>2°5°2LUMAÑANA0</v>
      </c>
      <c r="C317" s="62">
        <f>VLOOKUP(G317,[1]Hoja1!$A:$O,3,0)</f>
        <v>0</v>
      </c>
      <c r="D317" s="2" t="str">
        <f t="shared" si="58"/>
        <v>2LUM</v>
      </c>
      <c r="E317" s="62" t="s">
        <v>12</v>
      </c>
      <c r="F317" s="62" t="s">
        <v>27</v>
      </c>
      <c r="G317" s="62" t="s">
        <v>338</v>
      </c>
      <c r="H317" s="8" t="str">
        <f>VLOOKUP(G317,[1]Hoja1!$A:$O,6,0)</f>
        <v>HISTORIA</v>
      </c>
      <c r="I317" s="4"/>
      <c r="J317" s="4"/>
      <c r="K317" s="80" t="str">
        <f t="shared" si="57"/>
        <v>LU</v>
      </c>
      <c r="L317" s="4"/>
      <c r="M317" s="86" t="str">
        <f>VLOOKUP(G317,[1]Hoja1!$A:$O,15,0)</f>
        <v>LOPEZ NARINA</v>
      </c>
      <c r="N317" s="2" t="str">
        <f t="shared" si="50"/>
        <v>2°5°2HISLU</v>
      </c>
      <c r="O317" s="2"/>
      <c r="P317" s="2" t="str">
        <f>VLOOKUP(G317,[1]Hoja1!$A:$P,16,0)</f>
        <v xml:space="preserve"> </v>
      </c>
      <c r="Q317" s="2"/>
      <c r="S317">
        <f>VLOOKUP(G317,[1]Hoja1!$A:$O,5,0)</f>
        <v>1920688</v>
      </c>
      <c r="U317" s="45" t="s">
        <v>2751</v>
      </c>
      <c r="V317" s="46">
        <f t="shared" si="51"/>
        <v>1920688</v>
      </c>
      <c r="W317" s="47" t="s">
        <v>1519</v>
      </c>
      <c r="X317" s="46" t="str">
        <f t="shared" si="52"/>
        <v>2</v>
      </c>
      <c r="Y317" s="47" t="s">
        <v>1518</v>
      </c>
      <c r="Z317" s="46" t="str">
        <f t="shared" si="53"/>
        <v>M</v>
      </c>
      <c r="AA317" s="47" t="s">
        <v>2752</v>
      </c>
      <c r="AB317" s="46" t="str">
        <f t="shared" si="54"/>
        <v>LUNES</v>
      </c>
      <c r="AC317" s="47" t="s">
        <v>2753</v>
      </c>
      <c r="AD317">
        <f t="shared" si="55"/>
        <v>0</v>
      </c>
      <c r="AE317" s="47" t="s">
        <v>2754</v>
      </c>
      <c r="AH317" t="str">
        <f t="shared" si="56"/>
        <v>INSERT INTO horario_curso_materia (horario_curso_materia.FK_CUR_mat,horario_curso_materia.FK_HOR,horario_curso_materia.DIA,horario_curso_materia.tipo_turno) VALUES (  (SELECT curso_materia.ID_CUR_MAT FROM curso_materia WHERE curso_materia.CUPOF='1920688' ) ,
    (SELECT horario.ID_HOR FROM horario WHERE horario.modulo='2 ' and horario.turno='M ' ),'LUNES ' , '0 ' );</v>
      </c>
    </row>
    <row r="318" spans="1:34" ht="15" hidden="1" customHeight="1" x14ac:dyDescent="0.3">
      <c r="A318" s="1" t="str">
        <f t="shared" si="47"/>
        <v>2°5°</v>
      </c>
      <c r="B318" s="54" t="str">
        <f t="shared" si="48"/>
        <v>2°5°2MAMAÑANA0</v>
      </c>
      <c r="C318" s="62">
        <f>VLOOKUP(G318,[1]Hoja1!$A:$O,3,0)</f>
        <v>0</v>
      </c>
      <c r="D318" s="2" t="str">
        <f t="shared" si="58"/>
        <v>2MAM</v>
      </c>
      <c r="E318" s="62" t="s">
        <v>19</v>
      </c>
      <c r="F318" s="62" t="s">
        <v>27</v>
      </c>
      <c r="G318" s="62" t="s">
        <v>340</v>
      </c>
      <c r="H318" s="8" t="str">
        <f>VLOOKUP(G318,[1]Hoja1!$A:$O,6,0)</f>
        <v>EDUCACION ARTISTICA (PLASTICA)</v>
      </c>
      <c r="I318" s="4"/>
      <c r="J318" s="4"/>
      <c r="K318" s="80" t="str">
        <f t="shared" si="57"/>
        <v>MA</v>
      </c>
      <c r="L318" s="4"/>
      <c r="M318" s="86" t="str">
        <f>VLOOKUP(G318,[1]Hoja1!$A:$O,15,0)</f>
        <v xml:space="preserve">ISSETTA LORENA </v>
      </c>
      <c r="N318" s="2" t="str">
        <f t="shared" si="50"/>
        <v>2°5°2ARTMA</v>
      </c>
      <c r="O318" s="2"/>
      <c r="P318" s="2" t="str">
        <f>VLOOKUP(G318,[1]Hoja1!$A:$P,16,0)</f>
        <v xml:space="preserve"> </v>
      </c>
      <c r="Q318" s="2"/>
      <c r="S318">
        <f>VLOOKUP(G318,[1]Hoja1!$A:$O,5,0)</f>
        <v>1920681</v>
      </c>
      <c r="U318" s="45" t="s">
        <v>2751</v>
      </c>
      <c r="V318" s="46">
        <f t="shared" si="51"/>
        <v>1920681</v>
      </c>
      <c r="W318" s="47" t="s">
        <v>1519</v>
      </c>
      <c r="X318" s="46" t="str">
        <f t="shared" si="52"/>
        <v>2</v>
      </c>
      <c r="Y318" s="47" t="s">
        <v>1518</v>
      </c>
      <c r="Z318" s="46" t="str">
        <f t="shared" si="53"/>
        <v>M</v>
      </c>
      <c r="AA318" s="47" t="s">
        <v>2752</v>
      </c>
      <c r="AB318" s="46" t="str">
        <f t="shared" si="54"/>
        <v>MARTES</v>
      </c>
      <c r="AC318" s="47" t="s">
        <v>2753</v>
      </c>
      <c r="AD318">
        <f t="shared" si="55"/>
        <v>0</v>
      </c>
      <c r="AE318" s="47" t="s">
        <v>2754</v>
      </c>
      <c r="AH318" t="str">
        <f t="shared" si="56"/>
        <v>INSERT INTO horario_curso_materia (horario_curso_materia.FK_CUR_mat,horario_curso_materia.FK_HOR,horario_curso_materia.DIA,horario_curso_materia.tipo_turno) VALUES (  (SELECT curso_materia.ID_CUR_MAT FROM curso_materia WHERE curso_materia.CUPOF='1920681' ) ,
    (SELECT horario.ID_HOR FROM horario WHERE horario.modulo='2 ' and horario.turno='M ' ),'MARTES ' , '0 ' );</v>
      </c>
    </row>
    <row r="319" spans="1:34" ht="15" hidden="1" customHeight="1" x14ac:dyDescent="0.3">
      <c r="A319" s="1" t="str">
        <f t="shared" si="47"/>
        <v>2°5°</v>
      </c>
      <c r="B319" s="54" t="str">
        <f t="shared" si="48"/>
        <v>2°5°2MIMAÑANA0</v>
      </c>
      <c r="C319" s="62">
        <f>VLOOKUP(G319,[1]Hoja1!$A:$O,3,0)</f>
        <v>0</v>
      </c>
      <c r="D319" s="2" t="str">
        <f t="shared" si="58"/>
        <v>2MIM</v>
      </c>
      <c r="E319" s="62" t="s">
        <v>26</v>
      </c>
      <c r="F319" s="62" t="s">
        <v>27</v>
      </c>
      <c r="G319" s="62" t="s">
        <v>341</v>
      </c>
      <c r="H319" s="8" t="str">
        <f>VLOOKUP(G319,[1]Hoja1!$A:$O,6,0)</f>
        <v>MATEMATICA</v>
      </c>
      <c r="I319" s="4"/>
      <c r="J319" s="4"/>
      <c r="K319" s="80" t="str">
        <f t="shared" si="57"/>
        <v>MI</v>
      </c>
      <c r="L319" s="4"/>
      <c r="M319" s="86" t="str">
        <f>VLOOKUP(G319,[1]Hoja1!$A:$O,15,0)</f>
        <v xml:space="preserve">CENTURION SILVIA BEATRIZ   </v>
      </c>
      <c r="N319" s="2" t="str">
        <f t="shared" si="50"/>
        <v>2°5°2MATMI</v>
      </c>
      <c r="O319" s="2"/>
      <c r="P319" s="2" t="str">
        <f>VLOOKUP(G319,[1]Hoja1!$A:$P,16,0)</f>
        <v xml:space="preserve"> </v>
      </c>
      <c r="Q319" s="2"/>
      <c r="S319">
        <f>VLOOKUP(G319,[1]Hoja1!$A:$O,5,0)</f>
        <v>1920690</v>
      </c>
      <c r="U319" s="45" t="s">
        <v>2751</v>
      </c>
      <c r="V319" s="46">
        <f t="shared" si="51"/>
        <v>1920690</v>
      </c>
      <c r="W319" s="47" t="s">
        <v>1519</v>
      </c>
      <c r="X319" s="46" t="str">
        <f t="shared" si="52"/>
        <v>2</v>
      </c>
      <c r="Y319" s="47" t="s">
        <v>1518</v>
      </c>
      <c r="Z319" s="46" t="str">
        <f t="shared" si="53"/>
        <v>M</v>
      </c>
      <c r="AA319" s="47" t="s">
        <v>2752</v>
      </c>
      <c r="AB319" s="46" t="str">
        <f t="shared" si="54"/>
        <v>MIERCOLES</v>
      </c>
      <c r="AC319" s="47" t="s">
        <v>2753</v>
      </c>
      <c r="AD319">
        <f t="shared" si="55"/>
        <v>0</v>
      </c>
      <c r="AE319" s="47" t="s">
        <v>2754</v>
      </c>
      <c r="AH319" t="str">
        <f t="shared" si="56"/>
        <v>INSERT INTO horario_curso_materia (horario_curso_materia.FK_CUR_mat,horario_curso_materia.FK_HOR,horario_curso_materia.DIA,horario_curso_materia.tipo_turno) VALUES (  (SELECT curso_materia.ID_CUR_MAT FROM curso_materia WHERE curso_materia.CUPOF='1920690' ) ,
    (SELECT horario.ID_HOR FROM horario WHERE horario.modulo='2 ' and horario.turno='M ' ),'MIERCOLES ' , '0 ' );</v>
      </c>
    </row>
    <row r="320" spans="1:34" ht="15" hidden="1" customHeight="1" x14ac:dyDescent="0.3">
      <c r="A320" s="1" t="str">
        <f t="shared" si="47"/>
        <v>2°5°</v>
      </c>
      <c r="B320" s="54" t="str">
        <f t="shared" si="48"/>
        <v>2°5°4VIMAÑANA0</v>
      </c>
      <c r="C320" s="62">
        <f>VLOOKUP(G320,[1]Hoja1!$A:$O,3,0)</f>
        <v>0</v>
      </c>
      <c r="D320" s="2" t="str">
        <f t="shared" si="58"/>
        <v>4VIM</v>
      </c>
      <c r="E320" s="62" t="s">
        <v>36</v>
      </c>
      <c r="F320" s="62" t="s">
        <v>27</v>
      </c>
      <c r="G320" s="62" t="s">
        <v>345</v>
      </c>
      <c r="H320" s="8" t="str">
        <f>VLOOKUP(G320,[1]Hoja1!$A:$O,6,0)</f>
        <v>BIOLOGIA</v>
      </c>
      <c r="I320" s="4"/>
      <c r="J320" s="4"/>
      <c r="K320" s="80" t="str">
        <f t="shared" si="57"/>
        <v>VI</v>
      </c>
      <c r="L320" s="4"/>
      <c r="M320" s="86" t="str">
        <f>VLOOKUP(G320,[1]Hoja1!$A:$O,15,0)</f>
        <v>FARIAS CLAUDIA ANTONIA</v>
      </c>
      <c r="N320" s="2" t="str">
        <f t="shared" si="50"/>
        <v>2°5°2BIOVI</v>
      </c>
      <c r="O320" s="2"/>
      <c r="P320" s="2" t="str">
        <f>VLOOKUP(G320,[1]Hoja1!$A:$P,16,0)</f>
        <v xml:space="preserve"> </v>
      </c>
      <c r="Q320" s="2"/>
      <c r="S320">
        <f>VLOOKUP(G320,[1]Hoja1!$A:$O,5,0)</f>
        <v>1920674</v>
      </c>
      <c r="U320" s="45" t="s">
        <v>2751</v>
      </c>
      <c r="V320" s="46">
        <f t="shared" si="51"/>
        <v>1920674</v>
      </c>
      <c r="W320" s="47" t="s">
        <v>1519</v>
      </c>
      <c r="X320" s="46" t="str">
        <f t="shared" si="52"/>
        <v>4</v>
      </c>
      <c r="Y320" s="47" t="s">
        <v>1518</v>
      </c>
      <c r="Z320" s="46" t="str">
        <f t="shared" si="53"/>
        <v>M</v>
      </c>
      <c r="AA320" s="47" t="s">
        <v>2752</v>
      </c>
      <c r="AB320" s="46" t="str">
        <f t="shared" si="54"/>
        <v>VIERNES</v>
      </c>
      <c r="AC320" s="47" t="s">
        <v>2753</v>
      </c>
      <c r="AD320">
        <f t="shared" si="55"/>
        <v>0</v>
      </c>
      <c r="AE320" s="47" t="s">
        <v>2754</v>
      </c>
      <c r="AH320" t="str">
        <f t="shared" si="56"/>
        <v>INSERT INTO horario_curso_materia (horario_curso_materia.FK_CUR_mat,horario_curso_materia.FK_HOR,horario_curso_materia.DIA,horario_curso_materia.tipo_turno) VALUES (  (SELECT curso_materia.ID_CUR_MAT FROM curso_materia WHERE curso_materia.CUPOF='1920674' ) ,
    (SELECT horario.ID_HOR FROM horario WHERE horario.modulo='4 ' and horario.turno='M ' ),'VIERNES ' , '0 ' );</v>
      </c>
    </row>
    <row r="321" spans="1:34" ht="15" hidden="1" customHeight="1" x14ac:dyDescent="0.3">
      <c r="A321" s="1" t="str">
        <f t="shared" ref="A321:A373" si="59">LEFT(B321,4)</f>
        <v>2°5°</v>
      </c>
      <c r="B321" s="54" t="str">
        <f t="shared" si="48"/>
        <v>2°5°2viTARDE252</v>
      </c>
      <c r="C321" s="62">
        <f>VLOOKUP(G321,[1]Hoja1!$A:$O,3,0)</f>
        <v>252</v>
      </c>
      <c r="D321" s="2" t="str">
        <f t="shared" si="58"/>
        <v>2viT12</v>
      </c>
      <c r="E321" s="62" t="s">
        <v>1377</v>
      </c>
      <c r="F321" s="62" t="s">
        <v>10</v>
      </c>
      <c r="G321" s="62" t="s">
        <v>99</v>
      </c>
      <c r="H321" s="8" t="str">
        <f>VLOOKUP(G321,[1]Hoja1!$A:$O,6,0)</f>
        <v>LENGUAJES TECNOLOGICOS</v>
      </c>
      <c r="I321" s="4">
        <v>12</v>
      </c>
      <c r="J321" s="4"/>
      <c r="K321" s="80" t="str">
        <f t="shared" si="57"/>
        <v>vi</v>
      </c>
      <c r="L321" s="4"/>
      <c r="M321" s="86" t="str">
        <f>VLOOKUP(G321,[1]Hoja1!$A:$O,15,0)</f>
        <v>BELIZAN JUAN</v>
      </c>
      <c r="N321" s="2" t="str">
        <f t="shared" ref="N321:N373" si="60">CONCATENATE(G321,LEFT(K321,2))</f>
        <v>2°5°2522TLT2vi</v>
      </c>
      <c r="O321" s="2"/>
      <c r="P321" s="2" t="str">
        <f>VLOOKUP(G321,[1]Hoja1!$A:$P,16,0)</f>
        <v xml:space="preserve"> </v>
      </c>
      <c r="Q321" s="2"/>
      <c r="S321">
        <f>VLOOKUP(G321,[1]Hoja1!$A:$O,5,0)</f>
        <v>1920695</v>
      </c>
      <c r="U321" s="45" t="s">
        <v>2751</v>
      </c>
      <c r="V321" s="46">
        <f t="shared" ref="V321:V373" si="61">S321</f>
        <v>1920695</v>
      </c>
      <c r="W321" s="47" t="s">
        <v>1519</v>
      </c>
      <c r="X321" s="46" t="str">
        <f t="shared" ref="X321:X373" si="62">IF(LEFT(E321,1)="p","prehora",LEFT(E321,1))</f>
        <v>2</v>
      </c>
      <c r="Y321" s="47" t="s">
        <v>1518</v>
      </c>
      <c r="Z321" s="46" t="str">
        <f t="shared" ref="Z321:Z373" si="63">LEFT(F321,1)</f>
        <v>T</v>
      </c>
      <c r="AA321" s="47" t="s">
        <v>2752</v>
      </c>
      <c r="AB321" s="46" t="str">
        <f t="shared" ref="AB321:AB373" si="64">IF(IF(LEFT(E321,1)="p",MID(E321,8,2),MID(E321,2,2))="lu","LUNES",IF(IF(LEFT(E321,1)="p",MID(E321,8,2),MID(E321,2,2))="ma","MARTES",IF(IF(LEFT(E321,1)="p",MID(E321,8,2),MID(E321,2,2))="MI","MIERCOLES",IF(IF(LEFT(E321,1)="p",MID(E321,8,2),MID(E321,2,2))="JU","JUEVES",IF(IF(LEFT(E321,1)="p",MID(E321,8,2),MID(E321,2,2))="vi","VIERNES","")))))</f>
        <v>VIERNES</v>
      </c>
      <c r="AC321" s="47" t="s">
        <v>2753</v>
      </c>
      <c r="AD321">
        <f t="shared" ref="AD321:AD373" si="65">L321</f>
        <v>0</v>
      </c>
      <c r="AE321" s="47" t="s">
        <v>2754</v>
      </c>
      <c r="AH321" t="str">
        <f t="shared" ref="AH321:AH373" si="66">U321&amp;V321&amp;W321&amp;X321&amp;Y321&amp;Z321&amp;AA321&amp;AB321&amp;AC321&amp;AD321&amp;AE321</f>
        <v>INSERT INTO horario_curso_materia (horario_curso_materia.FK_CUR_mat,horario_curso_materia.FK_HOR,horario_curso_materia.DIA,horario_curso_materia.tipo_turno) VALUES (  (SELECT curso_materia.ID_CUR_MAT FROM curso_materia WHERE curso_materia.CUPOF='1920695' ) ,
    (SELECT horario.ID_HOR FROM horario WHERE horario.modulo='2 ' and horario.turno='T ' ),'VIERNES ' , '0 ' );</v>
      </c>
    </row>
    <row r="322" spans="1:34" ht="15" hidden="1" customHeight="1" x14ac:dyDescent="0.3">
      <c r="A322" s="1" t="str">
        <f t="shared" si="59"/>
        <v>2°5°</v>
      </c>
      <c r="B322" s="54" t="str">
        <f t="shared" si="48"/>
        <v>2°5°3JUMAÑANA0</v>
      </c>
      <c r="C322" s="62">
        <f>VLOOKUP(G322,[1]Hoja1!$A:$O,3,0)</f>
        <v>0</v>
      </c>
      <c r="D322" s="2" t="str">
        <f t="shared" si="58"/>
        <v>3JUM</v>
      </c>
      <c r="E322" s="4" t="s">
        <v>46</v>
      </c>
      <c r="F322" s="62" t="s">
        <v>27</v>
      </c>
      <c r="G322" s="72" t="s">
        <v>339</v>
      </c>
      <c r="H322" s="8" t="str">
        <f>VLOOKUP(G322,[1]Hoja1!$A:$O,6,0)</f>
        <v>PRACTICA DEL LENGUAJE</v>
      </c>
      <c r="I322" s="4"/>
      <c r="J322" s="4"/>
      <c r="K322" s="80" t="str">
        <f t="shared" si="57"/>
        <v>JU</v>
      </c>
      <c r="L322" s="4"/>
      <c r="M322" s="86" t="str">
        <f>VLOOKUP(G322,[1]Hoja1!$A:$O,15,0)</f>
        <v xml:space="preserve">MEDINA, CLAUDIA B  </v>
      </c>
      <c r="N322" s="2" t="str">
        <f t="shared" si="60"/>
        <v>2°5°2PLGJU</v>
      </c>
      <c r="O322" s="2"/>
      <c r="P322" s="39" t="str">
        <f>VLOOKUP(G322,[1]Hoja1!$A:$P,16,0)</f>
        <v xml:space="preserve"> </v>
      </c>
      <c r="Q322" s="39"/>
      <c r="S322">
        <f>VLOOKUP(G322,[1]Hoja1!$A:$O,5,0)</f>
        <v>1920692</v>
      </c>
      <c r="U322" s="45" t="s">
        <v>2751</v>
      </c>
      <c r="V322" s="46">
        <f t="shared" si="61"/>
        <v>1920692</v>
      </c>
      <c r="W322" s="47" t="s">
        <v>1519</v>
      </c>
      <c r="X322" s="46" t="str">
        <f t="shared" si="62"/>
        <v>3</v>
      </c>
      <c r="Y322" s="47" t="s">
        <v>1518</v>
      </c>
      <c r="Z322" s="46" t="str">
        <f t="shared" si="63"/>
        <v>M</v>
      </c>
      <c r="AA322" s="47" t="s">
        <v>2752</v>
      </c>
      <c r="AB322" s="46" t="str">
        <f t="shared" si="64"/>
        <v>JUEVES</v>
      </c>
      <c r="AC322" s="47" t="s">
        <v>2753</v>
      </c>
      <c r="AD322">
        <f t="shared" si="65"/>
        <v>0</v>
      </c>
      <c r="AE322" s="47" t="s">
        <v>2754</v>
      </c>
      <c r="AH322" t="str">
        <f t="shared" si="66"/>
        <v>INSERT INTO horario_curso_materia (horario_curso_materia.FK_CUR_mat,horario_curso_materia.FK_HOR,horario_curso_materia.DIA,horario_curso_materia.tipo_turno) VALUES (  (SELECT curso_materia.ID_CUR_MAT FROM curso_materia WHERE curso_materia.CUPOF='1920692' ) ,
    (SELECT horario.ID_HOR FROM horario WHERE horario.modulo='3 ' and horario.turno='M ' ),'JUEVES ' , '0 ' );</v>
      </c>
    </row>
    <row r="323" spans="1:34" ht="15" hidden="1" customHeight="1" x14ac:dyDescent="0.3">
      <c r="A323" s="1" t="str">
        <f t="shared" si="59"/>
        <v>2°5°</v>
      </c>
      <c r="B323" s="54" t="str">
        <f t="shared" si="48"/>
        <v>2°5°3JUTARDE0</v>
      </c>
      <c r="C323" s="62">
        <f>VLOOKUP(G323,[1]Hoja1!$A:$O,3,0)</f>
        <v>0</v>
      </c>
      <c r="D323" s="2" t="str">
        <f t="shared" si="58"/>
        <v>3JUTPATIO</v>
      </c>
      <c r="E323" s="62" t="s">
        <v>46</v>
      </c>
      <c r="F323" s="62" t="s">
        <v>10</v>
      </c>
      <c r="G323" s="62" t="s">
        <v>346</v>
      </c>
      <c r="H323" s="8" t="str">
        <f>VLOOKUP(G323,[1]Hoja1!$A:$O,6,0)</f>
        <v>EDUCACIÓN FISICA</v>
      </c>
      <c r="I323" s="4" t="s">
        <v>241</v>
      </c>
      <c r="J323" s="4"/>
      <c r="K323" s="80" t="str">
        <f t="shared" si="57"/>
        <v>JU</v>
      </c>
      <c r="L323" s="4"/>
      <c r="M323" s="86" t="str">
        <f>VLOOKUP(G323,[1]Hoja1!$A:$O,15,0)</f>
        <v xml:space="preserve">GUERRERO DANIEL </v>
      </c>
      <c r="N323" s="2" t="str">
        <f t="shared" si="60"/>
        <v>2°5°2EFIJU</v>
      </c>
      <c r="O323" s="2"/>
      <c r="P323" s="2" t="str">
        <f>VLOOKUP(G323,[1]Hoja1!$A:$P,16,0)</f>
        <v xml:space="preserve"> </v>
      </c>
      <c r="Q323" s="2"/>
      <c r="S323">
        <f>VLOOKUP(G323,[1]Hoja1!$A:$O,5,0)</f>
        <v>1920683</v>
      </c>
      <c r="U323" s="45" t="s">
        <v>2751</v>
      </c>
      <c r="V323" s="46">
        <f t="shared" si="61"/>
        <v>1920683</v>
      </c>
      <c r="W323" s="47" t="s">
        <v>1519</v>
      </c>
      <c r="X323" s="46" t="str">
        <f t="shared" si="62"/>
        <v>3</v>
      </c>
      <c r="Y323" s="47" t="s">
        <v>1518</v>
      </c>
      <c r="Z323" s="46" t="str">
        <f t="shared" si="63"/>
        <v>T</v>
      </c>
      <c r="AA323" s="47" t="s">
        <v>2752</v>
      </c>
      <c r="AB323" s="46" t="str">
        <f t="shared" si="64"/>
        <v>JUEVES</v>
      </c>
      <c r="AC323" s="47" t="s">
        <v>2753</v>
      </c>
      <c r="AD323">
        <f t="shared" si="65"/>
        <v>0</v>
      </c>
      <c r="AE323" s="47" t="s">
        <v>2754</v>
      </c>
      <c r="AH323" t="str">
        <f t="shared" si="66"/>
        <v>INSERT INTO horario_curso_materia (horario_curso_materia.FK_CUR_mat,horario_curso_materia.FK_HOR,horario_curso_materia.DIA,horario_curso_materia.tipo_turno) VALUES (  (SELECT curso_materia.ID_CUR_MAT FROM curso_materia WHERE curso_materia.CUPOF='1920683' ) ,
    (SELECT horario.ID_HOR FROM horario WHERE horario.modulo='3 ' and horario.turno='T ' ),'JUEVES ' , '0 ' );</v>
      </c>
    </row>
    <row r="324" spans="1:34" ht="15" hidden="1" customHeight="1" x14ac:dyDescent="0.3">
      <c r="A324" s="1" t="str">
        <f t="shared" si="59"/>
        <v>2°5°</v>
      </c>
      <c r="B324" s="54" t="str">
        <f t="shared" si="48"/>
        <v>2°5°3LUMAÑANA0</v>
      </c>
      <c r="C324" s="62">
        <f>VLOOKUP(G324,[1]Hoja1!$A:$O,3,0)</f>
        <v>0</v>
      </c>
      <c r="D324" s="2" t="str">
        <f t="shared" si="58"/>
        <v>3LUM</v>
      </c>
      <c r="E324" s="62" t="s">
        <v>29</v>
      </c>
      <c r="F324" s="62" t="s">
        <v>27</v>
      </c>
      <c r="G324" s="62" t="s">
        <v>339</v>
      </c>
      <c r="H324" s="8" t="str">
        <f>VLOOKUP(G324,[1]Hoja1!$A:$O,6,0)</f>
        <v>PRACTICA DEL LENGUAJE</v>
      </c>
      <c r="I324" s="4"/>
      <c r="J324" s="4"/>
      <c r="K324" s="80" t="str">
        <f t="shared" si="57"/>
        <v>LU</v>
      </c>
      <c r="L324" s="4"/>
      <c r="M324" s="86" t="str">
        <f>VLOOKUP(G324,[1]Hoja1!$A:$O,15,0)</f>
        <v xml:space="preserve">MEDINA, CLAUDIA B  </v>
      </c>
      <c r="N324" s="2" t="str">
        <f t="shared" si="60"/>
        <v>2°5°2PLGLU</v>
      </c>
      <c r="O324" s="2"/>
      <c r="P324" s="2" t="str">
        <f>VLOOKUP(G324,[1]Hoja1!$A:$P,16,0)</f>
        <v xml:space="preserve"> </v>
      </c>
      <c r="Q324" s="2"/>
      <c r="S324">
        <f>VLOOKUP(G324,[1]Hoja1!$A:$O,5,0)</f>
        <v>1920692</v>
      </c>
      <c r="U324" s="45" t="s">
        <v>2751</v>
      </c>
      <c r="V324" s="46">
        <f t="shared" si="61"/>
        <v>1920692</v>
      </c>
      <c r="W324" s="47" t="s">
        <v>1519</v>
      </c>
      <c r="X324" s="46" t="str">
        <f t="shared" si="62"/>
        <v>3</v>
      </c>
      <c r="Y324" s="47" t="s">
        <v>1518</v>
      </c>
      <c r="Z324" s="46" t="str">
        <f t="shared" si="63"/>
        <v>M</v>
      </c>
      <c r="AA324" s="47" t="s">
        <v>2752</v>
      </c>
      <c r="AB324" s="46" t="str">
        <f t="shared" si="64"/>
        <v>LUNES</v>
      </c>
      <c r="AC324" s="47" t="s">
        <v>2753</v>
      </c>
      <c r="AD324">
        <f t="shared" si="65"/>
        <v>0</v>
      </c>
      <c r="AE324" s="47" t="s">
        <v>2754</v>
      </c>
      <c r="AH324" t="str">
        <f t="shared" si="66"/>
        <v>INSERT INTO horario_curso_materia (horario_curso_materia.FK_CUR_mat,horario_curso_materia.FK_HOR,horario_curso_materia.DIA,horario_curso_materia.tipo_turno) VALUES (  (SELECT curso_materia.ID_CUR_MAT FROM curso_materia WHERE curso_materia.CUPOF='1920692' ) ,
    (SELECT horario.ID_HOR FROM horario WHERE horario.modulo='3 ' and horario.turno='M ' ),'LUNES ' , '0 ' );</v>
      </c>
    </row>
    <row r="325" spans="1:34" ht="15" hidden="1" customHeight="1" x14ac:dyDescent="0.3">
      <c r="A325" s="1" t="str">
        <f t="shared" si="59"/>
        <v>2°5°</v>
      </c>
      <c r="B325" s="54" t="str">
        <f t="shared" si="48"/>
        <v>2°5°3MIMAÑANA0</v>
      </c>
      <c r="C325" s="62">
        <f>VLOOKUP(G325,[1]Hoja1!$A:$O,3,0)</f>
        <v>0</v>
      </c>
      <c r="D325" s="2" t="str">
        <f t="shared" si="58"/>
        <v>3MIM</v>
      </c>
      <c r="E325" s="62" t="s">
        <v>50</v>
      </c>
      <c r="F325" s="62" t="s">
        <v>27</v>
      </c>
      <c r="G325" s="62" t="s">
        <v>342</v>
      </c>
      <c r="H325" s="8" t="str">
        <f>VLOOKUP(G325,[1]Hoja1!$A:$O,6,0)</f>
        <v>GEOGRAFIA</v>
      </c>
      <c r="I325" s="4"/>
      <c r="J325" s="4"/>
      <c r="K325" s="80" t="str">
        <f t="shared" si="57"/>
        <v>MI</v>
      </c>
      <c r="L325" s="4"/>
      <c r="M325" s="86" t="str">
        <f>VLOOKUP(G325,[1]Hoja1!$A:$O,15,0)</f>
        <v>ANTONELLO, FERNANDO</v>
      </c>
      <c r="N325" s="2" t="str">
        <f t="shared" si="60"/>
        <v>2°5°2GEOMI</v>
      </c>
      <c r="O325" s="2"/>
      <c r="P325" s="2" t="str">
        <f>VLOOKUP(G325,[1]Hoja1!$A:$P,16,0)</f>
        <v xml:space="preserve"> </v>
      </c>
      <c r="Q325" s="2"/>
      <c r="S325">
        <f>VLOOKUP(G325,[1]Hoja1!$A:$O,5,0)</f>
        <v>1920686</v>
      </c>
      <c r="U325" s="45" t="s">
        <v>2751</v>
      </c>
      <c r="V325" s="46">
        <f t="shared" si="61"/>
        <v>1920686</v>
      </c>
      <c r="W325" s="47" t="s">
        <v>1519</v>
      </c>
      <c r="X325" s="46" t="str">
        <f t="shared" si="62"/>
        <v>3</v>
      </c>
      <c r="Y325" s="47" t="s">
        <v>1518</v>
      </c>
      <c r="Z325" s="46" t="str">
        <f t="shared" si="63"/>
        <v>M</v>
      </c>
      <c r="AA325" s="47" t="s">
        <v>2752</v>
      </c>
      <c r="AB325" s="46" t="str">
        <f t="shared" si="64"/>
        <v>MIERCOLES</v>
      </c>
      <c r="AC325" s="47" t="s">
        <v>2753</v>
      </c>
      <c r="AD325">
        <f t="shared" si="65"/>
        <v>0</v>
      </c>
      <c r="AE325" s="47" t="s">
        <v>2754</v>
      </c>
      <c r="AH325" t="str">
        <f t="shared" si="66"/>
        <v>INSERT INTO horario_curso_materia (horario_curso_materia.FK_CUR_mat,horario_curso_materia.FK_HOR,horario_curso_materia.DIA,horario_curso_materia.tipo_turno) VALUES (  (SELECT curso_materia.ID_CUR_MAT FROM curso_materia WHERE curso_materia.CUPOF='1920686' ) ,
    (SELECT horario.ID_HOR FROM horario WHERE horario.modulo='3 ' and horario.turno='M ' ),'MIERCOLES ' , '0 ' );</v>
      </c>
    </row>
    <row r="326" spans="1:34" ht="15" hidden="1" customHeight="1" x14ac:dyDescent="0.3">
      <c r="A326" s="1" t="str">
        <f t="shared" si="59"/>
        <v>2°5°</v>
      </c>
      <c r="B326" s="54" t="str">
        <f t="shared" ref="B326:B389" si="67">CONCATENATE(LEFT(G326,4),E326,F326,C326)</f>
        <v>2°5°1VIMAÑANA0</v>
      </c>
      <c r="C326" s="62">
        <f>VLOOKUP(G326,[1]Hoja1!$A:$O,3,0)</f>
        <v>0</v>
      </c>
      <c r="D326" s="2" t="str">
        <f t="shared" si="58"/>
        <v>1VIM</v>
      </c>
      <c r="E326" s="62" t="s">
        <v>57</v>
      </c>
      <c r="F326" s="62" t="s">
        <v>27</v>
      </c>
      <c r="G326" s="62" t="s">
        <v>341</v>
      </c>
      <c r="H326" s="8" t="str">
        <f>VLOOKUP(G326,[1]Hoja1!$A:$O,6,0)</f>
        <v>MATEMATICA</v>
      </c>
      <c r="I326" s="4"/>
      <c r="J326" s="4"/>
      <c r="K326" s="80" t="str">
        <f t="shared" si="57"/>
        <v>VI</v>
      </c>
      <c r="L326" s="4"/>
      <c r="M326" s="86" t="str">
        <f>VLOOKUP(G326,[1]Hoja1!$A:$O,15,0)</f>
        <v xml:space="preserve">CENTURION SILVIA BEATRIZ   </v>
      </c>
      <c r="N326" s="2" t="str">
        <f t="shared" si="60"/>
        <v>2°5°2MATVI</v>
      </c>
      <c r="O326" s="2"/>
      <c r="P326" s="2" t="str">
        <f>VLOOKUP(G326,[1]Hoja1!$A:$P,16,0)</f>
        <v xml:space="preserve"> </v>
      </c>
      <c r="Q326" s="2"/>
      <c r="S326">
        <f>VLOOKUP(G326,[1]Hoja1!$A:$O,5,0)</f>
        <v>1920690</v>
      </c>
      <c r="U326" s="45" t="s">
        <v>2751</v>
      </c>
      <c r="V326" s="46">
        <f t="shared" si="61"/>
        <v>1920690</v>
      </c>
      <c r="W326" s="47" t="s">
        <v>1519</v>
      </c>
      <c r="X326" s="46" t="str">
        <f t="shared" si="62"/>
        <v>1</v>
      </c>
      <c r="Y326" s="47" t="s">
        <v>1518</v>
      </c>
      <c r="Z326" s="46" t="str">
        <f t="shared" si="63"/>
        <v>M</v>
      </c>
      <c r="AA326" s="47" t="s">
        <v>2752</v>
      </c>
      <c r="AB326" s="46" t="str">
        <f t="shared" si="64"/>
        <v>VIERNES</v>
      </c>
      <c r="AC326" s="47" t="s">
        <v>2753</v>
      </c>
      <c r="AD326">
        <f t="shared" si="65"/>
        <v>0</v>
      </c>
      <c r="AE326" s="47" t="s">
        <v>2754</v>
      </c>
      <c r="AH326" t="str">
        <f t="shared" si="66"/>
        <v>INSERT INTO horario_curso_materia (horario_curso_materia.FK_CUR_mat,horario_curso_materia.FK_HOR,horario_curso_materia.DIA,horario_curso_materia.tipo_turno) VALUES (  (SELECT curso_materia.ID_CUR_MAT FROM curso_materia WHERE curso_materia.CUPOF='1920690' ) ,
    (SELECT horario.ID_HOR FROM horario WHERE horario.modulo='1 ' and horario.turno='M ' ),'VIERNES ' , '0 ' );</v>
      </c>
    </row>
    <row r="327" spans="1:34" ht="15" hidden="1" customHeight="1" x14ac:dyDescent="0.3">
      <c r="A327" s="1" t="str">
        <f t="shared" si="59"/>
        <v>2°5°</v>
      </c>
      <c r="B327" s="54" t="str">
        <f t="shared" si="67"/>
        <v>2°5°4JUMAÑANA0</v>
      </c>
      <c r="C327" s="62">
        <f>VLOOKUP(G327,[1]Hoja1!$A:$O,3,0)</f>
        <v>0</v>
      </c>
      <c r="D327" s="2" t="str">
        <f t="shared" si="58"/>
        <v>4JUM</v>
      </c>
      <c r="E327" s="4" t="s">
        <v>48</v>
      </c>
      <c r="F327" s="62" t="s">
        <v>27</v>
      </c>
      <c r="G327" s="72" t="s">
        <v>339</v>
      </c>
      <c r="H327" s="8" t="str">
        <f>VLOOKUP(G327,[1]Hoja1!$A:$O,6,0)</f>
        <v>PRACTICA DEL LENGUAJE</v>
      </c>
      <c r="I327" s="4"/>
      <c r="J327" s="4"/>
      <c r="K327" s="80" t="str">
        <f t="shared" si="57"/>
        <v>JU</v>
      </c>
      <c r="L327" s="4"/>
      <c r="M327" s="86" t="str">
        <f>VLOOKUP(G327,[1]Hoja1!$A:$O,15,0)</f>
        <v xml:space="preserve">MEDINA, CLAUDIA B  </v>
      </c>
      <c r="N327" s="2" t="str">
        <f t="shared" si="60"/>
        <v>2°5°2PLGJU</v>
      </c>
      <c r="O327" s="2"/>
      <c r="P327" s="2" t="str">
        <f>VLOOKUP(G327,[1]Hoja1!$A:$P,16,0)</f>
        <v xml:space="preserve"> </v>
      </c>
      <c r="Q327" s="2"/>
      <c r="S327">
        <f>VLOOKUP(G327,[1]Hoja1!$A:$O,5,0)</f>
        <v>1920692</v>
      </c>
      <c r="U327" s="45" t="s">
        <v>2751</v>
      </c>
      <c r="V327" s="46">
        <f t="shared" si="61"/>
        <v>1920692</v>
      </c>
      <c r="W327" s="47" t="s">
        <v>1519</v>
      </c>
      <c r="X327" s="46" t="str">
        <f t="shared" si="62"/>
        <v>4</v>
      </c>
      <c r="Y327" s="47" t="s">
        <v>1518</v>
      </c>
      <c r="Z327" s="46" t="str">
        <f t="shared" si="63"/>
        <v>M</v>
      </c>
      <c r="AA327" s="47" t="s">
        <v>2752</v>
      </c>
      <c r="AB327" s="46" t="str">
        <f t="shared" si="64"/>
        <v>JUEVES</v>
      </c>
      <c r="AC327" s="47" t="s">
        <v>2753</v>
      </c>
      <c r="AD327">
        <f t="shared" si="65"/>
        <v>0</v>
      </c>
      <c r="AE327" s="47" t="s">
        <v>2754</v>
      </c>
      <c r="AH327" t="str">
        <f t="shared" si="66"/>
        <v>INSERT INTO horario_curso_materia (horario_curso_materia.FK_CUR_mat,horario_curso_materia.FK_HOR,horario_curso_materia.DIA,horario_curso_materia.tipo_turno) VALUES (  (SELECT curso_materia.ID_CUR_MAT FROM curso_materia WHERE curso_materia.CUPOF='1920692' ) ,
    (SELECT horario.ID_HOR FROM horario WHERE horario.modulo='4 ' and horario.turno='M ' ),'JUEVES ' , '0 ' );</v>
      </c>
    </row>
    <row r="328" spans="1:34" ht="15" hidden="1" customHeight="1" x14ac:dyDescent="0.3">
      <c r="A328" s="1" t="str">
        <f t="shared" si="59"/>
        <v>2°5°</v>
      </c>
      <c r="B328" s="54" t="str">
        <f t="shared" si="67"/>
        <v>2°5°4JUTARDE0</v>
      </c>
      <c r="C328" s="62">
        <f>VLOOKUP(G328,[1]Hoja1!$A:$O,3,0)</f>
        <v>0</v>
      </c>
      <c r="D328" s="2" t="str">
        <f t="shared" si="58"/>
        <v>4JUTPATIO</v>
      </c>
      <c r="E328" s="62" t="s">
        <v>48</v>
      </c>
      <c r="F328" s="62" t="s">
        <v>10</v>
      </c>
      <c r="G328" s="62" t="s">
        <v>346</v>
      </c>
      <c r="H328" s="8" t="str">
        <f>VLOOKUP(G328,[1]Hoja1!$A:$O,6,0)</f>
        <v>EDUCACIÓN FISICA</v>
      </c>
      <c r="I328" s="4" t="s">
        <v>241</v>
      </c>
      <c r="J328" s="4"/>
      <c r="K328" s="80" t="str">
        <f t="shared" si="57"/>
        <v>JU</v>
      </c>
      <c r="L328" s="4"/>
      <c r="M328" s="86" t="str">
        <f>VLOOKUP(G328,[1]Hoja1!$A:$O,15,0)</f>
        <v xml:space="preserve">GUERRERO DANIEL </v>
      </c>
      <c r="N328" s="2" t="str">
        <f t="shared" si="60"/>
        <v>2°5°2EFIJU</v>
      </c>
      <c r="O328" s="2"/>
      <c r="P328" s="2" t="str">
        <f>VLOOKUP(G328,[1]Hoja1!$A:$P,16,0)</f>
        <v xml:space="preserve"> </v>
      </c>
      <c r="Q328" s="2"/>
      <c r="S328">
        <f>VLOOKUP(G328,[1]Hoja1!$A:$O,5,0)</f>
        <v>1920683</v>
      </c>
      <c r="U328" s="45" t="s">
        <v>2751</v>
      </c>
      <c r="V328" s="46">
        <f t="shared" si="61"/>
        <v>1920683</v>
      </c>
      <c r="W328" s="47" t="s">
        <v>1519</v>
      </c>
      <c r="X328" s="46" t="str">
        <f t="shared" si="62"/>
        <v>4</v>
      </c>
      <c r="Y328" s="47" t="s">
        <v>1518</v>
      </c>
      <c r="Z328" s="46" t="str">
        <f t="shared" si="63"/>
        <v>T</v>
      </c>
      <c r="AA328" s="47" t="s">
        <v>2752</v>
      </c>
      <c r="AB328" s="46" t="str">
        <f t="shared" si="64"/>
        <v>JUEVES</v>
      </c>
      <c r="AC328" s="47" t="s">
        <v>2753</v>
      </c>
      <c r="AD328">
        <f t="shared" si="65"/>
        <v>0</v>
      </c>
      <c r="AE328" s="47" t="s">
        <v>2754</v>
      </c>
      <c r="AH328" t="str">
        <f t="shared" si="66"/>
        <v>INSERT INTO horario_curso_materia (horario_curso_materia.FK_CUR_mat,horario_curso_materia.FK_HOR,horario_curso_materia.DIA,horario_curso_materia.tipo_turno) VALUES (  (SELECT curso_materia.ID_CUR_MAT FROM curso_materia WHERE curso_materia.CUPOF='1920683' ) ,
    (SELECT horario.ID_HOR FROM horario WHERE horario.modulo='4 ' and horario.turno='T ' ),'JUEVES ' , '0 ' );</v>
      </c>
    </row>
    <row r="329" spans="1:34" ht="15" hidden="1" customHeight="1" x14ac:dyDescent="0.3">
      <c r="A329" s="1" t="str">
        <f t="shared" si="59"/>
        <v>2°5°</v>
      </c>
      <c r="B329" s="54" t="str">
        <f t="shared" si="67"/>
        <v>2°5°4LUMAÑANA0</v>
      </c>
      <c r="C329" s="62">
        <f>VLOOKUP(G329,[1]Hoja1!$A:$O,3,0)</f>
        <v>0</v>
      </c>
      <c r="D329" s="2" t="str">
        <f t="shared" si="58"/>
        <v>4LUM</v>
      </c>
      <c r="E329" s="62" t="s">
        <v>31</v>
      </c>
      <c r="F329" s="62" t="s">
        <v>27</v>
      </c>
      <c r="G329" s="62" t="s">
        <v>339</v>
      </c>
      <c r="H329" s="8" t="str">
        <f>VLOOKUP(G329,[1]Hoja1!$A:$O,6,0)</f>
        <v>PRACTICA DEL LENGUAJE</v>
      </c>
      <c r="I329" s="4"/>
      <c r="J329" s="4"/>
      <c r="K329" s="80" t="str">
        <f t="shared" ref="K329:K387" si="68">RIGHT(E329,2)</f>
        <v>LU</v>
      </c>
      <c r="L329" s="4"/>
      <c r="M329" s="86" t="str">
        <f>VLOOKUP(G329,[1]Hoja1!$A:$O,15,0)</f>
        <v xml:space="preserve">MEDINA, CLAUDIA B  </v>
      </c>
      <c r="N329" s="2" t="str">
        <f t="shared" si="60"/>
        <v>2°5°2PLGLU</v>
      </c>
      <c r="O329" s="2"/>
      <c r="P329" s="2" t="str">
        <f>VLOOKUP(G329,[1]Hoja1!$A:$P,16,0)</f>
        <v xml:space="preserve"> </v>
      </c>
      <c r="Q329" s="2"/>
      <c r="S329">
        <f>VLOOKUP(G329,[1]Hoja1!$A:$O,5,0)</f>
        <v>1920692</v>
      </c>
      <c r="U329" s="45" t="s">
        <v>2751</v>
      </c>
      <c r="V329" s="46">
        <f t="shared" si="61"/>
        <v>1920692</v>
      </c>
      <c r="W329" s="47" t="s">
        <v>1519</v>
      </c>
      <c r="X329" s="46" t="str">
        <f t="shared" si="62"/>
        <v>4</v>
      </c>
      <c r="Y329" s="47" t="s">
        <v>1518</v>
      </c>
      <c r="Z329" s="46" t="str">
        <f t="shared" si="63"/>
        <v>M</v>
      </c>
      <c r="AA329" s="47" t="s">
        <v>2752</v>
      </c>
      <c r="AB329" s="46" t="str">
        <f t="shared" si="64"/>
        <v>LUNES</v>
      </c>
      <c r="AC329" s="47" t="s">
        <v>2753</v>
      </c>
      <c r="AD329">
        <f t="shared" si="65"/>
        <v>0</v>
      </c>
      <c r="AE329" s="47" t="s">
        <v>2754</v>
      </c>
      <c r="AH329" t="str">
        <f t="shared" si="66"/>
        <v>INSERT INTO horario_curso_materia (horario_curso_materia.FK_CUR_mat,horario_curso_materia.FK_HOR,horario_curso_materia.DIA,horario_curso_materia.tipo_turno) VALUES (  (SELECT curso_materia.ID_CUR_MAT FROM curso_materia WHERE curso_materia.CUPOF='1920692' ) ,
    (SELECT horario.ID_HOR FROM horario WHERE horario.modulo='4 ' and horario.turno='M ' ),'LUNES ' , '0 ' );</v>
      </c>
    </row>
    <row r="330" spans="1:34" ht="15" hidden="1" customHeight="1" x14ac:dyDescent="0.3">
      <c r="A330" s="1" t="str">
        <f t="shared" si="59"/>
        <v>2°5°</v>
      </c>
      <c r="B330" s="54" t="str">
        <f t="shared" si="67"/>
        <v>2°5°4MIMAÑANA0</v>
      </c>
      <c r="C330" s="62">
        <f>VLOOKUP(G330,[1]Hoja1!$A:$O,3,0)</f>
        <v>0</v>
      </c>
      <c r="D330" s="2" t="str">
        <f t="shared" si="58"/>
        <v>4MIM</v>
      </c>
      <c r="E330" s="62" t="s">
        <v>52</v>
      </c>
      <c r="F330" s="62" t="s">
        <v>27</v>
      </c>
      <c r="G330" s="62" t="s">
        <v>342</v>
      </c>
      <c r="H330" s="8" t="str">
        <f>VLOOKUP(G330,[1]Hoja1!$A:$O,6,0)</f>
        <v>GEOGRAFIA</v>
      </c>
      <c r="I330" s="4"/>
      <c r="J330" s="4"/>
      <c r="K330" s="80" t="str">
        <f t="shared" si="68"/>
        <v>MI</v>
      </c>
      <c r="L330" s="4"/>
      <c r="M330" s="86" t="str">
        <f>VLOOKUP(G330,[1]Hoja1!$A:$O,15,0)</f>
        <v>ANTONELLO, FERNANDO</v>
      </c>
      <c r="N330" s="2" t="str">
        <f t="shared" si="60"/>
        <v>2°5°2GEOMI</v>
      </c>
      <c r="O330" s="2"/>
      <c r="P330" s="2" t="str">
        <f>VLOOKUP(G330,[1]Hoja1!$A:$P,16,0)</f>
        <v xml:space="preserve"> </v>
      </c>
      <c r="Q330" s="2"/>
      <c r="S330">
        <f>VLOOKUP(G330,[1]Hoja1!$A:$O,5,0)</f>
        <v>1920686</v>
      </c>
      <c r="U330" s="45" t="s">
        <v>2751</v>
      </c>
      <c r="V330" s="46">
        <f t="shared" si="61"/>
        <v>1920686</v>
      </c>
      <c r="W330" s="47" t="s">
        <v>1519</v>
      </c>
      <c r="X330" s="46" t="str">
        <f t="shared" si="62"/>
        <v>4</v>
      </c>
      <c r="Y330" s="47" t="s">
        <v>1518</v>
      </c>
      <c r="Z330" s="46" t="str">
        <f t="shared" si="63"/>
        <v>M</v>
      </c>
      <c r="AA330" s="47" t="s">
        <v>2752</v>
      </c>
      <c r="AB330" s="46" t="str">
        <f t="shared" si="64"/>
        <v>MIERCOLES</v>
      </c>
      <c r="AC330" s="47" t="s">
        <v>2753</v>
      </c>
      <c r="AD330">
        <f t="shared" si="65"/>
        <v>0</v>
      </c>
      <c r="AE330" s="47" t="s">
        <v>2754</v>
      </c>
      <c r="AH330" t="str">
        <f t="shared" si="66"/>
        <v>INSERT INTO horario_curso_materia (horario_curso_materia.FK_CUR_mat,horario_curso_materia.FK_HOR,horario_curso_materia.DIA,horario_curso_materia.tipo_turno) VALUES (  (SELECT curso_materia.ID_CUR_MAT FROM curso_materia WHERE curso_materia.CUPOF='1920686' ) ,
    (SELECT horario.ID_HOR FROM horario WHERE horario.modulo='4 ' and horario.turno='M ' ),'MIERCOLES ' , '0 ' );</v>
      </c>
    </row>
    <row r="331" spans="1:34" ht="15" hidden="1" customHeight="1" x14ac:dyDescent="0.3">
      <c r="A331" s="1" t="str">
        <f t="shared" si="59"/>
        <v>2°5°</v>
      </c>
      <c r="B331" s="54" t="str">
        <f t="shared" si="67"/>
        <v>2°5°2VIMAÑANA0</v>
      </c>
      <c r="C331" s="62">
        <f>VLOOKUP(G331,[1]Hoja1!$A:$O,3,0)</f>
        <v>0</v>
      </c>
      <c r="D331" s="2" t="str">
        <f t="shared" si="58"/>
        <v>2VIM</v>
      </c>
      <c r="E331" s="62" t="s">
        <v>59</v>
      </c>
      <c r="F331" s="62" t="s">
        <v>27</v>
      </c>
      <c r="G331" s="62" t="s">
        <v>341</v>
      </c>
      <c r="H331" s="8" t="str">
        <f>VLOOKUP(G331,[1]Hoja1!$A:$O,6,0)</f>
        <v>MATEMATICA</v>
      </c>
      <c r="I331" s="4"/>
      <c r="J331" s="4"/>
      <c r="K331" s="80" t="str">
        <f t="shared" si="68"/>
        <v>VI</v>
      </c>
      <c r="L331" s="4"/>
      <c r="M331" s="86" t="str">
        <f>VLOOKUP(G331,[1]Hoja1!$A:$O,15,0)</f>
        <v xml:space="preserve">CENTURION SILVIA BEATRIZ   </v>
      </c>
      <c r="N331" s="2" t="str">
        <f t="shared" si="60"/>
        <v>2°5°2MATVI</v>
      </c>
      <c r="O331" s="2"/>
      <c r="P331" s="2" t="str">
        <f>VLOOKUP(G331,[1]Hoja1!$A:$P,16,0)</f>
        <v xml:space="preserve"> </v>
      </c>
      <c r="Q331" s="2"/>
      <c r="S331">
        <f>VLOOKUP(G331,[1]Hoja1!$A:$O,5,0)</f>
        <v>1920690</v>
      </c>
      <c r="U331" s="45" t="s">
        <v>2751</v>
      </c>
      <c r="V331" s="46">
        <f t="shared" si="61"/>
        <v>1920690</v>
      </c>
      <c r="W331" s="47" t="s">
        <v>1519</v>
      </c>
      <c r="X331" s="46" t="str">
        <f t="shared" si="62"/>
        <v>2</v>
      </c>
      <c r="Y331" s="47" t="s">
        <v>1518</v>
      </c>
      <c r="Z331" s="46" t="str">
        <f t="shared" si="63"/>
        <v>M</v>
      </c>
      <c r="AA331" s="47" t="s">
        <v>2752</v>
      </c>
      <c r="AB331" s="46" t="str">
        <f t="shared" si="64"/>
        <v>VIERNES</v>
      </c>
      <c r="AC331" s="47" t="s">
        <v>2753</v>
      </c>
      <c r="AD331">
        <f t="shared" si="65"/>
        <v>0</v>
      </c>
      <c r="AE331" s="47" t="s">
        <v>2754</v>
      </c>
      <c r="AH331" t="str">
        <f t="shared" si="66"/>
        <v>INSERT INTO horario_curso_materia (horario_curso_materia.FK_CUR_mat,horario_curso_materia.FK_HOR,horario_curso_materia.DIA,horario_curso_materia.tipo_turno) VALUES (  (SELECT curso_materia.ID_CUR_MAT FROM curso_materia WHERE curso_materia.CUPOF='1920690' ) ,
    (SELECT horario.ID_HOR FROM horario WHERE horario.modulo='2 ' and horario.turno='M ' ),'VIERNES ' , '0 ' );</v>
      </c>
    </row>
    <row r="332" spans="1:34" ht="15" hidden="1" customHeight="1" x14ac:dyDescent="0.3">
      <c r="A332" s="1" t="str">
        <f t="shared" si="59"/>
        <v>2°5°</v>
      </c>
      <c r="B332" s="54" t="str">
        <f t="shared" si="67"/>
        <v>2°5°5MAMAÑANA0</v>
      </c>
      <c r="C332" s="62">
        <f>VLOOKUP(G332,[1]Hoja1!$A:$O,3,0)</f>
        <v>0</v>
      </c>
      <c r="D332" s="2" t="str">
        <f t="shared" si="58"/>
        <v>5MAM</v>
      </c>
      <c r="E332" s="4" t="s">
        <v>103</v>
      </c>
      <c r="F332" s="62" t="s">
        <v>27</v>
      </c>
      <c r="G332" s="72" t="s">
        <v>344</v>
      </c>
      <c r="H332" s="8" t="str">
        <f>VLOOKUP(G332,[1]Hoja1!$A:$O,6,0)</f>
        <v>INGLÉS</v>
      </c>
      <c r="I332" s="4"/>
      <c r="J332" s="4"/>
      <c r="K332" s="80" t="str">
        <f t="shared" si="68"/>
        <v>MA</v>
      </c>
      <c r="L332" s="4"/>
      <c r="M332" s="86" t="str">
        <f>VLOOKUP(G332,[1]Hoja1!$A:$O,15,0)</f>
        <v xml:space="preserve"> MONTOYA SONIA ISABEL</v>
      </c>
      <c r="N332" s="2" t="str">
        <f t="shared" si="60"/>
        <v>2°5°2INGMA</v>
      </c>
      <c r="O332" s="2" t="s">
        <v>1443</v>
      </c>
      <c r="P332" s="2" t="str">
        <f>VLOOKUP(G332,[1]Hoja1!$A:$P,16,0)</f>
        <v xml:space="preserve"> </v>
      </c>
      <c r="Q332" s="2"/>
      <c r="S332">
        <f>VLOOKUP(G332,[1]Hoja1!$A:$O,5,0)</f>
        <v>1920689</v>
      </c>
      <c r="U332" s="45" t="s">
        <v>2751</v>
      </c>
      <c r="V332" s="46">
        <f t="shared" si="61"/>
        <v>1920689</v>
      </c>
      <c r="W332" s="47" t="s">
        <v>1519</v>
      </c>
      <c r="X332" s="46" t="str">
        <f t="shared" si="62"/>
        <v>5</v>
      </c>
      <c r="Y332" s="47" t="s">
        <v>1518</v>
      </c>
      <c r="Z332" s="46" t="str">
        <f t="shared" si="63"/>
        <v>M</v>
      </c>
      <c r="AA332" s="47" t="s">
        <v>2752</v>
      </c>
      <c r="AB332" s="46" t="str">
        <f t="shared" si="64"/>
        <v>MARTES</v>
      </c>
      <c r="AC332" s="47" t="s">
        <v>2753</v>
      </c>
      <c r="AD332">
        <f t="shared" si="65"/>
        <v>0</v>
      </c>
      <c r="AE332" s="47" t="s">
        <v>2754</v>
      </c>
      <c r="AH332" t="str">
        <f t="shared" si="66"/>
        <v>INSERT INTO horario_curso_materia (horario_curso_materia.FK_CUR_mat,horario_curso_materia.FK_HOR,horario_curso_materia.DIA,horario_curso_materia.tipo_turno) VALUES (  (SELECT curso_materia.ID_CUR_MAT FROM curso_materia WHERE curso_materia.CUPOF='1920689' ) ,
    (SELECT horario.ID_HOR FROM horario WHERE horario.modulo='5 ' and horario.turno='M ' ),'MARTES ' , '0 ' );</v>
      </c>
    </row>
    <row r="333" spans="1:34" ht="15" hidden="1" customHeight="1" x14ac:dyDescent="0.3">
      <c r="A333" s="1" t="str">
        <f t="shared" si="59"/>
        <v>2°5°</v>
      </c>
      <c r="B333" s="54" t="str">
        <f t="shared" si="67"/>
        <v>2°5°5VIMAÑANA0</v>
      </c>
      <c r="C333" s="62">
        <f>VLOOKUP(G333,[1]Hoja1!$A:$O,3,0)</f>
        <v>0</v>
      </c>
      <c r="D333" s="2" t="str">
        <f t="shared" si="58"/>
        <v>5VIM</v>
      </c>
      <c r="E333" s="62" t="s">
        <v>296</v>
      </c>
      <c r="F333" s="62" t="s">
        <v>27</v>
      </c>
      <c r="G333" s="62" t="s">
        <v>344</v>
      </c>
      <c r="H333" s="8" t="str">
        <f>VLOOKUP(G333,[1]Hoja1!$A:$O,6,0)</f>
        <v>INGLÉS</v>
      </c>
      <c r="I333" s="4"/>
      <c r="J333" s="4"/>
      <c r="K333" s="80" t="str">
        <f t="shared" si="68"/>
        <v>VI</v>
      </c>
      <c r="L333" s="4"/>
      <c r="M333" s="86" t="str">
        <f>VLOOKUP(G333,[1]Hoja1!$A:$O,15,0)</f>
        <v xml:space="preserve"> MONTOYA SONIA ISABEL</v>
      </c>
      <c r="N333" s="2" t="str">
        <f t="shared" si="60"/>
        <v>2°5°2INGVI</v>
      </c>
      <c r="O333" s="2"/>
      <c r="P333" s="2" t="str">
        <f>VLOOKUP(G333,[1]Hoja1!$A:$P,16,0)</f>
        <v xml:space="preserve"> </v>
      </c>
      <c r="Q333" s="2"/>
      <c r="S333">
        <f>VLOOKUP(G333,[1]Hoja1!$A:$O,5,0)</f>
        <v>1920689</v>
      </c>
      <c r="U333" s="45" t="s">
        <v>2751</v>
      </c>
      <c r="V333" s="46">
        <f t="shared" si="61"/>
        <v>1920689</v>
      </c>
      <c r="W333" s="47" t="s">
        <v>1519</v>
      </c>
      <c r="X333" s="46" t="str">
        <f t="shared" si="62"/>
        <v>5</v>
      </c>
      <c r="Y333" s="47" t="s">
        <v>1518</v>
      </c>
      <c r="Z333" s="46" t="str">
        <f t="shared" si="63"/>
        <v>M</v>
      </c>
      <c r="AA333" s="47" t="s">
        <v>2752</v>
      </c>
      <c r="AB333" s="46" t="str">
        <f t="shared" si="64"/>
        <v>VIERNES</v>
      </c>
      <c r="AC333" s="47" t="s">
        <v>2753</v>
      </c>
      <c r="AD333">
        <f t="shared" si="65"/>
        <v>0</v>
      </c>
      <c r="AE333" s="47" t="s">
        <v>2754</v>
      </c>
      <c r="AH333" t="str">
        <f t="shared" si="66"/>
        <v>INSERT INTO horario_curso_materia (horario_curso_materia.FK_CUR_mat,horario_curso_materia.FK_HOR,horario_curso_materia.DIA,horario_curso_materia.tipo_turno) VALUES (  (SELECT curso_materia.ID_CUR_MAT FROM curso_materia WHERE curso_materia.CUPOF='1920689' ) ,
    (SELECT horario.ID_HOR FROM horario WHERE horario.modulo='5 ' and horario.turno='M ' ),'VIERNES ' , '0 ' );</v>
      </c>
    </row>
    <row r="334" spans="1:34" ht="15" hidden="1" customHeight="1" x14ac:dyDescent="0.3">
      <c r="A334" s="1" t="str">
        <f t="shared" si="59"/>
        <v>3°1°</v>
      </c>
      <c r="B334" s="54" t="str">
        <f t="shared" si="67"/>
        <v>3°1°1JUMAÑANA0</v>
      </c>
      <c r="C334" s="62">
        <f>VLOOKUP(G334,[1]Hoja1!$A:$O,3,0)</f>
        <v>0</v>
      </c>
      <c r="D334" s="2" t="str">
        <f t="shared" si="58"/>
        <v>1JUM</v>
      </c>
      <c r="E334" s="4" t="s">
        <v>43</v>
      </c>
      <c r="F334" s="62" t="s">
        <v>27</v>
      </c>
      <c r="G334" s="72" t="s">
        <v>355</v>
      </c>
      <c r="H334" s="8" t="str">
        <f>VLOOKUP(G334,[1]Hoja1!$A:$O,6,0)</f>
        <v>PRACTICA DEL LENGUAJE</v>
      </c>
      <c r="I334" s="4"/>
      <c r="J334" s="4"/>
      <c r="K334" s="80" t="str">
        <f t="shared" si="68"/>
        <v>JU</v>
      </c>
      <c r="L334" s="4"/>
      <c r="M334" s="86" t="str">
        <f>VLOOKUP(G334,[1]Hoja1!$A:$O,15,0)</f>
        <v>ROSSI, MARIA FERNANDA  27221013714</v>
      </c>
      <c r="N334" s="2" t="str">
        <f t="shared" si="60"/>
        <v>3°1°3PLGJU</v>
      </c>
      <c r="O334" s="2"/>
      <c r="P334" s="2" t="str">
        <f>VLOOKUP(G334,[1]Hoja1!$A:$P,16,0)</f>
        <v xml:space="preserve"> </v>
      </c>
      <c r="Q334" s="2"/>
      <c r="S334">
        <f>VLOOKUP(G334,[1]Hoja1!$A:$O,5,0)</f>
        <v>733471</v>
      </c>
      <c r="U334" s="45" t="s">
        <v>2751</v>
      </c>
      <c r="V334" s="46">
        <f t="shared" si="61"/>
        <v>733471</v>
      </c>
      <c r="W334" s="47" t="s">
        <v>1519</v>
      </c>
      <c r="X334" s="46" t="str">
        <f t="shared" si="62"/>
        <v>1</v>
      </c>
      <c r="Y334" s="47" t="s">
        <v>1518</v>
      </c>
      <c r="Z334" s="46" t="str">
        <f t="shared" si="63"/>
        <v>M</v>
      </c>
      <c r="AA334" s="47" t="s">
        <v>2752</v>
      </c>
      <c r="AB334" s="46" t="str">
        <f t="shared" si="64"/>
        <v>JUEVES</v>
      </c>
      <c r="AC334" s="47" t="s">
        <v>2753</v>
      </c>
      <c r="AD334">
        <f t="shared" si="65"/>
        <v>0</v>
      </c>
      <c r="AE334" s="47" t="s">
        <v>2754</v>
      </c>
      <c r="AH334" t="str">
        <f t="shared" si="66"/>
        <v>INSERT INTO horario_curso_materia (horario_curso_materia.FK_CUR_mat,horario_curso_materia.FK_HOR,horario_curso_materia.DIA,horario_curso_materia.tipo_turno) VALUES (  (SELECT curso_materia.ID_CUR_MAT FROM curso_materia WHERE curso_materia.CUPOF='733471' ) ,
    (SELECT horario.ID_HOR FROM horario WHERE horario.modulo='1 ' and horario.turno='M ' ),'JUEVES ' , '0 ' );</v>
      </c>
    </row>
    <row r="335" spans="1:34" ht="15" hidden="1" customHeight="1" x14ac:dyDescent="0.3">
      <c r="A335" s="1" t="str">
        <f t="shared" si="59"/>
        <v>3°1°</v>
      </c>
      <c r="B335" s="54" t="str">
        <f t="shared" si="67"/>
        <v>3°1°1MATARDE311</v>
      </c>
      <c r="C335" s="62">
        <f>VLOOKUP(G335,[1]Hoja1!$A:$O,3,0)</f>
        <v>311</v>
      </c>
      <c r="D335" s="2" t="str">
        <f t="shared" si="58"/>
        <v>1MATcarpinteria</v>
      </c>
      <c r="E335" s="62" t="s">
        <v>17</v>
      </c>
      <c r="F335" s="62" t="s">
        <v>10</v>
      </c>
      <c r="G335" s="62" t="s">
        <v>107</v>
      </c>
      <c r="H335" s="8" t="str">
        <f>VLOOKUP(G335,[1]Hoja1!$A:$O,6,0)</f>
        <v>PROCEDIMIENTOS TECNICOS</v>
      </c>
      <c r="I335" s="4" t="s">
        <v>2758</v>
      </c>
      <c r="J335" s="4"/>
      <c r="K335" s="80" t="str">
        <f t="shared" si="68"/>
        <v>MA</v>
      </c>
      <c r="L335" s="4" t="s">
        <v>512</v>
      </c>
      <c r="M335" s="86" t="str">
        <f>VLOOKUP(G335,[1]Hoja1!$A:$O,15,0)</f>
        <v>CRUZ DAVID FRANCISCO</v>
      </c>
      <c r="N335" s="2" t="str">
        <f t="shared" si="60"/>
        <v>3°1°3113TPT3MA</v>
      </c>
      <c r="O335" s="2"/>
      <c r="P335" s="2" t="str">
        <f>VLOOKUP(G335,[1]Hoja1!$A:$P,16,0)</f>
        <v xml:space="preserve"> </v>
      </c>
      <c r="Q335" s="2"/>
      <c r="S335">
        <f>VLOOKUP(G335,[1]Hoja1!$A:$O,5,0)</f>
        <v>2682845</v>
      </c>
      <c r="U335" s="45" t="s">
        <v>2751</v>
      </c>
      <c r="V335" s="46">
        <f t="shared" si="61"/>
        <v>2682845</v>
      </c>
      <c r="W335" s="47" t="s">
        <v>1519</v>
      </c>
      <c r="X335" s="46" t="str">
        <f t="shared" si="62"/>
        <v>1</v>
      </c>
      <c r="Y335" s="47" t="s">
        <v>1518</v>
      </c>
      <c r="Z335" s="46" t="str">
        <f t="shared" si="63"/>
        <v>T</v>
      </c>
      <c r="AA335" s="47" t="s">
        <v>2752</v>
      </c>
      <c r="AB335" s="46" t="str">
        <f t="shared" si="64"/>
        <v>MARTES</v>
      </c>
      <c r="AC335" s="47" t="s">
        <v>2753</v>
      </c>
      <c r="AD335" t="str">
        <f t="shared" si="65"/>
        <v>CONTRATURNO</v>
      </c>
      <c r="AE335" s="47" t="s">
        <v>2754</v>
      </c>
      <c r="AH335" t="str">
        <f t="shared" si="66"/>
        <v>INSERT INTO horario_curso_materia (horario_curso_materia.FK_CUR_mat,horario_curso_materia.FK_HOR,horario_curso_materia.DIA,horario_curso_materia.tipo_turno) VALUES (  (SELECT curso_materia.ID_CUR_MAT FROM curso_materia WHERE curso_materia.CUPOF='2682845' ) ,
    (SELECT horario.ID_HOR FROM horario WHERE horario.modulo='1 ' and horario.turno='T ' ),'MARTES ' , 'CONTRATURNO ' );</v>
      </c>
    </row>
    <row r="336" spans="1:34" ht="15" hidden="1" customHeight="1" x14ac:dyDescent="0.3">
      <c r="A336" s="1" t="str">
        <f t="shared" si="59"/>
        <v>3°1°</v>
      </c>
      <c r="B336" s="54" t="str">
        <f t="shared" si="67"/>
        <v>3°1°1JUTARDE312</v>
      </c>
      <c r="C336" s="62">
        <f>VLOOKUP(G336,[1]Hoja1!$A:$O,3,0)</f>
        <v>312</v>
      </c>
      <c r="D336" s="2" t="str">
        <f t="shared" si="58"/>
        <v>1JUT45</v>
      </c>
      <c r="E336" s="62" t="s">
        <v>43</v>
      </c>
      <c r="F336" s="62" t="s">
        <v>10</v>
      </c>
      <c r="G336" s="62" t="s">
        <v>101</v>
      </c>
      <c r="H336" s="8" t="str">
        <f>VLOOKUP(G336,[1]Hoja1!$A:$O,6,0)</f>
        <v>SISTEMAS TECNOLOGICOS</v>
      </c>
      <c r="I336" s="4">
        <v>45</v>
      </c>
      <c r="J336" s="4"/>
      <c r="K336" s="80" t="str">
        <f t="shared" si="68"/>
        <v>JU</v>
      </c>
      <c r="L336" s="4" t="s">
        <v>512</v>
      </c>
      <c r="M336" s="86" t="str">
        <f>VLOOKUP(G336,[1]Hoja1!$A:$O,15,0)</f>
        <v>MIRTA GABRIELA ZEBALLOS</v>
      </c>
      <c r="N336" s="2" t="str">
        <f t="shared" si="60"/>
        <v>3°1°3123TST3JU</v>
      </c>
      <c r="O336" s="2"/>
      <c r="P336" s="2" t="str">
        <f>VLOOKUP(G336,[1]Hoja1!$A:$P,16,0)</f>
        <v xml:space="preserve"> </v>
      </c>
      <c r="Q336" s="2"/>
      <c r="S336">
        <f>VLOOKUP(G336,[1]Hoja1!$A:$O,5,0)</f>
        <v>2682850</v>
      </c>
      <c r="U336" s="45" t="s">
        <v>2751</v>
      </c>
      <c r="V336" s="46">
        <f t="shared" si="61"/>
        <v>2682850</v>
      </c>
      <c r="W336" s="47" t="s">
        <v>1519</v>
      </c>
      <c r="X336" s="46" t="str">
        <f t="shared" si="62"/>
        <v>1</v>
      </c>
      <c r="Y336" s="47" t="s">
        <v>1518</v>
      </c>
      <c r="Z336" s="46" t="str">
        <f t="shared" si="63"/>
        <v>T</v>
      </c>
      <c r="AA336" s="47" t="s">
        <v>2752</v>
      </c>
      <c r="AB336" s="46" t="str">
        <f t="shared" si="64"/>
        <v>JUEVES</v>
      </c>
      <c r="AC336" s="47" t="s">
        <v>2753</v>
      </c>
      <c r="AD336" t="str">
        <f t="shared" si="65"/>
        <v>CONTRATURNO</v>
      </c>
      <c r="AE336" s="47" t="s">
        <v>2754</v>
      </c>
      <c r="AH336" t="str">
        <f t="shared" si="66"/>
        <v>INSERT INTO horario_curso_materia (horario_curso_materia.FK_CUR_mat,horario_curso_materia.FK_HOR,horario_curso_materia.DIA,horario_curso_materia.tipo_turno) VALUES (  (SELECT curso_materia.ID_CUR_MAT FROM curso_materia WHERE curso_materia.CUPOF='2682850' ) ,
    (SELECT horario.ID_HOR FROM horario WHERE horario.modulo='1 ' and horario.turno='T ' ),'JUEVES ' , 'CONTRATURNO ' );</v>
      </c>
    </row>
    <row r="337" spans="1:34" ht="15" hidden="1" customHeight="1" x14ac:dyDescent="0.3">
      <c r="A337" s="1" t="str">
        <f t="shared" si="59"/>
        <v>3°1°</v>
      </c>
      <c r="B337" s="54" t="str">
        <f t="shared" si="67"/>
        <v>3°1°1LUMAÑANA0</v>
      </c>
      <c r="C337" s="62">
        <f>VLOOKUP(G337,[1]Hoja1!$A:$O,3,0)</f>
        <v>0</v>
      </c>
      <c r="D337" s="2" t="str">
        <f t="shared" si="58"/>
        <v>1LUM</v>
      </c>
      <c r="E337" s="62" t="s">
        <v>9</v>
      </c>
      <c r="F337" s="62" t="s">
        <v>27</v>
      </c>
      <c r="G337" s="62" t="s">
        <v>347</v>
      </c>
      <c r="H337" s="8" t="str">
        <f>VLOOKUP(G337,[1]Hoja1!$A:$O,6,0)</f>
        <v>INGLÉS</v>
      </c>
      <c r="I337" s="4"/>
      <c r="J337" s="4"/>
      <c r="K337" s="80" t="str">
        <f t="shared" si="68"/>
        <v>LU</v>
      </c>
      <c r="L337" s="4"/>
      <c r="M337" s="86" t="str">
        <f>VLOOKUP(G337,[1]Hoja1!$A:$O,15,0)</f>
        <v xml:space="preserve">BONELLI PAMELA   </v>
      </c>
      <c r="N337" s="2" t="str">
        <f t="shared" si="60"/>
        <v>3°1°3INGLU</v>
      </c>
      <c r="O337" s="2"/>
      <c r="P337" s="2" t="str">
        <f>VLOOKUP(G337,[1]Hoja1!$A:$P,16,0)</f>
        <v xml:space="preserve"> </v>
      </c>
      <c r="Q337" s="2"/>
      <c r="S337">
        <f>VLOOKUP(G337,[1]Hoja1!$A:$O,5,0)</f>
        <v>733560</v>
      </c>
      <c r="U337" s="45" t="s">
        <v>2751</v>
      </c>
      <c r="V337" s="46">
        <f t="shared" si="61"/>
        <v>733560</v>
      </c>
      <c r="W337" s="47" t="s">
        <v>1519</v>
      </c>
      <c r="X337" s="46" t="str">
        <f t="shared" si="62"/>
        <v>1</v>
      </c>
      <c r="Y337" s="47" t="s">
        <v>1518</v>
      </c>
      <c r="Z337" s="46" t="str">
        <f t="shared" si="63"/>
        <v>M</v>
      </c>
      <c r="AA337" s="47" t="s">
        <v>2752</v>
      </c>
      <c r="AB337" s="46" t="str">
        <f t="shared" si="64"/>
        <v>LUNES</v>
      </c>
      <c r="AC337" s="47" t="s">
        <v>2753</v>
      </c>
      <c r="AD337">
        <f t="shared" si="65"/>
        <v>0</v>
      </c>
      <c r="AE337" s="47" t="s">
        <v>2754</v>
      </c>
      <c r="AH337" t="str">
        <f t="shared" si="66"/>
        <v>INSERT INTO horario_curso_materia (horario_curso_materia.FK_CUR_mat,horario_curso_materia.FK_HOR,horario_curso_materia.DIA,horario_curso_materia.tipo_turno) VALUES (  (SELECT curso_materia.ID_CUR_MAT FROM curso_materia WHERE curso_materia.CUPOF='733560' ) ,
    (SELECT horario.ID_HOR FROM horario WHERE horario.modulo='1 ' and horario.turno='M ' ),'LUNES ' , '0 ' );</v>
      </c>
    </row>
    <row r="338" spans="1:34" ht="15" hidden="1" customHeight="1" x14ac:dyDescent="0.3">
      <c r="A338" s="1" t="str">
        <f t="shared" si="59"/>
        <v>3°1°</v>
      </c>
      <c r="B338" s="54" t="str">
        <f t="shared" si="67"/>
        <v>3°1°1LUTARDE311</v>
      </c>
      <c r="C338" s="62">
        <f>VLOOKUP(G338,[1]Hoja1!$A:$O,3,0)</f>
        <v>311</v>
      </c>
      <c r="D338" s="2" t="str">
        <f t="shared" si="58"/>
        <v>1LUT46</v>
      </c>
      <c r="E338" s="62" t="s">
        <v>9</v>
      </c>
      <c r="F338" s="62" t="s">
        <v>10</v>
      </c>
      <c r="G338" s="62" t="s">
        <v>100</v>
      </c>
      <c r="H338" s="8" t="str">
        <f>VLOOKUP(G338,[1]Hoja1!$A:$O,6,0)</f>
        <v>SISTEMAS TECNOLOGICOS</v>
      </c>
      <c r="I338" s="4">
        <v>46</v>
      </c>
      <c r="J338" s="4"/>
      <c r="K338" s="80" t="str">
        <f t="shared" si="68"/>
        <v>LU</v>
      </c>
      <c r="L338" s="4" t="s">
        <v>512</v>
      </c>
      <c r="M338" s="86" t="str">
        <f>VLOOKUP(G338,[1]Hoja1!$A:$O,15,0)</f>
        <v>ECHAZU FARIAS  ANALIA</v>
      </c>
      <c r="N338" s="2" t="str">
        <f t="shared" si="60"/>
        <v>3°1°3113TST3LU</v>
      </c>
      <c r="O338" s="2"/>
      <c r="P338" s="2" t="str">
        <f>VLOOKUP(G338,[1]Hoja1!$A:$P,16,0)</f>
        <v xml:space="preserve"> </v>
      </c>
      <c r="Q338" s="2"/>
      <c r="S338">
        <f>VLOOKUP(G338,[1]Hoja1!$A:$O,5,0)</f>
        <v>2682844</v>
      </c>
      <c r="U338" s="45" t="s">
        <v>2751</v>
      </c>
      <c r="V338" s="46">
        <f t="shared" si="61"/>
        <v>2682844</v>
      </c>
      <c r="W338" s="47" t="s">
        <v>1519</v>
      </c>
      <c r="X338" s="46" t="str">
        <f t="shared" si="62"/>
        <v>1</v>
      </c>
      <c r="Y338" s="47" t="s">
        <v>1518</v>
      </c>
      <c r="Z338" s="46" t="str">
        <f t="shared" si="63"/>
        <v>T</v>
      </c>
      <c r="AA338" s="47" t="s">
        <v>2752</v>
      </c>
      <c r="AB338" s="46" t="str">
        <f t="shared" si="64"/>
        <v>LUNES</v>
      </c>
      <c r="AC338" s="47" t="s">
        <v>2753</v>
      </c>
      <c r="AD338" t="str">
        <f t="shared" si="65"/>
        <v>CONTRATURNO</v>
      </c>
      <c r="AE338" s="47" t="s">
        <v>2754</v>
      </c>
      <c r="AH338" t="str">
        <f t="shared" si="66"/>
        <v>INSERT INTO horario_curso_materia (horario_curso_materia.FK_CUR_mat,horario_curso_materia.FK_HOR,horario_curso_materia.DIA,horario_curso_materia.tipo_turno) VALUES (  (SELECT curso_materia.ID_CUR_MAT FROM curso_materia WHERE curso_materia.CUPOF='2682844' ) ,
    (SELECT horario.ID_HOR FROM horario WHERE horario.modulo='1 ' and horario.turno='T ' ),'LUNES ' , 'CONTRATURNO ' );</v>
      </c>
    </row>
    <row r="339" spans="1:34" ht="15" hidden="1" customHeight="1" x14ac:dyDescent="0.3">
      <c r="A339" s="1" t="str">
        <f t="shared" si="59"/>
        <v>3°1°</v>
      </c>
      <c r="B339" s="54" t="str">
        <f t="shared" si="67"/>
        <v>3°1°1MAMAÑANA0</v>
      </c>
      <c r="C339" s="62">
        <f>VLOOKUP(G339,[1]Hoja1!$A:$O,3,0)</f>
        <v>0</v>
      </c>
      <c r="D339" s="2" t="str">
        <f t="shared" si="58"/>
        <v>1MAM</v>
      </c>
      <c r="E339" s="62" t="s">
        <v>17</v>
      </c>
      <c r="F339" s="62" t="s">
        <v>27</v>
      </c>
      <c r="G339" s="62" t="s">
        <v>350</v>
      </c>
      <c r="H339" s="8" t="str">
        <f>VLOOKUP(G339,[1]Hoja1!$A:$O,6,0)</f>
        <v>HISTORIA</v>
      </c>
      <c r="I339" s="4"/>
      <c r="J339" s="4"/>
      <c r="K339" s="80" t="str">
        <f t="shared" si="68"/>
        <v>MA</v>
      </c>
      <c r="L339" s="4"/>
      <c r="M339" s="86" t="str">
        <f>VLOOKUP(G339,[1]Hoja1!$A:$O,15,0)</f>
        <v>JUAREZ NORMA</v>
      </c>
      <c r="N339" s="2" t="str">
        <f t="shared" si="60"/>
        <v>3°1°3HISMA</v>
      </c>
      <c r="O339" s="2"/>
      <c r="P339" s="2" t="str">
        <f>VLOOKUP(G339,[1]Hoja1!$A:$P,16,0)</f>
        <v xml:space="preserve"> </v>
      </c>
      <c r="Q339" s="2"/>
      <c r="S339">
        <f>VLOOKUP(G339,[1]Hoja1!$A:$O,5,0)</f>
        <v>1644170</v>
      </c>
      <c r="U339" s="45" t="s">
        <v>2751</v>
      </c>
      <c r="V339" s="46">
        <f t="shared" si="61"/>
        <v>1644170</v>
      </c>
      <c r="W339" s="47" t="s">
        <v>1519</v>
      </c>
      <c r="X339" s="46" t="str">
        <f t="shared" si="62"/>
        <v>1</v>
      </c>
      <c r="Y339" s="47" t="s">
        <v>1518</v>
      </c>
      <c r="Z339" s="46" t="str">
        <f t="shared" si="63"/>
        <v>M</v>
      </c>
      <c r="AA339" s="47" t="s">
        <v>2752</v>
      </c>
      <c r="AB339" s="46" t="str">
        <f t="shared" si="64"/>
        <v>MARTES</v>
      </c>
      <c r="AC339" s="47" t="s">
        <v>2753</v>
      </c>
      <c r="AD339">
        <f t="shared" si="65"/>
        <v>0</v>
      </c>
      <c r="AE339" s="47" t="s">
        <v>2754</v>
      </c>
      <c r="AH339" t="str">
        <f t="shared" si="66"/>
        <v>INSERT INTO horario_curso_materia (horario_curso_materia.FK_CUR_mat,horario_curso_materia.FK_HOR,horario_curso_materia.DIA,horario_curso_materia.tipo_turno) VALUES (  (SELECT curso_materia.ID_CUR_MAT FROM curso_materia WHERE curso_materia.CUPOF='1644170' ) ,
    (SELECT horario.ID_HOR FROM horario WHERE horario.modulo='1 ' and horario.turno='M ' ),'MARTES ' , '0 ' );</v>
      </c>
    </row>
    <row r="340" spans="1:34" ht="15" hidden="1" customHeight="1" x14ac:dyDescent="0.3">
      <c r="A340" s="1" t="str">
        <f t="shared" si="59"/>
        <v>3°1°</v>
      </c>
      <c r="B340" s="54" t="str">
        <f t="shared" si="67"/>
        <v>3°1°1MATARDE312</v>
      </c>
      <c r="C340" s="62">
        <f>VLOOKUP(G340,[1]Hoja1!$A:$O,3,0)</f>
        <v>312</v>
      </c>
      <c r="D340" s="2" t="str">
        <f t="shared" si="58"/>
        <v>1MATHERRERIA</v>
      </c>
      <c r="E340" s="62" t="s">
        <v>17</v>
      </c>
      <c r="F340" s="62" t="s">
        <v>10</v>
      </c>
      <c r="G340" s="62" t="s">
        <v>106</v>
      </c>
      <c r="H340" s="8" t="str">
        <f>VLOOKUP(G340,[1]Hoja1!$A:$O,6,0)</f>
        <v>PROCEDIMIENTOS TECNICOS</v>
      </c>
      <c r="I340" s="4" t="s">
        <v>21</v>
      </c>
      <c r="J340" s="4"/>
      <c r="K340" s="80" t="str">
        <f t="shared" si="68"/>
        <v>MA</v>
      </c>
      <c r="L340" s="4" t="s">
        <v>512</v>
      </c>
      <c r="M340" s="86" t="str">
        <f>VLOOKUP(G340,[1]Hoja1!$A:$O,15,0)</f>
        <v>CAMBULE PEDRO</v>
      </c>
      <c r="N340" s="2" t="str">
        <f t="shared" si="60"/>
        <v>3°1°3123TPT3MA</v>
      </c>
      <c r="O340" s="2" t="s">
        <v>555</v>
      </c>
      <c r="P340" s="2" t="str">
        <f>VLOOKUP(G340,[1]Hoja1!$A:$P,16,0)</f>
        <v xml:space="preserve"> </v>
      </c>
      <c r="Q340" s="2"/>
      <c r="S340">
        <f>VLOOKUP(G340,[1]Hoja1!$A:$O,5,0)</f>
        <v>2682852</v>
      </c>
      <c r="U340" s="45" t="s">
        <v>2751</v>
      </c>
      <c r="V340" s="46">
        <f t="shared" si="61"/>
        <v>2682852</v>
      </c>
      <c r="W340" s="47" t="s">
        <v>1519</v>
      </c>
      <c r="X340" s="46" t="str">
        <f t="shared" si="62"/>
        <v>1</v>
      </c>
      <c r="Y340" s="47" t="s">
        <v>1518</v>
      </c>
      <c r="Z340" s="46" t="str">
        <f t="shared" si="63"/>
        <v>T</v>
      </c>
      <c r="AA340" s="47" t="s">
        <v>2752</v>
      </c>
      <c r="AB340" s="46" t="str">
        <f t="shared" si="64"/>
        <v>MARTES</v>
      </c>
      <c r="AC340" s="47" t="s">
        <v>2753</v>
      </c>
      <c r="AD340" t="str">
        <f t="shared" si="65"/>
        <v>CONTRATURNO</v>
      </c>
      <c r="AE340" s="47" t="s">
        <v>2754</v>
      </c>
      <c r="AH340" t="str">
        <f t="shared" si="66"/>
        <v>INSERT INTO horario_curso_materia (horario_curso_materia.FK_CUR_mat,horario_curso_materia.FK_HOR,horario_curso_materia.DIA,horario_curso_materia.tipo_turno) VALUES (  (SELECT curso_materia.ID_CUR_MAT FROM curso_materia WHERE curso_materia.CUPOF='2682852' ) ,
    (SELECT horario.ID_HOR FROM horario WHERE horario.modulo='1 ' and horario.turno='T ' ),'MARTES ' , 'CONTRATURNO ' );</v>
      </c>
    </row>
    <row r="341" spans="1:34" ht="15" hidden="1" customHeight="1" x14ac:dyDescent="0.3">
      <c r="A341" s="1" t="str">
        <f t="shared" si="59"/>
        <v>3°1°</v>
      </c>
      <c r="B341" s="54" t="str">
        <f t="shared" si="67"/>
        <v>3°1°1MIMAÑANA0</v>
      </c>
      <c r="C341" s="62">
        <f>VLOOKUP(G341,[1]Hoja1!$A:$O,3,0)</f>
        <v>0</v>
      </c>
      <c r="D341" s="2" t="str">
        <f t="shared" si="58"/>
        <v>1MIM</v>
      </c>
      <c r="E341" s="62" t="s">
        <v>24</v>
      </c>
      <c r="F341" s="62" t="s">
        <v>27</v>
      </c>
      <c r="G341" s="62" t="s">
        <v>353</v>
      </c>
      <c r="H341" s="8" t="str">
        <f>VLOOKUP(G341,[1]Hoja1!$A:$O,6,0)</f>
        <v>GEOGRAFIA</v>
      </c>
      <c r="I341" s="4"/>
      <c r="J341" s="4"/>
      <c r="K341" s="80" t="str">
        <f t="shared" si="68"/>
        <v>MI</v>
      </c>
      <c r="L341" s="4"/>
      <c r="M341" s="86" t="str">
        <f>VLOOKUP(G341,[1]Hoja1!$A:$O,15,0)</f>
        <v>BLANCO NOGUEIRAS MICAELA E</v>
      </c>
      <c r="N341" s="2" t="str">
        <f t="shared" si="60"/>
        <v>3°1°3GEOMI</v>
      </c>
      <c r="O341" s="2"/>
      <c r="P341" s="2" t="str">
        <f>VLOOKUP(G341,[1]Hoja1!$A:$P,16,0)</f>
        <v xml:space="preserve"> </v>
      </c>
      <c r="Q341" s="2"/>
      <c r="S341">
        <f>VLOOKUP(G341,[1]Hoja1!$A:$O,5,0)</f>
        <v>1644167</v>
      </c>
      <c r="U341" s="45" t="s">
        <v>2751</v>
      </c>
      <c r="V341" s="46">
        <f t="shared" si="61"/>
        <v>1644167</v>
      </c>
      <c r="W341" s="47" t="s">
        <v>1519</v>
      </c>
      <c r="X341" s="46" t="str">
        <f t="shared" si="62"/>
        <v>1</v>
      </c>
      <c r="Y341" s="47" t="s">
        <v>1518</v>
      </c>
      <c r="Z341" s="46" t="str">
        <f t="shared" si="63"/>
        <v>M</v>
      </c>
      <c r="AA341" s="47" t="s">
        <v>2752</v>
      </c>
      <c r="AB341" s="46" t="str">
        <f t="shared" si="64"/>
        <v>MIERCOLES</v>
      </c>
      <c r="AC341" s="47" t="s">
        <v>2753</v>
      </c>
      <c r="AD341">
        <f t="shared" si="65"/>
        <v>0</v>
      </c>
      <c r="AE341" s="47" t="s">
        <v>2754</v>
      </c>
      <c r="AH341" t="str">
        <f t="shared" si="66"/>
        <v>INSERT INTO horario_curso_materia (horario_curso_materia.FK_CUR_mat,horario_curso_materia.FK_HOR,horario_curso_materia.DIA,horario_curso_materia.tipo_turno) VALUES (  (SELECT curso_materia.ID_CUR_MAT FROM curso_materia WHERE curso_materia.CUPOF='1644167' ) ,
    (SELECT horario.ID_HOR FROM horario WHERE horario.modulo='1 ' and horario.turno='M ' ),'MIERCOLES ' , '0 ' );</v>
      </c>
    </row>
    <row r="342" spans="1:34" ht="15" hidden="1" customHeight="1" x14ac:dyDescent="0.3">
      <c r="A342" s="1" t="str">
        <f t="shared" si="59"/>
        <v>3°1°</v>
      </c>
      <c r="B342" s="54" t="str">
        <f t="shared" si="67"/>
        <v>3°1°1MITARDE312</v>
      </c>
      <c r="C342" s="62">
        <f>VLOOKUP(G342,[1]Hoja1!$A:$O,3,0)</f>
        <v>312</v>
      </c>
      <c r="D342" s="2" t="str">
        <f t="shared" si="58"/>
        <v>1MITAULA 4</v>
      </c>
      <c r="E342" s="62" t="s">
        <v>24</v>
      </c>
      <c r="F342" s="62" t="s">
        <v>10</v>
      </c>
      <c r="G342" s="62" t="s">
        <v>104</v>
      </c>
      <c r="H342" s="8" t="str">
        <f>VLOOKUP(G342,[1]Hoja1!$A:$O,6,0)</f>
        <v>LENGUAJES TECNOLOGICOS</v>
      </c>
      <c r="I342" s="4" t="s">
        <v>1485</v>
      </c>
      <c r="J342" s="4"/>
      <c r="K342" s="80" t="str">
        <f t="shared" si="68"/>
        <v>MI</v>
      </c>
      <c r="L342" s="4" t="s">
        <v>512</v>
      </c>
      <c r="M342" s="86" t="str">
        <f>VLOOKUP(G342,[1]Hoja1!$A:$O,15,0)</f>
        <v>ESPINDOLA SERGIO DANIEL</v>
      </c>
      <c r="N342" s="2" t="str">
        <f t="shared" si="60"/>
        <v>3°1°3123TLT3MI</v>
      </c>
      <c r="O342" s="2"/>
      <c r="P342" s="2" t="str">
        <f>VLOOKUP(G342,[1]Hoja1!$A:$P,16,0)</f>
        <v xml:space="preserve"> </v>
      </c>
      <c r="Q342" s="2"/>
      <c r="S342">
        <f>VLOOKUP(G342,[1]Hoja1!$A:$O,5,0)</f>
        <v>2682848</v>
      </c>
      <c r="U342" s="45" t="s">
        <v>2751</v>
      </c>
      <c r="V342" s="46">
        <f t="shared" si="61"/>
        <v>2682848</v>
      </c>
      <c r="W342" s="47" t="s">
        <v>1519</v>
      </c>
      <c r="X342" s="46" t="str">
        <f t="shared" si="62"/>
        <v>1</v>
      </c>
      <c r="Y342" s="47" t="s">
        <v>1518</v>
      </c>
      <c r="Z342" s="46" t="str">
        <f t="shared" si="63"/>
        <v>T</v>
      </c>
      <c r="AA342" s="47" t="s">
        <v>2752</v>
      </c>
      <c r="AB342" s="46" t="str">
        <f t="shared" si="64"/>
        <v>MIERCOLES</v>
      </c>
      <c r="AC342" s="47" t="s">
        <v>2753</v>
      </c>
      <c r="AD342" t="str">
        <f t="shared" si="65"/>
        <v>CONTRATURNO</v>
      </c>
      <c r="AE342" s="47" t="s">
        <v>2754</v>
      </c>
      <c r="AH342" t="str">
        <f t="shared" si="66"/>
        <v>INSERT INTO horario_curso_materia (horario_curso_materia.FK_CUR_mat,horario_curso_materia.FK_HOR,horario_curso_materia.DIA,horario_curso_materia.tipo_turno) VALUES (  (SELECT curso_materia.ID_CUR_MAT FROM curso_materia WHERE curso_materia.CUPOF='2682848' ) ,
    (SELECT horario.ID_HOR FROM horario WHERE horario.modulo='1 ' and horario.turno='T ' ),'MIERCOLES ' , 'CONTRATURNO ' );</v>
      </c>
    </row>
    <row r="343" spans="1:34" ht="15" hidden="1" customHeight="1" x14ac:dyDescent="0.3">
      <c r="A343" s="1" t="str">
        <f t="shared" si="59"/>
        <v>3°1°</v>
      </c>
      <c r="B343" s="54" t="str">
        <f t="shared" si="67"/>
        <v>3°1°1VIMAÑANA0</v>
      </c>
      <c r="C343" s="62">
        <f>VLOOKUP(G343,[1]Hoja1!$A:$O,3,0)</f>
        <v>0</v>
      </c>
      <c r="D343" s="2" t="str">
        <f t="shared" si="58"/>
        <v>1VIM</v>
      </c>
      <c r="E343" s="62" t="s">
        <v>57</v>
      </c>
      <c r="F343" s="62" t="s">
        <v>27</v>
      </c>
      <c r="G343" s="62" t="s">
        <v>356</v>
      </c>
      <c r="H343" s="8" t="str">
        <f>VLOOKUP(G343,[1]Hoja1!$A:$O,6,0)</f>
        <v>EDUCACION ARTISTICA (PLASTICA)</v>
      </c>
      <c r="I343" s="4"/>
      <c r="J343" s="4"/>
      <c r="K343" s="80" t="str">
        <f t="shared" si="68"/>
        <v>VI</v>
      </c>
      <c r="L343" s="4"/>
      <c r="M343" s="86" t="str">
        <f>VLOOKUP(G343,[1]Hoja1!$A:$O,15,0)</f>
        <v xml:space="preserve">TAPIA EVANGELINA EMILCE  </v>
      </c>
      <c r="N343" s="2" t="str">
        <f t="shared" si="60"/>
        <v>3°1°3ARTVI</v>
      </c>
      <c r="O343" s="2"/>
      <c r="P343" s="2" t="str">
        <f>VLOOKUP(G343,[1]Hoja1!$A:$P,16,0)</f>
        <v xml:space="preserve"> </v>
      </c>
      <c r="Q343" s="2"/>
      <c r="S343">
        <f>VLOOKUP(G343,[1]Hoja1!$A:$O,5,0)</f>
        <v>733584</v>
      </c>
      <c r="U343" s="45" t="s">
        <v>2751</v>
      </c>
      <c r="V343" s="46">
        <f t="shared" si="61"/>
        <v>733584</v>
      </c>
      <c r="W343" s="47" t="s">
        <v>1519</v>
      </c>
      <c r="X343" s="46" t="str">
        <f t="shared" si="62"/>
        <v>1</v>
      </c>
      <c r="Y343" s="47" t="s">
        <v>1518</v>
      </c>
      <c r="Z343" s="46" t="str">
        <f t="shared" si="63"/>
        <v>M</v>
      </c>
      <c r="AA343" s="47" t="s">
        <v>2752</v>
      </c>
      <c r="AB343" s="46" t="str">
        <f t="shared" si="64"/>
        <v>VIERNES</v>
      </c>
      <c r="AC343" s="47" t="s">
        <v>2753</v>
      </c>
      <c r="AD343">
        <f t="shared" si="65"/>
        <v>0</v>
      </c>
      <c r="AE343" s="47" t="s">
        <v>2754</v>
      </c>
      <c r="AH343" t="str">
        <f t="shared" si="66"/>
        <v>INSERT INTO horario_curso_materia (horario_curso_materia.FK_CUR_mat,horario_curso_materia.FK_HOR,horario_curso_materia.DIA,horario_curso_materia.tipo_turno) VALUES (  (SELECT curso_materia.ID_CUR_MAT FROM curso_materia WHERE curso_materia.CUPOF='733584' ) ,
    (SELECT horario.ID_HOR FROM horario WHERE horario.modulo='1 ' and horario.turno='M ' ),'VIERNES ' , '0 ' );</v>
      </c>
    </row>
    <row r="344" spans="1:34" ht="15" hidden="1" customHeight="1" x14ac:dyDescent="0.3">
      <c r="A344" s="1" t="str">
        <f t="shared" si="59"/>
        <v>3°1°</v>
      </c>
      <c r="B344" s="54" t="str">
        <f t="shared" si="67"/>
        <v>3°1°2JUMAÑANA0</v>
      </c>
      <c r="C344" s="62">
        <f>VLOOKUP(G344,[1]Hoja1!$A:$O,3,0)</f>
        <v>0</v>
      </c>
      <c r="D344" s="2" t="str">
        <f t="shared" si="58"/>
        <v>2JUM</v>
      </c>
      <c r="E344" s="4" t="s">
        <v>45</v>
      </c>
      <c r="F344" s="62" t="s">
        <v>27</v>
      </c>
      <c r="G344" s="72" t="s">
        <v>355</v>
      </c>
      <c r="H344" s="8" t="str">
        <f>VLOOKUP(G344,[1]Hoja1!$A:$O,6,0)</f>
        <v>PRACTICA DEL LENGUAJE</v>
      </c>
      <c r="I344" s="4"/>
      <c r="J344" s="4"/>
      <c r="K344" s="80" t="str">
        <f t="shared" si="68"/>
        <v>JU</v>
      </c>
      <c r="L344" s="4"/>
      <c r="M344" s="86" t="str">
        <f>VLOOKUP(G344,[1]Hoja1!$A:$O,15,0)</f>
        <v>ROSSI, MARIA FERNANDA  27221013714</v>
      </c>
      <c r="N344" s="2" t="str">
        <f t="shared" si="60"/>
        <v>3°1°3PLGJU</v>
      </c>
      <c r="O344" s="2"/>
      <c r="P344" s="2" t="str">
        <f>VLOOKUP(G344,[1]Hoja1!$A:$P,16,0)</f>
        <v xml:space="preserve"> </v>
      </c>
      <c r="Q344" s="2"/>
      <c r="S344">
        <f>VLOOKUP(G344,[1]Hoja1!$A:$O,5,0)</f>
        <v>733471</v>
      </c>
      <c r="U344" s="45" t="s">
        <v>2751</v>
      </c>
      <c r="V344" s="46">
        <f t="shared" si="61"/>
        <v>733471</v>
      </c>
      <c r="W344" s="47" t="s">
        <v>1519</v>
      </c>
      <c r="X344" s="46" t="str">
        <f t="shared" si="62"/>
        <v>2</v>
      </c>
      <c r="Y344" s="47" t="s">
        <v>1518</v>
      </c>
      <c r="Z344" s="46" t="str">
        <f t="shared" si="63"/>
        <v>M</v>
      </c>
      <c r="AA344" s="47" t="s">
        <v>2752</v>
      </c>
      <c r="AB344" s="46" t="str">
        <f t="shared" si="64"/>
        <v>JUEVES</v>
      </c>
      <c r="AC344" s="47" t="s">
        <v>2753</v>
      </c>
      <c r="AD344">
        <f t="shared" si="65"/>
        <v>0</v>
      </c>
      <c r="AE344" s="47" t="s">
        <v>2754</v>
      </c>
      <c r="AH344" t="str">
        <f t="shared" si="66"/>
        <v>INSERT INTO horario_curso_materia (horario_curso_materia.FK_CUR_mat,horario_curso_materia.FK_HOR,horario_curso_materia.DIA,horario_curso_materia.tipo_turno) VALUES (  (SELECT curso_materia.ID_CUR_MAT FROM curso_materia WHERE curso_materia.CUPOF='733471' ) ,
    (SELECT horario.ID_HOR FROM horario WHERE horario.modulo='2 ' and horario.turno='M ' ),'JUEVES ' , '0 ' );</v>
      </c>
    </row>
    <row r="345" spans="1:34" ht="15" hidden="1" customHeight="1" x14ac:dyDescent="0.3">
      <c r="A345" s="1" t="str">
        <f t="shared" si="59"/>
        <v>3°1°</v>
      </c>
      <c r="B345" s="54" t="str">
        <f t="shared" si="67"/>
        <v>3°1°2MATARDE311</v>
      </c>
      <c r="C345" s="62">
        <f>VLOOKUP(G345,[1]Hoja1!$A:$O,3,0)</f>
        <v>311</v>
      </c>
      <c r="D345" s="2" t="str">
        <f t="shared" si="58"/>
        <v>2MATcarpinteria</v>
      </c>
      <c r="E345" s="62" t="s">
        <v>19</v>
      </c>
      <c r="F345" s="62" t="s">
        <v>10</v>
      </c>
      <c r="G345" s="62" t="s">
        <v>107</v>
      </c>
      <c r="H345" s="8" t="str">
        <f>VLOOKUP(G345,[1]Hoja1!$A:$O,6,0)</f>
        <v>PROCEDIMIENTOS TECNICOS</v>
      </c>
      <c r="I345" s="4" t="s">
        <v>2758</v>
      </c>
      <c r="J345" s="4"/>
      <c r="K345" s="80" t="str">
        <f t="shared" si="68"/>
        <v>MA</v>
      </c>
      <c r="L345" s="4" t="s">
        <v>512</v>
      </c>
      <c r="M345" s="86" t="str">
        <f>VLOOKUP(G345,[1]Hoja1!$A:$O,15,0)</f>
        <v>CRUZ DAVID FRANCISCO</v>
      </c>
      <c r="N345" s="2" t="str">
        <f t="shared" si="60"/>
        <v>3°1°3113TPT3MA</v>
      </c>
      <c r="O345" s="2"/>
      <c r="P345" s="2" t="str">
        <f>VLOOKUP(G345,[1]Hoja1!$A:$P,16,0)</f>
        <v xml:space="preserve"> </v>
      </c>
      <c r="Q345" s="2"/>
      <c r="S345">
        <f>VLOOKUP(G345,[1]Hoja1!$A:$O,5,0)</f>
        <v>2682845</v>
      </c>
      <c r="U345" s="45" t="s">
        <v>2751</v>
      </c>
      <c r="V345" s="46">
        <f t="shared" si="61"/>
        <v>2682845</v>
      </c>
      <c r="W345" s="47" t="s">
        <v>1519</v>
      </c>
      <c r="X345" s="46" t="str">
        <f t="shared" si="62"/>
        <v>2</v>
      </c>
      <c r="Y345" s="47" t="s">
        <v>1518</v>
      </c>
      <c r="Z345" s="46" t="str">
        <f t="shared" si="63"/>
        <v>T</v>
      </c>
      <c r="AA345" s="47" t="s">
        <v>2752</v>
      </c>
      <c r="AB345" s="46" t="str">
        <f t="shared" si="64"/>
        <v>MARTES</v>
      </c>
      <c r="AC345" s="47" t="s">
        <v>2753</v>
      </c>
      <c r="AD345" t="str">
        <f t="shared" si="65"/>
        <v>CONTRATURNO</v>
      </c>
      <c r="AE345" s="47" t="s">
        <v>2754</v>
      </c>
      <c r="AH345" t="str">
        <f t="shared" si="66"/>
        <v>INSERT INTO horario_curso_materia (horario_curso_materia.FK_CUR_mat,horario_curso_materia.FK_HOR,horario_curso_materia.DIA,horario_curso_materia.tipo_turno) VALUES (  (SELECT curso_materia.ID_CUR_MAT FROM curso_materia WHERE curso_materia.CUPOF='2682845' ) ,
    (SELECT horario.ID_HOR FROM horario WHERE horario.modulo='2 ' and horario.turno='T ' ),'MARTES ' , 'CONTRATURNO ' );</v>
      </c>
    </row>
    <row r="346" spans="1:34" ht="15" hidden="1" customHeight="1" x14ac:dyDescent="0.3">
      <c r="A346" s="1" t="str">
        <f t="shared" si="59"/>
        <v>3°1°</v>
      </c>
      <c r="B346" s="54" t="str">
        <f t="shared" si="67"/>
        <v>3°1°2JUTARDE312</v>
      </c>
      <c r="C346" s="62">
        <f>VLOOKUP(G346,[1]Hoja1!$A:$O,3,0)</f>
        <v>312</v>
      </c>
      <c r="D346" s="2" t="str">
        <f t="shared" si="58"/>
        <v>2JUT45</v>
      </c>
      <c r="E346" s="62" t="s">
        <v>45</v>
      </c>
      <c r="F346" s="62" t="s">
        <v>10</v>
      </c>
      <c r="G346" s="62" t="s">
        <v>101</v>
      </c>
      <c r="H346" s="8" t="str">
        <f>VLOOKUP(G346,[1]Hoja1!$A:$O,6,0)</f>
        <v>SISTEMAS TECNOLOGICOS</v>
      </c>
      <c r="I346" s="4">
        <v>45</v>
      </c>
      <c r="J346" s="4"/>
      <c r="K346" s="80" t="str">
        <f t="shared" si="68"/>
        <v>JU</v>
      </c>
      <c r="L346" s="4" t="s">
        <v>512</v>
      </c>
      <c r="M346" s="86" t="str">
        <f>VLOOKUP(G346,[1]Hoja1!$A:$O,15,0)</f>
        <v>MIRTA GABRIELA ZEBALLOS</v>
      </c>
      <c r="N346" s="2" t="str">
        <f t="shared" si="60"/>
        <v>3°1°3123TST3JU</v>
      </c>
      <c r="O346" s="2"/>
      <c r="P346" s="2" t="str">
        <f>VLOOKUP(G346,[1]Hoja1!$A:$P,16,0)</f>
        <v xml:space="preserve"> </v>
      </c>
      <c r="Q346" s="2"/>
      <c r="S346">
        <f>VLOOKUP(G346,[1]Hoja1!$A:$O,5,0)</f>
        <v>2682850</v>
      </c>
      <c r="U346" s="45" t="s">
        <v>2751</v>
      </c>
      <c r="V346" s="46">
        <f t="shared" si="61"/>
        <v>2682850</v>
      </c>
      <c r="W346" s="47" t="s">
        <v>1519</v>
      </c>
      <c r="X346" s="46" t="str">
        <f t="shared" si="62"/>
        <v>2</v>
      </c>
      <c r="Y346" s="47" t="s">
        <v>1518</v>
      </c>
      <c r="Z346" s="46" t="str">
        <f t="shared" si="63"/>
        <v>T</v>
      </c>
      <c r="AA346" s="47" t="s">
        <v>2752</v>
      </c>
      <c r="AB346" s="46" t="str">
        <f t="shared" si="64"/>
        <v>JUEVES</v>
      </c>
      <c r="AC346" s="47" t="s">
        <v>2753</v>
      </c>
      <c r="AD346" t="str">
        <f t="shared" si="65"/>
        <v>CONTRATURNO</v>
      </c>
      <c r="AE346" s="47" t="s">
        <v>2754</v>
      </c>
      <c r="AH346" t="str">
        <f t="shared" si="66"/>
        <v>INSERT INTO horario_curso_materia (horario_curso_materia.FK_CUR_mat,horario_curso_materia.FK_HOR,horario_curso_materia.DIA,horario_curso_materia.tipo_turno) VALUES (  (SELECT curso_materia.ID_CUR_MAT FROM curso_materia WHERE curso_materia.CUPOF='2682850' ) ,
    (SELECT horario.ID_HOR FROM horario WHERE horario.modulo='2 ' and horario.turno='T ' ),'JUEVES ' , 'CONTRATURNO ' );</v>
      </c>
    </row>
    <row r="347" spans="1:34" ht="15" hidden="1" customHeight="1" x14ac:dyDescent="0.3">
      <c r="A347" s="1" t="str">
        <f t="shared" si="59"/>
        <v>3°1°</v>
      </c>
      <c r="B347" s="54" t="str">
        <f t="shared" si="67"/>
        <v>3°1°2LUMAÑANA0</v>
      </c>
      <c r="C347" s="62">
        <f>VLOOKUP(G347,[1]Hoja1!$A:$O,3,0)</f>
        <v>0</v>
      </c>
      <c r="D347" s="2" t="str">
        <f t="shared" si="58"/>
        <v>2LUM</v>
      </c>
      <c r="E347" s="62" t="s">
        <v>12</v>
      </c>
      <c r="F347" s="62" t="s">
        <v>27</v>
      </c>
      <c r="G347" s="62" t="s">
        <v>347</v>
      </c>
      <c r="H347" s="8" t="str">
        <f>VLOOKUP(G347,[1]Hoja1!$A:$O,6,0)</f>
        <v>INGLÉS</v>
      </c>
      <c r="I347" s="4"/>
      <c r="J347" s="4"/>
      <c r="K347" s="80" t="str">
        <f t="shared" si="68"/>
        <v>LU</v>
      </c>
      <c r="L347" s="4"/>
      <c r="M347" s="86" t="str">
        <f>VLOOKUP(G347,[1]Hoja1!$A:$O,15,0)</f>
        <v xml:space="preserve">BONELLI PAMELA   </v>
      </c>
      <c r="N347" s="2" t="str">
        <f t="shared" si="60"/>
        <v>3°1°3INGLU</v>
      </c>
      <c r="O347" s="2"/>
      <c r="P347" s="2" t="str">
        <f>VLOOKUP(G347,[1]Hoja1!$A:$P,16,0)</f>
        <v xml:space="preserve"> </v>
      </c>
      <c r="Q347" s="2"/>
      <c r="S347">
        <f>VLOOKUP(G347,[1]Hoja1!$A:$O,5,0)</f>
        <v>733560</v>
      </c>
      <c r="U347" s="45" t="s">
        <v>2751</v>
      </c>
      <c r="V347" s="46">
        <f t="shared" si="61"/>
        <v>733560</v>
      </c>
      <c r="W347" s="47" t="s">
        <v>1519</v>
      </c>
      <c r="X347" s="46" t="str">
        <f t="shared" si="62"/>
        <v>2</v>
      </c>
      <c r="Y347" s="47" t="s">
        <v>1518</v>
      </c>
      <c r="Z347" s="46" t="str">
        <f t="shared" si="63"/>
        <v>M</v>
      </c>
      <c r="AA347" s="47" t="s">
        <v>2752</v>
      </c>
      <c r="AB347" s="46" t="str">
        <f t="shared" si="64"/>
        <v>LUNES</v>
      </c>
      <c r="AC347" s="47" t="s">
        <v>2753</v>
      </c>
      <c r="AD347">
        <f t="shared" si="65"/>
        <v>0</v>
      </c>
      <c r="AE347" s="47" t="s">
        <v>2754</v>
      </c>
      <c r="AH347" t="str">
        <f t="shared" si="66"/>
        <v>INSERT INTO horario_curso_materia (horario_curso_materia.FK_CUR_mat,horario_curso_materia.FK_HOR,horario_curso_materia.DIA,horario_curso_materia.tipo_turno) VALUES (  (SELECT curso_materia.ID_CUR_MAT FROM curso_materia WHERE curso_materia.CUPOF='733560' ) ,
    (SELECT horario.ID_HOR FROM horario WHERE horario.modulo='2 ' and horario.turno='M ' ),'LUNES ' , '0 ' );</v>
      </c>
    </row>
    <row r="348" spans="1:34" ht="15" hidden="1" customHeight="1" x14ac:dyDescent="0.3">
      <c r="A348" s="1" t="str">
        <f t="shared" si="59"/>
        <v>3°1°</v>
      </c>
      <c r="B348" s="54" t="str">
        <f t="shared" si="67"/>
        <v>3°1°2LUTARDE311</v>
      </c>
      <c r="C348" s="62">
        <f>VLOOKUP(G348,[1]Hoja1!$A:$O,3,0)</f>
        <v>311</v>
      </c>
      <c r="D348" s="2" t="str">
        <f t="shared" si="58"/>
        <v>2LUT46</v>
      </c>
      <c r="E348" s="62" t="s">
        <v>12</v>
      </c>
      <c r="F348" s="62" t="s">
        <v>10</v>
      </c>
      <c r="G348" s="62" t="s">
        <v>100</v>
      </c>
      <c r="H348" s="8" t="str">
        <f>VLOOKUP(G348,[1]Hoja1!$A:$O,6,0)</f>
        <v>SISTEMAS TECNOLOGICOS</v>
      </c>
      <c r="I348" s="4">
        <v>46</v>
      </c>
      <c r="J348" s="4"/>
      <c r="K348" s="80" t="str">
        <f t="shared" si="68"/>
        <v>LU</v>
      </c>
      <c r="L348" s="4" t="s">
        <v>512</v>
      </c>
      <c r="M348" s="86" t="str">
        <f>VLOOKUP(G348,[1]Hoja1!$A:$O,15,0)</f>
        <v>ECHAZU FARIAS  ANALIA</v>
      </c>
      <c r="N348" s="2" t="str">
        <f t="shared" si="60"/>
        <v>3°1°3113TST3LU</v>
      </c>
      <c r="O348" s="2"/>
      <c r="P348" s="2" t="str">
        <f>VLOOKUP(G348,[1]Hoja1!$A:$P,16,0)</f>
        <v xml:space="preserve"> </v>
      </c>
      <c r="Q348" s="2"/>
      <c r="S348">
        <f>VLOOKUP(G348,[1]Hoja1!$A:$O,5,0)</f>
        <v>2682844</v>
      </c>
      <c r="U348" s="45" t="s">
        <v>2751</v>
      </c>
      <c r="V348" s="46">
        <f t="shared" si="61"/>
        <v>2682844</v>
      </c>
      <c r="W348" s="47" t="s">
        <v>1519</v>
      </c>
      <c r="X348" s="46" t="str">
        <f t="shared" si="62"/>
        <v>2</v>
      </c>
      <c r="Y348" s="47" t="s">
        <v>1518</v>
      </c>
      <c r="Z348" s="46" t="str">
        <f t="shared" si="63"/>
        <v>T</v>
      </c>
      <c r="AA348" s="47" t="s">
        <v>2752</v>
      </c>
      <c r="AB348" s="46" t="str">
        <f t="shared" si="64"/>
        <v>LUNES</v>
      </c>
      <c r="AC348" s="47" t="s">
        <v>2753</v>
      </c>
      <c r="AD348" t="str">
        <f t="shared" si="65"/>
        <v>CONTRATURNO</v>
      </c>
      <c r="AE348" s="47" t="s">
        <v>2754</v>
      </c>
      <c r="AH348" t="str">
        <f t="shared" si="66"/>
        <v>INSERT INTO horario_curso_materia (horario_curso_materia.FK_CUR_mat,horario_curso_materia.FK_HOR,horario_curso_materia.DIA,horario_curso_materia.tipo_turno) VALUES (  (SELECT curso_materia.ID_CUR_MAT FROM curso_materia WHERE curso_materia.CUPOF='2682844' ) ,
    (SELECT horario.ID_HOR FROM horario WHERE horario.modulo='2 ' and horario.turno='T ' ),'LUNES ' , 'CONTRATURNO ' );</v>
      </c>
    </row>
    <row r="349" spans="1:34" ht="15" hidden="1" customHeight="1" x14ac:dyDescent="0.3">
      <c r="A349" s="1" t="str">
        <f t="shared" si="59"/>
        <v>3°1°</v>
      </c>
      <c r="B349" s="54" t="str">
        <f t="shared" si="67"/>
        <v>3°1°2MAMAÑANA0</v>
      </c>
      <c r="C349" s="62">
        <f>VLOOKUP(G349,[1]Hoja1!$A:$O,3,0)</f>
        <v>0</v>
      </c>
      <c r="D349" s="2" t="str">
        <f t="shared" si="58"/>
        <v>2MAM</v>
      </c>
      <c r="E349" s="62" t="s">
        <v>19</v>
      </c>
      <c r="F349" s="62" t="s">
        <v>27</v>
      </c>
      <c r="G349" s="62" t="s">
        <v>350</v>
      </c>
      <c r="H349" s="8" t="str">
        <f>VLOOKUP(G349,[1]Hoja1!$A:$O,6,0)</f>
        <v>HISTORIA</v>
      </c>
      <c r="I349" s="4"/>
      <c r="J349" s="4"/>
      <c r="K349" s="80" t="str">
        <f t="shared" si="68"/>
        <v>MA</v>
      </c>
      <c r="L349" s="4"/>
      <c r="M349" s="86" t="str">
        <f>VLOOKUP(G349,[1]Hoja1!$A:$O,15,0)</f>
        <v>JUAREZ NORMA</v>
      </c>
      <c r="N349" s="2" t="str">
        <f t="shared" si="60"/>
        <v>3°1°3HISMA</v>
      </c>
      <c r="O349" s="2"/>
      <c r="P349" s="2" t="str">
        <f>VLOOKUP(G349,[1]Hoja1!$A:$P,16,0)</f>
        <v xml:space="preserve"> </v>
      </c>
      <c r="Q349" s="2"/>
      <c r="S349">
        <f>VLOOKUP(G349,[1]Hoja1!$A:$O,5,0)</f>
        <v>1644170</v>
      </c>
      <c r="U349" s="45" t="s">
        <v>2751</v>
      </c>
      <c r="V349" s="46">
        <f t="shared" si="61"/>
        <v>1644170</v>
      </c>
      <c r="W349" s="47" t="s">
        <v>1519</v>
      </c>
      <c r="X349" s="46" t="str">
        <f t="shared" si="62"/>
        <v>2</v>
      </c>
      <c r="Y349" s="47" t="s">
        <v>1518</v>
      </c>
      <c r="Z349" s="46" t="str">
        <f t="shared" si="63"/>
        <v>M</v>
      </c>
      <c r="AA349" s="47" t="s">
        <v>2752</v>
      </c>
      <c r="AB349" s="46" t="str">
        <f t="shared" si="64"/>
        <v>MARTES</v>
      </c>
      <c r="AC349" s="47" t="s">
        <v>2753</v>
      </c>
      <c r="AD349">
        <f t="shared" si="65"/>
        <v>0</v>
      </c>
      <c r="AE349" s="47" t="s">
        <v>2754</v>
      </c>
      <c r="AH349" t="str">
        <f t="shared" si="66"/>
        <v>INSERT INTO horario_curso_materia (horario_curso_materia.FK_CUR_mat,horario_curso_materia.FK_HOR,horario_curso_materia.DIA,horario_curso_materia.tipo_turno) VALUES (  (SELECT curso_materia.ID_CUR_MAT FROM curso_materia WHERE curso_materia.CUPOF='1644170' ) ,
    (SELECT horario.ID_HOR FROM horario WHERE horario.modulo='2 ' and horario.turno='M ' ),'MARTES ' , '0 ' );</v>
      </c>
    </row>
    <row r="350" spans="1:34" ht="15" hidden="1" customHeight="1" x14ac:dyDescent="0.3">
      <c r="A350" s="1" t="str">
        <f t="shared" si="59"/>
        <v>3°1°</v>
      </c>
      <c r="B350" s="54" t="str">
        <f t="shared" si="67"/>
        <v>3°1°2MATARDE312</v>
      </c>
      <c r="C350" s="62">
        <f>VLOOKUP(G350,[1]Hoja1!$A:$O,3,0)</f>
        <v>312</v>
      </c>
      <c r="D350" s="2" t="str">
        <f t="shared" si="58"/>
        <v>2MATHERRERIA</v>
      </c>
      <c r="E350" s="62" t="s">
        <v>19</v>
      </c>
      <c r="F350" s="62" t="s">
        <v>10</v>
      </c>
      <c r="G350" s="62" t="s">
        <v>106</v>
      </c>
      <c r="H350" s="8" t="str">
        <f>VLOOKUP(G350,[1]Hoja1!$A:$O,6,0)</f>
        <v>PROCEDIMIENTOS TECNICOS</v>
      </c>
      <c r="I350" s="4" t="s">
        <v>21</v>
      </c>
      <c r="J350" s="4"/>
      <c r="K350" s="80" t="str">
        <f t="shared" si="68"/>
        <v>MA</v>
      </c>
      <c r="L350" s="4" t="s">
        <v>512</v>
      </c>
      <c r="M350" s="86" t="str">
        <f>VLOOKUP(G350,[1]Hoja1!$A:$O,15,0)</f>
        <v>CAMBULE PEDRO</v>
      </c>
      <c r="N350" s="2" t="str">
        <f t="shared" si="60"/>
        <v>3°1°3123TPT3MA</v>
      </c>
      <c r="O350" s="2"/>
      <c r="P350" s="2" t="str">
        <f>VLOOKUP(G350,[1]Hoja1!$A:$P,16,0)</f>
        <v xml:space="preserve"> </v>
      </c>
      <c r="Q350" s="2"/>
      <c r="S350">
        <f>VLOOKUP(G350,[1]Hoja1!$A:$O,5,0)</f>
        <v>2682852</v>
      </c>
      <c r="U350" s="45" t="s">
        <v>2751</v>
      </c>
      <c r="V350" s="46">
        <f t="shared" si="61"/>
        <v>2682852</v>
      </c>
      <c r="W350" s="47" t="s">
        <v>1519</v>
      </c>
      <c r="X350" s="46" t="str">
        <f t="shared" si="62"/>
        <v>2</v>
      </c>
      <c r="Y350" s="47" t="s">
        <v>1518</v>
      </c>
      <c r="Z350" s="46" t="str">
        <f t="shared" si="63"/>
        <v>T</v>
      </c>
      <c r="AA350" s="47" t="s">
        <v>2752</v>
      </c>
      <c r="AB350" s="46" t="str">
        <f t="shared" si="64"/>
        <v>MARTES</v>
      </c>
      <c r="AC350" s="47" t="s">
        <v>2753</v>
      </c>
      <c r="AD350" t="str">
        <f t="shared" si="65"/>
        <v>CONTRATURNO</v>
      </c>
      <c r="AE350" s="47" t="s">
        <v>2754</v>
      </c>
      <c r="AH350" t="str">
        <f t="shared" si="66"/>
        <v>INSERT INTO horario_curso_materia (horario_curso_materia.FK_CUR_mat,horario_curso_materia.FK_HOR,horario_curso_materia.DIA,horario_curso_materia.tipo_turno) VALUES (  (SELECT curso_materia.ID_CUR_MAT FROM curso_materia WHERE curso_materia.CUPOF='2682852' ) ,
    (SELECT horario.ID_HOR FROM horario WHERE horario.modulo='2 ' and horario.turno='T ' ),'MARTES ' , 'CONTRATURNO ' );</v>
      </c>
    </row>
    <row r="351" spans="1:34" ht="15" hidden="1" customHeight="1" x14ac:dyDescent="0.3">
      <c r="A351" s="1" t="str">
        <f t="shared" si="59"/>
        <v>3°1°</v>
      </c>
      <c r="B351" s="54" t="str">
        <f t="shared" si="67"/>
        <v>3°1°2MIMAÑANA0</v>
      </c>
      <c r="C351" s="62">
        <f>VLOOKUP(G351,[1]Hoja1!$A:$O,3,0)</f>
        <v>0</v>
      </c>
      <c r="D351" s="2" t="str">
        <f t="shared" si="58"/>
        <v>2MIM</v>
      </c>
      <c r="E351" s="62" t="s">
        <v>26</v>
      </c>
      <c r="F351" s="62" t="s">
        <v>27</v>
      </c>
      <c r="G351" s="62" t="s">
        <v>353</v>
      </c>
      <c r="H351" s="8" t="str">
        <f>VLOOKUP(G351,[1]Hoja1!$A:$O,6,0)</f>
        <v>GEOGRAFIA</v>
      </c>
      <c r="I351" s="4"/>
      <c r="J351" s="4"/>
      <c r="K351" s="80" t="str">
        <f t="shared" si="68"/>
        <v>MI</v>
      </c>
      <c r="L351" s="4"/>
      <c r="M351" s="86" t="str">
        <f>VLOOKUP(G351,[1]Hoja1!$A:$O,15,0)</f>
        <v>BLANCO NOGUEIRAS MICAELA E</v>
      </c>
      <c r="N351" s="2" t="str">
        <f t="shared" si="60"/>
        <v>3°1°3GEOMI</v>
      </c>
      <c r="O351" s="2"/>
      <c r="P351" s="2" t="str">
        <f>VLOOKUP(G351,[1]Hoja1!$A:$P,16,0)</f>
        <v xml:space="preserve"> </v>
      </c>
      <c r="Q351" s="2"/>
      <c r="S351">
        <f>VLOOKUP(G351,[1]Hoja1!$A:$O,5,0)</f>
        <v>1644167</v>
      </c>
      <c r="U351" s="45" t="s">
        <v>2751</v>
      </c>
      <c r="V351" s="46">
        <f t="shared" si="61"/>
        <v>1644167</v>
      </c>
      <c r="W351" s="47" t="s">
        <v>1519</v>
      </c>
      <c r="X351" s="46" t="str">
        <f t="shared" si="62"/>
        <v>2</v>
      </c>
      <c r="Y351" s="47" t="s">
        <v>1518</v>
      </c>
      <c r="Z351" s="46" t="str">
        <f t="shared" si="63"/>
        <v>M</v>
      </c>
      <c r="AA351" s="47" t="s">
        <v>2752</v>
      </c>
      <c r="AB351" s="46" t="str">
        <f t="shared" si="64"/>
        <v>MIERCOLES</v>
      </c>
      <c r="AC351" s="47" t="s">
        <v>2753</v>
      </c>
      <c r="AD351">
        <f t="shared" si="65"/>
        <v>0</v>
      </c>
      <c r="AE351" s="47" t="s">
        <v>2754</v>
      </c>
      <c r="AH351" t="str">
        <f t="shared" si="66"/>
        <v>INSERT INTO horario_curso_materia (horario_curso_materia.FK_CUR_mat,horario_curso_materia.FK_HOR,horario_curso_materia.DIA,horario_curso_materia.tipo_turno) VALUES (  (SELECT curso_materia.ID_CUR_MAT FROM curso_materia WHERE curso_materia.CUPOF='1644167' ) ,
    (SELECT horario.ID_HOR FROM horario WHERE horario.modulo='2 ' and horario.turno='M ' ),'MIERCOLES ' , '0 ' );</v>
      </c>
    </row>
    <row r="352" spans="1:34" ht="15" hidden="1" customHeight="1" x14ac:dyDescent="0.3">
      <c r="A352" s="1" t="str">
        <f t="shared" si="59"/>
        <v>3°1°</v>
      </c>
      <c r="B352" s="54" t="str">
        <f t="shared" si="67"/>
        <v>3°1°2MITARDE312</v>
      </c>
      <c r="C352" s="62">
        <f>VLOOKUP(G352,[1]Hoja1!$A:$O,3,0)</f>
        <v>312</v>
      </c>
      <c r="D352" s="2" t="str">
        <f t="shared" si="58"/>
        <v>2MITAULA 4</v>
      </c>
      <c r="E352" s="62" t="s">
        <v>26</v>
      </c>
      <c r="F352" s="62" t="s">
        <v>10</v>
      </c>
      <c r="G352" s="62" t="s">
        <v>104</v>
      </c>
      <c r="H352" s="8" t="str">
        <f>VLOOKUP(G352,[1]Hoja1!$A:$O,6,0)</f>
        <v>LENGUAJES TECNOLOGICOS</v>
      </c>
      <c r="I352" s="4" t="s">
        <v>1485</v>
      </c>
      <c r="J352" s="4"/>
      <c r="K352" s="80" t="str">
        <f t="shared" si="68"/>
        <v>MI</v>
      </c>
      <c r="L352" s="4" t="s">
        <v>512</v>
      </c>
      <c r="M352" s="86" t="str">
        <f>VLOOKUP(G352,[1]Hoja1!$A:$O,15,0)</f>
        <v>ESPINDOLA SERGIO DANIEL</v>
      </c>
      <c r="N352" s="2" t="str">
        <f t="shared" si="60"/>
        <v>3°1°3123TLT3MI</v>
      </c>
      <c r="O352" s="2"/>
      <c r="P352" s="2" t="str">
        <f>VLOOKUP(G352,[1]Hoja1!$A:$P,16,0)</f>
        <v xml:space="preserve"> </v>
      </c>
      <c r="Q352" s="2"/>
      <c r="S352">
        <f>VLOOKUP(G352,[1]Hoja1!$A:$O,5,0)</f>
        <v>2682848</v>
      </c>
      <c r="U352" s="45" t="s">
        <v>2751</v>
      </c>
      <c r="V352" s="46">
        <f t="shared" si="61"/>
        <v>2682848</v>
      </c>
      <c r="W352" s="47" t="s">
        <v>1519</v>
      </c>
      <c r="X352" s="46" t="str">
        <f t="shared" si="62"/>
        <v>2</v>
      </c>
      <c r="Y352" s="47" t="s">
        <v>1518</v>
      </c>
      <c r="Z352" s="46" t="str">
        <f t="shared" si="63"/>
        <v>T</v>
      </c>
      <c r="AA352" s="47" t="s">
        <v>2752</v>
      </c>
      <c r="AB352" s="46" t="str">
        <f t="shared" si="64"/>
        <v>MIERCOLES</v>
      </c>
      <c r="AC352" s="47" t="s">
        <v>2753</v>
      </c>
      <c r="AD352" t="str">
        <f t="shared" si="65"/>
        <v>CONTRATURNO</v>
      </c>
      <c r="AE352" s="47" t="s">
        <v>2754</v>
      </c>
      <c r="AH352" t="str">
        <f t="shared" si="66"/>
        <v>INSERT INTO horario_curso_materia (horario_curso_materia.FK_CUR_mat,horario_curso_materia.FK_HOR,horario_curso_materia.DIA,horario_curso_materia.tipo_turno) VALUES (  (SELECT curso_materia.ID_CUR_MAT FROM curso_materia WHERE curso_materia.CUPOF='2682848' ) ,
    (SELECT horario.ID_HOR FROM horario WHERE horario.modulo='2 ' and horario.turno='T ' ),'MIERCOLES ' , 'CONTRATURNO ' );</v>
      </c>
    </row>
    <row r="353" spans="1:34" ht="15" hidden="1" customHeight="1" x14ac:dyDescent="0.3">
      <c r="A353" s="1" t="str">
        <f t="shared" si="59"/>
        <v>3°1°</v>
      </c>
      <c r="B353" s="54" t="str">
        <f t="shared" si="67"/>
        <v>3°1°2VIMAÑANA0</v>
      </c>
      <c r="C353" s="62">
        <f>VLOOKUP(G353,[1]Hoja1!$A:$O,3,0)</f>
        <v>0</v>
      </c>
      <c r="D353" s="2" t="str">
        <f t="shared" si="58"/>
        <v>2VIM</v>
      </c>
      <c r="E353" s="62" t="s">
        <v>59</v>
      </c>
      <c r="F353" s="62" t="s">
        <v>27</v>
      </c>
      <c r="G353" s="62" t="s">
        <v>356</v>
      </c>
      <c r="H353" s="8" t="str">
        <f>VLOOKUP(G353,[1]Hoja1!$A:$O,6,0)</f>
        <v>EDUCACION ARTISTICA (PLASTICA)</v>
      </c>
      <c r="I353" s="4"/>
      <c r="J353" s="4"/>
      <c r="K353" s="80" t="str">
        <f t="shared" si="68"/>
        <v>VI</v>
      </c>
      <c r="L353" s="4"/>
      <c r="M353" s="86" t="str">
        <f>VLOOKUP(G353,[1]Hoja1!$A:$O,15,0)</f>
        <v xml:space="preserve">TAPIA EVANGELINA EMILCE  </v>
      </c>
      <c r="N353" s="2" t="str">
        <f t="shared" si="60"/>
        <v>3°1°3ARTVI</v>
      </c>
      <c r="O353" s="2"/>
      <c r="P353" s="2" t="str">
        <f>VLOOKUP(G353,[1]Hoja1!$A:$P,16,0)</f>
        <v xml:space="preserve"> </v>
      </c>
      <c r="Q353" s="2"/>
      <c r="S353">
        <f>VLOOKUP(G353,[1]Hoja1!$A:$O,5,0)</f>
        <v>733584</v>
      </c>
      <c r="U353" s="45" t="s">
        <v>2751</v>
      </c>
      <c r="V353" s="46">
        <f t="shared" si="61"/>
        <v>733584</v>
      </c>
      <c r="W353" s="47" t="s">
        <v>1519</v>
      </c>
      <c r="X353" s="46" t="str">
        <f t="shared" si="62"/>
        <v>2</v>
      </c>
      <c r="Y353" s="47" t="s">
        <v>1518</v>
      </c>
      <c r="Z353" s="46" t="str">
        <f t="shared" si="63"/>
        <v>M</v>
      </c>
      <c r="AA353" s="47" t="s">
        <v>2752</v>
      </c>
      <c r="AB353" s="46" t="str">
        <f t="shared" si="64"/>
        <v>VIERNES</v>
      </c>
      <c r="AC353" s="47" t="s">
        <v>2753</v>
      </c>
      <c r="AD353">
        <f t="shared" si="65"/>
        <v>0</v>
      </c>
      <c r="AE353" s="47" t="s">
        <v>2754</v>
      </c>
      <c r="AH353" t="str">
        <f t="shared" si="66"/>
        <v>INSERT INTO horario_curso_materia (horario_curso_materia.FK_CUR_mat,horario_curso_materia.FK_HOR,horario_curso_materia.DIA,horario_curso_materia.tipo_turno) VALUES (  (SELECT curso_materia.ID_CUR_MAT FROM curso_materia WHERE curso_materia.CUPOF='733584' ) ,
    (SELECT horario.ID_HOR FROM horario WHERE horario.modulo='2 ' and horario.turno='M ' ),'VIERNES ' , '0 ' );</v>
      </c>
    </row>
    <row r="354" spans="1:34" ht="15" hidden="1" customHeight="1" x14ac:dyDescent="0.3">
      <c r="A354" s="1" t="str">
        <f t="shared" si="59"/>
        <v>3°1°</v>
      </c>
      <c r="B354" s="54" t="str">
        <f t="shared" si="67"/>
        <v>3°1°3JUMAÑANA0</v>
      </c>
      <c r="C354" s="62">
        <f>VLOOKUP(G354,[1]Hoja1!$A:$O,3,0)</f>
        <v>0</v>
      </c>
      <c r="D354" s="2" t="str">
        <f t="shared" si="58"/>
        <v>3JUM</v>
      </c>
      <c r="E354" s="4" t="s">
        <v>46</v>
      </c>
      <c r="F354" s="62" t="s">
        <v>27</v>
      </c>
      <c r="G354" s="72" t="s">
        <v>354</v>
      </c>
      <c r="H354" s="8" t="str">
        <f>VLOOKUP(G354,[1]Hoja1!$A:$O,6,0)</f>
        <v>MATEMATICA</v>
      </c>
      <c r="I354" s="4"/>
      <c r="J354" s="4"/>
      <c r="K354" s="80" t="str">
        <f t="shared" si="68"/>
        <v>JU</v>
      </c>
      <c r="L354" s="4"/>
      <c r="M354" s="86" t="str">
        <f>VLOOKUP(G354,[1]Hoja1!$A:$O,15,0)</f>
        <v xml:space="preserve">MARTINEZ, GISELA       </v>
      </c>
      <c r="N354" s="2" t="str">
        <f t="shared" si="60"/>
        <v>3°1°3MATJU</v>
      </c>
      <c r="O354" s="2"/>
      <c r="P354" s="2" t="str">
        <f>VLOOKUP(G354,[1]Hoja1!$A:$P,16,0)</f>
        <v xml:space="preserve"> </v>
      </c>
      <c r="Q354" s="2"/>
      <c r="S354">
        <f>VLOOKUP(G354,[1]Hoja1!$A:$O,5,0)</f>
        <v>1104261</v>
      </c>
      <c r="U354" s="45" t="s">
        <v>2751</v>
      </c>
      <c r="V354" s="46">
        <f t="shared" si="61"/>
        <v>1104261</v>
      </c>
      <c r="W354" s="47" t="s">
        <v>1519</v>
      </c>
      <c r="X354" s="46" t="str">
        <f t="shared" si="62"/>
        <v>3</v>
      </c>
      <c r="Y354" s="47" t="s">
        <v>1518</v>
      </c>
      <c r="Z354" s="46" t="str">
        <f t="shared" si="63"/>
        <v>M</v>
      </c>
      <c r="AA354" s="47" t="s">
        <v>2752</v>
      </c>
      <c r="AB354" s="46" t="str">
        <f t="shared" si="64"/>
        <v>JUEVES</v>
      </c>
      <c r="AC354" s="47" t="s">
        <v>2753</v>
      </c>
      <c r="AD354">
        <f t="shared" si="65"/>
        <v>0</v>
      </c>
      <c r="AE354" s="47" t="s">
        <v>2754</v>
      </c>
      <c r="AH354" t="str">
        <f t="shared" si="66"/>
        <v>INSERT INTO horario_curso_materia (horario_curso_materia.FK_CUR_mat,horario_curso_materia.FK_HOR,horario_curso_materia.DIA,horario_curso_materia.tipo_turno) VALUES (  (SELECT curso_materia.ID_CUR_MAT FROM curso_materia WHERE curso_materia.CUPOF='1104261' ) ,
    (SELECT horario.ID_HOR FROM horario WHERE horario.modulo='3 ' and horario.turno='M ' ),'JUEVES ' , '0 ' );</v>
      </c>
    </row>
    <row r="355" spans="1:34" ht="15" hidden="1" customHeight="1" x14ac:dyDescent="0.3">
      <c r="A355" s="1" t="str">
        <f t="shared" si="59"/>
        <v>3°1°</v>
      </c>
      <c r="B355" s="54" t="str">
        <f t="shared" si="67"/>
        <v>3°1°3JUTARDE312</v>
      </c>
      <c r="C355" s="62">
        <f>VLOOKUP(G355,[1]Hoja1!$A:$O,3,0)</f>
        <v>312</v>
      </c>
      <c r="D355" s="2" t="str">
        <f t="shared" si="58"/>
        <v>3JUT45</v>
      </c>
      <c r="E355" s="62" t="s">
        <v>46</v>
      </c>
      <c r="F355" s="62" t="s">
        <v>10</v>
      </c>
      <c r="G355" s="62" t="s">
        <v>101</v>
      </c>
      <c r="H355" s="8" t="str">
        <f>VLOOKUP(G355,[1]Hoja1!$A:$O,6,0)</f>
        <v>SISTEMAS TECNOLOGICOS</v>
      </c>
      <c r="I355" s="4">
        <v>45</v>
      </c>
      <c r="J355" s="4"/>
      <c r="K355" s="80" t="str">
        <f t="shared" si="68"/>
        <v>JU</v>
      </c>
      <c r="L355" s="4" t="s">
        <v>512</v>
      </c>
      <c r="M355" s="86" t="str">
        <f>VLOOKUP(G355,[1]Hoja1!$A:$O,15,0)</f>
        <v>MIRTA GABRIELA ZEBALLOS</v>
      </c>
      <c r="N355" s="2" t="str">
        <f t="shared" si="60"/>
        <v>3°1°3123TST3JU</v>
      </c>
      <c r="O355" s="2"/>
      <c r="P355" s="2" t="str">
        <f>VLOOKUP(G355,[1]Hoja1!$A:$P,16,0)</f>
        <v xml:space="preserve"> </v>
      </c>
      <c r="Q355" s="2"/>
      <c r="S355">
        <f>VLOOKUP(G355,[1]Hoja1!$A:$O,5,0)</f>
        <v>2682850</v>
      </c>
      <c r="U355" s="45" t="s">
        <v>2751</v>
      </c>
      <c r="V355" s="46">
        <f t="shared" si="61"/>
        <v>2682850</v>
      </c>
      <c r="W355" s="47" t="s">
        <v>1519</v>
      </c>
      <c r="X355" s="46" t="str">
        <f t="shared" si="62"/>
        <v>3</v>
      </c>
      <c r="Y355" s="47" t="s">
        <v>1518</v>
      </c>
      <c r="Z355" s="46" t="str">
        <f t="shared" si="63"/>
        <v>T</v>
      </c>
      <c r="AA355" s="47" t="s">
        <v>2752</v>
      </c>
      <c r="AB355" s="46" t="str">
        <f t="shared" si="64"/>
        <v>JUEVES</v>
      </c>
      <c r="AC355" s="47" t="s">
        <v>2753</v>
      </c>
      <c r="AD355" t="str">
        <f t="shared" si="65"/>
        <v>CONTRATURNO</v>
      </c>
      <c r="AE355" s="47" t="s">
        <v>2754</v>
      </c>
      <c r="AH355" t="str">
        <f t="shared" si="66"/>
        <v>INSERT INTO horario_curso_materia (horario_curso_materia.FK_CUR_mat,horario_curso_materia.FK_HOR,horario_curso_materia.DIA,horario_curso_materia.tipo_turno) VALUES (  (SELECT curso_materia.ID_CUR_MAT FROM curso_materia WHERE curso_materia.CUPOF='2682850' ) ,
    (SELECT horario.ID_HOR FROM horario WHERE horario.modulo='3 ' and horario.turno='T ' ),'JUEVES ' , 'CONTRATURNO ' );</v>
      </c>
    </row>
    <row r="356" spans="1:34" ht="15" hidden="1" customHeight="1" x14ac:dyDescent="0.3">
      <c r="A356" s="1" t="str">
        <f t="shared" si="59"/>
        <v>3°1°</v>
      </c>
      <c r="B356" s="54" t="str">
        <f t="shared" si="67"/>
        <v>3°1°3LUMAÑANA0</v>
      </c>
      <c r="C356" s="62">
        <f>VLOOKUP(G356,[1]Hoja1!$A:$O,3,0)</f>
        <v>0</v>
      </c>
      <c r="D356" s="2" t="str">
        <f t="shared" si="58"/>
        <v>3LUM</v>
      </c>
      <c r="E356" s="62" t="s">
        <v>29</v>
      </c>
      <c r="F356" s="62" t="s">
        <v>27</v>
      </c>
      <c r="G356" s="62" t="s">
        <v>348</v>
      </c>
      <c r="H356" s="8" t="str">
        <f>VLOOKUP(G356,[1]Hoja1!$A:$O,6,0)</f>
        <v>FISICO-QUIMICA</v>
      </c>
      <c r="I356" s="4"/>
      <c r="J356" s="4"/>
      <c r="K356" s="80" t="str">
        <f t="shared" si="68"/>
        <v>LU</v>
      </c>
      <c r="L356" s="4"/>
      <c r="M356" s="86" t="str">
        <f>VLOOKUP(G356,[1]Hoja1!$A:$O,15,0)</f>
        <v xml:space="preserve">ESPINDOLA SERGIO                          </v>
      </c>
      <c r="N356" s="2" t="str">
        <f t="shared" si="60"/>
        <v>3°1°3FI/QUILU</v>
      </c>
      <c r="O356" s="2"/>
      <c r="P356" s="2" t="str">
        <f>VLOOKUP(G356,[1]Hoja1!$A:$P,16,0)</f>
        <v xml:space="preserve"> </v>
      </c>
      <c r="Q356" s="2"/>
      <c r="S356">
        <f>VLOOKUP(G356,[1]Hoja1!$A:$O,5,0)</f>
        <v>1644172</v>
      </c>
      <c r="U356" s="45" t="s">
        <v>2751</v>
      </c>
      <c r="V356" s="46">
        <f t="shared" si="61"/>
        <v>1644172</v>
      </c>
      <c r="W356" s="47" t="s">
        <v>1519</v>
      </c>
      <c r="X356" s="46" t="str">
        <f t="shared" si="62"/>
        <v>3</v>
      </c>
      <c r="Y356" s="47" t="s">
        <v>1518</v>
      </c>
      <c r="Z356" s="46" t="str">
        <f t="shared" si="63"/>
        <v>M</v>
      </c>
      <c r="AA356" s="47" t="s">
        <v>2752</v>
      </c>
      <c r="AB356" s="46" t="str">
        <f t="shared" si="64"/>
        <v>LUNES</v>
      </c>
      <c r="AC356" s="47" t="s">
        <v>2753</v>
      </c>
      <c r="AD356">
        <f t="shared" si="65"/>
        <v>0</v>
      </c>
      <c r="AE356" s="47" t="s">
        <v>2754</v>
      </c>
      <c r="AH356" t="str">
        <f t="shared" si="66"/>
        <v>INSERT INTO horario_curso_materia (horario_curso_materia.FK_CUR_mat,horario_curso_materia.FK_HOR,horario_curso_materia.DIA,horario_curso_materia.tipo_turno) VALUES (  (SELECT curso_materia.ID_CUR_MAT FROM curso_materia WHERE curso_materia.CUPOF='1644172' ) ,
    (SELECT horario.ID_HOR FROM horario WHERE horario.modulo='3 ' and horario.turno='M ' ),'LUNES ' , '0 ' );</v>
      </c>
    </row>
    <row r="357" spans="1:34" ht="15" hidden="1" customHeight="1" x14ac:dyDescent="0.3">
      <c r="A357" s="1" t="str">
        <f t="shared" si="59"/>
        <v>3°1°</v>
      </c>
      <c r="B357" s="54" t="str">
        <f t="shared" si="67"/>
        <v>3°1°3LUTARDE311</v>
      </c>
      <c r="C357" s="62">
        <f>VLOOKUP(G357,[1]Hoja1!$A:$O,3,0)</f>
        <v>311</v>
      </c>
      <c r="D357" s="2" t="str">
        <f t="shared" si="58"/>
        <v>3LUT46</v>
      </c>
      <c r="E357" s="62" t="s">
        <v>29</v>
      </c>
      <c r="F357" s="62" t="s">
        <v>10</v>
      </c>
      <c r="G357" s="62" t="s">
        <v>100</v>
      </c>
      <c r="H357" s="8" t="str">
        <f>VLOOKUP(G357,[1]Hoja1!$A:$O,6,0)</f>
        <v>SISTEMAS TECNOLOGICOS</v>
      </c>
      <c r="I357" s="4">
        <v>46</v>
      </c>
      <c r="J357" s="4"/>
      <c r="K357" s="80" t="str">
        <f t="shared" si="68"/>
        <v>LU</v>
      </c>
      <c r="L357" s="4" t="s">
        <v>512</v>
      </c>
      <c r="M357" s="86" t="str">
        <f>VLOOKUP(G357,[1]Hoja1!$A:$O,15,0)</f>
        <v>ECHAZU FARIAS  ANALIA</v>
      </c>
      <c r="N357" s="2" t="str">
        <f t="shared" si="60"/>
        <v>3°1°3113TST3LU</v>
      </c>
      <c r="O357" s="2"/>
      <c r="P357" s="2" t="str">
        <f>VLOOKUP(G357,[1]Hoja1!$A:$P,16,0)</f>
        <v xml:space="preserve"> </v>
      </c>
      <c r="Q357" s="2"/>
      <c r="S357">
        <f>VLOOKUP(G357,[1]Hoja1!$A:$O,5,0)</f>
        <v>2682844</v>
      </c>
      <c r="U357" s="45" t="s">
        <v>2751</v>
      </c>
      <c r="V357" s="46">
        <f t="shared" si="61"/>
        <v>2682844</v>
      </c>
      <c r="W357" s="47" t="s">
        <v>1519</v>
      </c>
      <c r="X357" s="46" t="str">
        <f t="shared" si="62"/>
        <v>3</v>
      </c>
      <c r="Y357" s="47" t="s">
        <v>1518</v>
      </c>
      <c r="Z357" s="46" t="str">
        <f t="shared" si="63"/>
        <v>T</v>
      </c>
      <c r="AA357" s="47" t="s">
        <v>2752</v>
      </c>
      <c r="AB357" s="46" t="str">
        <f t="shared" si="64"/>
        <v>LUNES</v>
      </c>
      <c r="AC357" s="47" t="s">
        <v>2753</v>
      </c>
      <c r="AD357" t="str">
        <f t="shared" si="65"/>
        <v>CONTRATURNO</v>
      </c>
      <c r="AE357" s="47" t="s">
        <v>2754</v>
      </c>
      <c r="AH357" t="str">
        <f t="shared" si="66"/>
        <v>INSERT INTO horario_curso_materia (horario_curso_materia.FK_CUR_mat,horario_curso_materia.FK_HOR,horario_curso_materia.DIA,horario_curso_materia.tipo_turno) VALUES (  (SELECT curso_materia.ID_CUR_MAT FROM curso_materia WHERE curso_materia.CUPOF='2682844' ) ,
    (SELECT horario.ID_HOR FROM horario WHERE horario.modulo='3 ' and horario.turno='T ' ),'LUNES ' , 'CONTRATURNO ' );</v>
      </c>
    </row>
    <row r="358" spans="1:34" ht="15" hidden="1" customHeight="1" x14ac:dyDescent="0.3">
      <c r="A358" s="1" t="str">
        <f t="shared" si="59"/>
        <v>3°1°</v>
      </c>
      <c r="B358" s="54" t="str">
        <f t="shared" si="67"/>
        <v>3°1°3MAMAÑANA0</v>
      </c>
      <c r="C358" s="62">
        <f>VLOOKUP(G358,[1]Hoja1!$A:$O,3,0)</f>
        <v>0</v>
      </c>
      <c r="D358" s="2" t="str">
        <f t="shared" ref="D358:D421" si="69">CONCATENATE(E358,LEFT(F358,1),I358)</f>
        <v>3MAM</v>
      </c>
      <c r="E358" s="62" t="s">
        <v>13</v>
      </c>
      <c r="F358" s="62" t="s">
        <v>27</v>
      </c>
      <c r="G358" s="62" t="s">
        <v>351</v>
      </c>
      <c r="H358" s="8" t="str">
        <f>VLOOKUP(G358,[1]Hoja1!$A:$O,6,0)</f>
        <v>BIOLOGIA</v>
      </c>
      <c r="I358" s="4"/>
      <c r="J358" s="4"/>
      <c r="K358" s="80" t="str">
        <f t="shared" si="68"/>
        <v>MA</v>
      </c>
      <c r="L358" s="4"/>
      <c r="M358" s="86" t="str">
        <f>VLOOKUP(G358,[1]Hoja1!$A:$O,15,0)</f>
        <v xml:space="preserve">FARIAS CLAUDIA ANTONIA </v>
      </c>
      <c r="N358" s="2" t="str">
        <f t="shared" si="60"/>
        <v>3°1°3BIOMA</v>
      </c>
      <c r="O358" s="2"/>
      <c r="P358" s="2" t="str">
        <f>VLOOKUP(G358,[1]Hoja1!$A:$P,16,0)</f>
        <v xml:space="preserve"> </v>
      </c>
      <c r="Q358" s="2"/>
      <c r="S358">
        <f>VLOOKUP(G358,[1]Hoja1!$A:$O,5,0)</f>
        <v>1644174</v>
      </c>
      <c r="U358" s="45" t="s">
        <v>2751</v>
      </c>
      <c r="V358" s="46">
        <f t="shared" si="61"/>
        <v>1644174</v>
      </c>
      <c r="W358" s="47" t="s">
        <v>1519</v>
      </c>
      <c r="X358" s="46" t="str">
        <f t="shared" si="62"/>
        <v>3</v>
      </c>
      <c r="Y358" s="47" t="s">
        <v>1518</v>
      </c>
      <c r="Z358" s="46" t="str">
        <f t="shared" si="63"/>
        <v>M</v>
      </c>
      <c r="AA358" s="47" t="s">
        <v>2752</v>
      </c>
      <c r="AB358" s="46" t="str">
        <f t="shared" si="64"/>
        <v>MARTES</v>
      </c>
      <c r="AC358" s="47" t="s">
        <v>2753</v>
      </c>
      <c r="AD358">
        <f t="shared" si="65"/>
        <v>0</v>
      </c>
      <c r="AE358" s="47" t="s">
        <v>2754</v>
      </c>
      <c r="AH358" t="str">
        <f t="shared" si="66"/>
        <v>INSERT INTO horario_curso_materia (horario_curso_materia.FK_CUR_mat,horario_curso_materia.FK_HOR,horario_curso_materia.DIA,horario_curso_materia.tipo_turno) VALUES (  (SELECT curso_materia.ID_CUR_MAT FROM curso_materia WHERE curso_materia.CUPOF='1644174' ) ,
    (SELECT horario.ID_HOR FROM horario WHERE horario.modulo='3 ' and horario.turno='M ' ),'MARTES ' , '0 ' );</v>
      </c>
    </row>
    <row r="359" spans="1:34" ht="15" hidden="1" customHeight="1" x14ac:dyDescent="0.3">
      <c r="A359" s="1" t="str">
        <f t="shared" si="59"/>
        <v>3°1°</v>
      </c>
      <c r="B359" s="54" t="str">
        <f t="shared" si="67"/>
        <v>3°1°3MIMAÑANA0</v>
      </c>
      <c r="C359" s="62">
        <f>VLOOKUP(G359,[1]Hoja1!$A:$O,3,0)</f>
        <v>0</v>
      </c>
      <c r="D359" s="2" t="str">
        <f t="shared" si="69"/>
        <v>3MIM</v>
      </c>
      <c r="E359" s="62" t="s">
        <v>50</v>
      </c>
      <c r="F359" s="62" t="s">
        <v>27</v>
      </c>
      <c r="G359" s="62" t="s">
        <v>354</v>
      </c>
      <c r="H359" s="8" t="str">
        <f>VLOOKUP(G359,[1]Hoja1!$A:$O,6,0)</f>
        <v>MATEMATICA</v>
      </c>
      <c r="I359" s="4"/>
      <c r="J359" s="4"/>
      <c r="K359" s="80" t="str">
        <f t="shared" si="68"/>
        <v>MI</v>
      </c>
      <c r="L359" s="4"/>
      <c r="M359" s="86" t="str">
        <f>VLOOKUP(G359,[1]Hoja1!$A:$O,15,0)</f>
        <v xml:space="preserve">MARTINEZ, GISELA       </v>
      </c>
      <c r="N359" s="2" t="str">
        <f t="shared" si="60"/>
        <v>3°1°3MATMI</v>
      </c>
      <c r="O359" s="2"/>
      <c r="P359" s="2" t="str">
        <f>VLOOKUP(G359,[1]Hoja1!$A:$P,16,0)</f>
        <v xml:space="preserve"> </v>
      </c>
      <c r="Q359" s="2"/>
      <c r="S359">
        <f>VLOOKUP(G359,[1]Hoja1!$A:$O,5,0)</f>
        <v>1104261</v>
      </c>
      <c r="U359" s="45" t="s">
        <v>2751</v>
      </c>
      <c r="V359" s="46">
        <f t="shared" si="61"/>
        <v>1104261</v>
      </c>
      <c r="W359" s="47" t="s">
        <v>1519</v>
      </c>
      <c r="X359" s="46" t="str">
        <f t="shared" si="62"/>
        <v>3</v>
      </c>
      <c r="Y359" s="47" t="s">
        <v>1518</v>
      </c>
      <c r="Z359" s="46" t="str">
        <f t="shared" si="63"/>
        <v>M</v>
      </c>
      <c r="AA359" s="47" t="s">
        <v>2752</v>
      </c>
      <c r="AB359" s="46" t="str">
        <f t="shared" si="64"/>
        <v>MIERCOLES</v>
      </c>
      <c r="AC359" s="47" t="s">
        <v>2753</v>
      </c>
      <c r="AD359">
        <f t="shared" si="65"/>
        <v>0</v>
      </c>
      <c r="AE359" s="47" t="s">
        <v>2754</v>
      </c>
      <c r="AH359" t="str">
        <f t="shared" si="66"/>
        <v>INSERT INTO horario_curso_materia (horario_curso_materia.FK_CUR_mat,horario_curso_materia.FK_HOR,horario_curso_materia.DIA,horario_curso_materia.tipo_turno) VALUES (  (SELECT curso_materia.ID_CUR_MAT FROM curso_materia WHERE curso_materia.CUPOF='1104261' ) ,
    (SELECT horario.ID_HOR FROM horario WHERE horario.modulo='3 ' and horario.turno='M ' ),'MIERCOLES ' , '0 ' );</v>
      </c>
    </row>
    <row r="360" spans="1:34" ht="15" hidden="1" customHeight="1" x14ac:dyDescent="0.3">
      <c r="A360" s="1" t="str">
        <f t="shared" si="59"/>
        <v>3°1°</v>
      </c>
      <c r="B360" s="54" t="str">
        <f t="shared" si="67"/>
        <v>3°1°3MITARDE311</v>
      </c>
      <c r="C360" s="62">
        <f>VLOOKUP(G360,[1]Hoja1!$A:$O,3,0)</f>
        <v>311</v>
      </c>
      <c r="D360" s="2" t="str">
        <f t="shared" si="69"/>
        <v>3MITAULA 4</v>
      </c>
      <c r="E360" s="62" t="s">
        <v>50</v>
      </c>
      <c r="F360" s="62" t="s">
        <v>10</v>
      </c>
      <c r="G360" s="62" t="s">
        <v>105</v>
      </c>
      <c r="H360" s="8" t="str">
        <f>VLOOKUP(G360,[1]Hoja1!$A:$O,6,0)</f>
        <v>LENGUAJES TECNOLOGICOS</v>
      </c>
      <c r="I360" s="4" t="s">
        <v>1485</v>
      </c>
      <c r="J360" s="4"/>
      <c r="K360" s="80" t="str">
        <f t="shared" si="68"/>
        <v>MI</v>
      </c>
      <c r="L360" s="4" t="s">
        <v>512</v>
      </c>
      <c r="M360" s="86" t="str">
        <f>VLOOKUP(G360,[1]Hoja1!$A:$O,15,0)</f>
        <v xml:space="preserve"> OSORIO FRANCO PATRICIO</v>
      </c>
      <c r="N360" s="2" t="str">
        <f t="shared" si="60"/>
        <v>3°1°3113TLT3MI</v>
      </c>
      <c r="O360" s="2"/>
      <c r="P360" s="2" t="str">
        <f>VLOOKUP(G360,[1]Hoja1!$A:$P,16,0)</f>
        <v xml:space="preserve"> </v>
      </c>
      <c r="Q360" s="2"/>
      <c r="S360">
        <f>VLOOKUP(G360,[1]Hoja1!$A:$O,5,0)</f>
        <v>2682842</v>
      </c>
      <c r="U360" s="45" t="s">
        <v>2751</v>
      </c>
      <c r="V360" s="46">
        <f t="shared" si="61"/>
        <v>2682842</v>
      </c>
      <c r="W360" s="47" t="s">
        <v>1519</v>
      </c>
      <c r="X360" s="46" t="str">
        <f t="shared" si="62"/>
        <v>3</v>
      </c>
      <c r="Y360" s="47" t="s">
        <v>1518</v>
      </c>
      <c r="Z360" s="46" t="str">
        <f t="shared" si="63"/>
        <v>T</v>
      </c>
      <c r="AA360" s="47" t="s">
        <v>2752</v>
      </c>
      <c r="AB360" s="46" t="str">
        <f t="shared" si="64"/>
        <v>MIERCOLES</v>
      </c>
      <c r="AC360" s="47" t="s">
        <v>2753</v>
      </c>
      <c r="AD360" t="str">
        <f t="shared" si="65"/>
        <v>CONTRATURNO</v>
      </c>
      <c r="AE360" s="47" t="s">
        <v>2754</v>
      </c>
      <c r="AH360" t="str">
        <f t="shared" si="66"/>
        <v>INSERT INTO horario_curso_materia (horario_curso_materia.FK_CUR_mat,horario_curso_materia.FK_HOR,horario_curso_materia.DIA,horario_curso_materia.tipo_turno) VALUES (  (SELECT curso_materia.ID_CUR_MAT FROM curso_materia WHERE curso_materia.CUPOF='2682842' ) ,
    (SELECT horario.ID_HOR FROM horario WHERE horario.modulo='3 ' and horario.turno='T ' ),'MIERCOLES ' , 'CONTRATURNO ' );</v>
      </c>
    </row>
    <row r="361" spans="1:34" ht="15" hidden="1" customHeight="1" x14ac:dyDescent="0.3">
      <c r="A361" s="1" t="str">
        <f t="shared" si="59"/>
        <v>3°1°</v>
      </c>
      <c r="B361" s="54" t="str">
        <f t="shared" si="67"/>
        <v>3°1°3VIMAÑANA0</v>
      </c>
      <c r="C361" s="62">
        <f>VLOOKUP(G361,[1]Hoja1!$A:$O,3,0)</f>
        <v>0</v>
      </c>
      <c r="D361" s="2" t="str">
        <f t="shared" si="69"/>
        <v>3VIM</v>
      </c>
      <c r="E361" s="62" t="s">
        <v>35</v>
      </c>
      <c r="F361" s="62" t="s">
        <v>27</v>
      </c>
      <c r="G361" s="62" t="s">
        <v>355</v>
      </c>
      <c r="H361" s="8" t="str">
        <f>VLOOKUP(G361,[1]Hoja1!$A:$O,6,0)</f>
        <v>PRACTICA DEL LENGUAJE</v>
      </c>
      <c r="I361" s="4"/>
      <c r="J361" s="4"/>
      <c r="K361" s="80" t="str">
        <f t="shared" si="68"/>
        <v>VI</v>
      </c>
      <c r="L361" s="4"/>
      <c r="M361" s="86" t="str">
        <f>VLOOKUP(G361,[1]Hoja1!$A:$O,15,0)</f>
        <v>ROSSI, MARIA FERNANDA  27221013714</v>
      </c>
      <c r="N361" s="2" t="str">
        <f t="shared" si="60"/>
        <v>3°1°3PLGVI</v>
      </c>
      <c r="O361" s="2"/>
      <c r="P361" s="2" t="str">
        <f>VLOOKUP(G361,[1]Hoja1!$A:$P,16,0)</f>
        <v xml:space="preserve"> </v>
      </c>
      <c r="Q361" s="2"/>
      <c r="S361">
        <f>VLOOKUP(G361,[1]Hoja1!$A:$O,5,0)</f>
        <v>733471</v>
      </c>
      <c r="U361" s="45" t="s">
        <v>2751</v>
      </c>
      <c r="V361" s="46">
        <f t="shared" si="61"/>
        <v>733471</v>
      </c>
      <c r="W361" s="47" t="s">
        <v>1519</v>
      </c>
      <c r="X361" s="46" t="str">
        <f t="shared" si="62"/>
        <v>3</v>
      </c>
      <c r="Y361" s="47" t="s">
        <v>1518</v>
      </c>
      <c r="Z361" s="46" t="str">
        <f t="shared" si="63"/>
        <v>M</v>
      </c>
      <c r="AA361" s="47" t="s">
        <v>2752</v>
      </c>
      <c r="AB361" s="46" t="str">
        <f t="shared" si="64"/>
        <v>VIERNES</v>
      </c>
      <c r="AC361" s="47" t="s">
        <v>2753</v>
      </c>
      <c r="AD361">
        <f t="shared" si="65"/>
        <v>0</v>
      </c>
      <c r="AE361" s="47" t="s">
        <v>2754</v>
      </c>
      <c r="AH361" t="str">
        <f t="shared" si="66"/>
        <v>INSERT INTO horario_curso_materia (horario_curso_materia.FK_CUR_mat,horario_curso_materia.FK_HOR,horario_curso_materia.DIA,horario_curso_materia.tipo_turno) VALUES (  (SELECT curso_materia.ID_CUR_MAT FROM curso_materia WHERE curso_materia.CUPOF='733471' ) ,
    (SELECT horario.ID_HOR FROM horario WHERE horario.modulo='3 ' and horario.turno='M ' ),'VIERNES ' , '0 ' );</v>
      </c>
    </row>
    <row r="362" spans="1:34" ht="15" hidden="1" customHeight="1" x14ac:dyDescent="0.3">
      <c r="A362" s="1" t="str">
        <f t="shared" si="59"/>
        <v>3°1°</v>
      </c>
      <c r="B362" s="54" t="str">
        <f t="shared" si="67"/>
        <v>3°1°4JUMAÑANA0</v>
      </c>
      <c r="C362" s="62">
        <f>VLOOKUP(G362,[1]Hoja1!$A:$O,3,0)</f>
        <v>0</v>
      </c>
      <c r="D362" s="2" t="str">
        <f t="shared" si="69"/>
        <v>4JUM</v>
      </c>
      <c r="E362" s="4" t="s">
        <v>48</v>
      </c>
      <c r="F362" s="62" t="s">
        <v>27</v>
      </c>
      <c r="G362" s="72" t="s">
        <v>354</v>
      </c>
      <c r="H362" s="8" t="str">
        <f>VLOOKUP(G362,[1]Hoja1!$A:$O,6,0)</f>
        <v>MATEMATICA</v>
      </c>
      <c r="I362" s="4"/>
      <c r="J362" s="4"/>
      <c r="K362" s="80" t="str">
        <f t="shared" si="68"/>
        <v>JU</v>
      </c>
      <c r="L362" s="4"/>
      <c r="M362" s="86" t="str">
        <f>VLOOKUP(G362,[1]Hoja1!$A:$O,15,0)</f>
        <v xml:space="preserve">MARTINEZ, GISELA       </v>
      </c>
      <c r="N362" s="2" t="str">
        <f t="shared" si="60"/>
        <v>3°1°3MATJU</v>
      </c>
      <c r="O362" s="2"/>
      <c r="P362" s="2" t="str">
        <f>VLOOKUP(G362,[1]Hoja1!$A:$P,16,0)</f>
        <v xml:space="preserve"> </v>
      </c>
      <c r="Q362" s="2"/>
      <c r="S362">
        <f>VLOOKUP(G362,[1]Hoja1!$A:$O,5,0)</f>
        <v>1104261</v>
      </c>
      <c r="U362" s="45" t="s">
        <v>2751</v>
      </c>
      <c r="V362" s="46">
        <f t="shared" si="61"/>
        <v>1104261</v>
      </c>
      <c r="W362" s="47" t="s">
        <v>1519</v>
      </c>
      <c r="X362" s="46" t="str">
        <f t="shared" si="62"/>
        <v>4</v>
      </c>
      <c r="Y362" s="47" t="s">
        <v>1518</v>
      </c>
      <c r="Z362" s="46" t="str">
        <f t="shared" si="63"/>
        <v>M</v>
      </c>
      <c r="AA362" s="47" t="s">
        <v>2752</v>
      </c>
      <c r="AB362" s="46" t="str">
        <f t="shared" si="64"/>
        <v>JUEVES</v>
      </c>
      <c r="AC362" s="47" t="s">
        <v>2753</v>
      </c>
      <c r="AD362">
        <f t="shared" si="65"/>
        <v>0</v>
      </c>
      <c r="AE362" s="47" t="s">
        <v>2754</v>
      </c>
      <c r="AH362" t="str">
        <f t="shared" si="66"/>
        <v>INSERT INTO horario_curso_materia (horario_curso_materia.FK_CUR_mat,horario_curso_materia.FK_HOR,horario_curso_materia.DIA,horario_curso_materia.tipo_turno) VALUES (  (SELECT curso_materia.ID_CUR_MAT FROM curso_materia WHERE curso_materia.CUPOF='1104261' ) ,
    (SELECT horario.ID_HOR FROM horario WHERE horario.modulo='4 ' and horario.turno='M ' ),'JUEVES ' , '0 ' );</v>
      </c>
    </row>
    <row r="363" spans="1:34" ht="15" hidden="1" customHeight="1" x14ac:dyDescent="0.3">
      <c r="A363" s="1" t="str">
        <f t="shared" si="59"/>
        <v>3°1°</v>
      </c>
      <c r="B363" s="54" t="str">
        <f t="shared" si="67"/>
        <v>3°1°4JUTARDE312</v>
      </c>
      <c r="C363" s="62">
        <f>VLOOKUP(G363,[1]Hoja1!$A:$O,3,0)</f>
        <v>312</v>
      </c>
      <c r="D363" s="2" t="str">
        <f t="shared" si="69"/>
        <v>4JUT45</v>
      </c>
      <c r="E363" s="62" t="s">
        <v>48</v>
      </c>
      <c r="F363" s="62" t="s">
        <v>10</v>
      </c>
      <c r="G363" s="62" t="s">
        <v>101</v>
      </c>
      <c r="H363" s="8" t="str">
        <f>VLOOKUP(G363,[1]Hoja1!$A:$O,6,0)</f>
        <v>SISTEMAS TECNOLOGICOS</v>
      </c>
      <c r="I363" s="4">
        <v>45</v>
      </c>
      <c r="J363" s="4"/>
      <c r="K363" s="80" t="str">
        <f t="shared" si="68"/>
        <v>JU</v>
      </c>
      <c r="L363" s="4" t="s">
        <v>512</v>
      </c>
      <c r="M363" s="86" t="str">
        <f>VLOOKUP(G363,[1]Hoja1!$A:$O,15,0)</f>
        <v>MIRTA GABRIELA ZEBALLOS</v>
      </c>
      <c r="N363" s="2" t="str">
        <f t="shared" si="60"/>
        <v>3°1°3123TST3JU</v>
      </c>
      <c r="O363" s="2"/>
      <c r="P363" s="2" t="str">
        <f>VLOOKUP(G363,[1]Hoja1!$A:$P,16,0)</f>
        <v xml:space="preserve"> </v>
      </c>
      <c r="Q363" s="2"/>
      <c r="S363">
        <f>VLOOKUP(G363,[1]Hoja1!$A:$O,5,0)</f>
        <v>2682850</v>
      </c>
      <c r="U363" s="45" t="s">
        <v>2751</v>
      </c>
      <c r="V363" s="46">
        <f t="shared" si="61"/>
        <v>2682850</v>
      </c>
      <c r="W363" s="47" t="s">
        <v>1519</v>
      </c>
      <c r="X363" s="46" t="str">
        <f t="shared" si="62"/>
        <v>4</v>
      </c>
      <c r="Y363" s="47" t="s">
        <v>1518</v>
      </c>
      <c r="Z363" s="46" t="str">
        <f t="shared" si="63"/>
        <v>T</v>
      </c>
      <c r="AA363" s="47" t="s">
        <v>2752</v>
      </c>
      <c r="AB363" s="46" t="str">
        <f t="shared" si="64"/>
        <v>JUEVES</v>
      </c>
      <c r="AC363" s="47" t="s">
        <v>2753</v>
      </c>
      <c r="AD363" t="str">
        <f t="shared" si="65"/>
        <v>CONTRATURNO</v>
      </c>
      <c r="AE363" s="47" t="s">
        <v>2754</v>
      </c>
      <c r="AH363" t="str">
        <f t="shared" si="66"/>
        <v>INSERT INTO horario_curso_materia (horario_curso_materia.FK_CUR_mat,horario_curso_materia.FK_HOR,horario_curso_materia.DIA,horario_curso_materia.tipo_turno) VALUES (  (SELECT curso_materia.ID_CUR_MAT FROM curso_materia WHERE curso_materia.CUPOF='2682850' ) ,
    (SELECT horario.ID_HOR FROM horario WHERE horario.modulo='4 ' and horario.turno='T ' ),'JUEVES ' , 'CONTRATURNO ' );</v>
      </c>
    </row>
    <row r="364" spans="1:34" ht="15" hidden="1" customHeight="1" x14ac:dyDescent="0.3">
      <c r="A364" s="1" t="str">
        <f t="shared" si="59"/>
        <v>3°1°</v>
      </c>
      <c r="B364" s="54" t="str">
        <f t="shared" si="67"/>
        <v>3°1°4LUMAÑANA0</v>
      </c>
      <c r="C364" s="62">
        <f>VLOOKUP(G364,[1]Hoja1!$A:$O,3,0)</f>
        <v>0</v>
      </c>
      <c r="D364" s="2" t="str">
        <f t="shared" si="69"/>
        <v>4LUM</v>
      </c>
      <c r="E364" s="62" t="s">
        <v>31</v>
      </c>
      <c r="F364" s="62" t="s">
        <v>27</v>
      </c>
      <c r="G364" s="62" t="s">
        <v>348</v>
      </c>
      <c r="H364" s="8" t="str">
        <f>VLOOKUP(G364,[1]Hoja1!$A:$O,6,0)</f>
        <v>FISICO-QUIMICA</v>
      </c>
      <c r="I364" s="4"/>
      <c r="J364" s="4"/>
      <c r="K364" s="80" t="str">
        <f t="shared" si="68"/>
        <v>LU</v>
      </c>
      <c r="L364" s="4"/>
      <c r="M364" s="86" t="str">
        <f>VLOOKUP(G364,[1]Hoja1!$A:$O,15,0)</f>
        <v xml:space="preserve">ESPINDOLA SERGIO                          </v>
      </c>
      <c r="N364" s="2" t="str">
        <f t="shared" si="60"/>
        <v>3°1°3FI/QUILU</v>
      </c>
      <c r="O364" s="2"/>
      <c r="P364" s="2" t="str">
        <f>VLOOKUP(G364,[1]Hoja1!$A:$P,16,0)</f>
        <v xml:space="preserve"> </v>
      </c>
      <c r="Q364" s="2"/>
      <c r="S364">
        <f>VLOOKUP(G364,[1]Hoja1!$A:$O,5,0)</f>
        <v>1644172</v>
      </c>
      <c r="U364" s="45" t="s">
        <v>2751</v>
      </c>
      <c r="V364" s="46">
        <f t="shared" si="61"/>
        <v>1644172</v>
      </c>
      <c r="W364" s="47" t="s">
        <v>1519</v>
      </c>
      <c r="X364" s="46" t="str">
        <f t="shared" si="62"/>
        <v>4</v>
      </c>
      <c r="Y364" s="47" t="s">
        <v>1518</v>
      </c>
      <c r="Z364" s="46" t="str">
        <f t="shared" si="63"/>
        <v>M</v>
      </c>
      <c r="AA364" s="47" t="s">
        <v>2752</v>
      </c>
      <c r="AB364" s="46" t="str">
        <f t="shared" si="64"/>
        <v>LUNES</v>
      </c>
      <c r="AC364" s="47" t="s">
        <v>2753</v>
      </c>
      <c r="AD364">
        <f t="shared" si="65"/>
        <v>0</v>
      </c>
      <c r="AE364" s="47" t="s">
        <v>2754</v>
      </c>
      <c r="AH364" t="str">
        <f t="shared" si="66"/>
        <v>INSERT INTO horario_curso_materia (horario_curso_materia.FK_CUR_mat,horario_curso_materia.FK_HOR,horario_curso_materia.DIA,horario_curso_materia.tipo_turno) VALUES (  (SELECT curso_materia.ID_CUR_MAT FROM curso_materia WHERE curso_materia.CUPOF='1644172' ) ,
    (SELECT horario.ID_HOR FROM horario WHERE horario.modulo='4 ' and horario.turno='M ' ),'LUNES ' , '0 ' );</v>
      </c>
    </row>
    <row r="365" spans="1:34" ht="15" hidden="1" customHeight="1" x14ac:dyDescent="0.3">
      <c r="A365" s="1" t="str">
        <f t="shared" si="59"/>
        <v>3°1°</v>
      </c>
      <c r="B365" s="54" t="str">
        <f t="shared" si="67"/>
        <v>3°1°4LUTARDE311</v>
      </c>
      <c r="C365" s="62">
        <f>VLOOKUP(G365,[1]Hoja1!$A:$O,3,0)</f>
        <v>311</v>
      </c>
      <c r="D365" s="2" t="str">
        <f t="shared" si="69"/>
        <v>4LUT46</v>
      </c>
      <c r="E365" s="62" t="s">
        <v>31</v>
      </c>
      <c r="F365" s="62" t="s">
        <v>10</v>
      </c>
      <c r="G365" s="62" t="s">
        <v>100</v>
      </c>
      <c r="H365" s="8" t="str">
        <f>VLOOKUP(G365,[1]Hoja1!$A:$O,6,0)</f>
        <v>SISTEMAS TECNOLOGICOS</v>
      </c>
      <c r="I365" s="4">
        <v>46</v>
      </c>
      <c r="J365" s="4"/>
      <c r="K365" s="80" t="str">
        <f t="shared" si="68"/>
        <v>LU</v>
      </c>
      <c r="L365" s="4" t="s">
        <v>512</v>
      </c>
      <c r="M365" s="86" t="str">
        <f>VLOOKUP(G365,[1]Hoja1!$A:$O,15,0)</f>
        <v>ECHAZU FARIAS  ANALIA</v>
      </c>
      <c r="N365" s="2" t="str">
        <f t="shared" si="60"/>
        <v>3°1°3113TST3LU</v>
      </c>
      <c r="O365" s="2"/>
      <c r="P365" s="2" t="str">
        <f>VLOOKUP(G365,[1]Hoja1!$A:$P,16,0)</f>
        <v xml:space="preserve"> </v>
      </c>
      <c r="Q365" s="2"/>
      <c r="S365">
        <f>VLOOKUP(G365,[1]Hoja1!$A:$O,5,0)</f>
        <v>2682844</v>
      </c>
      <c r="U365" s="45" t="s">
        <v>2751</v>
      </c>
      <c r="V365" s="46">
        <f t="shared" si="61"/>
        <v>2682844</v>
      </c>
      <c r="W365" s="47" t="s">
        <v>1519</v>
      </c>
      <c r="X365" s="46" t="str">
        <f t="shared" si="62"/>
        <v>4</v>
      </c>
      <c r="Y365" s="47" t="s">
        <v>1518</v>
      </c>
      <c r="Z365" s="46" t="str">
        <f t="shared" si="63"/>
        <v>T</v>
      </c>
      <c r="AA365" s="47" t="s">
        <v>2752</v>
      </c>
      <c r="AB365" s="46" t="str">
        <f t="shared" si="64"/>
        <v>LUNES</v>
      </c>
      <c r="AC365" s="47" t="s">
        <v>2753</v>
      </c>
      <c r="AD365" t="str">
        <f t="shared" si="65"/>
        <v>CONTRATURNO</v>
      </c>
      <c r="AE365" s="47" t="s">
        <v>2754</v>
      </c>
      <c r="AH365" t="str">
        <f t="shared" si="66"/>
        <v>INSERT INTO horario_curso_materia (horario_curso_materia.FK_CUR_mat,horario_curso_materia.FK_HOR,horario_curso_materia.DIA,horario_curso_materia.tipo_turno) VALUES (  (SELECT curso_materia.ID_CUR_MAT FROM curso_materia WHERE curso_materia.CUPOF='2682844' ) ,
    (SELECT horario.ID_HOR FROM horario WHERE horario.modulo='4 ' and horario.turno='T ' ),'LUNES ' , 'CONTRATURNO ' );</v>
      </c>
    </row>
    <row r="366" spans="1:34" ht="15" hidden="1" customHeight="1" x14ac:dyDescent="0.3">
      <c r="A366" s="1" t="str">
        <f t="shared" si="59"/>
        <v>3°1°</v>
      </c>
      <c r="B366" s="54" t="str">
        <f t="shared" si="67"/>
        <v>3°1°4MAMAÑANA0</v>
      </c>
      <c r="C366" s="62">
        <f>VLOOKUP(G366,[1]Hoja1!$A:$O,3,0)</f>
        <v>0</v>
      </c>
      <c r="D366" s="2" t="str">
        <f t="shared" si="69"/>
        <v>4MAM</v>
      </c>
      <c r="E366" s="62" t="s">
        <v>16</v>
      </c>
      <c r="F366" s="62" t="s">
        <v>27</v>
      </c>
      <c r="G366" s="62" t="s">
        <v>351</v>
      </c>
      <c r="H366" s="8" t="str">
        <f>VLOOKUP(G366,[1]Hoja1!$A:$O,6,0)</f>
        <v>BIOLOGIA</v>
      </c>
      <c r="I366" s="4"/>
      <c r="J366" s="4"/>
      <c r="K366" s="80" t="str">
        <f t="shared" si="68"/>
        <v>MA</v>
      </c>
      <c r="L366" s="4"/>
      <c r="M366" s="86" t="str">
        <f>VLOOKUP(G366,[1]Hoja1!$A:$O,15,0)</f>
        <v xml:space="preserve">FARIAS CLAUDIA ANTONIA </v>
      </c>
      <c r="N366" s="2" t="str">
        <f t="shared" si="60"/>
        <v>3°1°3BIOMA</v>
      </c>
      <c r="O366" s="2"/>
      <c r="P366" s="2" t="str">
        <f>VLOOKUP(G366,[1]Hoja1!$A:$P,16,0)</f>
        <v xml:space="preserve"> </v>
      </c>
      <c r="Q366" s="2"/>
      <c r="S366">
        <f>VLOOKUP(G366,[1]Hoja1!$A:$O,5,0)</f>
        <v>1644174</v>
      </c>
      <c r="U366" s="45" t="s">
        <v>2751</v>
      </c>
      <c r="V366" s="46">
        <f t="shared" si="61"/>
        <v>1644174</v>
      </c>
      <c r="W366" s="47" t="s">
        <v>1519</v>
      </c>
      <c r="X366" s="46" t="str">
        <f t="shared" si="62"/>
        <v>4</v>
      </c>
      <c r="Y366" s="47" t="s">
        <v>1518</v>
      </c>
      <c r="Z366" s="46" t="str">
        <f t="shared" si="63"/>
        <v>M</v>
      </c>
      <c r="AA366" s="47" t="s">
        <v>2752</v>
      </c>
      <c r="AB366" s="46" t="str">
        <f t="shared" si="64"/>
        <v>MARTES</v>
      </c>
      <c r="AC366" s="47" t="s">
        <v>2753</v>
      </c>
      <c r="AD366">
        <f t="shared" si="65"/>
        <v>0</v>
      </c>
      <c r="AE366" s="47" t="s">
        <v>2754</v>
      </c>
      <c r="AH366" t="str">
        <f t="shared" si="66"/>
        <v>INSERT INTO horario_curso_materia (horario_curso_materia.FK_CUR_mat,horario_curso_materia.FK_HOR,horario_curso_materia.DIA,horario_curso_materia.tipo_turno) VALUES (  (SELECT curso_materia.ID_CUR_MAT FROM curso_materia WHERE curso_materia.CUPOF='1644174' ) ,
    (SELECT horario.ID_HOR FROM horario WHERE horario.modulo='4 ' and horario.turno='M ' ),'MARTES ' , '0 ' );</v>
      </c>
    </row>
    <row r="367" spans="1:34" ht="15" hidden="1" customHeight="1" x14ac:dyDescent="0.3">
      <c r="A367" s="1" t="str">
        <f t="shared" si="59"/>
        <v>3°1°</v>
      </c>
      <c r="B367" s="54" t="str">
        <f t="shared" si="67"/>
        <v>3°1°4MIMAÑANA0</v>
      </c>
      <c r="C367" s="62">
        <f>VLOOKUP(G367,[1]Hoja1!$A:$O,3,0)</f>
        <v>0</v>
      </c>
      <c r="D367" s="2" t="str">
        <f t="shared" si="69"/>
        <v>4MIM</v>
      </c>
      <c r="E367" s="62" t="s">
        <v>52</v>
      </c>
      <c r="F367" s="62" t="s">
        <v>27</v>
      </c>
      <c r="G367" s="62" t="s">
        <v>354</v>
      </c>
      <c r="H367" s="8" t="str">
        <f>VLOOKUP(G367,[1]Hoja1!$A:$O,6,0)</f>
        <v>MATEMATICA</v>
      </c>
      <c r="I367" s="4"/>
      <c r="J367" s="4"/>
      <c r="K367" s="80" t="str">
        <f t="shared" si="68"/>
        <v>MI</v>
      </c>
      <c r="L367" s="4"/>
      <c r="M367" s="86" t="str">
        <f>VLOOKUP(G367,[1]Hoja1!$A:$O,15,0)</f>
        <v xml:space="preserve">MARTINEZ, GISELA       </v>
      </c>
      <c r="N367" s="2" t="str">
        <f t="shared" si="60"/>
        <v>3°1°3MATMI</v>
      </c>
      <c r="O367" s="2"/>
      <c r="P367" s="2" t="str">
        <f>VLOOKUP(G367,[1]Hoja1!$A:$P,16,0)</f>
        <v xml:space="preserve"> </v>
      </c>
      <c r="Q367" s="2"/>
      <c r="S367">
        <f>VLOOKUP(G367,[1]Hoja1!$A:$O,5,0)</f>
        <v>1104261</v>
      </c>
      <c r="U367" s="45" t="s">
        <v>2751</v>
      </c>
      <c r="V367" s="46">
        <f t="shared" si="61"/>
        <v>1104261</v>
      </c>
      <c r="W367" s="47" t="s">
        <v>1519</v>
      </c>
      <c r="X367" s="46" t="str">
        <f t="shared" si="62"/>
        <v>4</v>
      </c>
      <c r="Y367" s="47" t="s">
        <v>1518</v>
      </c>
      <c r="Z367" s="46" t="str">
        <f t="shared" si="63"/>
        <v>M</v>
      </c>
      <c r="AA367" s="47" t="s">
        <v>2752</v>
      </c>
      <c r="AB367" s="46" t="str">
        <f t="shared" si="64"/>
        <v>MIERCOLES</v>
      </c>
      <c r="AC367" s="47" t="s">
        <v>2753</v>
      </c>
      <c r="AD367">
        <f t="shared" si="65"/>
        <v>0</v>
      </c>
      <c r="AE367" s="47" t="s">
        <v>2754</v>
      </c>
      <c r="AH367" t="str">
        <f t="shared" si="66"/>
        <v>INSERT INTO horario_curso_materia (horario_curso_materia.FK_CUR_mat,horario_curso_materia.FK_HOR,horario_curso_materia.DIA,horario_curso_materia.tipo_turno) VALUES (  (SELECT curso_materia.ID_CUR_MAT FROM curso_materia WHERE curso_materia.CUPOF='1104261' ) ,
    (SELECT horario.ID_HOR FROM horario WHERE horario.modulo='4 ' and horario.turno='M ' ),'MIERCOLES ' , '0 ' );</v>
      </c>
    </row>
    <row r="368" spans="1:34" ht="15" hidden="1" customHeight="1" x14ac:dyDescent="0.3">
      <c r="A368" s="1" t="str">
        <f t="shared" si="59"/>
        <v>3°1°</v>
      </c>
      <c r="B368" s="54" t="str">
        <f t="shared" si="67"/>
        <v>3°1°4MITARDE311</v>
      </c>
      <c r="C368" s="62">
        <f>VLOOKUP(G368,[1]Hoja1!$A:$O,3,0)</f>
        <v>311</v>
      </c>
      <c r="D368" s="2" t="str">
        <f t="shared" si="69"/>
        <v>4MITAULA 4</v>
      </c>
      <c r="E368" s="62" t="s">
        <v>52</v>
      </c>
      <c r="F368" s="62" t="s">
        <v>10</v>
      </c>
      <c r="G368" s="62" t="s">
        <v>105</v>
      </c>
      <c r="H368" s="8" t="str">
        <f>VLOOKUP(G368,[1]Hoja1!$A:$O,6,0)</f>
        <v>LENGUAJES TECNOLOGICOS</v>
      </c>
      <c r="I368" s="4" t="s">
        <v>1485</v>
      </c>
      <c r="J368" s="4"/>
      <c r="K368" s="80" t="str">
        <f t="shared" si="68"/>
        <v>MI</v>
      </c>
      <c r="L368" s="4" t="s">
        <v>512</v>
      </c>
      <c r="M368" s="86" t="str">
        <f>VLOOKUP(G368,[1]Hoja1!$A:$O,15,0)</f>
        <v xml:space="preserve"> OSORIO FRANCO PATRICIO</v>
      </c>
      <c r="N368" s="2" t="str">
        <f t="shared" si="60"/>
        <v>3°1°3113TLT3MI</v>
      </c>
      <c r="O368" s="2"/>
      <c r="P368" s="2" t="str">
        <f>VLOOKUP(G368,[1]Hoja1!$A:$P,16,0)</f>
        <v xml:space="preserve"> </v>
      </c>
      <c r="Q368" s="2"/>
      <c r="S368">
        <f>VLOOKUP(G368,[1]Hoja1!$A:$O,5,0)</f>
        <v>2682842</v>
      </c>
      <c r="U368" s="45" t="s">
        <v>2751</v>
      </c>
      <c r="V368" s="46">
        <f t="shared" si="61"/>
        <v>2682842</v>
      </c>
      <c r="W368" s="47" t="s">
        <v>1519</v>
      </c>
      <c r="X368" s="46" t="str">
        <f t="shared" si="62"/>
        <v>4</v>
      </c>
      <c r="Y368" s="47" t="s">
        <v>1518</v>
      </c>
      <c r="Z368" s="46" t="str">
        <f t="shared" si="63"/>
        <v>T</v>
      </c>
      <c r="AA368" s="47" t="s">
        <v>2752</v>
      </c>
      <c r="AB368" s="46" t="str">
        <f t="shared" si="64"/>
        <v>MIERCOLES</v>
      </c>
      <c r="AC368" s="47" t="s">
        <v>2753</v>
      </c>
      <c r="AD368" t="str">
        <f t="shared" si="65"/>
        <v>CONTRATURNO</v>
      </c>
      <c r="AE368" s="47" t="s">
        <v>2754</v>
      </c>
      <c r="AH368" t="str">
        <f t="shared" si="66"/>
        <v>INSERT INTO horario_curso_materia (horario_curso_materia.FK_CUR_mat,horario_curso_materia.FK_HOR,horario_curso_materia.DIA,horario_curso_materia.tipo_turno) VALUES (  (SELECT curso_materia.ID_CUR_MAT FROM curso_materia WHERE curso_materia.CUPOF='2682842' ) ,
    (SELECT horario.ID_HOR FROM horario WHERE horario.modulo='4 ' and horario.turno='T ' ),'MIERCOLES ' , 'CONTRATURNO ' );</v>
      </c>
    </row>
    <row r="369" spans="1:34" ht="15" hidden="1" customHeight="1" x14ac:dyDescent="0.3">
      <c r="A369" s="1" t="str">
        <f t="shared" si="59"/>
        <v>3°1°</v>
      </c>
      <c r="B369" s="54" t="str">
        <f t="shared" si="67"/>
        <v>3°1°4VIMAÑANA0</v>
      </c>
      <c r="C369" s="62">
        <f>VLOOKUP(G369,[1]Hoja1!$A:$O,3,0)</f>
        <v>0</v>
      </c>
      <c r="D369" s="2" t="str">
        <f t="shared" si="69"/>
        <v>4VIM</v>
      </c>
      <c r="E369" s="62" t="s">
        <v>36</v>
      </c>
      <c r="F369" s="62" t="s">
        <v>27</v>
      </c>
      <c r="G369" s="62" t="s">
        <v>355</v>
      </c>
      <c r="H369" s="8" t="str">
        <f>VLOOKUP(G369,[1]Hoja1!$A:$O,6,0)</f>
        <v>PRACTICA DEL LENGUAJE</v>
      </c>
      <c r="I369" s="4"/>
      <c r="J369" s="4"/>
      <c r="K369" s="80" t="str">
        <f t="shared" si="68"/>
        <v>VI</v>
      </c>
      <c r="L369" s="4"/>
      <c r="M369" s="86" t="str">
        <f>VLOOKUP(G369,[1]Hoja1!$A:$O,15,0)</f>
        <v>ROSSI, MARIA FERNANDA  27221013714</v>
      </c>
      <c r="N369" s="2" t="str">
        <f t="shared" si="60"/>
        <v>3°1°3PLGVI</v>
      </c>
      <c r="O369" s="2"/>
      <c r="P369" s="2" t="str">
        <f>VLOOKUP(G369,[1]Hoja1!$A:$P,16,0)</f>
        <v xml:space="preserve"> </v>
      </c>
      <c r="Q369" s="2"/>
      <c r="S369">
        <f>VLOOKUP(G369,[1]Hoja1!$A:$O,5,0)</f>
        <v>733471</v>
      </c>
      <c r="U369" s="45" t="s">
        <v>2751</v>
      </c>
      <c r="V369" s="46">
        <f t="shared" si="61"/>
        <v>733471</v>
      </c>
      <c r="W369" s="47" t="s">
        <v>1519</v>
      </c>
      <c r="X369" s="46" t="str">
        <f t="shared" si="62"/>
        <v>4</v>
      </c>
      <c r="Y369" s="47" t="s">
        <v>1518</v>
      </c>
      <c r="Z369" s="46" t="str">
        <f t="shared" si="63"/>
        <v>M</v>
      </c>
      <c r="AA369" s="47" t="s">
        <v>2752</v>
      </c>
      <c r="AB369" s="46" t="str">
        <f t="shared" si="64"/>
        <v>VIERNES</v>
      </c>
      <c r="AC369" s="47" t="s">
        <v>2753</v>
      </c>
      <c r="AD369">
        <f t="shared" si="65"/>
        <v>0</v>
      </c>
      <c r="AE369" s="47" t="s">
        <v>2754</v>
      </c>
      <c r="AH369" t="str">
        <f t="shared" si="66"/>
        <v>INSERT INTO horario_curso_materia (horario_curso_materia.FK_CUR_mat,horario_curso_materia.FK_HOR,horario_curso_materia.DIA,horario_curso_materia.tipo_turno) VALUES (  (SELECT curso_materia.ID_CUR_MAT FROM curso_materia WHERE curso_materia.CUPOF='733471' ) ,
    (SELECT horario.ID_HOR FROM horario WHERE horario.modulo='4 ' and horario.turno='M ' ),'VIERNES ' , '0 ' );</v>
      </c>
    </row>
    <row r="370" spans="1:34" ht="15" hidden="1" customHeight="1" x14ac:dyDescent="0.3">
      <c r="A370" s="3" t="str">
        <f t="shared" si="59"/>
        <v>3°1°</v>
      </c>
      <c r="B370" s="54" t="str">
        <f t="shared" si="67"/>
        <v>3°1°5LUMAÑANA0</v>
      </c>
      <c r="C370" s="63">
        <f>VLOOKUP(G370,[1]Hoja1!$A:$O,3,0)</f>
        <v>0</v>
      </c>
      <c r="D370" s="2" t="str">
        <f t="shared" si="69"/>
        <v>5LUMPATIO</v>
      </c>
      <c r="E370" s="63" t="s">
        <v>102</v>
      </c>
      <c r="F370" s="63" t="s">
        <v>27</v>
      </c>
      <c r="G370" s="63" t="s">
        <v>349</v>
      </c>
      <c r="H370" s="3" t="str">
        <f>VLOOKUP(G370,[1]Hoja1!$A:$O,6,0)</f>
        <v>EDUCACIÓN FISICA</v>
      </c>
      <c r="I370" s="17" t="s">
        <v>241</v>
      </c>
      <c r="J370" s="17"/>
      <c r="K370" s="81" t="str">
        <f t="shared" si="68"/>
        <v>LU</v>
      </c>
      <c r="L370" s="17"/>
      <c r="M370" s="87" t="str">
        <f>VLOOKUP(G370,[1]Hoja1!$A:$O,15,0)</f>
        <v xml:space="preserve">SANCHEZ CARLOS </v>
      </c>
      <c r="N370" s="23" t="str">
        <f t="shared" si="60"/>
        <v>3°1°3EFILU</v>
      </c>
      <c r="O370" s="23"/>
      <c r="P370" s="2" t="str">
        <f>VLOOKUP(G370,[1]Hoja1!$A:$P,16,0)</f>
        <v xml:space="preserve"> </v>
      </c>
      <c r="Q370" s="2"/>
      <c r="S370">
        <f>VLOOKUP(G370,[1]Hoja1!$A:$O,5,0)</f>
        <v>733533</v>
      </c>
      <c r="U370" s="45" t="s">
        <v>2751</v>
      </c>
      <c r="V370" s="46">
        <f t="shared" si="61"/>
        <v>733533</v>
      </c>
      <c r="W370" s="47" t="s">
        <v>1519</v>
      </c>
      <c r="X370" s="46" t="str">
        <f t="shared" si="62"/>
        <v>5</v>
      </c>
      <c r="Y370" s="47" t="s">
        <v>1518</v>
      </c>
      <c r="Z370" s="46" t="str">
        <f t="shared" si="63"/>
        <v>M</v>
      </c>
      <c r="AA370" s="47" t="s">
        <v>2752</v>
      </c>
      <c r="AB370" s="46" t="str">
        <f t="shared" si="64"/>
        <v>LUNES</v>
      </c>
      <c r="AC370" s="47" t="s">
        <v>2753</v>
      </c>
      <c r="AD370">
        <f t="shared" si="65"/>
        <v>0</v>
      </c>
      <c r="AE370" s="47" t="s">
        <v>2754</v>
      </c>
      <c r="AH370" t="str">
        <f t="shared" si="66"/>
        <v>INSERT INTO horario_curso_materia (horario_curso_materia.FK_CUR_mat,horario_curso_materia.FK_HOR,horario_curso_materia.DIA,horario_curso_materia.tipo_turno) VALUES (  (SELECT curso_materia.ID_CUR_MAT FROM curso_materia WHERE curso_materia.CUPOF='733533' ) ,
    (SELECT horario.ID_HOR FROM horario WHERE horario.modulo='5 ' and horario.turno='M ' ),'LUNES ' , '0 ' );</v>
      </c>
    </row>
    <row r="371" spans="1:34" ht="15" hidden="1" customHeight="1" x14ac:dyDescent="0.3">
      <c r="A371" s="1" t="str">
        <f t="shared" si="59"/>
        <v>3°1°</v>
      </c>
      <c r="B371" s="54" t="str">
        <f t="shared" si="67"/>
        <v>3°1°5MAMAÑANA0</v>
      </c>
      <c r="C371" s="62">
        <f>VLOOKUP(G371,[1]Hoja1!$A:$O,3,0)</f>
        <v>0</v>
      </c>
      <c r="D371" s="2" t="str">
        <f t="shared" si="69"/>
        <v>5MAM</v>
      </c>
      <c r="E371" s="62" t="s">
        <v>103</v>
      </c>
      <c r="F371" s="62" t="s">
        <v>27</v>
      </c>
      <c r="G371" s="62" t="s">
        <v>352</v>
      </c>
      <c r="H371" s="8" t="str">
        <f>VLOOKUP(G371,[1]Hoja1!$A:$O,6,0)</f>
        <v>CONSTRUCCION DE LA CIUDADANIA</v>
      </c>
      <c r="I371" s="4"/>
      <c r="J371" s="4"/>
      <c r="K371" s="80" t="str">
        <f t="shared" si="68"/>
        <v>MA</v>
      </c>
      <c r="L371" s="4"/>
      <c r="M371" s="86" t="str">
        <f>VLOOKUP(G371,[1]Hoja1!$A:$O,15,0)</f>
        <v xml:space="preserve">TORRES GABRIEL </v>
      </c>
      <c r="N371" s="2" t="str">
        <f t="shared" si="60"/>
        <v>3°1°3CCDMA</v>
      </c>
      <c r="O371" s="2"/>
      <c r="P371" s="2" t="str">
        <f>VLOOKUP(G371,[1]Hoja1!$A:$P,16,0)</f>
        <v xml:space="preserve"> </v>
      </c>
      <c r="Q371" s="2"/>
      <c r="S371">
        <f>VLOOKUP(G371,[1]Hoja1!$A:$O,5,0)</f>
        <v>789589</v>
      </c>
      <c r="U371" s="45" t="s">
        <v>2751</v>
      </c>
      <c r="V371" s="46">
        <f t="shared" si="61"/>
        <v>789589</v>
      </c>
      <c r="W371" s="47" t="s">
        <v>1519</v>
      </c>
      <c r="X371" s="46" t="str">
        <f t="shared" si="62"/>
        <v>5</v>
      </c>
      <c r="Y371" s="47" t="s">
        <v>1518</v>
      </c>
      <c r="Z371" s="46" t="str">
        <f t="shared" si="63"/>
        <v>M</v>
      </c>
      <c r="AA371" s="47" t="s">
        <v>2752</v>
      </c>
      <c r="AB371" s="46" t="str">
        <f t="shared" si="64"/>
        <v>MARTES</v>
      </c>
      <c r="AC371" s="47" t="s">
        <v>2753</v>
      </c>
      <c r="AD371">
        <f t="shared" si="65"/>
        <v>0</v>
      </c>
      <c r="AE371" s="47" t="s">
        <v>2754</v>
      </c>
      <c r="AH371" t="str">
        <f t="shared" si="66"/>
        <v>INSERT INTO horario_curso_materia (horario_curso_materia.FK_CUR_mat,horario_curso_materia.FK_HOR,horario_curso_materia.DIA,horario_curso_materia.tipo_turno) VALUES (  (SELECT curso_materia.ID_CUR_MAT FROM curso_materia WHERE curso_materia.CUPOF='789589' ) ,
    (SELECT horario.ID_HOR FROM horario WHERE horario.modulo='5 ' and horario.turno='M ' ),'MARTES ' , '0 ' );</v>
      </c>
    </row>
    <row r="372" spans="1:34" ht="15" hidden="1" customHeight="1" x14ac:dyDescent="0.3">
      <c r="A372" s="3" t="str">
        <f t="shared" si="59"/>
        <v>3°1°</v>
      </c>
      <c r="B372" s="54" t="str">
        <f t="shared" si="67"/>
        <v>3°1°5MIMAÑANA0</v>
      </c>
      <c r="C372" s="63">
        <f>VLOOKUP(G372,[1]Hoja1!$A:$O,3,0)</f>
        <v>0</v>
      </c>
      <c r="D372" s="2" t="str">
        <f t="shared" si="69"/>
        <v>5MIMPATIO2</v>
      </c>
      <c r="E372" s="63" t="s">
        <v>275</v>
      </c>
      <c r="F372" s="62" t="s">
        <v>27</v>
      </c>
      <c r="G372" s="63" t="s">
        <v>349</v>
      </c>
      <c r="H372" s="3" t="str">
        <f>VLOOKUP(G372,[1]Hoja1!$A:$O,6,0)</f>
        <v>EDUCACIÓN FISICA</v>
      </c>
      <c r="I372" s="17" t="s">
        <v>295</v>
      </c>
      <c r="J372" s="17"/>
      <c r="K372" s="81" t="str">
        <f t="shared" si="68"/>
        <v>MI</v>
      </c>
      <c r="L372" s="17"/>
      <c r="M372" s="87" t="str">
        <f>VLOOKUP(G372,[1]Hoja1!$A:$O,15,0)</f>
        <v xml:space="preserve">SANCHEZ CARLOS </v>
      </c>
      <c r="N372" s="23" t="str">
        <f t="shared" si="60"/>
        <v>3°1°3EFIMI</v>
      </c>
      <c r="O372" s="23"/>
      <c r="P372" s="2" t="str">
        <f>VLOOKUP(G372,[1]Hoja1!$A:$P,16,0)</f>
        <v xml:space="preserve"> </v>
      </c>
      <c r="Q372" s="2"/>
      <c r="S372">
        <f>VLOOKUP(G372,[1]Hoja1!$A:$O,5,0)</f>
        <v>733533</v>
      </c>
      <c r="U372" s="45" t="s">
        <v>2751</v>
      </c>
      <c r="V372" s="46">
        <f t="shared" si="61"/>
        <v>733533</v>
      </c>
      <c r="W372" s="47" t="s">
        <v>1519</v>
      </c>
      <c r="X372" s="46" t="str">
        <f t="shared" si="62"/>
        <v>5</v>
      </c>
      <c r="Y372" s="47" t="s">
        <v>1518</v>
      </c>
      <c r="Z372" s="46" t="str">
        <f t="shared" si="63"/>
        <v>M</v>
      </c>
      <c r="AA372" s="47" t="s">
        <v>2752</v>
      </c>
      <c r="AB372" s="46" t="str">
        <f t="shared" si="64"/>
        <v>MIERCOLES</v>
      </c>
      <c r="AC372" s="47" t="s">
        <v>2753</v>
      </c>
      <c r="AD372">
        <f t="shared" si="65"/>
        <v>0</v>
      </c>
      <c r="AE372" s="47" t="s">
        <v>2754</v>
      </c>
      <c r="AH372" t="str">
        <f t="shared" si="66"/>
        <v>INSERT INTO horario_curso_materia (horario_curso_materia.FK_CUR_mat,horario_curso_materia.FK_HOR,horario_curso_materia.DIA,horario_curso_materia.tipo_turno) VALUES (  (SELECT curso_materia.ID_CUR_MAT FROM curso_materia WHERE curso_materia.CUPOF='733533' ) ,
    (SELECT horario.ID_HOR FROM horario WHERE horario.modulo='5 ' and horario.turno='M ' ),'MIERCOLES ' , '0 ' );</v>
      </c>
    </row>
    <row r="373" spans="1:34" ht="15" hidden="1" customHeight="1" x14ac:dyDescent="0.3">
      <c r="A373" s="1" t="str">
        <f t="shared" si="59"/>
        <v>3°1°</v>
      </c>
      <c r="B373" s="54" t="str">
        <f t="shared" si="67"/>
        <v>3°1°5VIMAÑANA0</v>
      </c>
      <c r="C373" s="62">
        <f>VLOOKUP(G373,[1]Hoja1!$A:$O,3,0)</f>
        <v>0</v>
      </c>
      <c r="D373" s="2" t="str">
        <f t="shared" si="69"/>
        <v>5VIM</v>
      </c>
      <c r="E373" s="62" t="s">
        <v>296</v>
      </c>
      <c r="F373" s="62" t="s">
        <v>27</v>
      </c>
      <c r="G373" s="62" t="s">
        <v>352</v>
      </c>
      <c r="H373" s="8" t="str">
        <f>VLOOKUP(G373,[1]Hoja1!$A:$O,6,0)</f>
        <v>CONSTRUCCION DE LA CIUDADANIA</v>
      </c>
      <c r="I373" s="4"/>
      <c r="J373" s="4"/>
      <c r="K373" s="80" t="str">
        <f t="shared" si="68"/>
        <v>VI</v>
      </c>
      <c r="L373" s="4"/>
      <c r="M373" s="86" t="str">
        <f>VLOOKUP(G373,[1]Hoja1!$A:$O,15,0)</f>
        <v xml:space="preserve">TORRES GABRIEL </v>
      </c>
      <c r="N373" s="2" t="str">
        <f t="shared" si="60"/>
        <v>3°1°3CCDVI</v>
      </c>
      <c r="O373" s="2"/>
      <c r="P373" s="2" t="str">
        <f>VLOOKUP(G373,[1]Hoja1!$A:$P,16,0)</f>
        <v xml:space="preserve"> </v>
      </c>
      <c r="Q373" s="2"/>
      <c r="S373">
        <f>VLOOKUP(G373,[1]Hoja1!$A:$O,5,0)</f>
        <v>789589</v>
      </c>
      <c r="U373" s="45" t="s">
        <v>2751</v>
      </c>
      <c r="V373" s="46">
        <f t="shared" si="61"/>
        <v>789589</v>
      </c>
      <c r="W373" s="47" t="s">
        <v>1519</v>
      </c>
      <c r="X373" s="46" t="str">
        <f t="shared" si="62"/>
        <v>5</v>
      </c>
      <c r="Y373" s="47" t="s">
        <v>1518</v>
      </c>
      <c r="Z373" s="46" t="str">
        <f t="shared" si="63"/>
        <v>M</v>
      </c>
      <c r="AA373" s="47" t="s">
        <v>2752</v>
      </c>
      <c r="AB373" s="46" t="str">
        <f t="shared" si="64"/>
        <v>VIERNES</v>
      </c>
      <c r="AC373" s="47" t="s">
        <v>2753</v>
      </c>
      <c r="AD373">
        <f t="shared" si="65"/>
        <v>0</v>
      </c>
      <c r="AE373" s="47" t="s">
        <v>2754</v>
      </c>
      <c r="AH373" t="str">
        <f t="shared" si="66"/>
        <v>INSERT INTO horario_curso_materia (horario_curso_materia.FK_CUR_mat,horario_curso_materia.FK_HOR,horario_curso_materia.DIA,horario_curso_materia.tipo_turno) VALUES (  (SELECT curso_materia.ID_CUR_MAT FROM curso_materia WHERE curso_materia.CUPOF='789589' ) ,
    (SELECT horario.ID_HOR FROM horario WHERE horario.modulo='5 ' and horario.turno='M ' ),'VIERNES ' , '0 ' );</v>
      </c>
    </row>
    <row r="374" spans="1:34" ht="15" hidden="1" customHeight="1" x14ac:dyDescent="0.3">
      <c r="A374" s="1" t="str">
        <f t="shared" ref="A374:A437" si="70">LEFT(B374,4)</f>
        <v>3°2°</v>
      </c>
      <c r="B374" s="54" t="str">
        <f t="shared" si="67"/>
        <v>3°2°1JUTARDE0</v>
      </c>
      <c r="C374" s="62">
        <f>VLOOKUP(G374,[1]Hoja1!$A:$O,3,0)</f>
        <v>0</v>
      </c>
      <c r="D374" s="2" t="str">
        <f t="shared" si="69"/>
        <v>1JUT</v>
      </c>
      <c r="E374" s="62" t="s">
        <v>43</v>
      </c>
      <c r="F374" s="62" t="s">
        <v>10</v>
      </c>
      <c r="G374" s="62" t="s">
        <v>363</v>
      </c>
      <c r="H374" s="8" t="str">
        <f>VLOOKUP(G374,[1]Hoja1!$A:$O,6,0)</f>
        <v>PRACTICA DEL LENGUAJE</v>
      </c>
      <c r="I374" s="4"/>
      <c r="J374" s="4"/>
      <c r="K374" s="80" t="str">
        <f t="shared" si="68"/>
        <v>JU</v>
      </c>
      <c r="L374" s="4"/>
      <c r="M374" s="86" t="str">
        <f>VLOOKUP(G374,[1]Hoja1!$A:$O,15,0)</f>
        <v>GONZALEZ DANIELA</v>
      </c>
      <c r="N374" s="2" t="str">
        <f t="shared" ref="N374:N437" si="71">CONCATENATE(G374,LEFT(K374,2))</f>
        <v>3°2°3PLGJU</v>
      </c>
      <c r="O374" s="2"/>
      <c r="P374" s="2" t="str">
        <f>VLOOKUP(G374,[1]Hoja1!$A:$P,16,0)</f>
        <v xml:space="preserve"> </v>
      </c>
      <c r="Q374" s="2"/>
      <c r="S374">
        <f>VLOOKUP(G374,[1]Hoja1!$A:$O,5,0)</f>
        <v>733447</v>
      </c>
      <c r="U374" s="45" t="s">
        <v>2751</v>
      </c>
      <c r="V374" s="46">
        <f t="shared" ref="V374:V437" si="72">S374</f>
        <v>733447</v>
      </c>
      <c r="W374" s="47" t="s">
        <v>1519</v>
      </c>
      <c r="X374" s="46" t="str">
        <f t="shared" ref="X374:X437" si="73">IF(LEFT(E374,1)="p","prehora",LEFT(E374,1))</f>
        <v>1</v>
      </c>
      <c r="Y374" s="47" t="s">
        <v>1518</v>
      </c>
      <c r="Z374" s="46" t="str">
        <f t="shared" ref="Z374:Z437" si="74">LEFT(F374,1)</f>
        <v>T</v>
      </c>
      <c r="AA374" s="47" t="s">
        <v>2752</v>
      </c>
      <c r="AB374" s="46" t="str">
        <f t="shared" ref="AB374:AB437" si="75">IF(IF(LEFT(E374,1)="p",MID(E374,8,2),MID(E374,2,2))="lu","LUNES",IF(IF(LEFT(E374,1)="p",MID(E374,8,2),MID(E374,2,2))="ma","MARTES",IF(IF(LEFT(E374,1)="p",MID(E374,8,2),MID(E374,2,2))="MI","MIERCOLES",IF(IF(LEFT(E374,1)="p",MID(E374,8,2),MID(E374,2,2))="JU","JUEVES",IF(IF(LEFT(E374,1)="p",MID(E374,8,2),MID(E374,2,2))="vi","VIERNES","")))))</f>
        <v>JUEVES</v>
      </c>
      <c r="AC374" s="47" t="s">
        <v>2753</v>
      </c>
      <c r="AD374">
        <f t="shared" ref="AD374:AD437" si="76">L374</f>
        <v>0</v>
      </c>
      <c r="AE374" s="47" t="s">
        <v>2754</v>
      </c>
      <c r="AH374" t="str">
        <f t="shared" ref="AH374:AH437" si="77">U374&amp;V374&amp;W374&amp;X374&amp;Y374&amp;Z374&amp;AA374&amp;AB374&amp;AC374&amp;AD374&amp;AE374</f>
        <v>INSERT INTO horario_curso_materia (horario_curso_materia.FK_CUR_mat,horario_curso_materia.FK_HOR,horario_curso_materia.DIA,horario_curso_materia.tipo_turno) VALUES (  (SELECT curso_materia.ID_CUR_MAT FROM curso_materia WHERE curso_materia.CUPOF='733447' ) ,
    (SELECT horario.ID_HOR FROM horario WHERE horario.modulo='1 ' and horario.turno='T ' ),'JUEVES ' , '0 ' );</v>
      </c>
    </row>
    <row r="375" spans="1:34" ht="15" hidden="1" customHeight="1" x14ac:dyDescent="0.3">
      <c r="A375" s="1" t="str">
        <f t="shared" si="70"/>
        <v>3°2°</v>
      </c>
      <c r="B375" s="54" t="str">
        <f t="shared" si="67"/>
        <v>3°2°1JUVESPERTINO322</v>
      </c>
      <c r="C375" s="62">
        <f>VLOOKUP(G375,[1]Hoja1!$A:$O,3,0)</f>
        <v>322</v>
      </c>
      <c r="D375" s="2" t="str">
        <f t="shared" si="69"/>
        <v>1JUVcarpinteria</v>
      </c>
      <c r="E375" s="62" t="s">
        <v>43</v>
      </c>
      <c r="F375" s="62" t="s">
        <v>125</v>
      </c>
      <c r="G375" s="62" t="s">
        <v>109</v>
      </c>
      <c r="H375" s="8" t="str">
        <f>VLOOKUP(G375,[1]Hoja1!$A:$O,6,0)</f>
        <v>SISTEMAS TECNOLOGICOS</v>
      </c>
      <c r="I375" s="4" t="s">
        <v>2758</v>
      </c>
      <c r="J375" s="4"/>
      <c r="K375" s="80" t="str">
        <f t="shared" si="68"/>
        <v>JU</v>
      </c>
      <c r="L375" s="4" t="s">
        <v>512</v>
      </c>
      <c r="M375" s="86" t="str">
        <f>VLOOKUP(G375,[1]Hoja1!$A:$O,15,0)</f>
        <v>PAZ DANIEL</v>
      </c>
      <c r="N375" s="2" t="str">
        <f t="shared" si="71"/>
        <v>3°2°3223TST3JU</v>
      </c>
      <c r="O375" s="2" t="s">
        <v>1488</v>
      </c>
      <c r="P375" s="2" t="str">
        <f>VLOOKUP(G375,[1]Hoja1!$A:$P,16,0)</f>
        <v xml:space="preserve"> </v>
      </c>
      <c r="Q375" s="2"/>
      <c r="S375">
        <f>VLOOKUP(G375,[1]Hoja1!$A:$O,5,0)</f>
        <v>2682796</v>
      </c>
      <c r="U375" s="45" t="s">
        <v>2751</v>
      </c>
      <c r="V375" s="46">
        <f t="shared" si="72"/>
        <v>2682796</v>
      </c>
      <c r="W375" s="47" t="s">
        <v>1519</v>
      </c>
      <c r="X375" s="46" t="str">
        <f t="shared" si="73"/>
        <v>1</v>
      </c>
      <c r="Y375" s="47" t="s">
        <v>1518</v>
      </c>
      <c r="Z375" s="46" t="str">
        <f t="shared" si="74"/>
        <v>V</v>
      </c>
      <c r="AA375" s="47" t="s">
        <v>2752</v>
      </c>
      <c r="AB375" s="46" t="str">
        <f t="shared" si="75"/>
        <v>JUEVES</v>
      </c>
      <c r="AC375" s="47" t="s">
        <v>2753</v>
      </c>
      <c r="AD375" t="str">
        <f t="shared" si="76"/>
        <v>CONTRATURNO</v>
      </c>
      <c r="AE375" s="47" t="s">
        <v>2754</v>
      </c>
      <c r="AH375" t="str">
        <f t="shared" si="77"/>
        <v>INSERT INTO horario_curso_materia (horario_curso_materia.FK_CUR_mat,horario_curso_materia.FK_HOR,horario_curso_materia.DIA,horario_curso_materia.tipo_turno) VALUES (  (SELECT curso_materia.ID_CUR_MAT FROM curso_materia WHERE curso_materia.CUPOF='2682796' ) ,
    (SELECT horario.ID_HOR FROM horario WHERE horario.modulo='1 ' and horario.turno='V ' ),'JUEVES ' , 'CONTRATURNO ' );</v>
      </c>
    </row>
    <row r="376" spans="1:34" ht="15" hidden="1" customHeight="1" x14ac:dyDescent="0.3">
      <c r="A376" s="1" t="str">
        <f t="shared" si="70"/>
        <v>3°2°</v>
      </c>
      <c r="B376" s="54" t="str">
        <f t="shared" si="67"/>
        <v>3°2°1LUTARDE0</v>
      </c>
      <c r="C376" s="62">
        <f>VLOOKUP(G376,[1]Hoja1!$A:$O,3,0)</f>
        <v>0</v>
      </c>
      <c r="D376" s="2" t="str">
        <f t="shared" si="69"/>
        <v>1LUT</v>
      </c>
      <c r="E376" s="62" t="s">
        <v>9</v>
      </c>
      <c r="F376" s="62" t="s">
        <v>10</v>
      </c>
      <c r="G376" s="62" t="s">
        <v>357</v>
      </c>
      <c r="H376" s="8" t="str">
        <f>VLOOKUP(G376,[1]Hoja1!$A:$O,6,0)</f>
        <v>MATEMATICA</v>
      </c>
      <c r="I376" s="4"/>
      <c r="J376" s="4"/>
      <c r="K376" s="80" t="str">
        <f t="shared" si="68"/>
        <v>LU</v>
      </c>
      <c r="L376" s="4"/>
      <c r="M376" s="86" t="str">
        <f>VLOOKUP(G376,[1]Hoja1!$A:$O,15,0)</f>
        <v xml:space="preserve">VARCHETTA, GABRIEL OMAR   </v>
      </c>
      <c r="N376" s="2" t="str">
        <f t="shared" si="71"/>
        <v>3°2°3MATLU</v>
      </c>
      <c r="O376" s="2"/>
      <c r="P376" s="2" t="str">
        <f>VLOOKUP(G376,[1]Hoja1!$A:$P,16,0)</f>
        <v xml:space="preserve"> </v>
      </c>
      <c r="Q376" s="2"/>
      <c r="S376">
        <f>VLOOKUP(G376,[1]Hoja1!$A:$O,5,0)</f>
        <v>789744</v>
      </c>
      <c r="U376" s="45" t="s">
        <v>2751</v>
      </c>
      <c r="V376" s="46">
        <f t="shared" si="72"/>
        <v>789744</v>
      </c>
      <c r="W376" s="47" t="s">
        <v>1519</v>
      </c>
      <c r="X376" s="46" t="str">
        <f t="shared" si="73"/>
        <v>1</v>
      </c>
      <c r="Y376" s="47" t="s">
        <v>1518</v>
      </c>
      <c r="Z376" s="46" t="str">
        <f t="shared" si="74"/>
        <v>T</v>
      </c>
      <c r="AA376" s="47" t="s">
        <v>2752</v>
      </c>
      <c r="AB376" s="46" t="str">
        <f t="shared" si="75"/>
        <v>LUNES</v>
      </c>
      <c r="AC376" s="47" t="s">
        <v>2753</v>
      </c>
      <c r="AD376">
        <f t="shared" si="76"/>
        <v>0</v>
      </c>
      <c r="AE376" s="47" t="s">
        <v>2754</v>
      </c>
      <c r="AH376" t="str">
        <f t="shared" si="77"/>
        <v>INSERT INTO horario_curso_materia (horario_curso_materia.FK_CUR_mat,horario_curso_materia.FK_HOR,horario_curso_materia.DIA,horario_curso_materia.tipo_turno) VALUES (  (SELECT curso_materia.ID_CUR_MAT FROM curso_materia WHERE curso_materia.CUPOF='789744' ) ,
    (SELECT horario.ID_HOR FROM horario WHERE horario.modulo='1 ' and horario.turno='T ' ),'LUNES ' , '0 ' );</v>
      </c>
    </row>
    <row r="377" spans="1:34" ht="15" hidden="1" customHeight="1" x14ac:dyDescent="0.3">
      <c r="A377" s="1" t="str">
        <f t="shared" si="70"/>
        <v>3°2°</v>
      </c>
      <c r="B377" s="54" t="str">
        <f t="shared" si="67"/>
        <v>3°2°1MAMAÑANA322</v>
      </c>
      <c r="C377" s="62">
        <f>VLOOKUP(G377,[1]Hoja1!$A:$O,3,0)</f>
        <v>322</v>
      </c>
      <c r="D377" s="2" t="str">
        <f t="shared" si="69"/>
        <v>1MAMaula 4</v>
      </c>
      <c r="E377" s="62" t="s">
        <v>17</v>
      </c>
      <c r="F377" s="62" t="s">
        <v>27</v>
      </c>
      <c r="G377" s="62" t="s">
        <v>111</v>
      </c>
      <c r="H377" s="8" t="str">
        <f>VLOOKUP(G377,[1]Hoja1!$A:$O,6,0)</f>
        <v>LENGUAJES TECNOLOGICOS</v>
      </c>
      <c r="I377" s="4" t="s">
        <v>1437</v>
      </c>
      <c r="J377" s="4"/>
      <c r="K377" s="80" t="str">
        <f t="shared" si="68"/>
        <v>MA</v>
      </c>
      <c r="L377" s="4" t="s">
        <v>512</v>
      </c>
      <c r="M377" s="86" t="str">
        <f>VLOOKUP(G377,[1]Hoja1!$A:$O,15,0)</f>
        <v>TITO JUAN MANUEL</v>
      </c>
      <c r="N377" s="2" t="str">
        <f t="shared" si="71"/>
        <v>3°2°3223TLT3MA</v>
      </c>
      <c r="O377" s="2"/>
      <c r="P377" s="2" t="str">
        <f>VLOOKUP(G377,[1]Hoja1!$A:$P,16,0)</f>
        <v xml:space="preserve"> </v>
      </c>
      <c r="Q377" s="2"/>
      <c r="S377">
        <f>VLOOKUP(G377,[1]Hoja1!$A:$O,5,0)</f>
        <v>2682794</v>
      </c>
      <c r="U377" s="45" t="s">
        <v>2751</v>
      </c>
      <c r="V377" s="46">
        <f t="shared" si="72"/>
        <v>2682794</v>
      </c>
      <c r="W377" s="47" t="s">
        <v>1519</v>
      </c>
      <c r="X377" s="46" t="str">
        <f t="shared" si="73"/>
        <v>1</v>
      </c>
      <c r="Y377" s="47" t="s">
        <v>1518</v>
      </c>
      <c r="Z377" s="46" t="str">
        <f t="shared" si="74"/>
        <v>M</v>
      </c>
      <c r="AA377" s="47" t="s">
        <v>2752</v>
      </c>
      <c r="AB377" s="46" t="str">
        <f t="shared" si="75"/>
        <v>MARTES</v>
      </c>
      <c r="AC377" s="47" t="s">
        <v>2753</v>
      </c>
      <c r="AD377" t="str">
        <f t="shared" si="76"/>
        <v>CONTRATURNO</v>
      </c>
      <c r="AE377" s="47" t="s">
        <v>2754</v>
      </c>
      <c r="AH377" t="str">
        <f t="shared" si="77"/>
        <v>INSERT INTO horario_curso_materia (horario_curso_materia.FK_CUR_mat,horario_curso_materia.FK_HOR,horario_curso_materia.DIA,horario_curso_materia.tipo_turno) VALUES (  (SELECT curso_materia.ID_CUR_MAT FROM curso_materia WHERE curso_materia.CUPOF='2682794' ) ,
    (SELECT horario.ID_HOR FROM horario WHERE horario.modulo='1 ' and horario.turno='M ' ),'MARTES ' , 'CONTRATURNO ' );</v>
      </c>
    </row>
    <row r="378" spans="1:34" ht="15" hidden="1" customHeight="1" x14ac:dyDescent="0.3">
      <c r="A378" s="1" t="str">
        <f t="shared" si="70"/>
        <v>3°2°</v>
      </c>
      <c r="B378" s="54" t="str">
        <f t="shared" si="67"/>
        <v>3°2°1MATARDE0</v>
      </c>
      <c r="C378" s="62">
        <f>VLOOKUP(G378,[1]Hoja1!$A:$O,3,0)</f>
        <v>0</v>
      </c>
      <c r="D378" s="2" t="str">
        <f t="shared" si="69"/>
        <v>1MAT</v>
      </c>
      <c r="E378" s="62" t="s">
        <v>17</v>
      </c>
      <c r="F378" s="62" t="s">
        <v>10</v>
      </c>
      <c r="G378" s="62" t="s">
        <v>360</v>
      </c>
      <c r="H378" s="8" t="str">
        <f>VLOOKUP(G378,[1]Hoja1!$A:$O,6,0)</f>
        <v>GEOGRAFIA</v>
      </c>
      <c r="I378" s="4"/>
      <c r="J378" s="4"/>
      <c r="K378" s="80" t="str">
        <f t="shared" si="68"/>
        <v>MA</v>
      </c>
      <c r="L378" s="4"/>
      <c r="M378" s="86" t="str">
        <f>VLOOKUP(G378,[1]Hoja1!$A:$O,15,0)</f>
        <v>ZAMBRANO GAMBOA JOSHUA</v>
      </c>
      <c r="N378" s="2" t="str">
        <f t="shared" si="71"/>
        <v>3°2°3GEOMA</v>
      </c>
      <c r="O378" s="2"/>
      <c r="P378" s="2" t="str">
        <f>VLOOKUP(G378,[1]Hoja1!$A:$P,16,0)</f>
        <v xml:space="preserve"> </v>
      </c>
      <c r="Q378" s="2"/>
      <c r="S378">
        <f>VLOOKUP(G378,[1]Hoja1!$A:$O,5,0)</f>
        <v>1644177</v>
      </c>
      <c r="U378" s="45" t="s">
        <v>2751</v>
      </c>
      <c r="V378" s="46">
        <f t="shared" si="72"/>
        <v>1644177</v>
      </c>
      <c r="W378" s="47" t="s">
        <v>1519</v>
      </c>
      <c r="X378" s="46" t="str">
        <f t="shared" si="73"/>
        <v>1</v>
      </c>
      <c r="Y378" s="47" t="s">
        <v>1518</v>
      </c>
      <c r="Z378" s="46" t="str">
        <f t="shared" si="74"/>
        <v>T</v>
      </c>
      <c r="AA378" s="47" t="s">
        <v>2752</v>
      </c>
      <c r="AB378" s="46" t="str">
        <f t="shared" si="75"/>
        <v>MARTES</v>
      </c>
      <c r="AC378" s="47" t="s">
        <v>2753</v>
      </c>
      <c r="AD378">
        <f t="shared" si="76"/>
        <v>0</v>
      </c>
      <c r="AE378" s="47" t="s">
        <v>2754</v>
      </c>
      <c r="AH378" t="str">
        <f t="shared" si="77"/>
        <v>INSERT INTO horario_curso_materia (horario_curso_materia.FK_CUR_mat,horario_curso_materia.FK_HOR,horario_curso_materia.DIA,horario_curso_materia.tipo_turno) VALUES (  (SELECT curso_materia.ID_CUR_MAT FROM curso_materia WHERE curso_materia.CUPOF='1644177' ) ,
    (SELECT horario.ID_HOR FROM horario WHERE horario.modulo='1 ' and horario.turno='T ' ),'MARTES ' , '0 ' );</v>
      </c>
    </row>
    <row r="379" spans="1:34" ht="15" hidden="1" customHeight="1" x14ac:dyDescent="0.3">
      <c r="A379" s="1" t="str">
        <f t="shared" si="70"/>
        <v>3°2°</v>
      </c>
      <c r="B379" s="54" t="str">
        <f t="shared" si="67"/>
        <v>3°2°3MAMAÑANA0</v>
      </c>
      <c r="C379" s="62">
        <f>VLOOKUP(G379,[1]Hoja1!$A:$O,3,0)</f>
        <v>0</v>
      </c>
      <c r="D379" s="2" t="str">
        <f t="shared" si="69"/>
        <v>3MAMPATIO2</v>
      </c>
      <c r="E379" s="62" t="s">
        <v>13</v>
      </c>
      <c r="F379" s="62" t="s">
        <v>27</v>
      </c>
      <c r="G379" s="62" t="s">
        <v>366</v>
      </c>
      <c r="H379" s="8" t="str">
        <f>VLOOKUP(G379,[1]Hoja1!$A:$O,6,0)</f>
        <v>EDUCACIÓN FISICA</v>
      </c>
      <c r="I379" s="4" t="s">
        <v>295</v>
      </c>
      <c r="J379" s="4"/>
      <c r="K379" s="80" t="str">
        <f t="shared" si="68"/>
        <v>MA</v>
      </c>
      <c r="L379" s="4" t="s">
        <v>512</v>
      </c>
      <c r="M379" s="86" t="str">
        <f>VLOOKUP(G379,[1]Hoja1!$A:$O,15,0)</f>
        <v>DE LA FUENTE F.</v>
      </c>
      <c r="N379" s="2" t="str">
        <f t="shared" si="71"/>
        <v>3°2°3EFIMA</v>
      </c>
      <c r="O379" s="2" t="s">
        <v>1449</v>
      </c>
      <c r="P379" s="2" t="str">
        <f>VLOOKUP(G379,[1]Hoja1!$A:$P,16,0)</f>
        <v xml:space="preserve"> </v>
      </c>
      <c r="Q379" s="2"/>
      <c r="S379">
        <f>VLOOKUP(G379,[1]Hoja1!$A:$O,5,0)</f>
        <v>733459</v>
      </c>
      <c r="U379" s="45" t="s">
        <v>2751</v>
      </c>
      <c r="V379" s="46">
        <f t="shared" si="72"/>
        <v>733459</v>
      </c>
      <c r="W379" s="47" t="s">
        <v>1519</v>
      </c>
      <c r="X379" s="46" t="str">
        <f t="shared" si="73"/>
        <v>3</v>
      </c>
      <c r="Y379" s="47" t="s">
        <v>1518</v>
      </c>
      <c r="Z379" s="46" t="str">
        <f t="shared" si="74"/>
        <v>M</v>
      </c>
      <c r="AA379" s="47" t="s">
        <v>2752</v>
      </c>
      <c r="AB379" s="46" t="str">
        <f t="shared" si="75"/>
        <v>MARTES</v>
      </c>
      <c r="AC379" s="47" t="s">
        <v>2753</v>
      </c>
      <c r="AD379" t="str">
        <f t="shared" si="76"/>
        <v>CONTRATURNO</v>
      </c>
      <c r="AE379" s="47" t="s">
        <v>2754</v>
      </c>
      <c r="AH379" t="str">
        <f t="shared" si="77"/>
        <v>INSERT INTO horario_curso_materia (horario_curso_materia.FK_CUR_mat,horario_curso_materia.FK_HOR,horario_curso_materia.DIA,horario_curso_materia.tipo_turno) VALUES (  (SELECT curso_materia.ID_CUR_MAT FROM curso_materia WHERE curso_materia.CUPOF='733459' ) ,
    (SELECT horario.ID_HOR FROM horario WHERE horario.modulo='3 ' and horario.turno='M ' ),'MARTES ' , 'CONTRATURNO ' );</v>
      </c>
    </row>
    <row r="380" spans="1:34" ht="15" hidden="1" customHeight="1" x14ac:dyDescent="0.3">
      <c r="A380" s="1" t="str">
        <f t="shared" si="70"/>
        <v>3°2°</v>
      </c>
      <c r="B380" s="54" t="str">
        <f t="shared" si="67"/>
        <v>3°2°1MITARDE0</v>
      </c>
      <c r="C380" s="62">
        <f>VLOOKUP(G380,[1]Hoja1!$A:$O,3,0)</f>
        <v>0</v>
      </c>
      <c r="D380" s="2" t="str">
        <f t="shared" si="69"/>
        <v>1MIT</v>
      </c>
      <c r="E380" s="62" t="s">
        <v>24</v>
      </c>
      <c r="F380" s="62" t="s">
        <v>10</v>
      </c>
      <c r="G380" s="62" t="s">
        <v>357</v>
      </c>
      <c r="H380" s="8" t="str">
        <f>VLOOKUP(G380,[1]Hoja1!$A:$O,6,0)</f>
        <v>MATEMATICA</v>
      </c>
      <c r="I380" s="4"/>
      <c r="J380" s="4"/>
      <c r="K380" s="80" t="str">
        <f t="shared" si="68"/>
        <v>MI</v>
      </c>
      <c r="L380" s="4"/>
      <c r="M380" s="86" t="str">
        <f>VLOOKUP(G380,[1]Hoja1!$A:$O,15,0)</f>
        <v xml:space="preserve">VARCHETTA, GABRIEL OMAR   </v>
      </c>
      <c r="N380" s="2" t="str">
        <f t="shared" si="71"/>
        <v>3°2°3MATMI</v>
      </c>
      <c r="O380" s="2"/>
      <c r="P380" s="2" t="str">
        <f>VLOOKUP(G380,[1]Hoja1!$A:$P,16,0)</f>
        <v xml:space="preserve"> </v>
      </c>
      <c r="Q380" s="2"/>
      <c r="S380">
        <f>VLOOKUP(G380,[1]Hoja1!$A:$O,5,0)</f>
        <v>789744</v>
      </c>
      <c r="U380" s="45" t="s">
        <v>2751</v>
      </c>
      <c r="V380" s="46">
        <f t="shared" si="72"/>
        <v>789744</v>
      </c>
      <c r="W380" s="47" t="s">
        <v>1519</v>
      </c>
      <c r="X380" s="46" t="str">
        <f t="shared" si="73"/>
        <v>1</v>
      </c>
      <c r="Y380" s="47" t="s">
        <v>1518</v>
      </c>
      <c r="Z380" s="46" t="str">
        <f t="shared" si="74"/>
        <v>T</v>
      </c>
      <c r="AA380" s="47" t="s">
        <v>2752</v>
      </c>
      <c r="AB380" s="46" t="str">
        <f t="shared" si="75"/>
        <v>MIERCOLES</v>
      </c>
      <c r="AC380" s="47" t="s">
        <v>2753</v>
      </c>
      <c r="AD380">
        <f t="shared" si="76"/>
        <v>0</v>
      </c>
      <c r="AE380" s="47" t="s">
        <v>2754</v>
      </c>
      <c r="AH380" t="str">
        <f t="shared" si="77"/>
        <v>INSERT INTO horario_curso_materia (horario_curso_materia.FK_CUR_mat,horario_curso_materia.FK_HOR,horario_curso_materia.DIA,horario_curso_materia.tipo_turno) VALUES (  (SELECT curso_materia.ID_CUR_MAT FROM curso_materia WHERE curso_materia.CUPOF='789744' ) ,
    (SELECT horario.ID_HOR FROM horario WHERE horario.modulo='1 ' and horario.turno='T ' ),'MIERCOLES ' , '0 ' );</v>
      </c>
    </row>
    <row r="381" spans="1:34" ht="15" hidden="1" customHeight="1" x14ac:dyDescent="0.3">
      <c r="A381" s="1" t="str">
        <f t="shared" si="70"/>
        <v>3°2°</v>
      </c>
      <c r="B381" s="54" t="str">
        <f t="shared" si="67"/>
        <v>3°2°1VIMAÑANA321</v>
      </c>
      <c r="C381" s="62">
        <f>VLOOKUP(G381,[1]Hoja1!$A:$O,3,0)</f>
        <v>321</v>
      </c>
      <c r="D381" s="2" t="str">
        <f t="shared" si="69"/>
        <v>1VIMAULA 2</v>
      </c>
      <c r="E381" s="68" t="s">
        <v>57</v>
      </c>
      <c r="F381" s="62" t="s">
        <v>27</v>
      </c>
      <c r="G381" s="62" t="s">
        <v>112</v>
      </c>
      <c r="H381" s="8" t="str">
        <f>VLOOKUP(G381,[1]Hoja1!$A:$O,6,0)</f>
        <v>LENGUAJES TECNOLOGICOS</v>
      </c>
      <c r="I381" s="4" t="s">
        <v>1486</v>
      </c>
      <c r="J381" s="4"/>
      <c r="K381" s="80" t="str">
        <f t="shared" si="68"/>
        <v>VI</v>
      </c>
      <c r="L381" s="4" t="s">
        <v>512</v>
      </c>
      <c r="M381" s="86" t="str">
        <f>VLOOKUP(G381,[1]Hoja1!$A:$O,15,0)</f>
        <v>TITO JUAN MANUEL</v>
      </c>
      <c r="N381" s="2" t="str">
        <f t="shared" si="71"/>
        <v>3°2°3213TLT3VI</v>
      </c>
      <c r="O381" s="2"/>
      <c r="P381" s="2" t="str">
        <f>VLOOKUP(G381,[1]Hoja1!$A:$P,16,0)</f>
        <v xml:space="preserve"> </v>
      </c>
      <c r="Q381" s="2"/>
      <c r="S381">
        <f>VLOOKUP(G381,[1]Hoja1!$A:$O,5,0)</f>
        <v>2682790</v>
      </c>
      <c r="U381" s="45" t="s">
        <v>2751</v>
      </c>
      <c r="V381" s="46">
        <f t="shared" si="72"/>
        <v>2682790</v>
      </c>
      <c r="W381" s="47" t="s">
        <v>1519</v>
      </c>
      <c r="X381" s="46" t="str">
        <f t="shared" si="73"/>
        <v>1</v>
      </c>
      <c r="Y381" s="47" t="s">
        <v>1518</v>
      </c>
      <c r="Z381" s="46" t="str">
        <f t="shared" si="74"/>
        <v>M</v>
      </c>
      <c r="AA381" s="47" t="s">
        <v>2752</v>
      </c>
      <c r="AB381" s="46" t="str">
        <f t="shared" si="75"/>
        <v>VIERNES</v>
      </c>
      <c r="AC381" s="47" t="s">
        <v>2753</v>
      </c>
      <c r="AD381" t="str">
        <f t="shared" si="76"/>
        <v>CONTRATURNO</v>
      </c>
      <c r="AE381" s="47" t="s">
        <v>2754</v>
      </c>
      <c r="AH381" t="str">
        <f t="shared" si="77"/>
        <v>INSERT INTO horario_curso_materia (horario_curso_materia.FK_CUR_mat,horario_curso_materia.FK_HOR,horario_curso_materia.DIA,horario_curso_materia.tipo_turno) VALUES (  (SELECT curso_materia.ID_CUR_MAT FROM curso_materia WHERE curso_materia.CUPOF='2682790' ) ,
    (SELECT horario.ID_HOR FROM horario WHERE horario.modulo='1 ' and horario.turno='M ' ),'VIERNES ' , 'CONTRATURNO ' );</v>
      </c>
    </row>
    <row r="382" spans="1:34" ht="15" hidden="1" customHeight="1" x14ac:dyDescent="0.3">
      <c r="A382" s="1" t="str">
        <f t="shared" si="70"/>
        <v>3°2°</v>
      </c>
      <c r="B382" s="54" t="str">
        <f t="shared" si="67"/>
        <v>3°2°1VIMAÑANA322</v>
      </c>
      <c r="C382" s="62">
        <f>VLOOKUP(G382,[1]Hoja1!$A:$O,3,0)</f>
        <v>322</v>
      </c>
      <c r="D382" s="2" t="str">
        <f t="shared" si="69"/>
        <v>1VIMsuperpuesto</v>
      </c>
      <c r="E382" s="62" t="s">
        <v>57</v>
      </c>
      <c r="F382" s="62" t="s">
        <v>27</v>
      </c>
      <c r="G382" s="62" t="s">
        <v>113</v>
      </c>
      <c r="H382" s="8" t="str">
        <f>VLOOKUP(G382,[1]Hoja1!$A:$O,6,0)</f>
        <v>PROCEDIMIENTOS TECNICOS</v>
      </c>
      <c r="I382" s="4" t="s">
        <v>2761</v>
      </c>
      <c r="J382" s="4"/>
      <c r="K382" s="80" t="str">
        <f t="shared" si="68"/>
        <v>VI</v>
      </c>
      <c r="L382" s="4" t="s">
        <v>512</v>
      </c>
      <c r="M382" s="86" t="str">
        <f>VLOOKUP(G382,[1]Hoja1!$A:$O,15,0)</f>
        <v xml:space="preserve">ETCHEVERRY MARTIN                            </v>
      </c>
      <c r="N382" s="2" t="str">
        <f t="shared" si="71"/>
        <v>3°2°3223TPT3VI</v>
      </c>
      <c r="O382" s="2"/>
      <c r="P382" s="2" t="str">
        <f>VLOOKUP(G382,[1]Hoja1!$A:$P,16,0)</f>
        <v xml:space="preserve"> </v>
      </c>
      <c r="Q382" s="2"/>
      <c r="S382">
        <f>VLOOKUP(G382,[1]Hoja1!$A:$O,5,0)</f>
        <v>2682798</v>
      </c>
      <c r="U382" s="45" t="s">
        <v>2751</v>
      </c>
      <c r="V382" s="46">
        <f t="shared" si="72"/>
        <v>2682798</v>
      </c>
      <c r="W382" s="47" t="s">
        <v>1519</v>
      </c>
      <c r="X382" s="46" t="str">
        <f t="shared" si="73"/>
        <v>1</v>
      </c>
      <c r="Y382" s="47" t="s">
        <v>1518</v>
      </c>
      <c r="Z382" s="46" t="str">
        <f t="shared" si="74"/>
        <v>M</v>
      </c>
      <c r="AA382" s="47" t="s">
        <v>2752</v>
      </c>
      <c r="AB382" s="46" t="str">
        <f t="shared" si="75"/>
        <v>VIERNES</v>
      </c>
      <c r="AC382" s="47" t="s">
        <v>2753</v>
      </c>
      <c r="AD382" t="str">
        <f t="shared" si="76"/>
        <v>CONTRATURNO</v>
      </c>
      <c r="AE382" s="47" t="s">
        <v>2754</v>
      </c>
      <c r="AH382" t="str">
        <f t="shared" si="77"/>
        <v>INSERT INTO horario_curso_materia (horario_curso_materia.FK_CUR_mat,horario_curso_materia.FK_HOR,horario_curso_materia.DIA,horario_curso_materia.tipo_turno) VALUES (  (SELECT curso_materia.ID_CUR_MAT FROM curso_materia WHERE curso_materia.CUPOF='2682798' ) ,
    (SELECT horario.ID_HOR FROM horario WHERE horario.modulo='1 ' and horario.turno='M ' ),'VIERNES ' , 'CONTRATURNO ' );</v>
      </c>
    </row>
    <row r="383" spans="1:34" ht="15" hidden="1" customHeight="1" x14ac:dyDescent="0.3">
      <c r="A383" s="1" t="str">
        <f t="shared" si="70"/>
        <v>3°2°</v>
      </c>
      <c r="B383" s="54" t="str">
        <f t="shared" si="67"/>
        <v>3°2°1VITARDE0</v>
      </c>
      <c r="C383" s="62">
        <f>VLOOKUP(G383,[1]Hoja1!$A:$O,3,0)</f>
        <v>0</v>
      </c>
      <c r="D383" s="2" t="str">
        <f t="shared" si="69"/>
        <v>1VIT</v>
      </c>
      <c r="E383" s="62" t="s">
        <v>57</v>
      </c>
      <c r="F383" s="62" t="s">
        <v>10</v>
      </c>
      <c r="G383" s="62" t="s">
        <v>363</v>
      </c>
      <c r="H383" s="8" t="str">
        <f>VLOOKUP(G383,[1]Hoja1!$A:$O,6,0)</f>
        <v>PRACTICA DEL LENGUAJE</v>
      </c>
      <c r="I383" s="4"/>
      <c r="J383" s="4"/>
      <c r="K383" s="80" t="str">
        <f t="shared" si="68"/>
        <v>VI</v>
      </c>
      <c r="L383" s="4"/>
      <c r="M383" s="86" t="str">
        <f>VLOOKUP(G383,[1]Hoja1!$A:$O,15,0)</f>
        <v>GONZALEZ DANIELA</v>
      </c>
      <c r="N383" s="2" t="str">
        <f t="shared" si="71"/>
        <v>3°2°3PLGVI</v>
      </c>
      <c r="O383" s="2"/>
      <c r="P383" s="2" t="str">
        <f>VLOOKUP(G383,[1]Hoja1!$A:$P,16,0)</f>
        <v xml:space="preserve"> </v>
      </c>
      <c r="Q383" s="2"/>
      <c r="S383">
        <f>VLOOKUP(G383,[1]Hoja1!$A:$O,5,0)</f>
        <v>733447</v>
      </c>
      <c r="U383" s="45" t="s">
        <v>2751</v>
      </c>
      <c r="V383" s="46">
        <f t="shared" si="72"/>
        <v>733447</v>
      </c>
      <c r="W383" s="47" t="s">
        <v>1519</v>
      </c>
      <c r="X383" s="46" t="str">
        <f t="shared" si="73"/>
        <v>1</v>
      </c>
      <c r="Y383" s="47" t="s">
        <v>1518</v>
      </c>
      <c r="Z383" s="46" t="str">
        <f t="shared" si="74"/>
        <v>T</v>
      </c>
      <c r="AA383" s="47" t="s">
        <v>2752</v>
      </c>
      <c r="AB383" s="46" t="str">
        <f t="shared" si="75"/>
        <v>VIERNES</v>
      </c>
      <c r="AC383" s="47" t="s">
        <v>2753</v>
      </c>
      <c r="AD383">
        <f t="shared" si="76"/>
        <v>0</v>
      </c>
      <c r="AE383" s="47" t="s">
        <v>2754</v>
      </c>
      <c r="AH383" t="str">
        <f t="shared" si="77"/>
        <v>INSERT INTO horario_curso_materia (horario_curso_materia.FK_CUR_mat,horario_curso_materia.FK_HOR,horario_curso_materia.DIA,horario_curso_materia.tipo_turno) VALUES (  (SELECT curso_materia.ID_CUR_MAT FROM curso_materia WHERE curso_materia.CUPOF='733447' ) ,
    (SELECT horario.ID_HOR FROM horario WHERE horario.modulo='1 ' and horario.turno='T ' ),'VIERNES ' , '0 ' );</v>
      </c>
    </row>
    <row r="384" spans="1:34" ht="15" hidden="1" customHeight="1" x14ac:dyDescent="0.3">
      <c r="A384" s="1" t="str">
        <f t="shared" si="70"/>
        <v>3°2°</v>
      </c>
      <c r="B384" s="54" t="str">
        <f t="shared" si="67"/>
        <v>3°2°2JUTARDE0</v>
      </c>
      <c r="C384" s="62">
        <f>VLOOKUP(G384,[1]Hoja1!$A:$O,3,0)</f>
        <v>0</v>
      </c>
      <c r="D384" s="2" t="str">
        <f t="shared" si="69"/>
        <v>2JUT</v>
      </c>
      <c r="E384" s="62" t="s">
        <v>45</v>
      </c>
      <c r="F384" s="62" t="s">
        <v>10</v>
      </c>
      <c r="G384" s="62" t="s">
        <v>363</v>
      </c>
      <c r="H384" s="8" t="str">
        <f>VLOOKUP(G384,[1]Hoja1!$A:$O,6,0)</f>
        <v>PRACTICA DEL LENGUAJE</v>
      </c>
      <c r="I384" s="4"/>
      <c r="J384" s="4"/>
      <c r="K384" s="80" t="str">
        <f t="shared" si="68"/>
        <v>JU</v>
      </c>
      <c r="L384" s="4"/>
      <c r="M384" s="86" t="str">
        <f>VLOOKUP(G384,[1]Hoja1!$A:$O,15,0)</f>
        <v>GONZALEZ DANIELA</v>
      </c>
      <c r="N384" s="2" t="str">
        <f t="shared" si="71"/>
        <v>3°2°3PLGJU</v>
      </c>
      <c r="O384" s="2"/>
      <c r="P384" s="2" t="str">
        <f>VLOOKUP(G384,[1]Hoja1!$A:$P,16,0)</f>
        <v xml:space="preserve"> </v>
      </c>
      <c r="Q384" s="2"/>
      <c r="S384">
        <f>VLOOKUP(G384,[1]Hoja1!$A:$O,5,0)</f>
        <v>733447</v>
      </c>
      <c r="U384" s="45" t="s">
        <v>2751</v>
      </c>
      <c r="V384" s="46">
        <f t="shared" si="72"/>
        <v>733447</v>
      </c>
      <c r="W384" s="47" t="s">
        <v>1519</v>
      </c>
      <c r="X384" s="46" t="str">
        <f t="shared" si="73"/>
        <v>2</v>
      </c>
      <c r="Y384" s="47" t="s">
        <v>1518</v>
      </c>
      <c r="Z384" s="46" t="str">
        <f t="shared" si="74"/>
        <v>T</v>
      </c>
      <c r="AA384" s="47" t="s">
        <v>2752</v>
      </c>
      <c r="AB384" s="46" t="str">
        <f t="shared" si="75"/>
        <v>JUEVES</v>
      </c>
      <c r="AC384" s="47" t="s">
        <v>2753</v>
      </c>
      <c r="AD384">
        <f t="shared" si="76"/>
        <v>0</v>
      </c>
      <c r="AE384" s="47" t="s">
        <v>2754</v>
      </c>
      <c r="AH384" t="str">
        <f t="shared" si="77"/>
        <v>INSERT INTO horario_curso_materia (horario_curso_materia.FK_CUR_mat,horario_curso_materia.FK_HOR,horario_curso_materia.DIA,horario_curso_materia.tipo_turno) VALUES (  (SELECT curso_materia.ID_CUR_MAT FROM curso_materia WHERE curso_materia.CUPOF='733447' ) ,
    (SELECT horario.ID_HOR FROM horario WHERE horario.modulo='2 ' and horario.turno='T ' ),'JUEVES ' , '0 ' );</v>
      </c>
    </row>
    <row r="385" spans="1:34" ht="15" hidden="1" customHeight="1" x14ac:dyDescent="0.3">
      <c r="A385" s="1" t="str">
        <f t="shared" si="70"/>
        <v>3°2°</v>
      </c>
      <c r="B385" s="54" t="str">
        <f t="shared" si="67"/>
        <v>3°2°2JUVESPERTINO322</v>
      </c>
      <c r="C385" s="62">
        <f>VLOOKUP(G385,[1]Hoja1!$A:$O,3,0)</f>
        <v>322</v>
      </c>
      <c r="D385" s="2" t="str">
        <f t="shared" si="69"/>
        <v>2JUVcarpinteria</v>
      </c>
      <c r="E385" s="62" t="s">
        <v>45</v>
      </c>
      <c r="F385" s="62" t="s">
        <v>125</v>
      </c>
      <c r="G385" s="62" t="s">
        <v>109</v>
      </c>
      <c r="H385" s="8" t="str">
        <f>VLOOKUP(G385,[1]Hoja1!$A:$O,6,0)</f>
        <v>SISTEMAS TECNOLOGICOS</v>
      </c>
      <c r="I385" s="4" t="s">
        <v>2758</v>
      </c>
      <c r="J385" s="4"/>
      <c r="K385" s="80" t="str">
        <f t="shared" si="68"/>
        <v>JU</v>
      </c>
      <c r="L385" s="4" t="s">
        <v>512</v>
      </c>
      <c r="M385" s="86" t="str">
        <f>VLOOKUP(G385,[1]Hoja1!$A:$O,15,0)</f>
        <v>PAZ DANIEL</v>
      </c>
      <c r="N385" s="2" t="str">
        <f t="shared" si="71"/>
        <v>3°2°3223TST3JU</v>
      </c>
      <c r="O385" s="2" t="s">
        <v>1488</v>
      </c>
      <c r="P385" s="2" t="str">
        <f>VLOOKUP(G385,[1]Hoja1!$A:$P,16,0)</f>
        <v xml:space="preserve"> </v>
      </c>
      <c r="Q385" s="2"/>
      <c r="S385">
        <f>VLOOKUP(G385,[1]Hoja1!$A:$O,5,0)</f>
        <v>2682796</v>
      </c>
      <c r="U385" s="45" t="s">
        <v>2751</v>
      </c>
      <c r="V385" s="46">
        <f t="shared" si="72"/>
        <v>2682796</v>
      </c>
      <c r="W385" s="47" t="s">
        <v>1519</v>
      </c>
      <c r="X385" s="46" t="str">
        <f t="shared" si="73"/>
        <v>2</v>
      </c>
      <c r="Y385" s="47" t="s">
        <v>1518</v>
      </c>
      <c r="Z385" s="46" t="str">
        <f t="shared" si="74"/>
        <v>V</v>
      </c>
      <c r="AA385" s="47" t="s">
        <v>2752</v>
      </c>
      <c r="AB385" s="46" t="str">
        <f t="shared" si="75"/>
        <v>JUEVES</v>
      </c>
      <c r="AC385" s="47" t="s">
        <v>2753</v>
      </c>
      <c r="AD385" t="str">
        <f t="shared" si="76"/>
        <v>CONTRATURNO</v>
      </c>
      <c r="AE385" s="47" t="s">
        <v>2754</v>
      </c>
      <c r="AH385" t="str">
        <f t="shared" si="77"/>
        <v>INSERT INTO horario_curso_materia (horario_curso_materia.FK_CUR_mat,horario_curso_materia.FK_HOR,horario_curso_materia.DIA,horario_curso_materia.tipo_turno) VALUES (  (SELECT curso_materia.ID_CUR_MAT FROM curso_materia WHERE curso_materia.CUPOF='2682796' ) ,
    (SELECT horario.ID_HOR FROM horario WHERE horario.modulo='2 ' and horario.turno='V ' ),'JUEVES ' , 'CONTRATURNO ' );</v>
      </c>
    </row>
    <row r="386" spans="1:34" ht="15" hidden="1" customHeight="1" x14ac:dyDescent="0.3">
      <c r="A386" s="1" t="str">
        <f t="shared" si="70"/>
        <v>3°2°</v>
      </c>
      <c r="B386" s="54" t="str">
        <f t="shared" si="67"/>
        <v>3°2°2LUTARDE0</v>
      </c>
      <c r="C386" s="62">
        <f>VLOOKUP(G386,[1]Hoja1!$A:$O,3,0)</f>
        <v>0</v>
      </c>
      <c r="D386" s="2" t="str">
        <f t="shared" si="69"/>
        <v>2LUT</v>
      </c>
      <c r="E386" s="62" t="s">
        <v>12</v>
      </c>
      <c r="F386" s="62" t="s">
        <v>10</v>
      </c>
      <c r="G386" s="62" t="s">
        <v>357</v>
      </c>
      <c r="H386" s="8" t="str">
        <f>VLOOKUP(G386,[1]Hoja1!$A:$O,6,0)</f>
        <v>MATEMATICA</v>
      </c>
      <c r="I386" s="4"/>
      <c r="J386" s="4"/>
      <c r="K386" s="80" t="str">
        <f t="shared" si="68"/>
        <v>LU</v>
      </c>
      <c r="L386" s="4"/>
      <c r="M386" s="86" t="str">
        <f>VLOOKUP(G386,[1]Hoja1!$A:$O,15,0)</f>
        <v xml:space="preserve">VARCHETTA, GABRIEL OMAR   </v>
      </c>
      <c r="N386" s="2" t="str">
        <f t="shared" si="71"/>
        <v>3°2°3MATLU</v>
      </c>
      <c r="O386" s="2"/>
      <c r="P386" s="2" t="str">
        <f>VLOOKUP(G386,[1]Hoja1!$A:$P,16,0)</f>
        <v xml:space="preserve"> </v>
      </c>
      <c r="Q386" s="2"/>
      <c r="S386">
        <f>VLOOKUP(G386,[1]Hoja1!$A:$O,5,0)</f>
        <v>789744</v>
      </c>
      <c r="U386" s="45" t="s">
        <v>2751</v>
      </c>
      <c r="V386" s="46">
        <f t="shared" si="72"/>
        <v>789744</v>
      </c>
      <c r="W386" s="47" t="s">
        <v>1519</v>
      </c>
      <c r="X386" s="46" t="str">
        <f t="shared" si="73"/>
        <v>2</v>
      </c>
      <c r="Y386" s="47" t="s">
        <v>1518</v>
      </c>
      <c r="Z386" s="46" t="str">
        <f t="shared" si="74"/>
        <v>T</v>
      </c>
      <c r="AA386" s="47" t="s">
        <v>2752</v>
      </c>
      <c r="AB386" s="46" t="str">
        <f t="shared" si="75"/>
        <v>LUNES</v>
      </c>
      <c r="AC386" s="47" t="s">
        <v>2753</v>
      </c>
      <c r="AD386">
        <f t="shared" si="76"/>
        <v>0</v>
      </c>
      <c r="AE386" s="47" t="s">
        <v>2754</v>
      </c>
      <c r="AH386" t="str">
        <f t="shared" si="77"/>
        <v>INSERT INTO horario_curso_materia (horario_curso_materia.FK_CUR_mat,horario_curso_materia.FK_HOR,horario_curso_materia.DIA,horario_curso_materia.tipo_turno) VALUES (  (SELECT curso_materia.ID_CUR_MAT FROM curso_materia WHERE curso_materia.CUPOF='789744' ) ,
    (SELECT horario.ID_HOR FROM horario WHERE horario.modulo='2 ' and horario.turno='T ' ),'LUNES ' , '0 ' );</v>
      </c>
    </row>
    <row r="387" spans="1:34" ht="15" hidden="1" customHeight="1" x14ac:dyDescent="0.3">
      <c r="A387" s="1" t="str">
        <f t="shared" si="70"/>
        <v>3°2°</v>
      </c>
      <c r="B387" s="54" t="str">
        <f t="shared" si="67"/>
        <v>3°2°2MAMAÑANA322</v>
      </c>
      <c r="C387" s="62">
        <f>VLOOKUP(G387,[1]Hoja1!$A:$O,3,0)</f>
        <v>322</v>
      </c>
      <c r="D387" s="2" t="str">
        <f t="shared" si="69"/>
        <v>2MAMaula 4</v>
      </c>
      <c r="E387" s="62" t="s">
        <v>19</v>
      </c>
      <c r="F387" s="62" t="s">
        <v>27</v>
      </c>
      <c r="G387" s="62" t="s">
        <v>111</v>
      </c>
      <c r="H387" s="8" t="str">
        <f>VLOOKUP(G387,[1]Hoja1!$A:$O,6,0)</f>
        <v>LENGUAJES TECNOLOGICOS</v>
      </c>
      <c r="I387" s="4" t="s">
        <v>1437</v>
      </c>
      <c r="J387" s="4"/>
      <c r="K387" s="80" t="str">
        <f t="shared" si="68"/>
        <v>MA</v>
      </c>
      <c r="L387" s="4" t="s">
        <v>512</v>
      </c>
      <c r="M387" s="86" t="str">
        <f>VLOOKUP(G387,[1]Hoja1!$A:$O,15,0)</f>
        <v>TITO JUAN MANUEL</v>
      </c>
      <c r="N387" s="2" t="str">
        <f t="shared" si="71"/>
        <v>3°2°3223TLT3MA</v>
      </c>
      <c r="O387" s="2"/>
      <c r="P387" s="2" t="str">
        <f>VLOOKUP(G387,[1]Hoja1!$A:$P,16,0)</f>
        <v xml:space="preserve"> </v>
      </c>
      <c r="Q387" s="2"/>
      <c r="S387">
        <f>VLOOKUP(G387,[1]Hoja1!$A:$O,5,0)</f>
        <v>2682794</v>
      </c>
      <c r="U387" s="45" t="s">
        <v>2751</v>
      </c>
      <c r="V387" s="46">
        <f t="shared" si="72"/>
        <v>2682794</v>
      </c>
      <c r="W387" s="47" t="s">
        <v>1519</v>
      </c>
      <c r="X387" s="46" t="str">
        <f t="shared" si="73"/>
        <v>2</v>
      </c>
      <c r="Y387" s="47" t="s">
        <v>1518</v>
      </c>
      <c r="Z387" s="46" t="str">
        <f t="shared" si="74"/>
        <v>M</v>
      </c>
      <c r="AA387" s="47" t="s">
        <v>2752</v>
      </c>
      <c r="AB387" s="46" t="str">
        <f t="shared" si="75"/>
        <v>MARTES</v>
      </c>
      <c r="AC387" s="47" t="s">
        <v>2753</v>
      </c>
      <c r="AD387" t="str">
        <f t="shared" si="76"/>
        <v>CONTRATURNO</v>
      </c>
      <c r="AE387" s="47" t="s">
        <v>2754</v>
      </c>
      <c r="AH387" t="str">
        <f t="shared" si="77"/>
        <v>INSERT INTO horario_curso_materia (horario_curso_materia.FK_CUR_mat,horario_curso_materia.FK_HOR,horario_curso_materia.DIA,horario_curso_materia.tipo_turno) VALUES (  (SELECT curso_materia.ID_CUR_MAT FROM curso_materia WHERE curso_materia.CUPOF='2682794' ) ,
    (SELECT horario.ID_HOR FROM horario WHERE horario.modulo='2 ' and horario.turno='M ' ),'MARTES ' , 'CONTRATURNO ' );</v>
      </c>
    </row>
    <row r="388" spans="1:34" ht="15" hidden="1" customHeight="1" x14ac:dyDescent="0.3">
      <c r="A388" s="1" t="str">
        <f t="shared" si="70"/>
        <v>3°2°</v>
      </c>
      <c r="B388" s="54" t="str">
        <f t="shared" si="67"/>
        <v>3°2°2MATARDE0</v>
      </c>
      <c r="C388" s="62">
        <f>VLOOKUP(G388,[1]Hoja1!$A:$O,3,0)</f>
        <v>0</v>
      </c>
      <c r="D388" s="2" t="str">
        <f t="shared" si="69"/>
        <v>2MAT</v>
      </c>
      <c r="E388" s="62" t="s">
        <v>19</v>
      </c>
      <c r="F388" s="62" t="s">
        <v>10</v>
      </c>
      <c r="G388" s="62" t="s">
        <v>360</v>
      </c>
      <c r="H388" s="8" t="str">
        <f>VLOOKUP(G388,[1]Hoja1!$A:$O,6,0)</f>
        <v>GEOGRAFIA</v>
      </c>
      <c r="I388" s="4"/>
      <c r="J388" s="4"/>
      <c r="K388" s="80" t="str">
        <f t="shared" ref="K388:K451" si="78">RIGHT(E388,2)</f>
        <v>MA</v>
      </c>
      <c r="L388" s="4"/>
      <c r="M388" s="86" t="str">
        <f>VLOOKUP(G388,[1]Hoja1!$A:$O,15,0)</f>
        <v>ZAMBRANO GAMBOA JOSHUA</v>
      </c>
      <c r="N388" s="2" t="str">
        <f t="shared" si="71"/>
        <v>3°2°3GEOMA</v>
      </c>
      <c r="O388" s="2"/>
      <c r="P388" s="2" t="str">
        <f>VLOOKUP(G388,[1]Hoja1!$A:$P,16,0)</f>
        <v xml:space="preserve"> </v>
      </c>
      <c r="Q388" s="2"/>
      <c r="S388">
        <f>VLOOKUP(G388,[1]Hoja1!$A:$O,5,0)</f>
        <v>1644177</v>
      </c>
      <c r="U388" s="45" t="s">
        <v>2751</v>
      </c>
      <c r="V388" s="46">
        <f t="shared" si="72"/>
        <v>1644177</v>
      </c>
      <c r="W388" s="47" t="s">
        <v>1519</v>
      </c>
      <c r="X388" s="46" t="str">
        <f t="shared" si="73"/>
        <v>2</v>
      </c>
      <c r="Y388" s="47" t="s">
        <v>1518</v>
      </c>
      <c r="Z388" s="46" t="str">
        <f t="shared" si="74"/>
        <v>T</v>
      </c>
      <c r="AA388" s="47" t="s">
        <v>2752</v>
      </c>
      <c r="AB388" s="46" t="str">
        <f t="shared" si="75"/>
        <v>MARTES</v>
      </c>
      <c r="AC388" s="47" t="s">
        <v>2753</v>
      </c>
      <c r="AD388">
        <f t="shared" si="76"/>
        <v>0</v>
      </c>
      <c r="AE388" s="47" t="s">
        <v>2754</v>
      </c>
      <c r="AH388" t="str">
        <f t="shared" si="77"/>
        <v>INSERT INTO horario_curso_materia (horario_curso_materia.FK_CUR_mat,horario_curso_materia.FK_HOR,horario_curso_materia.DIA,horario_curso_materia.tipo_turno) VALUES (  (SELECT curso_materia.ID_CUR_MAT FROM curso_materia WHERE curso_materia.CUPOF='1644177' ) ,
    (SELECT horario.ID_HOR FROM horario WHERE horario.modulo='2 ' and horario.turno='T ' ),'MARTES ' , '0 ' );</v>
      </c>
    </row>
    <row r="389" spans="1:34" ht="15" hidden="1" customHeight="1" x14ac:dyDescent="0.3">
      <c r="A389" s="1" t="str">
        <f t="shared" si="70"/>
        <v>3°2°</v>
      </c>
      <c r="B389" s="54" t="str">
        <f t="shared" si="67"/>
        <v>3°2°4MAMAÑANA0</v>
      </c>
      <c r="C389" s="62">
        <f>VLOOKUP(G389,[1]Hoja1!$A:$O,3,0)</f>
        <v>0</v>
      </c>
      <c r="D389" s="2" t="str">
        <f t="shared" si="69"/>
        <v>4MAMPATIO2</v>
      </c>
      <c r="E389" s="62" t="s">
        <v>16</v>
      </c>
      <c r="F389" s="62" t="s">
        <v>27</v>
      </c>
      <c r="G389" s="62" t="s">
        <v>366</v>
      </c>
      <c r="H389" s="8" t="str">
        <f>VLOOKUP(G389,[1]Hoja1!$A:$O,6,0)</f>
        <v>EDUCACIÓN FISICA</v>
      </c>
      <c r="I389" s="4" t="s">
        <v>295</v>
      </c>
      <c r="J389" s="4"/>
      <c r="K389" s="80" t="str">
        <f t="shared" si="78"/>
        <v>MA</v>
      </c>
      <c r="L389" s="4" t="s">
        <v>512</v>
      </c>
      <c r="M389" s="86" t="str">
        <f>VLOOKUP(G389,[1]Hoja1!$A:$O,15,0)</f>
        <v>DE LA FUENTE F.</v>
      </c>
      <c r="N389" s="2" t="str">
        <f t="shared" si="71"/>
        <v>3°2°3EFIMA</v>
      </c>
      <c r="O389" s="2" t="s">
        <v>1449</v>
      </c>
      <c r="P389" s="2" t="str">
        <f>VLOOKUP(G389,[1]Hoja1!$A:$P,16,0)</f>
        <v xml:space="preserve"> </v>
      </c>
      <c r="Q389" s="2"/>
      <c r="S389">
        <f>VLOOKUP(G389,[1]Hoja1!$A:$O,5,0)</f>
        <v>733459</v>
      </c>
      <c r="U389" s="45" t="s">
        <v>2751</v>
      </c>
      <c r="V389" s="46">
        <f t="shared" si="72"/>
        <v>733459</v>
      </c>
      <c r="W389" s="47" t="s">
        <v>1519</v>
      </c>
      <c r="X389" s="46" t="str">
        <f t="shared" si="73"/>
        <v>4</v>
      </c>
      <c r="Y389" s="47" t="s">
        <v>1518</v>
      </c>
      <c r="Z389" s="46" t="str">
        <f t="shared" si="74"/>
        <v>M</v>
      </c>
      <c r="AA389" s="47" t="s">
        <v>2752</v>
      </c>
      <c r="AB389" s="46" t="str">
        <f t="shared" si="75"/>
        <v>MARTES</v>
      </c>
      <c r="AC389" s="47" t="s">
        <v>2753</v>
      </c>
      <c r="AD389" t="str">
        <f t="shared" si="76"/>
        <v>CONTRATURNO</v>
      </c>
      <c r="AE389" s="47" t="s">
        <v>2754</v>
      </c>
      <c r="AH389" t="str">
        <f t="shared" si="77"/>
        <v>INSERT INTO horario_curso_materia (horario_curso_materia.FK_CUR_mat,horario_curso_materia.FK_HOR,horario_curso_materia.DIA,horario_curso_materia.tipo_turno) VALUES (  (SELECT curso_materia.ID_CUR_MAT FROM curso_materia WHERE curso_materia.CUPOF='733459' ) ,
    (SELECT horario.ID_HOR FROM horario WHERE horario.modulo='4 ' and horario.turno='M ' ),'MARTES ' , 'CONTRATURNO ' );</v>
      </c>
    </row>
    <row r="390" spans="1:34" ht="15" hidden="1" customHeight="1" x14ac:dyDescent="0.3">
      <c r="A390" s="1" t="str">
        <f t="shared" si="70"/>
        <v>3°2°</v>
      </c>
      <c r="B390" s="54" t="str">
        <f t="shared" ref="B390:B453" si="79">CONCATENATE(LEFT(G390,4),E390,F390,C390)</f>
        <v>3°2°2MITARDE0</v>
      </c>
      <c r="C390" s="62">
        <f>VLOOKUP(G390,[1]Hoja1!$A:$O,3,0)</f>
        <v>0</v>
      </c>
      <c r="D390" s="2" t="str">
        <f t="shared" si="69"/>
        <v>2MIT</v>
      </c>
      <c r="E390" s="62" t="s">
        <v>26</v>
      </c>
      <c r="F390" s="62" t="s">
        <v>10</v>
      </c>
      <c r="G390" s="62" t="s">
        <v>357</v>
      </c>
      <c r="H390" s="8" t="str">
        <f>VLOOKUP(G390,[1]Hoja1!$A:$O,6,0)</f>
        <v>MATEMATICA</v>
      </c>
      <c r="I390" s="4"/>
      <c r="J390" s="4"/>
      <c r="K390" s="80" t="str">
        <f t="shared" si="78"/>
        <v>MI</v>
      </c>
      <c r="L390" s="4"/>
      <c r="M390" s="86" t="str">
        <f>VLOOKUP(G390,[1]Hoja1!$A:$O,15,0)</f>
        <v xml:space="preserve">VARCHETTA, GABRIEL OMAR   </v>
      </c>
      <c r="N390" s="2" t="str">
        <f t="shared" si="71"/>
        <v>3°2°3MATMI</v>
      </c>
      <c r="O390" s="2"/>
      <c r="P390" s="2" t="str">
        <f>VLOOKUP(G390,[1]Hoja1!$A:$P,16,0)</f>
        <v xml:space="preserve"> </v>
      </c>
      <c r="Q390" s="2"/>
      <c r="S390">
        <f>VLOOKUP(G390,[1]Hoja1!$A:$O,5,0)</f>
        <v>789744</v>
      </c>
      <c r="U390" s="45" t="s">
        <v>2751</v>
      </c>
      <c r="V390" s="46">
        <f t="shared" si="72"/>
        <v>789744</v>
      </c>
      <c r="W390" s="47" t="s">
        <v>1519</v>
      </c>
      <c r="X390" s="46" t="str">
        <f t="shared" si="73"/>
        <v>2</v>
      </c>
      <c r="Y390" s="47" t="s">
        <v>1518</v>
      </c>
      <c r="Z390" s="46" t="str">
        <f t="shared" si="74"/>
        <v>T</v>
      </c>
      <c r="AA390" s="47" t="s">
        <v>2752</v>
      </c>
      <c r="AB390" s="46" t="str">
        <f t="shared" si="75"/>
        <v>MIERCOLES</v>
      </c>
      <c r="AC390" s="47" t="s">
        <v>2753</v>
      </c>
      <c r="AD390">
        <f t="shared" si="76"/>
        <v>0</v>
      </c>
      <c r="AE390" s="47" t="s">
        <v>2754</v>
      </c>
      <c r="AH390" t="str">
        <f t="shared" si="77"/>
        <v>INSERT INTO horario_curso_materia (horario_curso_materia.FK_CUR_mat,horario_curso_materia.FK_HOR,horario_curso_materia.DIA,horario_curso_materia.tipo_turno) VALUES (  (SELECT curso_materia.ID_CUR_MAT FROM curso_materia WHERE curso_materia.CUPOF='789744' ) ,
    (SELECT horario.ID_HOR FROM horario WHERE horario.modulo='2 ' and horario.turno='T ' ),'MIERCOLES ' , '0 ' );</v>
      </c>
    </row>
    <row r="391" spans="1:34" ht="15" hidden="1" customHeight="1" x14ac:dyDescent="0.3">
      <c r="A391" s="1" t="str">
        <f t="shared" si="70"/>
        <v>3°2°</v>
      </c>
      <c r="B391" s="54" t="str">
        <f t="shared" si="79"/>
        <v>3°2°2VIMAÑANA321</v>
      </c>
      <c r="C391" s="62">
        <f>VLOOKUP(G391,[1]Hoja1!$A:$O,3,0)</f>
        <v>321</v>
      </c>
      <c r="D391" s="2" t="str">
        <f t="shared" si="69"/>
        <v>2VIMAULA 2</v>
      </c>
      <c r="E391" s="62" t="s">
        <v>59</v>
      </c>
      <c r="F391" s="62" t="s">
        <v>27</v>
      </c>
      <c r="G391" s="62" t="s">
        <v>112</v>
      </c>
      <c r="H391" s="8" t="str">
        <f>VLOOKUP(G391,[1]Hoja1!$A:$O,6,0)</f>
        <v>LENGUAJES TECNOLOGICOS</v>
      </c>
      <c r="I391" s="4" t="s">
        <v>1486</v>
      </c>
      <c r="J391" s="4"/>
      <c r="K391" s="80" t="str">
        <f t="shared" si="78"/>
        <v>VI</v>
      </c>
      <c r="L391" s="4" t="s">
        <v>512</v>
      </c>
      <c r="M391" s="86" t="str">
        <f>VLOOKUP(G391,[1]Hoja1!$A:$O,15,0)</f>
        <v>TITO JUAN MANUEL</v>
      </c>
      <c r="N391" s="2" t="str">
        <f t="shared" si="71"/>
        <v>3°2°3213TLT3VI</v>
      </c>
      <c r="O391" s="2"/>
      <c r="P391" s="2" t="str">
        <f>VLOOKUP(G391,[1]Hoja1!$A:$P,16,0)</f>
        <v xml:space="preserve"> </v>
      </c>
      <c r="Q391" s="2"/>
      <c r="S391">
        <f>VLOOKUP(G391,[1]Hoja1!$A:$O,5,0)</f>
        <v>2682790</v>
      </c>
      <c r="U391" s="45" t="s">
        <v>2751</v>
      </c>
      <c r="V391" s="46">
        <f t="shared" si="72"/>
        <v>2682790</v>
      </c>
      <c r="W391" s="47" t="s">
        <v>1519</v>
      </c>
      <c r="X391" s="46" t="str">
        <f t="shared" si="73"/>
        <v>2</v>
      </c>
      <c r="Y391" s="47" t="s">
        <v>1518</v>
      </c>
      <c r="Z391" s="46" t="str">
        <f t="shared" si="74"/>
        <v>M</v>
      </c>
      <c r="AA391" s="47" t="s">
        <v>2752</v>
      </c>
      <c r="AB391" s="46" t="str">
        <f t="shared" si="75"/>
        <v>VIERNES</v>
      </c>
      <c r="AC391" s="47" t="s">
        <v>2753</v>
      </c>
      <c r="AD391" t="str">
        <f t="shared" si="76"/>
        <v>CONTRATURNO</v>
      </c>
      <c r="AE391" s="47" t="s">
        <v>2754</v>
      </c>
      <c r="AH391" t="str">
        <f t="shared" si="77"/>
        <v>INSERT INTO horario_curso_materia (horario_curso_materia.FK_CUR_mat,horario_curso_materia.FK_HOR,horario_curso_materia.DIA,horario_curso_materia.tipo_turno) VALUES (  (SELECT curso_materia.ID_CUR_MAT FROM curso_materia WHERE curso_materia.CUPOF='2682790' ) ,
    (SELECT horario.ID_HOR FROM horario WHERE horario.modulo='2 ' and horario.turno='M ' ),'VIERNES ' , 'CONTRATURNO ' );</v>
      </c>
    </row>
    <row r="392" spans="1:34" ht="15" hidden="1" customHeight="1" x14ac:dyDescent="0.3">
      <c r="A392" s="1" t="str">
        <f t="shared" si="70"/>
        <v>3°2°</v>
      </c>
      <c r="B392" s="54" t="str">
        <f t="shared" si="79"/>
        <v>3°2°2VIMAÑANA322</v>
      </c>
      <c r="C392" s="62">
        <f>VLOOKUP(G392,[1]Hoja1!$A:$O,3,0)</f>
        <v>322</v>
      </c>
      <c r="D392" s="2" t="str">
        <f t="shared" si="69"/>
        <v>2VIMsuperpuesto</v>
      </c>
      <c r="E392" s="62" t="s">
        <v>59</v>
      </c>
      <c r="F392" s="62" t="s">
        <v>27</v>
      </c>
      <c r="G392" s="62" t="s">
        <v>113</v>
      </c>
      <c r="H392" s="8" t="str">
        <f>VLOOKUP(G392,[1]Hoja1!$A:$O,6,0)</f>
        <v>PROCEDIMIENTOS TECNICOS</v>
      </c>
      <c r="I392" s="4" t="s">
        <v>2761</v>
      </c>
      <c r="J392" s="4"/>
      <c r="K392" s="80" t="str">
        <f t="shared" si="78"/>
        <v>VI</v>
      </c>
      <c r="L392" s="4" t="s">
        <v>512</v>
      </c>
      <c r="M392" s="86" t="str">
        <f>VLOOKUP(G392,[1]Hoja1!$A:$O,15,0)</f>
        <v xml:space="preserve">ETCHEVERRY MARTIN                            </v>
      </c>
      <c r="N392" s="2" t="str">
        <f t="shared" si="71"/>
        <v>3°2°3223TPT3VI</v>
      </c>
      <c r="O392" s="2"/>
      <c r="P392" s="2" t="str">
        <f>VLOOKUP(G392,[1]Hoja1!$A:$P,16,0)</f>
        <v xml:space="preserve"> </v>
      </c>
      <c r="Q392" s="2"/>
      <c r="S392">
        <f>VLOOKUP(G392,[1]Hoja1!$A:$O,5,0)</f>
        <v>2682798</v>
      </c>
      <c r="U392" s="45" t="s">
        <v>2751</v>
      </c>
      <c r="V392" s="46">
        <f t="shared" si="72"/>
        <v>2682798</v>
      </c>
      <c r="W392" s="47" t="s">
        <v>1519</v>
      </c>
      <c r="X392" s="46" t="str">
        <f t="shared" si="73"/>
        <v>2</v>
      </c>
      <c r="Y392" s="47" t="s">
        <v>1518</v>
      </c>
      <c r="Z392" s="46" t="str">
        <f t="shared" si="74"/>
        <v>M</v>
      </c>
      <c r="AA392" s="47" t="s">
        <v>2752</v>
      </c>
      <c r="AB392" s="46" t="str">
        <f t="shared" si="75"/>
        <v>VIERNES</v>
      </c>
      <c r="AC392" s="47" t="s">
        <v>2753</v>
      </c>
      <c r="AD392" t="str">
        <f t="shared" si="76"/>
        <v>CONTRATURNO</v>
      </c>
      <c r="AE392" s="47" t="s">
        <v>2754</v>
      </c>
      <c r="AH392" t="str">
        <f t="shared" si="77"/>
        <v>INSERT INTO horario_curso_materia (horario_curso_materia.FK_CUR_mat,horario_curso_materia.FK_HOR,horario_curso_materia.DIA,horario_curso_materia.tipo_turno) VALUES (  (SELECT curso_materia.ID_CUR_MAT FROM curso_materia WHERE curso_materia.CUPOF='2682798' ) ,
    (SELECT horario.ID_HOR FROM horario WHERE horario.modulo='2 ' and horario.turno='M ' ),'VIERNES ' , 'CONTRATURNO ' );</v>
      </c>
    </row>
    <row r="393" spans="1:34" ht="15" hidden="1" customHeight="1" x14ac:dyDescent="0.3">
      <c r="A393" s="1" t="str">
        <f t="shared" si="70"/>
        <v>3°2°</v>
      </c>
      <c r="B393" s="54" t="str">
        <f t="shared" si="79"/>
        <v>3°2°2VITARDE0</v>
      </c>
      <c r="C393" s="62">
        <f>VLOOKUP(G393,[1]Hoja1!$A:$O,3,0)</f>
        <v>0</v>
      </c>
      <c r="D393" s="2" t="str">
        <f t="shared" si="69"/>
        <v>2VIT</v>
      </c>
      <c r="E393" s="62" t="s">
        <v>59</v>
      </c>
      <c r="F393" s="62" t="s">
        <v>10</v>
      </c>
      <c r="G393" s="62" t="s">
        <v>363</v>
      </c>
      <c r="H393" s="8" t="str">
        <f>VLOOKUP(G393,[1]Hoja1!$A:$O,6,0)</f>
        <v>PRACTICA DEL LENGUAJE</v>
      </c>
      <c r="I393" s="4"/>
      <c r="J393" s="4"/>
      <c r="K393" s="80" t="str">
        <f t="shared" si="78"/>
        <v>VI</v>
      </c>
      <c r="L393" s="4"/>
      <c r="M393" s="86" t="str">
        <f>VLOOKUP(G393,[1]Hoja1!$A:$O,15,0)</f>
        <v>GONZALEZ DANIELA</v>
      </c>
      <c r="N393" s="2" t="str">
        <f t="shared" si="71"/>
        <v>3°2°3PLGVI</v>
      </c>
      <c r="O393" s="2"/>
      <c r="P393" s="2" t="str">
        <f>VLOOKUP(G393,[1]Hoja1!$A:$P,16,0)</f>
        <v xml:space="preserve"> </v>
      </c>
      <c r="Q393" s="2"/>
      <c r="S393">
        <f>VLOOKUP(G393,[1]Hoja1!$A:$O,5,0)</f>
        <v>733447</v>
      </c>
      <c r="U393" s="45" t="s">
        <v>2751</v>
      </c>
      <c r="V393" s="46">
        <f t="shared" si="72"/>
        <v>733447</v>
      </c>
      <c r="W393" s="47" t="s">
        <v>1519</v>
      </c>
      <c r="X393" s="46" t="str">
        <f t="shared" si="73"/>
        <v>2</v>
      </c>
      <c r="Y393" s="47" t="s">
        <v>1518</v>
      </c>
      <c r="Z393" s="46" t="str">
        <f t="shared" si="74"/>
        <v>T</v>
      </c>
      <c r="AA393" s="47" t="s">
        <v>2752</v>
      </c>
      <c r="AB393" s="46" t="str">
        <f t="shared" si="75"/>
        <v>VIERNES</v>
      </c>
      <c r="AC393" s="47" t="s">
        <v>2753</v>
      </c>
      <c r="AD393">
        <f t="shared" si="76"/>
        <v>0</v>
      </c>
      <c r="AE393" s="47" t="s">
        <v>2754</v>
      </c>
      <c r="AH393" t="str">
        <f t="shared" si="77"/>
        <v>INSERT INTO horario_curso_materia (horario_curso_materia.FK_CUR_mat,horario_curso_materia.FK_HOR,horario_curso_materia.DIA,horario_curso_materia.tipo_turno) VALUES (  (SELECT curso_materia.ID_CUR_MAT FROM curso_materia WHERE curso_materia.CUPOF='733447' ) ,
    (SELECT horario.ID_HOR FROM horario WHERE horario.modulo='2 ' and horario.turno='T ' ),'VIERNES ' , '0 ' );</v>
      </c>
    </row>
    <row r="394" spans="1:34" ht="15" hidden="1" customHeight="1" x14ac:dyDescent="0.3">
      <c r="A394" s="1" t="str">
        <f t="shared" si="70"/>
        <v>3°2°</v>
      </c>
      <c r="B394" s="54" t="str">
        <f t="shared" si="79"/>
        <v>3°2°1MIMAÑANA321</v>
      </c>
      <c r="C394" s="62">
        <f>VLOOKUP(G394,[1]Hoja1!$A:$O,3,0)</f>
        <v>321</v>
      </c>
      <c r="D394" s="2" t="str">
        <f t="shared" si="69"/>
        <v>1MIMaula 1</v>
      </c>
      <c r="E394" s="62" t="s">
        <v>24</v>
      </c>
      <c r="F394" s="62" t="s">
        <v>27</v>
      </c>
      <c r="G394" s="62" t="s">
        <v>110</v>
      </c>
      <c r="H394" s="8" t="str">
        <f>VLOOKUP(G394,[1]Hoja1!$A:$O,6,0)</f>
        <v>SISTEMAS TECNOLOGICOS</v>
      </c>
      <c r="I394" s="4" t="s">
        <v>1489</v>
      </c>
      <c r="J394" s="4"/>
      <c r="K394" s="80" t="str">
        <f t="shared" si="78"/>
        <v>MI</v>
      </c>
      <c r="L394" s="4" t="s">
        <v>512</v>
      </c>
      <c r="M394" s="86" t="str">
        <f>VLOOKUP(G394,[1]Hoja1!$A:$O,15,0)</f>
        <v>CRUZ JESUS</v>
      </c>
      <c r="N394" s="2" t="str">
        <f t="shared" si="71"/>
        <v>3°2°3213TST3MI</v>
      </c>
      <c r="O394" s="2" t="s">
        <v>1487</v>
      </c>
      <c r="P394" s="2" t="str">
        <f>VLOOKUP(G394,[1]Hoja1!$A:$P,16,0)</f>
        <v xml:space="preserve"> </v>
      </c>
      <c r="Q394" s="2"/>
      <c r="S394">
        <f>VLOOKUP(G394,[1]Hoja1!$A:$O,5,0)</f>
        <v>2682791</v>
      </c>
      <c r="U394" s="45" t="s">
        <v>2751</v>
      </c>
      <c r="V394" s="46">
        <f t="shared" si="72"/>
        <v>2682791</v>
      </c>
      <c r="W394" s="47" t="s">
        <v>1519</v>
      </c>
      <c r="X394" s="46" t="str">
        <f t="shared" si="73"/>
        <v>1</v>
      </c>
      <c r="Y394" s="47" t="s">
        <v>1518</v>
      </c>
      <c r="Z394" s="46" t="str">
        <f t="shared" si="74"/>
        <v>M</v>
      </c>
      <c r="AA394" s="47" t="s">
        <v>2752</v>
      </c>
      <c r="AB394" s="46" t="str">
        <f t="shared" si="75"/>
        <v>MIERCOLES</v>
      </c>
      <c r="AC394" s="47" t="s">
        <v>2753</v>
      </c>
      <c r="AD394" t="str">
        <f t="shared" si="76"/>
        <v>CONTRATURNO</v>
      </c>
      <c r="AE394" s="47" t="s">
        <v>2754</v>
      </c>
      <c r="AH394" t="str">
        <f t="shared" si="77"/>
        <v>INSERT INTO horario_curso_materia (horario_curso_materia.FK_CUR_mat,horario_curso_materia.FK_HOR,horario_curso_materia.DIA,horario_curso_materia.tipo_turno) VALUES (  (SELECT curso_materia.ID_CUR_MAT FROM curso_materia WHERE curso_materia.CUPOF='2682791' ) ,
    (SELECT horario.ID_HOR FROM horario WHERE horario.modulo='1 ' and horario.turno='M ' ),'MIERCOLES ' , 'CONTRATURNO ' );</v>
      </c>
    </row>
    <row r="395" spans="1:34" ht="15" hidden="1" customHeight="1" x14ac:dyDescent="0.3">
      <c r="A395" s="1" t="str">
        <f t="shared" si="70"/>
        <v>3°2°</v>
      </c>
      <c r="B395" s="54" t="str">
        <f t="shared" si="79"/>
        <v>3°2°3JUTARDE0</v>
      </c>
      <c r="C395" s="62">
        <f>VLOOKUP(G395,[1]Hoja1!$A:$O,3,0)</f>
        <v>0</v>
      </c>
      <c r="D395" s="2" t="str">
        <f t="shared" si="69"/>
        <v>3JUT</v>
      </c>
      <c r="E395" s="62" t="s">
        <v>46</v>
      </c>
      <c r="F395" s="62" t="s">
        <v>10</v>
      </c>
      <c r="G395" s="62" t="s">
        <v>364</v>
      </c>
      <c r="H395" s="8" t="str">
        <f>VLOOKUP(G395,[1]Hoja1!$A:$O,6,0)</f>
        <v>EDUCACION ARTISTICA (PLASTICA)</v>
      </c>
      <c r="I395" s="4"/>
      <c r="J395" s="4"/>
      <c r="K395" s="80" t="str">
        <f t="shared" si="78"/>
        <v>JU</v>
      </c>
      <c r="L395" s="4"/>
      <c r="M395" s="86" t="str">
        <f>VLOOKUP(G395,[1]Hoja1!$A:$O,15,0)</f>
        <v xml:space="preserve">TAPIA EVANGELINA EMILCE  </v>
      </c>
      <c r="N395" s="2" t="str">
        <f t="shared" si="71"/>
        <v>3°2°3ARTJU</v>
      </c>
      <c r="O395" s="2"/>
      <c r="P395" s="2" t="str">
        <f>VLOOKUP(G395,[1]Hoja1!$A:$P,16,0)</f>
        <v xml:space="preserve"> </v>
      </c>
      <c r="Q395" s="2"/>
      <c r="S395">
        <f>VLOOKUP(G395,[1]Hoja1!$A:$O,5,0)</f>
        <v>733531</v>
      </c>
      <c r="U395" s="45" t="s">
        <v>2751</v>
      </c>
      <c r="V395" s="46">
        <f t="shared" si="72"/>
        <v>733531</v>
      </c>
      <c r="W395" s="47" t="s">
        <v>1519</v>
      </c>
      <c r="X395" s="46" t="str">
        <f t="shared" si="73"/>
        <v>3</v>
      </c>
      <c r="Y395" s="47" t="s">
        <v>1518</v>
      </c>
      <c r="Z395" s="46" t="str">
        <f t="shared" si="74"/>
        <v>T</v>
      </c>
      <c r="AA395" s="47" t="s">
        <v>2752</v>
      </c>
      <c r="AB395" s="46" t="str">
        <f t="shared" si="75"/>
        <v>JUEVES</v>
      </c>
      <c r="AC395" s="47" t="s">
        <v>2753</v>
      </c>
      <c r="AD395">
        <f t="shared" si="76"/>
        <v>0</v>
      </c>
      <c r="AE395" s="47" t="s">
        <v>2754</v>
      </c>
      <c r="AH395" t="str">
        <f t="shared" si="77"/>
        <v>INSERT INTO horario_curso_materia (horario_curso_materia.FK_CUR_mat,horario_curso_materia.FK_HOR,horario_curso_materia.DIA,horario_curso_materia.tipo_turno) VALUES (  (SELECT curso_materia.ID_CUR_MAT FROM curso_materia WHERE curso_materia.CUPOF='733531' ) ,
    (SELECT horario.ID_HOR FROM horario WHERE horario.modulo='3 ' and horario.turno='T ' ),'JUEVES ' , '0 ' );</v>
      </c>
    </row>
    <row r="396" spans="1:34" ht="15" hidden="1" customHeight="1" x14ac:dyDescent="0.3">
      <c r="A396" s="1" t="str">
        <f t="shared" si="70"/>
        <v>3°2°</v>
      </c>
      <c r="B396" s="54" t="str">
        <f t="shared" si="79"/>
        <v>3°2°3JUVESPERTINO322</v>
      </c>
      <c r="C396" s="62">
        <f>VLOOKUP(G396,[1]Hoja1!$A:$O,3,0)</f>
        <v>322</v>
      </c>
      <c r="D396" s="2" t="str">
        <f t="shared" si="69"/>
        <v>3JUVcarpinteria</v>
      </c>
      <c r="E396" s="62" t="s">
        <v>46</v>
      </c>
      <c r="F396" s="62" t="s">
        <v>125</v>
      </c>
      <c r="G396" s="62" t="s">
        <v>109</v>
      </c>
      <c r="H396" s="8" t="str">
        <f>VLOOKUP(G396,[1]Hoja1!$A:$O,6,0)</f>
        <v>SISTEMAS TECNOLOGICOS</v>
      </c>
      <c r="I396" s="4" t="s">
        <v>2758</v>
      </c>
      <c r="J396" s="4"/>
      <c r="K396" s="80" t="str">
        <f t="shared" si="78"/>
        <v>JU</v>
      </c>
      <c r="L396" s="4" t="s">
        <v>512</v>
      </c>
      <c r="M396" s="86" t="str">
        <f>VLOOKUP(G396,[1]Hoja1!$A:$O,15,0)</f>
        <v>PAZ DANIEL</v>
      </c>
      <c r="N396" s="2" t="str">
        <f t="shared" si="71"/>
        <v>3°2°3223TST3JU</v>
      </c>
      <c r="O396" s="2" t="s">
        <v>1488</v>
      </c>
      <c r="P396" s="2" t="str">
        <f>VLOOKUP(G396,[1]Hoja1!$A:$P,16,0)</f>
        <v xml:space="preserve"> </v>
      </c>
      <c r="Q396" s="2"/>
      <c r="S396">
        <f>VLOOKUP(G396,[1]Hoja1!$A:$O,5,0)</f>
        <v>2682796</v>
      </c>
      <c r="U396" s="45" t="s">
        <v>2751</v>
      </c>
      <c r="V396" s="46">
        <f t="shared" si="72"/>
        <v>2682796</v>
      </c>
      <c r="W396" s="47" t="s">
        <v>1519</v>
      </c>
      <c r="X396" s="46" t="str">
        <f t="shared" si="73"/>
        <v>3</v>
      </c>
      <c r="Y396" s="47" t="s">
        <v>1518</v>
      </c>
      <c r="Z396" s="46" t="str">
        <f t="shared" si="74"/>
        <v>V</v>
      </c>
      <c r="AA396" s="47" t="s">
        <v>2752</v>
      </c>
      <c r="AB396" s="46" t="str">
        <f t="shared" si="75"/>
        <v>JUEVES</v>
      </c>
      <c r="AC396" s="47" t="s">
        <v>2753</v>
      </c>
      <c r="AD396" t="str">
        <f t="shared" si="76"/>
        <v>CONTRATURNO</v>
      </c>
      <c r="AE396" s="47" t="s">
        <v>2754</v>
      </c>
      <c r="AH396" t="str">
        <f t="shared" si="77"/>
        <v>INSERT INTO horario_curso_materia (horario_curso_materia.FK_CUR_mat,horario_curso_materia.FK_HOR,horario_curso_materia.DIA,horario_curso_materia.tipo_turno) VALUES (  (SELECT curso_materia.ID_CUR_MAT FROM curso_materia WHERE curso_materia.CUPOF='2682796' ) ,
    (SELECT horario.ID_HOR FROM horario WHERE horario.modulo='3 ' and horario.turno='V ' ),'JUEVES ' , 'CONTRATURNO ' );</v>
      </c>
    </row>
    <row r="397" spans="1:34" ht="15" hidden="1" customHeight="1" x14ac:dyDescent="0.3">
      <c r="A397" s="1" t="str">
        <f t="shared" si="70"/>
        <v>3°2°</v>
      </c>
      <c r="B397" s="54" t="str">
        <f t="shared" si="79"/>
        <v>3°2°3LUMAÑANA321</v>
      </c>
      <c r="C397" s="62">
        <f>VLOOKUP(G397,[1]Hoja1!$A:$O,3,0)</f>
        <v>321</v>
      </c>
      <c r="D397" s="2" t="str">
        <f t="shared" si="69"/>
        <v>3LUMHERRERIA</v>
      </c>
      <c r="E397" s="62" t="s">
        <v>29</v>
      </c>
      <c r="F397" s="62" t="s">
        <v>27</v>
      </c>
      <c r="G397" s="62" t="s">
        <v>108</v>
      </c>
      <c r="H397" s="8" t="str">
        <f>VLOOKUP(G397,[1]Hoja1!$A:$O,6,0)</f>
        <v>PROCEDIMIENTOS TECNICOS</v>
      </c>
      <c r="I397" s="4" t="s">
        <v>21</v>
      </c>
      <c r="J397" s="4"/>
      <c r="K397" s="80" t="str">
        <f t="shared" si="78"/>
        <v>LU</v>
      </c>
      <c r="L397" s="4" t="s">
        <v>512</v>
      </c>
      <c r="M397" s="86" t="str">
        <f>VLOOKUP(G397,[1]Hoja1!$A:$O,15,0)</f>
        <v>LEYES RICARDO</v>
      </c>
      <c r="N397" s="2" t="str">
        <f t="shared" si="71"/>
        <v>3°2°3213TPT3LU</v>
      </c>
      <c r="O397" s="2"/>
      <c r="P397" s="2" t="str">
        <f>VLOOKUP(G397,[1]Hoja1!$A:$P,16,0)</f>
        <v xml:space="preserve"> </v>
      </c>
      <c r="Q397" s="2"/>
      <c r="S397">
        <f>VLOOKUP(G397,[1]Hoja1!$A:$O,5,0)</f>
        <v>2682793</v>
      </c>
      <c r="U397" s="45" t="s">
        <v>2751</v>
      </c>
      <c r="V397" s="46">
        <f t="shared" si="72"/>
        <v>2682793</v>
      </c>
      <c r="W397" s="47" t="s">
        <v>1519</v>
      </c>
      <c r="X397" s="46" t="str">
        <f t="shared" si="73"/>
        <v>3</v>
      </c>
      <c r="Y397" s="47" t="s">
        <v>1518</v>
      </c>
      <c r="Z397" s="46" t="str">
        <f t="shared" si="74"/>
        <v>M</v>
      </c>
      <c r="AA397" s="47" t="s">
        <v>2752</v>
      </c>
      <c r="AB397" s="46" t="str">
        <f t="shared" si="75"/>
        <v>LUNES</v>
      </c>
      <c r="AC397" s="47" t="s">
        <v>2753</v>
      </c>
      <c r="AD397" t="str">
        <f t="shared" si="76"/>
        <v>CONTRATURNO</v>
      </c>
      <c r="AE397" s="47" t="s">
        <v>2754</v>
      </c>
      <c r="AH397" t="str">
        <f t="shared" si="77"/>
        <v>INSERT INTO horario_curso_materia (horario_curso_materia.FK_CUR_mat,horario_curso_materia.FK_HOR,horario_curso_materia.DIA,horario_curso_materia.tipo_turno) VALUES (  (SELECT curso_materia.ID_CUR_MAT FROM curso_materia WHERE curso_materia.CUPOF='2682793' ) ,
    (SELECT horario.ID_HOR FROM horario WHERE horario.modulo='3 ' and horario.turno='M ' ),'LUNES ' , 'CONTRATURNO ' );</v>
      </c>
    </row>
    <row r="398" spans="1:34" ht="15" hidden="1" customHeight="1" x14ac:dyDescent="0.3">
      <c r="A398" s="1" t="str">
        <f t="shared" si="70"/>
        <v>3°2°</v>
      </c>
      <c r="B398" s="54" t="str">
        <f t="shared" si="79"/>
        <v>3°2°3LUTARDE0</v>
      </c>
      <c r="C398" s="62">
        <f>VLOOKUP(G398,[1]Hoja1!$A:$O,3,0)</f>
        <v>0</v>
      </c>
      <c r="D398" s="2" t="str">
        <f t="shared" si="69"/>
        <v>3LUT</v>
      </c>
      <c r="E398" s="62" t="s">
        <v>29</v>
      </c>
      <c r="F398" s="62" t="s">
        <v>10</v>
      </c>
      <c r="G398" s="62" t="s">
        <v>358</v>
      </c>
      <c r="H398" s="8" t="str">
        <f>VLOOKUP(G398,[1]Hoja1!$A:$O,6,0)</f>
        <v>FISICO-QUIMICA</v>
      </c>
      <c r="I398" s="4"/>
      <c r="J398" s="4"/>
      <c r="K398" s="80" t="str">
        <f t="shared" si="78"/>
        <v>LU</v>
      </c>
      <c r="L398" s="4"/>
      <c r="M398" s="86" t="str">
        <f>VLOOKUP(G398,[1]Hoja1!$A:$O,15,0)</f>
        <v xml:space="preserve">AGUIRRE VALERIA </v>
      </c>
      <c r="N398" s="2" t="str">
        <f t="shared" si="71"/>
        <v>3°2°3FI/QUILU</v>
      </c>
      <c r="O398" s="2"/>
      <c r="P398" s="2" t="str">
        <f>VLOOKUP(G398,[1]Hoja1!$A:$P,16,0)</f>
        <v xml:space="preserve"> </v>
      </c>
      <c r="Q398" s="2"/>
      <c r="S398">
        <f>VLOOKUP(G398,[1]Hoja1!$A:$O,5,0)</f>
        <v>1644182</v>
      </c>
      <c r="U398" s="45" t="s">
        <v>2751</v>
      </c>
      <c r="V398" s="46">
        <f t="shared" si="72"/>
        <v>1644182</v>
      </c>
      <c r="W398" s="47" t="s">
        <v>1519</v>
      </c>
      <c r="X398" s="46" t="str">
        <f t="shared" si="73"/>
        <v>3</v>
      </c>
      <c r="Y398" s="47" t="s">
        <v>1518</v>
      </c>
      <c r="Z398" s="46" t="str">
        <f t="shared" si="74"/>
        <v>T</v>
      </c>
      <c r="AA398" s="47" t="s">
        <v>2752</v>
      </c>
      <c r="AB398" s="46" t="str">
        <f t="shared" si="75"/>
        <v>LUNES</v>
      </c>
      <c r="AC398" s="47" t="s">
        <v>2753</v>
      </c>
      <c r="AD398">
        <f t="shared" si="76"/>
        <v>0</v>
      </c>
      <c r="AE398" s="47" t="s">
        <v>2754</v>
      </c>
      <c r="AH398" t="str">
        <f t="shared" si="77"/>
        <v>INSERT INTO horario_curso_materia (horario_curso_materia.FK_CUR_mat,horario_curso_materia.FK_HOR,horario_curso_materia.DIA,horario_curso_materia.tipo_turno) VALUES (  (SELECT curso_materia.ID_CUR_MAT FROM curso_materia WHERE curso_materia.CUPOF='1644182' ) ,
    (SELECT horario.ID_HOR FROM horario WHERE horario.modulo='3 ' and horario.turno='T ' ),'LUNES ' , '0 ' );</v>
      </c>
    </row>
    <row r="399" spans="1:34" ht="15" hidden="1" customHeight="1" x14ac:dyDescent="0.3">
      <c r="A399" s="1" t="str">
        <f t="shared" si="70"/>
        <v>3°2°</v>
      </c>
      <c r="B399" s="54" t="str">
        <f t="shared" si="79"/>
        <v>3°2°3MATARDE0</v>
      </c>
      <c r="C399" s="62">
        <f>VLOOKUP(G399,[1]Hoja1!$A:$O,3,0)</f>
        <v>0</v>
      </c>
      <c r="D399" s="2" t="str">
        <f t="shared" si="69"/>
        <v>3MAT</v>
      </c>
      <c r="E399" s="62" t="s">
        <v>13</v>
      </c>
      <c r="F399" s="62" t="s">
        <v>10</v>
      </c>
      <c r="G399" s="62" t="s">
        <v>361</v>
      </c>
      <c r="H399" s="8" t="str">
        <f>VLOOKUP(G399,[1]Hoja1!$A:$O,6,0)</f>
        <v>CONSTRUCCION DE LA CIUDADANIA</v>
      </c>
      <c r="I399" s="4"/>
      <c r="J399" s="4"/>
      <c r="K399" s="80" t="str">
        <f t="shared" si="78"/>
        <v>MA</v>
      </c>
      <c r="L399" s="4"/>
      <c r="M399" s="86" t="str">
        <f>VLOOKUP(G399,[1]Hoja1!$A:$O,15,0)</f>
        <v xml:space="preserve">TORRES GABRIEL </v>
      </c>
      <c r="N399" s="2" t="str">
        <f t="shared" si="71"/>
        <v>3°2°3CCDMA</v>
      </c>
      <c r="O399" s="2"/>
      <c r="P399" s="2" t="str">
        <f>VLOOKUP(G399,[1]Hoja1!$A:$P,16,0)</f>
        <v xml:space="preserve"> </v>
      </c>
      <c r="Q399" s="2"/>
      <c r="S399">
        <f>VLOOKUP(G399,[1]Hoja1!$A:$O,5,0)</f>
        <v>733451</v>
      </c>
      <c r="U399" s="45" t="s">
        <v>2751</v>
      </c>
      <c r="V399" s="46">
        <f t="shared" si="72"/>
        <v>733451</v>
      </c>
      <c r="W399" s="47" t="s">
        <v>1519</v>
      </c>
      <c r="X399" s="46" t="str">
        <f t="shared" si="73"/>
        <v>3</v>
      </c>
      <c r="Y399" s="47" t="s">
        <v>1518</v>
      </c>
      <c r="Z399" s="46" t="str">
        <f t="shared" si="74"/>
        <v>T</v>
      </c>
      <c r="AA399" s="47" t="s">
        <v>2752</v>
      </c>
      <c r="AB399" s="46" t="str">
        <f t="shared" si="75"/>
        <v>MARTES</v>
      </c>
      <c r="AC399" s="47" t="s">
        <v>2753</v>
      </c>
      <c r="AD399">
        <f t="shared" si="76"/>
        <v>0</v>
      </c>
      <c r="AE399" s="47" t="s">
        <v>2754</v>
      </c>
      <c r="AH399" t="str">
        <f t="shared" si="77"/>
        <v>INSERT INTO horario_curso_materia (horario_curso_materia.FK_CUR_mat,horario_curso_materia.FK_HOR,horario_curso_materia.DIA,horario_curso_materia.tipo_turno) VALUES (  (SELECT curso_materia.ID_CUR_MAT FROM curso_materia WHERE curso_materia.CUPOF='733451' ) ,
    (SELECT horario.ID_HOR FROM horario WHERE horario.modulo='3 ' and horario.turno='T ' ),'MARTES ' , '0 ' );</v>
      </c>
    </row>
    <row r="400" spans="1:34" ht="15" hidden="1" customHeight="1" x14ac:dyDescent="0.3">
      <c r="A400" s="1" t="str">
        <f t="shared" si="70"/>
        <v>3°2°</v>
      </c>
      <c r="B400" s="54" t="str">
        <f t="shared" si="79"/>
        <v>3°2°2MIMAÑANA321</v>
      </c>
      <c r="C400" s="62">
        <f>VLOOKUP(G400,[1]Hoja1!$A:$O,3,0)</f>
        <v>321</v>
      </c>
      <c r="D400" s="2" t="str">
        <f t="shared" si="69"/>
        <v>2MIMaula 1</v>
      </c>
      <c r="E400" s="62" t="s">
        <v>26</v>
      </c>
      <c r="F400" s="62" t="s">
        <v>27</v>
      </c>
      <c r="G400" s="62" t="s">
        <v>110</v>
      </c>
      <c r="H400" s="8" t="str">
        <f>VLOOKUP(G400,[1]Hoja1!$A:$O,6,0)</f>
        <v>SISTEMAS TECNOLOGICOS</v>
      </c>
      <c r="I400" s="4" t="s">
        <v>1489</v>
      </c>
      <c r="J400" s="4"/>
      <c r="K400" s="80" t="str">
        <f t="shared" si="78"/>
        <v>MI</v>
      </c>
      <c r="L400" s="4" t="s">
        <v>512</v>
      </c>
      <c r="M400" s="86" t="str">
        <f>VLOOKUP(G400,[1]Hoja1!$A:$O,15,0)</f>
        <v>CRUZ JESUS</v>
      </c>
      <c r="N400" s="2" t="str">
        <f t="shared" si="71"/>
        <v>3°2°3213TST3MI</v>
      </c>
      <c r="O400" s="2" t="s">
        <v>1487</v>
      </c>
      <c r="P400" s="2" t="str">
        <f>VLOOKUP(G400,[1]Hoja1!$A:$P,16,0)</f>
        <v xml:space="preserve"> </v>
      </c>
      <c r="Q400" s="2"/>
      <c r="S400">
        <f>VLOOKUP(G400,[1]Hoja1!$A:$O,5,0)</f>
        <v>2682791</v>
      </c>
      <c r="U400" s="45" t="s">
        <v>2751</v>
      </c>
      <c r="V400" s="46">
        <f t="shared" si="72"/>
        <v>2682791</v>
      </c>
      <c r="W400" s="47" t="s">
        <v>1519</v>
      </c>
      <c r="X400" s="46" t="str">
        <f t="shared" si="73"/>
        <v>2</v>
      </c>
      <c r="Y400" s="47" t="s">
        <v>1518</v>
      </c>
      <c r="Z400" s="46" t="str">
        <f t="shared" si="74"/>
        <v>M</v>
      </c>
      <c r="AA400" s="47" t="s">
        <v>2752</v>
      </c>
      <c r="AB400" s="46" t="str">
        <f t="shared" si="75"/>
        <v>MIERCOLES</v>
      </c>
      <c r="AC400" s="47" t="s">
        <v>2753</v>
      </c>
      <c r="AD400" t="str">
        <f t="shared" si="76"/>
        <v>CONTRATURNO</v>
      </c>
      <c r="AE400" s="47" t="s">
        <v>2754</v>
      </c>
      <c r="AH400" t="str">
        <f t="shared" si="77"/>
        <v>INSERT INTO horario_curso_materia (horario_curso_materia.FK_CUR_mat,horario_curso_materia.FK_HOR,horario_curso_materia.DIA,horario_curso_materia.tipo_turno) VALUES (  (SELECT curso_materia.ID_CUR_MAT FROM curso_materia WHERE curso_materia.CUPOF='2682791' ) ,
    (SELECT horario.ID_HOR FROM horario WHERE horario.modulo='2 ' and horario.turno='M ' ),'MIERCOLES ' , 'CONTRATURNO ' );</v>
      </c>
    </row>
    <row r="401" spans="1:34" ht="15" hidden="1" customHeight="1" x14ac:dyDescent="0.3">
      <c r="A401" s="1" t="str">
        <f t="shared" si="70"/>
        <v>3°2°</v>
      </c>
      <c r="B401" s="54" t="str">
        <f t="shared" si="79"/>
        <v>3°2°3MITARDE0</v>
      </c>
      <c r="C401" s="62">
        <f>VLOOKUP(G401,[1]Hoja1!$A:$O,3,0)</f>
        <v>0</v>
      </c>
      <c r="D401" s="2" t="str">
        <f t="shared" si="69"/>
        <v>3MIT</v>
      </c>
      <c r="E401" s="62" t="s">
        <v>50</v>
      </c>
      <c r="F401" s="62" t="s">
        <v>10</v>
      </c>
      <c r="G401" s="62" t="s">
        <v>362</v>
      </c>
      <c r="H401" s="8" t="str">
        <f>VLOOKUP(G401,[1]Hoja1!$A:$O,6,0)</f>
        <v>HISTORIA</v>
      </c>
      <c r="I401" s="4"/>
      <c r="J401" s="4"/>
      <c r="K401" s="80" t="str">
        <f t="shared" si="78"/>
        <v>MI</v>
      </c>
      <c r="L401" s="4"/>
      <c r="M401" s="86" t="str">
        <f>VLOOKUP(G401,[1]Hoja1!$A:$O,15,0)</f>
        <v xml:space="preserve">TORRES LUIS                    </v>
      </c>
      <c r="N401" s="2" t="str">
        <f t="shared" si="71"/>
        <v>3°2°3HISMI</v>
      </c>
      <c r="O401" s="2"/>
      <c r="P401" s="2" t="str">
        <f>VLOOKUP(G401,[1]Hoja1!$A:$P,16,0)</f>
        <v xml:space="preserve"> </v>
      </c>
      <c r="Q401" s="2"/>
      <c r="S401">
        <f>VLOOKUP(G401,[1]Hoja1!$A:$O,5,0)</f>
        <v>1644179</v>
      </c>
      <c r="U401" s="45" t="s">
        <v>2751</v>
      </c>
      <c r="V401" s="46">
        <f t="shared" si="72"/>
        <v>1644179</v>
      </c>
      <c r="W401" s="47" t="s">
        <v>1519</v>
      </c>
      <c r="X401" s="46" t="str">
        <f t="shared" si="73"/>
        <v>3</v>
      </c>
      <c r="Y401" s="47" t="s">
        <v>1518</v>
      </c>
      <c r="Z401" s="46" t="str">
        <f t="shared" si="74"/>
        <v>T</v>
      </c>
      <c r="AA401" s="47" t="s">
        <v>2752</v>
      </c>
      <c r="AB401" s="46" t="str">
        <f t="shared" si="75"/>
        <v>MIERCOLES</v>
      </c>
      <c r="AC401" s="47" t="s">
        <v>2753</v>
      </c>
      <c r="AD401">
        <f t="shared" si="76"/>
        <v>0</v>
      </c>
      <c r="AE401" s="47" t="s">
        <v>2754</v>
      </c>
      <c r="AH401" t="str">
        <f t="shared" si="77"/>
        <v>INSERT INTO horario_curso_materia (horario_curso_materia.FK_CUR_mat,horario_curso_materia.FK_HOR,horario_curso_materia.DIA,horario_curso_materia.tipo_turno) VALUES (  (SELECT curso_materia.ID_CUR_MAT FROM curso_materia WHERE curso_materia.CUPOF='1644179' ) ,
    (SELECT horario.ID_HOR FROM horario WHERE horario.modulo='3 ' and horario.turno='T ' ),'MIERCOLES ' , '0 ' );</v>
      </c>
    </row>
    <row r="402" spans="1:34" ht="15" hidden="1" customHeight="1" x14ac:dyDescent="0.3">
      <c r="A402" s="1" t="str">
        <f t="shared" si="70"/>
        <v>3°2°</v>
      </c>
      <c r="B402" s="54" t="str">
        <f t="shared" si="79"/>
        <v>3°2°3VITARDE0</v>
      </c>
      <c r="C402" s="62">
        <f>VLOOKUP(G402,[1]Hoja1!$A:$O,3,0)</f>
        <v>0</v>
      </c>
      <c r="D402" s="2" t="str">
        <f t="shared" si="69"/>
        <v>3VIT</v>
      </c>
      <c r="E402" s="62" t="s">
        <v>35</v>
      </c>
      <c r="F402" s="62" t="s">
        <v>10</v>
      </c>
      <c r="G402" s="62" t="s">
        <v>365</v>
      </c>
      <c r="H402" s="8" t="str">
        <f>VLOOKUP(G402,[1]Hoja1!$A:$O,6,0)</f>
        <v>BIOLOGIA</v>
      </c>
      <c r="I402" s="4"/>
      <c r="J402" s="4"/>
      <c r="K402" s="80" t="str">
        <f t="shared" si="78"/>
        <v>VI</v>
      </c>
      <c r="L402" s="4"/>
      <c r="M402" s="86" t="str">
        <f>VLOOKUP(G402,[1]Hoja1!$A:$O,15,0)</f>
        <v>ARIAS, YANINA</v>
      </c>
      <c r="N402" s="2" t="str">
        <f t="shared" si="71"/>
        <v>3°2°3BIOVI</v>
      </c>
      <c r="O402" s="2"/>
      <c r="P402" s="2" t="str">
        <f>VLOOKUP(G402,[1]Hoja1!$A:$P,16,0)</f>
        <v xml:space="preserve"> </v>
      </c>
      <c r="Q402" s="2"/>
      <c r="S402">
        <f>VLOOKUP(G402,[1]Hoja1!$A:$O,5,0)</f>
        <v>1644183</v>
      </c>
      <c r="U402" s="45" t="s">
        <v>2751</v>
      </c>
      <c r="V402" s="46">
        <f t="shared" si="72"/>
        <v>1644183</v>
      </c>
      <c r="W402" s="47" t="s">
        <v>1519</v>
      </c>
      <c r="X402" s="46" t="str">
        <f t="shared" si="73"/>
        <v>3</v>
      </c>
      <c r="Y402" s="47" t="s">
        <v>1518</v>
      </c>
      <c r="Z402" s="46" t="str">
        <f t="shared" si="74"/>
        <v>T</v>
      </c>
      <c r="AA402" s="47" t="s">
        <v>2752</v>
      </c>
      <c r="AB402" s="46" t="str">
        <f t="shared" si="75"/>
        <v>VIERNES</v>
      </c>
      <c r="AC402" s="47" t="s">
        <v>2753</v>
      </c>
      <c r="AD402">
        <f t="shared" si="76"/>
        <v>0</v>
      </c>
      <c r="AE402" s="47" t="s">
        <v>2754</v>
      </c>
      <c r="AH402" t="str">
        <f t="shared" si="77"/>
        <v>INSERT INTO horario_curso_materia (horario_curso_materia.FK_CUR_mat,horario_curso_materia.FK_HOR,horario_curso_materia.DIA,horario_curso_materia.tipo_turno) VALUES (  (SELECT curso_materia.ID_CUR_MAT FROM curso_materia WHERE curso_materia.CUPOF='1644183' ) ,
    (SELECT horario.ID_HOR FROM horario WHERE horario.modulo='3 ' and horario.turno='T ' ),'VIERNES ' , '0 ' );</v>
      </c>
    </row>
    <row r="403" spans="1:34" ht="15" hidden="1" customHeight="1" x14ac:dyDescent="0.3">
      <c r="A403" s="1" t="str">
        <f t="shared" si="70"/>
        <v>3°2°</v>
      </c>
      <c r="B403" s="54" t="str">
        <f t="shared" si="79"/>
        <v>3°2°3MIMAÑANA321</v>
      </c>
      <c r="C403" s="62">
        <f>VLOOKUP(G403,[1]Hoja1!$A:$O,3,0)</f>
        <v>321</v>
      </c>
      <c r="D403" s="2" t="str">
        <f t="shared" si="69"/>
        <v>3MIMaula 1</v>
      </c>
      <c r="E403" s="62" t="s">
        <v>50</v>
      </c>
      <c r="F403" s="62" t="s">
        <v>27</v>
      </c>
      <c r="G403" s="62" t="s">
        <v>110</v>
      </c>
      <c r="H403" s="8" t="str">
        <f>VLOOKUP(G403,[1]Hoja1!$A:$O,6,0)</f>
        <v>SISTEMAS TECNOLOGICOS</v>
      </c>
      <c r="I403" s="4" t="s">
        <v>1489</v>
      </c>
      <c r="J403" s="4"/>
      <c r="K403" s="80" t="str">
        <f t="shared" si="78"/>
        <v>MI</v>
      </c>
      <c r="L403" s="4" t="s">
        <v>512</v>
      </c>
      <c r="M403" s="86" t="str">
        <f>VLOOKUP(G403,[1]Hoja1!$A:$O,15,0)</f>
        <v>CRUZ JESUS</v>
      </c>
      <c r="N403" s="2" t="str">
        <f t="shared" si="71"/>
        <v>3°2°3213TST3MI</v>
      </c>
      <c r="O403" s="2" t="s">
        <v>1487</v>
      </c>
      <c r="P403" s="2" t="str">
        <f>VLOOKUP(G403,[1]Hoja1!$A:$P,16,0)</f>
        <v xml:space="preserve"> </v>
      </c>
      <c r="Q403" s="2"/>
      <c r="S403">
        <f>VLOOKUP(G403,[1]Hoja1!$A:$O,5,0)</f>
        <v>2682791</v>
      </c>
      <c r="U403" s="45" t="s">
        <v>2751</v>
      </c>
      <c r="V403" s="46">
        <f t="shared" si="72"/>
        <v>2682791</v>
      </c>
      <c r="W403" s="47" t="s">
        <v>1519</v>
      </c>
      <c r="X403" s="46" t="str">
        <f t="shared" si="73"/>
        <v>3</v>
      </c>
      <c r="Y403" s="47" t="s">
        <v>1518</v>
      </c>
      <c r="Z403" s="46" t="str">
        <f t="shared" si="74"/>
        <v>M</v>
      </c>
      <c r="AA403" s="47" t="s">
        <v>2752</v>
      </c>
      <c r="AB403" s="46" t="str">
        <f t="shared" si="75"/>
        <v>MIERCOLES</v>
      </c>
      <c r="AC403" s="47" t="s">
        <v>2753</v>
      </c>
      <c r="AD403" t="str">
        <f t="shared" si="76"/>
        <v>CONTRATURNO</v>
      </c>
      <c r="AE403" s="47" t="s">
        <v>2754</v>
      </c>
      <c r="AH403" t="str">
        <f t="shared" si="77"/>
        <v>INSERT INTO horario_curso_materia (horario_curso_materia.FK_CUR_mat,horario_curso_materia.FK_HOR,horario_curso_materia.DIA,horario_curso_materia.tipo_turno) VALUES (  (SELECT curso_materia.ID_CUR_MAT FROM curso_materia WHERE curso_materia.CUPOF='2682791' ) ,
    (SELECT horario.ID_HOR FROM horario WHERE horario.modulo='3 ' and horario.turno='M ' ),'MIERCOLES ' , 'CONTRATURNO ' );</v>
      </c>
    </row>
    <row r="404" spans="1:34" ht="15" hidden="1" customHeight="1" x14ac:dyDescent="0.3">
      <c r="A404" s="1" t="str">
        <f t="shared" si="70"/>
        <v>3°2°</v>
      </c>
      <c r="B404" s="54" t="str">
        <f t="shared" si="79"/>
        <v>3°2°4JUTARDE0</v>
      </c>
      <c r="C404" s="62">
        <f>VLOOKUP(G404,[1]Hoja1!$A:$O,3,0)</f>
        <v>0</v>
      </c>
      <c r="D404" s="2" t="str">
        <f t="shared" si="69"/>
        <v>4JUT</v>
      </c>
      <c r="E404" s="62" t="s">
        <v>48</v>
      </c>
      <c r="F404" s="62" t="s">
        <v>10</v>
      </c>
      <c r="G404" s="62" t="s">
        <v>364</v>
      </c>
      <c r="H404" s="8" t="str">
        <f>VLOOKUP(G404,[1]Hoja1!$A:$O,6,0)</f>
        <v>EDUCACION ARTISTICA (PLASTICA)</v>
      </c>
      <c r="I404" s="4"/>
      <c r="J404" s="4"/>
      <c r="K404" s="80" t="str">
        <f t="shared" si="78"/>
        <v>JU</v>
      </c>
      <c r="L404" s="4"/>
      <c r="M404" s="86" t="str">
        <f>VLOOKUP(G404,[1]Hoja1!$A:$O,15,0)</f>
        <v xml:space="preserve">TAPIA EVANGELINA EMILCE  </v>
      </c>
      <c r="N404" s="2" t="str">
        <f t="shared" si="71"/>
        <v>3°2°3ARTJU</v>
      </c>
      <c r="O404" s="2"/>
      <c r="P404" s="2" t="str">
        <f>VLOOKUP(G404,[1]Hoja1!$A:$P,16,0)</f>
        <v xml:space="preserve"> </v>
      </c>
      <c r="Q404" s="2"/>
      <c r="S404">
        <f>VLOOKUP(G404,[1]Hoja1!$A:$O,5,0)</f>
        <v>733531</v>
      </c>
      <c r="U404" s="45" t="s">
        <v>2751</v>
      </c>
      <c r="V404" s="46">
        <f t="shared" si="72"/>
        <v>733531</v>
      </c>
      <c r="W404" s="47" t="s">
        <v>1519</v>
      </c>
      <c r="X404" s="46" t="str">
        <f t="shared" si="73"/>
        <v>4</v>
      </c>
      <c r="Y404" s="47" t="s">
        <v>1518</v>
      </c>
      <c r="Z404" s="46" t="str">
        <f t="shared" si="74"/>
        <v>T</v>
      </c>
      <c r="AA404" s="47" t="s">
        <v>2752</v>
      </c>
      <c r="AB404" s="46" t="str">
        <f t="shared" si="75"/>
        <v>JUEVES</v>
      </c>
      <c r="AC404" s="47" t="s">
        <v>2753</v>
      </c>
      <c r="AD404">
        <f t="shared" si="76"/>
        <v>0</v>
      </c>
      <c r="AE404" s="47" t="s">
        <v>2754</v>
      </c>
      <c r="AH404" t="str">
        <f t="shared" si="77"/>
        <v>INSERT INTO horario_curso_materia (horario_curso_materia.FK_CUR_mat,horario_curso_materia.FK_HOR,horario_curso_materia.DIA,horario_curso_materia.tipo_turno) VALUES (  (SELECT curso_materia.ID_CUR_MAT FROM curso_materia WHERE curso_materia.CUPOF='733531' ) ,
    (SELECT horario.ID_HOR FROM horario WHERE horario.modulo='4 ' and horario.turno='T ' ),'JUEVES ' , '0 ' );</v>
      </c>
    </row>
    <row r="405" spans="1:34" ht="15" hidden="1" customHeight="1" x14ac:dyDescent="0.3">
      <c r="A405" s="1" t="str">
        <f t="shared" si="70"/>
        <v>3°2°</v>
      </c>
      <c r="B405" s="54" t="str">
        <f t="shared" si="79"/>
        <v>3°2°4JUVESPERTINO322</v>
      </c>
      <c r="C405" s="62">
        <f>VLOOKUP(G405,[1]Hoja1!$A:$O,3,0)</f>
        <v>322</v>
      </c>
      <c r="D405" s="2" t="str">
        <f t="shared" si="69"/>
        <v>4JUVcarpinteria</v>
      </c>
      <c r="E405" s="62" t="s">
        <v>48</v>
      </c>
      <c r="F405" s="62" t="s">
        <v>125</v>
      </c>
      <c r="G405" s="62" t="s">
        <v>109</v>
      </c>
      <c r="H405" s="8" t="str">
        <f>VLOOKUP(G405,[1]Hoja1!$A:$O,6,0)</f>
        <v>SISTEMAS TECNOLOGICOS</v>
      </c>
      <c r="I405" s="4" t="s">
        <v>2758</v>
      </c>
      <c r="J405" s="4"/>
      <c r="K405" s="80" t="str">
        <f t="shared" si="78"/>
        <v>JU</v>
      </c>
      <c r="L405" s="4" t="s">
        <v>512</v>
      </c>
      <c r="M405" s="86" t="str">
        <f>VLOOKUP(G405,[1]Hoja1!$A:$O,15,0)</f>
        <v>PAZ DANIEL</v>
      </c>
      <c r="N405" s="2" t="str">
        <f t="shared" si="71"/>
        <v>3°2°3223TST3JU</v>
      </c>
      <c r="O405" s="2" t="s">
        <v>1488</v>
      </c>
      <c r="P405" s="2" t="str">
        <f>VLOOKUP(G405,[1]Hoja1!$A:$P,16,0)</f>
        <v xml:space="preserve"> </v>
      </c>
      <c r="Q405" s="2"/>
      <c r="S405">
        <f>VLOOKUP(G405,[1]Hoja1!$A:$O,5,0)</f>
        <v>2682796</v>
      </c>
      <c r="U405" s="45" t="s">
        <v>2751</v>
      </c>
      <c r="V405" s="46">
        <f t="shared" si="72"/>
        <v>2682796</v>
      </c>
      <c r="W405" s="47" t="s">
        <v>1519</v>
      </c>
      <c r="X405" s="46" t="str">
        <f t="shared" si="73"/>
        <v>4</v>
      </c>
      <c r="Y405" s="47" t="s">
        <v>1518</v>
      </c>
      <c r="Z405" s="46" t="str">
        <f t="shared" si="74"/>
        <v>V</v>
      </c>
      <c r="AA405" s="47" t="s">
        <v>2752</v>
      </c>
      <c r="AB405" s="46" t="str">
        <f t="shared" si="75"/>
        <v>JUEVES</v>
      </c>
      <c r="AC405" s="47" t="s">
        <v>2753</v>
      </c>
      <c r="AD405" t="str">
        <f t="shared" si="76"/>
        <v>CONTRATURNO</v>
      </c>
      <c r="AE405" s="47" t="s">
        <v>2754</v>
      </c>
      <c r="AH405" t="str">
        <f t="shared" si="77"/>
        <v>INSERT INTO horario_curso_materia (horario_curso_materia.FK_CUR_mat,horario_curso_materia.FK_HOR,horario_curso_materia.DIA,horario_curso_materia.tipo_turno) VALUES (  (SELECT curso_materia.ID_CUR_MAT FROM curso_materia WHERE curso_materia.CUPOF='2682796' ) ,
    (SELECT horario.ID_HOR FROM horario WHERE horario.modulo='4 ' and horario.turno='V ' ),'JUEVES ' , 'CONTRATURNO ' );</v>
      </c>
    </row>
    <row r="406" spans="1:34" ht="15" hidden="1" customHeight="1" x14ac:dyDescent="0.3">
      <c r="A406" s="1" t="str">
        <f t="shared" si="70"/>
        <v>3°2°</v>
      </c>
      <c r="B406" s="54" t="str">
        <f t="shared" si="79"/>
        <v>3°2°4LUMAÑANA321</v>
      </c>
      <c r="C406" s="62">
        <f>VLOOKUP(G406,[1]Hoja1!$A:$O,3,0)</f>
        <v>321</v>
      </c>
      <c r="D406" s="2" t="str">
        <f t="shared" si="69"/>
        <v>4LUMHERRERIA</v>
      </c>
      <c r="E406" s="62" t="s">
        <v>31</v>
      </c>
      <c r="F406" s="62" t="s">
        <v>27</v>
      </c>
      <c r="G406" s="62" t="s">
        <v>108</v>
      </c>
      <c r="H406" s="8" t="str">
        <f>VLOOKUP(G406,[1]Hoja1!$A:$O,6,0)</f>
        <v>PROCEDIMIENTOS TECNICOS</v>
      </c>
      <c r="I406" s="4" t="s">
        <v>21</v>
      </c>
      <c r="J406" s="4"/>
      <c r="K406" s="80" t="str">
        <f t="shared" si="78"/>
        <v>LU</v>
      </c>
      <c r="L406" s="4" t="s">
        <v>512</v>
      </c>
      <c r="M406" s="86" t="str">
        <f>VLOOKUP(G406,[1]Hoja1!$A:$O,15,0)</f>
        <v>LEYES RICARDO</v>
      </c>
      <c r="N406" s="2" t="str">
        <f t="shared" si="71"/>
        <v>3°2°3213TPT3LU</v>
      </c>
      <c r="O406" s="2"/>
      <c r="P406" s="2" t="str">
        <f>VLOOKUP(G406,[1]Hoja1!$A:$P,16,0)</f>
        <v xml:space="preserve"> </v>
      </c>
      <c r="Q406" s="2"/>
      <c r="S406">
        <f>VLOOKUP(G406,[1]Hoja1!$A:$O,5,0)</f>
        <v>2682793</v>
      </c>
      <c r="U406" s="45" t="s">
        <v>2751</v>
      </c>
      <c r="V406" s="46">
        <f t="shared" si="72"/>
        <v>2682793</v>
      </c>
      <c r="W406" s="47" t="s">
        <v>1519</v>
      </c>
      <c r="X406" s="46" t="str">
        <f t="shared" si="73"/>
        <v>4</v>
      </c>
      <c r="Y406" s="47" t="s">
        <v>1518</v>
      </c>
      <c r="Z406" s="46" t="str">
        <f t="shared" si="74"/>
        <v>M</v>
      </c>
      <c r="AA406" s="47" t="s">
        <v>2752</v>
      </c>
      <c r="AB406" s="46" t="str">
        <f t="shared" si="75"/>
        <v>LUNES</v>
      </c>
      <c r="AC406" s="47" t="s">
        <v>2753</v>
      </c>
      <c r="AD406" t="str">
        <f t="shared" si="76"/>
        <v>CONTRATURNO</v>
      </c>
      <c r="AE406" s="47" t="s">
        <v>2754</v>
      </c>
      <c r="AH406" t="str">
        <f t="shared" si="77"/>
        <v>INSERT INTO horario_curso_materia (horario_curso_materia.FK_CUR_mat,horario_curso_materia.FK_HOR,horario_curso_materia.DIA,horario_curso_materia.tipo_turno) VALUES (  (SELECT curso_materia.ID_CUR_MAT FROM curso_materia WHERE curso_materia.CUPOF='2682793' ) ,
    (SELECT horario.ID_HOR FROM horario WHERE horario.modulo='4 ' and horario.turno='M ' ),'LUNES ' , 'CONTRATURNO ' );</v>
      </c>
    </row>
    <row r="407" spans="1:34" ht="15" hidden="1" customHeight="1" x14ac:dyDescent="0.3">
      <c r="A407" s="1" t="str">
        <f t="shared" si="70"/>
        <v>3°2°</v>
      </c>
      <c r="B407" s="54" t="str">
        <f t="shared" si="79"/>
        <v>3°2°4LUTARDE0</v>
      </c>
      <c r="C407" s="62">
        <f>VLOOKUP(G407,[1]Hoja1!$A:$O,3,0)</f>
        <v>0</v>
      </c>
      <c r="D407" s="2" t="str">
        <f t="shared" si="69"/>
        <v>4LUT</v>
      </c>
      <c r="E407" s="62" t="s">
        <v>31</v>
      </c>
      <c r="F407" s="62" t="s">
        <v>10</v>
      </c>
      <c r="G407" s="62" t="s">
        <v>358</v>
      </c>
      <c r="H407" s="8" t="str">
        <f>VLOOKUP(G407,[1]Hoja1!$A:$O,6,0)</f>
        <v>FISICO-QUIMICA</v>
      </c>
      <c r="I407" s="4"/>
      <c r="J407" s="4"/>
      <c r="K407" s="80" t="str">
        <f t="shared" si="78"/>
        <v>LU</v>
      </c>
      <c r="L407" s="4"/>
      <c r="M407" s="86" t="str">
        <f>VLOOKUP(G407,[1]Hoja1!$A:$O,15,0)</f>
        <v xml:space="preserve">AGUIRRE VALERIA </v>
      </c>
      <c r="N407" s="2" t="str">
        <f t="shared" si="71"/>
        <v>3°2°3FI/QUILU</v>
      </c>
      <c r="O407" s="2"/>
      <c r="P407" s="2" t="str">
        <f>VLOOKUP(G407,[1]Hoja1!$A:$P,16,0)</f>
        <v xml:space="preserve"> </v>
      </c>
      <c r="Q407" s="2"/>
      <c r="S407">
        <f>VLOOKUP(G407,[1]Hoja1!$A:$O,5,0)</f>
        <v>1644182</v>
      </c>
      <c r="U407" s="45" t="s">
        <v>2751</v>
      </c>
      <c r="V407" s="46">
        <f t="shared" si="72"/>
        <v>1644182</v>
      </c>
      <c r="W407" s="47" t="s">
        <v>1519</v>
      </c>
      <c r="X407" s="46" t="str">
        <f t="shared" si="73"/>
        <v>4</v>
      </c>
      <c r="Y407" s="47" t="s">
        <v>1518</v>
      </c>
      <c r="Z407" s="46" t="str">
        <f t="shared" si="74"/>
        <v>T</v>
      </c>
      <c r="AA407" s="47" t="s">
        <v>2752</v>
      </c>
      <c r="AB407" s="46" t="str">
        <f t="shared" si="75"/>
        <v>LUNES</v>
      </c>
      <c r="AC407" s="47" t="s">
        <v>2753</v>
      </c>
      <c r="AD407">
        <f t="shared" si="76"/>
        <v>0</v>
      </c>
      <c r="AE407" s="47" t="s">
        <v>2754</v>
      </c>
      <c r="AH407" t="str">
        <f t="shared" si="77"/>
        <v>INSERT INTO horario_curso_materia (horario_curso_materia.FK_CUR_mat,horario_curso_materia.FK_HOR,horario_curso_materia.DIA,horario_curso_materia.tipo_turno) VALUES (  (SELECT curso_materia.ID_CUR_MAT FROM curso_materia WHERE curso_materia.CUPOF='1644182' ) ,
    (SELECT horario.ID_HOR FROM horario WHERE horario.modulo='4 ' and horario.turno='T ' ),'LUNES ' , '0 ' );</v>
      </c>
    </row>
    <row r="408" spans="1:34" ht="15" hidden="1" customHeight="1" x14ac:dyDescent="0.3">
      <c r="A408" s="1" t="str">
        <f t="shared" si="70"/>
        <v>3°2°</v>
      </c>
      <c r="B408" s="54" t="str">
        <f t="shared" si="79"/>
        <v>3°2°4MATARDE0</v>
      </c>
      <c r="C408" s="62">
        <f>VLOOKUP(G408,[1]Hoja1!$A:$O,3,0)</f>
        <v>0</v>
      </c>
      <c r="D408" s="2" t="str">
        <f t="shared" si="69"/>
        <v>4MAT</v>
      </c>
      <c r="E408" s="62" t="s">
        <v>16</v>
      </c>
      <c r="F408" s="62" t="s">
        <v>10</v>
      </c>
      <c r="G408" s="62" t="s">
        <v>361</v>
      </c>
      <c r="H408" s="8" t="str">
        <f>VLOOKUP(G408,[1]Hoja1!$A:$O,6,0)</f>
        <v>CONSTRUCCION DE LA CIUDADANIA</v>
      </c>
      <c r="I408" s="4"/>
      <c r="J408" s="4"/>
      <c r="K408" s="80" t="str">
        <f t="shared" si="78"/>
        <v>MA</v>
      </c>
      <c r="L408" s="4"/>
      <c r="M408" s="86" t="str">
        <f>VLOOKUP(G408,[1]Hoja1!$A:$O,15,0)</f>
        <v xml:space="preserve">TORRES GABRIEL </v>
      </c>
      <c r="N408" s="2" t="str">
        <f t="shared" si="71"/>
        <v>3°2°3CCDMA</v>
      </c>
      <c r="O408" s="2"/>
      <c r="P408" s="2" t="str">
        <f>VLOOKUP(G408,[1]Hoja1!$A:$P,16,0)</f>
        <v xml:space="preserve"> </v>
      </c>
      <c r="Q408" s="2"/>
      <c r="S408">
        <f>VLOOKUP(G408,[1]Hoja1!$A:$O,5,0)</f>
        <v>733451</v>
      </c>
      <c r="U408" s="45" t="s">
        <v>2751</v>
      </c>
      <c r="V408" s="46">
        <f t="shared" si="72"/>
        <v>733451</v>
      </c>
      <c r="W408" s="47" t="s">
        <v>1519</v>
      </c>
      <c r="X408" s="46" t="str">
        <f t="shared" si="73"/>
        <v>4</v>
      </c>
      <c r="Y408" s="47" t="s">
        <v>1518</v>
      </c>
      <c r="Z408" s="46" t="str">
        <f t="shared" si="74"/>
        <v>T</v>
      </c>
      <c r="AA408" s="47" t="s">
        <v>2752</v>
      </c>
      <c r="AB408" s="46" t="str">
        <f t="shared" si="75"/>
        <v>MARTES</v>
      </c>
      <c r="AC408" s="47" t="s">
        <v>2753</v>
      </c>
      <c r="AD408">
        <f t="shared" si="76"/>
        <v>0</v>
      </c>
      <c r="AE408" s="47" t="s">
        <v>2754</v>
      </c>
      <c r="AH408" t="str">
        <f t="shared" si="77"/>
        <v>INSERT INTO horario_curso_materia (horario_curso_materia.FK_CUR_mat,horario_curso_materia.FK_HOR,horario_curso_materia.DIA,horario_curso_materia.tipo_turno) VALUES (  (SELECT curso_materia.ID_CUR_MAT FROM curso_materia WHERE curso_materia.CUPOF='733451' ) ,
    (SELECT horario.ID_HOR FROM horario WHERE horario.modulo='4 ' and horario.turno='T ' ),'MARTES ' , '0 ' );</v>
      </c>
    </row>
    <row r="409" spans="1:34" ht="15" hidden="1" customHeight="1" x14ac:dyDescent="0.3">
      <c r="A409" s="1" t="str">
        <f t="shared" si="70"/>
        <v>3°2°</v>
      </c>
      <c r="B409" s="54" t="str">
        <f t="shared" si="79"/>
        <v>3°2°4MIMAÑANA321</v>
      </c>
      <c r="C409" s="62">
        <f>VLOOKUP(G409,[1]Hoja1!$A:$O,3,0)</f>
        <v>321</v>
      </c>
      <c r="D409" s="2" t="str">
        <f t="shared" si="69"/>
        <v>4MIMaula 1</v>
      </c>
      <c r="E409" s="62" t="s">
        <v>52</v>
      </c>
      <c r="F409" s="62" t="s">
        <v>27</v>
      </c>
      <c r="G409" s="62" t="s">
        <v>110</v>
      </c>
      <c r="H409" s="8" t="str">
        <f>VLOOKUP(G409,[1]Hoja1!$A:$O,6,0)</f>
        <v>SISTEMAS TECNOLOGICOS</v>
      </c>
      <c r="I409" s="4" t="s">
        <v>1489</v>
      </c>
      <c r="J409" s="4"/>
      <c r="K409" s="80" t="str">
        <f t="shared" si="78"/>
        <v>MI</v>
      </c>
      <c r="L409" s="4" t="s">
        <v>512</v>
      </c>
      <c r="M409" s="86" t="str">
        <f>VLOOKUP(G409,[1]Hoja1!$A:$O,15,0)</f>
        <v>CRUZ JESUS</v>
      </c>
      <c r="N409" s="2" t="str">
        <f t="shared" si="71"/>
        <v>3°2°3213TST3MI</v>
      </c>
      <c r="O409" s="2" t="s">
        <v>1487</v>
      </c>
      <c r="P409" s="2" t="str">
        <f>VLOOKUP(G409,[1]Hoja1!$A:$P,16,0)</f>
        <v xml:space="preserve"> </v>
      </c>
      <c r="Q409" s="2"/>
      <c r="S409">
        <f>VLOOKUP(G409,[1]Hoja1!$A:$O,5,0)</f>
        <v>2682791</v>
      </c>
      <c r="U409" s="45" t="s">
        <v>2751</v>
      </c>
      <c r="V409" s="46">
        <f t="shared" si="72"/>
        <v>2682791</v>
      </c>
      <c r="W409" s="47" t="s">
        <v>1519</v>
      </c>
      <c r="X409" s="46" t="str">
        <f t="shared" si="73"/>
        <v>4</v>
      </c>
      <c r="Y409" s="47" t="s">
        <v>1518</v>
      </c>
      <c r="Z409" s="46" t="str">
        <f t="shared" si="74"/>
        <v>M</v>
      </c>
      <c r="AA409" s="47" t="s">
        <v>2752</v>
      </c>
      <c r="AB409" s="46" t="str">
        <f t="shared" si="75"/>
        <v>MIERCOLES</v>
      </c>
      <c r="AC409" s="47" t="s">
        <v>2753</v>
      </c>
      <c r="AD409" t="str">
        <f t="shared" si="76"/>
        <v>CONTRATURNO</v>
      </c>
      <c r="AE409" s="47" t="s">
        <v>2754</v>
      </c>
      <c r="AH409" t="str">
        <f t="shared" si="77"/>
        <v>INSERT INTO horario_curso_materia (horario_curso_materia.FK_CUR_mat,horario_curso_materia.FK_HOR,horario_curso_materia.DIA,horario_curso_materia.tipo_turno) VALUES (  (SELECT curso_materia.ID_CUR_MAT FROM curso_materia WHERE curso_materia.CUPOF='2682791' ) ,
    (SELECT horario.ID_HOR FROM horario WHERE horario.modulo='4 ' and horario.turno='M ' ),'MIERCOLES ' , 'CONTRATURNO ' );</v>
      </c>
    </row>
    <row r="410" spans="1:34" ht="15" hidden="1" customHeight="1" x14ac:dyDescent="0.3">
      <c r="A410" s="1" t="str">
        <f t="shared" si="70"/>
        <v>3°2°</v>
      </c>
      <c r="B410" s="54" t="str">
        <f t="shared" si="79"/>
        <v>3°2°4MITARDE0</v>
      </c>
      <c r="C410" s="62">
        <f>VLOOKUP(G410,[1]Hoja1!$A:$O,3,0)</f>
        <v>0</v>
      </c>
      <c r="D410" s="2" t="str">
        <f t="shared" si="69"/>
        <v>4MIT</v>
      </c>
      <c r="E410" s="62" t="s">
        <v>52</v>
      </c>
      <c r="F410" s="62" t="s">
        <v>10</v>
      </c>
      <c r="G410" s="62" t="s">
        <v>362</v>
      </c>
      <c r="H410" s="8" t="str">
        <f>VLOOKUP(G410,[1]Hoja1!$A:$O,6,0)</f>
        <v>HISTORIA</v>
      </c>
      <c r="I410" s="4"/>
      <c r="J410" s="4"/>
      <c r="K410" s="80" t="str">
        <f t="shared" si="78"/>
        <v>MI</v>
      </c>
      <c r="L410" s="4"/>
      <c r="M410" s="86" t="str">
        <f>VLOOKUP(G410,[1]Hoja1!$A:$O,15,0)</f>
        <v xml:space="preserve">TORRES LUIS                    </v>
      </c>
      <c r="N410" s="2" t="str">
        <f t="shared" si="71"/>
        <v>3°2°3HISMI</v>
      </c>
      <c r="O410" s="2"/>
      <c r="P410" s="2" t="str">
        <f>VLOOKUP(G410,[1]Hoja1!$A:$P,16,0)</f>
        <v xml:space="preserve"> </v>
      </c>
      <c r="Q410" s="2"/>
      <c r="S410">
        <f>VLOOKUP(G410,[1]Hoja1!$A:$O,5,0)</f>
        <v>1644179</v>
      </c>
      <c r="U410" s="45" t="s">
        <v>2751</v>
      </c>
      <c r="V410" s="46">
        <f t="shared" si="72"/>
        <v>1644179</v>
      </c>
      <c r="W410" s="47" t="s">
        <v>1519</v>
      </c>
      <c r="X410" s="46" t="str">
        <f t="shared" si="73"/>
        <v>4</v>
      </c>
      <c r="Y410" s="47" t="s">
        <v>1518</v>
      </c>
      <c r="Z410" s="46" t="str">
        <f t="shared" si="74"/>
        <v>T</v>
      </c>
      <c r="AA410" s="47" t="s">
        <v>2752</v>
      </c>
      <c r="AB410" s="46" t="str">
        <f t="shared" si="75"/>
        <v>MIERCOLES</v>
      </c>
      <c r="AC410" s="47" t="s">
        <v>2753</v>
      </c>
      <c r="AD410">
        <f t="shared" si="76"/>
        <v>0</v>
      </c>
      <c r="AE410" s="47" t="s">
        <v>2754</v>
      </c>
      <c r="AH410" t="str">
        <f t="shared" si="77"/>
        <v>INSERT INTO horario_curso_materia (horario_curso_materia.FK_CUR_mat,horario_curso_materia.FK_HOR,horario_curso_materia.DIA,horario_curso_materia.tipo_turno) VALUES (  (SELECT curso_materia.ID_CUR_MAT FROM curso_materia WHERE curso_materia.CUPOF='1644179' ) ,
    (SELECT horario.ID_HOR FROM horario WHERE horario.modulo='4 ' and horario.turno='T ' ),'MIERCOLES ' , '0 ' );</v>
      </c>
    </row>
    <row r="411" spans="1:34" ht="15" hidden="1" customHeight="1" x14ac:dyDescent="0.3">
      <c r="A411" s="1" t="str">
        <f t="shared" si="70"/>
        <v>3°2°</v>
      </c>
      <c r="B411" s="54" t="str">
        <f t="shared" si="79"/>
        <v>3°2°4VITARDE0</v>
      </c>
      <c r="C411" s="62">
        <f>VLOOKUP(G411,[1]Hoja1!$A:$O,3,0)</f>
        <v>0</v>
      </c>
      <c r="D411" s="2" t="str">
        <f t="shared" si="69"/>
        <v>4VIT</v>
      </c>
      <c r="E411" s="62" t="s">
        <v>36</v>
      </c>
      <c r="F411" s="62" t="s">
        <v>10</v>
      </c>
      <c r="G411" s="62" t="s">
        <v>365</v>
      </c>
      <c r="H411" s="8" t="str">
        <f>VLOOKUP(G411,[1]Hoja1!$A:$O,6,0)</f>
        <v>BIOLOGIA</v>
      </c>
      <c r="I411" s="4"/>
      <c r="J411" s="4"/>
      <c r="K411" s="80" t="str">
        <f t="shared" si="78"/>
        <v>VI</v>
      </c>
      <c r="L411" s="4"/>
      <c r="M411" s="86" t="str">
        <f>VLOOKUP(G411,[1]Hoja1!$A:$O,15,0)</f>
        <v>ARIAS, YANINA</v>
      </c>
      <c r="N411" s="2" t="str">
        <f t="shared" si="71"/>
        <v>3°2°3BIOVI</v>
      </c>
      <c r="O411" s="2"/>
      <c r="P411" s="2" t="str">
        <f>VLOOKUP(G411,[1]Hoja1!$A:$P,16,0)</f>
        <v xml:space="preserve"> </v>
      </c>
      <c r="Q411" s="2"/>
      <c r="S411">
        <f>VLOOKUP(G411,[1]Hoja1!$A:$O,5,0)</f>
        <v>1644183</v>
      </c>
      <c r="U411" s="45" t="s">
        <v>2751</v>
      </c>
      <c r="V411" s="46">
        <f t="shared" si="72"/>
        <v>1644183</v>
      </c>
      <c r="W411" s="47" t="s">
        <v>1519</v>
      </c>
      <c r="X411" s="46" t="str">
        <f t="shared" si="73"/>
        <v>4</v>
      </c>
      <c r="Y411" s="47" t="s">
        <v>1518</v>
      </c>
      <c r="Z411" s="46" t="str">
        <f t="shared" si="74"/>
        <v>T</v>
      </c>
      <c r="AA411" s="47" t="s">
        <v>2752</v>
      </c>
      <c r="AB411" s="46" t="str">
        <f t="shared" si="75"/>
        <v>VIERNES</v>
      </c>
      <c r="AC411" s="47" t="s">
        <v>2753</v>
      </c>
      <c r="AD411">
        <f t="shared" si="76"/>
        <v>0</v>
      </c>
      <c r="AE411" s="47" t="s">
        <v>2754</v>
      </c>
      <c r="AH411" t="str">
        <f t="shared" si="77"/>
        <v>INSERT INTO horario_curso_materia (horario_curso_materia.FK_CUR_mat,horario_curso_materia.FK_HOR,horario_curso_materia.DIA,horario_curso_materia.tipo_turno) VALUES (  (SELECT curso_materia.ID_CUR_MAT FROM curso_materia WHERE curso_materia.CUPOF='1644183' ) ,
    (SELECT horario.ID_HOR FROM horario WHERE horario.modulo='4 ' and horario.turno='T ' ),'VIERNES ' , '0 ' );</v>
      </c>
    </row>
    <row r="412" spans="1:34" ht="15" hidden="1" customHeight="1" x14ac:dyDescent="0.3">
      <c r="A412" s="1" t="str">
        <f t="shared" si="70"/>
        <v>3°2°</v>
      </c>
      <c r="B412" s="54" t="str">
        <f t="shared" si="79"/>
        <v>3°2°5LUTARDE0</v>
      </c>
      <c r="C412" s="62">
        <f>VLOOKUP(G412,[1]Hoja1!$A:$O,3,0)</f>
        <v>0</v>
      </c>
      <c r="D412" s="2" t="str">
        <f t="shared" si="69"/>
        <v>5LUT</v>
      </c>
      <c r="E412" s="62" t="s">
        <v>102</v>
      </c>
      <c r="F412" s="62" t="s">
        <v>10</v>
      </c>
      <c r="G412" s="62" t="s">
        <v>359</v>
      </c>
      <c r="H412" s="8" t="str">
        <f>VLOOKUP(G412,[1]Hoja1!$A:$O,6,0)</f>
        <v>INGLÉS</v>
      </c>
      <c r="I412" s="4"/>
      <c r="J412" s="4"/>
      <c r="K412" s="80" t="str">
        <f t="shared" si="78"/>
        <v>LU</v>
      </c>
      <c r="L412" s="4"/>
      <c r="M412" s="86" t="str">
        <f>VLOOKUP(G412,[1]Hoja1!$A:$O,15,0)</f>
        <v xml:space="preserve">ARCE KARINA </v>
      </c>
      <c r="N412" s="2" t="str">
        <f t="shared" si="71"/>
        <v>3°2°3INGLU</v>
      </c>
      <c r="O412" s="2"/>
      <c r="P412" s="2" t="str">
        <f>VLOOKUP(G412,[1]Hoja1!$A:$P,16,0)</f>
        <v xml:space="preserve"> </v>
      </c>
      <c r="Q412" s="2"/>
      <c r="S412">
        <f>VLOOKUP(G412,[1]Hoja1!$A:$O,5,0)</f>
        <v>733558</v>
      </c>
      <c r="U412" s="45" t="s">
        <v>2751</v>
      </c>
      <c r="V412" s="46">
        <f t="shared" si="72"/>
        <v>733558</v>
      </c>
      <c r="W412" s="47" t="s">
        <v>1519</v>
      </c>
      <c r="X412" s="46" t="str">
        <f t="shared" si="73"/>
        <v>5</v>
      </c>
      <c r="Y412" s="47" t="s">
        <v>1518</v>
      </c>
      <c r="Z412" s="46" t="str">
        <f t="shared" si="74"/>
        <v>T</v>
      </c>
      <c r="AA412" s="47" t="s">
        <v>2752</v>
      </c>
      <c r="AB412" s="46" t="str">
        <f t="shared" si="75"/>
        <v>LUNES</v>
      </c>
      <c r="AC412" s="47" t="s">
        <v>2753</v>
      </c>
      <c r="AD412">
        <f t="shared" si="76"/>
        <v>0</v>
      </c>
      <c r="AE412" s="47" t="s">
        <v>2754</v>
      </c>
      <c r="AH412" t="str">
        <f t="shared" si="77"/>
        <v>INSERT INTO horario_curso_materia (horario_curso_materia.FK_CUR_mat,horario_curso_materia.FK_HOR,horario_curso_materia.DIA,horario_curso_materia.tipo_turno) VALUES (  (SELECT curso_materia.ID_CUR_MAT FROM curso_materia WHERE curso_materia.CUPOF='733558' ) ,
    (SELECT horario.ID_HOR FROM horario WHERE horario.modulo='5 ' and horario.turno='T ' ),'LUNES ' , '0 ' );</v>
      </c>
    </row>
    <row r="413" spans="1:34" ht="15" hidden="1" customHeight="1" x14ac:dyDescent="0.3">
      <c r="A413" s="1" t="str">
        <f t="shared" si="70"/>
        <v>3°2°</v>
      </c>
      <c r="B413" s="54" t="str">
        <f t="shared" si="79"/>
        <v>3°2°5MATARDE0</v>
      </c>
      <c r="C413" s="62">
        <f>VLOOKUP(G413,[1]Hoja1!$A:$O,3,0)</f>
        <v>0</v>
      </c>
      <c r="D413" s="2" t="str">
        <f t="shared" si="69"/>
        <v>5MAT</v>
      </c>
      <c r="E413" s="62" t="s">
        <v>103</v>
      </c>
      <c r="F413" s="62" t="s">
        <v>10</v>
      </c>
      <c r="G413" s="62" t="s">
        <v>359</v>
      </c>
      <c r="H413" s="8" t="str">
        <f>VLOOKUP(G413,[1]Hoja1!$A:$O,6,0)</f>
        <v>INGLÉS</v>
      </c>
      <c r="I413" s="4"/>
      <c r="J413" s="4"/>
      <c r="K413" s="80" t="str">
        <f t="shared" si="78"/>
        <v>MA</v>
      </c>
      <c r="L413" s="4"/>
      <c r="M413" s="86" t="str">
        <f>VLOOKUP(G413,[1]Hoja1!$A:$O,15,0)</f>
        <v xml:space="preserve">ARCE KARINA </v>
      </c>
      <c r="N413" s="2" t="str">
        <f t="shared" si="71"/>
        <v>3°2°3INGMA</v>
      </c>
      <c r="O413" s="2"/>
      <c r="P413" s="2" t="str">
        <f>VLOOKUP(G413,[1]Hoja1!$A:$P,16,0)</f>
        <v xml:space="preserve"> </v>
      </c>
      <c r="Q413" s="2"/>
      <c r="S413">
        <f>VLOOKUP(G413,[1]Hoja1!$A:$O,5,0)</f>
        <v>733558</v>
      </c>
      <c r="U413" s="45" t="s">
        <v>2751</v>
      </c>
      <c r="V413" s="46">
        <f t="shared" si="72"/>
        <v>733558</v>
      </c>
      <c r="W413" s="47" t="s">
        <v>1519</v>
      </c>
      <c r="X413" s="46" t="str">
        <f t="shared" si="73"/>
        <v>5</v>
      </c>
      <c r="Y413" s="47" t="s">
        <v>1518</v>
      </c>
      <c r="Z413" s="46" t="str">
        <f t="shared" si="74"/>
        <v>T</v>
      </c>
      <c r="AA413" s="47" t="s">
        <v>2752</v>
      </c>
      <c r="AB413" s="46" t="str">
        <f t="shared" si="75"/>
        <v>MARTES</v>
      </c>
      <c r="AC413" s="47" t="s">
        <v>2753</v>
      </c>
      <c r="AD413">
        <f t="shared" si="76"/>
        <v>0</v>
      </c>
      <c r="AE413" s="47" t="s">
        <v>2754</v>
      </c>
      <c r="AH413" t="str">
        <f t="shared" si="77"/>
        <v>INSERT INTO horario_curso_materia (horario_curso_materia.FK_CUR_mat,horario_curso_materia.FK_HOR,horario_curso_materia.DIA,horario_curso_materia.tipo_turno) VALUES (  (SELECT curso_materia.ID_CUR_MAT FROM curso_materia WHERE curso_materia.CUPOF='733558' ) ,
    (SELECT horario.ID_HOR FROM horario WHERE horario.modulo='5 ' and horario.turno='T ' ),'MARTES ' , '0 ' );</v>
      </c>
    </row>
    <row r="414" spans="1:34" ht="15" hidden="1" customHeight="1" x14ac:dyDescent="0.3">
      <c r="A414" s="1" t="str">
        <f t="shared" si="70"/>
        <v>3°3°</v>
      </c>
      <c r="B414" s="54" t="str">
        <f t="shared" si="79"/>
        <v>3°3°1JUMAÑANA0</v>
      </c>
      <c r="C414" s="62">
        <f>VLOOKUP(G414,[1]Hoja1!$A:$O,3,0)</f>
        <v>0</v>
      </c>
      <c r="D414" s="2" t="str">
        <f t="shared" si="69"/>
        <v>1JUM</v>
      </c>
      <c r="E414" s="4" t="s">
        <v>43</v>
      </c>
      <c r="F414" s="62" t="s">
        <v>27</v>
      </c>
      <c r="G414" s="72" t="s">
        <v>373</v>
      </c>
      <c r="H414" s="8" t="str">
        <f>VLOOKUP(G414,[1]Hoja1!$A:$O,6,0)</f>
        <v>HISTORIA</v>
      </c>
      <c r="I414" s="4"/>
      <c r="J414" s="4"/>
      <c r="K414" s="80" t="str">
        <f t="shared" si="78"/>
        <v>JU</v>
      </c>
      <c r="L414" s="4"/>
      <c r="M414" s="86" t="str">
        <f>VLOOKUP(G414,[1]Hoja1!$A:$O,15,0)</f>
        <v xml:space="preserve">TORRES LUIS                    </v>
      </c>
      <c r="N414" s="2" t="str">
        <f t="shared" si="71"/>
        <v>3°3°3HISJU</v>
      </c>
      <c r="O414" s="2"/>
      <c r="P414" s="2" t="str">
        <f>VLOOKUP(G414,[1]Hoja1!$A:$P,16,0)</f>
        <v xml:space="preserve"> </v>
      </c>
      <c r="Q414" s="2"/>
      <c r="S414">
        <f>VLOOKUP(G414,[1]Hoja1!$A:$O,5,0)</f>
        <v>1913981</v>
      </c>
      <c r="U414" s="45" t="s">
        <v>2751</v>
      </c>
      <c r="V414" s="46">
        <f t="shared" si="72"/>
        <v>1913981</v>
      </c>
      <c r="W414" s="47" t="s">
        <v>1519</v>
      </c>
      <c r="X414" s="46" t="str">
        <f t="shared" si="73"/>
        <v>1</v>
      </c>
      <c r="Y414" s="47" t="s">
        <v>1518</v>
      </c>
      <c r="Z414" s="46" t="str">
        <f t="shared" si="74"/>
        <v>M</v>
      </c>
      <c r="AA414" s="47" t="s">
        <v>2752</v>
      </c>
      <c r="AB414" s="46" t="str">
        <f t="shared" si="75"/>
        <v>JUEVES</v>
      </c>
      <c r="AC414" s="47" t="s">
        <v>2753</v>
      </c>
      <c r="AD414">
        <f t="shared" si="76"/>
        <v>0</v>
      </c>
      <c r="AE414" s="47" t="s">
        <v>2754</v>
      </c>
      <c r="AH414" t="str">
        <f t="shared" si="77"/>
        <v>INSERT INTO horario_curso_materia (horario_curso_materia.FK_CUR_mat,horario_curso_materia.FK_HOR,horario_curso_materia.DIA,horario_curso_materia.tipo_turno) VALUES (  (SELECT curso_materia.ID_CUR_MAT FROM curso_materia WHERE curso_materia.CUPOF='1913981' ) ,
    (SELECT horario.ID_HOR FROM horario WHERE horario.modulo='1 ' and horario.turno='M ' ),'JUEVES ' , '0 ' );</v>
      </c>
    </row>
    <row r="415" spans="1:34" ht="15" hidden="1" customHeight="1" x14ac:dyDescent="0.3">
      <c r="A415" s="1" t="str">
        <f t="shared" si="70"/>
        <v>3°3°</v>
      </c>
      <c r="B415" s="54" t="str">
        <f t="shared" si="79"/>
        <v>3°3°1LUMAÑANA0</v>
      </c>
      <c r="C415" s="62">
        <f>VLOOKUP(G415,[1]Hoja1!$A:$O,3,0)</f>
        <v>0</v>
      </c>
      <c r="D415" s="2" t="str">
        <f t="shared" si="69"/>
        <v>1LUM</v>
      </c>
      <c r="E415" s="62" t="s">
        <v>9</v>
      </c>
      <c r="F415" s="62" t="s">
        <v>27</v>
      </c>
      <c r="G415" s="62" t="s">
        <v>367</v>
      </c>
      <c r="H415" s="8" t="str">
        <f>VLOOKUP(G415,[1]Hoja1!$A:$O,6,0)</f>
        <v>PRACTICA DEL LENGUAJE</v>
      </c>
      <c r="I415" s="4"/>
      <c r="J415" s="4"/>
      <c r="K415" s="80" t="str">
        <f t="shared" si="78"/>
        <v>LU</v>
      </c>
      <c r="L415" s="4"/>
      <c r="M415" s="86" t="str">
        <f>VLOOKUP(G415,[1]Hoja1!$A:$O,15,0)</f>
        <v>CARESTIA, NOEMI</v>
      </c>
      <c r="N415" s="2" t="str">
        <f t="shared" si="71"/>
        <v>3°3°3PLGLU</v>
      </c>
      <c r="O415" s="2"/>
      <c r="P415" s="2" t="str">
        <f>VLOOKUP(G415,[1]Hoja1!$A:$P,16,0)</f>
        <v xml:space="preserve"> </v>
      </c>
      <c r="Q415" s="2"/>
      <c r="S415">
        <f>VLOOKUP(G415,[1]Hoja1!$A:$O,5,0)</f>
        <v>1913986</v>
      </c>
      <c r="U415" s="45" t="s">
        <v>2751</v>
      </c>
      <c r="V415" s="46">
        <f t="shared" si="72"/>
        <v>1913986</v>
      </c>
      <c r="W415" s="47" t="s">
        <v>1519</v>
      </c>
      <c r="X415" s="46" t="str">
        <f t="shared" si="73"/>
        <v>1</v>
      </c>
      <c r="Y415" s="47" t="s">
        <v>1518</v>
      </c>
      <c r="Z415" s="46" t="str">
        <f t="shared" si="74"/>
        <v>M</v>
      </c>
      <c r="AA415" s="47" t="s">
        <v>2752</v>
      </c>
      <c r="AB415" s="46" t="str">
        <f t="shared" si="75"/>
        <v>LUNES</v>
      </c>
      <c r="AC415" s="47" t="s">
        <v>2753</v>
      </c>
      <c r="AD415">
        <f t="shared" si="76"/>
        <v>0</v>
      </c>
      <c r="AE415" s="47" t="s">
        <v>2754</v>
      </c>
      <c r="AH415" t="str">
        <f t="shared" si="77"/>
        <v>INSERT INTO horario_curso_materia (horario_curso_materia.FK_CUR_mat,horario_curso_materia.FK_HOR,horario_curso_materia.DIA,horario_curso_materia.tipo_turno) VALUES (  (SELECT curso_materia.ID_CUR_MAT FROM curso_materia WHERE curso_materia.CUPOF='1913986' ) ,
    (SELECT horario.ID_HOR FROM horario WHERE horario.modulo='1 ' and horario.turno='M ' ),'LUNES ' , '0 ' );</v>
      </c>
    </row>
    <row r="416" spans="1:34" ht="15" hidden="1" customHeight="1" x14ac:dyDescent="0.3">
      <c r="A416" s="1" t="str">
        <f t="shared" si="70"/>
        <v>3°3°</v>
      </c>
      <c r="B416" s="54" t="str">
        <f t="shared" si="79"/>
        <v>3°3°1LUTARDE331</v>
      </c>
      <c r="C416" s="62">
        <f>VLOOKUP(G416,[1]Hoja1!$A:$O,3,0)</f>
        <v>331</v>
      </c>
      <c r="D416" s="2" t="str">
        <f t="shared" si="69"/>
        <v>1LUTHERRERIA</v>
      </c>
      <c r="E416" s="62" t="s">
        <v>9</v>
      </c>
      <c r="F416" s="62" t="s">
        <v>10</v>
      </c>
      <c r="G416" s="62" t="s">
        <v>114</v>
      </c>
      <c r="H416" s="8" t="str">
        <f>VLOOKUP(G416,[1]Hoja1!$A:$O,6,0)</f>
        <v>PROCEDIMIENTOS TECNICOS</v>
      </c>
      <c r="I416" s="4" t="s">
        <v>21</v>
      </c>
      <c r="J416" s="4"/>
      <c r="K416" s="80" t="str">
        <f t="shared" si="78"/>
        <v>LU</v>
      </c>
      <c r="L416" s="4" t="s">
        <v>512</v>
      </c>
      <c r="M416" s="86" t="str">
        <f>VLOOKUP(G416,[1]Hoja1!$A:$O,15,0)</f>
        <v xml:space="preserve">CHAMORRO CRISTIAN </v>
      </c>
      <c r="N416" s="2" t="str">
        <f t="shared" si="71"/>
        <v>3°3°3313TPT3LU</v>
      </c>
      <c r="O416" s="2"/>
      <c r="P416" s="2" t="str">
        <f>VLOOKUP(G416,[1]Hoja1!$A:$P,16,0)</f>
        <v xml:space="preserve"> </v>
      </c>
      <c r="Q416" s="2"/>
      <c r="S416">
        <f>VLOOKUP(G416,[1]Hoja1!$A:$O,5,0)</f>
        <v>1913994</v>
      </c>
      <c r="U416" s="45" t="s">
        <v>2751</v>
      </c>
      <c r="V416" s="46">
        <f t="shared" si="72"/>
        <v>1913994</v>
      </c>
      <c r="W416" s="47" t="s">
        <v>1519</v>
      </c>
      <c r="X416" s="46" t="str">
        <f t="shared" si="73"/>
        <v>1</v>
      </c>
      <c r="Y416" s="47" t="s">
        <v>1518</v>
      </c>
      <c r="Z416" s="46" t="str">
        <f t="shared" si="74"/>
        <v>T</v>
      </c>
      <c r="AA416" s="47" t="s">
        <v>2752</v>
      </c>
      <c r="AB416" s="46" t="str">
        <f t="shared" si="75"/>
        <v>LUNES</v>
      </c>
      <c r="AC416" s="47" t="s">
        <v>2753</v>
      </c>
      <c r="AD416" t="str">
        <f t="shared" si="76"/>
        <v>CONTRATURNO</v>
      </c>
      <c r="AE416" s="47" t="s">
        <v>2754</v>
      </c>
      <c r="AH416" t="str">
        <f t="shared" si="77"/>
        <v>INSERT INTO horario_curso_materia (horario_curso_materia.FK_CUR_mat,horario_curso_materia.FK_HOR,horario_curso_materia.DIA,horario_curso_materia.tipo_turno) VALUES (  (SELECT curso_materia.ID_CUR_MAT FROM curso_materia WHERE curso_materia.CUPOF='1913994' ) ,
    (SELECT horario.ID_HOR FROM horario WHERE horario.modulo='1 ' and horario.turno='T ' ),'LUNES ' , 'CONTRATURNO ' );</v>
      </c>
    </row>
    <row r="417" spans="1:34" ht="15" hidden="1" customHeight="1" x14ac:dyDescent="0.3">
      <c r="A417" s="1" t="str">
        <f t="shared" si="70"/>
        <v>3°3°</v>
      </c>
      <c r="B417" s="54" t="str">
        <f t="shared" si="79"/>
        <v>3°3°1MAMAÑANA0</v>
      </c>
      <c r="C417" s="62">
        <f>VLOOKUP(G417,[1]Hoja1!$A:$O,3,0)</f>
        <v>0</v>
      </c>
      <c r="D417" s="2" t="str">
        <f t="shared" si="69"/>
        <v>1MAM</v>
      </c>
      <c r="E417" s="62" t="s">
        <v>17</v>
      </c>
      <c r="F417" s="62" t="s">
        <v>27</v>
      </c>
      <c r="G417" s="62" t="s">
        <v>369</v>
      </c>
      <c r="H417" s="8" t="str">
        <f>VLOOKUP(G417,[1]Hoja1!$A:$O,6,0)</f>
        <v>INGLÉS</v>
      </c>
      <c r="I417" s="4"/>
      <c r="J417" s="4"/>
      <c r="K417" s="80" t="str">
        <f t="shared" si="78"/>
        <v>MA</v>
      </c>
      <c r="L417" s="4"/>
      <c r="M417" s="86" t="str">
        <f>VLOOKUP(G417,[1]Hoja1!$A:$O,15,0)</f>
        <v xml:space="preserve">LEGUIZAMON ANA </v>
      </c>
      <c r="N417" s="2" t="str">
        <f t="shared" si="71"/>
        <v>3°3°3INGMA</v>
      </c>
      <c r="O417" s="2"/>
      <c r="P417" s="2" t="str">
        <f>VLOOKUP(G417,[1]Hoja1!$A:$P,16,0)</f>
        <v xml:space="preserve"> </v>
      </c>
      <c r="Q417" s="2"/>
      <c r="S417">
        <f>VLOOKUP(G417,[1]Hoja1!$A:$O,5,0)</f>
        <v>1913982</v>
      </c>
      <c r="U417" s="45" t="s">
        <v>2751</v>
      </c>
      <c r="V417" s="46">
        <f t="shared" si="72"/>
        <v>1913982</v>
      </c>
      <c r="W417" s="47" t="s">
        <v>1519</v>
      </c>
      <c r="X417" s="46" t="str">
        <f t="shared" si="73"/>
        <v>1</v>
      </c>
      <c r="Y417" s="47" t="s">
        <v>1518</v>
      </c>
      <c r="Z417" s="46" t="str">
        <f t="shared" si="74"/>
        <v>M</v>
      </c>
      <c r="AA417" s="47" t="s">
        <v>2752</v>
      </c>
      <c r="AB417" s="46" t="str">
        <f t="shared" si="75"/>
        <v>MARTES</v>
      </c>
      <c r="AC417" s="47" t="s">
        <v>2753</v>
      </c>
      <c r="AD417">
        <f t="shared" si="76"/>
        <v>0</v>
      </c>
      <c r="AE417" s="47" t="s">
        <v>2754</v>
      </c>
      <c r="AH417" t="str">
        <f t="shared" si="77"/>
        <v>INSERT INTO horario_curso_materia (horario_curso_materia.FK_CUR_mat,horario_curso_materia.FK_HOR,horario_curso_materia.DIA,horario_curso_materia.tipo_turno) VALUES (  (SELECT curso_materia.ID_CUR_MAT FROM curso_materia WHERE curso_materia.CUPOF='1913982' ) ,
    (SELECT horario.ID_HOR FROM horario WHERE horario.modulo='1 ' and horario.turno='M ' ),'MARTES ' , '0 ' );</v>
      </c>
    </row>
    <row r="418" spans="1:34" ht="15" hidden="1" customHeight="1" x14ac:dyDescent="0.3">
      <c r="A418" s="1" t="str">
        <f t="shared" si="70"/>
        <v>3°3°</v>
      </c>
      <c r="B418" s="54" t="str">
        <f t="shared" si="79"/>
        <v>3°3°1MATARDE331</v>
      </c>
      <c r="C418" s="62">
        <f>VLOOKUP(G418,[1]Hoja1!$A:$O,3,0)</f>
        <v>331</v>
      </c>
      <c r="D418" s="2" t="str">
        <f t="shared" si="69"/>
        <v>1MATALULA 4</v>
      </c>
      <c r="E418" s="62" t="s">
        <v>17</v>
      </c>
      <c r="F418" s="62" t="s">
        <v>10</v>
      </c>
      <c r="G418" s="62" t="s">
        <v>115</v>
      </c>
      <c r="H418" s="8" t="str">
        <f>VLOOKUP(G418,[1]Hoja1!$A:$O,6,0)</f>
        <v>LENGUAJES TECNOLOGICOS</v>
      </c>
      <c r="I418" s="4" t="s">
        <v>2760</v>
      </c>
      <c r="J418" s="4"/>
      <c r="K418" s="80" t="str">
        <f t="shared" si="78"/>
        <v>MA</v>
      </c>
      <c r="L418" s="4" t="s">
        <v>512</v>
      </c>
      <c r="M418" s="86" t="str">
        <f>VLOOKUP(G418,[1]Hoja1!$A:$O,15,0)</f>
        <v>MARCELO ELIAN GONZÁLEZ BALDERRAMA</v>
      </c>
      <c r="N418" s="2" t="str">
        <f t="shared" si="71"/>
        <v>3°3°3313TLT3MA</v>
      </c>
      <c r="O418" s="2"/>
      <c r="P418" s="2" t="str">
        <f>VLOOKUP(G418,[1]Hoja1!$A:$P,16,0)</f>
        <v xml:space="preserve"> </v>
      </c>
      <c r="Q418" s="2"/>
      <c r="S418">
        <f>VLOOKUP(G418,[1]Hoja1!$A:$O,5,0)</f>
        <v>1913987</v>
      </c>
      <c r="U418" s="45" t="s">
        <v>2751</v>
      </c>
      <c r="V418" s="46">
        <f t="shared" si="72"/>
        <v>1913987</v>
      </c>
      <c r="W418" s="47" t="s">
        <v>1519</v>
      </c>
      <c r="X418" s="46" t="str">
        <f t="shared" si="73"/>
        <v>1</v>
      </c>
      <c r="Y418" s="47" t="s">
        <v>1518</v>
      </c>
      <c r="Z418" s="46" t="str">
        <f t="shared" si="74"/>
        <v>T</v>
      </c>
      <c r="AA418" s="47" t="s">
        <v>2752</v>
      </c>
      <c r="AB418" s="46" t="str">
        <f t="shared" si="75"/>
        <v>MARTES</v>
      </c>
      <c r="AC418" s="47" t="s">
        <v>2753</v>
      </c>
      <c r="AD418" t="str">
        <f t="shared" si="76"/>
        <v>CONTRATURNO</v>
      </c>
      <c r="AE418" s="47" t="s">
        <v>2754</v>
      </c>
      <c r="AH418" t="str">
        <f t="shared" si="77"/>
        <v>INSERT INTO horario_curso_materia (horario_curso_materia.FK_CUR_mat,horario_curso_materia.FK_HOR,horario_curso_materia.DIA,horario_curso_materia.tipo_turno) VALUES (  (SELECT curso_materia.ID_CUR_MAT FROM curso_materia WHERE curso_materia.CUPOF='1913987' ) ,
    (SELECT horario.ID_HOR FROM horario WHERE horario.modulo='1 ' and horario.turno='T ' ),'MARTES ' , 'CONTRATURNO ' );</v>
      </c>
    </row>
    <row r="419" spans="1:34" ht="15" hidden="1" customHeight="1" x14ac:dyDescent="0.3">
      <c r="A419" s="1" t="str">
        <f t="shared" si="70"/>
        <v>3°3°</v>
      </c>
      <c r="B419" s="54" t="str">
        <f t="shared" si="79"/>
        <v>3°3°1MATARDE332</v>
      </c>
      <c r="C419" s="62">
        <f>VLOOKUP(G419,[1]Hoja1!$A:$O,3,0)</f>
        <v>332</v>
      </c>
      <c r="D419" s="2" t="str">
        <f t="shared" si="69"/>
        <v>1MAT46</v>
      </c>
      <c r="E419" s="62" t="s">
        <v>17</v>
      </c>
      <c r="F419" s="62" t="s">
        <v>10</v>
      </c>
      <c r="G419" s="62" t="s">
        <v>116</v>
      </c>
      <c r="H419" s="8" t="str">
        <f>VLOOKUP(G419,[1]Hoja1!$A:$O,6,0)</f>
        <v>SISTEMAS TECNOLOGICOS</v>
      </c>
      <c r="I419" s="4">
        <v>46</v>
      </c>
      <c r="J419" s="4"/>
      <c r="K419" s="80" t="str">
        <f t="shared" si="78"/>
        <v>MA</v>
      </c>
      <c r="L419" s="4" t="s">
        <v>512</v>
      </c>
      <c r="M419" s="87" t="str">
        <f>VLOOKUP(G419,[1]Hoja1!$A:$O,15,0)</f>
        <v>CORDOBA ALEJANDRO</v>
      </c>
      <c r="N419" s="2" t="str">
        <f t="shared" si="71"/>
        <v>3°3°3323TST3MA</v>
      </c>
      <c r="O419" s="2"/>
      <c r="P419" s="2" t="str">
        <f>VLOOKUP(G419,[1]Hoja1!$A:$P,16,0)</f>
        <v xml:space="preserve"> </v>
      </c>
      <c r="Q419" s="2"/>
      <c r="S419">
        <f>VLOOKUP(G419,[1]Hoja1!$A:$O,5,0)</f>
        <v>1914002</v>
      </c>
      <c r="U419" s="45" t="s">
        <v>2751</v>
      </c>
      <c r="V419" s="46">
        <f t="shared" si="72"/>
        <v>1914002</v>
      </c>
      <c r="W419" s="47" t="s">
        <v>1519</v>
      </c>
      <c r="X419" s="46" t="str">
        <f t="shared" si="73"/>
        <v>1</v>
      </c>
      <c r="Y419" s="47" t="s">
        <v>1518</v>
      </c>
      <c r="Z419" s="46" t="str">
        <f t="shared" si="74"/>
        <v>T</v>
      </c>
      <c r="AA419" s="47" t="s">
        <v>2752</v>
      </c>
      <c r="AB419" s="46" t="str">
        <f t="shared" si="75"/>
        <v>MARTES</v>
      </c>
      <c r="AC419" s="47" t="s">
        <v>2753</v>
      </c>
      <c r="AD419" t="str">
        <f t="shared" si="76"/>
        <v>CONTRATURNO</v>
      </c>
      <c r="AE419" s="47" t="s">
        <v>2754</v>
      </c>
      <c r="AH419" t="str">
        <f t="shared" si="77"/>
        <v>INSERT INTO horario_curso_materia (horario_curso_materia.FK_CUR_mat,horario_curso_materia.FK_HOR,horario_curso_materia.DIA,horario_curso_materia.tipo_turno) VALUES (  (SELECT curso_materia.ID_CUR_MAT FROM curso_materia WHERE curso_materia.CUPOF='1914002' ) ,
    (SELECT horario.ID_HOR FROM horario WHERE horario.modulo='1 ' and horario.turno='T ' ),'MARTES ' , 'CONTRATURNO ' );</v>
      </c>
    </row>
    <row r="420" spans="1:34" ht="15" hidden="1" customHeight="1" x14ac:dyDescent="0.3">
      <c r="A420" s="1" t="str">
        <f t="shared" si="70"/>
        <v>3°3°</v>
      </c>
      <c r="B420" s="54" t="str">
        <f t="shared" si="79"/>
        <v>3°3°1MIMAÑANA0</v>
      </c>
      <c r="C420" s="62">
        <f>VLOOKUP(G420,[1]Hoja1!$A:$O,3,0)</f>
        <v>0</v>
      </c>
      <c r="D420" s="2" t="str">
        <f t="shared" si="69"/>
        <v>1MIM</v>
      </c>
      <c r="E420" s="62" t="s">
        <v>24</v>
      </c>
      <c r="F420" s="62" t="s">
        <v>27</v>
      </c>
      <c r="G420" s="62" t="s">
        <v>371</v>
      </c>
      <c r="H420" s="8" t="str">
        <f>VLOOKUP(G420,[1]Hoja1!$A:$O,6,0)</f>
        <v>MATEMATICA</v>
      </c>
      <c r="I420" s="4"/>
      <c r="J420" s="4"/>
      <c r="K420" s="80" t="str">
        <f t="shared" si="78"/>
        <v>MI</v>
      </c>
      <c r="L420" s="4"/>
      <c r="M420" s="86" t="str">
        <f>VLOOKUP(G420,[1]Hoja1!$A:$O,15,0)</f>
        <v xml:space="preserve">VARCHETTA, GABRIEL OMAR </v>
      </c>
      <c r="N420" s="2" t="str">
        <f t="shared" si="71"/>
        <v>3°3°3MATMI</v>
      </c>
      <c r="O420" s="2"/>
      <c r="P420" s="2" t="str">
        <f>VLOOKUP(G420,[1]Hoja1!$A:$P,16,0)</f>
        <v xml:space="preserve"> </v>
      </c>
      <c r="Q420" s="2"/>
      <c r="S420">
        <f>VLOOKUP(G420,[1]Hoja1!$A:$O,5,0)</f>
        <v>1913983</v>
      </c>
      <c r="U420" s="45" t="s">
        <v>2751</v>
      </c>
      <c r="V420" s="46">
        <f t="shared" si="72"/>
        <v>1913983</v>
      </c>
      <c r="W420" s="47" t="s">
        <v>1519</v>
      </c>
      <c r="X420" s="46" t="str">
        <f t="shared" si="73"/>
        <v>1</v>
      </c>
      <c r="Y420" s="47" t="s">
        <v>1518</v>
      </c>
      <c r="Z420" s="46" t="str">
        <f t="shared" si="74"/>
        <v>M</v>
      </c>
      <c r="AA420" s="47" t="s">
        <v>2752</v>
      </c>
      <c r="AB420" s="46" t="str">
        <f t="shared" si="75"/>
        <v>MIERCOLES</v>
      </c>
      <c r="AC420" s="47" t="s">
        <v>2753</v>
      </c>
      <c r="AD420">
        <f t="shared" si="76"/>
        <v>0</v>
      </c>
      <c r="AE420" s="47" t="s">
        <v>2754</v>
      </c>
      <c r="AH420" t="str">
        <f t="shared" si="77"/>
        <v>INSERT INTO horario_curso_materia (horario_curso_materia.FK_CUR_mat,horario_curso_materia.FK_HOR,horario_curso_materia.DIA,horario_curso_materia.tipo_turno) VALUES (  (SELECT curso_materia.ID_CUR_MAT FROM curso_materia WHERE curso_materia.CUPOF='1913983' ) ,
    (SELECT horario.ID_HOR FROM horario WHERE horario.modulo='1 ' and horario.turno='M ' ),'MIERCOLES ' , '0 ' );</v>
      </c>
    </row>
    <row r="421" spans="1:34" ht="15" hidden="1" customHeight="1" x14ac:dyDescent="0.3">
      <c r="A421" s="1" t="str">
        <f t="shared" si="70"/>
        <v>3°3°</v>
      </c>
      <c r="B421" s="54" t="str">
        <f t="shared" si="79"/>
        <v>3°3°1juTARDE0</v>
      </c>
      <c r="C421" s="62">
        <f>VLOOKUP(G421,[1]Hoja1!$A:$O,3,0)</f>
        <v>0</v>
      </c>
      <c r="D421" s="2" t="str">
        <f t="shared" si="69"/>
        <v>1juTPATIO</v>
      </c>
      <c r="E421" s="62" t="s">
        <v>1348</v>
      </c>
      <c r="F421" s="62" t="s">
        <v>10</v>
      </c>
      <c r="G421" s="62" t="s">
        <v>376</v>
      </c>
      <c r="H421" s="8" t="str">
        <f>VLOOKUP(G421,[1]Hoja1!$A:$O,6,0)</f>
        <v>EDUCACIÓN FISICA</v>
      </c>
      <c r="I421" s="4" t="s">
        <v>241</v>
      </c>
      <c r="J421" s="4"/>
      <c r="K421" s="80" t="str">
        <f t="shared" si="78"/>
        <v>ju</v>
      </c>
      <c r="L421" s="4" t="s">
        <v>512</v>
      </c>
      <c r="M421" s="86" t="str">
        <f>VLOOKUP(G421,[1]Hoja1!$A:$O,15,0)</f>
        <v xml:space="preserve">RIOS, LEONARDO  </v>
      </c>
      <c r="N421" s="2" t="str">
        <f t="shared" si="71"/>
        <v>3°3°3EFIju</v>
      </c>
      <c r="O421" s="2"/>
      <c r="P421" s="2" t="str">
        <f>VLOOKUP(G421,[1]Hoja1!$A:$P,16,0)</f>
        <v xml:space="preserve"> </v>
      </c>
      <c r="Q421" s="2"/>
      <c r="S421">
        <f>VLOOKUP(G421,[1]Hoja1!$A:$O,5,0)</f>
        <v>1913973</v>
      </c>
      <c r="U421" s="45" t="s">
        <v>2751</v>
      </c>
      <c r="V421" s="46">
        <f t="shared" si="72"/>
        <v>1913973</v>
      </c>
      <c r="W421" s="47" t="s">
        <v>1519</v>
      </c>
      <c r="X421" s="46" t="str">
        <f t="shared" si="73"/>
        <v>1</v>
      </c>
      <c r="Y421" s="47" t="s">
        <v>1518</v>
      </c>
      <c r="Z421" s="46" t="str">
        <f t="shared" si="74"/>
        <v>T</v>
      </c>
      <c r="AA421" s="47" t="s">
        <v>2752</v>
      </c>
      <c r="AB421" s="46" t="str">
        <f t="shared" si="75"/>
        <v>JUEVES</v>
      </c>
      <c r="AC421" s="47" t="s">
        <v>2753</v>
      </c>
      <c r="AD421" t="str">
        <f t="shared" si="76"/>
        <v>CONTRATURNO</v>
      </c>
      <c r="AE421" s="47" t="s">
        <v>2754</v>
      </c>
      <c r="AH421" t="str">
        <f t="shared" si="77"/>
        <v>INSERT INTO horario_curso_materia (horario_curso_materia.FK_CUR_mat,horario_curso_materia.FK_HOR,horario_curso_materia.DIA,horario_curso_materia.tipo_turno) VALUES (  (SELECT curso_materia.ID_CUR_MAT FROM curso_materia WHERE curso_materia.CUPOF='1913973' ) ,
    (SELECT horario.ID_HOR FROM horario WHERE horario.modulo='1 ' and horario.turno='T ' ),'JUEVES ' , 'CONTRATURNO ' );</v>
      </c>
    </row>
    <row r="422" spans="1:34" ht="15" hidden="1" customHeight="1" x14ac:dyDescent="0.3">
      <c r="A422" s="1" t="str">
        <f t="shared" si="70"/>
        <v>3°3°</v>
      </c>
      <c r="B422" s="54" t="str">
        <f t="shared" si="79"/>
        <v>3°3°1VIMAÑANA0</v>
      </c>
      <c r="C422" s="62">
        <f>VLOOKUP(G422,[1]Hoja1!$A:$O,3,0)</f>
        <v>0</v>
      </c>
      <c r="D422" s="2" t="str">
        <f t="shared" ref="D422:D485" si="80">CONCATENATE(E422,LEFT(F422,1),I422)</f>
        <v>1VIM</v>
      </c>
      <c r="E422" s="62" t="s">
        <v>57</v>
      </c>
      <c r="F422" s="62" t="s">
        <v>27</v>
      </c>
      <c r="G422" s="62" t="s">
        <v>367</v>
      </c>
      <c r="H422" s="8" t="str">
        <f>VLOOKUP(G422,[1]Hoja1!$A:$O,6,0)</f>
        <v>PRACTICA DEL LENGUAJE</v>
      </c>
      <c r="I422" s="4"/>
      <c r="J422" s="4"/>
      <c r="K422" s="80" t="str">
        <f t="shared" si="78"/>
        <v>VI</v>
      </c>
      <c r="L422" s="4"/>
      <c r="M422" s="86" t="str">
        <f>VLOOKUP(G422,[1]Hoja1!$A:$O,15,0)</f>
        <v>CARESTIA, NOEMI</v>
      </c>
      <c r="N422" s="2" t="str">
        <f t="shared" si="71"/>
        <v>3°3°3PLGVI</v>
      </c>
      <c r="O422" s="2"/>
      <c r="P422" s="2" t="str">
        <f>VLOOKUP(G422,[1]Hoja1!$A:$P,16,0)</f>
        <v xml:space="preserve"> </v>
      </c>
      <c r="Q422" s="2"/>
      <c r="S422">
        <f>VLOOKUP(G422,[1]Hoja1!$A:$O,5,0)</f>
        <v>1913986</v>
      </c>
      <c r="U422" s="45" t="s">
        <v>2751</v>
      </c>
      <c r="V422" s="46">
        <f t="shared" si="72"/>
        <v>1913986</v>
      </c>
      <c r="W422" s="47" t="s">
        <v>1519</v>
      </c>
      <c r="X422" s="46" t="str">
        <f t="shared" si="73"/>
        <v>1</v>
      </c>
      <c r="Y422" s="47" t="s">
        <v>1518</v>
      </c>
      <c r="Z422" s="46" t="str">
        <f t="shared" si="74"/>
        <v>M</v>
      </c>
      <c r="AA422" s="47" t="s">
        <v>2752</v>
      </c>
      <c r="AB422" s="46" t="str">
        <f t="shared" si="75"/>
        <v>VIERNES</v>
      </c>
      <c r="AC422" s="47" t="s">
        <v>2753</v>
      </c>
      <c r="AD422">
        <f t="shared" si="76"/>
        <v>0</v>
      </c>
      <c r="AE422" s="47" t="s">
        <v>2754</v>
      </c>
      <c r="AH422" t="str">
        <f t="shared" si="77"/>
        <v>INSERT INTO horario_curso_materia (horario_curso_materia.FK_CUR_mat,horario_curso_materia.FK_HOR,horario_curso_materia.DIA,horario_curso_materia.tipo_turno) VALUES (  (SELECT curso_materia.ID_CUR_MAT FROM curso_materia WHERE curso_materia.CUPOF='1913986' ) ,
    (SELECT horario.ID_HOR FROM horario WHERE horario.modulo='1 ' and horario.turno='M ' ),'VIERNES ' , '0 ' );</v>
      </c>
    </row>
    <row r="423" spans="1:34" ht="15" hidden="1" customHeight="1" x14ac:dyDescent="0.3">
      <c r="A423" s="1" t="str">
        <f t="shared" si="70"/>
        <v>3°3°</v>
      </c>
      <c r="B423" s="54" t="str">
        <f t="shared" si="79"/>
        <v>3°3°1VITARDE332</v>
      </c>
      <c r="C423" s="62">
        <f>VLOOKUP(G423,[1]Hoja1!$A:$O,3,0)</f>
        <v>332</v>
      </c>
      <c r="D423" s="2" t="str">
        <f t="shared" si="80"/>
        <v>1VITALULA 4</v>
      </c>
      <c r="E423" s="62" t="s">
        <v>57</v>
      </c>
      <c r="F423" s="62" t="s">
        <v>10</v>
      </c>
      <c r="G423" s="62" t="s">
        <v>119</v>
      </c>
      <c r="H423" s="8" t="str">
        <f>VLOOKUP(G423,[1]Hoja1!$A:$O,6,0)</f>
        <v>LENGUAJES TECNOLOGICOS</v>
      </c>
      <c r="I423" s="4" t="s">
        <v>2760</v>
      </c>
      <c r="J423" s="4"/>
      <c r="K423" s="80" t="str">
        <f t="shared" si="78"/>
        <v>VI</v>
      </c>
      <c r="L423" s="4" t="s">
        <v>512</v>
      </c>
      <c r="M423" s="86" t="str">
        <f>VLOOKUP(G423,[1]Hoja1!$A:$O,15,0)</f>
        <v xml:space="preserve">PROCHOR PABLO  </v>
      </c>
      <c r="N423" s="2" t="str">
        <f t="shared" si="71"/>
        <v>3°3°3323TLT3VI</v>
      </c>
      <c r="O423" s="2"/>
      <c r="P423" s="2" t="str">
        <f>VLOOKUP(G423,[1]Hoja1!$A:$P,16,0)</f>
        <v xml:space="preserve"> </v>
      </c>
      <c r="Q423" s="2"/>
      <c r="S423">
        <f>VLOOKUP(G423,[1]Hoja1!$A:$O,5,0)</f>
        <v>1913991</v>
      </c>
      <c r="U423" s="45" t="s">
        <v>2751</v>
      </c>
      <c r="V423" s="46">
        <f t="shared" si="72"/>
        <v>1913991</v>
      </c>
      <c r="W423" s="47" t="s">
        <v>1519</v>
      </c>
      <c r="X423" s="46" t="str">
        <f t="shared" si="73"/>
        <v>1</v>
      </c>
      <c r="Y423" s="47" t="s">
        <v>1518</v>
      </c>
      <c r="Z423" s="46" t="str">
        <f t="shared" si="74"/>
        <v>T</v>
      </c>
      <c r="AA423" s="47" t="s">
        <v>2752</v>
      </c>
      <c r="AB423" s="46" t="str">
        <f t="shared" si="75"/>
        <v>VIERNES</v>
      </c>
      <c r="AC423" s="47" t="s">
        <v>2753</v>
      </c>
      <c r="AD423" t="str">
        <f t="shared" si="76"/>
        <v>CONTRATURNO</v>
      </c>
      <c r="AE423" s="47" t="s">
        <v>2754</v>
      </c>
      <c r="AH423" t="str">
        <f t="shared" si="77"/>
        <v>INSERT INTO horario_curso_materia (horario_curso_materia.FK_CUR_mat,horario_curso_materia.FK_HOR,horario_curso_materia.DIA,horario_curso_materia.tipo_turno) VALUES (  (SELECT curso_materia.ID_CUR_MAT FROM curso_materia WHERE curso_materia.CUPOF='1913991' ) ,
    (SELECT horario.ID_HOR FROM horario WHERE horario.modulo='1 ' and horario.turno='T ' ),'VIERNES ' , 'CONTRATURNO ' );</v>
      </c>
    </row>
    <row r="424" spans="1:34" ht="14.25" hidden="1" customHeight="1" x14ac:dyDescent="0.3">
      <c r="A424" s="1" t="str">
        <f t="shared" si="70"/>
        <v>3°3°</v>
      </c>
      <c r="B424" s="54" t="str">
        <f t="shared" si="79"/>
        <v>3°3°1VIVESPERTINO331</v>
      </c>
      <c r="C424" s="62">
        <f>VLOOKUP(G424,[1]Hoja1!$A:$O,3,0)</f>
        <v>331</v>
      </c>
      <c r="D424" s="2" t="str">
        <f t="shared" si="80"/>
        <v>1VIVCARPINTERIA</v>
      </c>
      <c r="E424" s="62" t="s">
        <v>57</v>
      </c>
      <c r="F424" s="62" t="s">
        <v>125</v>
      </c>
      <c r="G424" s="62" t="s">
        <v>118</v>
      </c>
      <c r="H424" s="8" t="str">
        <f>VLOOKUP(G424,[1]Hoja1!$A:$O,6,0)</f>
        <v>SISTEMAS TECNOLOGICOS</v>
      </c>
      <c r="I424" s="4" t="s">
        <v>23</v>
      </c>
      <c r="J424" s="4"/>
      <c r="K424" s="80" t="str">
        <f t="shared" si="78"/>
        <v>VI</v>
      </c>
      <c r="L424" s="4" t="s">
        <v>512</v>
      </c>
      <c r="M424" s="86" t="str">
        <f>VLOOKUP(G424,[1]Hoja1!$A:$O,15,0)</f>
        <v>DANIEL PAZ</v>
      </c>
      <c r="N424" s="2" t="str">
        <f t="shared" si="71"/>
        <v>3°3°3313TST3VI</v>
      </c>
      <c r="O424" s="2"/>
      <c r="P424" s="2" t="str">
        <f>VLOOKUP(G424,[1]Hoja1!$A:$P,16,0)</f>
        <v xml:space="preserve"> </v>
      </c>
      <c r="Q424" s="2"/>
      <c r="S424">
        <f>VLOOKUP(G424,[1]Hoja1!$A:$O,5,0)</f>
        <v>1914000</v>
      </c>
      <c r="U424" s="45" t="s">
        <v>2751</v>
      </c>
      <c r="V424" s="46">
        <f t="shared" si="72"/>
        <v>1914000</v>
      </c>
      <c r="W424" s="47" t="s">
        <v>1519</v>
      </c>
      <c r="X424" s="46" t="str">
        <f t="shared" si="73"/>
        <v>1</v>
      </c>
      <c r="Y424" s="47" t="s">
        <v>1518</v>
      </c>
      <c r="Z424" s="46" t="str">
        <f t="shared" si="74"/>
        <v>V</v>
      </c>
      <c r="AA424" s="47" t="s">
        <v>2752</v>
      </c>
      <c r="AB424" s="46" t="str">
        <f t="shared" si="75"/>
        <v>VIERNES</v>
      </c>
      <c r="AC424" s="47" t="s">
        <v>2753</v>
      </c>
      <c r="AD424" t="str">
        <f t="shared" si="76"/>
        <v>CONTRATURNO</v>
      </c>
      <c r="AE424" s="47" t="s">
        <v>2754</v>
      </c>
      <c r="AH424" t="str">
        <f t="shared" si="77"/>
        <v>INSERT INTO horario_curso_materia (horario_curso_materia.FK_CUR_mat,horario_curso_materia.FK_HOR,horario_curso_materia.DIA,horario_curso_materia.tipo_turno) VALUES (  (SELECT curso_materia.ID_CUR_MAT FROM curso_materia WHERE curso_materia.CUPOF='1914000' ) ,
    (SELECT horario.ID_HOR FROM horario WHERE horario.modulo='1 ' and horario.turno='V ' ),'VIERNES ' , 'CONTRATURNO ' );</v>
      </c>
    </row>
    <row r="425" spans="1:34" ht="14.25" hidden="1" customHeight="1" x14ac:dyDescent="0.3">
      <c r="A425" s="1" t="str">
        <f t="shared" si="70"/>
        <v>3°3°</v>
      </c>
      <c r="B425" s="54" t="str">
        <f t="shared" si="79"/>
        <v>3°3°2JUMAÑANA0</v>
      </c>
      <c r="C425" s="62">
        <f>VLOOKUP(G425,[1]Hoja1!$A:$O,3,0)</f>
        <v>0</v>
      </c>
      <c r="D425" s="2" t="str">
        <f t="shared" si="80"/>
        <v>2JUM</v>
      </c>
      <c r="E425" s="4" t="s">
        <v>45</v>
      </c>
      <c r="F425" s="62" t="s">
        <v>27</v>
      </c>
      <c r="G425" s="72" t="s">
        <v>373</v>
      </c>
      <c r="H425" s="8" t="str">
        <f>VLOOKUP(G425,[1]Hoja1!$A:$O,6,0)</f>
        <v>HISTORIA</v>
      </c>
      <c r="I425" s="4"/>
      <c r="J425" s="4"/>
      <c r="K425" s="80" t="str">
        <f t="shared" si="78"/>
        <v>JU</v>
      </c>
      <c r="L425" s="4"/>
      <c r="M425" s="86" t="str">
        <f>VLOOKUP(G425,[1]Hoja1!$A:$O,15,0)</f>
        <v xml:space="preserve">TORRES LUIS                    </v>
      </c>
      <c r="N425" s="2" t="str">
        <f t="shared" si="71"/>
        <v>3°3°3HISJU</v>
      </c>
      <c r="O425" s="2"/>
      <c r="P425" s="2" t="str">
        <f>VLOOKUP(G425,[1]Hoja1!$A:$P,16,0)</f>
        <v xml:space="preserve"> </v>
      </c>
      <c r="Q425" s="2"/>
      <c r="S425">
        <f>VLOOKUP(G425,[1]Hoja1!$A:$O,5,0)</f>
        <v>1913981</v>
      </c>
      <c r="U425" s="45" t="s">
        <v>2751</v>
      </c>
      <c r="V425" s="46">
        <f t="shared" si="72"/>
        <v>1913981</v>
      </c>
      <c r="W425" s="47" t="s">
        <v>1519</v>
      </c>
      <c r="X425" s="46" t="str">
        <f t="shared" si="73"/>
        <v>2</v>
      </c>
      <c r="Y425" s="47" t="s">
        <v>1518</v>
      </c>
      <c r="Z425" s="46" t="str">
        <f t="shared" si="74"/>
        <v>M</v>
      </c>
      <c r="AA425" s="47" t="s">
        <v>2752</v>
      </c>
      <c r="AB425" s="46" t="str">
        <f t="shared" si="75"/>
        <v>JUEVES</v>
      </c>
      <c r="AC425" s="47" t="s">
        <v>2753</v>
      </c>
      <c r="AD425">
        <f t="shared" si="76"/>
        <v>0</v>
      </c>
      <c r="AE425" s="47" t="s">
        <v>2754</v>
      </c>
      <c r="AH425" t="str">
        <f t="shared" si="77"/>
        <v>INSERT INTO horario_curso_materia (horario_curso_materia.FK_CUR_mat,horario_curso_materia.FK_HOR,horario_curso_materia.DIA,horario_curso_materia.tipo_turno) VALUES (  (SELECT curso_materia.ID_CUR_MAT FROM curso_materia WHERE curso_materia.CUPOF='1913981' ) ,
    (SELECT horario.ID_HOR FROM horario WHERE horario.modulo='2 ' and horario.turno='M ' ),'JUEVES ' , '0 ' );</v>
      </c>
    </row>
    <row r="426" spans="1:34" ht="14.25" hidden="1" customHeight="1" x14ac:dyDescent="0.3">
      <c r="A426" s="1" t="str">
        <f t="shared" si="70"/>
        <v>3°3°</v>
      </c>
      <c r="B426" s="54" t="str">
        <f t="shared" si="79"/>
        <v>3°3°2LUMAÑANA0</v>
      </c>
      <c r="C426" s="62">
        <f>VLOOKUP(G426,[1]Hoja1!$A:$O,3,0)</f>
        <v>0</v>
      </c>
      <c r="D426" s="2" t="str">
        <f t="shared" si="80"/>
        <v>2LUM</v>
      </c>
      <c r="E426" s="62" t="s">
        <v>12</v>
      </c>
      <c r="F426" s="62" t="s">
        <v>27</v>
      </c>
      <c r="G426" s="62" t="s">
        <v>367</v>
      </c>
      <c r="H426" s="8" t="str">
        <f>VLOOKUP(G426,[1]Hoja1!$A:$O,6,0)</f>
        <v>PRACTICA DEL LENGUAJE</v>
      </c>
      <c r="I426" s="4"/>
      <c r="J426" s="4"/>
      <c r="K426" s="80" t="str">
        <f t="shared" si="78"/>
        <v>LU</v>
      </c>
      <c r="L426" s="4"/>
      <c r="M426" s="86" t="str">
        <f>VLOOKUP(G426,[1]Hoja1!$A:$O,15,0)</f>
        <v>CARESTIA, NOEMI</v>
      </c>
      <c r="N426" s="2" t="str">
        <f t="shared" si="71"/>
        <v>3°3°3PLGLU</v>
      </c>
      <c r="O426" s="2"/>
      <c r="P426" s="2" t="str">
        <f>VLOOKUP(G426,[1]Hoja1!$A:$P,16,0)</f>
        <v xml:space="preserve"> </v>
      </c>
      <c r="Q426" s="2"/>
      <c r="S426">
        <f>VLOOKUP(G426,[1]Hoja1!$A:$O,5,0)</f>
        <v>1913986</v>
      </c>
      <c r="U426" s="45" t="s">
        <v>2751</v>
      </c>
      <c r="V426" s="46">
        <f t="shared" si="72"/>
        <v>1913986</v>
      </c>
      <c r="W426" s="47" t="s">
        <v>1519</v>
      </c>
      <c r="X426" s="46" t="str">
        <f t="shared" si="73"/>
        <v>2</v>
      </c>
      <c r="Y426" s="47" t="s">
        <v>1518</v>
      </c>
      <c r="Z426" s="46" t="str">
        <f t="shared" si="74"/>
        <v>M</v>
      </c>
      <c r="AA426" s="47" t="s">
        <v>2752</v>
      </c>
      <c r="AB426" s="46" t="str">
        <f t="shared" si="75"/>
        <v>LUNES</v>
      </c>
      <c r="AC426" s="47" t="s">
        <v>2753</v>
      </c>
      <c r="AD426">
        <f t="shared" si="76"/>
        <v>0</v>
      </c>
      <c r="AE426" s="47" t="s">
        <v>2754</v>
      </c>
      <c r="AH426" t="str">
        <f t="shared" si="77"/>
        <v>INSERT INTO horario_curso_materia (horario_curso_materia.FK_CUR_mat,horario_curso_materia.FK_HOR,horario_curso_materia.DIA,horario_curso_materia.tipo_turno) VALUES (  (SELECT curso_materia.ID_CUR_MAT FROM curso_materia WHERE curso_materia.CUPOF='1913986' ) ,
    (SELECT horario.ID_HOR FROM horario WHERE horario.modulo='2 ' and horario.turno='M ' ),'LUNES ' , '0 ' );</v>
      </c>
    </row>
    <row r="427" spans="1:34" ht="15" hidden="1" customHeight="1" x14ac:dyDescent="0.3">
      <c r="A427" s="1" t="str">
        <f t="shared" si="70"/>
        <v>3°3°</v>
      </c>
      <c r="B427" s="54" t="str">
        <f t="shared" si="79"/>
        <v>3°3°2LUTARDE331</v>
      </c>
      <c r="C427" s="62">
        <f>VLOOKUP(G427,[1]Hoja1!$A:$O,3,0)</f>
        <v>331</v>
      </c>
      <c r="D427" s="2" t="str">
        <f t="shared" si="80"/>
        <v>2LUTHERRERIA</v>
      </c>
      <c r="E427" s="62" t="s">
        <v>12</v>
      </c>
      <c r="F427" s="62" t="s">
        <v>10</v>
      </c>
      <c r="G427" s="62" t="s">
        <v>114</v>
      </c>
      <c r="H427" s="8" t="str">
        <f>VLOOKUP(G427,[1]Hoja1!$A:$O,6,0)</f>
        <v>PROCEDIMIENTOS TECNICOS</v>
      </c>
      <c r="I427" s="4" t="s">
        <v>21</v>
      </c>
      <c r="J427" s="4"/>
      <c r="K427" s="80" t="str">
        <f t="shared" si="78"/>
        <v>LU</v>
      </c>
      <c r="L427" s="4" t="s">
        <v>512</v>
      </c>
      <c r="M427" s="86" t="str">
        <f>VLOOKUP(G427,[1]Hoja1!$A:$O,15,0)</f>
        <v xml:space="preserve">CHAMORRO CRISTIAN </v>
      </c>
      <c r="N427" s="2" t="str">
        <f t="shared" si="71"/>
        <v>3°3°3313TPT3LU</v>
      </c>
      <c r="O427" s="2"/>
      <c r="P427" s="2" t="str">
        <f>VLOOKUP(G427,[1]Hoja1!$A:$P,16,0)</f>
        <v xml:space="preserve"> </v>
      </c>
      <c r="Q427" s="2"/>
      <c r="S427">
        <f>VLOOKUP(G427,[1]Hoja1!$A:$O,5,0)</f>
        <v>1913994</v>
      </c>
      <c r="U427" s="45" t="s">
        <v>2751</v>
      </c>
      <c r="V427" s="46">
        <f t="shared" si="72"/>
        <v>1913994</v>
      </c>
      <c r="W427" s="47" t="s">
        <v>1519</v>
      </c>
      <c r="X427" s="46" t="str">
        <f t="shared" si="73"/>
        <v>2</v>
      </c>
      <c r="Y427" s="47" t="s">
        <v>1518</v>
      </c>
      <c r="Z427" s="46" t="str">
        <f t="shared" si="74"/>
        <v>T</v>
      </c>
      <c r="AA427" s="47" t="s">
        <v>2752</v>
      </c>
      <c r="AB427" s="46" t="str">
        <f t="shared" si="75"/>
        <v>LUNES</v>
      </c>
      <c r="AC427" s="47" t="s">
        <v>2753</v>
      </c>
      <c r="AD427" t="str">
        <f t="shared" si="76"/>
        <v>CONTRATURNO</v>
      </c>
      <c r="AE427" s="47" t="s">
        <v>2754</v>
      </c>
      <c r="AH427" t="str">
        <f t="shared" si="77"/>
        <v>INSERT INTO horario_curso_materia (horario_curso_materia.FK_CUR_mat,horario_curso_materia.FK_HOR,horario_curso_materia.DIA,horario_curso_materia.tipo_turno) VALUES (  (SELECT curso_materia.ID_CUR_MAT FROM curso_materia WHERE curso_materia.CUPOF='1913994' ) ,
    (SELECT horario.ID_HOR FROM horario WHERE horario.modulo='2 ' and horario.turno='T ' ),'LUNES ' , 'CONTRATURNO ' );</v>
      </c>
    </row>
    <row r="428" spans="1:34" ht="15" hidden="1" customHeight="1" x14ac:dyDescent="0.3">
      <c r="A428" s="1" t="str">
        <f t="shared" si="70"/>
        <v>3°3°</v>
      </c>
      <c r="B428" s="54" t="str">
        <f t="shared" si="79"/>
        <v>3°3°2MAMAÑANA0</v>
      </c>
      <c r="C428" s="62">
        <f>VLOOKUP(G428,[1]Hoja1!$A:$O,3,0)</f>
        <v>0</v>
      </c>
      <c r="D428" s="2" t="str">
        <f t="shared" si="80"/>
        <v>2MAM</v>
      </c>
      <c r="E428" s="62" t="s">
        <v>19</v>
      </c>
      <c r="F428" s="62" t="s">
        <v>27</v>
      </c>
      <c r="G428" s="62" t="s">
        <v>369</v>
      </c>
      <c r="H428" s="8" t="str">
        <f>VLOOKUP(G428,[1]Hoja1!$A:$O,6,0)</f>
        <v>INGLÉS</v>
      </c>
      <c r="I428" s="4"/>
      <c r="J428" s="4"/>
      <c r="K428" s="80" t="str">
        <f t="shared" si="78"/>
        <v>MA</v>
      </c>
      <c r="L428" s="4"/>
      <c r="M428" s="86" t="str">
        <f>VLOOKUP(G428,[1]Hoja1!$A:$O,15,0)</f>
        <v xml:space="preserve">LEGUIZAMON ANA </v>
      </c>
      <c r="N428" s="2" t="str">
        <f t="shared" si="71"/>
        <v>3°3°3INGMA</v>
      </c>
      <c r="O428" s="2"/>
      <c r="P428" s="2" t="str">
        <f>VLOOKUP(G428,[1]Hoja1!$A:$P,16,0)</f>
        <v xml:space="preserve"> </v>
      </c>
      <c r="Q428" s="2"/>
      <c r="S428">
        <f>VLOOKUP(G428,[1]Hoja1!$A:$O,5,0)</f>
        <v>1913982</v>
      </c>
      <c r="U428" s="45" t="s">
        <v>2751</v>
      </c>
      <c r="V428" s="46">
        <f t="shared" si="72"/>
        <v>1913982</v>
      </c>
      <c r="W428" s="47" t="s">
        <v>1519</v>
      </c>
      <c r="X428" s="46" t="str">
        <f t="shared" si="73"/>
        <v>2</v>
      </c>
      <c r="Y428" s="47" t="s">
        <v>1518</v>
      </c>
      <c r="Z428" s="46" t="str">
        <f t="shared" si="74"/>
        <v>M</v>
      </c>
      <c r="AA428" s="47" t="s">
        <v>2752</v>
      </c>
      <c r="AB428" s="46" t="str">
        <f t="shared" si="75"/>
        <v>MARTES</v>
      </c>
      <c r="AC428" s="47" t="s">
        <v>2753</v>
      </c>
      <c r="AD428">
        <f t="shared" si="76"/>
        <v>0</v>
      </c>
      <c r="AE428" s="47" t="s">
        <v>2754</v>
      </c>
      <c r="AH428" t="str">
        <f t="shared" si="77"/>
        <v>INSERT INTO horario_curso_materia (horario_curso_materia.FK_CUR_mat,horario_curso_materia.FK_HOR,horario_curso_materia.DIA,horario_curso_materia.tipo_turno) VALUES (  (SELECT curso_materia.ID_CUR_MAT FROM curso_materia WHERE curso_materia.CUPOF='1913982' ) ,
    (SELECT horario.ID_HOR FROM horario WHERE horario.modulo='2 ' and horario.turno='M ' ),'MARTES ' , '0 ' );</v>
      </c>
    </row>
    <row r="429" spans="1:34" ht="15" hidden="1" customHeight="1" x14ac:dyDescent="0.3">
      <c r="A429" s="1" t="str">
        <f t="shared" si="70"/>
        <v>3°3°</v>
      </c>
      <c r="B429" s="54" t="str">
        <f t="shared" si="79"/>
        <v>3°3°2MATARDE331</v>
      </c>
      <c r="C429" s="62">
        <f>VLOOKUP(G429,[1]Hoja1!$A:$O,3,0)</f>
        <v>331</v>
      </c>
      <c r="D429" s="2" t="str">
        <f t="shared" si="80"/>
        <v>2MATALULA 4</v>
      </c>
      <c r="E429" s="62" t="s">
        <v>19</v>
      </c>
      <c r="F429" s="62" t="s">
        <v>10</v>
      </c>
      <c r="G429" s="62" t="s">
        <v>115</v>
      </c>
      <c r="H429" s="8" t="str">
        <f>VLOOKUP(G429,[1]Hoja1!$A:$O,6,0)</f>
        <v>LENGUAJES TECNOLOGICOS</v>
      </c>
      <c r="I429" s="4" t="s">
        <v>2760</v>
      </c>
      <c r="J429" s="4"/>
      <c r="K429" s="80" t="str">
        <f t="shared" si="78"/>
        <v>MA</v>
      </c>
      <c r="L429" s="4" t="s">
        <v>512</v>
      </c>
      <c r="M429" s="86" t="str">
        <f>VLOOKUP(G429,[1]Hoja1!$A:$O,15,0)</f>
        <v>MARCELO ELIAN GONZÁLEZ BALDERRAMA</v>
      </c>
      <c r="N429" s="2" t="str">
        <f t="shared" si="71"/>
        <v>3°3°3313TLT3MA</v>
      </c>
      <c r="O429" s="2"/>
      <c r="P429" s="2" t="str">
        <f>VLOOKUP(G429,[1]Hoja1!$A:$P,16,0)</f>
        <v xml:space="preserve"> </v>
      </c>
      <c r="Q429" s="2"/>
      <c r="S429">
        <f>VLOOKUP(G429,[1]Hoja1!$A:$O,5,0)</f>
        <v>1913987</v>
      </c>
      <c r="U429" s="45" t="s">
        <v>2751</v>
      </c>
      <c r="V429" s="46">
        <f t="shared" si="72"/>
        <v>1913987</v>
      </c>
      <c r="W429" s="47" t="s">
        <v>1519</v>
      </c>
      <c r="X429" s="46" t="str">
        <f t="shared" si="73"/>
        <v>2</v>
      </c>
      <c r="Y429" s="47" t="s">
        <v>1518</v>
      </c>
      <c r="Z429" s="46" t="str">
        <f t="shared" si="74"/>
        <v>T</v>
      </c>
      <c r="AA429" s="47" t="s">
        <v>2752</v>
      </c>
      <c r="AB429" s="46" t="str">
        <f t="shared" si="75"/>
        <v>MARTES</v>
      </c>
      <c r="AC429" s="47" t="s">
        <v>2753</v>
      </c>
      <c r="AD429" t="str">
        <f t="shared" si="76"/>
        <v>CONTRATURNO</v>
      </c>
      <c r="AE429" s="47" t="s">
        <v>2754</v>
      </c>
      <c r="AH429" t="str">
        <f t="shared" si="77"/>
        <v>INSERT INTO horario_curso_materia (horario_curso_materia.FK_CUR_mat,horario_curso_materia.FK_HOR,horario_curso_materia.DIA,horario_curso_materia.tipo_turno) VALUES (  (SELECT curso_materia.ID_CUR_MAT FROM curso_materia WHERE curso_materia.CUPOF='1913987' ) ,
    (SELECT horario.ID_HOR FROM horario WHERE horario.modulo='2 ' and horario.turno='T ' ),'MARTES ' , 'CONTRATURNO ' );</v>
      </c>
    </row>
    <row r="430" spans="1:34" ht="15" hidden="1" customHeight="1" x14ac:dyDescent="0.3">
      <c r="A430" s="1" t="str">
        <f t="shared" si="70"/>
        <v>3°3°</v>
      </c>
      <c r="B430" s="54" t="str">
        <f t="shared" si="79"/>
        <v>3°3°2MATARDE332</v>
      </c>
      <c r="C430" s="62">
        <f>VLOOKUP(G430,[1]Hoja1!$A:$O,3,0)</f>
        <v>332</v>
      </c>
      <c r="D430" s="2" t="str">
        <f t="shared" si="80"/>
        <v>2MAT46</v>
      </c>
      <c r="E430" s="62" t="s">
        <v>19</v>
      </c>
      <c r="F430" s="62" t="s">
        <v>10</v>
      </c>
      <c r="G430" s="62" t="s">
        <v>116</v>
      </c>
      <c r="H430" s="8" t="str">
        <f>VLOOKUP(G430,[1]Hoja1!$A:$O,6,0)</f>
        <v>SISTEMAS TECNOLOGICOS</v>
      </c>
      <c r="I430" s="4">
        <v>46</v>
      </c>
      <c r="J430" s="4"/>
      <c r="K430" s="80" t="str">
        <f t="shared" si="78"/>
        <v>MA</v>
      </c>
      <c r="L430" s="4" t="s">
        <v>512</v>
      </c>
      <c r="M430" s="87" t="str">
        <f>VLOOKUP(G430,[1]Hoja1!$A:$O,15,0)</f>
        <v>CORDOBA ALEJANDRO</v>
      </c>
      <c r="N430" s="2" t="str">
        <f t="shared" si="71"/>
        <v>3°3°3323TST3MA</v>
      </c>
      <c r="O430" s="2"/>
      <c r="P430" s="2" t="str">
        <f>VLOOKUP(G430,[1]Hoja1!$A:$P,16,0)</f>
        <v xml:space="preserve"> </v>
      </c>
      <c r="Q430" s="2"/>
      <c r="S430">
        <f>VLOOKUP(G430,[1]Hoja1!$A:$O,5,0)</f>
        <v>1914002</v>
      </c>
      <c r="U430" s="45" t="s">
        <v>2751</v>
      </c>
      <c r="V430" s="46">
        <f t="shared" si="72"/>
        <v>1914002</v>
      </c>
      <c r="W430" s="47" t="s">
        <v>1519</v>
      </c>
      <c r="X430" s="46" t="str">
        <f t="shared" si="73"/>
        <v>2</v>
      </c>
      <c r="Y430" s="47" t="s">
        <v>1518</v>
      </c>
      <c r="Z430" s="46" t="str">
        <f t="shared" si="74"/>
        <v>T</v>
      </c>
      <c r="AA430" s="47" t="s">
        <v>2752</v>
      </c>
      <c r="AB430" s="46" t="str">
        <f t="shared" si="75"/>
        <v>MARTES</v>
      </c>
      <c r="AC430" s="47" t="s">
        <v>2753</v>
      </c>
      <c r="AD430" t="str">
        <f t="shared" si="76"/>
        <v>CONTRATURNO</v>
      </c>
      <c r="AE430" s="47" t="s">
        <v>2754</v>
      </c>
      <c r="AH430" t="str">
        <f t="shared" si="77"/>
        <v>INSERT INTO horario_curso_materia (horario_curso_materia.FK_CUR_mat,horario_curso_materia.FK_HOR,horario_curso_materia.DIA,horario_curso_materia.tipo_turno) VALUES (  (SELECT curso_materia.ID_CUR_MAT FROM curso_materia WHERE curso_materia.CUPOF='1914002' ) ,
    (SELECT horario.ID_HOR FROM horario WHERE horario.modulo='2 ' and horario.turno='T ' ),'MARTES ' , 'CONTRATURNO ' );</v>
      </c>
    </row>
    <row r="431" spans="1:34" ht="15" hidden="1" customHeight="1" x14ac:dyDescent="0.3">
      <c r="A431" s="1" t="str">
        <f t="shared" si="70"/>
        <v>3°3°</v>
      </c>
      <c r="B431" s="54" t="str">
        <f t="shared" si="79"/>
        <v>3°3°2MIMAÑANA0</v>
      </c>
      <c r="C431" s="62">
        <f>VLOOKUP(G431,[1]Hoja1!$A:$O,3,0)</f>
        <v>0</v>
      </c>
      <c r="D431" s="2" t="str">
        <f t="shared" si="80"/>
        <v>2MIM</v>
      </c>
      <c r="E431" s="62" t="s">
        <v>26</v>
      </c>
      <c r="F431" s="62" t="s">
        <v>27</v>
      </c>
      <c r="G431" s="62" t="s">
        <v>371</v>
      </c>
      <c r="H431" s="8" t="str">
        <f>VLOOKUP(G431,[1]Hoja1!$A:$O,6,0)</f>
        <v>MATEMATICA</v>
      </c>
      <c r="I431" s="4"/>
      <c r="J431" s="4"/>
      <c r="K431" s="80" t="str">
        <f t="shared" si="78"/>
        <v>MI</v>
      </c>
      <c r="L431" s="4"/>
      <c r="M431" s="86" t="str">
        <f>VLOOKUP(G431,[1]Hoja1!$A:$O,15,0)</f>
        <v xml:space="preserve">VARCHETTA, GABRIEL OMAR </v>
      </c>
      <c r="N431" s="2" t="str">
        <f t="shared" si="71"/>
        <v>3°3°3MATMI</v>
      </c>
      <c r="O431" s="2"/>
      <c r="P431" s="2" t="str">
        <f>VLOOKUP(G431,[1]Hoja1!$A:$P,16,0)</f>
        <v xml:space="preserve"> </v>
      </c>
      <c r="Q431" s="2"/>
      <c r="S431">
        <f>VLOOKUP(G431,[1]Hoja1!$A:$O,5,0)</f>
        <v>1913983</v>
      </c>
      <c r="U431" s="45" t="s">
        <v>2751</v>
      </c>
      <c r="V431" s="46">
        <f t="shared" si="72"/>
        <v>1913983</v>
      </c>
      <c r="W431" s="47" t="s">
        <v>1519</v>
      </c>
      <c r="X431" s="46" t="str">
        <f t="shared" si="73"/>
        <v>2</v>
      </c>
      <c r="Y431" s="47" t="s">
        <v>1518</v>
      </c>
      <c r="Z431" s="46" t="str">
        <f t="shared" si="74"/>
        <v>M</v>
      </c>
      <c r="AA431" s="47" t="s">
        <v>2752</v>
      </c>
      <c r="AB431" s="46" t="str">
        <f t="shared" si="75"/>
        <v>MIERCOLES</v>
      </c>
      <c r="AC431" s="47" t="s">
        <v>2753</v>
      </c>
      <c r="AD431">
        <f t="shared" si="76"/>
        <v>0</v>
      </c>
      <c r="AE431" s="47" t="s">
        <v>2754</v>
      </c>
      <c r="AH431" t="str">
        <f t="shared" si="77"/>
        <v>INSERT INTO horario_curso_materia (horario_curso_materia.FK_CUR_mat,horario_curso_materia.FK_HOR,horario_curso_materia.DIA,horario_curso_materia.tipo_turno) VALUES (  (SELECT curso_materia.ID_CUR_MAT FROM curso_materia WHERE curso_materia.CUPOF='1913983' ) ,
    (SELECT horario.ID_HOR FROM horario WHERE horario.modulo='2 ' and horario.turno='M ' ),'MIERCOLES ' , '0 ' );</v>
      </c>
    </row>
    <row r="432" spans="1:34" ht="14.25" hidden="1" customHeight="1" x14ac:dyDescent="0.3">
      <c r="A432" s="1" t="str">
        <f t="shared" si="70"/>
        <v>3°3°</v>
      </c>
      <c r="B432" s="54" t="str">
        <f t="shared" si="79"/>
        <v>3°3°2juTARDE0</v>
      </c>
      <c r="C432" s="62">
        <f>VLOOKUP(G432,[1]Hoja1!$A:$O,3,0)</f>
        <v>0</v>
      </c>
      <c r="D432" s="2" t="str">
        <f t="shared" si="80"/>
        <v>2juTPATIO</v>
      </c>
      <c r="E432" s="62" t="s">
        <v>1349</v>
      </c>
      <c r="F432" s="62" t="s">
        <v>10</v>
      </c>
      <c r="G432" s="62" t="s">
        <v>376</v>
      </c>
      <c r="H432" s="8" t="str">
        <f>VLOOKUP(G432,[1]Hoja1!$A:$O,6,0)</f>
        <v>EDUCACIÓN FISICA</v>
      </c>
      <c r="I432" s="4" t="s">
        <v>241</v>
      </c>
      <c r="J432" s="4"/>
      <c r="K432" s="80" t="str">
        <f t="shared" si="78"/>
        <v>ju</v>
      </c>
      <c r="L432" s="4" t="s">
        <v>512</v>
      </c>
      <c r="M432" s="86" t="str">
        <f>VLOOKUP(G432,[1]Hoja1!$A:$O,15,0)</f>
        <v xml:space="preserve">RIOS, LEONARDO  </v>
      </c>
      <c r="N432" s="2" t="str">
        <f t="shared" si="71"/>
        <v>3°3°3EFIju</v>
      </c>
      <c r="O432" s="2"/>
      <c r="P432" s="2" t="str">
        <f>VLOOKUP(G432,[1]Hoja1!$A:$P,16,0)</f>
        <v xml:space="preserve"> </v>
      </c>
      <c r="Q432" s="2"/>
      <c r="S432">
        <f>VLOOKUP(G432,[1]Hoja1!$A:$O,5,0)</f>
        <v>1913973</v>
      </c>
      <c r="U432" s="45" t="s">
        <v>2751</v>
      </c>
      <c r="V432" s="46">
        <f t="shared" si="72"/>
        <v>1913973</v>
      </c>
      <c r="W432" s="47" t="s">
        <v>1519</v>
      </c>
      <c r="X432" s="46" t="str">
        <f t="shared" si="73"/>
        <v>2</v>
      </c>
      <c r="Y432" s="47" t="s">
        <v>1518</v>
      </c>
      <c r="Z432" s="46" t="str">
        <f t="shared" si="74"/>
        <v>T</v>
      </c>
      <c r="AA432" s="47" t="s">
        <v>2752</v>
      </c>
      <c r="AB432" s="46" t="str">
        <f t="shared" si="75"/>
        <v>JUEVES</v>
      </c>
      <c r="AC432" s="47" t="s">
        <v>2753</v>
      </c>
      <c r="AD432" t="str">
        <f t="shared" si="76"/>
        <v>CONTRATURNO</v>
      </c>
      <c r="AE432" s="47" t="s">
        <v>2754</v>
      </c>
      <c r="AH432" t="str">
        <f t="shared" si="77"/>
        <v>INSERT INTO horario_curso_materia (horario_curso_materia.FK_CUR_mat,horario_curso_materia.FK_HOR,horario_curso_materia.DIA,horario_curso_materia.tipo_turno) VALUES (  (SELECT curso_materia.ID_CUR_MAT FROM curso_materia WHERE curso_materia.CUPOF='1913973' ) ,
    (SELECT horario.ID_HOR FROM horario WHERE horario.modulo='2 ' and horario.turno='T ' ),'JUEVES ' , 'CONTRATURNO ' );</v>
      </c>
    </row>
    <row r="433" spans="1:34" ht="15" hidden="1" customHeight="1" x14ac:dyDescent="0.3">
      <c r="A433" s="1" t="str">
        <f t="shared" si="70"/>
        <v>3°3°</v>
      </c>
      <c r="B433" s="54" t="str">
        <f t="shared" si="79"/>
        <v>3°3°2VIMAÑANA0</v>
      </c>
      <c r="C433" s="62">
        <f>VLOOKUP(G433,[1]Hoja1!$A:$O,3,0)</f>
        <v>0</v>
      </c>
      <c r="D433" s="2" t="str">
        <f t="shared" si="80"/>
        <v>2VIM</v>
      </c>
      <c r="E433" s="62" t="s">
        <v>59</v>
      </c>
      <c r="F433" s="62" t="s">
        <v>27</v>
      </c>
      <c r="G433" s="62" t="s">
        <v>367</v>
      </c>
      <c r="H433" s="8" t="str">
        <f>VLOOKUP(G433,[1]Hoja1!$A:$O,6,0)</f>
        <v>PRACTICA DEL LENGUAJE</v>
      </c>
      <c r="I433" s="4"/>
      <c r="J433" s="4"/>
      <c r="K433" s="80" t="str">
        <f t="shared" si="78"/>
        <v>VI</v>
      </c>
      <c r="L433" s="4"/>
      <c r="M433" s="86" t="str">
        <f>VLOOKUP(G433,[1]Hoja1!$A:$O,15,0)</f>
        <v>CARESTIA, NOEMI</v>
      </c>
      <c r="N433" s="2" t="str">
        <f t="shared" si="71"/>
        <v>3°3°3PLGVI</v>
      </c>
      <c r="O433" s="2"/>
      <c r="P433" s="2" t="str">
        <f>VLOOKUP(G433,[1]Hoja1!$A:$P,16,0)</f>
        <v xml:space="preserve"> </v>
      </c>
      <c r="Q433" s="2"/>
      <c r="S433">
        <f>VLOOKUP(G433,[1]Hoja1!$A:$O,5,0)</f>
        <v>1913986</v>
      </c>
      <c r="U433" s="45" t="s">
        <v>2751</v>
      </c>
      <c r="V433" s="46">
        <f t="shared" si="72"/>
        <v>1913986</v>
      </c>
      <c r="W433" s="47" t="s">
        <v>1519</v>
      </c>
      <c r="X433" s="46" t="str">
        <f t="shared" si="73"/>
        <v>2</v>
      </c>
      <c r="Y433" s="47" t="s">
        <v>1518</v>
      </c>
      <c r="Z433" s="46" t="str">
        <f t="shared" si="74"/>
        <v>M</v>
      </c>
      <c r="AA433" s="47" t="s">
        <v>2752</v>
      </c>
      <c r="AB433" s="46" t="str">
        <f t="shared" si="75"/>
        <v>VIERNES</v>
      </c>
      <c r="AC433" s="47" t="s">
        <v>2753</v>
      </c>
      <c r="AD433">
        <f t="shared" si="76"/>
        <v>0</v>
      </c>
      <c r="AE433" s="47" t="s">
        <v>2754</v>
      </c>
      <c r="AH433" t="str">
        <f t="shared" si="77"/>
        <v>INSERT INTO horario_curso_materia (horario_curso_materia.FK_CUR_mat,horario_curso_materia.FK_HOR,horario_curso_materia.DIA,horario_curso_materia.tipo_turno) VALUES (  (SELECT curso_materia.ID_CUR_MAT FROM curso_materia WHERE curso_materia.CUPOF='1913986' ) ,
    (SELECT horario.ID_HOR FROM horario WHERE horario.modulo='2 ' and horario.turno='M ' ),'VIERNES ' , '0 ' );</v>
      </c>
    </row>
    <row r="434" spans="1:34" s="19" customFormat="1" ht="15" hidden="1" customHeight="1" x14ac:dyDescent="0.3">
      <c r="A434" s="1" t="str">
        <f t="shared" si="70"/>
        <v>3°3°</v>
      </c>
      <c r="B434" s="54" t="str">
        <f t="shared" si="79"/>
        <v>3°3°2VITARDE332</v>
      </c>
      <c r="C434" s="62">
        <f>VLOOKUP(G434,[1]Hoja1!$A:$O,3,0)</f>
        <v>332</v>
      </c>
      <c r="D434" s="2" t="str">
        <f t="shared" si="80"/>
        <v>2VITALULA 4</v>
      </c>
      <c r="E434" s="62" t="s">
        <v>59</v>
      </c>
      <c r="F434" s="62" t="s">
        <v>10</v>
      </c>
      <c r="G434" s="62" t="s">
        <v>119</v>
      </c>
      <c r="H434" s="8" t="str">
        <f>VLOOKUP(G434,[1]Hoja1!$A:$O,6,0)</f>
        <v>LENGUAJES TECNOLOGICOS</v>
      </c>
      <c r="I434" s="4" t="s">
        <v>2760</v>
      </c>
      <c r="J434" s="4"/>
      <c r="K434" s="80" t="str">
        <f t="shared" si="78"/>
        <v>VI</v>
      </c>
      <c r="L434" s="4" t="s">
        <v>512</v>
      </c>
      <c r="M434" s="86" t="str">
        <f>VLOOKUP(G434,[1]Hoja1!$A:$O,15,0)</f>
        <v xml:space="preserve">PROCHOR PABLO  </v>
      </c>
      <c r="N434" s="2" t="str">
        <f t="shared" si="71"/>
        <v>3°3°3323TLT3VI</v>
      </c>
      <c r="O434" s="2"/>
      <c r="P434" s="2" t="str">
        <f>VLOOKUP(G434,[1]Hoja1!$A:$P,16,0)</f>
        <v xml:space="preserve"> </v>
      </c>
      <c r="Q434" s="2"/>
      <c r="R434" s="7"/>
      <c r="S434">
        <f>VLOOKUP(G434,[1]Hoja1!$A:$O,5,0)</f>
        <v>1913991</v>
      </c>
      <c r="T434"/>
      <c r="U434" s="45" t="s">
        <v>2751</v>
      </c>
      <c r="V434" s="46">
        <f t="shared" si="72"/>
        <v>1913991</v>
      </c>
      <c r="W434" s="47" t="s">
        <v>1519</v>
      </c>
      <c r="X434" s="46" t="str">
        <f t="shared" si="73"/>
        <v>2</v>
      </c>
      <c r="Y434" s="47" t="s">
        <v>1518</v>
      </c>
      <c r="Z434" s="46" t="str">
        <f t="shared" si="74"/>
        <v>T</v>
      </c>
      <c r="AA434" s="47" t="s">
        <v>2752</v>
      </c>
      <c r="AB434" s="46" t="str">
        <f t="shared" si="75"/>
        <v>VIERNES</v>
      </c>
      <c r="AC434" s="47" t="s">
        <v>2753</v>
      </c>
      <c r="AD434" t="str">
        <f t="shared" si="76"/>
        <v>CONTRATURNO</v>
      </c>
      <c r="AE434" s="47" t="s">
        <v>2754</v>
      </c>
      <c r="AF434"/>
      <c r="AG434"/>
      <c r="AH434" t="str">
        <f t="shared" si="77"/>
        <v>INSERT INTO horario_curso_materia (horario_curso_materia.FK_CUR_mat,horario_curso_materia.FK_HOR,horario_curso_materia.DIA,horario_curso_materia.tipo_turno) VALUES (  (SELECT curso_materia.ID_CUR_MAT FROM curso_materia WHERE curso_materia.CUPOF='1913991' ) ,
    (SELECT horario.ID_HOR FROM horario WHERE horario.modulo='2 ' and horario.turno='T ' ),'VIERNES ' , 'CONTRATURNO ' );</v>
      </c>
    </row>
    <row r="435" spans="1:34" ht="15" hidden="1" customHeight="1" x14ac:dyDescent="0.3">
      <c r="A435" s="1" t="str">
        <f t="shared" si="70"/>
        <v>3°3°</v>
      </c>
      <c r="B435" s="54" t="str">
        <f t="shared" si="79"/>
        <v>3°3°2VIVESPERTINO331</v>
      </c>
      <c r="C435" s="62">
        <f>VLOOKUP(G435,[1]Hoja1!$A:$O,3,0)</f>
        <v>331</v>
      </c>
      <c r="D435" s="2" t="str">
        <f t="shared" si="80"/>
        <v>2VIVCARPINTERIA</v>
      </c>
      <c r="E435" s="62" t="s">
        <v>59</v>
      </c>
      <c r="F435" s="62" t="s">
        <v>125</v>
      </c>
      <c r="G435" s="62" t="s">
        <v>118</v>
      </c>
      <c r="H435" s="8" t="str">
        <f>VLOOKUP(G435,[1]Hoja1!$A:$O,6,0)</f>
        <v>SISTEMAS TECNOLOGICOS</v>
      </c>
      <c r="I435" s="4" t="s">
        <v>23</v>
      </c>
      <c r="J435" s="4"/>
      <c r="K435" s="80" t="str">
        <f t="shared" si="78"/>
        <v>VI</v>
      </c>
      <c r="L435" s="4" t="s">
        <v>512</v>
      </c>
      <c r="M435" s="86" t="str">
        <f>VLOOKUP(G435,[1]Hoja1!$A:$O,15,0)</f>
        <v>DANIEL PAZ</v>
      </c>
      <c r="N435" s="2" t="str">
        <f t="shared" si="71"/>
        <v>3°3°3313TST3VI</v>
      </c>
      <c r="O435" s="2"/>
      <c r="P435" s="2" t="str">
        <f>VLOOKUP(G435,[1]Hoja1!$A:$P,16,0)</f>
        <v xml:space="preserve"> </v>
      </c>
      <c r="Q435" s="2"/>
      <c r="S435">
        <f>VLOOKUP(G435,[1]Hoja1!$A:$O,5,0)</f>
        <v>1914000</v>
      </c>
      <c r="U435" s="45" t="s">
        <v>2751</v>
      </c>
      <c r="V435" s="46">
        <f t="shared" si="72"/>
        <v>1914000</v>
      </c>
      <c r="W435" s="47" t="s">
        <v>1519</v>
      </c>
      <c r="X435" s="46" t="str">
        <f t="shared" si="73"/>
        <v>2</v>
      </c>
      <c r="Y435" s="47" t="s">
        <v>1518</v>
      </c>
      <c r="Z435" s="46" t="str">
        <f t="shared" si="74"/>
        <v>V</v>
      </c>
      <c r="AA435" s="47" t="s">
        <v>2752</v>
      </c>
      <c r="AB435" s="46" t="str">
        <f t="shared" si="75"/>
        <v>VIERNES</v>
      </c>
      <c r="AC435" s="47" t="s">
        <v>2753</v>
      </c>
      <c r="AD435" t="str">
        <f t="shared" si="76"/>
        <v>CONTRATURNO</v>
      </c>
      <c r="AE435" s="47" t="s">
        <v>2754</v>
      </c>
      <c r="AH435" t="str">
        <f t="shared" si="77"/>
        <v>INSERT INTO horario_curso_materia (horario_curso_materia.FK_CUR_mat,horario_curso_materia.FK_HOR,horario_curso_materia.DIA,horario_curso_materia.tipo_turno) VALUES (  (SELECT curso_materia.ID_CUR_MAT FROM curso_materia WHERE curso_materia.CUPOF='1914000' ) ,
    (SELECT horario.ID_HOR FROM horario WHERE horario.modulo='2 ' and horario.turno='V ' ),'VIERNES ' , 'CONTRATURNO ' );</v>
      </c>
    </row>
    <row r="436" spans="1:34" ht="15" hidden="1" customHeight="1" x14ac:dyDescent="0.3">
      <c r="A436" s="1" t="str">
        <f t="shared" si="70"/>
        <v>3°3°</v>
      </c>
      <c r="B436" s="54" t="str">
        <f t="shared" si="79"/>
        <v>3°3°3JUMAÑANA0</v>
      </c>
      <c r="C436" s="62">
        <f>VLOOKUP(G436,[1]Hoja1!$A:$O,3,0)</f>
        <v>0</v>
      </c>
      <c r="D436" s="2" t="str">
        <f t="shared" si="80"/>
        <v>3JUM</v>
      </c>
      <c r="E436" s="4" t="s">
        <v>46</v>
      </c>
      <c r="F436" s="62" t="s">
        <v>27</v>
      </c>
      <c r="G436" s="72" t="s">
        <v>374</v>
      </c>
      <c r="H436" s="8" t="str">
        <f>VLOOKUP(G436,[1]Hoja1!$A:$O,6,0)</f>
        <v>CONSTRUCCION DE LA CIUDADANIA</v>
      </c>
      <c r="I436" s="4"/>
      <c r="J436" s="4"/>
      <c r="K436" s="80" t="str">
        <f t="shared" si="78"/>
        <v>JU</v>
      </c>
      <c r="L436" s="4"/>
      <c r="M436" s="86" t="str">
        <f>VLOOKUP(G436,[1]Hoja1!$A:$O,15,0)</f>
        <v>HERRERA CARMEN</v>
      </c>
      <c r="N436" s="2" t="str">
        <f t="shared" si="71"/>
        <v>3°3°3CCDJU</v>
      </c>
      <c r="O436" s="2"/>
      <c r="P436" s="2" t="str">
        <f>VLOOKUP(G436,[1]Hoja1!$A:$P,16,0)</f>
        <v xml:space="preserve"> </v>
      </c>
      <c r="Q436" s="2"/>
      <c r="S436">
        <f>VLOOKUP(G436,[1]Hoja1!$A:$O,5,0)</f>
        <v>1913965</v>
      </c>
      <c r="U436" s="45" t="s">
        <v>2751</v>
      </c>
      <c r="V436" s="46">
        <f t="shared" si="72"/>
        <v>1913965</v>
      </c>
      <c r="W436" s="47" t="s">
        <v>1519</v>
      </c>
      <c r="X436" s="46" t="str">
        <f t="shared" si="73"/>
        <v>3</v>
      </c>
      <c r="Y436" s="47" t="s">
        <v>1518</v>
      </c>
      <c r="Z436" s="46" t="str">
        <f t="shared" si="74"/>
        <v>M</v>
      </c>
      <c r="AA436" s="47" t="s">
        <v>2752</v>
      </c>
      <c r="AB436" s="46" t="str">
        <f t="shared" si="75"/>
        <v>JUEVES</v>
      </c>
      <c r="AC436" s="47" t="s">
        <v>2753</v>
      </c>
      <c r="AD436">
        <f t="shared" si="76"/>
        <v>0</v>
      </c>
      <c r="AE436" s="47" t="s">
        <v>2754</v>
      </c>
      <c r="AH436" t="str">
        <f t="shared" si="77"/>
        <v>INSERT INTO horario_curso_materia (horario_curso_materia.FK_CUR_mat,horario_curso_materia.FK_HOR,horario_curso_materia.DIA,horario_curso_materia.tipo_turno) VALUES (  (SELECT curso_materia.ID_CUR_MAT FROM curso_materia WHERE curso_materia.CUPOF='1913965' ) ,
    (SELECT horario.ID_HOR FROM horario WHERE horario.modulo='3 ' and horario.turno='M ' ),'JUEVES ' , '0 ' );</v>
      </c>
    </row>
    <row r="437" spans="1:34" ht="15" hidden="1" customHeight="1" x14ac:dyDescent="0.3">
      <c r="A437" s="1" t="str">
        <f t="shared" si="70"/>
        <v>3°3°</v>
      </c>
      <c r="B437" s="54" t="str">
        <f t="shared" si="79"/>
        <v>3°3°3LUMAÑANA0</v>
      </c>
      <c r="C437" s="62">
        <f>VLOOKUP(G437,[1]Hoja1!$A:$O,3,0)</f>
        <v>0</v>
      </c>
      <c r="D437" s="2" t="str">
        <f t="shared" si="80"/>
        <v>3LUM</v>
      </c>
      <c r="E437" s="4" t="s">
        <v>29</v>
      </c>
      <c r="F437" s="62" t="s">
        <v>27</v>
      </c>
      <c r="G437" s="72" t="s">
        <v>371</v>
      </c>
      <c r="H437" s="8" t="str">
        <f>VLOOKUP(G437,[1]Hoja1!$A:$O,6,0)</f>
        <v>MATEMATICA</v>
      </c>
      <c r="I437" s="4"/>
      <c r="J437" s="4"/>
      <c r="K437" s="80" t="str">
        <f t="shared" si="78"/>
        <v>LU</v>
      </c>
      <c r="L437" s="4"/>
      <c r="M437" s="86" t="str">
        <f>VLOOKUP(G437,[1]Hoja1!$A:$O,15,0)</f>
        <v xml:space="preserve">VARCHETTA, GABRIEL OMAR </v>
      </c>
      <c r="N437" s="2" t="str">
        <f t="shared" si="71"/>
        <v>3°3°3MATLU</v>
      </c>
      <c r="O437" s="2"/>
      <c r="P437" s="2" t="str">
        <f>VLOOKUP(G437,[1]Hoja1!$A:$P,16,0)</f>
        <v xml:space="preserve"> </v>
      </c>
      <c r="Q437" s="2"/>
      <c r="S437">
        <f>VLOOKUP(G437,[1]Hoja1!$A:$O,5,0)</f>
        <v>1913983</v>
      </c>
      <c r="U437" s="45" t="s">
        <v>2751</v>
      </c>
      <c r="V437" s="46">
        <f t="shared" si="72"/>
        <v>1913983</v>
      </c>
      <c r="W437" s="47" t="s">
        <v>1519</v>
      </c>
      <c r="X437" s="46" t="str">
        <f t="shared" si="73"/>
        <v>3</v>
      </c>
      <c r="Y437" s="47" t="s">
        <v>1518</v>
      </c>
      <c r="Z437" s="46" t="str">
        <f t="shared" si="74"/>
        <v>M</v>
      </c>
      <c r="AA437" s="47" t="s">
        <v>2752</v>
      </c>
      <c r="AB437" s="46" t="str">
        <f t="shared" si="75"/>
        <v>LUNES</v>
      </c>
      <c r="AC437" s="47" t="s">
        <v>2753</v>
      </c>
      <c r="AD437">
        <f t="shared" si="76"/>
        <v>0</v>
      </c>
      <c r="AE437" s="47" t="s">
        <v>2754</v>
      </c>
      <c r="AH437" t="str">
        <f t="shared" si="77"/>
        <v>INSERT INTO horario_curso_materia (horario_curso_materia.FK_CUR_mat,horario_curso_materia.FK_HOR,horario_curso_materia.DIA,horario_curso_materia.tipo_turno) VALUES (  (SELECT curso_materia.ID_CUR_MAT FROM curso_materia WHERE curso_materia.CUPOF='1913983' ) ,
    (SELECT horario.ID_HOR FROM horario WHERE horario.modulo='3 ' and horario.turno='M ' ),'LUNES ' , '0 ' );</v>
      </c>
    </row>
    <row r="438" spans="1:34" ht="15" hidden="1" customHeight="1" x14ac:dyDescent="0.3">
      <c r="A438" s="1" t="str">
        <f t="shared" ref="A438:A501" si="81">LEFT(B438,4)</f>
        <v>3°3°</v>
      </c>
      <c r="B438" s="54" t="str">
        <f t="shared" si="79"/>
        <v>3°3°3MAMAÑANA0</v>
      </c>
      <c r="C438" s="62">
        <f>VLOOKUP(G438,[1]Hoja1!$A:$O,3,0)</f>
        <v>0</v>
      </c>
      <c r="D438" s="2" t="str">
        <f t="shared" si="80"/>
        <v>3MAM</v>
      </c>
      <c r="E438" s="62" t="s">
        <v>13</v>
      </c>
      <c r="F438" s="62" t="s">
        <v>27</v>
      </c>
      <c r="G438" s="62" t="s">
        <v>370</v>
      </c>
      <c r="H438" s="8" t="str">
        <f>VLOOKUP(G438,[1]Hoja1!$A:$O,6,0)</f>
        <v>EDUCACION ARTISTICA (PLASTICA)</v>
      </c>
      <c r="I438" s="4"/>
      <c r="J438" s="4"/>
      <c r="K438" s="80" t="str">
        <f t="shared" si="78"/>
        <v>MA</v>
      </c>
      <c r="L438" s="4"/>
      <c r="M438" s="86" t="str">
        <f>VLOOKUP(G438,[1]Hoja1!$A:$O,15,0)</f>
        <v>PERALTA GISELA</v>
      </c>
      <c r="N438" s="2" t="str">
        <f t="shared" ref="N438:N501" si="82">CONCATENATE(G438,LEFT(K438,2))</f>
        <v>3°3°3ARTMA</v>
      </c>
      <c r="O438" s="2"/>
      <c r="P438" s="2" t="str">
        <f>VLOOKUP(G438,[1]Hoja1!$A:$P,16,0)</f>
        <v xml:space="preserve"> </v>
      </c>
      <c r="Q438" s="2"/>
      <c r="S438">
        <f>VLOOKUP(G438,[1]Hoja1!$A:$O,5,0)</f>
        <v>1913969</v>
      </c>
      <c r="U438" s="45" t="s">
        <v>2751</v>
      </c>
      <c r="V438" s="46">
        <f t="shared" ref="V438:V501" si="83">S438</f>
        <v>1913969</v>
      </c>
      <c r="W438" s="47" t="s">
        <v>1519</v>
      </c>
      <c r="X438" s="46" t="str">
        <f t="shared" ref="X438:X501" si="84">IF(LEFT(E438,1)="p","prehora",LEFT(E438,1))</f>
        <v>3</v>
      </c>
      <c r="Y438" s="47" t="s">
        <v>1518</v>
      </c>
      <c r="Z438" s="46" t="str">
        <f t="shared" ref="Z438:Z501" si="85">LEFT(F438,1)</f>
        <v>M</v>
      </c>
      <c r="AA438" s="47" t="s">
        <v>2752</v>
      </c>
      <c r="AB438" s="46" t="str">
        <f t="shared" ref="AB438:AB501" si="86">IF(IF(LEFT(E438,1)="p",MID(E438,8,2),MID(E438,2,2))="lu","LUNES",IF(IF(LEFT(E438,1)="p",MID(E438,8,2),MID(E438,2,2))="ma","MARTES",IF(IF(LEFT(E438,1)="p",MID(E438,8,2),MID(E438,2,2))="MI","MIERCOLES",IF(IF(LEFT(E438,1)="p",MID(E438,8,2),MID(E438,2,2))="JU","JUEVES",IF(IF(LEFT(E438,1)="p",MID(E438,8,2),MID(E438,2,2))="vi","VIERNES","")))))</f>
        <v>MARTES</v>
      </c>
      <c r="AC438" s="47" t="s">
        <v>2753</v>
      </c>
      <c r="AD438">
        <f t="shared" ref="AD438:AD501" si="87">L438</f>
        <v>0</v>
      </c>
      <c r="AE438" s="47" t="s">
        <v>2754</v>
      </c>
      <c r="AH438" t="str">
        <f t="shared" ref="AH438:AH501" si="88">U438&amp;V438&amp;W438&amp;X438&amp;Y438&amp;Z438&amp;AA438&amp;AB438&amp;AC438&amp;AD438&amp;AE438</f>
        <v>INSERT INTO horario_curso_materia (horario_curso_materia.FK_CUR_mat,horario_curso_materia.FK_HOR,horario_curso_materia.DIA,horario_curso_materia.tipo_turno) VALUES (  (SELECT curso_materia.ID_CUR_MAT FROM curso_materia WHERE curso_materia.CUPOF='1913969' ) ,
    (SELECT horario.ID_HOR FROM horario WHERE horario.modulo='3 ' and horario.turno='M ' ),'MARTES ' , '0 ' );</v>
      </c>
    </row>
    <row r="439" spans="1:34" ht="15" hidden="1" customHeight="1" x14ac:dyDescent="0.3">
      <c r="A439" s="1" t="str">
        <f t="shared" si="81"/>
        <v>3°3°</v>
      </c>
      <c r="B439" s="54" t="str">
        <f t="shared" si="79"/>
        <v>3°3°3MATARDE332</v>
      </c>
      <c r="C439" s="62">
        <f>VLOOKUP(G439,[1]Hoja1!$A:$O,3,0)</f>
        <v>332</v>
      </c>
      <c r="D439" s="2" t="str">
        <f t="shared" si="80"/>
        <v>3MAT46</v>
      </c>
      <c r="E439" s="62" t="s">
        <v>13</v>
      </c>
      <c r="F439" s="62" t="s">
        <v>10</v>
      </c>
      <c r="G439" s="62" t="s">
        <v>116</v>
      </c>
      <c r="H439" s="8" t="str">
        <f>VLOOKUP(G439,[1]Hoja1!$A:$O,6,0)</f>
        <v>SISTEMAS TECNOLOGICOS</v>
      </c>
      <c r="I439" s="4">
        <v>46</v>
      </c>
      <c r="J439" s="4"/>
      <c r="K439" s="80" t="str">
        <f t="shared" si="78"/>
        <v>MA</v>
      </c>
      <c r="L439" s="4" t="s">
        <v>512</v>
      </c>
      <c r="M439" s="87" t="str">
        <f>VLOOKUP(G439,[1]Hoja1!$A:$O,15,0)</f>
        <v>CORDOBA ALEJANDRO</v>
      </c>
      <c r="N439" s="2" t="str">
        <f t="shared" si="82"/>
        <v>3°3°3323TST3MA</v>
      </c>
      <c r="O439" s="2"/>
      <c r="P439" s="2" t="str">
        <f>VLOOKUP(G439,[1]Hoja1!$A:$P,16,0)</f>
        <v xml:space="preserve"> </v>
      </c>
      <c r="Q439" s="2"/>
      <c r="S439">
        <f>VLOOKUP(G439,[1]Hoja1!$A:$O,5,0)</f>
        <v>1914002</v>
      </c>
      <c r="U439" s="45" t="s">
        <v>2751</v>
      </c>
      <c r="V439" s="46">
        <f t="shared" si="83"/>
        <v>1914002</v>
      </c>
      <c r="W439" s="47" t="s">
        <v>1519</v>
      </c>
      <c r="X439" s="46" t="str">
        <f t="shared" si="84"/>
        <v>3</v>
      </c>
      <c r="Y439" s="47" t="s">
        <v>1518</v>
      </c>
      <c r="Z439" s="46" t="str">
        <f t="shared" si="85"/>
        <v>T</v>
      </c>
      <c r="AA439" s="47" t="s">
        <v>2752</v>
      </c>
      <c r="AB439" s="46" t="str">
        <f t="shared" si="86"/>
        <v>MARTES</v>
      </c>
      <c r="AC439" s="47" t="s">
        <v>2753</v>
      </c>
      <c r="AD439" t="str">
        <f t="shared" si="87"/>
        <v>CONTRATURNO</v>
      </c>
      <c r="AE439" s="47" t="s">
        <v>2754</v>
      </c>
      <c r="AH439" t="str">
        <f t="shared" si="88"/>
        <v>INSERT INTO horario_curso_materia (horario_curso_materia.FK_CUR_mat,horario_curso_materia.FK_HOR,horario_curso_materia.DIA,horario_curso_materia.tipo_turno) VALUES (  (SELECT curso_materia.ID_CUR_MAT FROM curso_materia WHERE curso_materia.CUPOF='1914002' ) ,
    (SELECT horario.ID_HOR FROM horario WHERE horario.modulo='3 ' and horario.turno='T ' ),'MARTES ' , 'CONTRATURNO ' );</v>
      </c>
    </row>
    <row r="440" spans="1:34" ht="15" hidden="1" customHeight="1" x14ac:dyDescent="0.3">
      <c r="A440" s="1" t="str">
        <f t="shared" si="81"/>
        <v>3°3°</v>
      </c>
      <c r="B440" s="54" t="str">
        <f t="shared" si="79"/>
        <v>3°3°3MIMAÑANA0</v>
      </c>
      <c r="C440" s="62">
        <f>VLOOKUP(G440,[1]Hoja1!$A:$O,3,0)</f>
        <v>0</v>
      </c>
      <c r="D440" s="2" t="str">
        <f t="shared" si="80"/>
        <v>3MIM</v>
      </c>
      <c r="E440" s="62" t="s">
        <v>50</v>
      </c>
      <c r="F440" s="62" t="s">
        <v>27</v>
      </c>
      <c r="G440" s="62" t="s">
        <v>372</v>
      </c>
      <c r="H440" s="8" t="str">
        <f>VLOOKUP(G440,[1]Hoja1!$A:$O,6,0)</f>
        <v>GEOGRAFIA</v>
      </c>
      <c r="I440" s="4"/>
      <c r="J440" s="4"/>
      <c r="K440" s="80" t="str">
        <f t="shared" si="78"/>
        <v>MI</v>
      </c>
      <c r="L440" s="4"/>
      <c r="M440" s="86" t="str">
        <f>VLOOKUP(G440,[1]Hoja1!$A:$O,15,0)</f>
        <v xml:space="preserve"> ROJAS SOLEDAD</v>
      </c>
      <c r="N440" s="2" t="str">
        <f t="shared" si="82"/>
        <v>3°3°3GEOMI</v>
      </c>
      <c r="O440" s="2"/>
      <c r="P440" s="2" t="str">
        <f>VLOOKUP(G440,[1]Hoja1!$A:$P,16,0)</f>
        <v xml:space="preserve"> </v>
      </c>
      <c r="Q440" s="2"/>
      <c r="S440">
        <f>VLOOKUP(G440,[1]Hoja1!$A:$O,5,0)</f>
        <v>1913979</v>
      </c>
      <c r="U440" s="45" t="s">
        <v>2751</v>
      </c>
      <c r="V440" s="46">
        <f t="shared" si="83"/>
        <v>1913979</v>
      </c>
      <c r="W440" s="47" t="s">
        <v>1519</v>
      </c>
      <c r="X440" s="46" t="str">
        <f t="shared" si="84"/>
        <v>3</v>
      </c>
      <c r="Y440" s="47" t="s">
        <v>1518</v>
      </c>
      <c r="Z440" s="46" t="str">
        <f t="shared" si="85"/>
        <v>M</v>
      </c>
      <c r="AA440" s="47" t="s">
        <v>2752</v>
      </c>
      <c r="AB440" s="46" t="str">
        <f t="shared" si="86"/>
        <v>MIERCOLES</v>
      </c>
      <c r="AC440" s="47" t="s">
        <v>2753</v>
      </c>
      <c r="AD440">
        <f t="shared" si="87"/>
        <v>0</v>
      </c>
      <c r="AE440" s="47" t="s">
        <v>2754</v>
      </c>
      <c r="AH440" t="str">
        <f t="shared" si="88"/>
        <v>INSERT INTO horario_curso_materia (horario_curso_materia.FK_CUR_mat,horario_curso_materia.FK_HOR,horario_curso_materia.DIA,horario_curso_materia.tipo_turno) VALUES (  (SELECT curso_materia.ID_CUR_MAT FROM curso_materia WHERE curso_materia.CUPOF='1913979' ) ,
    (SELECT horario.ID_HOR FROM horario WHERE horario.modulo='3 ' and horario.turno='M ' ),'MIERCOLES ' , '0 ' );</v>
      </c>
    </row>
    <row r="441" spans="1:34" ht="15" hidden="1" customHeight="1" x14ac:dyDescent="0.3">
      <c r="A441" s="1" t="str">
        <f t="shared" si="81"/>
        <v>3°3°</v>
      </c>
      <c r="B441" s="54" t="str">
        <f t="shared" si="79"/>
        <v>3°3°3VIMAÑANA0</v>
      </c>
      <c r="C441" s="62">
        <f>VLOOKUP(G441,[1]Hoja1!$A:$O,3,0)</f>
        <v>0</v>
      </c>
      <c r="D441" s="2" t="str">
        <f t="shared" si="80"/>
        <v>3VIM</v>
      </c>
      <c r="E441" s="62" t="s">
        <v>35</v>
      </c>
      <c r="F441" s="62" t="s">
        <v>27</v>
      </c>
      <c r="G441" s="62" t="s">
        <v>375</v>
      </c>
      <c r="H441" s="8" t="str">
        <f>VLOOKUP(G441,[1]Hoja1!$A:$O,6,0)</f>
        <v>BIOLOGIA</v>
      </c>
      <c r="I441" s="4"/>
      <c r="J441" s="4"/>
      <c r="K441" s="80" t="str">
        <f t="shared" si="78"/>
        <v>VI</v>
      </c>
      <c r="L441" s="4"/>
      <c r="M441" s="86" t="str">
        <f>VLOOKUP(G441,[1]Hoja1!$A:$O,15,0)</f>
        <v xml:space="preserve">CANCELA GONZALEZ M </v>
      </c>
      <c r="N441" s="2" t="str">
        <f t="shared" si="82"/>
        <v>3°3°3BIOVI</v>
      </c>
      <c r="O441" s="2"/>
      <c r="P441" s="2" t="str">
        <f>VLOOKUP(G441,[1]Hoja1!$A:$P,16,0)</f>
        <v xml:space="preserve"> </v>
      </c>
      <c r="Q441" s="2"/>
      <c r="S441">
        <f>VLOOKUP(G441,[1]Hoja1!$A:$O,5,0)</f>
        <v>1913939</v>
      </c>
      <c r="U441" s="45" t="s">
        <v>2751</v>
      </c>
      <c r="V441" s="46">
        <f t="shared" si="83"/>
        <v>1913939</v>
      </c>
      <c r="W441" s="47" t="s">
        <v>1519</v>
      </c>
      <c r="X441" s="46" t="str">
        <f t="shared" si="84"/>
        <v>3</v>
      </c>
      <c r="Y441" s="47" t="s">
        <v>1518</v>
      </c>
      <c r="Z441" s="46" t="str">
        <f t="shared" si="85"/>
        <v>M</v>
      </c>
      <c r="AA441" s="47" t="s">
        <v>2752</v>
      </c>
      <c r="AB441" s="46" t="str">
        <f t="shared" si="86"/>
        <v>VIERNES</v>
      </c>
      <c r="AC441" s="47" t="s">
        <v>2753</v>
      </c>
      <c r="AD441">
        <f t="shared" si="87"/>
        <v>0</v>
      </c>
      <c r="AE441" s="47" t="s">
        <v>2754</v>
      </c>
      <c r="AH441" t="str">
        <f t="shared" si="88"/>
        <v>INSERT INTO horario_curso_materia (horario_curso_materia.FK_CUR_mat,horario_curso_materia.FK_HOR,horario_curso_materia.DIA,horario_curso_materia.tipo_turno) VALUES (  (SELECT curso_materia.ID_CUR_MAT FROM curso_materia WHERE curso_materia.CUPOF='1913939' ) ,
    (SELECT horario.ID_HOR FROM horario WHERE horario.modulo='3 ' and horario.turno='M ' ),'VIERNES ' , '0 ' );</v>
      </c>
    </row>
    <row r="442" spans="1:34" ht="15" hidden="1" customHeight="1" x14ac:dyDescent="0.3">
      <c r="A442" s="1" t="str">
        <f t="shared" si="81"/>
        <v>3°3°</v>
      </c>
      <c r="B442" s="54" t="str">
        <f t="shared" si="79"/>
        <v>3°3°3VITARDE332</v>
      </c>
      <c r="C442" s="62">
        <f>VLOOKUP(G442,[1]Hoja1!$A:$O,3,0)</f>
        <v>332</v>
      </c>
      <c r="D442" s="2" t="str">
        <f t="shared" si="80"/>
        <v>3VITHERRERIA</v>
      </c>
      <c r="E442" s="62" t="s">
        <v>35</v>
      </c>
      <c r="F442" s="62" t="s">
        <v>10</v>
      </c>
      <c r="G442" s="62" t="s">
        <v>117</v>
      </c>
      <c r="H442" s="8" t="str">
        <f>VLOOKUP(G442,[1]Hoja1!$A:$O,6,0)</f>
        <v>PROCEDIMIENTOS TECNICOS</v>
      </c>
      <c r="I442" s="4" t="s">
        <v>21</v>
      </c>
      <c r="J442" s="4" t="s">
        <v>60</v>
      </c>
      <c r="K442" s="80" t="str">
        <f t="shared" si="78"/>
        <v>VI</v>
      </c>
      <c r="L442" s="4" t="s">
        <v>512</v>
      </c>
      <c r="M442" s="86" t="str">
        <f>VLOOKUP(G442,[1]Hoja1!$A:$O,15,0)</f>
        <v>CRUZ DAVID</v>
      </c>
      <c r="N442" s="2" t="str">
        <f t="shared" si="82"/>
        <v>3°3°3323TPT3VI</v>
      </c>
      <c r="O442" s="2"/>
      <c r="P442" s="2" t="str">
        <f>VLOOKUP(G442,[1]Hoja1!$A:$P,16,0)</f>
        <v xml:space="preserve"> </v>
      </c>
      <c r="Q442" s="2"/>
      <c r="S442">
        <f>VLOOKUP(G442,[1]Hoja1!$A:$O,5,0)</f>
        <v>1913997</v>
      </c>
      <c r="U442" s="45" t="s">
        <v>2751</v>
      </c>
      <c r="V442" s="46">
        <f t="shared" si="83"/>
        <v>1913997</v>
      </c>
      <c r="W442" s="47" t="s">
        <v>1519</v>
      </c>
      <c r="X442" s="46" t="str">
        <f t="shared" si="84"/>
        <v>3</v>
      </c>
      <c r="Y442" s="47" t="s">
        <v>1518</v>
      </c>
      <c r="Z442" s="46" t="str">
        <f t="shared" si="85"/>
        <v>T</v>
      </c>
      <c r="AA442" s="47" t="s">
        <v>2752</v>
      </c>
      <c r="AB442" s="46" t="str">
        <f t="shared" si="86"/>
        <v>VIERNES</v>
      </c>
      <c r="AC442" s="47" t="s">
        <v>2753</v>
      </c>
      <c r="AD442" t="str">
        <f t="shared" si="87"/>
        <v>CONTRATURNO</v>
      </c>
      <c r="AE442" s="47" t="s">
        <v>2754</v>
      </c>
      <c r="AH442" t="str">
        <f t="shared" si="88"/>
        <v>INSERT INTO horario_curso_materia (horario_curso_materia.FK_CUR_mat,horario_curso_materia.FK_HOR,horario_curso_materia.DIA,horario_curso_materia.tipo_turno) VALUES (  (SELECT curso_materia.ID_CUR_MAT FROM curso_materia WHERE curso_materia.CUPOF='1913997' ) ,
    (SELECT horario.ID_HOR FROM horario WHERE horario.modulo='3 ' and horario.turno='T ' ),'VIERNES ' , 'CONTRATURNO ' );</v>
      </c>
    </row>
    <row r="443" spans="1:34" ht="15" hidden="1" customHeight="1" x14ac:dyDescent="0.3">
      <c r="A443" s="1" t="str">
        <f t="shared" si="81"/>
        <v>3°3°</v>
      </c>
      <c r="B443" s="54" t="str">
        <f t="shared" si="79"/>
        <v>3°3°3VIVESPERTINO331</v>
      </c>
      <c r="C443" s="62">
        <f>VLOOKUP(G443,[1]Hoja1!$A:$O,3,0)</f>
        <v>331</v>
      </c>
      <c r="D443" s="2" t="str">
        <f t="shared" si="80"/>
        <v>3VIVCARPINTERIA</v>
      </c>
      <c r="E443" s="62" t="s">
        <v>35</v>
      </c>
      <c r="F443" s="62" t="s">
        <v>125</v>
      </c>
      <c r="G443" s="62" t="s">
        <v>118</v>
      </c>
      <c r="H443" s="8" t="str">
        <f>VLOOKUP(G443,[1]Hoja1!$A:$O,6,0)</f>
        <v>SISTEMAS TECNOLOGICOS</v>
      </c>
      <c r="I443" s="4" t="s">
        <v>23</v>
      </c>
      <c r="J443" s="4"/>
      <c r="K443" s="80" t="str">
        <f t="shared" si="78"/>
        <v>VI</v>
      </c>
      <c r="L443" s="4" t="s">
        <v>512</v>
      </c>
      <c r="M443" s="86" t="str">
        <f>VLOOKUP(G443,[1]Hoja1!$A:$O,15,0)</f>
        <v>DANIEL PAZ</v>
      </c>
      <c r="N443" s="2" t="str">
        <f t="shared" si="82"/>
        <v>3°3°3313TST3VI</v>
      </c>
      <c r="O443" s="2"/>
      <c r="P443" s="2" t="str">
        <f>VLOOKUP(G443,[1]Hoja1!$A:$P,16,0)</f>
        <v xml:space="preserve"> </v>
      </c>
      <c r="Q443" s="2"/>
      <c r="S443">
        <f>VLOOKUP(G443,[1]Hoja1!$A:$O,5,0)</f>
        <v>1914000</v>
      </c>
      <c r="U443" s="45" t="s">
        <v>2751</v>
      </c>
      <c r="V443" s="46">
        <f t="shared" si="83"/>
        <v>1914000</v>
      </c>
      <c r="W443" s="47" t="s">
        <v>1519</v>
      </c>
      <c r="X443" s="46" t="str">
        <f t="shared" si="84"/>
        <v>3</v>
      </c>
      <c r="Y443" s="47" t="s">
        <v>1518</v>
      </c>
      <c r="Z443" s="46" t="str">
        <f t="shared" si="85"/>
        <v>V</v>
      </c>
      <c r="AA443" s="47" t="s">
        <v>2752</v>
      </c>
      <c r="AB443" s="46" t="str">
        <f t="shared" si="86"/>
        <v>VIERNES</v>
      </c>
      <c r="AC443" s="47" t="s">
        <v>2753</v>
      </c>
      <c r="AD443" t="str">
        <f t="shared" si="87"/>
        <v>CONTRATURNO</v>
      </c>
      <c r="AE443" s="47" t="s">
        <v>2754</v>
      </c>
      <c r="AH443" t="str">
        <f t="shared" si="88"/>
        <v>INSERT INTO horario_curso_materia (horario_curso_materia.FK_CUR_mat,horario_curso_materia.FK_HOR,horario_curso_materia.DIA,horario_curso_materia.tipo_turno) VALUES (  (SELECT curso_materia.ID_CUR_MAT FROM curso_materia WHERE curso_materia.CUPOF='1914000' ) ,
    (SELECT horario.ID_HOR FROM horario WHERE horario.modulo='3 ' and horario.turno='V ' ),'VIERNES ' , 'CONTRATURNO ' );</v>
      </c>
    </row>
    <row r="444" spans="1:34" ht="15" hidden="1" customHeight="1" x14ac:dyDescent="0.3">
      <c r="A444" s="1" t="str">
        <f t="shared" si="81"/>
        <v>3°3°</v>
      </c>
      <c r="B444" s="54" t="str">
        <f t="shared" si="79"/>
        <v>3°3°4JUMAÑANA0</v>
      </c>
      <c r="C444" s="62">
        <f>VLOOKUP(G444,[1]Hoja1!$A:$O,3,0)</f>
        <v>0</v>
      </c>
      <c r="D444" s="2" t="str">
        <f t="shared" si="80"/>
        <v>4JUM</v>
      </c>
      <c r="E444" s="4" t="s">
        <v>48</v>
      </c>
      <c r="F444" s="62" t="s">
        <v>27</v>
      </c>
      <c r="G444" s="72" t="s">
        <v>374</v>
      </c>
      <c r="H444" s="8" t="str">
        <f>VLOOKUP(G444,[1]Hoja1!$A:$O,6,0)</f>
        <v>CONSTRUCCION DE LA CIUDADANIA</v>
      </c>
      <c r="I444" s="4"/>
      <c r="J444" s="4"/>
      <c r="K444" s="80" t="str">
        <f t="shared" si="78"/>
        <v>JU</v>
      </c>
      <c r="L444" s="4"/>
      <c r="M444" s="86" t="str">
        <f>VLOOKUP(G444,[1]Hoja1!$A:$O,15,0)</f>
        <v>HERRERA CARMEN</v>
      </c>
      <c r="N444" s="2" t="str">
        <f t="shared" si="82"/>
        <v>3°3°3CCDJU</v>
      </c>
      <c r="O444" s="2"/>
      <c r="P444" s="2" t="str">
        <f>VLOOKUP(G444,[1]Hoja1!$A:$P,16,0)</f>
        <v xml:space="preserve"> </v>
      </c>
      <c r="Q444" s="2"/>
      <c r="S444">
        <f>VLOOKUP(G444,[1]Hoja1!$A:$O,5,0)</f>
        <v>1913965</v>
      </c>
      <c r="U444" s="45" t="s">
        <v>2751</v>
      </c>
      <c r="V444" s="46">
        <f t="shared" si="83"/>
        <v>1913965</v>
      </c>
      <c r="W444" s="47" t="s">
        <v>1519</v>
      </c>
      <c r="X444" s="46" t="str">
        <f t="shared" si="84"/>
        <v>4</v>
      </c>
      <c r="Y444" s="47" t="s">
        <v>1518</v>
      </c>
      <c r="Z444" s="46" t="str">
        <f t="shared" si="85"/>
        <v>M</v>
      </c>
      <c r="AA444" s="47" t="s">
        <v>2752</v>
      </c>
      <c r="AB444" s="46" t="str">
        <f t="shared" si="86"/>
        <v>JUEVES</v>
      </c>
      <c r="AC444" s="47" t="s">
        <v>2753</v>
      </c>
      <c r="AD444">
        <f t="shared" si="87"/>
        <v>0</v>
      </c>
      <c r="AE444" s="47" t="s">
        <v>2754</v>
      </c>
      <c r="AH444" t="str">
        <f t="shared" si="88"/>
        <v>INSERT INTO horario_curso_materia (horario_curso_materia.FK_CUR_mat,horario_curso_materia.FK_HOR,horario_curso_materia.DIA,horario_curso_materia.tipo_turno) VALUES (  (SELECT curso_materia.ID_CUR_MAT FROM curso_materia WHERE curso_materia.CUPOF='1913965' ) ,
    (SELECT horario.ID_HOR FROM horario WHERE horario.modulo='4 ' and horario.turno='M ' ),'JUEVES ' , '0 ' );</v>
      </c>
    </row>
    <row r="445" spans="1:34" ht="15" hidden="1" customHeight="1" x14ac:dyDescent="0.3">
      <c r="A445" s="1" t="str">
        <f t="shared" si="81"/>
        <v>3°3°</v>
      </c>
      <c r="B445" s="54" t="str">
        <f t="shared" si="79"/>
        <v>3°3°4LUMAÑANA0</v>
      </c>
      <c r="C445" s="62">
        <f>VLOOKUP(G445,[1]Hoja1!$A:$O,3,0)</f>
        <v>0</v>
      </c>
      <c r="D445" s="2" t="str">
        <f t="shared" si="80"/>
        <v>4LUM</v>
      </c>
      <c r="E445" s="62" t="s">
        <v>31</v>
      </c>
      <c r="F445" s="62" t="s">
        <v>27</v>
      </c>
      <c r="G445" s="62" t="s">
        <v>371</v>
      </c>
      <c r="H445" s="8" t="str">
        <f>VLOOKUP(G445,[1]Hoja1!$A:$O,6,0)</f>
        <v>MATEMATICA</v>
      </c>
      <c r="I445" s="4"/>
      <c r="J445" s="4"/>
      <c r="K445" s="80" t="str">
        <f t="shared" si="78"/>
        <v>LU</v>
      </c>
      <c r="L445" s="4"/>
      <c r="M445" s="86" t="str">
        <f>VLOOKUP(G445,[1]Hoja1!$A:$O,15,0)</f>
        <v xml:space="preserve">VARCHETTA, GABRIEL OMAR </v>
      </c>
      <c r="N445" s="2" t="str">
        <f t="shared" si="82"/>
        <v>3°3°3MATLU</v>
      </c>
      <c r="O445" s="2"/>
      <c r="P445" s="2" t="str">
        <f>VLOOKUP(G445,[1]Hoja1!$A:$P,16,0)</f>
        <v xml:space="preserve"> </v>
      </c>
      <c r="Q445" s="2"/>
      <c r="S445">
        <f>VLOOKUP(G445,[1]Hoja1!$A:$O,5,0)</f>
        <v>1913983</v>
      </c>
      <c r="U445" s="45" t="s">
        <v>2751</v>
      </c>
      <c r="V445" s="46">
        <f t="shared" si="83"/>
        <v>1913983</v>
      </c>
      <c r="W445" s="47" t="s">
        <v>1519</v>
      </c>
      <c r="X445" s="46" t="str">
        <f t="shared" si="84"/>
        <v>4</v>
      </c>
      <c r="Y445" s="47" t="s">
        <v>1518</v>
      </c>
      <c r="Z445" s="46" t="str">
        <f t="shared" si="85"/>
        <v>M</v>
      </c>
      <c r="AA445" s="47" t="s">
        <v>2752</v>
      </c>
      <c r="AB445" s="46" t="str">
        <f t="shared" si="86"/>
        <v>LUNES</v>
      </c>
      <c r="AC445" s="47" t="s">
        <v>2753</v>
      </c>
      <c r="AD445">
        <f t="shared" si="87"/>
        <v>0</v>
      </c>
      <c r="AE445" s="47" t="s">
        <v>2754</v>
      </c>
      <c r="AH445" t="str">
        <f t="shared" si="88"/>
        <v>INSERT INTO horario_curso_materia (horario_curso_materia.FK_CUR_mat,horario_curso_materia.FK_HOR,horario_curso_materia.DIA,horario_curso_materia.tipo_turno) VALUES (  (SELECT curso_materia.ID_CUR_MAT FROM curso_materia WHERE curso_materia.CUPOF='1913983' ) ,
    (SELECT horario.ID_HOR FROM horario WHERE horario.modulo='4 ' and horario.turno='M ' ),'LUNES ' , '0 ' );</v>
      </c>
    </row>
    <row r="446" spans="1:34" ht="15" hidden="1" customHeight="1" x14ac:dyDescent="0.3">
      <c r="A446" s="1" t="str">
        <f t="shared" si="81"/>
        <v>3°3°</v>
      </c>
      <c r="B446" s="54" t="str">
        <f t="shared" si="79"/>
        <v>3°3°4MAMAÑANA0</v>
      </c>
      <c r="C446" s="62">
        <f>VLOOKUP(G446,[1]Hoja1!$A:$O,3,0)</f>
        <v>0</v>
      </c>
      <c r="D446" s="2" t="str">
        <f t="shared" si="80"/>
        <v>4MAM</v>
      </c>
      <c r="E446" s="62" t="s">
        <v>16</v>
      </c>
      <c r="F446" s="62" t="s">
        <v>27</v>
      </c>
      <c r="G446" s="62" t="s">
        <v>370</v>
      </c>
      <c r="H446" s="8" t="str">
        <f>VLOOKUP(G446,[1]Hoja1!$A:$O,6,0)</f>
        <v>EDUCACION ARTISTICA (PLASTICA)</v>
      </c>
      <c r="I446" s="4"/>
      <c r="J446" s="4"/>
      <c r="K446" s="80" t="str">
        <f t="shared" si="78"/>
        <v>MA</v>
      </c>
      <c r="L446" s="4"/>
      <c r="M446" s="86" t="str">
        <f>VLOOKUP(G446,[1]Hoja1!$A:$O,15,0)</f>
        <v>PERALTA GISELA</v>
      </c>
      <c r="N446" s="2" t="str">
        <f t="shared" si="82"/>
        <v>3°3°3ARTMA</v>
      </c>
      <c r="O446" s="2"/>
      <c r="P446" s="2" t="str">
        <f>VLOOKUP(G446,[1]Hoja1!$A:$P,16,0)</f>
        <v xml:space="preserve"> </v>
      </c>
      <c r="Q446" s="2"/>
      <c r="S446">
        <f>VLOOKUP(G446,[1]Hoja1!$A:$O,5,0)</f>
        <v>1913969</v>
      </c>
      <c r="U446" s="45" t="s">
        <v>2751</v>
      </c>
      <c r="V446" s="46">
        <f t="shared" si="83"/>
        <v>1913969</v>
      </c>
      <c r="W446" s="47" t="s">
        <v>1519</v>
      </c>
      <c r="X446" s="46" t="str">
        <f t="shared" si="84"/>
        <v>4</v>
      </c>
      <c r="Y446" s="47" t="s">
        <v>1518</v>
      </c>
      <c r="Z446" s="46" t="str">
        <f t="shared" si="85"/>
        <v>M</v>
      </c>
      <c r="AA446" s="47" t="s">
        <v>2752</v>
      </c>
      <c r="AB446" s="46" t="str">
        <f t="shared" si="86"/>
        <v>MARTES</v>
      </c>
      <c r="AC446" s="47" t="s">
        <v>2753</v>
      </c>
      <c r="AD446">
        <f t="shared" si="87"/>
        <v>0</v>
      </c>
      <c r="AE446" s="47" t="s">
        <v>2754</v>
      </c>
      <c r="AH446" t="str">
        <f t="shared" si="88"/>
        <v>INSERT INTO horario_curso_materia (horario_curso_materia.FK_CUR_mat,horario_curso_materia.FK_HOR,horario_curso_materia.DIA,horario_curso_materia.tipo_turno) VALUES (  (SELECT curso_materia.ID_CUR_MAT FROM curso_materia WHERE curso_materia.CUPOF='1913969' ) ,
    (SELECT horario.ID_HOR FROM horario WHERE horario.modulo='4 ' and horario.turno='M ' ),'MARTES ' , '0 ' );</v>
      </c>
    </row>
    <row r="447" spans="1:34" ht="15" hidden="1" customHeight="1" x14ac:dyDescent="0.3">
      <c r="A447" s="1" t="str">
        <f t="shared" si="81"/>
        <v>3°3°</v>
      </c>
      <c r="B447" s="54" t="str">
        <f t="shared" si="79"/>
        <v>3°3°4MATARDE332</v>
      </c>
      <c r="C447" s="62">
        <f>VLOOKUP(G447,[1]Hoja1!$A:$O,3,0)</f>
        <v>332</v>
      </c>
      <c r="D447" s="2" t="str">
        <f t="shared" si="80"/>
        <v>4MAT46</v>
      </c>
      <c r="E447" s="62" t="s">
        <v>16</v>
      </c>
      <c r="F447" s="62" t="s">
        <v>10</v>
      </c>
      <c r="G447" s="62" t="s">
        <v>116</v>
      </c>
      <c r="H447" s="8" t="str">
        <f>VLOOKUP(G447,[1]Hoja1!$A:$O,6,0)</f>
        <v>SISTEMAS TECNOLOGICOS</v>
      </c>
      <c r="I447" s="4">
        <v>46</v>
      </c>
      <c r="J447" s="4"/>
      <c r="K447" s="80" t="str">
        <f t="shared" si="78"/>
        <v>MA</v>
      </c>
      <c r="L447" s="4" t="s">
        <v>512</v>
      </c>
      <c r="M447" s="87" t="str">
        <f>VLOOKUP(G447,[1]Hoja1!$A:$O,15,0)</f>
        <v>CORDOBA ALEJANDRO</v>
      </c>
      <c r="N447" s="2" t="str">
        <f t="shared" si="82"/>
        <v>3°3°3323TST3MA</v>
      </c>
      <c r="O447" s="2"/>
      <c r="P447" s="2" t="str">
        <f>VLOOKUP(G447,[1]Hoja1!$A:$P,16,0)</f>
        <v xml:space="preserve"> </v>
      </c>
      <c r="Q447" s="2"/>
      <c r="S447">
        <f>VLOOKUP(G447,[1]Hoja1!$A:$O,5,0)</f>
        <v>1914002</v>
      </c>
      <c r="U447" s="45" t="s">
        <v>2751</v>
      </c>
      <c r="V447" s="46">
        <f t="shared" si="83"/>
        <v>1914002</v>
      </c>
      <c r="W447" s="47" t="s">
        <v>1519</v>
      </c>
      <c r="X447" s="46" t="str">
        <f t="shared" si="84"/>
        <v>4</v>
      </c>
      <c r="Y447" s="47" t="s">
        <v>1518</v>
      </c>
      <c r="Z447" s="46" t="str">
        <f t="shared" si="85"/>
        <v>T</v>
      </c>
      <c r="AA447" s="47" t="s">
        <v>2752</v>
      </c>
      <c r="AB447" s="46" t="str">
        <f t="shared" si="86"/>
        <v>MARTES</v>
      </c>
      <c r="AC447" s="47" t="s">
        <v>2753</v>
      </c>
      <c r="AD447" t="str">
        <f t="shared" si="87"/>
        <v>CONTRATURNO</v>
      </c>
      <c r="AE447" s="47" t="s">
        <v>2754</v>
      </c>
      <c r="AH447" t="str">
        <f t="shared" si="88"/>
        <v>INSERT INTO horario_curso_materia (horario_curso_materia.FK_CUR_mat,horario_curso_materia.FK_HOR,horario_curso_materia.DIA,horario_curso_materia.tipo_turno) VALUES (  (SELECT curso_materia.ID_CUR_MAT FROM curso_materia WHERE curso_materia.CUPOF='1914002' ) ,
    (SELECT horario.ID_HOR FROM horario WHERE horario.modulo='4 ' and horario.turno='T ' ),'MARTES ' , 'CONTRATURNO ' );</v>
      </c>
    </row>
    <row r="448" spans="1:34" ht="15" hidden="1" customHeight="1" x14ac:dyDescent="0.3">
      <c r="A448" s="1" t="str">
        <f t="shared" si="81"/>
        <v>3°3°</v>
      </c>
      <c r="B448" s="54" t="str">
        <f t="shared" si="79"/>
        <v>3°3°4MIMAÑANA0</v>
      </c>
      <c r="C448" s="62">
        <f>VLOOKUP(G448,[1]Hoja1!$A:$O,3,0)</f>
        <v>0</v>
      </c>
      <c r="D448" s="2" t="str">
        <f t="shared" si="80"/>
        <v>4MIM</v>
      </c>
      <c r="E448" s="62" t="s">
        <v>52</v>
      </c>
      <c r="F448" s="62" t="s">
        <v>27</v>
      </c>
      <c r="G448" s="62" t="s">
        <v>372</v>
      </c>
      <c r="H448" s="8" t="str">
        <f>VLOOKUP(G448,[1]Hoja1!$A:$O,6,0)</f>
        <v>GEOGRAFIA</v>
      </c>
      <c r="I448" s="4"/>
      <c r="J448" s="4"/>
      <c r="K448" s="80" t="str">
        <f t="shared" si="78"/>
        <v>MI</v>
      </c>
      <c r="L448" s="4"/>
      <c r="M448" s="86" t="str">
        <f>VLOOKUP(G448,[1]Hoja1!$A:$O,15,0)</f>
        <v xml:space="preserve"> ROJAS SOLEDAD</v>
      </c>
      <c r="N448" s="2" t="str">
        <f t="shared" si="82"/>
        <v>3°3°3GEOMI</v>
      </c>
      <c r="O448" s="2"/>
      <c r="P448" s="2" t="str">
        <f>VLOOKUP(G448,[1]Hoja1!$A:$P,16,0)</f>
        <v xml:space="preserve"> </v>
      </c>
      <c r="Q448" s="2"/>
      <c r="S448">
        <f>VLOOKUP(G448,[1]Hoja1!$A:$O,5,0)</f>
        <v>1913979</v>
      </c>
      <c r="U448" s="45" t="s">
        <v>2751</v>
      </c>
      <c r="V448" s="46">
        <f t="shared" si="83"/>
        <v>1913979</v>
      </c>
      <c r="W448" s="47" t="s">
        <v>1519</v>
      </c>
      <c r="X448" s="46" t="str">
        <f t="shared" si="84"/>
        <v>4</v>
      </c>
      <c r="Y448" s="47" t="s">
        <v>1518</v>
      </c>
      <c r="Z448" s="46" t="str">
        <f t="shared" si="85"/>
        <v>M</v>
      </c>
      <c r="AA448" s="47" t="s">
        <v>2752</v>
      </c>
      <c r="AB448" s="46" t="str">
        <f t="shared" si="86"/>
        <v>MIERCOLES</v>
      </c>
      <c r="AC448" s="47" t="s">
        <v>2753</v>
      </c>
      <c r="AD448">
        <f t="shared" si="87"/>
        <v>0</v>
      </c>
      <c r="AE448" s="47" t="s">
        <v>2754</v>
      </c>
      <c r="AH448" t="str">
        <f t="shared" si="88"/>
        <v>INSERT INTO horario_curso_materia (horario_curso_materia.FK_CUR_mat,horario_curso_materia.FK_HOR,horario_curso_materia.DIA,horario_curso_materia.tipo_turno) VALUES (  (SELECT curso_materia.ID_CUR_MAT FROM curso_materia WHERE curso_materia.CUPOF='1913979' ) ,
    (SELECT horario.ID_HOR FROM horario WHERE horario.modulo='4 ' and horario.turno='M ' ),'MIERCOLES ' , '0 ' );</v>
      </c>
    </row>
    <row r="449" spans="1:34" ht="15" hidden="1" customHeight="1" x14ac:dyDescent="0.3">
      <c r="A449" s="1" t="str">
        <f t="shared" si="81"/>
        <v>3°3°</v>
      </c>
      <c r="B449" s="54" t="str">
        <f t="shared" si="79"/>
        <v>3°3°4VIMAÑANA0</v>
      </c>
      <c r="C449" s="62">
        <f>VLOOKUP(G449,[1]Hoja1!$A:$O,3,0)</f>
        <v>0</v>
      </c>
      <c r="D449" s="2" t="str">
        <f t="shared" si="80"/>
        <v>4VIM</v>
      </c>
      <c r="E449" s="62" t="s">
        <v>36</v>
      </c>
      <c r="F449" s="62" t="s">
        <v>27</v>
      </c>
      <c r="G449" s="62" t="s">
        <v>375</v>
      </c>
      <c r="H449" s="8" t="str">
        <f>VLOOKUP(G449,[1]Hoja1!$A:$O,6,0)</f>
        <v>BIOLOGIA</v>
      </c>
      <c r="I449" s="4"/>
      <c r="J449" s="4"/>
      <c r="K449" s="80" t="str">
        <f t="shared" si="78"/>
        <v>VI</v>
      </c>
      <c r="L449" s="4"/>
      <c r="M449" s="86" t="str">
        <f>VLOOKUP(G449,[1]Hoja1!$A:$O,15,0)</f>
        <v xml:space="preserve">CANCELA GONZALEZ M </v>
      </c>
      <c r="N449" s="2" t="str">
        <f t="shared" si="82"/>
        <v>3°3°3BIOVI</v>
      </c>
      <c r="O449" s="2"/>
      <c r="P449" s="2" t="str">
        <f>VLOOKUP(G449,[1]Hoja1!$A:$P,16,0)</f>
        <v xml:space="preserve"> </v>
      </c>
      <c r="Q449" s="2"/>
      <c r="S449">
        <f>VLOOKUP(G449,[1]Hoja1!$A:$O,5,0)</f>
        <v>1913939</v>
      </c>
      <c r="U449" s="45" t="s">
        <v>2751</v>
      </c>
      <c r="V449" s="46">
        <f t="shared" si="83"/>
        <v>1913939</v>
      </c>
      <c r="W449" s="47" t="s">
        <v>1519</v>
      </c>
      <c r="X449" s="46" t="str">
        <f t="shared" si="84"/>
        <v>4</v>
      </c>
      <c r="Y449" s="47" t="s">
        <v>1518</v>
      </c>
      <c r="Z449" s="46" t="str">
        <f t="shared" si="85"/>
        <v>M</v>
      </c>
      <c r="AA449" s="47" t="s">
        <v>2752</v>
      </c>
      <c r="AB449" s="46" t="str">
        <f t="shared" si="86"/>
        <v>VIERNES</v>
      </c>
      <c r="AC449" s="47" t="s">
        <v>2753</v>
      </c>
      <c r="AD449">
        <f t="shared" si="87"/>
        <v>0</v>
      </c>
      <c r="AE449" s="47" t="s">
        <v>2754</v>
      </c>
      <c r="AH449" t="str">
        <f t="shared" si="88"/>
        <v>INSERT INTO horario_curso_materia (horario_curso_materia.FK_CUR_mat,horario_curso_materia.FK_HOR,horario_curso_materia.DIA,horario_curso_materia.tipo_turno) VALUES (  (SELECT curso_materia.ID_CUR_MAT FROM curso_materia WHERE curso_materia.CUPOF='1913939' ) ,
    (SELECT horario.ID_HOR FROM horario WHERE horario.modulo='4 ' and horario.turno='M ' ),'VIERNES ' , '0 ' );</v>
      </c>
    </row>
    <row r="450" spans="1:34" ht="15" hidden="1" customHeight="1" x14ac:dyDescent="0.3">
      <c r="A450" s="1" t="str">
        <f t="shared" si="81"/>
        <v>3°3°</v>
      </c>
      <c r="B450" s="54" t="str">
        <f t="shared" si="79"/>
        <v>3°3°4VITARDE332</v>
      </c>
      <c r="C450" s="62">
        <f>VLOOKUP(G450,[1]Hoja1!$A:$O,3,0)</f>
        <v>332</v>
      </c>
      <c r="D450" s="2" t="str">
        <f t="shared" si="80"/>
        <v>4VITHERRERIA</v>
      </c>
      <c r="E450" s="62" t="s">
        <v>36</v>
      </c>
      <c r="F450" s="62" t="s">
        <v>10</v>
      </c>
      <c r="G450" s="62" t="s">
        <v>117</v>
      </c>
      <c r="H450" s="8" t="str">
        <f>VLOOKUP(G450,[1]Hoja1!$A:$O,6,0)</f>
        <v>PROCEDIMIENTOS TECNICOS</v>
      </c>
      <c r="I450" s="4" t="s">
        <v>21</v>
      </c>
      <c r="J450" s="4" t="s">
        <v>60</v>
      </c>
      <c r="K450" s="80" t="str">
        <f t="shared" si="78"/>
        <v>VI</v>
      </c>
      <c r="L450" s="4" t="s">
        <v>512</v>
      </c>
      <c r="M450" s="86" t="str">
        <f>VLOOKUP(G450,[1]Hoja1!$A:$O,15,0)</f>
        <v>CRUZ DAVID</v>
      </c>
      <c r="N450" s="2" t="str">
        <f t="shared" si="82"/>
        <v>3°3°3323TPT3VI</v>
      </c>
      <c r="O450" s="2"/>
      <c r="P450" s="2" t="str">
        <f>VLOOKUP(G450,[1]Hoja1!$A:$P,16,0)</f>
        <v xml:space="preserve"> </v>
      </c>
      <c r="Q450" s="2"/>
      <c r="S450">
        <f>VLOOKUP(G450,[1]Hoja1!$A:$O,5,0)</f>
        <v>1913997</v>
      </c>
      <c r="U450" s="45" t="s">
        <v>2751</v>
      </c>
      <c r="V450" s="46">
        <f t="shared" si="83"/>
        <v>1913997</v>
      </c>
      <c r="W450" s="47" t="s">
        <v>1519</v>
      </c>
      <c r="X450" s="46" t="str">
        <f t="shared" si="84"/>
        <v>4</v>
      </c>
      <c r="Y450" s="47" t="s">
        <v>1518</v>
      </c>
      <c r="Z450" s="46" t="str">
        <f t="shared" si="85"/>
        <v>T</v>
      </c>
      <c r="AA450" s="47" t="s">
        <v>2752</v>
      </c>
      <c r="AB450" s="46" t="str">
        <f t="shared" si="86"/>
        <v>VIERNES</v>
      </c>
      <c r="AC450" s="47" t="s">
        <v>2753</v>
      </c>
      <c r="AD450" t="str">
        <f t="shared" si="87"/>
        <v>CONTRATURNO</v>
      </c>
      <c r="AE450" s="47" t="s">
        <v>2754</v>
      </c>
      <c r="AH450" t="str">
        <f t="shared" si="88"/>
        <v>INSERT INTO horario_curso_materia (horario_curso_materia.FK_CUR_mat,horario_curso_materia.FK_HOR,horario_curso_materia.DIA,horario_curso_materia.tipo_turno) VALUES (  (SELECT curso_materia.ID_CUR_MAT FROM curso_materia WHERE curso_materia.CUPOF='1913997' ) ,
    (SELECT horario.ID_HOR FROM horario WHERE horario.modulo='4 ' and horario.turno='T ' ),'VIERNES ' , 'CONTRATURNO ' );</v>
      </c>
    </row>
    <row r="451" spans="1:34" ht="15" hidden="1" customHeight="1" x14ac:dyDescent="0.3">
      <c r="A451" s="1" t="str">
        <f t="shared" si="81"/>
        <v>3°3°</v>
      </c>
      <c r="B451" s="54" t="str">
        <f t="shared" si="79"/>
        <v>3°3°4VIVESPERTINO331</v>
      </c>
      <c r="C451" s="62">
        <f>VLOOKUP(G451,[1]Hoja1!$A:$O,3,0)</f>
        <v>331</v>
      </c>
      <c r="D451" s="2" t="str">
        <f t="shared" si="80"/>
        <v>4VIVCARPINTERIA</v>
      </c>
      <c r="E451" s="62" t="s">
        <v>36</v>
      </c>
      <c r="F451" s="62" t="s">
        <v>125</v>
      </c>
      <c r="G451" s="62" t="s">
        <v>118</v>
      </c>
      <c r="H451" s="8" t="str">
        <f>VLOOKUP(G451,[1]Hoja1!$A:$O,6,0)</f>
        <v>SISTEMAS TECNOLOGICOS</v>
      </c>
      <c r="I451" s="4" t="s">
        <v>23</v>
      </c>
      <c r="J451" s="4"/>
      <c r="K451" s="80" t="str">
        <f t="shared" si="78"/>
        <v>VI</v>
      </c>
      <c r="L451" s="4" t="s">
        <v>512</v>
      </c>
      <c r="M451" s="86" t="str">
        <f>VLOOKUP(G451,[1]Hoja1!$A:$O,15,0)</f>
        <v>DANIEL PAZ</v>
      </c>
      <c r="N451" s="2" t="str">
        <f t="shared" si="82"/>
        <v>3°3°3313TST3VI</v>
      </c>
      <c r="O451" s="2"/>
      <c r="P451" s="2" t="str">
        <f>VLOOKUP(G451,[1]Hoja1!$A:$P,16,0)</f>
        <v xml:space="preserve"> </v>
      </c>
      <c r="Q451" s="2"/>
      <c r="S451">
        <f>VLOOKUP(G451,[1]Hoja1!$A:$O,5,0)</f>
        <v>1914000</v>
      </c>
      <c r="U451" s="45" t="s">
        <v>2751</v>
      </c>
      <c r="V451" s="46">
        <f t="shared" si="83"/>
        <v>1914000</v>
      </c>
      <c r="W451" s="47" t="s">
        <v>1519</v>
      </c>
      <c r="X451" s="46" t="str">
        <f t="shared" si="84"/>
        <v>4</v>
      </c>
      <c r="Y451" s="47" t="s">
        <v>1518</v>
      </c>
      <c r="Z451" s="46" t="str">
        <f t="shared" si="85"/>
        <v>V</v>
      </c>
      <c r="AA451" s="47" t="s">
        <v>2752</v>
      </c>
      <c r="AB451" s="46" t="str">
        <f t="shared" si="86"/>
        <v>VIERNES</v>
      </c>
      <c r="AC451" s="47" t="s">
        <v>2753</v>
      </c>
      <c r="AD451" t="str">
        <f t="shared" si="87"/>
        <v>CONTRATURNO</v>
      </c>
      <c r="AE451" s="47" t="s">
        <v>2754</v>
      </c>
      <c r="AH451" t="str">
        <f t="shared" si="88"/>
        <v>INSERT INTO horario_curso_materia (horario_curso_materia.FK_CUR_mat,horario_curso_materia.FK_HOR,horario_curso_materia.DIA,horario_curso_materia.tipo_turno) VALUES (  (SELECT curso_materia.ID_CUR_MAT FROM curso_materia WHERE curso_materia.CUPOF='1914000' ) ,
    (SELECT horario.ID_HOR FROM horario WHERE horario.modulo='4 ' and horario.turno='V ' ),'VIERNES ' , 'CONTRATURNO ' );</v>
      </c>
    </row>
    <row r="452" spans="1:34" ht="15" hidden="1" customHeight="1" x14ac:dyDescent="0.3">
      <c r="A452" s="1" t="str">
        <f t="shared" si="81"/>
        <v>3°3°</v>
      </c>
      <c r="B452" s="54" t="str">
        <f t="shared" si="79"/>
        <v>3°3°5LUMAÑANA0</v>
      </c>
      <c r="C452" s="62">
        <f>VLOOKUP(G452,[1]Hoja1!$A:$O,3,0)</f>
        <v>0</v>
      </c>
      <c r="D452" s="2" t="str">
        <f t="shared" si="80"/>
        <v>5LUM</v>
      </c>
      <c r="E452" s="62" t="s">
        <v>102</v>
      </c>
      <c r="F452" s="62" t="s">
        <v>27</v>
      </c>
      <c r="G452" s="62" t="s">
        <v>368</v>
      </c>
      <c r="H452" s="8" t="str">
        <f>VLOOKUP(G452,[1]Hoja1!$A:$O,6,0)</f>
        <v>FISICO-QUIMICA</v>
      </c>
      <c r="I452" s="4"/>
      <c r="J452" s="4"/>
      <c r="K452" s="80" t="str">
        <f t="shared" ref="K452:K512" si="89">RIGHT(E452,2)</f>
        <v>LU</v>
      </c>
      <c r="L452" s="4"/>
      <c r="M452" s="86" t="str">
        <f>VLOOKUP(G452,[1]Hoja1!$A:$O,15,0)</f>
        <v>DIEGO UGALDEA</v>
      </c>
      <c r="N452" s="2" t="str">
        <f t="shared" si="82"/>
        <v>3°3°3FI/QUILU</v>
      </c>
      <c r="O452" s="2"/>
      <c r="P452" s="2" t="str">
        <f>VLOOKUP(G452,[1]Hoja1!$A:$P,16,0)</f>
        <v xml:space="preserve"> </v>
      </c>
      <c r="Q452" s="2"/>
      <c r="S452">
        <f>VLOOKUP(G452,[1]Hoja1!$A:$O,5,0)</f>
        <v>1913974</v>
      </c>
      <c r="U452" s="45" t="s">
        <v>2751</v>
      </c>
      <c r="V452" s="46">
        <f t="shared" si="83"/>
        <v>1913974</v>
      </c>
      <c r="W452" s="47" t="s">
        <v>1519</v>
      </c>
      <c r="X452" s="46" t="str">
        <f t="shared" si="84"/>
        <v>5</v>
      </c>
      <c r="Y452" s="47" t="s">
        <v>1518</v>
      </c>
      <c r="Z452" s="46" t="str">
        <f t="shared" si="85"/>
        <v>M</v>
      </c>
      <c r="AA452" s="47" t="s">
        <v>2752</v>
      </c>
      <c r="AB452" s="46" t="str">
        <f t="shared" si="86"/>
        <v>LUNES</v>
      </c>
      <c r="AC452" s="47" t="s">
        <v>2753</v>
      </c>
      <c r="AD452">
        <f t="shared" si="87"/>
        <v>0</v>
      </c>
      <c r="AE452" s="47" t="s">
        <v>2754</v>
      </c>
      <c r="AH452" t="str">
        <f t="shared" si="88"/>
        <v>INSERT INTO horario_curso_materia (horario_curso_materia.FK_CUR_mat,horario_curso_materia.FK_HOR,horario_curso_materia.DIA,horario_curso_materia.tipo_turno) VALUES (  (SELECT curso_materia.ID_CUR_MAT FROM curso_materia WHERE curso_materia.CUPOF='1913974' ) ,
    (SELECT horario.ID_HOR FROM horario WHERE horario.modulo='5 ' and horario.turno='M ' ),'LUNES ' , '0 ' );</v>
      </c>
    </row>
    <row r="453" spans="1:34" ht="15" hidden="1" customHeight="1" x14ac:dyDescent="0.3">
      <c r="A453" s="1" t="str">
        <f t="shared" si="81"/>
        <v>3°3°</v>
      </c>
      <c r="B453" s="54" t="str">
        <f t="shared" si="79"/>
        <v>3°3°5MIMAÑANA0</v>
      </c>
      <c r="C453" s="62">
        <f>VLOOKUP(G453,[1]Hoja1!$A:$O,3,0)</f>
        <v>0</v>
      </c>
      <c r="D453" s="2" t="str">
        <f t="shared" si="80"/>
        <v>5MIM</v>
      </c>
      <c r="E453" s="62" t="s">
        <v>275</v>
      </c>
      <c r="F453" s="62" t="s">
        <v>27</v>
      </c>
      <c r="G453" s="62" t="s">
        <v>368</v>
      </c>
      <c r="H453" s="8" t="str">
        <f>VLOOKUP(G453,[1]Hoja1!$A:$O,6,0)</f>
        <v>FISICO-QUIMICA</v>
      </c>
      <c r="I453" s="4"/>
      <c r="J453" s="4"/>
      <c r="K453" s="80" t="str">
        <f t="shared" si="89"/>
        <v>MI</v>
      </c>
      <c r="L453" s="4"/>
      <c r="M453" s="86" t="str">
        <f>VLOOKUP(G453,[1]Hoja1!$A:$O,15,0)</f>
        <v>DIEGO UGALDEA</v>
      </c>
      <c r="N453" s="2" t="str">
        <f t="shared" si="82"/>
        <v>3°3°3FI/QUIMI</v>
      </c>
      <c r="O453" s="2"/>
      <c r="P453" s="2" t="str">
        <f>VLOOKUP(G453,[1]Hoja1!$A:$P,16,0)</f>
        <v xml:space="preserve"> </v>
      </c>
      <c r="Q453" s="2"/>
      <c r="S453">
        <f>VLOOKUP(G453,[1]Hoja1!$A:$O,5,0)</f>
        <v>1913974</v>
      </c>
      <c r="U453" s="45" t="s">
        <v>2751</v>
      </c>
      <c r="V453" s="46">
        <f t="shared" si="83"/>
        <v>1913974</v>
      </c>
      <c r="W453" s="47" t="s">
        <v>1519</v>
      </c>
      <c r="X453" s="46" t="str">
        <f t="shared" si="84"/>
        <v>5</v>
      </c>
      <c r="Y453" s="47" t="s">
        <v>1518</v>
      </c>
      <c r="Z453" s="46" t="str">
        <f t="shared" si="85"/>
        <v>M</v>
      </c>
      <c r="AA453" s="47" t="s">
        <v>2752</v>
      </c>
      <c r="AB453" s="46" t="str">
        <f t="shared" si="86"/>
        <v>MIERCOLES</v>
      </c>
      <c r="AC453" s="47" t="s">
        <v>2753</v>
      </c>
      <c r="AD453">
        <f t="shared" si="87"/>
        <v>0</v>
      </c>
      <c r="AE453" s="47" t="s">
        <v>2754</v>
      </c>
      <c r="AH453" t="str">
        <f t="shared" si="88"/>
        <v>INSERT INTO horario_curso_materia (horario_curso_materia.FK_CUR_mat,horario_curso_materia.FK_HOR,horario_curso_materia.DIA,horario_curso_materia.tipo_turno) VALUES (  (SELECT curso_materia.ID_CUR_MAT FROM curso_materia WHERE curso_materia.CUPOF='1913974' ) ,
    (SELECT horario.ID_HOR FROM horario WHERE horario.modulo='5 ' and horario.turno='M ' ),'MIERCOLES ' , '0 ' );</v>
      </c>
    </row>
    <row r="454" spans="1:34" ht="15" hidden="1" customHeight="1" x14ac:dyDescent="0.3">
      <c r="A454" s="1" t="str">
        <f t="shared" si="81"/>
        <v>3°4°</v>
      </c>
      <c r="B454" s="54" t="str">
        <f t="shared" ref="B454:B517" si="90">CONCATENATE(LEFT(G454,4),E454,F454,C454)</f>
        <v>3°4°1JUMAÑANA342</v>
      </c>
      <c r="C454" s="62">
        <f>VLOOKUP(G454,[1]Hoja1!$A:$O,3,0)</f>
        <v>342</v>
      </c>
      <c r="D454" s="2" t="str">
        <f t="shared" si="80"/>
        <v>1JUMHERRERIA</v>
      </c>
      <c r="E454" s="62" t="s">
        <v>43</v>
      </c>
      <c r="F454" s="62" t="s">
        <v>27</v>
      </c>
      <c r="G454" s="62" t="s">
        <v>121</v>
      </c>
      <c r="H454" s="8" t="str">
        <f>VLOOKUP(G454,[1]Hoja1!$A:$O,6,0)</f>
        <v>PROCEDIMIENTOS TECNICOS</v>
      </c>
      <c r="I454" s="4" t="s">
        <v>21</v>
      </c>
      <c r="J454" s="4"/>
      <c r="K454" s="80" t="str">
        <f t="shared" si="89"/>
        <v>JU</v>
      </c>
      <c r="L454" s="4" t="s">
        <v>512</v>
      </c>
      <c r="M454" s="86" t="str">
        <f>VLOOKUP(G454,[1]Hoja1!$A:$O,15,0)</f>
        <v>LEYES RICARDO</v>
      </c>
      <c r="N454" s="2" t="str">
        <f t="shared" si="82"/>
        <v>3°4°3423TPT3JU</v>
      </c>
      <c r="O454" s="2"/>
      <c r="P454" s="2" t="str">
        <f>VLOOKUP(G454,[1]Hoja1!$A:$P,16,0)</f>
        <v xml:space="preserve"> </v>
      </c>
      <c r="Q454" s="2"/>
      <c r="S454">
        <f>VLOOKUP(G454,[1]Hoja1!$A:$O,5,0)</f>
        <v>2683088</v>
      </c>
      <c r="U454" s="45" t="s">
        <v>2751</v>
      </c>
      <c r="V454" s="46">
        <f t="shared" si="83"/>
        <v>2683088</v>
      </c>
      <c r="W454" s="47" t="s">
        <v>1519</v>
      </c>
      <c r="X454" s="46" t="str">
        <f t="shared" si="84"/>
        <v>1</v>
      </c>
      <c r="Y454" s="47" t="s">
        <v>1518</v>
      </c>
      <c r="Z454" s="46" t="str">
        <f t="shared" si="85"/>
        <v>M</v>
      </c>
      <c r="AA454" s="47" t="s">
        <v>2752</v>
      </c>
      <c r="AB454" s="46" t="str">
        <f t="shared" si="86"/>
        <v>JUEVES</v>
      </c>
      <c r="AC454" s="47" t="s">
        <v>2753</v>
      </c>
      <c r="AD454" t="str">
        <f t="shared" si="87"/>
        <v>CONTRATURNO</v>
      </c>
      <c r="AE454" s="47" t="s">
        <v>2754</v>
      </c>
      <c r="AH454" t="str">
        <f t="shared" si="88"/>
        <v>INSERT INTO horario_curso_materia (horario_curso_materia.FK_CUR_mat,horario_curso_materia.FK_HOR,horario_curso_materia.DIA,horario_curso_materia.tipo_turno) VALUES (  (SELECT curso_materia.ID_CUR_MAT FROM curso_materia WHERE curso_materia.CUPOF='2683088' ) ,
    (SELECT horario.ID_HOR FROM horario WHERE horario.modulo='1 ' and horario.turno='M ' ),'JUEVES ' , 'CONTRATURNO ' );</v>
      </c>
    </row>
    <row r="455" spans="1:34" ht="15" hidden="1" customHeight="1" x14ac:dyDescent="0.3">
      <c r="A455" s="1" t="str">
        <f t="shared" si="81"/>
        <v>3°4°</v>
      </c>
      <c r="B455" s="54" t="str">
        <f t="shared" si="90"/>
        <v>3°4°1JUTARDE0</v>
      </c>
      <c r="C455" s="62">
        <f>VLOOKUP(G455,[1]Hoja1!$A:$O,3,0)</f>
        <v>0</v>
      </c>
      <c r="D455" s="2" t="str">
        <f t="shared" si="80"/>
        <v>1JUT</v>
      </c>
      <c r="E455" s="62" t="s">
        <v>43</v>
      </c>
      <c r="F455" s="62" t="s">
        <v>10</v>
      </c>
      <c r="G455" s="62" t="s">
        <v>378</v>
      </c>
      <c r="H455" s="8" t="str">
        <f>VLOOKUP(G455,[1]Hoja1!$A:$O,6,0)</f>
        <v>MATEMATICA</v>
      </c>
      <c r="I455" s="4"/>
      <c r="J455" s="4"/>
      <c r="K455" s="80" t="str">
        <f t="shared" si="89"/>
        <v>JU</v>
      </c>
      <c r="L455" s="4"/>
      <c r="M455" s="86" t="str">
        <f>VLOOKUP(G455,[1]Hoja1!$A:$O,15,0)</f>
        <v xml:space="preserve">GARCIA CLAUDIA </v>
      </c>
      <c r="N455" s="2" t="str">
        <f t="shared" si="82"/>
        <v>3°4°3MATJU</v>
      </c>
      <c r="O455" s="2"/>
      <c r="P455" s="2" t="str">
        <f>VLOOKUP(G455,[1]Hoja1!$A:$P,16,0)</f>
        <v xml:space="preserve"> </v>
      </c>
      <c r="Q455" s="2"/>
      <c r="S455">
        <f>VLOOKUP(G455,[1]Hoja1!$A:$O,5,0)</f>
        <v>1492042</v>
      </c>
      <c r="U455" s="45" t="s">
        <v>2751</v>
      </c>
      <c r="V455" s="46">
        <f t="shared" si="83"/>
        <v>1492042</v>
      </c>
      <c r="W455" s="47" t="s">
        <v>1519</v>
      </c>
      <c r="X455" s="46" t="str">
        <f t="shared" si="84"/>
        <v>1</v>
      </c>
      <c r="Y455" s="47" t="s">
        <v>1518</v>
      </c>
      <c r="Z455" s="46" t="str">
        <f t="shared" si="85"/>
        <v>T</v>
      </c>
      <c r="AA455" s="47" t="s">
        <v>2752</v>
      </c>
      <c r="AB455" s="46" t="str">
        <f t="shared" si="86"/>
        <v>JUEVES</v>
      </c>
      <c r="AC455" s="47" t="s">
        <v>2753</v>
      </c>
      <c r="AD455">
        <f t="shared" si="87"/>
        <v>0</v>
      </c>
      <c r="AE455" s="47" t="s">
        <v>2754</v>
      </c>
      <c r="AH455" t="str">
        <f t="shared" si="88"/>
        <v>INSERT INTO horario_curso_materia (horario_curso_materia.FK_CUR_mat,horario_curso_materia.FK_HOR,horario_curso_materia.DIA,horario_curso_materia.tipo_turno) VALUES (  (SELECT curso_materia.ID_CUR_MAT FROM curso_materia WHERE curso_materia.CUPOF='1492042' ) ,
    (SELECT horario.ID_HOR FROM horario WHERE horario.modulo='1 ' and horario.turno='T ' ),'JUEVES ' , '0 ' );</v>
      </c>
    </row>
    <row r="456" spans="1:34" ht="15" hidden="1" customHeight="1" x14ac:dyDescent="0.3">
      <c r="A456" s="1" t="str">
        <f t="shared" si="81"/>
        <v>3°4°</v>
      </c>
      <c r="B456" s="54" t="str">
        <f t="shared" si="90"/>
        <v>3°4°1LUMAÑANA341</v>
      </c>
      <c r="C456" s="62">
        <f>VLOOKUP(G456,[1]Hoja1!$A:$O,3,0)</f>
        <v>341</v>
      </c>
      <c r="D456" s="2" t="str">
        <f t="shared" si="80"/>
        <v>1LUMaula 1</v>
      </c>
      <c r="E456" s="62" t="s">
        <v>9</v>
      </c>
      <c r="F456" s="62" t="s">
        <v>27</v>
      </c>
      <c r="G456" s="62" t="s">
        <v>120</v>
      </c>
      <c r="H456" s="8" t="str">
        <f>VLOOKUP(G456,[1]Hoja1!$A:$O,6,0)</f>
        <v>SISTEMAS TECNOLOGICOS</v>
      </c>
      <c r="I456" s="4" t="s">
        <v>1489</v>
      </c>
      <c r="J456" s="4"/>
      <c r="K456" s="80" t="str">
        <f t="shared" si="89"/>
        <v>LU</v>
      </c>
      <c r="L456" s="4" t="s">
        <v>512</v>
      </c>
      <c r="M456" s="86" t="str">
        <f>VLOOKUP(G456,[1]Hoja1!$A:$O,15,0)</f>
        <v>GOMEZ ANALIA</v>
      </c>
      <c r="N456" s="2" t="str">
        <f t="shared" si="82"/>
        <v>3°4°3413TST3LU</v>
      </c>
      <c r="O456" s="2"/>
      <c r="P456" s="2" t="str">
        <f>VLOOKUP(G456,[1]Hoja1!$A:$P,16,0)</f>
        <v xml:space="preserve"> </v>
      </c>
      <c r="Q456" s="2"/>
      <c r="S456">
        <f>VLOOKUP(G456,[1]Hoja1!$A:$O,5,0)</f>
        <v>2683084</v>
      </c>
      <c r="U456" s="45" t="s">
        <v>2751</v>
      </c>
      <c r="V456" s="46">
        <f t="shared" si="83"/>
        <v>2683084</v>
      </c>
      <c r="W456" s="47" t="s">
        <v>1519</v>
      </c>
      <c r="X456" s="46" t="str">
        <f t="shared" si="84"/>
        <v>1</v>
      </c>
      <c r="Y456" s="47" t="s">
        <v>1518</v>
      </c>
      <c r="Z456" s="46" t="str">
        <f t="shared" si="85"/>
        <v>M</v>
      </c>
      <c r="AA456" s="47" t="s">
        <v>2752</v>
      </c>
      <c r="AB456" s="46" t="str">
        <f t="shared" si="86"/>
        <v>LUNES</v>
      </c>
      <c r="AC456" s="47" t="s">
        <v>2753</v>
      </c>
      <c r="AD456" t="str">
        <f t="shared" si="87"/>
        <v>CONTRATURNO</v>
      </c>
      <c r="AE456" s="47" t="s">
        <v>2754</v>
      </c>
      <c r="AH456" t="str">
        <f t="shared" si="88"/>
        <v>INSERT INTO horario_curso_materia (horario_curso_materia.FK_CUR_mat,horario_curso_materia.FK_HOR,horario_curso_materia.DIA,horario_curso_materia.tipo_turno) VALUES (  (SELECT curso_materia.ID_CUR_MAT FROM curso_materia WHERE curso_materia.CUPOF='2683084' ) ,
    (SELECT horario.ID_HOR FROM horario WHERE horario.modulo='1 ' and horario.turno='M ' ),'LUNES ' , 'CONTRATURNO ' );</v>
      </c>
    </row>
    <row r="457" spans="1:34" ht="15" hidden="1" customHeight="1" x14ac:dyDescent="0.3">
      <c r="A457" s="1" t="str">
        <f t="shared" si="81"/>
        <v>3°4°</v>
      </c>
      <c r="B457" s="54" t="str">
        <f t="shared" si="90"/>
        <v>3°4°1juVESPERTINO342</v>
      </c>
      <c r="C457" s="62">
        <f>VLOOKUP(G457,[1]Hoja1!$A:$O,3,0)</f>
        <v>342</v>
      </c>
      <c r="D457" s="2" t="str">
        <f t="shared" si="80"/>
        <v>1juVAULA 2</v>
      </c>
      <c r="E457" s="62" t="s">
        <v>1348</v>
      </c>
      <c r="F457" s="62" t="s">
        <v>125</v>
      </c>
      <c r="G457" s="62" t="s">
        <v>126</v>
      </c>
      <c r="H457" s="8" t="str">
        <f>VLOOKUP(G457,[1]Hoja1!$A:$O,6,0)</f>
        <v>SISTEMAS TECNOLOGICOS</v>
      </c>
      <c r="I457" s="4" t="s">
        <v>1486</v>
      </c>
      <c r="J457" s="4"/>
      <c r="K457" s="80" t="str">
        <f t="shared" si="89"/>
        <v>ju</v>
      </c>
      <c r="L457" s="4" t="s">
        <v>512</v>
      </c>
      <c r="M457" s="87" t="str">
        <f>VLOOKUP(G457,[1]Hoja1!$A:$O,15,0)</f>
        <v xml:space="preserve">ROTOLO, LUCIANO </v>
      </c>
      <c r="N457" s="2" t="str">
        <f t="shared" si="82"/>
        <v>3°4°3423TST3ju</v>
      </c>
      <c r="O457" s="2"/>
      <c r="P457" s="2" t="str">
        <f>VLOOKUP(G457,[1]Hoja1!$A:$P,16,0)</f>
        <v xml:space="preserve"> </v>
      </c>
      <c r="Q457" s="2"/>
      <c r="S457">
        <f>VLOOKUP(G457,[1]Hoja1!$A:$O,5,0)</f>
        <v>2683087</v>
      </c>
      <c r="U457" s="45" t="s">
        <v>2751</v>
      </c>
      <c r="V457" s="46">
        <f t="shared" si="83"/>
        <v>2683087</v>
      </c>
      <c r="W457" s="47" t="s">
        <v>1519</v>
      </c>
      <c r="X457" s="46" t="str">
        <f t="shared" si="84"/>
        <v>1</v>
      </c>
      <c r="Y457" s="47" t="s">
        <v>1518</v>
      </c>
      <c r="Z457" s="46" t="str">
        <f t="shared" si="85"/>
        <v>V</v>
      </c>
      <c r="AA457" s="47" t="s">
        <v>2752</v>
      </c>
      <c r="AB457" s="46" t="str">
        <f t="shared" si="86"/>
        <v>JUEVES</v>
      </c>
      <c r="AC457" s="47" t="s">
        <v>2753</v>
      </c>
      <c r="AD457" t="str">
        <f t="shared" si="87"/>
        <v>CONTRATURNO</v>
      </c>
      <c r="AE457" s="47" t="s">
        <v>2754</v>
      </c>
      <c r="AH457" t="str">
        <f t="shared" si="88"/>
        <v>INSERT INTO horario_curso_materia (horario_curso_materia.FK_CUR_mat,horario_curso_materia.FK_HOR,horario_curso_materia.DIA,horario_curso_materia.tipo_turno) VALUES (  (SELECT curso_materia.ID_CUR_MAT FROM curso_materia WHERE curso_materia.CUPOF='2683087' ) ,
    (SELECT horario.ID_HOR FROM horario WHERE horario.modulo='1 ' and horario.turno='V ' ),'JUEVES ' , 'CONTRATURNO ' );</v>
      </c>
    </row>
    <row r="458" spans="1:34" ht="15" hidden="1" customHeight="1" x14ac:dyDescent="0.3">
      <c r="A458" s="1" t="str">
        <f t="shared" si="81"/>
        <v>3°4°</v>
      </c>
      <c r="B458" s="54" t="str">
        <f t="shared" si="90"/>
        <v>3°4°1luTARDE0</v>
      </c>
      <c r="C458" s="62">
        <f>VLOOKUP(G458,[1]Hoja1!$A:$O,3,0)</f>
        <v>0</v>
      </c>
      <c r="D458" s="2" t="str">
        <f t="shared" si="80"/>
        <v>1luT</v>
      </c>
      <c r="E458" s="62" t="s">
        <v>1444</v>
      </c>
      <c r="F458" s="62" t="s">
        <v>10</v>
      </c>
      <c r="G458" s="62" t="s">
        <v>381</v>
      </c>
      <c r="H458" s="8" t="str">
        <f>VLOOKUP(G458,[1]Hoja1!$A:$O,6,0)</f>
        <v>BIOLOGIA</v>
      </c>
      <c r="I458" s="4"/>
      <c r="J458" s="4"/>
      <c r="K458" s="80" t="str">
        <f t="shared" si="89"/>
        <v>lu</v>
      </c>
      <c r="L458" s="4"/>
      <c r="M458" s="86" t="str">
        <f>VLOOKUP(G458,[1]Hoja1!$A:$O,15,0)</f>
        <v>OLIVIERI, ROMINA DE LOS MILAGR</v>
      </c>
      <c r="N458" s="2" t="str">
        <f t="shared" si="82"/>
        <v>3°4°3BIOlu</v>
      </c>
      <c r="O458" s="2" t="s">
        <v>1452</v>
      </c>
      <c r="P458" s="2" t="str">
        <f>VLOOKUP(G458,[1]Hoja1!$A:$P,16,0)</f>
        <v xml:space="preserve"> </v>
      </c>
      <c r="Q458" s="2"/>
      <c r="S458">
        <f>VLOOKUP(G458,[1]Hoja1!$A:$O,5,0)</f>
        <v>1492277</v>
      </c>
      <c r="U458" s="45" t="s">
        <v>2751</v>
      </c>
      <c r="V458" s="46">
        <f t="shared" si="83"/>
        <v>1492277</v>
      </c>
      <c r="W458" s="47" t="s">
        <v>1519</v>
      </c>
      <c r="X458" s="46" t="str">
        <f t="shared" si="84"/>
        <v>1</v>
      </c>
      <c r="Y458" s="47" t="s">
        <v>1518</v>
      </c>
      <c r="Z458" s="46" t="str">
        <f t="shared" si="85"/>
        <v>T</v>
      </c>
      <c r="AA458" s="47" t="s">
        <v>2752</v>
      </c>
      <c r="AB458" s="46" t="str">
        <f t="shared" si="86"/>
        <v>LUNES</v>
      </c>
      <c r="AC458" s="47" t="s">
        <v>2753</v>
      </c>
      <c r="AD458">
        <f t="shared" si="87"/>
        <v>0</v>
      </c>
      <c r="AE458" s="47" t="s">
        <v>2754</v>
      </c>
      <c r="AH458" t="str">
        <f t="shared" si="88"/>
        <v>INSERT INTO horario_curso_materia (horario_curso_materia.FK_CUR_mat,horario_curso_materia.FK_HOR,horario_curso_materia.DIA,horario_curso_materia.tipo_turno) VALUES (  (SELECT curso_materia.ID_CUR_MAT FROM curso_materia WHERE curso_materia.CUPOF='1492277' ) ,
    (SELECT horario.ID_HOR FROM horario WHERE horario.modulo='1 ' and horario.turno='T ' ),'LUNES ' , '0 ' );</v>
      </c>
    </row>
    <row r="459" spans="1:34" ht="15" hidden="1" customHeight="1" x14ac:dyDescent="0.3">
      <c r="A459" s="1" t="str">
        <f t="shared" si="81"/>
        <v>3°4°</v>
      </c>
      <c r="B459" s="54" t="str">
        <f t="shared" si="90"/>
        <v>3°4°1MAMAÑANA341</v>
      </c>
      <c r="C459" s="62">
        <f>VLOOKUP(G459,[1]Hoja1!$A:$O,3,0)</f>
        <v>341</v>
      </c>
      <c r="D459" s="2" t="str">
        <f t="shared" si="80"/>
        <v>1MAMaula 2</v>
      </c>
      <c r="E459" s="62" t="s">
        <v>17</v>
      </c>
      <c r="F459" s="62" t="s">
        <v>27</v>
      </c>
      <c r="G459" s="62" t="s">
        <v>122</v>
      </c>
      <c r="H459" s="8" t="str">
        <f>VLOOKUP(G459,[1]Hoja1!$A:$O,6,0)</f>
        <v>LENGUAJES TECNOLOGICOS</v>
      </c>
      <c r="I459" s="4" t="s">
        <v>1438</v>
      </c>
      <c r="J459" s="4"/>
      <c r="K459" s="80" t="str">
        <f t="shared" si="89"/>
        <v>MA</v>
      </c>
      <c r="L459" s="4" t="s">
        <v>512</v>
      </c>
      <c r="M459" s="86" t="str">
        <f>VLOOKUP(G459,[1]Hoja1!$A:$O,15,0)</f>
        <v>PROCHOR JUAN PABLO</v>
      </c>
      <c r="N459" s="2" t="str">
        <f t="shared" si="82"/>
        <v>3°4°3413TLT3MA</v>
      </c>
      <c r="O459" s="2"/>
      <c r="P459" s="2" t="str">
        <f>VLOOKUP(G459,[1]Hoja1!$A:$P,16,0)</f>
        <v xml:space="preserve"> </v>
      </c>
      <c r="Q459" s="2"/>
      <c r="S459">
        <f>VLOOKUP(G459,[1]Hoja1!$A:$O,5,0)</f>
        <v>2683083</v>
      </c>
      <c r="U459" s="45" t="s">
        <v>2751</v>
      </c>
      <c r="V459" s="46">
        <f t="shared" si="83"/>
        <v>2683083</v>
      </c>
      <c r="W459" s="47" t="s">
        <v>1519</v>
      </c>
      <c r="X459" s="46" t="str">
        <f t="shared" si="84"/>
        <v>1</v>
      </c>
      <c r="Y459" s="47" t="s">
        <v>1518</v>
      </c>
      <c r="Z459" s="46" t="str">
        <f t="shared" si="85"/>
        <v>M</v>
      </c>
      <c r="AA459" s="47" t="s">
        <v>2752</v>
      </c>
      <c r="AB459" s="46" t="str">
        <f t="shared" si="86"/>
        <v>MARTES</v>
      </c>
      <c r="AC459" s="47" t="s">
        <v>2753</v>
      </c>
      <c r="AD459" t="str">
        <f t="shared" si="87"/>
        <v>CONTRATURNO</v>
      </c>
      <c r="AE459" s="47" t="s">
        <v>2754</v>
      </c>
      <c r="AH459" t="str">
        <f t="shared" si="88"/>
        <v>INSERT INTO horario_curso_materia (horario_curso_materia.FK_CUR_mat,horario_curso_materia.FK_HOR,horario_curso_materia.DIA,horario_curso_materia.tipo_turno) VALUES (  (SELECT curso_materia.ID_CUR_MAT FROM curso_materia WHERE curso_materia.CUPOF='2683083' ) ,
    (SELECT horario.ID_HOR FROM horario WHERE horario.modulo='1 ' and horario.turno='M ' ),'MARTES ' , 'CONTRATURNO ' );</v>
      </c>
    </row>
    <row r="460" spans="1:34" ht="15" hidden="1" customHeight="1" x14ac:dyDescent="0.3">
      <c r="A460" s="1" t="str">
        <f t="shared" si="81"/>
        <v>3°4°</v>
      </c>
      <c r="B460" s="54" t="str">
        <f t="shared" si="90"/>
        <v>3°4°1MATARDE0</v>
      </c>
      <c r="C460" s="62">
        <f>VLOOKUP(G460,[1]Hoja1!$A:$O,3,0)</f>
        <v>0</v>
      </c>
      <c r="D460" s="2" t="str">
        <f t="shared" si="80"/>
        <v>1MAT</v>
      </c>
      <c r="E460" s="62" t="s">
        <v>17</v>
      </c>
      <c r="F460" s="62" t="s">
        <v>10</v>
      </c>
      <c r="G460" s="62" t="s">
        <v>379</v>
      </c>
      <c r="H460" s="8" t="str">
        <f>VLOOKUP(G460,[1]Hoja1!$A:$O,6,0)</f>
        <v>PRACTICA DEL LENGUAJE</v>
      </c>
      <c r="I460" s="4"/>
      <c r="J460" s="4"/>
      <c r="K460" s="80" t="str">
        <f t="shared" si="89"/>
        <v>MA</v>
      </c>
      <c r="L460" s="4"/>
      <c r="M460" s="86" t="str">
        <f>VLOOKUP(G460,[1]Hoja1!$A:$O,15,0)</f>
        <v xml:space="preserve">SANTILLAN ESTELA </v>
      </c>
      <c r="N460" s="2" t="str">
        <f t="shared" si="82"/>
        <v>3°4°3PLGMA</v>
      </c>
      <c r="O460" s="2"/>
      <c r="P460" s="2" t="str">
        <f>VLOOKUP(G460,[1]Hoja1!$A:$P,16,0)</f>
        <v xml:space="preserve"> </v>
      </c>
      <c r="Q460" s="2"/>
      <c r="S460">
        <f>VLOOKUP(G460,[1]Hoja1!$A:$O,5,0)</f>
        <v>1492035</v>
      </c>
      <c r="U460" s="45" t="s">
        <v>2751</v>
      </c>
      <c r="V460" s="46">
        <f t="shared" si="83"/>
        <v>1492035</v>
      </c>
      <c r="W460" s="47" t="s">
        <v>1519</v>
      </c>
      <c r="X460" s="46" t="str">
        <f t="shared" si="84"/>
        <v>1</v>
      </c>
      <c r="Y460" s="47" t="s">
        <v>1518</v>
      </c>
      <c r="Z460" s="46" t="str">
        <f t="shared" si="85"/>
        <v>T</v>
      </c>
      <c r="AA460" s="47" t="s">
        <v>2752</v>
      </c>
      <c r="AB460" s="46" t="str">
        <f t="shared" si="86"/>
        <v>MARTES</v>
      </c>
      <c r="AC460" s="47" t="s">
        <v>2753</v>
      </c>
      <c r="AD460">
        <f t="shared" si="87"/>
        <v>0</v>
      </c>
      <c r="AE460" s="47" t="s">
        <v>2754</v>
      </c>
      <c r="AH460" t="str">
        <f t="shared" si="88"/>
        <v>INSERT INTO horario_curso_materia (horario_curso_materia.FK_CUR_mat,horario_curso_materia.FK_HOR,horario_curso_materia.DIA,horario_curso_materia.tipo_turno) VALUES (  (SELECT curso_materia.ID_CUR_MAT FROM curso_materia WHERE curso_materia.CUPOF='1492035' ) ,
    (SELECT horario.ID_HOR FROM horario WHERE horario.modulo='1 ' and horario.turno='T ' ),'MARTES ' , '0 ' );</v>
      </c>
    </row>
    <row r="461" spans="1:34" ht="15" hidden="1" customHeight="1" x14ac:dyDescent="0.3">
      <c r="A461" s="1" t="str">
        <f t="shared" si="81"/>
        <v>3°4°</v>
      </c>
      <c r="B461" s="54" t="str">
        <f t="shared" si="90"/>
        <v>3°4°1MIMAÑANA341</v>
      </c>
      <c r="C461" s="62">
        <f>VLOOKUP(G461,[1]Hoja1!$A:$O,3,0)</f>
        <v>341</v>
      </c>
      <c r="D461" s="2" t="str">
        <f t="shared" si="80"/>
        <v>1MIMHERRERIA</v>
      </c>
      <c r="E461" s="62" t="s">
        <v>24</v>
      </c>
      <c r="F461" s="62" t="s">
        <v>27</v>
      </c>
      <c r="G461" s="62" t="s">
        <v>124</v>
      </c>
      <c r="H461" s="8" t="str">
        <f>VLOOKUP(G461,[1]Hoja1!$A:$O,6,0)</f>
        <v>PROCEDIMIENTOS TECNICOS</v>
      </c>
      <c r="I461" s="4" t="s">
        <v>21</v>
      </c>
      <c r="J461" s="4"/>
      <c r="K461" s="80" t="str">
        <f t="shared" si="89"/>
        <v>MI</v>
      </c>
      <c r="L461" s="4" t="s">
        <v>512</v>
      </c>
      <c r="M461" s="86" t="str">
        <f>VLOOKUP(G461,[1]Hoja1!$A:$O,15,0)</f>
        <v>CRUZ DAVID</v>
      </c>
      <c r="N461" s="2" t="str">
        <f t="shared" si="82"/>
        <v>3°4°3413TPT3MI</v>
      </c>
      <c r="O461" s="2"/>
      <c r="P461" s="2" t="str">
        <f>VLOOKUP(G461,[1]Hoja1!$A:$P,16,0)</f>
        <v xml:space="preserve"> </v>
      </c>
      <c r="Q461" s="2"/>
      <c r="S461">
        <f>VLOOKUP(G461,[1]Hoja1!$A:$O,5,0)</f>
        <v>2683085</v>
      </c>
      <c r="U461" s="45" t="s">
        <v>2751</v>
      </c>
      <c r="V461" s="46">
        <f t="shared" si="83"/>
        <v>2683085</v>
      </c>
      <c r="W461" s="47" t="s">
        <v>1519</v>
      </c>
      <c r="X461" s="46" t="str">
        <f t="shared" si="84"/>
        <v>1</v>
      </c>
      <c r="Y461" s="47" t="s">
        <v>1518</v>
      </c>
      <c r="Z461" s="46" t="str">
        <f t="shared" si="85"/>
        <v>M</v>
      </c>
      <c r="AA461" s="47" t="s">
        <v>2752</v>
      </c>
      <c r="AB461" s="46" t="str">
        <f t="shared" si="86"/>
        <v>MIERCOLES</v>
      </c>
      <c r="AC461" s="47" t="s">
        <v>2753</v>
      </c>
      <c r="AD461" t="str">
        <f t="shared" si="87"/>
        <v>CONTRATURNO</v>
      </c>
      <c r="AE461" s="47" t="s">
        <v>2754</v>
      </c>
      <c r="AH461" t="str">
        <f t="shared" si="88"/>
        <v>INSERT INTO horario_curso_materia (horario_curso_materia.FK_CUR_mat,horario_curso_materia.FK_HOR,horario_curso_materia.DIA,horario_curso_materia.tipo_turno) VALUES (  (SELECT curso_materia.ID_CUR_MAT FROM curso_materia WHERE curso_materia.CUPOF='2683085' ) ,
    (SELECT horario.ID_HOR FROM horario WHERE horario.modulo='1 ' and horario.turno='M ' ),'MIERCOLES ' , 'CONTRATURNO ' );</v>
      </c>
    </row>
    <row r="462" spans="1:34" ht="15" hidden="1" customHeight="1" x14ac:dyDescent="0.3">
      <c r="A462" s="1" t="str">
        <f t="shared" si="81"/>
        <v>3°4°</v>
      </c>
      <c r="B462" s="54" t="str">
        <f t="shared" si="90"/>
        <v>3°4°1MITARDE0</v>
      </c>
      <c r="C462" s="62">
        <f>VLOOKUP(G462,[1]Hoja1!$A:$O,3,0)</f>
        <v>0</v>
      </c>
      <c r="D462" s="2" t="str">
        <f t="shared" si="80"/>
        <v>1MIT</v>
      </c>
      <c r="E462" s="62" t="s">
        <v>24</v>
      </c>
      <c r="F462" s="62" t="s">
        <v>10</v>
      </c>
      <c r="G462" s="62" t="s">
        <v>382</v>
      </c>
      <c r="H462" s="8" t="str">
        <f>VLOOKUP(G462,[1]Hoja1!$A:$O,6,0)</f>
        <v>HISTORIA</v>
      </c>
      <c r="I462" s="4"/>
      <c r="J462" s="4"/>
      <c r="K462" s="80" t="str">
        <f t="shared" si="89"/>
        <v>MI</v>
      </c>
      <c r="L462" s="4"/>
      <c r="M462" s="86" t="str">
        <f>VLOOKUP(G462,[1]Hoja1!$A:$O,15,0)</f>
        <v xml:space="preserve">TORRES LUIS                    </v>
      </c>
      <c r="N462" s="2" t="str">
        <f t="shared" si="82"/>
        <v>3°4°3HISMI</v>
      </c>
      <c r="O462" s="2"/>
      <c r="P462" s="2" t="str">
        <f>VLOOKUP(G462,[1]Hoja1!$A:$P,16,0)</f>
        <v xml:space="preserve"> </v>
      </c>
      <c r="Q462" s="2"/>
      <c r="S462">
        <f>VLOOKUP(G462,[1]Hoja1!$A:$O,5,0)</f>
        <v>1492087</v>
      </c>
      <c r="U462" s="45" t="s">
        <v>2751</v>
      </c>
      <c r="V462" s="46">
        <f t="shared" si="83"/>
        <v>1492087</v>
      </c>
      <c r="W462" s="47" t="s">
        <v>1519</v>
      </c>
      <c r="X462" s="46" t="str">
        <f t="shared" si="84"/>
        <v>1</v>
      </c>
      <c r="Y462" s="47" t="s">
        <v>1518</v>
      </c>
      <c r="Z462" s="46" t="str">
        <f t="shared" si="85"/>
        <v>T</v>
      </c>
      <c r="AA462" s="47" t="s">
        <v>2752</v>
      </c>
      <c r="AB462" s="46" t="str">
        <f t="shared" si="86"/>
        <v>MIERCOLES</v>
      </c>
      <c r="AC462" s="47" t="s">
        <v>2753</v>
      </c>
      <c r="AD462">
        <f t="shared" si="87"/>
        <v>0</v>
      </c>
      <c r="AE462" s="47" t="s">
        <v>2754</v>
      </c>
      <c r="AH462" t="str">
        <f t="shared" si="88"/>
        <v>INSERT INTO horario_curso_materia (horario_curso_materia.FK_CUR_mat,horario_curso_materia.FK_HOR,horario_curso_materia.DIA,horario_curso_materia.tipo_turno) VALUES (  (SELECT curso_materia.ID_CUR_MAT FROM curso_materia WHERE curso_materia.CUPOF='1492087' ) ,
    (SELECT horario.ID_HOR FROM horario WHERE horario.modulo='1 ' and horario.turno='T ' ),'MIERCOLES ' , '0 ' );</v>
      </c>
    </row>
    <row r="463" spans="1:34" ht="15" hidden="1" customHeight="1" x14ac:dyDescent="0.3">
      <c r="A463" s="1" t="str">
        <f t="shared" si="81"/>
        <v>3°4°</v>
      </c>
      <c r="B463" s="54" t="str">
        <f t="shared" si="90"/>
        <v>3°4°1VITARDE0</v>
      </c>
      <c r="C463" s="62">
        <f>VLOOKUP(G463,[1]Hoja1!$A:$O,3,0)</f>
        <v>0</v>
      </c>
      <c r="D463" s="2" t="str">
        <f t="shared" si="80"/>
        <v>1VIT</v>
      </c>
      <c r="E463" s="62" t="s">
        <v>57</v>
      </c>
      <c r="F463" s="62" t="s">
        <v>10</v>
      </c>
      <c r="G463" s="62" t="s">
        <v>385</v>
      </c>
      <c r="H463" s="8" t="str">
        <f>VLOOKUP(G463,[1]Hoja1!$A:$O,6,0)</f>
        <v>FISICO-QUIMICA</v>
      </c>
      <c r="I463" s="4"/>
      <c r="J463" s="4"/>
      <c r="K463" s="80" t="str">
        <f t="shared" si="89"/>
        <v>VI</v>
      </c>
      <c r="L463" s="4"/>
      <c r="M463" s="86" t="str">
        <f>VLOOKUP(G463,[1]Hoja1!$A:$O,15,0)</f>
        <v xml:space="preserve">PORQUERES, MATIAS </v>
      </c>
      <c r="N463" s="2" t="str">
        <f t="shared" si="82"/>
        <v>3°4°3FI/QUIVI</v>
      </c>
      <c r="O463" s="2"/>
      <c r="P463" s="2" t="str">
        <f>VLOOKUP(G463,[1]Hoja1!$A:$P,16,0)</f>
        <v xml:space="preserve"> </v>
      </c>
      <c r="Q463" s="2"/>
      <c r="S463">
        <f>VLOOKUP(G463,[1]Hoja1!$A:$O,5,0)</f>
        <v>1492069</v>
      </c>
      <c r="U463" s="45" t="s">
        <v>2751</v>
      </c>
      <c r="V463" s="46">
        <f t="shared" si="83"/>
        <v>1492069</v>
      </c>
      <c r="W463" s="47" t="s">
        <v>1519</v>
      </c>
      <c r="X463" s="46" t="str">
        <f t="shared" si="84"/>
        <v>1</v>
      </c>
      <c r="Y463" s="47" t="s">
        <v>1518</v>
      </c>
      <c r="Z463" s="46" t="str">
        <f t="shared" si="85"/>
        <v>T</v>
      </c>
      <c r="AA463" s="47" t="s">
        <v>2752</v>
      </c>
      <c r="AB463" s="46" t="str">
        <f t="shared" si="86"/>
        <v>VIERNES</v>
      </c>
      <c r="AC463" s="47" t="s">
        <v>2753</v>
      </c>
      <c r="AD463">
        <f t="shared" si="87"/>
        <v>0</v>
      </c>
      <c r="AE463" s="47" t="s">
        <v>2754</v>
      </c>
      <c r="AH463" t="str">
        <f t="shared" si="88"/>
        <v>INSERT INTO horario_curso_materia (horario_curso_materia.FK_CUR_mat,horario_curso_materia.FK_HOR,horario_curso_materia.DIA,horario_curso_materia.tipo_turno) VALUES (  (SELECT curso_materia.ID_CUR_MAT FROM curso_materia WHERE curso_materia.CUPOF='1492069' ) ,
    (SELECT horario.ID_HOR FROM horario WHERE horario.modulo='1 ' and horario.turno='T ' ),'VIERNES ' , '0 ' );</v>
      </c>
    </row>
    <row r="464" spans="1:34" ht="15" hidden="1" customHeight="1" x14ac:dyDescent="0.3">
      <c r="A464" s="1" t="str">
        <f t="shared" si="81"/>
        <v>3°4°</v>
      </c>
      <c r="B464" s="54" t="str">
        <f t="shared" si="90"/>
        <v>3°4°2JUMAÑANA342</v>
      </c>
      <c r="C464" s="62">
        <f>VLOOKUP(G464,[1]Hoja1!$A:$O,3,0)</f>
        <v>342</v>
      </c>
      <c r="D464" s="2" t="str">
        <f t="shared" si="80"/>
        <v>2JUMHERRERIA</v>
      </c>
      <c r="E464" s="62" t="s">
        <v>45</v>
      </c>
      <c r="F464" s="62" t="s">
        <v>27</v>
      </c>
      <c r="G464" s="62" t="s">
        <v>121</v>
      </c>
      <c r="H464" s="8" t="str">
        <f>VLOOKUP(G464,[1]Hoja1!$A:$O,6,0)</f>
        <v>PROCEDIMIENTOS TECNICOS</v>
      </c>
      <c r="I464" s="4" t="s">
        <v>21</v>
      </c>
      <c r="J464" s="4"/>
      <c r="K464" s="80" t="str">
        <f t="shared" si="89"/>
        <v>JU</v>
      </c>
      <c r="L464" s="4" t="s">
        <v>512</v>
      </c>
      <c r="M464" s="86" t="str">
        <f>VLOOKUP(G464,[1]Hoja1!$A:$O,15,0)</f>
        <v>LEYES RICARDO</v>
      </c>
      <c r="N464" s="2" t="str">
        <f t="shared" si="82"/>
        <v>3°4°3423TPT3JU</v>
      </c>
      <c r="O464" s="2"/>
      <c r="P464" s="2" t="str">
        <f>VLOOKUP(G464,[1]Hoja1!$A:$P,16,0)</f>
        <v xml:space="preserve"> </v>
      </c>
      <c r="Q464" s="2"/>
      <c r="S464">
        <f>VLOOKUP(G464,[1]Hoja1!$A:$O,5,0)</f>
        <v>2683088</v>
      </c>
      <c r="U464" s="45" t="s">
        <v>2751</v>
      </c>
      <c r="V464" s="46">
        <f t="shared" si="83"/>
        <v>2683088</v>
      </c>
      <c r="W464" s="47" t="s">
        <v>1519</v>
      </c>
      <c r="X464" s="46" t="str">
        <f t="shared" si="84"/>
        <v>2</v>
      </c>
      <c r="Y464" s="47" t="s">
        <v>1518</v>
      </c>
      <c r="Z464" s="46" t="str">
        <f t="shared" si="85"/>
        <v>M</v>
      </c>
      <c r="AA464" s="47" t="s">
        <v>2752</v>
      </c>
      <c r="AB464" s="46" t="str">
        <f t="shared" si="86"/>
        <v>JUEVES</v>
      </c>
      <c r="AC464" s="47" t="s">
        <v>2753</v>
      </c>
      <c r="AD464" t="str">
        <f t="shared" si="87"/>
        <v>CONTRATURNO</v>
      </c>
      <c r="AE464" s="47" t="s">
        <v>2754</v>
      </c>
      <c r="AH464" t="str">
        <f t="shared" si="88"/>
        <v>INSERT INTO horario_curso_materia (horario_curso_materia.FK_CUR_mat,horario_curso_materia.FK_HOR,horario_curso_materia.DIA,horario_curso_materia.tipo_turno) VALUES (  (SELECT curso_materia.ID_CUR_MAT FROM curso_materia WHERE curso_materia.CUPOF='2683088' ) ,
    (SELECT horario.ID_HOR FROM horario WHERE horario.modulo='2 ' and horario.turno='M ' ),'JUEVES ' , 'CONTRATURNO ' );</v>
      </c>
    </row>
    <row r="465" spans="1:34" ht="15" hidden="1" customHeight="1" x14ac:dyDescent="0.3">
      <c r="A465" s="1" t="str">
        <f t="shared" si="81"/>
        <v>3°4°</v>
      </c>
      <c r="B465" s="54" t="str">
        <f t="shared" si="90"/>
        <v>3°4°2JUTARDE0</v>
      </c>
      <c r="C465" s="62">
        <f>VLOOKUP(G465,[1]Hoja1!$A:$O,3,0)</f>
        <v>0</v>
      </c>
      <c r="D465" s="2" t="str">
        <f t="shared" si="80"/>
        <v>2JUT</v>
      </c>
      <c r="E465" s="62" t="s">
        <v>45</v>
      </c>
      <c r="F465" s="62" t="s">
        <v>10</v>
      </c>
      <c r="G465" s="62" t="s">
        <v>378</v>
      </c>
      <c r="H465" s="8" t="str">
        <f>VLOOKUP(G465,[1]Hoja1!$A:$O,6,0)</f>
        <v>MATEMATICA</v>
      </c>
      <c r="I465" s="4"/>
      <c r="J465" s="4"/>
      <c r="K465" s="80" t="str">
        <f t="shared" si="89"/>
        <v>JU</v>
      </c>
      <c r="L465" s="4"/>
      <c r="M465" s="86" t="str">
        <f>VLOOKUP(G465,[1]Hoja1!$A:$O,15,0)</f>
        <v xml:space="preserve">GARCIA CLAUDIA </v>
      </c>
      <c r="N465" s="2" t="str">
        <f t="shared" si="82"/>
        <v>3°4°3MATJU</v>
      </c>
      <c r="O465" s="2"/>
      <c r="P465" s="2" t="str">
        <f>VLOOKUP(G465,[1]Hoja1!$A:$P,16,0)</f>
        <v xml:space="preserve"> </v>
      </c>
      <c r="Q465" s="2"/>
      <c r="S465">
        <f>VLOOKUP(G465,[1]Hoja1!$A:$O,5,0)</f>
        <v>1492042</v>
      </c>
      <c r="U465" s="45" t="s">
        <v>2751</v>
      </c>
      <c r="V465" s="46">
        <f t="shared" si="83"/>
        <v>1492042</v>
      </c>
      <c r="W465" s="47" t="s">
        <v>1519</v>
      </c>
      <c r="X465" s="46" t="str">
        <f t="shared" si="84"/>
        <v>2</v>
      </c>
      <c r="Y465" s="47" t="s">
        <v>1518</v>
      </c>
      <c r="Z465" s="46" t="str">
        <f t="shared" si="85"/>
        <v>T</v>
      </c>
      <c r="AA465" s="47" t="s">
        <v>2752</v>
      </c>
      <c r="AB465" s="46" t="str">
        <f t="shared" si="86"/>
        <v>JUEVES</v>
      </c>
      <c r="AC465" s="47" t="s">
        <v>2753</v>
      </c>
      <c r="AD465">
        <f t="shared" si="87"/>
        <v>0</v>
      </c>
      <c r="AE465" s="47" t="s">
        <v>2754</v>
      </c>
      <c r="AH465" t="str">
        <f t="shared" si="88"/>
        <v>INSERT INTO horario_curso_materia (horario_curso_materia.FK_CUR_mat,horario_curso_materia.FK_HOR,horario_curso_materia.DIA,horario_curso_materia.tipo_turno) VALUES (  (SELECT curso_materia.ID_CUR_MAT FROM curso_materia WHERE curso_materia.CUPOF='1492042' ) ,
    (SELECT horario.ID_HOR FROM horario WHERE horario.modulo='2 ' and horario.turno='T ' ),'JUEVES ' , '0 ' );</v>
      </c>
    </row>
    <row r="466" spans="1:34" ht="15" hidden="1" customHeight="1" x14ac:dyDescent="0.3">
      <c r="A466" s="1" t="str">
        <f t="shared" si="81"/>
        <v>3°4°</v>
      </c>
      <c r="B466" s="54" t="str">
        <f t="shared" si="90"/>
        <v>3°4°2LUMAÑANA341</v>
      </c>
      <c r="C466" s="62">
        <f>VLOOKUP(G466,[1]Hoja1!$A:$O,3,0)</f>
        <v>341</v>
      </c>
      <c r="D466" s="2" t="str">
        <f t="shared" si="80"/>
        <v>2LUMaula 1</v>
      </c>
      <c r="E466" s="62" t="s">
        <v>12</v>
      </c>
      <c r="F466" s="62" t="s">
        <v>27</v>
      </c>
      <c r="G466" s="62" t="s">
        <v>120</v>
      </c>
      <c r="H466" s="8" t="str">
        <f>VLOOKUP(G466,[1]Hoja1!$A:$O,6,0)</f>
        <v>SISTEMAS TECNOLOGICOS</v>
      </c>
      <c r="I466" s="4" t="s">
        <v>1489</v>
      </c>
      <c r="J466" s="4"/>
      <c r="K466" s="80" t="str">
        <f t="shared" si="89"/>
        <v>LU</v>
      </c>
      <c r="L466" s="4" t="s">
        <v>512</v>
      </c>
      <c r="M466" s="86" t="str">
        <f>VLOOKUP(G466,[1]Hoja1!$A:$O,15,0)</f>
        <v>GOMEZ ANALIA</v>
      </c>
      <c r="N466" s="2" t="str">
        <f t="shared" si="82"/>
        <v>3°4°3413TST3LU</v>
      </c>
      <c r="O466" s="2"/>
      <c r="P466" s="2" t="str">
        <f>VLOOKUP(G466,[1]Hoja1!$A:$P,16,0)</f>
        <v xml:space="preserve"> </v>
      </c>
      <c r="Q466" s="2"/>
      <c r="S466">
        <f>VLOOKUP(G466,[1]Hoja1!$A:$O,5,0)</f>
        <v>2683084</v>
      </c>
      <c r="U466" s="45" t="s">
        <v>2751</v>
      </c>
      <c r="V466" s="46">
        <f t="shared" si="83"/>
        <v>2683084</v>
      </c>
      <c r="W466" s="47" t="s">
        <v>1519</v>
      </c>
      <c r="X466" s="46" t="str">
        <f t="shared" si="84"/>
        <v>2</v>
      </c>
      <c r="Y466" s="47" t="s">
        <v>1518</v>
      </c>
      <c r="Z466" s="46" t="str">
        <f t="shared" si="85"/>
        <v>M</v>
      </c>
      <c r="AA466" s="47" t="s">
        <v>2752</v>
      </c>
      <c r="AB466" s="46" t="str">
        <f t="shared" si="86"/>
        <v>LUNES</v>
      </c>
      <c r="AC466" s="47" t="s">
        <v>2753</v>
      </c>
      <c r="AD466" t="str">
        <f t="shared" si="87"/>
        <v>CONTRATURNO</v>
      </c>
      <c r="AE466" s="47" t="s">
        <v>2754</v>
      </c>
      <c r="AH466" t="str">
        <f t="shared" si="88"/>
        <v>INSERT INTO horario_curso_materia (horario_curso_materia.FK_CUR_mat,horario_curso_materia.FK_HOR,horario_curso_materia.DIA,horario_curso_materia.tipo_turno) VALUES (  (SELECT curso_materia.ID_CUR_MAT FROM curso_materia WHERE curso_materia.CUPOF='2683084' ) ,
    (SELECT horario.ID_HOR FROM horario WHERE horario.modulo='2 ' and horario.turno='M ' ),'LUNES ' , 'CONTRATURNO ' );</v>
      </c>
    </row>
    <row r="467" spans="1:34" ht="15" hidden="1" customHeight="1" x14ac:dyDescent="0.3">
      <c r="A467" s="1" t="str">
        <f t="shared" si="81"/>
        <v>3°4°</v>
      </c>
      <c r="B467" s="54" t="str">
        <f t="shared" si="90"/>
        <v>3°4°2juVESPERTINO342</v>
      </c>
      <c r="C467" s="62">
        <f>VLOOKUP(G467,[1]Hoja1!$A:$O,3,0)</f>
        <v>342</v>
      </c>
      <c r="D467" s="2" t="str">
        <f t="shared" si="80"/>
        <v>2juVAULA 2</v>
      </c>
      <c r="E467" s="62" t="s">
        <v>1349</v>
      </c>
      <c r="F467" s="62" t="s">
        <v>125</v>
      </c>
      <c r="G467" s="62" t="s">
        <v>126</v>
      </c>
      <c r="H467" s="8" t="str">
        <f>VLOOKUP(G467,[1]Hoja1!$A:$O,6,0)</f>
        <v>SISTEMAS TECNOLOGICOS</v>
      </c>
      <c r="I467" s="4" t="s">
        <v>1486</v>
      </c>
      <c r="J467" s="4"/>
      <c r="K467" s="80" t="str">
        <f t="shared" si="89"/>
        <v>ju</v>
      </c>
      <c r="L467" s="4" t="s">
        <v>512</v>
      </c>
      <c r="M467" s="87" t="str">
        <f>VLOOKUP(G467,[1]Hoja1!$A:$O,15,0)</f>
        <v xml:space="preserve">ROTOLO, LUCIANO </v>
      </c>
      <c r="N467" s="2" t="str">
        <f t="shared" si="82"/>
        <v>3°4°3423TST3ju</v>
      </c>
      <c r="O467" s="2"/>
      <c r="P467" s="2" t="str">
        <f>VLOOKUP(G467,[1]Hoja1!$A:$P,16,0)</f>
        <v xml:space="preserve"> </v>
      </c>
      <c r="Q467" s="2"/>
      <c r="S467">
        <f>VLOOKUP(G467,[1]Hoja1!$A:$O,5,0)</f>
        <v>2683087</v>
      </c>
      <c r="U467" s="45" t="s">
        <v>2751</v>
      </c>
      <c r="V467" s="46">
        <f t="shared" si="83"/>
        <v>2683087</v>
      </c>
      <c r="W467" s="47" t="s">
        <v>1519</v>
      </c>
      <c r="X467" s="46" t="str">
        <f t="shared" si="84"/>
        <v>2</v>
      </c>
      <c r="Y467" s="47" t="s">
        <v>1518</v>
      </c>
      <c r="Z467" s="46" t="str">
        <f t="shared" si="85"/>
        <v>V</v>
      </c>
      <c r="AA467" s="47" t="s">
        <v>2752</v>
      </c>
      <c r="AB467" s="46" t="str">
        <f t="shared" si="86"/>
        <v>JUEVES</v>
      </c>
      <c r="AC467" s="47" t="s">
        <v>2753</v>
      </c>
      <c r="AD467" t="str">
        <f t="shared" si="87"/>
        <v>CONTRATURNO</v>
      </c>
      <c r="AE467" s="47" t="s">
        <v>2754</v>
      </c>
      <c r="AH467" t="str">
        <f t="shared" si="88"/>
        <v>INSERT INTO horario_curso_materia (horario_curso_materia.FK_CUR_mat,horario_curso_materia.FK_HOR,horario_curso_materia.DIA,horario_curso_materia.tipo_turno) VALUES (  (SELECT curso_materia.ID_CUR_MAT FROM curso_materia WHERE curso_materia.CUPOF='2683087' ) ,
    (SELECT horario.ID_HOR FROM horario WHERE horario.modulo='2 ' and horario.turno='V ' ),'JUEVES ' , 'CONTRATURNO ' );</v>
      </c>
    </row>
    <row r="468" spans="1:34" ht="15" hidden="1" customHeight="1" x14ac:dyDescent="0.3">
      <c r="A468" s="1" t="str">
        <f t="shared" si="81"/>
        <v>3°4°</v>
      </c>
      <c r="B468" s="54" t="str">
        <f t="shared" si="90"/>
        <v>3°4°2luTARDE0</v>
      </c>
      <c r="C468" s="62">
        <f>VLOOKUP(G468,[1]Hoja1!$A:$O,3,0)</f>
        <v>0</v>
      </c>
      <c r="D468" s="2" t="str">
        <f t="shared" si="80"/>
        <v>2luT</v>
      </c>
      <c r="E468" s="62" t="s">
        <v>1445</v>
      </c>
      <c r="F468" s="62" t="s">
        <v>10</v>
      </c>
      <c r="G468" s="62" t="s">
        <v>381</v>
      </c>
      <c r="H468" s="8" t="str">
        <f>VLOOKUP(G468,[1]Hoja1!$A:$O,6,0)</f>
        <v>BIOLOGIA</v>
      </c>
      <c r="I468" s="4"/>
      <c r="J468" s="4"/>
      <c r="K468" s="80" t="str">
        <f t="shared" si="89"/>
        <v>lu</v>
      </c>
      <c r="L468" s="4"/>
      <c r="M468" s="86" t="str">
        <f>VLOOKUP(G468,[1]Hoja1!$A:$O,15,0)</f>
        <v>OLIVIERI, ROMINA DE LOS MILAGR</v>
      </c>
      <c r="N468" s="2" t="str">
        <f t="shared" si="82"/>
        <v>3°4°3BIOlu</v>
      </c>
      <c r="O468" s="2" t="s">
        <v>1453</v>
      </c>
      <c r="P468" s="2" t="str">
        <f>VLOOKUP(G468,[1]Hoja1!$A:$P,16,0)</f>
        <v xml:space="preserve"> </v>
      </c>
      <c r="Q468" s="2"/>
      <c r="S468">
        <f>VLOOKUP(G468,[1]Hoja1!$A:$O,5,0)</f>
        <v>1492277</v>
      </c>
      <c r="U468" s="45" t="s">
        <v>2751</v>
      </c>
      <c r="V468" s="46">
        <f t="shared" si="83"/>
        <v>1492277</v>
      </c>
      <c r="W468" s="47" t="s">
        <v>1519</v>
      </c>
      <c r="X468" s="46" t="str">
        <f t="shared" si="84"/>
        <v>2</v>
      </c>
      <c r="Y468" s="47" t="s">
        <v>1518</v>
      </c>
      <c r="Z468" s="46" t="str">
        <f t="shared" si="85"/>
        <v>T</v>
      </c>
      <c r="AA468" s="47" t="s">
        <v>2752</v>
      </c>
      <c r="AB468" s="46" t="str">
        <f t="shared" si="86"/>
        <v>LUNES</v>
      </c>
      <c r="AC468" s="47" t="s">
        <v>2753</v>
      </c>
      <c r="AD468">
        <f t="shared" si="87"/>
        <v>0</v>
      </c>
      <c r="AE468" s="47" t="s">
        <v>2754</v>
      </c>
      <c r="AH468" t="str">
        <f t="shared" si="88"/>
        <v>INSERT INTO horario_curso_materia (horario_curso_materia.FK_CUR_mat,horario_curso_materia.FK_HOR,horario_curso_materia.DIA,horario_curso_materia.tipo_turno) VALUES (  (SELECT curso_materia.ID_CUR_MAT FROM curso_materia WHERE curso_materia.CUPOF='1492277' ) ,
    (SELECT horario.ID_HOR FROM horario WHERE horario.modulo='2 ' and horario.turno='T ' ),'LUNES ' , '0 ' );</v>
      </c>
    </row>
    <row r="469" spans="1:34" ht="15" hidden="1" customHeight="1" x14ac:dyDescent="0.3">
      <c r="A469" s="1" t="str">
        <f t="shared" si="81"/>
        <v>3°4°</v>
      </c>
      <c r="B469" s="54" t="str">
        <f t="shared" si="90"/>
        <v>3°4°2MAMAÑANA341</v>
      </c>
      <c r="C469" s="62">
        <f>VLOOKUP(G469,[1]Hoja1!$A:$O,3,0)</f>
        <v>341</v>
      </c>
      <c r="D469" s="2" t="str">
        <f t="shared" si="80"/>
        <v>2MAMaula 2</v>
      </c>
      <c r="E469" s="62" t="s">
        <v>19</v>
      </c>
      <c r="F469" s="62" t="s">
        <v>27</v>
      </c>
      <c r="G469" s="62" t="s">
        <v>122</v>
      </c>
      <c r="H469" s="8" t="str">
        <f>VLOOKUP(G469,[1]Hoja1!$A:$O,6,0)</f>
        <v>LENGUAJES TECNOLOGICOS</v>
      </c>
      <c r="I469" s="4" t="s">
        <v>1438</v>
      </c>
      <c r="J469" s="4"/>
      <c r="K469" s="80" t="str">
        <f t="shared" si="89"/>
        <v>MA</v>
      </c>
      <c r="L469" s="4" t="s">
        <v>512</v>
      </c>
      <c r="M469" s="86" t="str">
        <f>VLOOKUP(G469,[1]Hoja1!$A:$O,15,0)</f>
        <v>PROCHOR JUAN PABLO</v>
      </c>
      <c r="N469" s="2" t="str">
        <f t="shared" si="82"/>
        <v>3°4°3413TLT3MA</v>
      </c>
      <c r="O469" s="2"/>
      <c r="P469" s="2" t="str">
        <f>VLOOKUP(G469,[1]Hoja1!$A:$P,16,0)</f>
        <v xml:space="preserve"> </v>
      </c>
      <c r="Q469" s="2"/>
      <c r="S469">
        <f>VLOOKUP(G469,[1]Hoja1!$A:$O,5,0)</f>
        <v>2683083</v>
      </c>
      <c r="U469" s="45" t="s">
        <v>2751</v>
      </c>
      <c r="V469" s="46">
        <f t="shared" si="83"/>
        <v>2683083</v>
      </c>
      <c r="W469" s="47" t="s">
        <v>1519</v>
      </c>
      <c r="X469" s="46" t="str">
        <f t="shared" si="84"/>
        <v>2</v>
      </c>
      <c r="Y469" s="47" t="s">
        <v>1518</v>
      </c>
      <c r="Z469" s="46" t="str">
        <f t="shared" si="85"/>
        <v>M</v>
      </c>
      <c r="AA469" s="47" t="s">
        <v>2752</v>
      </c>
      <c r="AB469" s="46" t="str">
        <f t="shared" si="86"/>
        <v>MARTES</v>
      </c>
      <c r="AC469" s="47" t="s">
        <v>2753</v>
      </c>
      <c r="AD469" t="str">
        <f t="shared" si="87"/>
        <v>CONTRATURNO</v>
      </c>
      <c r="AE469" s="47" t="s">
        <v>2754</v>
      </c>
      <c r="AH469" t="str">
        <f t="shared" si="88"/>
        <v>INSERT INTO horario_curso_materia (horario_curso_materia.FK_CUR_mat,horario_curso_materia.FK_HOR,horario_curso_materia.DIA,horario_curso_materia.tipo_turno) VALUES (  (SELECT curso_materia.ID_CUR_MAT FROM curso_materia WHERE curso_materia.CUPOF='2683083' ) ,
    (SELECT horario.ID_HOR FROM horario WHERE horario.modulo='2 ' and horario.turno='M ' ),'MARTES ' , 'CONTRATURNO ' );</v>
      </c>
    </row>
    <row r="470" spans="1:34" ht="15" hidden="1" customHeight="1" x14ac:dyDescent="0.3">
      <c r="A470" s="1" t="str">
        <f t="shared" si="81"/>
        <v>3°4°</v>
      </c>
      <c r="B470" s="54" t="str">
        <f t="shared" si="90"/>
        <v>3°4°2MATARDE0</v>
      </c>
      <c r="C470" s="62">
        <f>VLOOKUP(G470,[1]Hoja1!$A:$O,3,0)</f>
        <v>0</v>
      </c>
      <c r="D470" s="2" t="str">
        <f t="shared" si="80"/>
        <v>2MAT</v>
      </c>
      <c r="E470" s="62" t="s">
        <v>19</v>
      </c>
      <c r="F470" s="62" t="s">
        <v>10</v>
      </c>
      <c r="G470" s="62" t="s">
        <v>379</v>
      </c>
      <c r="H470" s="8" t="str">
        <f>VLOOKUP(G470,[1]Hoja1!$A:$O,6,0)</f>
        <v>PRACTICA DEL LENGUAJE</v>
      </c>
      <c r="I470" s="4"/>
      <c r="J470" s="4"/>
      <c r="K470" s="80" t="str">
        <f t="shared" si="89"/>
        <v>MA</v>
      </c>
      <c r="L470" s="4"/>
      <c r="M470" s="86" t="str">
        <f>VLOOKUP(G470,[1]Hoja1!$A:$O,15,0)</f>
        <v xml:space="preserve">SANTILLAN ESTELA </v>
      </c>
      <c r="N470" s="2" t="str">
        <f t="shared" si="82"/>
        <v>3°4°3PLGMA</v>
      </c>
      <c r="O470" s="2"/>
      <c r="P470" s="2" t="str">
        <f>VLOOKUP(G470,[1]Hoja1!$A:$P,16,0)</f>
        <v xml:space="preserve"> </v>
      </c>
      <c r="Q470" s="2"/>
      <c r="S470">
        <f>VLOOKUP(G470,[1]Hoja1!$A:$O,5,0)</f>
        <v>1492035</v>
      </c>
      <c r="U470" s="45" t="s">
        <v>2751</v>
      </c>
      <c r="V470" s="46">
        <f t="shared" si="83"/>
        <v>1492035</v>
      </c>
      <c r="W470" s="47" t="s">
        <v>1519</v>
      </c>
      <c r="X470" s="46" t="str">
        <f t="shared" si="84"/>
        <v>2</v>
      </c>
      <c r="Y470" s="47" t="s">
        <v>1518</v>
      </c>
      <c r="Z470" s="46" t="str">
        <f t="shared" si="85"/>
        <v>T</v>
      </c>
      <c r="AA470" s="47" t="s">
        <v>2752</v>
      </c>
      <c r="AB470" s="46" t="str">
        <f t="shared" si="86"/>
        <v>MARTES</v>
      </c>
      <c r="AC470" s="47" t="s">
        <v>2753</v>
      </c>
      <c r="AD470">
        <f t="shared" si="87"/>
        <v>0</v>
      </c>
      <c r="AE470" s="47" t="s">
        <v>2754</v>
      </c>
      <c r="AH470" t="str">
        <f t="shared" si="88"/>
        <v>INSERT INTO horario_curso_materia (horario_curso_materia.FK_CUR_mat,horario_curso_materia.FK_HOR,horario_curso_materia.DIA,horario_curso_materia.tipo_turno) VALUES (  (SELECT curso_materia.ID_CUR_MAT FROM curso_materia WHERE curso_materia.CUPOF='1492035' ) ,
    (SELECT horario.ID_HOR FROM horario WHERE horario.modulo='2 ' and horario.turno='T ' ),'MARTES ' , '0 ' );</v>
      </c>
    </row>
    <row r="471" spans="1:34" ht="15" hidden="1" customHeight="1" x14ac:dyDescent="0.3">
      <c r="A471" s="1" t="str">
        <f t="shared" si="81"/>
        <v>3°4°</v>
      </c>
      <c r="B471" s="54" t="str">
        <f t="shared" si="90"/>
        <v>3°4°2MIMAÑANA341</v>
      </c>
      <c r="C471" s="62">
        <f>VLOOKUP(G471,[1]Hoja1!$A:$O,3,0)</f>
        <v>341</v>
      </c>
      <c r="D471" s="2" t="str">
        <f t="shared" si="80"/>
        <v>2MIMHERRERIA</v>
      </c>
      <c r="E471" s="62" t="s">
        <v>26</v>
      </c>
      <c r="F471" s="62" t="s">
        <v>27</v>
      </c>
      <c r="G471" s="62" t="s">
        <v>124</v>
      </c>
      <c r="H471" s="8" t="str">
        <f>VLOOKUP(G471,[1]Hoja1!$A:$O,6,0)</f>
        <v>PROCEDIMIENTOS TECNICOS</v>
      </c>
      <c r="I471" s="4" t="s">
        <v>21</v>
      </c>
      <c r="J471" s="4"/>
      <c r="K471" s="80" t="str">
        <f t="shared" si="89"/>
        <v>MI</v>
      </c>
      <c r="L471" s="4" t="s">
        <v>512</v>
      </c>
      <c r="M471" s="86" t="str">
        <f>VLOOKUP(G471,[1]Hoja1!$A:$O,15,0)</f>
        <v>CRUZ DAVID</v>
      </c>
      <c r="N471" s="2" t="str">
        <f t="shared" si="82"/>
        <v>3°4°3413TPT3MI</v>
      </c>
      <c r="O471" s="2"/>
      <c r="P471" s="2" t="str">
        <f>VLOOKUP(G471,[1]Hoja1!$A:$P,16,0)</f>
        <v xml:space="preserve"> </v>
      </c>
      <c r="Q471" s="2"/>
      <c r="S471">
        <f>VLOOKUP(G471,[1]Hoja1!$A:$O,5,0)</f>
        <v>2683085</v>
      </c>
      <c r="U471" s="45" t="s">
        <v>2751</v>
      </c>
      <c r="V471" s="46">
        <f t="shared" si="83"/>
        <v>2683085</v>
      </c>
      <c r="W471" s="47" t="s">
        <v>1519</v>
      </c>
      <c r="X471" s="46" t="str">
        <f t="shared" si="84"/>
        <v>2</v>
      </c>
      <c r="Y471" s="47" t="s">
        <v>1518</v>
      </c>
      <c r="Z471" s="46" t="str">
        <f t="shared" si="85"/>
        <v>M</v>
      </c>
      <c r="AA471" s="47" t="s">
        <v>2752</v>
      </c>
      <c r="AB471" s="46" t="str">
        <f t="shared" si="86"/>
        <v>MIERCOLES</v>
      </c>
      <c r="AC471" s="47" t="s">
        <v>2753</v>
      </c>
      <c r="AD471" t="str">
        <f t="shared" si="87"/>
        <v>CONTRATURNO</v>
      </c>
      <c r="AE471" s="47" t="s">
        <v>2754</v>
      </c>
      <c r="AH471" t="str">
        <f t="shared" si="88"/>
        <v>INSERT INTO horario_curso_materia (horario_curso_materia.FK_CUR_mat,horario_curso_materia.FK_HOR,horario_curso_materia.DIA,horario_curso_materia.tipo_turno) VALUES (  (SELECT curso_materia.ID_CUR_MAT FROM curso_materia WHERE curso_materia.CUPOF='2683085' ) ,
    (SELECT horario.ID_HOR FROM horario WHERE horario.modulo='2 ' and horario.turno='M ' ),'MIERCOLES ' , 'CONTRATURNO ' );</v>
      </c>
    </row>
    <row r="472" spans="1:34" ht="15" hidden="1" customHeight="1" x14ac:dyDescent="0.3">
      <c r="A472" s="1" t="str">
        <f t="shared" si="81"/>
        <v>3°4°</v>
      </c>
      <c r="B472" s="54" t="str">
        <f t="shared" si="90"/>
        <v>3°4°2MITARDE0</v>
      </c>
      <c r="C472" s="62">
        <f>VLOOKUP(G472,[1]Hoja1!$A:$O,3,0)</f>
        <v>0</v>
      </c>
      <c r="D472" s="2" t="str">
        <f t="shared" si="80"/>
        <v>2MIT</v>
      </c>
      <c r="E472" s="62" t="s">
        <v>26</v>
      </c>
      <c r="F472" s="62" t="s">
        <v>10</v>
      </c>
      <c r="G472" s="62" t="s">
        <v>382</v>
      </c>
      <c r="H472" s="8" t="str">
        <f>VLOOKUP(G472,[1]Hoja1!$A:$O,6,0)</f>
        <v>HISTORIA</v>
      </c>
      <c r="I472" s="4"/>
      <c r="J472" s="4"/>
      <c r="K472" s="80" t="str">
        <f t="shared" si="89"/>
        <v>MI</v>
      </c>
      <c r="L472" s="4"/>
      <c r="M472" s="86" t="str">
        <f>VLOOKUP(G472,[1]Hoja1!$A:$O,15,0)</f>
        <v xml:space="preserve">TORRES LUIS                    </v>
      </c>
      <c r="N472" s="2" t="str">
        <f t="shared" si="82"/>
        <v>3°4°3HISMI</v>
      </c>
      <c r="O472" s="2"/>
      <c r="P472" s="2" t="str">
        <f>VLOOKUP(G472,[1]Hoja1!$A:$P,16,0)</f>
        <v xml:space="preserve"> </v>
      </c>
      <c r="Q472" s="2"/>
      <c r="S472">
        <f>VLOOKUP(G472,[1]Hoja1!$A:$O,5,0)</f>
        <v>1492087</v>
      </c>
      <c r="U472" s="45" t="s">
        <v>2751</v>
      </c>
      <c r="V472" s="46">
        <f t="shared" si="83"/>
        <v>1492087</v>
      </c>
      <c r="W472" s="47" t="s">
        <v>1519</v>
      </c>
      <c r="X472" s="46" t="str">
        <f t="shared" si="84"/>
        <v>2</v>
      </c>
      <c r="Y472" s="47" t="s">
        <v>1518</v>
      </c>
      <c r="Z472" s="46" t="str">
        <f t="shared" si="85"/>
        <v>T</v>
      </c>
      <c r="AA472" s="47" t="s">
        <v>2752</v>
      </c>
      <c r="AB472" s="46" t="str">
        <f t="shared" si="86"/>
        <v>MIERCOLES</v>
      </c>
      <c r="AC472" s="47" t="s">
        <v>2753</v>
      </c>
      <c r="AD472">
        <f t="shared" si="87"/>
        <v>0</v>
      </c>
      <c r="AE472" s="47" t="s">
        <v>2754</v>
      </c>
      <c r="AH472" t="str">
        <f t="shared" si="88"/>
        <v>INSERT INTO horario_curso_materia (horario_curso_materia.FK_CUR_mat,horario_curso_materia.FK_HOR,horario_curso_materia.DIA,horario_curso_materia.tipo_turno) VALUES (  (SELECT curso_materia.ID_CUR_MAT FROM curso_materia WHERE curso_materia.CUPOF='1492087' ) ,
    (SELECT horario.ID_HOR FROM horario WHERE horario.modulo='2 ' and horario.turno='T ' ),'MIERCOLES ' , '0 ' );</v>
      </c>
    </row>
    <row r="473" spans="1:34" ht="15" hidden="1" customHeight="1" x14ac:dyDescent="0.3">
      <c r="A473" s="1" t="str">
        <f t="shared" si="81"/>
        <v>3°4°</v>
      </c>
      <c r="B473" s="54" t="str">
        <f t="shared" si="90"/>
        <v>3°4°2VITARDE0</v>
      </c>
      <c r="C473" s="62">
        <f>VLOOKUP(G473,[1]Hoja1!$A:$O,3,0)</f>
        <v>0</v>
      </c>
      <c r="D473" s="2" t="str">
        <f t="shared" si="80"/>
        <v>2VIT</v>
      </c>
      <c r="E473" s="62" t="s">
        <v>59</v>
      </c>
      <c r="F473" s="62" t="s">
        <v>10</v>
      </c>
      <c r="G473" s="62" t="s">
        <v>385</v>
      </c>
      <c r="H473" s="8" t="str">
        <f>VLOOKUP(G473,[1]Hoja1!$A:$O,6,0)</f>
        <v>FISICO-QUIMICA</v>
      </c>
      <c r="I473" s="4"/>
      <c r="J473" s="4"/>
      <c r="K473" s="80" t="str">
        <f t="shared" si="89"/>
        <v>VI</v>
      </c>
      <c r="L473" s="4"/>
      <c r="M473" s="86" t="str">
        <f>VLOOKUP(G473,[1]Hoja1!$A:$O,15,0)</f>
        <v xml:space="preserve">PORQUERES, MATIAS </v>
      </c>
      <c r="N473" s="2" t="str">
        <f t="shared" si="82"/>
        <v>3°4°3FI/QUIVI</v>
      </c>
      <c r="O473" s="2"/>
      <c r="P473" s="2" t="str">
        <f>VLOOKUP(G473,[1]Hoja1!$A:$P,16,0)</f>
        <v xml:space="preserve"> </v>
      </c>
      <c r="Q473" s="2"/>
      <c r="S473">
        <f>VLOOKUP(G473,[1]Hoja1!$A:$O,5,0)</f>
        <v>1492069</v>
      </c>
      <c r="U473" s="45" t="s">
        <v>2751</v>
      </c>
      <c r="V473" s="46">
        <f t="shared" si="83"/>
        <v>1492069</v>
      </c>
      <c r="W473" s="47" t="s">
        <v>1519</v>
      </c>
      <c r="X473" s="46" t="str">
        <f t="shared" si="84"/>
        <v>2</v>
      </c>
      <c r="Y473" s="47" t="s">
        <v>1518</v>
      </c>
      <c r="Z473" s="46" t="str">
        <f t="shared" si="85"/>
        <v>T</v>
      </c>
      <c r="AA473" s="47" t="s">
        <v>2752</v>
      </c>
      <c r="AB473" s="46" t="str">
        <f t="shared" si="86"/>
        <v>VIERNES</v>
      </c>
      <c r="AC473" s="47" t="s">
        <v>2753</v>
      </c>
      <c r="AD473">
        <f t="shared" si="87"/>
        <v>0</v>
      </c>
      <c r="AE473" s="47" t="s">
        <v>2754</v>
      </c>
      <c r="AH473" t="str">
        <f t="shared" si="88"/>
        <v>INSERT INTO horario_curso_materia (horario_curso_materia.FK_CUR_mat,horario_curso_materia.FK_HOR,horario_curso_materia.DIA,horario_curso_materia.tipo_turno) VALUES (  (SELECT curso_materia.ID_CUR_MAT FROM curso_materia WHERE curso_materia.CUPOF='1492069' ) ,
    (SELECT horario.ID_HOR FROM horario WHERE horario.modulo='2 ' and horario.turno='T ' ),'VIERNES ' , '0 ' );</v>
      </c>
    </row>
    <row r="474" spans="1:34" ht="15" hidden="1" customHeight="1" x14ac:dyDescent="0.3">
      <c r="A474" s="1" t="str">
        <f t="shared" si="81"/>
        <v>3°4°</v>
      </c>
      <c r="B474" s="54" t="str">
        <f t="shared" si="90"/>
        <v>3°4°3JUTARDE0</v>
      </c>
      <c r="C474" s="62">
        <f>VLOOKUP(G474,[1]Hoja1!$A:$O,3,0)</f>
        <v>0</v>
      </c>
      <c r="D474" s="2" t="str">
        <f t="shared" si="80"/>
        <v>3JUT</v>
      </c>
      <c r="E474" s="62" t="s">
        <v>46</v>
      </c>
      <c r="F474" s="62" t="s">
        <v>10</v>
      </c>
      <c r="G474" s="62" t="s">
        <v>384</v>
      </c>
      <c r="H474" s="8" t="str">
        <f>VLOOKUP(G474,[1]Hoja1!$A:$O,6,0)</f>
        <v>INGLÉS</v>
      </c>
      <c r="I474" s="4"/>
      <c r="J474" s="4"/>
      <c r="K474" s="80" t="str">
        <f t="shared" si="89"/>
        <v>JU</v>
      </c>
      <c r="L474" s="4"/>
      <c r="M474" s="86" t="str">
        <f>VLOOKUP(G474,[1]Hoja1!$A:$O,15,0)</f>
        <v xml:space="preserve">ARCE KARINA </v>
      </c>
      <c r="N474" s="2" t="str">
        <f t="shared" si="82"/>
        <v>3°4°3INGJU</v>
      </c>
      <c r="O474" s="2"/>
      <c r="P474" s="2" t="str">
        <f>VLOOKUP(G474,[1]Hoja1!$A:$P,16,0)</f>
        <v xml:space="preserve"> </v>
      </c>
      <c r="Q474" s="2"/>
      <c r="S474">
        <f>VLOOKUP(G474,[1]Hoja1!$A:$O,5,0)</f>
        <v>1492005</v>
      </c>
      <c r="U474" s="45" t="s">
        <v>2751</v>
      </c>
      <c r="V474" s="46">
        <f t="shared" si="83"/>
        <v>1492005</v>
      </c>
      <c r="W474" s="47" t="s">
        <v>1519</v>
      </c>
      <c r="X474" s="46" t="str">
        <f t="shared" si="84"/>
        <v>3</v>
      </c>
      <c r="Y474" s="47" t="s">
        <v>1518</v>
      </c>
      <c r="Z474" s="46" t="str">
        <f t="shared" si="85"/>
        <v>T</v>
      </c>
      <c r="AA474" s="47" t="s">
        <v>2752</v>
      </c>
      <c r="AB474" s="46" t="str">
        <f t="shared" si="86"/>
        <v>JUEVES</v>
      </c>
      <c r="AC474" s="47" t="s">
        <v>2753</v>
      </c>
      <c r="AD474">
        <f t="shared" si="87"/>
        <v>0</v>
      </c>
      <c r="AE474" s="47" t="s">
        <v>2754</v>
      </c>
      <c r="AH474" t="str">
        <f t="shared" si="88"/>
        <v>INSERT INTO horario_curso_materia (horario_curso_materia.FK_CUR_mat,horario_curso_materia.FK_HOR,horario_curso_materia.DIA,horario_curso_materia.tipo_turno) VALUES (  (SELECT curso_materia.ID_CUR_MAT FROM curso_materia WHERE curso_materia.CUPOF='1492005' ) ,
    (SELECT horario.ID_HOR FROM horario WHERE horario.modulo='3 ' and horario.turno='T ' ),'JUEVES ' , '0 ' );</v>
      </c>
    </row>
    <row r="475" spans="1:34" ht="15" hidden="1" customHeight="1" x14ac:dyDescent="0.3">
      <c r="A475" s="1" t="str">
        <f t="shared" si="81"/>
        <v>3°4°</v>
      </c>
      <c r="B475" s="54" t="str">
        <f t="shared" si="90"/>
        <v>3°4°3JUMAÑANA341</v>
      </c>
      <c r="C475" s="62">
        <f>VLOOKUP(G475,[1]Hoja1!$A:$O,3,0)</f>
        <v>341</v>
      </c>
      <c r="D475" s="2" t="str">
        <f t="shared" si="80"/>
        <v>3JUMaula 1</v>
      </c>
      <c r="E475" s="62" t="s">
        <v>46</v>
      </c>
      <c r="F475" s="62" t="s">
        <v>27</v>
      </c>
      <c r="G475" s="62" t="s">
        <v>120</v>
      </c>
      <c r="H475" s="8" t="str">
        <f>VLOOKUP(G475,[1]Hoja1!$A:$O,6,0)</f>
        <v>SISTEMAS TECNOLOGICOS</v>
      </c>
      <c r="I475" s="4" t="s">
        <v>1489</v>
      </c>
      <c r="J475" s="4"/>
      <c r="K475" s="80" t="str">
        <f t="shared" si="89"/>
        <v>JU</v>
      </c>
      <c r="L475" s="4" t="s">
        <v>512</v>
      </c>
      <c r="M475" s="86" t="str">
        <f>VLOOKUP(G475,[1]Hoja1!$A:$O,15,0)</f>
        <v>GOMEZ ANALIA</v>
      </c>
      <c r="N475" s="2" t="str">
        <f t="shared" si="82"/>
        <v>3°4°3413TST3JU</v>
      </c>
      <c r="O475" s="2"/>
      <c r="P475" s="2" t="str">
        <f>VLOOKUP(G475,[1]Hoja1!$A:$P,16,0)</f>
        <v xml:space="preserve"> </v>
      </c>
      <c r="Q475" s="2"/>
      <c r="S475">
        <f>VLOOKUP(G475,[1]Hoja1!$A:$O,5,0)</f>
        <v>2683084</v>
      </c>
      <c r="U475" s="45" t="s">
        <v>2751</v>
      </c>
      <c r="V475" s="46">
        <f t="shared" si="83"/>
        <v>2683084</v>
      </c>
      <c r="W475" s="47" t="s">
        <v>1519</v>
      </c>
      <c r="X475" s="46" t="str">
        <f t="shared" si="84"/>
        <v>3</v>
      </c>
      <c r="Y475" s="47" t="s">
        <v>1518</v>
      </c>
      <c r="Z475" s="46" t="str">
        <f t="shared" si="85"/>
        <v>M</v>
      </c>
      <c r="AA475" s="47" t="s">
        <v>2752</v>
      </c>
      <c r="AB475" s="46" t="str">
        <f t="shared" si="86"/>
        <v>JUEVES</v>
      </c>
      <c r="AC475" s="47" t="s">
        <v>2753</v>
      </c>
      <c r="AD475" t="str">
        <f t="shared" si="87"/>
        <v>CONTRATURNO</v>
      </c>
      <c r="AE475" s="47" t="s">
        <v>2754</v>
      </c>
      <c r="AH475" t="str">
        <f t="shared" si="88"/>
        <v>INSERT INTO horario_curso_materia (horario_curso_materia.FK_CUR_mat,horario_curso_materia.FK_HOR,horario_curso_materia.DIA,horario_curso_materia.tipo_turno) VALUES (  (SELECT curso_materia.ID_CUR_MAT FROM curso_materia WHERE curso_materia.CUPOF='2683084' ) ,
    (SELECT horario.ID_HOR FROM horario WHERE horario.modulo='3 ' and horario.turno='M ' ),'JUEVES ' , 'CONTRATURNO ' );</v>
      </c>
    </row>
    <row r="476" spans="1:34" ht="15" hidden="1" customHeight="1" x14ac:dyDescent="0.3">
      <c r="A476" s="1" t="str">
        <f t="shared" si="81"/>
        <v>3°4°</v>
      </c>
      <c r="B476" s="54" t="str">
        <f t="shared" si="90"/>
        <v>3°4°3juVESPERTINO342</v>
      </c>
      <c r="C476" s="62">
        <f>VLOOKUP(G476,[1]Hoja1!$A:$O,3,0)</f>
        <v>342</v>
      </c>
      <c r="D476" s="2" t="str">
        <f t="shared" si="80"/>
        <v>3juVAULA 2</v>
      </c>
      <c r="E476" s="62" t="s">
        <v>1350</v>
      </c>
      <c r="F476" s="62" t="s">
        <v>125</v>
      </c>
      <c r="G476" s="62" t="s">
        <v>126</v>
      </c>
      <c r="H476" s="8" t="str">
        <f>VLOOKUP(G476,[1]Hoja1!$A:$O,6,0)</f>
        <v>SISTEMAS TECNOLOGICOS</v>
      </c>
      <c r="I476" s="4" t="s">
        <v>1486</v>
      </c>
      <c r="J476" s="4"/>
      <c r="K476" s="80" t="str">
        <f t="shared" si="89"/>
        <v>ju</v>
      </c>
      <c r="L476" s="4" t="s">
        <v>512</v>
      </c>
      <c r="M476" s="87" t="str">
        <f>VLOOKUP(G476,[1]Hoja1!$A:$O,15,0)</f>
        <v xml:space="preserve">ROTOLO, LUCIANO </v>
      </c>
      <c r="N476" s="2" t="str">
        <f t="shared" si="82"/>
        <v>3°4°3423TST3ju</v>
      </c>
      <c r="O476" s="2"/>
      <c r="P476" s="2" t="str">
        <f>VLOOKUP(G476,[1]Hoja1!$A:$P,16,0)</f>
        <v xml:space="preserve"> </v>
      </c>
      <c r="Q476" s="2"/>
      <c r="S476">
        <f>VLOOKUP(G476,[1]Hoja1!$A:$O,5,0)</f>
        <v>2683087</v>
      </c>
      <c r="U476" s="45" t="s">
        <v>2751</v>
      </c>
      <c r="V476" s="46">
        <f t="shared" si="83"/>
        <v>2683087</v>
      </c>
      <c r="W476" s="47" t="s">
        <v>1519</v>
      </c>
      <c r="X476" s="46" t="str">
        <f t="shared" si="84"/>
        <v>3</v>
      </c>
      <c r="Y476" s="47" t="s">
        <v>1518</v>
      </c>
      <c r="Z476" s="46" t="str">
        <f t="shared" si="85"/>
        <v>V</v>
      </c>
      <c r="AA476" s="47" t="s">
        <v>2752</v>
      </c>
      <c r="AB476" s="46" t="str">
        <f t="shared" si="86"/>
        <v>JUEVES</v>
      </c>
      <c r="AC476" s="47" t="s">
        <v>2753</v>
      </c>
      <c r="AD476" t="str">
        <f t="shared" si="87"/>
        <v>CONTRATURNO</v>
      </c>
      <c r="AE476" s="47" t="s">
        <v>2754</v>
      </c>
      <c r="AH476" t="str">
        <f t="shared" si="88"/>
        <v>INSERT INTO horario_curso_materia (horario_curso_materia.FK_CUR_mat,horario_curso_materia.FK_HOR,horario_curso_materia.DIA,horario_curso_materia.tipo_turno) VALUES (  (SELECT curso_materia.ID_CUR_MAT FROM curso_materia WHERE curso_materia.CUPOF='2683087' ) ,
    (SELECT horario.ID_HOR FROM horario WHERE horario.modulo='3 ' and horario.turno='V ' ),'JUEVES ' , 'CONTRATURNO ' );</v>
      </c>
    </row>
    <row r="477" spans="1:34" ht="15" hidden="1" customHeight="1" x14ac:dyDescent="0.3">
      <c r="A477" s="1" t="str">
        <f t="shared" si="81"/>
        <v>3°4°</v>
      </c>
      <c r="B477" s="54" t="str">
        <f t="shared" si="90"/>
        <v>3°4°3LUTARDE0</v>
      </c>
      <c r="C477" s="62">
        <f>VLOOKUP(G477,[1]Hoja1!$A:$O,3,0)</f>
        <v>0</v>
      </c>
      <c r="D477" s="2" t="str">
        <f t="shared" si="80"/>
        <v>3LUT</v>
      </c>
      <c r="E477" s="62" t="s">
        <v>29</v>
      </c>
      <c r="F477" s="62" t="s">
        <v>10</v>
      </c>
      <c r="G477" s="62" t="s">
        <v>378</v>
      </c>
      <c r="H477" s="8" t="str">
        <f>VLOOKUP(G477,[1]Hoja1!$A:$O,6,0)</f>
        <v>MATEMATICA</v>
      </c>
      <c r="I477" s="4"/>
      <c r="J477" s="4"/>
      <c r="K477" s="80" t="str">
        <f t="shared" si="89"/>
        <v>LU</v>
      </c>
      <c r="L477" s="4"/>
      <c r="M477" s="86" t="str">
        <f>VLOOKUP(G477,[1]Hoja1!$A:$O,15,0)</f>
        <v xml:space="preserve">GARCIA CLAUDIA </v>
      </c>
      <c r="N477" s="2" t="str">
        <f t="shared" si="82"/>
        <v>3°4°3MATLU</v>
      </c>
      <c r="O477" s="2"/>
      <c r="P477" s="2" t="str">
        <f>VLOOKUP(G477,[1]Hoja1!$A:$P,16,0)</f>
        <v xml:space="preserve"> </v>
      </c>
      <c r="Q477" s="2"/>
      <c r="S477">
        <f>VLOOKUP(G477,[1]Hoja1!$A:$O,5,0)</f>
        <v>1492042</v>
      </c>
      <c r="U477" s="45" t="s">
        <v>2751</v>
      </c>
      <c r="V477" s="46">
        <f t="shared" si="83"/>
        <v>1492042</v>
      </c>
      <c r="W477" s="47" t="s">
        <v>1519</v>
      </c>
      <c r="X477" s="46" t="str">
        <f t="shared" si="84"/>
        <v>3</v>
      </c>
      <c r="Y477" s="47" t="s">
        <v>1518</v>
      </c>
      <c r="Z477" s="46" t="str">
        <f t="shared" si="85"/>
        <v>T</v>
      </c>
      <c r="AA477" s="47" t="s">
        <v>2752</v>
      </c>
      <c r="AB477" s="46" t="str">
        <f t="shared" si="86"/>
        <v>LUNES</v>
      </c>
      <c r="AC477" s="47" t="s">
        <v>2753</v>
      </c>
      <c r="AD477">
        <f t="shared" si="87"/>
        <v>0</v>
      </c>
      <c r="AE477" s="47" t="s">
        <v>2754</v>
      </c>
      <c r="AH477" t="str">
        <f t="shared" si="88"/>
        <v>INSERT INTO horario_curso_materia (horario_curso_materia.FK_CUR_mat,horario_curso_materia.FK_HOR,horario_curso_materia.DIA,horario_curso_materia.tipo_turno) VALUES (  (SELECT curso_materia.ID_CUR_MAT FROM curso_materia WHERE curso_materia.CUPOF='1492042' ) ,
    (SELECT horario.ID_HOR FROM horario WHERE horario.modulo='3 ' and horario.turno='T ' ),'LUNES ' , '0 ' );</v>
      </c>
    </row>
    <row r="478" spans="1:34" ht="15" hidden="1" customHeight="1" x14ac:dyDescent="0.3">
      <c r="A478" s="1" t="str">
        <f t="shared" si="81"/>
        <v>3°4°</v>
      </c>
      <c r="B478" s="54" t="str">
        <f t="shared" si="90"/>
        <v>3°4°3JUMAÑANA342</v>
      </c>
      <c r="C478" s="62">
        <f>VLOOKUP(G478,[1]Hoja1!$A:$O,3,0)</f>
        <v>342</v>
      </c>
      <c r="D478" s="2" t="str">
        <f t="shared" si="80"/>
        <v>3JUMaula 2</v>
      </c>
      <c r="E478" s="62" t="s">
        <v>46</v>
      </c>
      <c r="F478" s="62" t="s">
        <v>27</v>
      </c>
      <c r="G478" s="62" t="s">
        <v>123</v>
      </c>
      <c r="H478" s="8" t="str">
        <f>VLOOKUP(G478,[1]Hoja1!$A:$O,6,0)</f>
        <v>LENGUAJES TECNOLOGICOS</v>
      </c>
      <c r="I478" s="4" t="s">
        <v>1438</v>
      </c>
      <c r="J478" s="4"/>
      <c r="K478" s="80" t="str">
        <f t="shared" si="89"/>
        <v>JU</v>
      </c>
      <c r="L478" s="4" t="s">
        <v>512</v>
      </c>
      <c r="M478" s="86" t="str">
        <f>VLOOKUP(G478,[1]Hoja1!$A:$O,15,0)</f>
        <v xml:space="preserve">PROCHOR JUAN PABLO   </v>
      </c>
      <c r="N478" s="2" t="str">
        <f t="shared" si="82"/>
        <v>3°4°3423TLT3JU</v>
      </c>
      <c r="O478" s="2"/>
      <c r="P478" s="2" t="str">
        <f>VLOOKUP(G478,[1]Hoja1!$A:$P,16,0)</f>
        <v xml:space="preserve"> </v>
      </c>
      <c r="Q478" s="2"/>
      <c r="S478">
        <f>VLOOKUP(G478,[1]Hoja1!$A:$O,5,0)</f>
        <v>2683086</v>
      </c>
      <c r="U478" s="45" t="s">
        <v>2751</v>
      </c>
      <c r="V478" s="46">
        <f t="shared" si="83"/>
        <v>2683086</v>
      </c>
      <c r="W478" s="47" t="s">
        <v>1519</v>
      </c>
      <c r="X478" s="46" t="str">
        <f t="shared" si="84"/>
        <v>3</v>
      </c>
      <c r="Y478" s="47" t="s">
        <v>1518</v>
      </c>
      <c r="Z478" s="46" t="str">
        <f t="shared" si="85"/>
        <v>M</v>
      </c>
      <c r="AA478" s="47" t="s">
        <v>2752</v>
      </c>
      <c r="AB478" s="46" t="str">
        <f t="shared" si="86"/>
        <v>JUEVES</v>
      </c>
      <c r="AC478" s="47" t="s">
        <v>2753</v>
      </c>
      <c r="AD478" t="str">
        <f t="shared" si="87"/>
        <v>CONTRATURNO</v>
      </c>
      <c r="AE478" s="47" t="s">
        <v>2754</v>
      </c>
      <c r="AH478" t="str">
        <f t="shared" si="88"/>
        <v>INSERT INTO horario_curso_materia (horario_curso_materia.FK_CUR_mat,horario_curso_materia.FK_HOR,horario_curso_materia.DIA,horario_curso_materia.tipo_turno) VALUES (  (SELECT curso_materia.ID_CUR_MAT FROM curso_materia WHERE curso_materia.CUPOF='2683086' ) ,
    (SELECT horario.ID_HOR FROM horario WHERE horario.modulo='3 ' and horario.turno='M ' ),'JUEVES ' , 'CONTRATURNO ' );</v>
      </c>
    </row>
    <row r="479" spans="1:34" ht="15" hidden="1" customHeight="1" x14ac:dyDescent="0.3">
      <c r="A479" s="1" t="str">
        <f t="shared" si="81"/>
        <v>3°4°</v>
      </c>
      <c r="B479" s="54" t="str">
        <f t="shared" si="90"/>
        <v>3°4°3MATARDE0</v>
      </c>
      <c r="C479" s="62">
        <f>VLOOKUP(G479,[1]Hoja1!$A:$O,3,0)</f>
        <v>0</v>
      </c>
      <c r="D479" s="2" t="str">
        <f t="shared" si="80"/>
        <v>3MAT</v>
      </c>
      <c r="E479" s="62" t="s">
        <v>13</v>
      </c>
      <c r="F479" s="62" t="s">
        <v>10</v>
      </c>
      <c r="G479" s="62" t="s">
        <v>380</v>
      </c>
      <c r="H479" s="8" t="str">
        <f>VLOOKUP(G479,[1]Hoja1!$A:$O,6,0)</f>
        <v>EDUCACION ARTISTICA (PLASTICA)</v>
      </c>
      <c r="I479" s="4"/>
      <c r="J479" s="4"/>
      <c r="K479" s="80" t="str">
        <f t="shared" si="89"/>
        <v>MA</v>
      </c>
      <c r="L479" s="4"/>
      <c r="M479" s="86" t="str">
        <f>VLOOKUP(G479,[1]Hoja1!$A:$O,15,0)</f>
        <v>BRENDT YANINA</v>
      </c>
      <c r="N479" s="2" t="str">
        <f t="shared" si="82"/>
        <v>3°4°3ARTMA</v>
      </c>
      <c r="O479" s="2"/>
      <c r="P479" s="2" t="str">
        <f>VLOOKUP(G479,[1]Hoja1!$A:$P,16,0)</f>
        <v xml:space="preserve"> </v>
      </c>
      <c r="Q479" s="2"/>
      <c r="S479">
        <f>VLOOKUP(G479,[1]Hoja1!$A:$O,5,0)</f>
        <v>1492045</v>
      </c>
      <c r="U479" s="45" t="s">
        <v>2751</v>
      </c>
      <c r="V479" s="46">
        <f t="shared" si="83"/>
        <v>1492045</v>
      </c>
      <c r="W479" s="47" t="s">
        <v>1519</v>
      </c>
      <c r="X479" s="46" t="str">
        <f t="shared" si="84"/>
        <v>3</v>
      </c>
      <c r="Y479" s="47" t="s">
        <v>1518</v>
      </c>
      <c r="Z479" s="46" t="str">
        <f t="shared" si="85"/>
        <v>T</v>
      </c>
      <c r="AA479" s="47" t="s">
        <v>2752</v>
      </c>
      <c r="AB479" s="46" t="str">
        <f t="shared" si="86"/>
        <v>MARTES</v>
      </c>
      <c r="AC479" s="47" t="s">
        <v>2753</v>
      </c>
      <c r="AD479">
        <f t="shared" si="87"/>
        <v>0</v>
      </c>
      <c r="AE479" s="47" t="s">
        <v>2754</v>
      </c>
      <c r="AH479" t="str">
        <f t="shared" si="88"/>
        <v>INSERT INTO horario_curso_materia (horario_curso_materia.FK_CUR_mat,horario_curso_materia.FK_HOR,horario_curso_materia.DIA,horario_curso_materia.tipo_turno) VALUES (  (SELECT curso_materia.ID_CUR_MAT FROM curso_materia WHERE curso_materia.CUPOF='1492045' ) ,
    (SELECT horario.ID_HOR FROM horario WHERE horario.modulo='3 ' and horario.turno='T ' ),'MARTES ' , '0 ' );</v>
      </c>
    </row>
    <row r="480" spans="1:34" ht="15" hidden="1" customHeight="1" x14ac:dyDescent="0.3">
      <c r="A480" s="1" t="str">
        <f t="shared" si="81"/>
        <v>3°4°</v>
      </c>
      <c r="B480" s="54" t="str">
        <f t="shared" si="90"/>
        <v>3°4°3MIMAÑANA0</v>
      </c>
      <c r="C480" s="62">
        <f>VLOOKUP(G480,[1]Hoja1!$A:$O,3,0)</f>
        <v>0</v>
      </c>
      <c r="D480" s="2" t="str">
        <f t="shared" si="80"/>
        <v>3MIMPATIO</v>
      </c>
      <c r="E480" s="62" t="s">
        <v>50</v>
      </c>
      <c r="F480" s="62" t="s">
        <v>27</v>
      </c>
      <c r="G480" s="62" t="s">
        <v>386</v>
      </c>
      <c r="H480" s="8" t="str">
        <f>VLOOKUP(G480,[1]Hoja1!$A:$O,6,0)</f>
        <v>EDUCACIÓN FISICA</v>
      </c>
      <c r="I480" s="4" t="s">
        <v>241</v>
      </c>
      <c r="J480" s="4"/>
      <c r="K480" s="80" t="str">
        <f t="shared" si="89"/>
        <v>MI</v>
      </c>
      <c r="L480" s="4" t="s">
        <v>512</v>
      </c>
      <c r="M480" s="86" t="str">
        <f>VLOOKUP(G480,[1]Hoja1!$A:$O,15,0)</f>
        <v>PERALTA ARIANA INT 2026</v>
      </c>
      <c r="N480" s="2" t="str">
        <f t="shared" si="82"/>
        <v>3°4°3EFIMI</v>
      </c>
      <c r="O480" s="2"/>
      <c r="P480" s="2" t="str">
        <f>VLOOKUP(G480,[1]Hoja1!$A:$P,16,0)</f>
        <v xml:space="preserve"> </v>
      </c>
      <c r="Q480" s="2"/>
      <c r="S480">
        <f>VLOOKUP(G480,[1]Hoja1!$A:$O,5,0)</f>
        <v>1492060</v>
      </c>
      <c r="U480" s="45" t="s">
        <v>2751</v>
      </c>
      <c r="V480" s="46">
        <f t="shared" si="83"/>
        <v>1492060</v>
      </c>
      <c r="W480" s="47" t="s">
        <v>1519</v>
      </c>
      <c r="X480" s="46" t="str">
        <f t="shared" si="84"/>
        <v>3</v>
      </c>
      <c r="Y480" s="47" t="s">
        <v>1518</v>
      </c>
      <c r="Z480" s="46" t="str">
        <f t="shared" si="85"/>
        <v>M</v>
      </c>
      <c r="AA480" s="47" t="s">
        <v>2752</v>
      </c>
      <c r="AB480" s="46" t="str">
        <f t="shared" si="86"/>
        <v>MIERCOLES</v>
      </c>
      <c r="AC480" s="47" t="s">
        <v>2753</v>
      </c>
      <c r="AD480" t="str">
        <f t="shared" si="87"/>
        <v>CONTRATURNO</v>
      </c>
      <c r="AE480" s="47" t="s">
        <v>2754</v>
      </c>
      <c r="AH480" t="str">
        <f t="shared" si="88"/>
        <v>INSERT INTO horario_curso_materia (horario_curso_materia.FK_CUR_mat,horario_curso_materia.FK_HOR,horario_curso_materia.DIA,horario_curso_materia.tipo_turno) VALUES (  (SELECT curso_materia.ID_CUR_MAT FROM curso_materia WHERE curso_materia.CUPOF='1492060' ) ,
    (SELECT horario.ID_HOR FROM horario WHERE horario.modulo='3 ' and horario.turno='M ' ),'MIERCOLES ' , 'CONTRATURNO ' );</v>
      </c>
    </row>
    <row r="481" spans="1:34" ht="15" hidden="1" customHeight="1" x14ac:dyDescent="0.3">
      <c r="A481" s="1" t="str">
        <f t="shared" si="81"/>
        <v>3°4°</v>
      </c>
      <c r="B481" s="54" t="str">
        <f t="shared" si="90"/>
        <v>3°4°3MITARDE0</v>
      </c>
      <c r="C481" s="62">
        <f>VLOOKUP(G481,[1]Hoja1!$A:$O,3,0)</f>
        <v>0</v>
      </c>
      <c r="D481" s="2" t="str">
        <f t="shared" si="80"/>
        <v>3MIT</v>
      </c>
      <c r="E481" s="62" t="s">
        <v>50</v>
      </c>
      <c r="F481" s="62" t="s">
        <v>10</v>
      </c>
      <c r="G481" s="62" t="s">
        <v>383</v>
      </c>
      <c r="H481" s="8" t="str">
        <f>VLOOKUP(G481,[1]Hoja1!$A:$O,6,0)</f>
        <v>CONSTRUCCION DE LA CIUDADANIA</v>
      </c>
      <c r="I481" s="4"/>
      <c r="J481" s="4"/>
      <c r="K481" s="80" t="str">
        <f t="shared" si="89"/>
        <v>MI</v>
      </c>
      <c r="L481" s="4"/>
      <c r="M481" s="86" t="str">
        <f>VLOOKUP(G481,[1]Hoja1!$A:$O,15,0)</f>
        <v xml:space="preserve">GORDILLO NORA </v>
      </c>
      <c r="N481" s="2" t="str">
        <f t="shared" si="82"/>
        <v>3°4°3CCDMI</v>
      </c>
      <c r="O481" s="2"/>
      <c r="P481" s="2" t="str">
        <f>VLOOKUP(G481,[1]Hoja1!$A:$P,16,0)</f>
        <v xml:space="preserve"> </v>
      </c>
      <c r="Q481" s="2"/>
      <c r="S481">
        <f>VLOOKUP(G481,[1]Hoja1!$A:$O,5,0)</f>
        <v>1492270</v>
      </c>
      <c r="U481" s="45" t="s">
        <v>2751</v>
      </c>
      <c r="V481" s="46">
        <f t="shared" si="83"/>
        <v>1492270</v>
      </c>
      <c r="W481" s="47" t="s">
        <v>1519</v>
      </c>
      <c r="X481" s="46" t="str">
        <f t="shared" si="84"/>
        <v>3</v>
      </c>
      <c r="Y481" s="47" t="s">
        <v>1518</v>
      </c>
      <c r="Z481" s="46" t="str">
        <f t="shared" si="85"/>
        <v>T</v>
      </c>
      <c r="AA481" s="47" t="s">
        <v>2752</v>
      </c>
      <c r="AB481" s="46" t="str">
        <f t="shared" si="86"/>
        <v>MIERCOLES</v>
      </c>
      <c r="AC481" s="47" t="s">
        <v>2753</v>
      </c>
      <c r="AD481">
        <f t="shared" si="87"/>
        <v>0</v>
      </c>
      <c r="AE481" s="47" t="s">
        <v>2754</v>
      </c>
      <c r="AH481" t="str">
        <f t="shared" si="88"/>
        <v>INSERT INTO horario_curso_materia (horario_curso_materia.FK_CUR_mat,horario_curso_materia.FK_HOR,horario_curso_materia.DIA,horario_curso_materia.tipo_turno) VALUES (  (SELECT curso_materia.ID_CUR_MAT FROM curso_materia WHERE curso_materia.CUPOF='1492270' ) ,
    (SELECT horario.ID_HOR FROM horario WHERE horario.modulo='3 ' and horario.turno='T ' ),'MIERCOLES ' , '0 ' );</v>
      </c>
    </row>
    <row r="482" spans="1:34" ht="15" hidden="1" customHeight="1" x14ac:dyDescent="0.3">
      <c r="A482" s="1" t="str">
        <f t="shared" si="81"/>
        <v>3°4°</v>
      </c>
      <c r="B482" s="54" t="str">
        <f t="shared" si="90"/>
        <v>3°4°3VITARDE0</v>
      </c>
      <c r="C482" s="62">
        <f>VLOOKUP(G482,[1]Hoja1!$A:$O,3,0)</f>
        <v>0</v>
      </c>
      <c r="D482" s="2" t="str">
        <f t="shared" si="80"/>
        <v>3VIT</v>
      </c>
      <c r="E482" s="62" t="s">
        <v>35</v>
      </c>
      <c r="F482" s="62" t="s">
        <v>10</v>
      </c>
      <c r="G482" s="62" t="s">
        <v>379</v>
      </c>
      <c r="H482" s="8" t="str">
        <f>VLOOKUP(G482,[1]Hoja1!$A:$O,6,0)</f>
        <v>PRACTICA DEL LENGUAJE</v>
      </c>
      <c r="I482" s="4"/>
      <c r="J482" s="4"/>
      <c r="K482" s="80" t="str">
        <f t="shared" si="89"/>
        <v>VI</v>
      </c>
      <c r="L482" s="4"/>
      <c r="M482" s="86" t="str">
        <f>VLOOKUP(G482,[1]Hoja1!$A:$O,15,0)</f>
        <v xml:space="preserve">SANTILLAN ESTELA </v>
      </c>
      <c r="N482" s="2" t="str">
        <f t="shared" si="82"/>
        <v>3°4°3PLGVI</v>
      </c>
      <c r="O482" s="2"/>
      <c r="P482" s="2" t="str">
        <f>VLOOKUP(G482,[1]Hoja1!$A:$P,16,0)</f>
        <v xml:space="preserve"> </v>
      </c>
      <c r="Q482" s="2"/>
      <c r="S482">
        <f>VLOOKUP(G482,[1]Hoja1!$A:$O,5,0)</f>
        <v>1492035</v>
      </c>
      <c r="U482" s="45" t="s">
        <v>2751</v>
      </c>
      <c r="V482" s="46">
        <f t="shared" si="83"/>
        <v>1492035</v>
      </c>
      <c r="W482" s="47" t="s">
        <v>1519</v>
      </c>
      <c r="X482" s="46" t="str">
        <f t="shared" si="84"/>
        <v>3</v>
      </c>
      <c r="Y482" s="47" t="s">
        <v>1518</v>
      </c>
      <c r="Z482" s="46" t="str">
        <f t="shared" si="85"/>
        <v>T</v>
      </c>
      <c r="AA482" s="47" t="s">
        <v>2752</v>
      </c>
      <c r="AB482" s="46" t="str">
        <f t="shared" si="86"/>
        <v>VIERNES</v>
      </c>
      <c r="AC482" s="47" t="s">
        <v>2753</v>
      </c>
      <c r="AD482">
        <f t="shared" si="87"/>
        <v>0</v>
      </c>
      <c r="AE482" s="47" t="s">
        <v>2754</v>
      </c>
      <c r="AH482" t="str">
        <f t="shared" si="88"/>
        <v>INSERT INTO horario_curso_materia (horario_curso_materia.FK_CUR_mat,horario_curso_materia.FK_HOR,horario_curso_materia.DIA,horario_curso_materia.tipo_turno) VALUES (  (SELECT curso_materia.ID_CUR_MAT FROM curso_materia WHERE curso_materia.CUPOF='1492035' ) ,
    (SELECT horario.ID_HOR FROM horario WHERE horario.modulo='3 ' and horario.turno='T ' ),'VIERNES ' , '0 ' );</v>
      </c>
    </row>
    <row r="483" spans="1:34" ht="15" hidden="1" customHeight="1" x14ac:dyDescent="0.3">
      <c r="A483" s="1" t="str">
        <f t="shared" si="81"/>
        <v>3°4°</v>
      </c>
      <c r="B483" s="54" t="str">
        <f t="shared" si="90"/>
        <v>3°4°4JUTARDE0</v>
      </c>
      <c r="C483" s="62">
        <f>VLOOKUP(G483,[1]Hoja1!$A:$O,3,0)</f>
        <v>0</v>
      </c>
      <c r="D483" s="2" t="str">
        <f t="shared" si="80"/>
        <v>4JUT</v>
      </c>
      <c r="E483" s="62" t="s">
        <v>48</v>
      </c>
      <c r="F483" s="62" t="s">
        <v>10</v>
      </c>
      <c r="G483" s="62" t="s">
        <v>384</v>
      </c>
      <c r="H483" s="8" t="str">
        <f>VLOOKUP(G483,[1]Hoja1!$A:$O,6,0)</f>
        <v>INGLÉS</v>
      </c>
      <c r="I483" s="4"/>
      <c r="J483" s="4"/>
      <c r="K483" s="80" t="str">
        <f t="shared" si="89"/>
        <v>JU</v>
      </c>
      <c r="L483" s="4"/>
      <c r="M483" s="86" t="str">
        <f>VLOOKUP(G483,[1]Hoja1!$A:$O,15,0)</f>
        <v xml:space="preserve">ARCE KARINA </v>
      </c>
      <c r="N483" s="2" t="str">
        <f t="shared" si="82"/>
        <v>3°4°3INGJU</v>
      </c>
      <c r="O483" s="2"/>
      <c r="P483" s="2" t="str">
        <f>VLOOKUP(G483,[1]Hoja1!$A:$P,16,0)</f>
        <v xml:space="preserve"> </v>
      </c>
      <c r="Q483" s="2"/>
      <c r="S483">
        <f>VLOOKUP(G483,[1]Hoja1!$A:$O,5,0)</f>
        <v>1492005</v>
      </c>
      <c r="U483" s="45" t="s">
        <v>2751</v>
      </c>
      <c r="V483" s="46">
        <f t="shared" si="83"/>
        <v>1492005</v>
      </c>
      <c r="W483" s="47" t="s">
        <v>1519</v>
      </c>
      <c r="X483" s="46" t="str">
        <f t="shared" si="84"/>
        <v>4</v>
      </c>
      <c r="Y483" s="47" t="s">
        <v>1518</v>
      </c>
      <c r="Z483" s="46" t="str">
        <f t="shared" si="85"/>
        <v>T</v>
      </c>
      <c r="AA483" s="47" t="s">
        <v>2752</v>
      </c>
      <c r="AB483" s="46" t="str">
        <f t="shared" si="86"/>
        <v>JUEVES</v>
      </c>
      <c r="AC483" s="47" t="s">
        <v>2753</v>
      </c>
      <c r="AD483">
        <f t="shared" si="87"/>
        <v>0</v>
      </c>
      <c r="AE483" s="47" t="s">
        <v>2754</v>
      </c>
      <c r="AH483" t="str">
        <f t="shared" si="88"/>
        <v>INSERT INTO horario_curso_materia (horario_curso_materia.FK_CUR_mat,horario_curso_materia.FK_HOR,horario_curso_materia.DIA,horario_curso_materia.tipo_turno) VALUES (  (SELECT curso_materia.ID_CUR_MAT FROM curso_materia WHERE curso_materia.CUPOF='1492005' ) ,
    (SELECT horario.ID_HOR FROM horario WHERE horario.modulo='4 ' and horario.turno='T ' ),'JUEVES ' , '0 ' );</v>
      </c>
    </row>
    <row r="484" spans="1:34" ht="15" hidden="1" customHeight="1" x14ac:dyDescent="0.3">
      <c r="A484" s="1" t="str">
        <f t="shared" si="81"/>
        <v>3°4°</v>
      </c>
      <c r="B484" s="54" t="str">
        <f t="shared" si="90"/>
        <v>3°4°4JUMAÑANA341</v>
      </c>
      <c r="C484" s="62">
        <f>VLOOKUP(G484,[1]Hoja1!$A:$O,3,0)</f>
        <v>341</v>
      </c>
      <c r="D484" s="2" t="str">
        <f t="shared" si="80"/>
        <v>4JUMaula 1</v>
      </c>
      <c r="E484" s="62" t="s">
        <v>48</v>
      </c>
      <c r="F484" s="62" t="s">
        <v>27</v>
      </c>
      <c r="G484" s="62" t="s">
        <v>120</v>
      </c>
      <c r="H484" s="8" t="str">
        <f>VLOOKUP(G484,[1]Hoja1!$A:$O,6,0)</f>
        <v>SISTEMAS TECNOLOGICOS</v>
      </c>
      <c r="I484" s="4" t="s">
        <v>1489</v>
      </c>
      <c r="J484" s="4"/>
      <c r="K484" s="80" t="str">
        <f t="shared" si="89"/>
        <v>JU</v>
      </c>
      <c r="L484" s="4" t="s">
        <v>512</v>
      </c>
      <c r="M484" s="86" t="str">
        <f>VLOOKUP(G484,[1]Hoja1!$A:$O,15,0)</f>
        <v>GOMEZ ANALIA</v>
      </c>
      <c r="N484" s="2" t="str">
        <f t="shared" si="82"/>
        <v>3°4°3413TST3JU</v>
      </c>
      <c r="O484" s="2"/>
      <c r="P484" s="2" t="str">
        <f>VLOOKUP(G484,[1]Hoja1!$A:$P,16,0)</f>
        <v xml:space="preserve"> </v>
      </c>
      <c r="Q484" s="2"/>
      <c r="S484">
        <f>VLOOKUP(G484,[1]Hoja1!$A:$O,5,0)</f>
        <v>2683084</v>
      </c>
      <c r="U484" s="45" t="s">
        <v>2751</v>
      </c>
      <c r="V484" s="46">
        <f t="shared" si="83"/>
        <v>2683084</v>
      </c>
      <c r="W484" s="47" t="s">
        <v>1519</v>
      </c>
      <c r="X484" s="46" t="str">
        <f t="shared" si="84"/>
        <v>4</v>
      </c>
      <c r="Y484" s="47" t="s">
        <v>1518</v>
      </c>
      <c r="Z484" s="46" t="str">
        <f t="shared" si="85"/>
        <v>M</v>
      </c>
      <c r="AA484" s="47" t="s">
        <v>2752</v>
      </c>
      <c r="AB484" s="46" t="str">
        <f t="shared" si="86"/>
        <v>JUEVES</v>
      </c>
      <c r="AC484" s="47" t="s">
        <v>2753</v>
      </c>
      <c r="AD484" t="str">
        <f t="shared" si="87"/>
        <v>CONTRATURNO</v>
      </c>
      <c r="AE484" s="47" t="s">
        <v>2754</v>
      </c>
      <c r="AH484" t="str">
        <f t="shared" si="88"/>
        <v>INSERT INTO horario_curso_materia (horario_curso_materia.FK_CUR_mat,horario_curso_materia.FK_HOR,horario_curso_materia.DIA,horario_curso_materia.tipo_turno) VALUES (  (SELECT curso_materia.ID_CUR_MAT FROM curso_materia WHERE curso_materia.CUPOF='2683084' ) ,
    (SELECT horario.ID_HOR FROM horario WHERE horario.modulo='4 ' and horario.turno='M ' ),'JUEVES ' , 'CONTRATURNO ' );</v>
      </c>
    </row>
    <row r="485" spans="1:34" ht="15" hidden="1" customHeight="1" x14ac:dyDescent="0.3">
      <c r="A485" s="1" t="str">
        <f t="shared" si="81"/>
        <v>3°4°</v>
      </c>
      <c r="B485" s="54" t="str">
        <f t="shared" si="90"/>
        <v>3°4°4juVESPERTINO342</v>
      </c>
      <c r="C485" s="62">
        <f>VLOOKUP(G485,[1]Hoja1!$A:$O,3,0)</f>
        <v>342</v>
      </c>
      <c r="D485" s="2" t="str">
        <f t="shared" si="80"/>
        <v>4juVAULA 2</v>
      </c>
      <c r="E485" s="62" t="s">
        <v>1351</v>
      </c>
      <c r="F485" s="62" t="s">
        <v>125</v>
      </c>
      <c r="G485" s="62" t="s">
        <v>126</v>
      </c>
      <c r="H485" s="8" t="str">
        <f>VLOOKUP(G485,[1]Hoja1!$A:$O,6,0)</f>
        <v>SISTEMAS TECNOLOGICOS</v>
      </c>
      <c r="I485" s="4" t="s">
        <v>1486</v>
      </c>
      <c r="J485" s="4"/>
      <c r="K485" s="80" t="str">
        <f t="shared" si="89"/>
        <v>ju</v>
      </c>
      <c r="L485" s="4" t="s">
        <v>512</v>
      </c>
      <c r="M485" s="87" t="str">
        <f>VLOOKUP(G485,[1]Hoja1!$A:$O,15,0)</f>
        <v xml:space="preserve">ROTOLO, LUCIANO </v>
      </c>
      <c r="N485" s="2" t="str">
        <f t="shared" si="82"/>
        <v>3°4°3423TST3ju</v>
      </c>
      <c r="O485" s="2"/>
      <c r="P485" s="2" t="str">
        <f>VLOOKUP(G485,[1]Hoja1!$A:$P,16,0)</f>
        <v xml:space="preserve"> </v>
      </c>
      <c r="Q485" s="2"/>
      <c r="S485">
        <f>VLOOKUP(G485,[1]Hoja1!$A:$O,5,0)</f>
        <v>2683087</v>
      </c>
      <c r="U485" s="45" t="s">
        <v>2751</v>
      </c>
      <c r="V485" s="46">
        <f t="shared" si="83"/>
        <v>2683087</v>
      </c>
      <c r="W485" s="47" t="s">
        <v>1519</v>
      </c>
      <c r="X485" s="46" t="str">
        <f t="shared" si="84"/>
        <v>4</v>
      </c>
      <c r="Y485" s="47" t="s">
        <v>1518</v>
      </c>
      <c r="Z485" s="46" t="str">
        <f t="shared" si="85"/>
        <v>V</v>
      </c>
      <c r="AA485" s="47" t="s">
        <v>2752</v>
      </c>
      <c r="AB485" s="46" t="str">
        <f t="shared" si="86"/>
        <v>JUEVES</v>
      </c>
      <c r="AC485" s="47" t="s">
        <v>2753</v>
      </c>
      <c r="AD485" t="str">
        <f t="shared" si="87"/>
        <v>CONTRATURNO</v>
      </c>
      <c r="AE485" s="47" t="s">
        <v>2754</v>
      </c>
      <c r="AH485" t="str">
        <f t="shared" si="88"/>
        <v>INSERT INTO horario_curso_materia (horario_curso_materia.FK_CUR_mat,horario_curso_materia.FK_HOR,horario_curso_materia.DIA,horario_curso_materia.tipo_turno) VALUES (  (SELECT curso_materia.ID_CUR_MAT FROM curso_materia WHERE curso_materia.CUPOF='2683087' ) ,
    (SELECT horario.ID_HOR FROM horario WHERE horario.modulo='4 ' and horario.turno='V ' ),'JUEVES ' , 'CONTRATURNO ' );</v>
      </c>
    </row>
    <row r="486" spans="1:34" ht="15" hidden="1" customHeight="1" x14ac:dyDescent="0.3">
      <c r="A486" s="1" t="str">
        <f t="shared" si="81"/>
        <v>3°4°</v>
      </c>
      <c r="B486" s="54" t="str">
        <f t="shared" si="90"/>
        <v>3°4°4LUTARDE0</v>
      </c>
      <c r="C486" s="62">
        <f>VLOOKUP(G486,[1]Hoja1!$A:$O,3,0)</f>
        <v>0</v>
      </c>
      <c r="D486" s="2" t="str">
        <f t="shared" ref="D486:D544" si="91">CONCATENATE(E486,LEFT(F486,1),I486)</f>
        <v>4LUT</v>
      </c>
      <c r="E486" s="62" t="s">
        <v>31</v>
      </c>
      <c r="F486" s="62" t="s">
        <v>10</v>
      </c>
      <c r="G486" s="62" t="s">
        <v>378</v>
      </c>
      <c r="H486" s="8" t="str">
        <f>VLOOKUP(G486,[1]Hoja1!$A:$O,6,0)</f>
        <v>MATEMATICA</v>
      </c>
      <c r="I486" s="4"/>
      <c r="J486" s="4"/>
      <c r="K486" s="80" t="str">
        <f t="shared" si="89"/>
        <v>LU</v>
      </c>
      <c r="L486" s="4"/>
      <c r="M486" s="86" t="str">
        <f>VLOOKUP(G486,[1]Hoja1!$A:$O,15,0)</f>
        <v xml:space="preserve">GARCIA CLAUDIA </v>
      </c>
      <c r="N486" s="2" t="str">
        <f t="shared" si="82"/>
        <v>3°4°3MATLU</v>
      </c>
      <c r="O486" s="2"/>
      <c r="P486" s="2" t="str">
        <f>VLOOKUP(G486,[1]Hoja1!$A:$P,16,0)</f>
        <v xml:space="preserve"> </v>
      </c>
      <c r="Q486" s="2"/>
      <c r="S486">
        <f>VLOOKUP(G486,[1]Hoja1!$A:$O,5,0)</f>
        <v>1492042</v>
      </c>
      <c r="U486" s="45" t="s">
        <v>2751</v>
      </c>
      <c r="V486" s="46">
        <f t="shared" si="83"/>
        <v>1492042</v>
      </c>
      <c r="W486" s="47" t="s">
        <v>1519</v>
      </c>
      <c r="X486" s="46" t="str">
        <f t="shared" si="84"/>
        <v>4</v>
      </c>
      <c r="Y486" s="47" t="s">
        <v>1518</v>
      </c>
      <c r="Z486" s="46" t="str">
        <f t="shared" si="85"/>
        <v>T</v>
      </c>
      <c r="AA486" s="47" t="s">
        <v>2752</v>
      </c>
      <c r="AB486" s="46" t="str">
        <f t="shared" si="86"/>
        <v>LUNES</v>
      </c>
      <c r="AC486" s="47" t="s">
        <v>2753</v>
      </c>
      <c r="AD486">
        <f t="shared" si="87"/>
        <v>0</v>
      </c>
      <c r="AE486" s="47" t="s">
        <v>2754</v>
      </c>
      <c r="AH486" t="str">
        <f t="shared" si="88"/>
        <v>INSERT INTO horario_curso_materia (horario_curso_materia.FK_CUR_mat,horario_curso_materia.FK_HOR,horario_curso_materia.DIA,horario_curso_materia.tipo_turno) VALUES (  (SELECT curso_materia.ID_CUR_MAT FROM curso_materia WHERE curso_materia.CUPOF='1492042' ) ,
    (SELECT horario.ID_HOR FROM horario WHERE horario.modulo='4 ' and horario.turno='T ' ),'LUNES ' , '0 ' );</v>
      </c>
    </row>
    <row r="487" spans="1:34" ht="15" hidden="1" customHeight="1" x14ac:dyDescent="0.3">
      <c r="A487" s="1" t="str">
        <f t="shared" si="81"/>
        <v>3°4°</v>
      </c>
      <c r="B487" s="54" t="str">
        <f t="shared" si="90"/>
        <v>3°4°4JUMAÑANA342</v>
      </c>
      <c r="C487" s="62">
        <f>VLOOKUP(G487,[1]Hoja1!$A:$O,3,0)</f>
        <v>342</v>
      </c>
      <c r="D487" s="2" t="str">
        <f t="shared" si="91"/>
        <v>4JUMaula 2</v>
      </c>
      <c r="E487" s="62" t="s">
        <v>48</v>
      </c>
      <c r="F487" s="62" t="s">
        <v>27</v>
      </c>
      <c r="G487" s="62" t="s">
        <v>123</v>
      </c>
      <c r="H487" s="8" t="str">
        <f>VLOOKUP(G487,[1]Hoja1!$A:$O,6,0)</f>
        <v>LENGUAJES TECNOLOGICOS</v>
      </c>
      <c r="I487" s="4" t="s">
        <v>1438</v>
      </c>
      <c r="J487" s="4"/>
      <c r="K487" s="80" t="str">
        <f t="shared" si="89"/>
        <v>JU</v>
      </c>
      <c r="L487" s="4" t="s">
        <v>512</v>
      </c>
      <c r="M487" s="86" t="str">
        <f>VLOOKUP(G487,[1]Hoja1!$A:$O,15,0)</f>
        <v xml:space="preserve">PROCHOR JUAN PABLO   </v>
      </c>
      <c r="N487" s="2" t="str">
        <f t="shared" si="82"/>
        <v>3°4°3423TLT3JU</v>
      </c>
      <c r="O487" s="2"/>
      <c r="P487" s="2" t="str">
        <f>VLOOKUP(G487,[1]Hoja1!$A:$P,16,0)</f>
        <v xml:space="preserve"> </v>
      </c>
      <c r="Q487" s="2"/>
      <c r="S487">
        <f>VLOOKUP(G487,[1]Hoja1!$A:$O,5,0)</f>
        <v>2683086</v>
      </c>
      <c r="U487" s="45" t="s">
        <v>2751</v>
      </c>
      <c r="V487" s="46">
        <f t="shared" si="83"/>
        <v>2683086</v>
      </c>
      <c r="W487" s="47" t="s">
        <v>1519</v>
      </c>
      <c r="X487" s="46" t="str">
        <f t="shared" si="84"/>
        <v>4</v>
      </c>
      <c r="Y487" s="47" t="s">
        <v>1518</v>
      </c>
      <c r="Z487" s="46" t="str">
        <f t="shared" si="85"/>
        <v>M</v>
      </c>
      <c r="AA487" s="47" t="s">
        <v>2752</v>
      </c>
      <c r="AB487" s="46" t="str">
        <f t="shared" si="86"/>
        <v>JUEVES</v>
      </c>
      <c r="AC487" s="47" t="s">
        <v>2753</v>
      </c>
      <c r="AD487" t="str">
        <f t="shared" si="87"/>
        <v>CONTRATURNO</v>
      </c>
      <c r="AE487" s="47" t="s">
        <v>2754</v>
      </c>
      <c r="AH487" t="str">
        <f t="shared" si="88"/>
        <v>INSERT INTO horario_curso_materia (horario_curso_materia.FK_CUR_mat,horario_curso_materia.FK_HOR,horario_curso_materia.DIA,horario_curso_materia.tipo_turno) VALUES (  (SELECT curso_materia.ID_CUR_MAT FROM curso_materia WHERE curso_materia.CUPOF='2683086' ) ,
    (SELECT horario.ID_HOR FROM horario WHERE horario.modulo='4 ' and horario.turno='M ' ),'JUEVES ' , 'CONTRATURNO ' );</v>
      </c>
    </row>
    <row r="488" spans="1:34" ht="15" hidden="1" customHeight="1" x14ac:dyDescent="0.3">
      <c r="A488" s="1" t="str">
        <f t="shared" si="81"/>
        <v>3°4°</v>
      </c>
      <c r="B488" s="54" t="str">
        <f t="shared" si="90"/>
        <v>3°4°4MATARDE0</v>
      </c>
      <c r="C488" s="62">
        <f>VLOOKUP(G488,[1]Hoja1!$A:$O,3,0)</f>
        <v>0</v>
      </c>
      <c r="D488" s="2" t="str">
        <f t="shared" si="91"/>
        <v>4MAT</v>
      </c>
      <c r="E488" s="62" t="s">
        <v>16</v>
      </c>
      <c r="F488" s="62" t="s">
        <v>10</v>
      </c>
      <c r="G488" s="62" t="s">
        <v>380</v>
      </c>
      <c r="H488" s="8" t="str">
        <f>VLOOKUP(G488,[1]Hoja1!$A:$O,6,0)</f>
        <v>EDUCACION ARTISTICA (PLASTICA)</v>
      </c>
      <c r="I488" s="4"/>
      <c r="J488" s="4"/>
      <c r="K488" s="80" t="str">
        <f t="shared" si="89"/>
        <v>MA</v>
      </c>
      <c r="L488" s="4"/>
      <c r="M488" s="86" t="str">
        <f>VLOOKUP(G488,[1]Hoja1!$A:$O,15,0)</f>
        <v>BRENDT YANINA</v>
      </c>
      <c r="N488" s="2" t="str">
        <f t="shared" si="82"/>
        <v>3°4°3ARTMA</v>
      </c>
      <c r="O488" s="2"/>
      <c r="P488" s="2" t="str">
        <f>VLOOKUP(G488,[1]Hoja1!$A:$P,16,0)</f>
        <v xml:space="preserve"> </v>
      </c>
      <c r="Q488" s="2"/>
      <c r="S488">
        <f>VLOOKUP(G488,[1]Hoja1!$A:$O,5,0)</f>
        <v>1492045</v>
      </c>
      <c r="U488" s="45" t="s">
        <v>2751</v>
      </c>
      <c r="V488" s="46">
        <f t="shared" si="83"/>
        <v>1492045</v>
      </c>
      <c r="W488" s="47" t="s">
        <v>1519</v>
      </c>
      <c r="X488" s="46" t="str">
        <f t="shared" si="84"/>
        <v>4</v>
      </c>
      <c r="Y488" s="47" t="s">
        <v>1518</v>
      </c>
      <c r="Z488" s="46" t="str">
        <f t="shared" si="85"/>
        <v>T</v>
      </c>
      <c r="AA488" s="47" t="s">
        <v>2752</v>
      </c>
      <c r="AB488" s="46" t="str">
        <f t="shared" si="86"/>
        <v>MARTES</v>
      </c>
      <c r="AC488" s="47" t="s">
        <v>2753</v>
      </c>
      <c r="AD488">
        <f t="shared" si="87"/>
        <v>0</v>
      </c>
      <c r="AE488" s="47" t="s">
        <v>2754</v>
      </c>
      <c r="AH488" t="str">
        <f t="shared" si="88"/>
        <v>INSERT INTO horario_curso_materia (horario_curso_materia.FK_CUR_mat,horario_curso_materia.FK_HOR,horario_curso_materia.DIA,horario_curso_materia.tipo_turno) VALUES (  (SELECT curso_materia.ID_CUR_MAT FROM curso_materia WHERE curso_materia.CUPOF='1492045' ) ,
    (SELECT horario.ID_HOR FROM horario WHERE horario.modulo='4 ' and horario.turno='T ' ),'MARTES ' , '0 ' );</v>
      </c>
    </row>
    <row r="489" spans="1:34" ht="15" hidden="1" customHeight="1" x14ac:dyDescent="0.3">
      <c r="A489" s="1" t="str">
        <f t="shared" si="81"/>
        <v>3°4°</v>
      </c>
      <c r="B489" s="54" t="str">
        <f t="shared" si="90"/>
        <v>3°4°4MIMAÑANA0</v>
      </c>
      <c r="C489" s="62">
        <f>VLOOKUP(G489,[1]Hoja1!$A:$O,3,0)</f>
        <v>0</v>
      </c>
      <c r="D489" s="2" t="str">
        <f t="shared" si="91"/>
        <v>4MIMPATIO</v>
      </c>
      <c r="E489" s="62" t="s">
        <v>52</v>
      </c>
      <c r="F489" s="62" t="s">
        <v>27</v>
      </c>
      <c r="G489" s="62" t="s">
        <v>386</v>
      </c>
      <c r="H489" s="8" t="str">
        <f>VLOOKUP(G489,[1]Hoja1!$A:$O,6,0)</f>
        <v>EDUCACIÓN FISICA</v>
      </c>
      <c r="I489" s="4" t="s">
        <v>241</v>
      </c>
      <c r="J489" s="4"/>
      <c r="K489" s="80" t="str">
        <f t="shared" si="89"/>
        <v>MI</v>
      </c>
      <c r="L489" s="4" t="s">
        <v>512</v>
      </c>
      <c r="M489" s="86" t="str">
        <f>VLOOKUP(G489,[1]Hoja1!$A:$O,15,0)</f>
        <v>PERALTA ARIANA INT 2026</v>
      </c>
      <c r="N489" s="2" t="str">
        <f t="shared" si="82"/>
        <v>3°4°3EFIMI</v>
      </c>
      <c r="O489" s="2"/>
      <c r="P489" s="2" t="str">
        <f>VLOOKUP(G489,[1]Hoja1!$A:$P,16,0)</f>
        <v xml:space="preserve"> </v>
      </c>
      <c r="Q489" s="2"/>
      <c r="S489">
        <f>VLOOKUP(G489,[1]Hoja1!$A:$O,5,0)</f>
        <v>1492060</v>
      </c>
      <c r="U489" s="45" t="s">
        <v>2751</v>
      </c>
      <c r="V489" s="46">
        <f t="shared" si="83"/>
        <v>1492060</v>
      </c>
      <c r="W489" s="47" t="s">
        <v>1519</v>
      </c>
      <c r="X489" s="46" t="str">
        <f t="shared" si="84"/>
        <v>4</v>
      </c>
      <c r="Y489" s="47" t="s">
        <v>1518</v>
      </c>
      <c r="Z489" s="46" t="str">
        <f t="shared" si="85"/>
        <v>M</v>
      </c>
      <c r="AA489" s="47" t="s">
        <v>2752</v>
      </c>
      <c r="AB489" s="46" t="str">
        <f t="shared" si="86"/>
        <v>MIERCOLES</v>
      </c>
      <c r="AC489" s="47" t="s">
        <v>2753</v>
      </c>
      <c r="AD489" t="str">
        <f t="shared" si="87"/>
        <v>CONTRATURNO</v>
      </c>
      <c r="AE489" s="47" t="s">
        <v>2754</v>
      </c>
      <c r="AH489" t="str">
        <f t="shared" si="88"/>
        <v>INSERT INTO horario_curso_materia (horario_curso_materia.FK_CUR_mat,horario_curso_materia.FK_HOR,horario_curso_materia.DIA,horario_curso_materia.tipo_turno) VALUES (  (SELECT curso_materia.ID_CUR_MAT FROM curso_materia WHERE curso_materia.CUPOF='1492060' ) ,
    (SELECT horario.ID_HOR FROM horario WHERE horario.modulo='4 ' and horario.turno='M ' ),'MIERCOLES ' , 'CONTRATURNO ' );</v>
      </c>
    </row>
    <row r="490" spans="1:34" ht="15" hidden="1" customHeight="1" x14ac:dyDescent="0.3">
      <c r="A490" s="1" t="str">
        <f t="shared" si="81"/>
        <v>3°4°</v>
      </c>
      <c r="B490" s="54" t="str">
        <f t="shared" si="90"/>
        <v>3°4°4MITARDE0</v>
      </c>
      <c r="C490" s="62">
        <f>VLOOKUP(G490,[1]Hoja1!$A:$O,3,0)</f>
        <v>0</v>
      </c>
      <c r="D490" s="2" t="str">
        <f t="shared" si="91"/>
        <v>4MIT</v>
      </c>
      <c r="E490" s="62" t="s">
        <v>52</v>
      </c>
      <c r="F490" s="62" t="s">
        <v>10</v>
      </c>
      <c r="G490" s="62" t="s">
        <v>383</v>
      </c>
      <c r="H490" s="8" t="str">
        <f>VLOOKUP(G490,[1]Hoja1!$A:$O,6,0)</f>
        <v>CONSTRUCCION DE LA CIUDADANIA</v>
      </c>
      <c r="I490" s="4"/>
      <c r="J490" s="4"/>
      <c r="K490" s="80" t="str">
        <f t="shared" si="89"/>
        <v>MI</v>
      </c>
      <c r="L490" s="4"/>
      <c r="M490" s="86" t="str">
        <f>VLOOKUP(G490,[1]Hoja1!$A:$O,15,0)</f>
        <v xml:space="preserve">GORDILLO NORA </v>
      </c>
      <c r="N490" s="2" t="str">
        <f t="shared" si="82"/>
        <v>3°4°3CCDMI</v>
      </c>
      <c r="O490" s="2"/>
      <c r="P490" s="2" t="str">
        <f>VLOOKUP(G490,[1]Hoja1!$A:$P,16,0)</f>
        <v xml:space="preserve"> </v>
      </c>
      <c r="Q490" s="2"/>
      <c r="S490">
        <f>VLOOKUP(G490,[1]Hoja1!$A:$O,5,0)</f>
        <v>1492270</v>
      </c>
      <c r="U490" s="45" t="s">
        <v>2751</v>
      </c>
      <c r="V490" s="46">
        <f t="shared" si="83"/>
        <v>1492270</v>
      </c>
      <c r="W490" s="47" t="s">
        <v>1519</v>
      </c>
      <c r="X490" s="46" t="str">
        <f t="shared" si="84"/>
        <v>4</v>
      </c>
      <c r="Y490" s="47" t="s">
        <v>1518</v>
      </c>
      <c r="Z490" s="46" t="str">
        <f t="shared" si="85"/>
        <v>T</v>
      </c>
      <c r="AA490" s="47" t="s">
        <v>2752</v>
      </c>
      <c r="AB490" s="46" t="str">
        <f t="shared" si="86"/>
        <v>MIERCOLES</v>
      </c>
      <c r="AC490" s="47" t="s">
        <v>2753</v>
      </c>
      <c r="AD490">
        <f t="shared" si="87"/>
        <v>0</v>
      </c>
      <c r="AE490" s="47" t="s">
        <v>2754</v>
      </c>
      <c r="AH490" t="str">
        <f t="shared" si="88"/>
        <v>INSERT INTO horario_curso_materia (horario_curso_materia.FK_CUR_mat,horario_curso_materia.FK_HOR,horario_curso_materia.DIA,horario_curso_materia.tipo_turno) VALUES (  (SELECT curso_materia.ID_CUR_MAT FROM curso_materia WHERE curso_materia.CUPOF='1492270' ) ,
    (SELECT horario.ID_HOR FROM horario WHERE horario.modulo='4 ' and horario.turno='T ' ),'MIERCOLES ' , '0 ' );</v>
      </c>
    </row>
    <row r="491" spans="1:34" ht="15" hidden="1" customHeight="1" x14ac:dyDescent="0.3">
      <c r="A491" s="1" t="str">
        <f t="shared" si="81"/>
        <v>3°4°</v>
      </c>
      <c r="B491" s="54" t="str">
        <f t="shared" si="90"/>
        <v>3°4°4VITARDE0</v>
      </c>
      <c r="C491" s="62">
        <f>VLOOKUP(G491,[1]Hoja1!$A:$O,3,0)</f>
        <v>0</v>
      </c>
      <c r="D491" s="2" t="str">
        <f t="shared" si="91"/>
        <v>4VIT</v>
      </c>
      <c r="E491" s="62" t="s">
        <v>36</v>
      </c>
      <c r="F491" s="62" t="s">
        <v>10</v>
      </c>
      <c r="G491" s="62" t="s">
        <v>379</v>
      </c>
      <c r="H491" s="8" t="str">
        <f>VLOOKUP(G491,[1]Hoja1!$A:$O,6,0)</f>
        <v>PRACTICA DEL LENGUAJE</v>
      </c>
      <c r="I491" s="4"/>
      <c r="J491" s="4"/>
      <c r="K491" s="80" t="str">
        <f t="shared" si="89"/>
        <v>VI</v>
      </c>
      <c r="L491" s="4"/>
      <c r="M491" s="86" t="str">
        <f>VLOOKUP(G491,[1]Hoja1!$A:$O,15,0)</f>
        <v xml:space="preserve">SANTILLAN ESTELA </v>
      </c>
      <c r="N491" s="2" t="str">
        <f t="shared" si="82"/>
        <v>3°4°3PLGVI</v>
      </c>
      <c r="O491" s="2"/>
      <c r="P491" s="2" t="str">
        <f>VLOOKUP(G491,[1]Hoja1!$A:$P,16,0)</f>
        <v xml:space="preserve"> </v>
      </c>
      <c r="Q491" s="2"/>
      <c r="S491">
        <f>VLOOKUP(G491,[1]Hoja1!$A:$O,5,0)</f>
        <v>1492035</v>
      </c>
      <c r="U491" s="45" t="s">
        <v>2751</v>
      </c>
      <c r="V491" s="46">
        <f t="shared" si="83"/>
        <v>1492035</v>
      </c>
      <c r="W491" s="47" t="s">
        <v>1519</v>
      </c>
      <c r="X491" s="46" t="str">
        <f t="shared" si="84"/>
        <v>4</v>
      </c>
      <c r="Y491" s="47" t="s">
        <v>1518</v>
      </c>
      <c r="Z491" s="46" t="str">
        <f t="shared" si="85"/>
        <v>T</v>
      </c>
      <c r="AA491" s="47" t="s">
        <v>2752</v>
      </c>
      <c r="AB491" s="46" t="str">
        <f t="shared" si="86"/>
        <v>VIERNES</v>
      </c>
      <c r="AC491" s="47" t="s">
        <v>2753</v>
      </c>
      <c r="AD491">
        <f t="shared" si="87"/>
        <v>0</v>
      </c>
      <c r="AE491" s="47" t="s">
        <v>2754</v>
      </c>
      <c r="AH491" t="str">
        <f t="shared" si="88"/>
        <v>INSERT INTO horario_curso_materia (horario_curso_materia.FK_CUR_mat,horario_curso_materia.FK_HOR,horario_curso_materia.DIA,horario_curso_materia.tipo_turno) VALUES (  (SELECT curso_materia.ID_CUR_MAT FROM curso_materia WHERE curso_materia.CUPOF='1492035' ) ,
    (SELECT horario.ID_HOR FROM horario WHERE horario.modulo='4 ' and horario.turno='T ' ),'VIERNES ' , '0 ' );</v>
      </c>
    </row>
    <row r="492" spans="1:34" ht="15" hidden="1" customHeight="1" x14ac:dyDescent="0.3">
      <c r="A492" s="1" t="str">
        <f t="shared" si="81"/>
        <v>3°4°</v>
      </c>
      <c r="B492" s="54" t="str">
        <f t="shared" si="90"/>
        <v>3°4°PHORAMITARDE0</v>
      </c>
      <c r="C492" s="62">
        <f>VLOOKUP(G492,[1]Hoja1!$A:$O,3,0)</f>
        <v>0</v>
      </c>
      <c r="D492" s="2" t="str">
        <f t="shared" si="91"/>
        <v>PHORAMIT</v>
      </c>
      <c r="E492" s="62" t="s">
        <v>2795</v>
      </c>
      <c r="F492" s="62" t="s">
        <v>10</v>
      </c>
      <c r="G492" s="62" t="s">
        <v>377</v>
      </c>
      <c r="H492" s="8" t="str">
        <f>VLOOKUP(G492,[1]Hoja1!$A:$O,6,0)</f>
        <v>GEOGRAFIA</v>
      </c>
      <c r="I492" s="4"/>
      <c r="J492" s="4"/>
      <c r="K492" s="80" t="str">
        <f t="shared" si="89"/>
        <v>MI</v>
      </c>
      <c r="L492" s="4"/>
      <c r="M492" s="86" t="str">
        <f>VLOOKUP(G492,[1]Hoja1!$A:$O,15,0)</f>
        <v>ROJAS SOLEDAD</v>
      </c>
      <c r="N492" s="2" t="str">
        <f t="shared" si="82"/>
        <v>3°4°3GEOMI</v>
      </c>
      <c r="O492" s="2" t="s">
        <v>1450</v>
      </c>
      <c r="P492" s="2" t="str">
        <f>VLOOKUP(G492,[1]Hoja1!$A:$P,16,0)</f>
        <v xml:space="preserve"> </v>
      </c>
      <c r="Q492" s="2"/>
      <c r="S492">
        <f>VLOOKUP(G492,[1]Hoja1!$A:$O,5,0)</f>
        <v>1492267</v>
      </c>
      <c r="U492" s="45" t="s">
        <v>2751</v>
      </c>
      <c r="V492" s="46">
        <f t="shared" si="83"/>
        <v>1492267</v>
      </c>
      <c r="W492" s="47" t="s">
        <v>1519</v>
      </c>
      <c r="X492" s="46" t="str">
        <f t="shared" si="84"/>
        <v>prehora</v>
      </c>
      <c r="Y492" s="47" t="s">
        <v>1518</v>
      </c>
      <c r="Z492" s="46" t="str">
        <f t="shared" si="85"/>
        <v>T</v>
      </c>
      <c r="AA492" s="47" t="s">
        <v>2752</v>
      </c>
      <c r="AB492" s="46" t="str">
        <f t="shared" si="86"/>
        <v/>
      </c>
      <c r="AC492" s="47" t="s">
        <v>2753</v>
      </c>
      <c r="AD492">
        <f t="shared" si="87"/>
        <v>0</v>
      </c>
      <c r="AE492" s="47" t="s">
        <v>2754</v>
      </c>
      <c r="AH492" t="str">
        <f t="shared" si="88"/>
        <v>INSERT INTO horario_curso_materia (horario_curso_materia.FK_CUR_mat,horario_curso_materia.FK_HOR,horario_curso_materia.DIA,horario_curso_materia.tipo_turno) VALUES (  (SELECT curso_materia.ID_CUR_MAT FROM curso_materia WHERE curso_materia.CUPOF='1492267' ) ,
    (SELECT horario.ID_HOR FROM horario WHERE horario.modulo='prehora ' and horario.turno='T ' ),' ' , '0 ' );</v>
      </c>
    </row>
    <row r="493" spans="1:34" ht="15" hidden="1" customHeight="1" x14ac:dyDescent="0.3">
      <c r="A493" s="1" t="str">
        <f t="shared" si="81"/>
        <v>3°4°</v>
      </c>
      <c r="B493" s="54" t="str">
        <f t="shared" si="90"/>
        <v>3°4°prehorAVITARDE0</v>
      </c>
      <c r="C493" s="62">
        <f>VLOOKUP(G493,[1]Hoja1!$A:$O,3,0)</f>
        <v>0</v>
      </c>
      <c r="D493" s="2" t="str">
        <f t="shared" si="91"/>
        <v>prehorAVIT</v>
      </c>
      <c r="E493" s="62" t="s">
        <v>2793</v>
      </c>
      <c r="F493" s="62" t="s">
        <v>10</v>
      </c>
      <c r="G493" s="62" t="s">
        <v>377</v>
      </c>
      <c r="H493" s="8" t="str">
        <f>VLOOKUP(G493,[1]Hoja1!$A:$O,6,0)</f>
        <v>GEOGRAFIA</v>
      </c>
      <c r="I493" s="4"/>
      <c r="J493" s="4"/>
      <c r="K493" s="80" t="str">
        <f t="shared" si="89"/>
        <v>VI</v>
      </c>
      <c r="L493" s="4"/>
      <c r="M493" s="86" t="str">
        <f>VLOOKUP(G493,[1]Hoja1!$A:$O,15,0)</f>
        <v>ROJAS SOLEDAD</v>
      </c>
      <c r="N493" s="2" t="str">
        <f t="shared" si="82"/>
        <v>3°4°3GEOVI</v>
      </c>
      <c r="O493" s="2" t="s">
        <v>1451</v>
      </c>
      <c r="P493" s="2" t="str">
        <f>VLOOKUP(G493,[1]Hoja1!$A:$P,16,0)</f>
        <v xml:space="preserve"> </v>
      </c>
      <c r="Q493" s="2"/>
      <c r="S493">
        <f>VLOOKUP(G493,[1]Hoja1!$A:$O,5,0)</f>
        <v>1492267</v>
      </c>
      <c r="U493" s="45" t="s">
        <v>2751</v>
      </c>
      <c r="V493" s="46">
        <f t="shared" si="83"/>
        <v>1492267</v>
      </c>
      <c r="W493" s="47" t="s">
        <v>1519</v>
      </c>
      <c r="X493" s="46" t="str">
        <f t="shared" si="84"/>
        <v>prehora</v>
      </c>
      <c r="Y493" s="47" t="s">
        <v>1518</v>
      </c>
      <c r="Z493" s="46" t="str">
        <f t="shared" si="85"/>
        <v>T</v>
      </c>
      <c r="AA493" s="47" t="s">
        <v>2752</v>
      </c>
      <c r="AB493" s="46" t="str">
        <f t="shared" si="86"/>
        <v>VIERNES</v>
      </c>
      <c r="AC493" s="47" t="s">
        <v>2753</v>
      </c>
      <c r="AD493">
        <f t="shared" si="87"/>
        <v>0</v>
      </c>
      <c r="AE493" s="47" t="s">
        <v>2754</v>
      </c>
      <c r="AH493" t="str">
        <f t="shared" si="88"/>
        <v>INSERT INTO horario_curso_materia (horario_curso_materia.FK_CUR_mat,horario_curso_materia.FK_HOR,horario_curso_materia.DIA,horario_curso_materia.tipo_turno) VALUES (  (SELECT curso_materia.ID_CUR_MAT FROM curso_materia WHERE curso_materia.CUPOF='1492267' ) ,
    (SELECT horario.ID_HOR FROM horario WHERE horario.modulo='prehora ' and horario.turno='T ' ),'VIERNES ' , '0 ' );</v>
      </c>
    </row>
    <row r="494" spans="1:34" s="19" customFormat="1" ht="15" hidden="1" customHeight="1" x14ac:dyDescent="0.3">
      <c r="A494" s="1" t="str">
        <f t="shared" si="81"/>
        <v>3°5°</v>
      </c>
      <c r="B494" s="54" t="str">
        <f t="shared" si="90"/>
        <v>3°5°1JUMAÑANA0</v>
      </c>
      <c r="C494" s="62">
        <f>VLOOKUP(G494,[1]Hoja1!$A:$O,3,0)</f>
        <v>0</v>
      </c>
      <c r="D494" s="2"/>
      <c r="E494" s="62" t="s">
        <v>43</v>
      </c>
      <c r="F494" s="62" t="s">
        <v>27</v>
      </c>
      <c r="G494" s="62" t="s">
        <v>387</v>
      </c>
      <c r="H494" s="8" t="str">
        <f>VLOOKUP(G494,[1]Hoja1!$A:$O,6,0)</f>
        <v>BIOLOGIA</v>
      </c>
      <c r="I494" s="4"/>
      <c r="J494" s="4"/>
      <c r="K494" s="80" t="str">
        <f t="shared" si="89"/>
        <v>JU</v>
      </c>
      <c r="L494" s="4"/>
      <c r="M494" s="86" t="str">
        <f>VLOOKUP(G494,[1]Hoja1!$A:$O,15,0)</f>
        <v>FARIAS CLAUDIA</v>
      </c>
      <c r="N494" s="2" t="str">
        <f t="shared" si="82"/>
        <v>3°5°3BIOJU</v>
      </c>
      <c r="O494" s="2"/>
      <c r="P494" s="2" t="str">
        <f>VLOOKUP(G494,[1]Hoja1!$A:$P,16,0)</f>
        <v xml:space="preserve"> </v>
      </c>
      <c r="Q494" s="2"/>
      <c r="R494" s="7"/>
      <c r="S494">
        <f>VLOOKUP(G494,[1]Hoja1!$A:$O,5,0)</f>
        <v>2232461</v>
      </c>
      <c r="T494"/>
      <c r="U494" s="45" t="s">
        <v>2751</v>
      </c>
      <c r="V494" s="46">
        <f t="shared" si="83"/>
        <v>2232461</v>
      </c>
      <c r="W494" s="47" t="s">
        <v>1519</v>
      </c>
      <c r="X494" s="46" t="str">
        <f t="shared" si="84"/>
        <v>1</v>
      </c>
      <c r="Y494" s="47" t="s">
        <v>1518</v>
      </c>
      <c r="Z494" s="46" t="str">
        <f t="shared" si="85"/>
        <v>M</v>
      </c>
      <c r="AA494" s="47" t="s">
        <v>2752</v>
      </c>
      <c r="AB494" s="46" t="str">
        <f t="shared" si="86"/>
        <v>JUEVES</v>
      </c>
      <c r="AC494" s="47" t="s">
        <v>2753</v>
      </c>
      <c r="AD494">
        <f t="shared" si="87"/>
        <v>0</v>
      </c>
      <c r="AE494" s="47" t="s">
        <v>2754</v>
      </c>
      <c r="AF494"/>
      <c r="AG494"/>
      <c r="AH494" t="str">
        <f t="shared" si="88"/>
        <v>INSERT INTO horario_curso_materia (horario_curso_materia.FK_CUR_mat,horario_curso_materia.FK_HOR,horario_curso_materia.DIA,horario_curso_materia.tipo_turno) VALUES (  (SELECT curso_materia.ID_CUR_MAT FROM curso_materia WHERE curso_materia.CUPOF='2232461' ) ,
    (SELECT horario.ID_HOR FROM horario WHERE horario.modulo='1 ' and horario.turno='M ' ),'JUEVES ' , '0 ' );</v>
      </c>
    </row>
    <row r="495" spans="1:34" s="19" customFormat="1" ht="15" hidden="1" customHeight="1" x14ac:dyDescent="0.3">
      <c r="A495" s="1" t="str">
        <f t="shared" si="81"/>
        <v>3°5°</v>
      </c>
      <c r="B495" s="54" t="str">
        <f t="shared" si="90"/>
        <v>3°5°1LUMAÑANA0</v>
      </c>
      <c r="C495" s="62">
        <f>VLOOKUP(G495,[1]Hoja1!$A:$O,3,0)</f>
        <v>0</v>
      </c>
      <c r="D495" s="2" t="str">
        <f t="shared" si="91"/>
        <v>1LUM</v>
      </c>
      <c r="E495" s="62" t="s">
        <v>9</v>
      </c>
      <c r="F495" s="62" t="s">
        <v>27</v>
      </c>
      <c r="G495" s="62" t="s">
        <v>388</v>
      </c>
      <c r="H495" s="8" t="str">
        <f>VLOOKUP(G495,[1]Hoja1!$A:$O,6,0)</f>
        <v>MATEMATICA</v>
      </c>
      <c r="I495" s="4"/>
      <c r="J495" s="4"/>
      <c r="K495" s="80" t="str">
        <f t="shared" si="89"/>
        <v>LU</v>
      </c>
      <c r="L495" s="4"/>
      <c r="M495" s="86" t="str">
        <f>VLOOKUP(G495,[1]Hoja1!$A:$O,15,0)</f>
        <v xml:space="preserve"> FERRARIS OJEDA JULIETA MAR</v>
      </c>
      <c r="N495" s="2" t="str">
        <f t="shared" si="82"/>
        <v>3°5°3MATLU</v>
      </c>
      <c r="O495" s="2"/>
      <c r="P495" s="2" t="str">
        <f>VLOOKUP(G495,[1]Hoja1!$A:$P,16,0)</f>
        <v xml:space="preserve"> </v>
      </c>
      <c r="Q495" s="2"/>
      <c r="R495" s="7"/>
      <c r="S495">
        <f>VLOOKUP(G495,[1]Hoja1!$A:$O,5,0)</f>
        <v>2232469</v>
      </c>
      <c r="T495"/>
      <c r="U495" s="45" t="s">
        <v>2751</v>
      </c>
      <c r="V495" s="46">
        <f t="shared" si="83"/>
        <v>2232469</v>
      </c>
      <c r="W495" s="47" t="s">
        <v>1519</v>
      </c>
      <c r="X495" s="46" t="str">
        <f t="shared" si="84"/>
        <v>1</v>
      </c>
      <c r="Y495" s="47" t="s">
        <v>1518</v>
      </c>
      <c r="Z495" s="46" t="str">
        <f t="shared" si="85"/>
        <v>M</v>
      </c>
      <c r="AA495" s="47" t="s">
        <v>2752</v>
      </c>
      <c r="AB495" s="46" t="str">
        <f t="shared" si="86"/>
        <v>LUNES</v>
      </c>
      <c r="AC495" s="47" t="s">
        <v>2753</v>
      </c>
      <c r="AD495">
        <f t="shared" si="87"/>
        <v>0</v>
      </c>
      <c r="AE495" s="47" t="s">
        <v>2754</v>
      </c>
      <c r="AF495"/>
      <c r="AG495"/>
      <c r="AH495" t="str">
        <f t="shared" si="88"/>
        <v>INSERT INTO horario_curso_materia (horario_curso_materia.FK_CUR_mat,horario_curso_materia.FK_HOR,horario_curso_materia.DIA,horario_curso_materia.tipo_turno) VALUES (  (SELECT curso_materia.ID_CUR_MAT FROM curso_materia WHERE curso_materia.CUPOF='2232469' ) ,
    (SELECT horario.ID_HOR FROM horario WHERE horario.modulo='1 ' and horario.turno='M ' ),'LUNES ' , '0 ' );</v>
      </c>
    </row>
    <row r="496" spans="1:34" s="19" customFormat="1" ht="15" hidden="1" customHeight="1" x14ac:dyDescent="0.3">
      <c r="A496" s="1" t="str">
        <f t="shared" si="81"/>
        <v>3°5°</v>
      </c>
      <c r="B496" s="54" t="str">
        <f t="shared" si="90"/>
        <v>3°5°1maVESPERTINO352</v>
      </c>
      <c r="C496" s="62">
        <f>VLOOKUP(G496,[1]Hoja1!$A:$O,3,0)</f>
        <v>352</v>
      </c>
      <c r="D496" s="2" t="str">
        <f t="shared" si="91"/>
        <v>1maVCARPINTERIA</v>
      </c>
      <c r="E496" s="62" t="s">
        <v>88</v>
      </c>
      <c r="F496" s="62" t="s">
        <v>125</v>
      </c>
      <c r="G496" s="62" t="s">
        <v>130</v>
      </c>
      <c r="H496" s="8" t="str">
        <f>VLOOKUP(G496,[1]Hoja1!$A:$O,6,0)</f>
        <v>SISTEMAS TECNOLOGICOS</v>
      </c>
      <c r="I496" s="4" t="s">
        <v>23</v>
      </c>
      <c r="J496" s="4"/>
      <c r="K496" s="80" t="str">
        <f t="shared" si="89"/>
        <v>ma</v>
      </c>
      <c r="L496" s="4" t="s">
        <v>512</v>
      </c>
      <c r="M496" s="86" t="str">
        <f>VLOOKUP(G496,[1]Hoja1!$A:$O,15,0)</f>
        <v>ARNALDO ESCALADA</v>
      </c>
      <c r="N496" s="2" t="str">
        <f t="shared" si="82"/>
        <v>3°5°3523TST3ma</v>
      </c>
      <c r="O496" s="2"/>
      <c r="P496" s="2" t="str">
        <f>VLOOKUP(G496,[1]Hoja1!$A:$P,16,0)</f>
        <v xml:space="preserve"> </v>
      </c>
      <c r="Q496" s="2"/>
      <c r="R496" s="7"/>
      <c r="S496">
        <f>VLOOKUP(G496,[1]Hoja1!$A:$O,5,0)</f>
        <v>2232477</v>
      </c>
      <c r="T496"/>
      <c r="U496" s="45" t="s">
        <v>2751</v>
      </c>
      <c r="V496" s="46">
        <f t="shared" si="83"/>
        <v>2232477</v>
      </c>
      <c r="W496" s="47" t="s">
        <v>1519</v>
      </c>
      <c r="X496" s="46" t="str">
        <f t="shared" si="84"/>
        <v>1</v>
      </c>
      <c r="Y496" s="47" t="s">
        <v>1518</v>
      </c>
      <c r="Z496" s="46" t="str">
        <f t="shared" si="85"/>
        <v>V</v>
      </c>
      <c r="AA496" s="47" t="s">
        <v>2752</v>
      </c>
      <c r="AB496" s="46" t="str">
        <f t="shared" si="86"/>
        <v>MARTES</v>
      </c>
      <c r="AC496" s="47" t="s">
        <v>2753</v>
      </c>
      <c r="AD496" t="str">
        <f t="shared" si="87"/>
        <v>CONTRATURNO</v>
      </c>
      <c r="AE496" s="47" t="s">
        <v>2754</v>
      </c>
      <c r="AF496"/>
      <c r="AG496"/>
      <c r="AH496" t="str">
        <f t="shared" si="88"/>
        <v>INSERT INTO horario_curso_materia (horario_curso_materia.FK_CUR_mat,horario_curso_materia.FK_HOR,horario_curso_materia.DIA,horario_curso_materia.tipo_turno) VALUES (  (SELECT curso_materia.ID_CUR_MAT FROM curso_materia WHERE curso_materia.CUPOF='2232477' ) ,
    (SELECT horario.ID_HOR FROM horario WHERE horario.modulo='1 ' and horario.turno='V ' ),'MARTES ' , 'CONTRATURNO ' );</v>
      </c>
    </row>
    <row r="497" spans="1:34" s="19" customFormat="1" ht="15" hidden="1" customHeight="1" x14ac:dyDescent="0.3">
      <c r="A497" s="1" t="str">
        <f t="shared" si="81"/>
        <v>3°5°</v>
      </c>
      <c r="B497" s="54" t="str">
        <f t="shared" si="90"/>
        <v>3°5°1MAMAÑANA0</v>
      </c>
      <c r="C497" s="62">
        <f>VLOOKUP(G497,[1]Hoja1!$A:$O,3,0)</f>
        <v>0</v>
      </c>
      <c r="D497" s="2" t="str">
        <f t="shared" si="91"/>
        <v>1MAM</v>
      </c>
      <c r="E497" s="62" t="s">
        <v>17</v>
      </c>
      <c r="F497" s="62" t="s">
        <v>27</v>
      </c>
      <c r="G497" s="62" t="s">
        <v>389</v>
      </c>
      <c r="H497" s="8" t="str">
        <f>VLOOKUP(G497,[1]Hoja1!$A:$O,6,0)</f>
        <v>INGLÉS</v>
      </c>
      <c r="I497" s="4"/>
      <c r="J497" s="4"/>
      <c r="K497" s="80" t="str">
        <f t="shared" si="89"/>
        <v>MA</v>
      </c>
      <c r="L497" s="4"/>
      <c r="M497" s="86" t="str">
        <f>VLOOKUP(G497,[1]Hoja1!$A:$O,15,0)</f>
        <v>LOPEZ LILIANA CUIT 27176913881</v>
      </c>
      <c r="N497" s="2" t="str">
        <f t="shared" si="82"/>
        <v>3°5°3INGMA</v>
      </c>
      <c r="O497" s="2"/>
      <c r="P497" s="2" t="str">
        <f>VLOOKUP(G497,[1]Hoja1!$A:$P,16,0)</f>
        <v xml:space="preserve"> </v>
      </c>
      <c r="Q497" s="2"/>
      <c r="R497" s="7"/>
      <c r="S497">
        <f>VLOOKUP(G497,[1]Hoja1!$A:$O,5,0)</f>
        <v>2232468</v>
      </c>
      <c r="T497"/>
      <c r="U497" s="45" t="s">
        <v>2751</v>
      </c>
      <c r="V497" s="46">
        <f t="shared" si="83"/>
        <v>2232468</v>
      </c>
      <c r="W497" s="47" t="s">
        <v>1519</v>
      </c>
      <c r="X497" s="46" t="str">
        <f t="shared" si="84"/>
        <v>1</v>
      </c>
      <c r="Y497" s="47" t="s">
        <v>1518</v>
      </c>
      <c r="Z497" s="46" t="str">
        <f t="shared" si="85"/>
        <v>M</v>
      </c>
      <c r="AA497" s="47" t="s">
        <v>2752</v>
      </c>
      <c r="AB497" s="46" t="str">
        <f t="shared" si="86"/>
        <v>MARTES</v>
      </c>
      <c r="AC497" s="47" t="s">
        <v>2753</v>
      </c>
      <c r="AD497">
        <f t="shared" si="87"/>
        <v>0</v>
      </c>
      <c r="AE497" s="47" t="s">
        <v>2754</v>
      </c>
      <c r="AF497"/>
      <c r="AG497"/>
      <c r="AH497" t="str">
        <f t="shared" si="88"/>
        <v>INSERT INTO horario_curso_materia (horario_curso_materia.FK_CUR_mat,horario_curso_materia.FK_HOR,horario_curso_materia.DIA,horario_curso_materia.tipo_turno) VALUES (  (SELECT curso_materia.ID_CUR_MAT FROM curso_materia WHERE curso_materia.CUPOF='2232468' ) ,
    (SELECT horario.ID_HOR FROM horario WHERE horario.modulo='1 ' and horario.turno='M ' ),'MARTES ' , '0 ' );</v>
      </c>
    </row>
    <row r="498" spans="1:34" ht="15" hidden="1" customHeight="1" x14ac:dyDescent="0.3">
      <c r="A498" s="1" t="str">
        <f t="shared" si="81"/>
        <v>3°5°</v>
      </c>
      <c r="B498" s="54" t="str">
        <f t="shared" si="90"/>
        <v>3°5°1MATARDE351</v>
      </c>
      <c r="C498" s="62">
        <f>VLOOKUP(G498,[1]Hoja1!$A:$O,3,0)</f>
        <v>351</v>
      </c>
      <c r="D498" s="2" t="str">
        <f t="shared" si="91"/>
        <v>1MAT45</v>
      </c>
      <c r="E498" s="62" t="s">
        <v>17</v>
      </c>
      <c r="F498" s="62" t="s">
        <v>10</v>
      </c>
      <c r="G498" s="62" t="s">
        <v>127</v>
      </c>
      <c r="H498" s="8" t="str">
        <f>VLOOKUP(G498,[1]Hoja1!$A:$O,6,0)</f>
        <v>SISTEMAS TECNOLOGICOS</v>
      </c>
      <c r="I498" s="4">
        <v>45</v>
      </c>
      <c r="J498" s="4"/>
      <c r="K498" s="80" t="str">
        <f t="shared" si="89"/>
        <v>MA</v>
      </c>
      <c r="L498" s="4" t="s">
        <v>512</v>
      </c>
      <c r="M498" s="87" t="str">
        <f>VLOOKUP(G498,[1]Hoja1!$A:$O,15,0)</f>
        <v>CRUZ JESUS  NAZARENO</v>
      </c>
      <c r="N498" s="2" t="str">
        <f t="shared" si="82"/>
        <v>3°5°3513TST3MA</v>
      </c>
      <c r="O498" s="2"/>
      <c r="P498" s="2" t="str">
        <f>VLOOKUP(G498,[1]Hoja1!$A:$P,16,0)</f>
        <v xml:space="preserve"> </v>
      </c>
      <c r="Q498" s="2"/>
      <c r="S498">
        <f>VLOOKUP(G498,[1]Hoja1!$A:$O,5,0)</f>
        <v>2232473</v>
      </c>
      <c r="U498" s="45" t="s">
        <v>2751</v>
      </c>
      <c r="V498" s="46">
        <f t="shared" si="83"/>
        <v>2232473</v>
      </c>
      <c r="W498" s="47" t="s">
        <v>1519</v>
      </c>
      <c r="X498" s="46" t="str">
        <f t="shared" si="84"/>
        <v>1</v>
      </c>
      <c r="Y498" s="47" t="s">
        <v>1518</v>
      </c>
      <c r="Z498" s="46" t="str">
        <f t="shared" si="85"/>
        <v>T</v>
      </c>
      <c r="AA498" s="47" t="s">
        <v>2752</v>
      </c>
      <c r="AB498" s="46" t="str">
        <f t="shared" si="86"/>
        <v>MARTES</v>
      </c>
      <c r="AC498" s="47" t="s">
        <v>2753</v>
      </c>
      <c r="AD498" t="str">
        <f t="shared" si="87"/>
        <v>CONTRATURNO</v>
      </c>
      <c r="AE498" s="47" t="s">
        <v>2754</v>
      </c>
      <c r="AH498" t="str">
        <f t="shared" si="88"/>
        <v>INSERT INTO horario_curso_materia (horario_curso_materia.FK_CUR_mat,horario_curso_materia.FK_HOR,horario_curso_materia.DIA,horario_curso_materia.tipo_turno) VALUES (  (SELECT curso_materia.ID_CUR_MAT FROM curso_materia WHERE curso_materia.CUPOF='2232473' ) ,
    (SELECT horario.ID_HOR FROM horario WHERE horario.modulo='1 ' and horario.turno='T ' ),'MARTES ' , 'CONTRATURNO ' );</v>
      </c>
    </row>
    <row r="499" spans="1:34" ht="15" hidden="1" customHeight="1" x14ac:dyDescent="0.3">
      <c r="A499" s="1" t="str">
        <f t="shared" si="81"/>
        <v>3°5°</v>
      </c>
      <c r="B499" s="54" t="str">
        <f t="shared" si="90"/>
        <v>3°5°1MIMAÑANA0</v>
      </c>
      <c r="C499" s="62">
        <f>VLOOKUP(G499,[1]Hoja1!$A:$O,3,0)</f>
        <v>0</v>
      </c>
      <c r="D499" s="2" t="str">
        <f t="shared" si="91"/>
        <v>1MIM</v>
      </c>
      <c r="E499" s="62" t="s">
        <v>24</v>
      </c>
      <c r="F499" s="62" t="s">
        <v>27</v>
      </c>
      <c r="G499" s="62" t="s">
        <v>391</v>
      </c>
      <c r="H499" s="8" t="str">
        <f>VLOOKUP(G499,[1]Hoja1!$A:$O,6,0)</f>
        <v>EDUCACION ARTISTICA (PLASTICA)</v>
      </c>
      <c r="I499" s="4"/>
      <c r="J499" s="4"/>
      <c r="K499" s="80" t="str">
        <f t="shared" si="89"/>
        <v>MI</v>
      </c>
      <c r="L499" s="4"/>
      <c r="M499" s="86" t="str">
        <f>VLOOKUP(G499,[1]Hoja1!$A:$O,15,0)</f>
        <v xml:space="preserve">ISSETTA LORENA </v>
      </c>
      <c r="N499" s="2" t="str">
        <f t="shared" si="82"/>
        <v>3°5°3ARTMI</v>
      </c>
      <c r="O499" s="2"/>
      <c r="P499" s="2" t="str">
        <f>VLOOKUP(G499,[1]Hoja1!$A:$P,16,0)</f>
        <v xml:space="preserve"> </v>
      </c>
      <c r="Q499" s="2"/>
      <c r="S499">
        <f>VLOOKUP(G499,[1]Hoja1!$A:$O,5,0)</f>
        <v>2232463</v>
      </c>
      <c r="U499" s="45" t="s">
        <v>2751</v>
      </c>
      <c r="V499" s="46">
        <f t="shared" si="83"/>
        <v>2232463</v>
      </c>
      <c r="W499" s="47" t="s">
        <v>1519</v>
      </c>
      <c r="X499" s="46" t="str">
        <f t="shared" si="84"/>
        <v>1</v>
      </c>
      <c r="Y499" s="47" t="s">
        <v>1518</v>
      </c>
      <c r="Z499" s="46" t="str">
        <f t="shared" si="85"/>
        <v>M</v>
      </c>
      <c r="AA499" s="47" t="s">
        <v>2752</v>
      </c>
      <c r="AB499" s="46" t="str">
        <f t="shared" si="86"/>
        <v>MIERCOLES</v>
      </c>
      <c r="AC499" s="47" t="s">
        <v>2753</v>
      </c>
      <c r="AD499">
        <f t="shared" si="87"/>
        <v>0</v>
      </c>
      <c r="AE499" s="47" t="s">
        <v>2754</v>
      </c>
      <c r="AH499" t="str">
        <f t="shared" si="88"/>
        <v>INSERT INTO horario_curso_materia (horario_curso_materia.FK_CUR_mat,horario_curso_materia.FK_HOR,horario_curso_materia.DIA,horario_curso_materia.tipo_turno) VALUES (  (SELECT curso_materia.ID_CUR_MAT FROM curso_materia WHERE curso_materia.CUPOF='2232463' ) ,
    (SELECT horario.ID_HOR FROM horario WHERE horario.modulo='1 ' and horario.turno='M ' ),'MIERCOLES ' , '0 ' );</v>
      </c>
    </row>
    <row r="500" spans="1:34" ht="15" hidden="1" customHeight="1" x14ac:dyDescent="0.3">
      <c r="A500" s="1" t="str">
        <f t="shared" si="81"/>
        <v>3°5°</v>
      </c>
      <c r="B500" s="54" t="str">
        <f t="shared" si="90"/>
        <v>3°5°1MITARDE0</v>
      </c>
      <c r="C500" s="62">
        <f>VLOOKUP(G500,[1]Hoja1!$A:$O,3,0)</f>
        <v>0</v>
      </c>
      <c r="D500" s="2" t="str">
        <f t="shared" si="91"/>
        <v>1MITPATIO2</v>
      </c>
      <c r="E500" s="62" t="s">
        <v>24</v>
      </c>
      <c r="F500" s="62" t="s">
        <v>10</v>
      </c>
      <c r="G500" s="62" t="s">
        <v>396</v>
      </c>
      <c r="H500" s="8" t="str">
        <f>VLOOKUP(G500,[1]Hoja1!$A:$O,6,0)</f>
        <v>EDUCACIÓN FISICA</v>
      </c>
      <c r="I500" s="4" t="s">
        <v>295</v>
      </c>
      <c r="J500" s="4"/>
      <c r="K500" s="80" t="str">
        <f t="shared" si="89"/>
        <v>MI</v>
      </c>
      <c r="L500" s="4" t="s">
        <v>512</v>
      </c>
      <c r="M500" s="86" t="str">
        <f>VLOOKUP(G500,[1]Hoja1!$A:$O,15,0)</f>
        <v xml:space="preserve">LUDUEÑA NELSON </v>
      </c>
      <c r="N500" s="2" t="str">
        <f t="shared" si="82"/>
        <v>3°5°3EFIMI</v>
      </c>
      <c r="O500" s="2"/>
      <c r="P500" s="2" t="str">
        <f>VLOOKUP(G500,[1]Hoja1!$A:$P,16,0)</f>
        <v xml:space="preserve"> </v>
      </c>
      <c r="Q500" s="2"/>
      <c r="S500">
        <f>VLOOKUP(G500,[1]Hoja1!$A:$O,5,0)</f>
        <v>2232464</v>
      </c>
      <c r="U500" s="45" t="s">
        <v>2751</v>
      </c>
      <c r="V500" s="46">
        <f t="shared" si="83"/>
        <v>2232464</v>
      </c>
      <c r="W500" s="47" t="s">
        <v>1519</v>
      </c>
      <c r="X500" s="46" t="str">
        <f t="shared" si="84"/>
        <v>1</v>
      </c>
      <c r="Y500" s="47" t="s">
        <v>1518</v>
      </c>
      <c r="Z500" s="46" t="str">
        <f t="shared" si="85"/>
        <v>T</v>
      </c>
      <c r="AA500" s="47" t="s">
        <v>2752</v>
      </c>
      <c r="AB500" s="46" t="str">
        <f t="shared" si="86"/>
        <v>MIERCOLES</v>
      </c>
      <c r="AC500" s="47" t="s">
        <v>2753</v>
      </c>
      <c r="AD500" t="str">
        <f t="shared" si="87"/>
        <v>CONTRATURNO</v>
      </c>
      <c r="AE500" s="47" t="s">
        <v>2754</v>
      </c>
      <c r="AH500" t="str">
        <f t="shared" si="88"/>
        <v>INSERT INTO horario_curso_materia (horario_curso_materia.FK_CUR_mat,horario_curso_materia.FK_HOR,horario_curso_materia.DIA,horario_curso_materia.tipo_turno) VALUES (  (SELECT curso_materia.ID_CUR_MAT FROM curso_materia WHERE curso_materia.CUPOF='2232464' ) ,
    (SELECT horario.ID_HOR FROM horario WHERE horario.modulo='1 ' and horario.turno='T ' ),'MIERCOLES ' , 'CONTRATURNO ' );</v>
      </c>
    </row>
    <row r="501" spans="1:34" ht="15" hidden="1" customHeight="1" x14ac:dyDescent="0.3">
      <c r="A501" s="1" t="str">
        <f t="shared" si="81"/>
        <v>3°5°</v>
      </c>
      <c r="B501" s="54" t="str">
        <f t="shared" si="90"/>
        <v>3°5°1VIMAÑANA0</v>
      </c>
      <c r="C501" s="62">
        <f>VLOOKUP(G501,[1]Hoja1!$A:$O,3,0)</f>
        <v>0</v>
      </c>
      <c r="D501" s="2" t="str">
        <f t="shared" si="91"/>
        <v>1VIM</v>
      </c>
      <c r="E501" s="62" t="s">
        <v>57</v>
      </c>
      <c r="F501" s="62" t="s">
        <v>27</v>
      </c>
      <c r="G501" s="62" t="s">
        <v>395</v>
      </c>
      <c r="H501" s="8" t="str">
        <f>VLOOKUP(G501,[1]Hoja1!$A:$O,6,0)</f>
        <v>FISICO-QUIMICA</v>
      </c>
      <c r="I501" s="4"/>
      <c r="J501" s="4"/>
      <c r="K501" s="80" t="str">
        <f t="shared" si="89"/>
        <v>VI</v>
      </c>
      <c r="L501" s="4"/>
      <c r="M501" s="86" t="str">
        <f>VLOOKUP(G501,[1]Hoja1!$A:$O,15,0)</f>
        <v>CANTONI PABLO MARTIN</v>
      </c>
      <c r="N501" s="2" t="str">
        <f t="shared" si="82"/>
        <v>3°5°3FI/QUIVI</v>
      </c>
      <c r="O501" s="2"/>
      <c r="P501" s="2" t="str">
        <f>VLOOKUP(G501,[1]Hoja1!$A:$P,16,0)</f>
        <v xml:space="preserve"> </v>
      </c>
      <c r="Q501" s="2"/>
      <c r="S501">
        <f>VLOOKUP(G501,[1]Hoja1!$A:$O,5,0)</f>
        <v>2232465</v>
      </c>
      <c r="U501" s="45" t="s">
        <v>2751</v>
      </c>
      <c r="V501" s="46">
        <f t="shared" si="83"/>
        <v>2232465</v>
      </c>
      <c r="W501" s="47" t="s">
        <v>1519</v>
      </c>
      <c r="X501" s="46" t="str">
        <f t="shared" si="84"/>
        <v>1</v>
      </c>
      <c r="Y501" s="47" t="s">
        <v>1518</v>
      </c>
      <c r="Z501" s="46" t="str">
        <f t="shared" si="85"/>
        <v>M</v>
      </c>
      <c r="AA501" s="47" t="s">
        <v>2752</v>
      </c>
      <c r="AB501" s="46" t="str">
        <f t="shared" si="86"/>
        <v>VIERNES</v>
      </c>
      <c r="AC501" s="47" t="s">
        <v>2753</v>
      </c>
      <c r="AD501">
        <f t="shared" si="87"/>
        <v>0</v>
      </c>
      <c r="AE501" s="47" t="s">
        <v>2754</v>
      </c>
      <c r="AH501" t="str">
        <f t="shared" si="88"/>
        <v>INSERT INTO horario_curso_materia (horario_curso_materia.FK_CUR_mat,horario_curso_materia.FK_HOR,horario_curso_materia.DIA,horario_curso_materia.tipo_turno) VALUES (  (SELECT curso_materia.ID_CUR_MAT FROM curso_materia WHERE curso_materia.CUPOF='2232465' ) ,
    (SELECT horario.ID_HOR FROM horario WHERE horario.modulo='1 ' and horario.turno='M ' ),'VIERNES ' , '0 ' );</v>
      </c>
    </row>
    <row r="502" spans="1:34" ht="15" hidden="1" customHeight="1" x14ac:dyDescent="0.3">
      <c r="A502" s="1" t="str">
        <f t="shared" ref="A502:A560" si="92">LEFT(B502,4)</f>
        <v>3°5°</v>
      </c>
      <c r="B502" s="54" t="str">
        <f t="shared" si="90"/>
        <v>3°5°3VITARDE351</v>
      </c>
      <c r="C502" s="62">
        <f>VLOOKUP(G502,[1]Hoja1!$A:$O,3,0)</f>
        <v>351</v>
      </c>
      <c r="D502" s="2" t="str">
        <f t="shared" si="91"/>
        <v>3VITCARPINTERIA</v>
      </c>
      <c r="E502" s="62" t="s">
        <v>35</v>
      </c>
      <c r="F502" s="62" t="s">
        <v>10</v>
      </c>
      <c r="G502" s="62" t="s">
        <v>128</v>
      </c>
      <c r="H502" s="8" t="str">
        <f>VLOOKUP(G502,[1]Hoja1!$A:$O,6,0)</f>
        <v>PROCEDIMIENTOS TECNICOS</v>
      </c>
      <c r="I502" s="4" t="s">
        <v>23</v>
      </c>
      <c r="J502" s="4"/>
      <c r="K502" s="80" t="str">
        <f t="shared" si="89"/>
        <v>VI</v>
      </c>
      <c r="L502" s="4" t="s">
        <v>512</v>
      </c>
      <c r="M502" s="86" t="str">
        <f>VLOOKUP(G502,[1]Hoja1!$A:$O,15,0)</f>
        <v xml:space="preserve">CRUZ JESUS NAZARENO </v>
      </c>
      <c r="N502" s="2" t="str">
        <f t="shared" ref="N502:N560" si="93">CONCATENATE(G502,LEFT(K502,2))</f>
        <v>3°5°3513TPT3VI</v>
      </c>
      <c r="O502" s="2"/>
      <c r="P502" s="2" t="str">
        <f>VLOOKUP(G502,[1]Hoja1!$A:$P,16,0)</f>
        <v xml:space="preserve"> </v>
      </c>
      <c r="Q502" s="2"/>
      <c r="S502">
        <f>VLOOKUP(G502,[1]Hoja1!$A:$O,5,0)</f>
        <v>2232475</v>
      </c>
      <c r="U502" s="45" t="s">
        <v>2751</v>
      </c>
      <c r="V502" s="46">
        <f t="shared" ref="V502:V560" si="94">S502</f>
        <v>2232475</v>
      </c>
      <c r="W502" s="47" t="s">
        <v>1519</v>
      </c>
      <c r="X502" s="46" t="str">
        <f t="shared" ref="X502:X560" si="95">IF(LEFT(E502,1)="p","prehora",LEFT(E502,1))</f>
        <v>3</v>
      </c>
      <c r="Y502" s="47" t="s">
        <v>1518</v>
      </c>
      <c r="Z502" s="46" t="str">
        <f t="shared" ref="Z502:Z560" si="96">LEFT(F502,1)</f>
        <v>T</v>
      </c>
      <c r="AA502" s="47" t="s">
        <v>2752</v>
      </c>
      <c r="AB502" s="46" t="str">
        <f t="shared" ref="AB502:AB560" si="97">IF(IF(LEFT(E502,1)="p",MID(E502,8,2),MID(E502,2,2))="lu","LUNES",IF(IF(LEFT(E502,1)="p",MID(E502,8,2),MID(E502,2,2))="ma","MARTES",IF(IF(LEFT(E502,1)="p",MID(E502,8,2),MID(E502,2,2))="MI","MIERCOLES",IF(IF(LEFT(E502,1)="p",MID(E502,8,2),MID(E502,2,2))="JU","JUEVES",IF(IF(LEFT(E502,1)="p",MID(E502,8,2),MID(E502,2,2))="vi","VIERNES","")))))</f>
        <v>VIERNES</v>
      </c>
      <c r="AC502" s="47" t="s">
        <v>2753</v>
      </c>
      <c r="AD502" t="str">
        <f t="shared" ref="AD502:AD560" si="98">L502</f>
        <v>CONTRATURNO</v>
      </c>
      <c r="AE502" s="47" t="s">
        <v>2754</v>
      </c>
      <c r="AH502" t="str">
        <f t="shared" ref="AH502:AH560" si="99">U502&amp;V502&amp;W502&amp;X502&amp;Y502&amp;Z502&amp;AA502&amp;AB502&amp;AC502&amp;AD502&amp;AE502</f>
        <v>INSERT INTO horario_curso_materia (horario_curso_materia.FK_CUR_mat,horario_curso_materia.FK_HOR,horario_curso_materia.DIA,horario_curso_materia.tipo_turno) VALUES (  (SELECT curso_materia.ID_CUR_MAT FROM curso_materia WHERE curso_materia.CUPOF='2232475' ) ,
    (SELECT horario.ID_HOR FROM horario WHERE horario.modulo='3 ' and horario.turno='T ' ),'VIERNES ' , 'CONTRATURNO ' );</v>
      </c>
    </row>
    <row r="503" spans="1:34" ht="15" hidden="1" customHeight="1" x14ac:dyDescent="0.3">
      <c r="A503" s="1" t="str">
        <f t="shared" si="92"/>
        <v>3°5°</v>
      </c>
      <c r="B503" s="54" t="str">
        <f t="shared" si="90"/>
        <v>3°5°2JUMAÑANA0</v>
      </c>
      <c r="C503" s="62">
        <f>VLOOKUP(G503,[1]Hoja1!$A:$O,3,0)</f>
        <v>0</v>
      </c>
      <c r="D503" s="2" t="str">
        <f t="shared" si="91"/>
        <v>2JUM</v>
      </c>
      <c r="E503" s="62" t="s">
        <v>45</v>
      </c>
      <c r="F503" s="62" t="s">
        <v>27</v>
      </c>
      <c r="G503" s="62" t="s">
        <v>387</v>
      </c>
      <c r="H503" s="8" t="str">
        <f>VLOOKUP(G503,[1]Hoja1!$A:$O,6,0)</f>
        <v>BIOLOGIA</v>
      </c>
      <c r="I503" s="4"/>
      <c r="J503" s="4"/>
      <c r="K503" s="80" t="str">
        <f t="shared" si="89"/>
        <v>JU</v>
      </c>
      <c r="L503" s="4"/>
      <c r="M503" s="86" t="str">
        <f>VLOOKUP(G503,[1]Hoja1!$A:$O,15,0)</f>
        <v>FARIAS CLAUDIA</v>
      </c>
      <c r="N503" s="2" t="str">
        <f t="shared" si="93"/>
        <v>3°5°3BIOJU</v>
      </c>
      <c r="O503" s="2"/>
      <c r="P503" s="2" t="str">
        <f>VLOOKUP(G503,[1]Hoja1!$A:$P,16,0)</f>
        <v xml:space="preserve"> </v>
      </c>
      <c r="Q503" s="2"/>
      <c r="S503">
        <f>VLOOKUP(G503,[1]Hoja1!$A:$O,5,0)</f>
        <v>2232461</v>
      </c>
      <c r="U503" s="45" t="s">
        <v>2751</v>
      </c>
      <c r="V503" s="46">
        <f t="shared" si="94"/>
        <v>2232461</v>
      </c>
      <c r="W503" s="47" t="s">
        <v>1519</v>
      </c>
      <c r="X503" s="46" t="str">
        <f t="shared" si="95"/>
        <v>2</v>
      </c>
      <c r="Y503" s="47" t="s">
        <v>1518</v>
      </c>
      <c r="Z503" s="46" t="str">
        <f t="shared" si="96"/>
        <v>M</v>
      </c>
      <c r="AA503" s="47" t="s">
        <v>2752</v>
      </c>
      <c r="AB503" s="46" t="str">
        <f t="shared" si="97"/>
        <v>JUEVES</v>
      </c>
      <c r="AC503" s="47" t="s">
        <v>2753</v>
      </c>
      <c r="AD503">
        <f t="shared" si="98"/>
        <v>0</v>
      </c>
      <c r="AE503" s="47" t="s">
        <v>2754</v>
      </c>
      <c r="AH503" t="str">
        <f t="shared" si="99"/>
        <v>INSERT INTO horario_curso_materia (horario_curso_materia.FK_CUR_mat,horario_curso_materia.FK_HOR,horario_curso_materia.DIA,horario_curso_materia.tipo_turno) VALUES (  (SELECT curso_materia.ID_CUR_MAT FROM curso_materia WHERE curso_materia.CUPOF='2232461' ) ,
    (SELECT horario.ID_HOR FROM horario WHERE horario.modulo='2 ' and horario.turno='M ' ),'JUEVES ' , '0 ' );</v>
      </c>
    </row>
    <row r="504" spans="1:34" ht="15" hidden="1" customHeight="1" x14ac:dyDescent="0.3">
      <c r="A504" s="1" t="str">
        <f t="shared" si="92"/>
        <v>3°5°</v>
      </c>
      <c r="B504" s="54" t="str">
        <f t="shared" si="90"/>
        <v>3°5°2LUMAÑANA0</v>
      </c>
      <c r="C504" s="62">
        <f>VLOOKUP(G504,[1]Hoja1!$A:$O,3,0)</f>
        <v>0</v>
      </c>
      <c r="D504" s="2" t="str">
        <f t="shared" si="91"/>
        <v>2LUM</v>
      </c>
      <c r="E504" s="62" t="s">
        <v>12</v>
      </c>
      <c r="F504" s="62" t="s">
        <v>27</v>
      </c>
      <c r="G504" s="62" t="s">
        <v>388</v>
      </c>
      <c r="H504" s="8" t="str">
        <f>VLOOKUP(G504,[1]Hoja1!$A:$O,6,0)</f>
        <v>MATEMATICA</v>
      </c>
      <c r="I504" s="4"/>
      <c r="J504" s="4"/>
      <c r="K504" s="80" t="str">
        <f t="shared" si="89"/>
        <v>LU</v>
      </c>
      <c r="L504" s="4"/>
      <c r="M504" s="86" t="str">
        <f>VLOOKUP(G504,[1]Hoja1!$A:$O,15,0)</f>
        <v xml:space="preserve"> FERRARIS OJEDA JULIETA MAR</v>
      </c>
      <c r="N504" s="2" t="str">
        <f t="shared" si="93"/>
        <v>3°5°3MATLU</v>
      </c>
      <c r="O504" s="2"/>
      <c r="P504" s="2" t="str">
        <f>VLOOKUP(G504,[1]Hoja1!$A:$P,16,0)</f>
        <v xml:space="preserve"> </v>
      </c>
      <c r="Q504" s="2"/>
      <c r="S504">
        <f>VLOOKUP(G504,[1]Hoja1!$A:$O,5,0)</f>
        <v>2232469</v>
      </c>
      <c r="U504" s="45" t="s">
        <v>2751</v>
      </c>
      <c r="V504" s="46">
        <f t="shared" si="94"/>
        <v>2232469</v>
      </c>
      <c r="W504" s="47" t="s">
        <v>1519</v>
      </c>
      <c r="X504" s="46" t="str">
        <f t="shared" si="95"/>
        <v>2</v>
      </c>
      <c r="Y504" s="47" t="s">
        <v>1518</v>
      </c>
      <c r="Z504" s="46" t="str">
        <f t="shared" si="96"/>
        <v>M</v>
      </c>
      <c r="AA504" s="47" t="s">
        <v>2752</v>
      </c>
      <c r="AB504" s="46" t="str">
        <f t="shared" si="97"/>
        <v>LUNES</v>
      </c>
      <c r="AC504" s="47" t="s">
        <v>2753</v>
      </c>
      <c r="AD504">
        <f t="shared" si="98"/>
        <v>0</v>
      </c>
      <c r="AE504" s="47" t="s">
        <v>2754</v>
      </c>
      <c r="AH504" t="str">
        <f t="shared" si="99"/>
        <v>INSERT INTO horario_curso_materia (horario_curso_materia.FK_CUR_mat,horario_curso_materia.FK_HOR,horario_curso_materia.DIA,horario_curso_materia.tipo_turno) VALUES (  (SELECT curso_materia.ID_CUR_MAT FROM curso_materia WHERE curso_materia.CUPOF='2232469' ) ,
    (SELECT horario.ID_HOR FROM horario WHERE horario.modulo='2 ' and horario.turno='M ' ),'LUNES ' , '0 ' );</v>
      </c>
    </row>
    <row r="505" spans="1:34" ht="15" hidden="1" customHeight="1" x14ac:dyDescent="0.3">
      <c r="A505" s="1" t="str">
        <f t="shared" si="92"/>
        <v>3°5°</v>
      </c>
      <c r="B505" s="54" t="str">
        <f t="shared" si="90"/>
        <v>3°5°2maVESPERTINO352</v>
      </c>
      <c r="C505" s="62">
        <f>VLOOKUP(G505,[1]Hoja1!$A:$O,3,0)</f>
        <v>352</v>
      </c>
      <c r="D505" s="2" t="str">
        <f t="shared" si="91"/>
        <v>2maVCARPINTERIA</v>
      </c>
      <c r="E505" s="62" t="s">
        <v>90</v>
      </c>
      <c r="F505" s="62" t="s">
        <v>125</v>
      </c>
      <c r="G505" s="62" t="s">
        <v>130</v>
      </c>
      <c r="H505" s="8" t="str">
        <f>VLOOKUP(G505,[1]Hoja1!$A:$O,6,0)</f>
        <v>SISTEMAS TECNOLOGICOS</v>
      </c>
      <c r="I505" s="4" t="s">
        <v>23</v>
      </c>
      <c r="J505" s="4"/>
      <c r="K505" s="80" t="str">
        <f t="shared" si="89"/>
        <v>ma</v>
      </c>
      <c r="L505" s="4" t="s">
        <v>512</v>
      </c>
      <c r="M505" s="86" t="str">
        <f>VLOOKUP(G505,[1]Hoja1!$A:$O,15,0)</f>
        <v>ARNALDO ESCALADA</v>
      </c>
      <c r="N505" s="2" t="str">
        <f t="shared" si="93"/>
        <v>3°5°3523TST3ma</v>
      </c>
      <c r="O505" s="2"/>
      <c r="P505" s="2" t="str">
        <f>VLOOKUP(G505,[1]Hoja1!$A:$P,16,0)</f>
        <v xml:space="preserve"> </v>
      </c>
      <c r="Q505" s="2"/>
      <c r="S505">
        <f>VLOOKUP(G505,[1]Hoja1!$A:$O,5,0)</f>
        <v>2232477</v>
      </c>
      <c r="U505" s="45" t="s">
        <v>2751</v>
      </c>
      <c r="V505" s="46">
        <f t="shared" si="94"/>
        <v>2232477</v>
      </c>
      <c r="W505" s="47" t="s">
        <v>1519</v>
      </c>
      <c r="X505" s="46" t="str">
        <f t="shared" si="95"/>
        <v>2</v>
      </c>
      <c r="Y505" s="47" t="s">
        <v>1518</v>
      </c>
      <c r="Z505" s="46" t="str">
        <f t="shared" si="96"/>
        <v>V</v>
      </c>
      <c r="AA505" s="47" t="s">
        <v>2752</v>
      </c>
      <c r="AB505" s="46" t="str">
        <f t="shared" si="97"/>
        <v>MARTES</v>
      </c>
      <c r="AC505" s="47" t="s">
        <v>2753</v>
      </c>
      <c r="AD505" t="str">
        <f t="shared" si="98"/>
        <v>CONTRATURNO</v>
      </c>
      <c r="AE505" s="47" t="s">
        <v>2754</v>
      </c>
      <c r="AH505" t="str">
        <f t="shared" si="99"/>
        <v>INSERT INTO horario_curso_materia (horario_curso_materia.FK_CUR_mat,horario_curso_materia.FK_HOR,horario_curso_materia.DIA,horario_curso_materia.tipo_turno) VALUES (  (SELECT curso_materia.ID_CUR_MAT FROM curso_materia WHERE curso_materia.CUPOF='2232477' ) ,
    (SELECT horario.ID_HOR FROM horario WHERE horario.modulo='2 ' and horario.turno='V ' ),'MARTES ' , 'CONTRATURNO ' );</v>
      </c>
    </row>
    <row r="506" spans="1:34" ht="15" hidden="1" customHeight="1" x14ac:dyDescent="0.3">
      <c r="A506" s="1" t="str">
        <f t="shared" si="92"/>
        <v>3°5°</v>
      </c>
      <c r="B506" s="54" t="str">
        <f t="shared" si="90"/>
        <v>3°5°2MAMAÑANA0</v>
      </c>
      <c r="C506" s="62">
        <f>VLOOKUP(G506,[1]Hoja1!$A:$O,3,0)</f>
        <v>0</v>
      </c>
      <c r="D506" s="2" t="str">
        <f t="shared" si="91"/>
        <v>2MAM</v>
      </c>
      <c r="E506" s="62" t="s">
        <v>19</v>
      </c>
      <c r="F506" s="62" t="s">
        <v>27</v>
      </c>
      <c r="G506" s="62" t="s">
        <v>389</v>
      </c>
      <c r="H506" s="8" t="str">
        <f>VLOOKUP(G506,[1]Hoja1!$A:$O,6,0)</f>
        <v>INGLÉS</v>
      </c>
      <c r="I506" s="4"/>
      <c r="J506" s="4"/>
      <c r="K506" s="80" t="str">
        <f t="shared" si="89"/>
        <v>MA</v>
      </c>
      <c r="L506" s="4"/>
      <c r="M506" s="86" t="str">
        <f>VLOOKUP(G506,[1]Hoja1!$A:$O,15,0)</f>
        <v>LOPEZ LILIANA CUIT 27176913881</v>
      </c>
      <c r="N506" s="2" t="str">
        <f t="shared" si="93"/>
        <v>3°5°3INGMA</v>
      </c>
      <c r="O506" s="2"/>
      <c r="P506" s="2" t="str">
        <f>VLOOKUP(G506,[1]Hoja1!$A:$P,16,0)</f>
        <v xml:space="preserve"> </v>
      </c>
      <c r="Q506" s="2"/>
      <c r="S506">
        <f>VLOOKUP(G506,[1]Hoja1!$A:$O,5,0)</f>
        <v>2232468</v>
      </c>
      <c r="U506" s="45" t="s">
        <v>2751</v>
      </c>
      <c r="V506" s="46">
        <f t="shared" si="94"/>
        <v>2232468</v>
      </c>
      <c r="W506" s="47" t="s">
        <v>1519</v>
      </c>
      <c r="X506" s="46" t="str">
        <f t="shared" si="95"/>
        <v>2</v>
      </c>
      <c r="Y506" s="47" t="s">
        <v>1518</v>
      </c>
      <c r="Z506" s="46" t="str">
        <f t="shared" si="96"/>
        <v>M</v>
      </c>
      <c r="AA506" s="47" t="s">
        <v>2752</v>
      </c>
      <c r="AB506" s="46" t="str">
        <f t="shared" si="97"/>
        <v>MARTES</v>
      </c>
      <c r="AC506" s="47" t="s">
        <v>2753</v>
      </c>
      <c r="AD506">
        <f t="shared" si="98"/>
        <v>0</v>
      </c>
      <c r="AE506" s="47" t="s">
        <v>2754</v>
      </c>
      <c r="AH506" t="str">
        <f t="shared" si="99"/>
        <v>INSERT INTO horario_curso_materia (horario_curso_materia.FK_CUR_mat,horario_curso_materia.FK_HOR,horario_curso_materia.DIA,horario_curso_materia.tipo_turno) VALUES (  (SELECT curso_materia.ID_CUR_MAT FROM curso_materia WHERE curso_materia.CUPOF='2232468' ) ,
    (SELECT horario.ID_HOR FROM horario WHERE horario.modulo='2 ' and horario.turno='M ' ),'MARTES ' , '0 ' );</v>
      </c>
    </row>
    <row r="507" spans="1:34" ht="15" hidden="1" customHeight="1" x14ac:dyDescent="0.3">
      <c r="A507" s="1" t="str">
        <f t="shared" si="92"/>
        <v>3°5°</v>
      </c>
      <c r="B507" s="54" t="str">
        <f t="shared" si="90"/>
        <v>3°5°2MATARDE351</v>
      </c>
      <c r="C507" s="62">
        <f>VLOOKUP(G507,[1]Hoja1!$A:$O,3,0)</f>
        <v>351</v>
      </c>
      <c r="D507" s="2" t="str">
        <f t="shared" si="91"/>
        <v>2MAT45</v>
      </c>
      <c r="E507" s="62" t="s">
        <v>19</v>
      </c>
      <c r="F507" s="62" t="s">
        <v>10</v>
      </c>
      <c r="G507" s="62" t="s">
        <v>127</v>
      </c>
      <c r="H507" s="8" t="str">
        <f>VLOOKUP(G507,[1]Hoja1!$A:$O,6,0)</f>
        <v>SISTEMAS TECNOLOGICOS</v>
      </c>
      <c r="I507" s="4">
        <v>45</v>
      </c>
      <c r="J507" s="4"/>
      <c r="K507" s="80" t="str">
        <f t="shared" si="89"/>
        <v>MA</v>
      </c>
      <c r="L507" s="4" t="s">
        <v>512</v>
      </c>
      <c r="M507" s="87" t="str">
        <f>VLOOKUP(G507,[1]Hoja1!$A:$O,15,0)</f>
        <v>CRUZ JESUS  NAZARENO</v>
      </c>
      <c r="N507" s="2" t="str">
        <f t="shared" si="93"/>
        <v>3°5°3513TST3MA</v>
      </c>
      <c r="O507" s="2"/>
      <c r="P507" s="2" t="str">
        <f>VLOOKUP(G507,[1]Hoja1!$A:$P,16,0)</f>
        <v xml:space="preserve"> </v>
      </c>
      <c r="Q507" s="2"/>
      <c r="S507">
        <f>VLOOKUP(G507,[1]Hoja1!$A:$O,5,0)</f>
        <v>2232473</v>
      </c>
      <c r="U507" s="45" t="s">
        <v>2751</v>
      </c>
      <c r="V507" s="46">
        <f t="shared" si="94"/>
        <v>2232473</v>
      </c>
      <c r="W507" s="47" t="s">
        <v>1519</v>
      </c>
      <c r="X507" s="46" t="str">
        <f t="shared" si="95"/>
        <v>2</v>
      </c>
      <c r="Y507" s="47" t="s">
        <v>1518</v>
      </c>
      <c r="Z507" s="46" t="str">
        <f t="shared" si="96"/>
        <v>T</v>
      </c>
      <c r="AA507" s="47" t="s">
        <v>2752</v>
      </c>
      <c r="AB507" s="46" t="str">
        <f t="shared" si="97"/>
        <v>MARTES</v>
      </c>
      <c r="AC507" s="47" t="s">
        <v>2753</v>
      </c>
      <c r="AD507" t="str">
        <f t="shared" si="98"/>
        <v>CONTRATURNO</v>
      </c>
      <c r="AE507" s="47" t="s">
        <v>2754</v>
      </c>
      <c r="AH507" t="str">
        <f t="shared" si="99"/>
        <v>INSERT INTO horario_curso_materia (horario_curso_materia.FK_CUR_mat,horario_curso_materia.FK_HOR,horario_curso_materia.DIA,horario_curso_materia.tipo_turno) VALUES (  (SELECT curso_materia.ID_CUR_MAT FROM curso_materia WHERE curso_materia.CUPOF='2232473' ) ,
    (SELECT horario.ID_HOR FROM horario WHERE horario.modulo='2 ' and horario.turno='T ' ),'MARTES ' , 'CONTRATURNO ' );</v>
      </c>
    </row>
    <row r="508" spans="1:34" ht="15" hidden="1" customHeight="1" x14ac:dyDescent="0.3">
      <c r="A508" s="1" t="str">
        <f t="shared" si="92"/>
        <v>3°5°</v>
      </c>
      <c r="B508" s="54" t="str">
        <f t="shared" si="90"/>
        <v>3°5°2MIMAÑANA0</v>
      </c>
      <c r="C508" s="62">
        <f>VLOOKUP(G508,[1]Hoja1!$A:$O,3,0)</f>
        <v>0</v>
      </c>
      <c r="D508" s="2" t="str">
        <f t="shared" si="91"/>
        <v>2MIM</v>
      </c>
      <c r="E508" s="62" t="s">
        <v>26</v>
      </c>
      <c r="F508" s="62" t="s">
        <v>27</v>
      </c>
      <c r="G508" s="62" t="s">
        <v>391</v>
      </c>
      <c r="H508" s="8" t="str">
        <f>VLOOKUP(G508,[1]Hoja1!$A:$O,6,0)</f>
        <v>EDUCACION ARTISTICA (PLASTICA)</v>
      </c>
      <c r="I508" s="4"/>
      <c r="J508" s="4"/>
      <c r="K508" s="80" t="str">
        <f t="shared" si="89"/>
        <v>MI</v>
      </c>
      <c r="L508" s="4"/>
      <c r="M508" s="86" t="str">
        <f>VLOOKUP(G508,[1]Hoja1!$A:$O,15,0)</f>
        <v xml:space="preserve">ISSETTA LORENA </v>
      </c>
      <c r="N508" s="2" t="str">
        <f t="shared" si="93"/>
        <v>3°5°3ARTMI</v>
      </c>
      <c r="O508" s="2"/>
      <c r="P508" s="2" t="str">
        <f>VLOOKUP(G508,[1]Hoja1!$A:$P,16,0)</f>
        <v xml:space="preserve"> </v>
      </c>
      <c r="Q508" s="2"/>
      <c r="S508">
        <f>VLOOKUP(G508,[1]Hoja1!$A:$O,5,0)</f>
        <v>2232463</v>
      </c>
      <c r="U508" s="45" t="s">
        <v>2751</v>
      </c>
      <c r="V508" s="46">
        <f t="shared" si="94"/>
        <v>2232463</v>
      </c>
      <c r="W508" s="47" t="s">
        <v>1519</v>
      </c>
      <c r="X508" s="46" t="str">
        <f t="shared" si="95"/>
        <v>2</v>
      </c>
      <c r="Y508" s="47" t="s">
        <v>1518</v>
      </c>
      <c r="Z508" s="46" t="str">
        <f t="shared" si="96"/>
        <v>M</v>
      </c>
      <c r="AA508" s="47" t="s">
        <v>2752</v>
      </c>
      <c r="AB508" s="46" t="str">
        <f t="shared" si="97"/>
        <v>MIERCOLES</v>
      </c>
      <c r="AC508" s="47" t="s">
        <v>2753</v>
      </c>
      <c r="AD508">
        <f t="shared" si="98"/>
        <v>0</v>
      </c>
      <c r="AE508" s="47" t="s">
        <v>2754</v>
      </c>
      <c r="AH508" t="str">
        <f t="shared" si="99"/>
        <v>INSERT INTO horario_curso_materia (horario_curso_materia.FK_CUR_mat,horario_curso_materia.FK_HOR,horario_curso_materia.DIA,horario_curso_materia.tipo_turno) VALUES (  (SELECT curso_materia.ID_CUR_MAT FROM curso_materia WHERE curso_materia.CUPOF='2232463' ) ,
    (SELECT horario.ID_HOR FROM horario WHERE horario.modulo='2 ' and horario.turno='M ' ),'MIERCOLES ' , '0 ' );</v>
      </c>
    </row>
    <row r="509" spans="1:34" ht="15" hidden="1" customHeight="1" x14ac:dyDescent="0.3">
      <c r="A509" s="1" t="str">
        <f t="shared" si="92"/>
        <v>3°5°</v>
      </c>
      <c r="B509" s="54" t="str">
        <f t="shared" si="90"/>
        <v>3°5°2MITARDE0</v>
      </c>
      <c r="C509" s="62">
        <f>VLOOKUP(G509,[1]Hoja1!$A:$O,3,0)</f>
        <v>0</v>
      </c>
      <c r="D509" s="2" t="str">
        <f t="shared" si="91"/>
        <v>2MITPATIO2</v>
      </c>
      <c r="E509" s="62" t="s">
        <v>26</v>
      </c>
      <c r="F509" s="62" t="s">
        <v>10</v>
      </c>
      <c r="G509" s="62" t="s">
        <v>396</v>
      </c>
      <c r="H509" s="8" t="str">
        <f>VLOOKUP(G509,[1]Hoja1!$A:$O,6,0)</f>
        <v>EDUCACIÓN FISICA</v>
      </c>
      <c r="I509" s="4" t="s">
        <v>295</v>
      </c>
      <c r="J509" s="4"/>
      <c r="K509" s="80" t="str">
        <f t="shared" si="89"/>
        <v>MI</v>
      </c>
      <c r="L509" s="4" t="s">
        <v>512</v>
      </c>
      <c r="M509" s="86" t="str">
        <f>VLOOKUP(G509,[1]Hoja1!$A:$O,15,0)</f>
        <v xml:space="preserve">LUDUEÑA NELSON </v>
      </c>
      <c r="N509" s="2" t="str">
        <f t="shared" si="93"/>
        <v>3°5°3EFIMI</v>
      </c>
      <c r="O509" s="2"/>
      <c r="P509" s="2" t="str">
        <f>VLOOKUP(G509,[1]Hoja1!$A:$P,16,0)</f>
        <v xml:space="preserve"> </v>
      </c>
      <c r="Q509" s="2"/>
      <c r="S509">
        <f>VLOOKUP(G509,[1]Hoja1!$A:$O,5,0)</f>
        <v>2232464</v>
      </c>
      <c r="U509" s="45" t="s">
        <v>2751</v>
      </c>
      <c r="V509" s="46">
        <f t="shared" si="94"/>
        <v>2232464</v>
      </c>
      <c r="W509" s="47" t="s">
        <v>1519</v>
      </c>
      <c r="X509" s="46" t="str">
        <f t="shared" si="95"/>
        <v>2</v>
      </c>
      <c r="Y509" s="47" t="s">
        <v>1518</v>
      </c>
      <c r="Z509" s="46" t="str">
        <f t="shared" si="96"/>
        <v>T</v>
      </c>
      <c r="AA509" s="47" t="s">
        <v>2752</v>
      </c>
      <c r="AB509" s="46" t="str">
        <f t="shared" si="97"/>
        <v>MIERCOLES</v>
      </c>
      <c r="AC509" s="47" t="s">
        <v>2753</v>
      </c>
      <c r="AD509" t="str">
        <f t="shared" si="98"/>
        <v>CONTRATURNO</v>
      </c>
      <c r="AE509" s="47" t="s">
        <v>2754</v>
      </c>
      <c r="AH509" t="str">
        <f t="shared" si="99"/>
        <v>INSERT INTO horario_curso_materia (horario_curso_materia.FK_CUR_mat,horario_curso_materia.FK_HOR,horario_curso_materia.DIA,horario_curso_materia.tipo_turno) VALUES (  (SELECT curso_materia.ID_CUR_MAT FROM curso_materia WHERE curso_materia.CUPOF='2232464' ) ,
    (SELECT horario.ID_HOR FROM horario WHERE horario.modulo='2 ' and horario.turno='T ' ),'MIERCOLES ' , 'CONTRATURNO ' );</v>
      </c>
    </row>
    <row r="510" spans="1:34" ht="15" hidden="1" customHeight="1" x14ac:dyDescent="0.3">
      <c r="A510" s="1" t="str">
        <f t="shared" si="92"/>
        <v>3°5°</v>
      </c>
      <c r="B510" s="54" t="str">
        <f t="shared" si="90"/>
        <v>3°5°2VIMAÑANA0</v>
      </c>
      <c r="C510" s="62">
        <f>VLOOKUP(G510,[1]Hoja1!$A:$O,3,0)</f>
        <v>0</v>
      </c>
      <c r="D510" s="2" t="str">
        <f t="shared" si="91"/>
        <v>2VIM</v>
      </c>
      <c r="E510" s="62" t="s">
        <v>59</v>
      </c>
      <c r="F510" s="62" t="s">
        <v>27</v>
      </c>
      <c r="G510" s="62" t="s">
        <v>395</v>
      </c>
      <c r="H510" s="8" t="str">
        <f>VLOOKUP(G510,[1]Hoja1!$A:$O,6,0)</f>
        <v>FISICO-QUIMICA</v>
      </c>
      <c r="I510" s="4"/>
      <c r="J510" s="4"/>
      <c r="K510" s="80" t="str">
        <f t="shared" si="89"/>
        <v>VI</v>
      </c>
      <c r="L510" s="4"/>
      <c r="M510" s="86" t="str">
        <f>VLOOKUP(G510,[1]Hoja1!$A:$O,15,0)</f>
        <v>CANTONI PABLO MARTIN</v>
      </c>
      <c r="N510" s="2" t="str">
        <f t="shared" si="93"/>
        <v>3°5°3FI/QUIVI</v>
      </c>
      <c r="O510" s="2"/>
      <c r="P510" s="2" t="str">
        <f>VLOOKUP(G510,[1]Hoja1!$A:$P,16,0)</f>
        <v xml:space="preserve"> </v>
      </c>
      <c r="Q510" s="2"/>
      <c r="S510">
        <f>VLOOKUP(G510,[1]Hoja1!$A:$O,5,0)</f>
        <v>2232465</v>
      </c>
      <c r="U510" s="45" t="s">
        <v>2751</v>
      </c>
      <c r="V510" s="46">
        <f t="shared" si="94"/>
        <v>2232465</v>
      </c>
      <c r="W510" s="47" t="s">
        <v>1519</v>
      </c>
      <c r="X510" s="46" t="str">
        <f t="shared" si="95"/>
        <v>2</v>
      </c>
      <c r="Y510" s="47" t="s">
        <v>1518</v>
      </c>
      <c r="Z510" s="46" t="str">
        <f t="shared" si="96"/>
        <v>M</v>
      </c>
      <c r="AA510" s="47" t="s">
        <v>2752</v>
      </c>
      <c r="AB510" s="46" t="str">
        <f t="shared" si="97"/>
        <v>VIERNES</v>
      </c>
      <c r="AC510" s="47" t="s">
        <v>2753</v>
      </c>
      <c r="AD510">
        <f t="shared" si="98"/>
        <v>0</v>
      </c>
      <c r="AE510" s="47" t="s">
        <v>2754</v>
      </c>
      <c r="AH510" t="str">
        <f t="shared" si="99"/>
        <v>INSERT INTO horario_curso_materia (horario_curso_materia.FK_CUR_mat,horario_curso_materia.FK_HOR,horario_curso_materia.DIA,horario_curso_materia.tipo_turno) VALUES (  (SELECT curso_materia.ID_CUR_MAT FROM curso_materia WHERE curso_materia.CUPOF='2232465' ) ,
    (SELECT horario.ID_HOR FROM horario WHERE horario.modulo='2 ' and horario.turno='M ' ),'VIERNES ' , '0 ' );</v>
      </c>
    </row>
    <row r="511" spans="1:34" ht="15" hidden="1" customHeight="1" x14ac:dyDescent="0.3">
      <c r="A511" s="1" t="str">
        <f t="shared" si="92"/>
        <v>3°5°</v>
      </c>
      <c r="B511" s="54" t="str">
        <f t="shared" si="90"/>
        <v>3°5°4VITARDE351</v>
      </c>
      <c r="C511" s="62">
        <f>VLOOKUP(G511,[1]Hoja1!$A:$O,3,0)</f>
        <v>351</v>
      </c>
      <c r="D511" s="2" t="str">
        <f t="shared" si="91"/>
        <v>4VITCARPINTERIA</v>
      </c>
      <c r="E511" s="62" t="s">
        <v>36</v>
      </c>
      <c r="F511" s="62" t="s">
        <v>10</v>
      </c>
      <c r="G511" s="62" t="s">
        <v>128</v>
      </c>
      <c r="H511" s="8" t="str">
        <f>VLOOKUP(G511,[1]Hoja1!$A:$O,6,0)</f>
        <v>PROCEDIMIENTOS TECNICOS</v>
      </c>
      <c r="I511" s="4" t="s">
        <v>23</v>
      </c>
      <c r="J511" s="4"/>
      <c r="K511" s="80" t="str">
        <f t="shared" si="89"/>
        <v>VI</v>
      </c>
      <c r="L511" s="4" t="s">
        <v>512</v>
      </c>
      <c r="M511" s="86" t="str">
        <f>VLOOKUP(G511,[1]Hoja1!$A:$O,15,0)</f>
        <v xml:space="preserve">CRUZ JESUS NAZARENO </v>
      </c>
      <c r="N511" s="2" t="str">
        <f t="shared" si="93"/>
        <v>3°5°3513TPT3VI</v>
      </c>
      <c r="O511" s="2"/>
      <c r="P511" s="2" t="str">
        <f>VLOOKUP(G511,[1]Hoja1!$A:$P,16,0)</f>
        <v xml:space="preserve"> </v>
      </c>
      <c r="Q511" s="2"/>
      <c r="S511">
        <f>VLOOKUP(G511,[1]Hoja1!$A:$O,5,0)</f>
        <v>2232475</v>
      </c>
      <c r="U511" s="45" t="s">
        <v>2751</v>
      </c>
      <c r="V511" s="46">
        <f t="shared" si="94"/>
        <v>2232475</v>
      </c>
      <c r="W511" s="47" t="s">
        <v>1519</v>
      </c>
      <c r="X511" s="46" t="str">
        <f t="shared" si="95"/>
        <v>4</v>
      </c>
      <c r="Y511" s="47" t="s">
        <v>1518</v>
      </c>
      <c r="Z511" s="46" t="str">
        <f t="shared" si="96"/>
        <v>T</v>
      </c>
      <c r="AA511" s="47" t="s">
        <v>2752</v>
      </c>
      <c r="AB511" s="46" t="str">
        <f t="shared" si="97"/>
        <v>VIERNES</v>
      </c>
      <c r="AC511" s="47" t="s">
        <v>2753</v>
      </c>
      <c r="AD511" t="str">
        <f t="shared" si="98"/>
        <v>CONTRATURNO</v>
      </c>
      <c r="AE511" s="47" t="s">
        <v>2754</v>
      </c>
      <c r="AH511" t="str">
        <f t="shared" si="99"/>
        <v>INSERT INTO horario_curso_materia (horario_curso_materia.FK_CUR_mat,horario_curso_materia.FK_HOR,horario_curso_materia.DIA,horario_curso_materia.tipo_turno) VALUES (  (SELECT curso_materia.ID_CUR_MAT FROM curso_materia WHERE curso_materia.CUPOF='2232475' ) ,
    (SELECT horario.ID_HOR FROM horario WHERE horario.modulo='4 ' and horario.turno='T ' ),'VIERNES ' , 'CONTRATURNO ' );</v>
      </c>
    </row>
    <row r="512" spans="1:34" ht="15" hidden="1" customHeight="1" x14ac:dyDescent="0.3">
      <c r="A512" s="1" t="str">
        <f t="shared" si="92"/>
        <v>3°5°</v>
      </c>
      <c r="B512" s="54" t="str">
        <f t="shared" si="90"/>
        <v>3°5°3JUMAÑANA0</v>
      </c>
      <c r="C512" s="62">
        <f>VLOOKUP(G512,[1]Hoja1!$A:$O,3,0)</f>
        <v>0</v>
      </c>
      <c r="D512" s="2" t="str">
        <f t="shared" si="91"/>
        <v>3JUM</v>
      </c>
      <c r="E512" s="4" t="s">
        <v>46</v>
      </c>
      <c r="F512" s="62" t="s">
        <v>27</v>
      </c>
      <c r="G512" s="72" t="s">
        <v>388</v>
      </c>
      <c r="H512" s="8" t="str">
        <f>VLOOKUP(G512,[1]Hoja1!$A:$O,6,0)</f>
        <v>MATEMATICA</v>
      </c>
      <c r="I512" s="4"/>
      <c r="J512" s="4"/>
      <c r="K512" s="80" t="str">
        <f t="shared" si="89"/>
        <v>JU</v>
      </c>
      <c r="L512" s="4"/>
      <c r="M512" s="86" t="str">
        <f>VLOOKUP(G512,[1]Hoja1!$A:$O,15,0)</f>
        <v xml:space="preserve"> FERRARIS OJEDA JULIETA MAR</v>
      </c>
      <c r="N512" s="2" t="str">
        <f t="shared" si="93"/>
        <v>3°5°3MATJU</v>
      </c>
      <c r="O512" s="2"/>
      <c r="P512" s="2" t="str">
        <f>VLOOKUP(G512,[1]Hoja1!$A:$P,16,0)</f>
        <v xml:space="preserve"> </v>
      </c>
      <c r="Q512" s="2"/>
      <c r="S512">
        <f>VLOOKUP(G512,[1]Hoja1!$A:$O,5,0)</f>
        <v>2232469</v>
      </c>
      <c r="U512" s="45" t="s">
        <v>2751</v>
      </c>
      <c r="V512" s="46">
        <f t="shared" si="94"/>
        <v>2232469</v>
      </c>
      <c r="W512" s="47" t="s">
        <v>1519</v>
      </c>
      <c r="X512" s="46" t="str">
        <f t="shared" si="95"/>
        <v>3</v>
      </c>
      <c r="Y512" s="47" t="s">
        <v>1518</v>
      </c>
      <c r="Z512" s="46" t="str">
        <f t="shared" si="96"/>
        <v>M</v>
      </c>
      <c r="AA512" s="47" t="s">
        <v>2752</v>
      </c>
      <c r="AB512" s="46" t="str">
        <f t="shared" si="97"/>
        <v>JUEVES</v>
      </c>
      <c r="AC512" s="47" t="s">
        <v>2753</v>
      </c>
      <c r="AD512">
        <f t="shared" si="98"/>
        <v>0</v>
      </c>
      <c r="AE512" s="47" t="s">
        <v>2754</v>
      </c>
      <c r="AH512" t="str">
        <f t="shared" si="99"/>
        <v>INSERT INTO horario_curso_materia (horario_curso_materia.FK_CUR_mat,horario_curso_materia.FK_HOR,horario_curso_materia.DIA,horario_curso_materia.tipo_turno) VALUES (  (SELECT curso_materia.ID_CUR_MAT FROM curso_materia WHERE curso_materia.CUPOF='2232469' ) ,
    (SELECT horario.ID_HOR FROM horario WHERE horario.modulo='3 ' and horario.turno='M ' ),'JUEVES ' , '0 ' );</v>
      </c>
    </row>
    <row r="513" spans="1:34" ht="15" hidden="1" customHeight="1" x14ac:dyDescent="0.3">
      <c r="A513" s="1" t="str">
        <f t="shared" si="92"/>
        <v>3°5°</v>
      </c>
      <c r="B513" s="54" t="str">
        <f t="shared" si="90"/>
        <v>3°5°3juTARDE351</v>
      </c>
      <c r="C513" s="62">
        <f>VLOOKUP(G513,[1]Hoja1!$A:$O,3,0)</f>
        <v>351</v>
      </c>
      <c r="D513" s="2" t="str">
        <f t="shared" si="91"/>
        <v>3juTAULA 4</v>
      </c>
      <c r="E513" s="62" t="s">
        <v>1350</v>
      </c>
      <c r="F513" s="62" t="s">
        <v>10</v>
      </c>
      <c r="G513" s="62" t="s">
        <v>129</v>
      </c>
      <c r="H513" s="8" t="str">
        <f>VLOOKUP(G513,[1]Hoja1!$A:$O,6,0)</f>
        <v>LENGUAJES TECNOLOGICOS</v>
      </c>
      <c r="I513" s="4" t="s">
        <v>1485</v>
      </c>
      <c r="J513" s="4"/>
      <c r="K513" s="80" t="str">
        <f t="shared" ref="K513:K574" si="100">RIGHT(E513,2)</f>
        <v>ju</v>
      </c>
      <c r="L513" s="4" t="s">
        <v>512</v>
      </c>
      <c r="M513" s="86" t="str">
        <f>VLOOKUP(G513,[1]Hoja1!$A:$O,15,0)</f>
        <v xml:space="preserve">PROCHOR JUAN PABLO   </v>
      </c>
      <c r="N513" s="2" t="str">
        <f t="shared" si="93"/>
        <v>3°5°3513TLT3ju</v>
      </c>
      <c r="O513" s="2"/>
      <c r="P513" s="2" t="str">
        <f>VLOOKUP(G513,[1]Hoja1!$A:$P,16,0)</f>
        <v xml:space="preserve"> </v>
      </c>
      <c r="Q513" s="2"/>
      <c r="S513">
        <f>VLOOKUP(G513,[1]Hoja1!$A:$O,5,0)</f>
        <v>2232471</v>
      </c>
      <c r="U513" s="45" t="s">
        <v>2751</v>
      </c>
      <c r="V513" s="46">
        <f t="shared" si="94"/>
        <v>2232471</v>
      </c>
      <c r="W513" s="47" t="s">
        <v>1519</v>
      </c>
      <c r="X513" s="46" t="str">
        <f t="shared" si="95"/>
        <v>3</v>
      </c>
      <c r="Y513" s="47" t="s">
        <v>1518</v>
      </c>
      <c r="Z513" s="46" t="str">
        <f t="shared" si="96"/>
        <v>T</v>
      </c>
      <c r="AA513" s="47" t="s">
        <v>2752</v>
      </c>
      <c r="AB513" s="46" t="str">
        <f t="shared" si="97"/>
        <v>JUEVES</v>
      </c>
      <c r="AC513" s="47" t="s">
        <v>2753</v>
      </c>
      <c r="AD513" t="str">
        <f t="shared" si="98"/>
        <v>CONTRATURNO</v>
      </c>
      <c r="AE513" s="47" t="s">
        <v>2754</v>
      </c>
      <c r="AH513" t="str">
        <f t="shared" si="99"/>
        <v>INSERT INTO horario_curso_materia (horario_curso_materia.FK_CUR_mat,horario_curso_materia.FK_HOR,horario_curso_materia.DIA,horario_curso_materia.tipo_turno) VALUES (  (SELECT curso_materia.ID_CUR_MAT FROM curso_materia WHERE curso_materia.CUPOF='2232471' ) ,
    (SELECT horario.ID_HOR FROM horario WHERE horario.modulo='3 ' and horario.turno='T ' ),'JUEVES ' , 'CONTRATURNO ' );</v>
      </c>
    </row>
    <row r="514" spans="1:34" ht="15" hidden="1" customHeight="1" x14ac:dyDescent="0.3">
      <c r="A514" s="1" t="str">
        <f t="shared" si="92"/>
        <v>3°5°</v>
      </c>
      <c r="B514" s="54" t="str">
        <f t="shared" si="90"/>
        <v>3°5°3LUMAÑANA0</v>
      </c>
      <c r="C514" s="62">
        <f>VLOOKUP(G514,[1]Hoja1!$A:$O,3,0)</f>
        <v>0</v>
      </c>
      <c r="D514" s="2" t="str">
        <f t="shared" si="91"/>
        <v>3LUM</v>
      </c>
      <c r="E514" s="4" t="s">
        <v>29</v>
      </c>
      <c r="F514" s="62" t="s">
        <v>27</v>
      </c>
      <c r="G514" s="72" t="s">
        <v>394</v>
      </c>
      <c r="H514" s="8" t="str">
        <f>VLOOKUP(G514,[1]Hoja1!$A:$O,6,0)</f>
        <v>HISTORIA</v>
      </c>
      <c r="I514" s="4"/>
      <c r="J514" s="4"/>
      <c r="K514" s="80" t="str">
        <f t="shared" si="100"/>
        <v>LU</v>
      </c>
      <c r="L514" s="4"/>
      <c r="M514" s="86" t="str">
        <f>VLOOKUP(G514,[1]Hoja1!$A:$O,15,0)</f>
        <v xml:space="preserve">LOPEZ MARINA  </v>
      </c>
      <c r="N514" s="2" t="str">
        <f t="shared" si="93"/>
        <v>3°5°3HISLU</v>
      </c>
      <c r="O514" s="2"/>
      <c r="P514" s="2" t="str">
        <f>VLOOKUP(G514,[1]Hoja1!$A:$P,16,0)</f>
        <v xml:space="preserve"> </v>
      </c>
      <c r="Q514" s="2"/>
      <c r="S514">
        <f>VLOOKUP(G514,[1]Hoja1!$A:$O,5,0)</f>
        <v>2232467</v>
      </c>
      <c r="U514" s="45" t="s">
        <v>2751</v>
      </c>
      <c r="V514" s="46">
        <f t="shared" si="94"/>
        <v>2232467</v>
      </c>
      <c r="W514" s="47" t="s">
        <v>1519</v>
      </c>
      <c r="X514" s="46" t="str">
        <f t="shared" si="95"/>
        <v>3</v>
      </c>
      <c r="Y514" s="47" t="s">
        <v>1518</v>
      </c>
      <c r="Z514" s="46" t="str">
        <f t="shared" si="96"/>
        <v>M</v>
      </c>
      <c r="AA514" s="47" t="s">
        <v>2752</v>
      </c>
      <c r="AB514" s="46" t="str">
        <f t="shared" si="97"/>
        <v>LUNES</v>
      </c>
      <c r="AC514" s="47" t="s">
        <v>2753</v>
      </c>
      <c r="AD514">
        <f t="shared" si="98"/>
        <v>0</v>
      </c>
      <c r="AE514" s="47" t="s">
        <v>2754</v>
      </c>
      <c r="AH514" t="str">
        <f t="shared" si="99"/>
        <v>INSERT INTO horario_curso_materia (horario_curso_materia.FK_CUR_mat,horario_curso_materia.FK_HOR,horario_curso_materia.DIA,horario_curso_materia.tipo_turno) VALUES (  (SELECT curso_materia.ID_CUR_MAT FROM curso_materia WHERE curso_materia.CUPOF='2232467' ) ,
    (SELECT horario.ID_HOR FROM horario WHERE horario.modulo='3 ' and horario.turno='M ' ),'LUNES ' , '0 ' );</v>
      </c>
    </row>
    <row r="515" spans="1:34" ht="15" hidden="1" customHeight="1" x14ac:dyDescent="0.3">
      <c r="A515" s="1" t="str">
        <f t="shared" si="92"/>
        <v>3°5°</v>
      </c>
      <c r="B515" s="54" t="str">
        <f t="shared" si="90"/>
        <v>3°5°3maVESPERTINO352</v>
      </c>
      <c r="C515" s="62">
        <f>VLOOKUP(G515,[1]Hoja1!$A:$O,3,0)</f>
        <v>352</v>
      </c>
      <c r="D515" s="2" t="str">
        <f t="shared" si="91"/>
        <v>3maVCARPINTERIA</v>
      </c>
      <c r="E515" s="62" t="s">
        <v>1334</v>
      </c>
      <c r="F515" s="62" t="s">
        <v>125</v>
      </c>
      <c r="G515" s="62" t="s">
        <v>130</v>
      </c>
      <c r="H515" s="8" t="str">
        <f>VLOOKUP(G515,[1]Hoja1!$A:$O,6,0)</f>
        <v>SISTEMAS TECNOLOGICOS</v>
      </c>
      <c r="I515" s="4" t="s">
        <v>23</v>
      </c>
      <c r="J515" s="4"/>
      <c r="K515" s="80" t="str">
        <f t="shared" si="100"/>
        <v>ma</v>
      </c>
      <c r="L515" s="4" t="s">
        <v>512</v>
      </c>
      <c r="M515" s="86" t="str">
        <f>VLOOKUP(G515,[1]Hoja1!$A:$O,15,0)</f>
        <v>ARNALDO ESCALADA</v>
      </c>
      <c r="N515" s="2" t="str">
        <f t="shared" si="93"/>
        <v>3°5°3523TST3ma</v>
      </c>
      <c r="O515" s="2"/>
      <c r="P515" s="2" t="str">
        <f>VLOOKUP(G515,[1]Hoja1!$A:$P,16,0)</f>
        <v xml:space="preserve"> </v>
      </c>
      <c r="Q515" s="2"/>
      <c r="S515">
        <f>VLOOKUP(G515,[1]Hoja1!$A:$O,5,0)</f>
        <v>2232477</v>
      </c>
      <c r="U515" s="45" t="s">
        <v>2751</v>
      </c>
      <c r="V515" s="46">
        <f t="shared" si="94"/>
        <v>2232477</v>
      </c>
      <c r="W515" s="47" t="s">
        <v>1519</v>
      </c>
      <c r="X515" s="46" t="str">
        <f t="shared" si="95"/>
        <v>3</v>
      </c>
      <c r="Y515" s="47" t="s">
        <v>1518</v>
      </c>
      <c r="Z515" s="46" t="str">
        <f t="shared" si="96"/>
        <v>V</v>
      </c>
      <c r="AA515" s="47" t="s">
        <v>2752</v>
      </c>
      <c r="AB515" s="46" t="str">
        <f t="shared" si="97"/>
        <v>MARTES</v>
      </c>
      <c r="AC515" s="47" t="s">
        <v>2753</v>
      </c>
      <c r="AD515" t="str">
        <f t="shared" si="98"/>
        <v>CONTRATURNO</v>
      </c>
      <c r="AE515" s="47" t="s">
        <v>2754</v>
      </c>
      <c r="AH515" t="str">
        <f t="shared" si="99"/>
        <v>INSERT INTO horario_curso_materia (horario_curso_materia.FK_CUR_mat,horario_curso_materia.FK_HOR,horario_curso_materia.DIA,horario_curso_materia.tipo_turno) VALUES (  (SELECT curso_materia.ID_CUR_MAT FROM curso_materia WHERE curso_materia.CUPOF='2232477' ) ,
    (SELECT horario.ID_HOR FROM horario WHERE horario.modulo='3 ' and horario.turno='V ' ),'MARTES ' , 'CONTRATURNO ' );</v>
      </c>
    </row>
    <row r="516" spans="1:34" ht="15" hidden="1" customHeight="1" x14ac:dyDescent="0.3">
      <c r="A516" s="1" t="str">
        <f t="shared" si="92"/>
        <v>3°5°</v>
      </c>
      <c r="B516" s="54" t="str">
        <f t="shared" si="90"/>
        <v>3°5°3MAMAÑANA0</v>
      </c>
      <c r="C516" s="62">
        <f>VLOOKUP(G516,[1]Hoja1!$A:$O,3,0)</f>
        <v>0</v>
      </c>
      <c r="D516" s="2" t="str">
        <f t="shared" si="91"/>
        <v>3MAM</v>
      </c>
      <c r="E516" s="62" t="s">
        <v>13</v>
      </c>
      <c r="F516" s="62" t="s">
        <v>27</v>
      </c>
      <c r="G516" s="62" t="s">
        <v>390</v>
      </c>
      <c r="H516" s="8" t="str">
        <f>VLOOKUP(G516,[1]Hoja1!$A:$O,6,0)</f>
        <v>GEOGRAFIA</v>
      </c>
      <c r="I516" s="4"/>
      <c r="J516" s="4"/>
      <c r="K516" s="80" t="str">
        <f t="shared" si="100"/>
        <v>MA</v>
      </c>
      <c r="L516" s="4"/>
      <c r="M516" s="86" t="str">
        <f>VLOOKUP(G516,[1]Hoja1!$A:$O,15,0)</f>
        <v>MOURA FACUNDO</v>
      </c>
      <c r="N516" s="2" t="str">
        <f t="shared" si="93"/>
        <v>3°5°3GEOMA</v>
      </c>
      <c r="O516" s="2"/>
      <c r="P516" s="2" t="str">
        <f>VLOOKUP(G516,[1]Hoja1!$A:$P,16,0)</f>
        <v xml:space="preserve"> </v>
      </c>
      <c r="Q516" s="2"/>
      <c r="S516">
        <f>VLOOKUP(G516,[1]Hoja1!$A:$O,5,0)</f>
        <v>2232466</v>
      </c>
      <c r="U516" s="45" t="s">
        <v>2751</v>
      </c>
      <c r="V516" s="46">
        <f t="shared" si="94"/>
        <v>2232466</v>
      </c>
      <c r="W516" s="47" t="s">
        <v>1519</v>
      </c>
      <c r="X516" s="46" t="str">
        <f t="shared" si="95"/>
        <v>3</v>
      </c>
      <c r="Y516" s="47" t="s">
        <v>1518</v>
      </c>
      <c r="Z516" s="46" t="str">
        <f t="shared" si="96"/>
        <v>M</v>
      </c>
      <c r="AA516" s="47" t="s">
        <v>2752</v>
      </c>
      <c r="AB516" s="46" t="str">
        <f t="shared" si="97"/>
        <v>MARTES</v>
      </c>
      <c r="AC516" s="47" t="s">
        <v>2753</v>
      </c>
      <c r="AD516">
        <f t="shared" si="98"/>
        <v>0</v>
      </c>
      <c r="AE516" s="47" t="s">
        <v>2754</v>
      </c>
      <c r="AH516" t="str">
        <f t="shared" si="99"/>
        <v>INSERT INTO horario_curso_materia (horario_curso_materia.FK_CUR_mat,horario_curso_materia.FK_HOR,horario_curso_materia.DIA,horario_curso_materia.tipo_turno) VALUES (  (SELECT curso_materia.ID_CUR_MAT FROM curso_materia WHERE curso_materia.CUPOF='2232466' ) ,
    (SELECT horario.ID_HOR FROM horario WHERE horario.modulo='3 ' and horario.turno='M ' ),'MARTES ' , '0 ' );</v>
      </c>
    </row>
    <row r="517" spans="1:34" ht="15" hidden="1" customHeight="1" x14ac:dyDescent="0.3">
      <c r="A517" s="1" t="str">
        <f t="shared" si="92"/>
        <v>3°5°</v>
      </c>
      <c r="B517" s="54" t="str">
        <f t="shared" si="90"/>
        <v>3°5°3MATARDE351</v>
      </c>
      <c r="C517" s="62">
        <f>VLOOKUP(G517,[1]Hoja1!$A:$O,3,0)</f>
        <v>351</v>
      </c>
      <c r="D517" s="2" t="str">
        <f t="shared" si="91"/>
        <v>3MAT45</v>
      </c>
      <c r="E517" s="62" t="s">
        <v>13</v>
      </c>
      <c r="F517" s="62" t="s">
        <v>10</v>
      </c>
      <c r="G517" s="62" t="s">
        <v>127</v>
      </c>
      <c r="H517" s="8" t="str">
        <f>VLOOKUP(G517,[1]Hoja1!$A:$O,6,0)</f>
        <v>SISTEMAS TECNOLOGICOS</v>
      </c>
      <c r="I517" s="4">
        <v>45</v>
      </c>
      <c r="J517" s="4"/>
      <c r="K517" s="80" t="str">
        <f t="shared" si="100"/>
        <v>MA</v>
      </c>
      <c r="L517" s="4" t="s">
        <v>512</v>
      </c>
      <c r="M517" s="87" t="str">
        <f>VLOOKUP(G517,[1]Hoja1!$A:$O,15,0)</f>
        <v>CRUZ JESUS  NAZARENO</v>
      </c>
      <c r="N517" s="2" t="str">
        <f t="shared" si="93"/>
        <v>3°5°3513TST3MA</v>
      </c>
      <c r="O517" s="2"/>
      <c r="P517" s="2" t="str">
        <f>VLOOKUP(G517,[1]Hoja1!$A:$P,16,0)</f>
        <v xml:space="preserve"> </v>
      </c>
      <c r="Q517" s="2"/>
      <c r="S517">
        <f>VLOOKUP(G517,[1]Hoja1!$A:$O,5,0)</f>
        <v>2232473</v>
      </c>
      <c r="U517" s="45" t="s">
        <v>2751</v>
      </c>
      <c r="V517" s="46">
        <f t="shared" si="94"/>
        <v>2232473</v>
      </c>
      <c r="W517" s="47" t="s">
        <v>1519</v>
      </c>
      <c r="X517" s="46" t="str">
        <f t="shared" si="95"/>
        <v>3</v>
      </c>
      <c r="Y517" s="47" t="s">
        <v>1518</v>
      </c>
      <c r="Z517" s="46" t="str">
        <f t="shared" si="96"/>
        <v>T</v>
      </c>
      <c r="AA517" s="47" t="s">
        <v>2752</v>
      </c>
      <c r="AB517" s="46" t="str">
        <f t="shared" si="97"/>
        <v>MARTES</v>
      </c>
      <c r="AC517" s="47" t="s">
        <v>2753</v>
      </c>
      <c r="AD517" t="str">
        <f t="shared" si="98"/>
        <v>CONTRATURNO</v>
      </c>
      <c r="AE517" s="47" t="s">
        <v>2754</v>
      </c>
      <c r="AH517" t="str">
        <f t="shared" si="99"/>
        <v>INSERT INTO horario_curso_materia (horario_curso_materia.FK_CUR_mat,horario_curso_materia.FK_HOR,horario_curso_materia.DIA,horario_curso_materia.tipo_turno) VALUES (  (SELECT curso_materia.ID_CUR_MAT FROM curso_materia WHERE curso_materia.CUPOF='2232473' ) ,
    (SELECT horario.ID_HOR FROM horario WHERE horario.modulo='3 ' and horario.turno='T ' ),'MARTES ' , 'CONTRATURNO ' );</v>
      </c>
    </row>
    <row r="518" spans="1:34" ht="15" hidden="1" customHeight="1" x14ac:dyDescent="0.3">
      <c r="A518" s="1" t="str">
        <f t="shared" si="92"/>
        <v>3°5°</v>
      </c>
      <c r="B518" s="54" t="str">
        <f t="shared" ref="B518:B581" si="101">CONCATENATE(LEFT(G518,4),E518,F518,C518)</f>
        <v>3°5°3MIMAÑANA0</v>
      </c>
      <c r="C518" s="62">
        <f>VLOOKUP(G518,[1]Hoja1!$A:$O,3,0)</f>
        <v>0</v>
      </c>
      <c r="D518" s="2" t="str">
        <f t="shared" si="91"/>
        <v>3MIM</v>
      </c>
      <c r="E518" s="62" t="s">
        <v>50</v>
      </c>
      <c r="F518" s="62" t="s">
        <v>27</v>
      </c>
      <c r="G518" s="62" t="s">
        <v>392</v>
      </c>
      <c r="H518" s="8" t="str">
        <f>VLOOKUP(G518,[1]Hoja1!$A:$O,6,0)</f>
        <v>PRACTICA DEL LENGUAJE</v>
      </c>
      <c r="I518" s="4"/>
      <c r="J518" s="4"/>
      <c r="K518" s="80" t="str">
        <f t="shared" si="100"/>
        <v>MI</v>
      </c>
      <c r="L518" s="4"/>
      <c r="M518" s="86" t="str">
        <f>VLOOKUP(G518,[1]Hoja1!$A:$O,15,0)</f>
        <v xml:space="preserve">CARESTIA, NOEMI </v>
      </c>
      <c r="N518" s="2" t="str">
        <f t="shared" si="93"/>
        <v>3°5°3PLGMI</v>
      </c>
      <c r="O518" s="2"/>
      <c r="P518" s="2" t="str">
        <f>VLOOKUP(G518,[1]Hoja1!$A:$P,16,0)</f>
        <v xml:space="preserve"> </v>
      </c>
      <c r="Q518" s="2"/>
      <c r="S518">
        <f>VLOOKUP(G518,[1]Hoja1!$A:$O,5,0)</f>
        <v>2232470</v>
      </c>
      <c r="U518" s="45" t="s">
        <v>2751</v>
      </c>
      <c r="V518" s="46">
        <f t="shared" si="94"/>
        <v>2232470</v>
      </c>
      <c r="W518" s="47" t="s">
        <v>1519</v>
      </c>
      <c r="X518" s="46" t="str">
        <f t="shared" si="95"/>
        <v>3</v>
      </c>
      <c r="Y518" s="47" t="s">
        <v>1518</v>
      </c>
      <c r="Z518" s="46" t="str">
        <f t="shared" si="96"/>
        <v>M</v>
      </c>
      <c r="AA518" s="47" t="s">
        <v>2752</v>
      </c>
      <c r="AB518" s="46" t="str">
        <f t="shared" si="97"/>
        <v>MIERCOLES</v>
      </c>
      <c r="AC518" s="47" t="s">
        <v>2753</v>
      </c>
      <c r="AD518">
        <f t="shared" si="98"/>
        <v>0</v>
      </c>
      <c r="AE518" s="47" t="s">
        <v>2754</v>
      </c>
      <c r="AH518" t="str">
        <f t="shared" si="99"/>
        <v>INSERT INTO horario_curso_materia (horario_curso_materia.FK_CUR_mat,horario_curso_materia.FK_HOR,horario_curso_materia.DIA,horario_curso_materia.tipo_turno) VALUES (  (SELECT curso_materia.ID_CUR_MAT FROM curso_materia WHERE curso_materia.CUPOF='2232470' ) ,
    (SELECT horario.ID_HOR FROM horario WHERE horario.modulo='3 ' and horario.turno='M ' ),'MIERCOLES ' , '0 ' );</v>
      </c>
    </row>
    <row r="519" spans="1:34" ht="15" hidden="1" customHeight="1" x14ac:dyDescent="0.3">
      <c r="A519" s="1" t="str">
        <f t="shared" si="92"/>
        <v>3°5°</v>
      </c>
      <c r="B519" s="54" t="str">
        <f t="shared" si="101"/>
        <v>3°5°3VIMAÑANA0</v>
      </c>
      <c r="C519" s="62">
        <f>VLOOKUP(G519,[1]Hoja1!$A:$O,3,0)</f>
        <v>0</v>
      </c>
      <c r="D519" s="2" t="str">
        <f t="shared" si="91"/>
        <v>3VIM</v>
      </c>
      <c r="E519" s="62" t="s">
        <v>35</v>
      </c>
      <c r="F519" s="62" t="s">
        <v>27</v>
      </c>
      <c r="G519" s="62" t="s">
        <v>392</v>
      </c>
      <c r="H519" s="8" t="str">
        <f>VLOOKUP(G519,[1]Hoja1!$A:$O,6,0)</f>
        <v>PRACTICA DEL LENGUAJE</v>
      </c>
      <c r="I519" s="4"/>
      <c r="J519" s="4"/>
      <c r="K519" s="80" t="str">
        <f t="shared" si="100"/>
        <v>VI</v>
      </c>
      <c r="L519" s="4"/>
      <c r="M519" s="86" t="str">
        <f>VLOOKUP(G519,[1]Hoja1!$A:$O,15,0)</f>
        <v xml:space="preserve">CARESTIA, NOEMI </v>
      </c>
      <c r="N519" s="2" t="str">
        <f t="shared" si="93"/>
        <v>3°5°3PLGVI</v>
      </c>
      <c r="O519" s="2"/>
      <c r="P519" s="2" t="str">
        <f>VLOOKUP(G519,[1]Hoja1!$A:$P,16,0)</f>
        <v xml:space="preserve"> </v>
      </c>
      <c r="Q519" s="2"/>
      <c r="S519">
        <f>VLOOKUP(G519,[1]Hoja1!$A:$O,5,0)</f>
        <v>2232470</v>
      </c>
      <c r="U519" s="45" t="s">
        <v>2751</v>
      </c>
      <c r="V519" s="46">
        <f t="shared" si="94"/>
        <v>2232470</v>
      </c>
      <c r="W519" s="47" t="s">
        <v>1519</v>
      </c>
      <c r="X519" s="46" t="str">
        <f t="shared" si="95"/>
        <v>3</v>
      </c>
      <c r="Y519" s="47" t="s">
        <v>1518</v>
      </c>
      <c r="Z519" s="46" t="str">
        <f t="shared" si="96"/>
        <v>M</v>
      </c>
      <c r="AA519" s="47" t="s">
        <v>2752</v>
      </c>
      <c r="AB519" s="46" t="str">
        <f t="shared" si="97"/>
        <v>VIERNES</v>
      </c>
      <c r="AC519" s="47" t="s">
        <v>2753</v>
      </c>
      <c r="AD519">
        <f t="shared" si="98"/>
        <v>0</v>
      </c>
      <c r="AE519" s="47" t="s">
        <v>2754</v>
      </c>
      <c r="AH519" t="str">
        <f t="shared" si="99"/>
        <v>INSERT INTO horario_curso_materia (horario_curso_materia.FK_CUR_mat,horario_curso_materia.FK_HOR,horario_curso_materia.DIA,horario_curso_materia.tipo_turno) VALUES (  (SELECT curso_materia.ID_CUR_MAT FROM curso_materia WHERE curso_materia.CUPOF='2232470' ) ,
    (SELECT horario.ID_HOR FROM horario WHERE horario.modulo='3 ' and horario.turno='M ' ),'VIERNES ' , '0 ' );</v>
      </c>
    </row>
    <row r="520" spans="1:34" ht="15" hidden="1" customHeight="1" x14ac:dyDescent="0.3">
      <c r="A520" s="1" t="str">
        <f t="shared" si="92"/>
        <v>3°5°</v>
      </c>
      <c r="B520" s="54" t="str">
        <f t="shared" si="101"/>
        <v>3°5°4JUMAÑANA0</v>
      </c>
      <c r="C520" s="62">
        <f>VLOOKUP(G520,[1]Hoja1!$A:$O,3,0)</f>
        <v>0</v>
      </c>
      <c r="D520" s="2" t="str">
        <f t="shared" si="91"/>
        <v>4JUM</v>
      </c>
      <c r="E520" s="4" t="s">
        <v>48</v>
      </c>
      <c r="F520" s="62" t="s">
        <v>27</v>
      </c>
      <c r="G520" s="72" t="s">
        <v>388</v>
      </c>
      <c r="H520" s="8" t="str">
        <f>VLOOKUP(G520,[1]Hoja1!$A:$O,6,0)</f>
        <v>MATEMATICA</v>
      </c>
      <c r="I520" s="4"/>
      <c r="J520" s="4"/>
      <c r="K520" s="80" t="str">
        <f t="shared" si="100"/>
        <v>JU</v>
      </c>
      <c r="L520" s="4"/>
      <c r="M520" s="86" t="str">
        <f>VLOOKUP(G520,[1]Hoja1!$A:$O,15,0)</f>
        <v xml:space="preserve"> FERRARIS OJEDA JULIETA MAR</v>
      </c>
      <c r="N520" s="2" t="str">
        <f t="shared" si="93"/>
        <v>3°5°3MATJU</v>
      </c>
      <c r="O520" s="2"/>
      <c r="P520" s="2" t="str">
        <f>VLOOKUP(G520,[1]Hoja1!$A:$P,16,0)</f>
        <v xml:space="preserve"> </v>
      </c>
      <c r="Q520" s="2"/>
      <c r="S520">
        <f>VLOOKUP(G520,[1]Hoja1!$A:$O,5,0)</f>
        <v>2232469</v>
      </c>
      <c r="U520" s="45" t="s">
        <v>2751</v>
      </c>
      <c r="V520" s="46">
        <f t="shared" si="94"/>
        <v>2232469</v>
      </c>
      <c r="W520" s="47" t="s">
        <v>1519</v>
      </c>
      <c r="X520" s="46" t="str">
        <f t="shared" si="95"/>
        <v>4</v>
      </c>
      <c r="Y520" s="47" t="s">
        <v>1518</v>
      </c>
      <c r="Z520" s="46" t="str">
        <f t="shared" si="96"/>
        <v>M</v>
      </c>
      <c r="AA520" s="47" t="s">
        <v>2752</v>
      </c>
      <c r="AB520" s="46" t="str">
        <f t="shared" si="97"/>
        <v>JUEVES</v>
      </c>
      <c r="AC520" s="47" t="s">
        <v>2753</v>
      </c>
      <c r="AD520">
        <f t="shared" si="98"/>
        <v>0</v>
      </c>
      <c r="AE520" s="47" t="s">
        <v>2754</v>
      </c>
      <c r="AH520" t="str">
        <f t="shared" si="99"/>
        <v>INSERT INTO horario_curso_materia (horario_curso_materia.FK_CUR_mat,horario_curso_materia.FK_HOR,horario_curso_materia.DIA,horario_curso_materia.tipo_turno) VALUES (  (SELECT curso_materia.ID_CUR_MAT FROM curso_materia WHERE curso_materia.CUPOF='2232469' ) ,
    (SELECT horario.ID_HOR FROM horario WHERE horario.modulo='4 ' and horario.turno='M ' ),'JUEVES ' , '0 ' );</v>
      </c>
    </row>
    <row r="521" spans="1:34" ht="15" hidden="1" customHeight="1" x14ac:dyDescent="0.3">
      <c r="A521" s="1" t="str">
        <f t="shared" si="92"/>
        <v>3°5°</v>
      </c>
      <c r="B521" s="54" t="str">
        <f t="shared" si="101"/>
        <v>3°5°4juTARDE351</v>
      </c>
      <c r="C521" s="62">
        <f>VLOOKUP(G521,[1]Hoja1!$A:$O,3,0)</f>
        <v>351</v>
      </c>
      <c r="D521" s="2" t="str">
        <f t="shared" si="91"/>
        <v>4juTAULA 4</v>
      </c>
      <c r="E521" s="62" t="s">
        <v>1351</v>
      </c>
      <c r="F521" s="62" t="s">
        <v>10</v>
      </c>
      <c r="G521" s="62" t="s">
        <v>129</v>
      </c>
      <c r="H521" s="8" t="str">
        <f>VLOOKUP(G521,[1]Hoja1!$A:$O,6,0)</f>
        <v>LENGUAJES TECNOLOGICOS</v>
      </c>
      <c r="I521" s="4" t="s">
        <v>1485</v>
      </c>
      <c r="J521" s="4"/>
      <c r="K521" s="80" t="str">
        <f t="shared" si="100"/>
        <v>ju</v>
      </c>
      <c r="L521" s="4" t="s">
        <v>512</v>
      </c>
      <c r="M521" s="86" t="str">
        <f>VLOOKUP(G521,[1]Hoja1!$A:$O,15,0)</f>
        <v xml:space="preserve">PROCHOR JUAN PABLO   </v>
      </c>
      <c r="N521" s="2" t="str">
        <f t="shared" si="93"/>
        <v>3°5°3513TLT3ju</v>
      </c>
      <c r="O521" s="2"/>
      <c r="P521" s="2" t="str">
        <f>VLOOKUP(G521,[1]Hoja1!$A:$P,16,0)</f>
        <v xml:space="preserve"> </v>
      </c>
      <c r="Q521" s="2"/>
      <c r="S521">
        <f>VLOOKUP(G521,[1]Hoja1!$A:$O,5,0)</f>
        <v>2232471</v>
      </c>
      <c r="U521" s="45" t="s">
        <v>2751</v>
      </c>
      <c r="V521" s="46">
        <f t="shared" si="94"/>
        <v>2232471</v>
      </c>
      <c r="W521" s="47" t="s">
        <v>1519</v>
      </c>
      <c r="X521" s="46" t="str">
        <f t="shared" si="95"/>
        <v>4</v>
      </c>
      <c r="Y521" s="47" t="s">
        <v>1518</v>
      </c>
      <c r="Z521" s="46" t="str">
        <f t="shared" si="96"/>
        <v>T</v>
      </c>
      <c r="AA521" s="47" t="s">
        <v>2752</v>
      </c>
      <c r="AB521" s="46" t="str">
        <f t="shared" si="97"/>
        <v>JUEVES</v>
      </c>
      <c r="AC521" s="47" t="s">
        <v>2753</v>
      </c>
      <c r="AD521" t="str">
        <f t="shared" si="98"/>
        <v>CONTRATURNO</v>
      </c>
      <c r="AE521" s="47" t="s">
        <v>2754</v>
      </c>
      <c r="AH521" t="str">
        <f t="shared" si="99"/>
        <v>INSERT INTO horario_curso_materia (horario_curso_materia.FK_CUR_mat,horario_curso_materia.FK_HOR,horario_curso_materia.DIA,horario_curso_materia.tipo_turno) VALUES (  (SELECT curso_materia.ID_CUR_MAT FROM curso_materia WHERE curso_materia.CUPOF='2232471' ) ,
    (SELECT horario.ID_HOR FROM horario WHERE horario.modulo='4 ' and horario.turno='T ' ),'JUEVES ' , 'CONTRATURNO ' );</v>
      </c>
    </row>
    <row r="522" spans="1:34" ht="15" hidden="1" customHeight="1" x14ac:dyDescent="0.3">
      <c r="A522" s="1" t="str">
        <f t="shared" si="92"/>
        <v>3°5°</v>
      </c>
      <c r="B522" s="54" t="str">
        <f t="shared" si="101"/>
        <v>3°5°4LUMAÑANA0</v>
      </c>
      <c r="C522" s="62">
        <f>VLOOKUP(G522,[1]Hoja1!$A:$O,3,0)</f>
        <v>0</v>
      </c>
      <c r="D522" s="2" t="str">
        <f t="shared" si="91"/>
        <v>4LUM</v>
      </c>
      <c r="E522" s="4" t="s">
        <v>31</v>
      </c>
      <c r="F522" s="62" t="s">
        <v>27</v>
      </c>
      <c r="G522" s="72" t="s">
        <v>394</v>
      </c>
      <c r="H522" s="8" t="str">
        <f>VLOOKUP(G522,[1]Hoja1!$A:$O,6,0)</f>
        <v>HISTORIA</v>
      </c>
      <c r="I522" s="4"/>
      <c r="J522" s="4"/>
      <c r="K522" s="80" t="str">
        <f t="shared" si="100"/>
        <v>LU</v>
      </c>
      <c r="L522" s="4"/>
      <c r="M522" s="86" t="str">
        <f>VLOOKUP(G522,[1]Hoja1!$A:$O,15,0)</f>
        <v xml:space="preserve">LOPEZ MARINA  </v>
      </c>
      <c r="N522" s="2" t="str">
        <f t="shared" si="93"/>
        <v>3°5°3HISLU</v>
      </c>
      <c r="O522" s="2"/>
      <c r="P522" s="2" t="str">
        <f>VLOOKUP(G522,[1]Hoja1!$A:$P,16,0)</f>
        <v xml:space="preserve"> </v>
      </c>
      <c r="Q522" s="2"/>
      <c r="S522">
        <f>VLOOKUP(G522,[1]Hoja1!$A:$O,5,0)</f>
        <v>2232467</v>
      </c>
      <c r="U522" s="45" t="s">
        <v>2751</v>
      </c>
      <c r="V522" s="46">
        <f t="shared" si="94"/>
        <v>2232467</v>
      </c>
      <c r="W522" s="47" t="s">
        <v>1519</v>
      </c>
      <c r="X522" s="46" t="str">
        <f t="shared" si="95"/>
        <v>4</v>
      </c>
      <c r="Y522" s="47" t="s">
        <v>1518</v>
      </c>
      <c r="Z522" s="46" t="str">
        <f t="shared" si="96"/>
        <v>M</v>
      </c>
      <c r="AA522" s="47" t="s">
        <v>2752</v>
      </c>
      <c r="AB522" s="46" t="str">
        <f t="shared" si="97"/>
        <v>LUNES</v>
      </c>
      <c r="AC522" s="47" t="s">
        <v>2753</v>
      </c>
      <c r="AD522">
        <f t="shared" si="98"/>
        <v>0</v>
      </c>
      <c r="AE522" s="47" t="s">
        <v>2754</v>
      </c>
      <c r="AH522" t="str">
        <f t="shared" si="99"/>
        <v>INSERT INTO horario_curso_materia (horario_curso_materia.FK_CUR_mat,horario_curso_materia.FK_HOR,horario_curso_materia.DIA,horario_curso_materia.tipo_turno) VALUES (  (SELECT curso_materia.ID_CUR_MAT FROM curso_materia WHERE curso_materia.CUPOF='2232467' ) ,
    (SELECT horario.ID_HOR FROM horario WHERE horario.modulo='4 ' and horario.turno='M ' ),'LUNES ' , '0 ' );</v>
      </c>
    </row>
    <row r="523" spans="1:34" ht="15" hidden="1" customHeight="1" x14ac:dyDescent="0.3">
      <c r="A523" s="1" t="str">
        <f t="shared" si="92"/>
        <v>3°5°</v>
      </c>
      <c r="B523" s="54" t="str">
        <f t="shared" si="101"/>
        <v>3°5°4maVESPERTINO352</v>
      </c>
      <c r="C523" s="62">
        <f>VLOOKUP(G523,[1]Hoja1!$A:$O,3,0)</f>
        <v>352</v>
      </c>
      <c r="D523" s="2" t="str">
        <f t="shared" si="91"/>
        <v>4maVCARPINTERIA</v>
      </c>
      <c r="E523" s="62" t="s">
        <v>1335</v>
      </c>
      <c r="F523" s="62" t="s">
        <v>125</v>
      </c>
      <c r="G523" s="62" t="s">
        <v>130</v>
      </c>
      <c r="H523" s="8" t="str">
        <f>VLOOKUP(G523,[1]Hoja1!$A:$O,6,0)</f>
        <v>SISTEMAS TECNOLOGICOS</v>
      </c>
      <c r="I523" s="4" t="s">
        <v>23</v>
      </c>
      <c r="J523" s="4"/>
      <c r="K523" s="80" t="str">
        <f t="shared" si="100"/>
        <v>ma</v>
      </c>
      <c r="L523" s="4" t="s">
        <v>512</v>
      </c>
      <c r="M523" s="86" t="str">
        <f>VLOOKUP(G523,[1]Hoja1!$A:$O,15,0)</f>
        <v>ARNALDO ESCALADA</v>
      </c>
      <c r="N523" s="2" t="str">
        <f t="shared" si="93"/>
        <v>3°5°3523TST3ma</v>
      </c>
      <c r="O523" s="2"/>
      <c r="P523" s="2" t="str">
        <f>VLOOKUP(G523,[1]Hoja1!$A:$P,16,0)</f>
        <v xml:space="preserve"> </v>
      </c>
      <c r="Q523" s="2"/>
      <c r="S523">
        <f>VLOOKUP(G523,[1]Hoja1!$A:$O,5,0)</f>
        <v>2232477</v>
      </c>
      <c r="U523" s="45" t="s">
        <v>2751</v>
      </c>
      <c r="V523" s="46">
        <f t="shared" si="94"/>
        <v>2232477</v>
      </c>
      <c r="W523" s="47" t="s">
        <v>1519</v>
      </c>
      <c r="X523" s="46" t="str">
        <f t="shared" si="95"/>
        <v>4</v>
      </c>
      <c r="Y523" s="47" t="s">
        <v>1518</v>
      </c>
      <c r="Z523" s="46" t="str">
        <f t="shared" si="96"/>
        <v>V</v>
      </c>
      <c r="AA523" s="47" t="s">
        <v>2752</v>
      </c>
      <c r="AB523" s="46" t="str">
        <f t="shared" si="97"/>
        <v>MARTES</v>
      </c>
      <c r="AC523" s="47" t="s">
        <v>2753</v>
      </c>
      <c r="AD523" t="str">
        <f t="shared" si="98"/>
        <v>CONTRATURNO</v>
      </c>
      <c r="AE523" s="47" t="s">
        <v>2754</v>
      </c>
      <c r="AH523" t="str">
        <f t="shared" si="99"/>
        <v>INSERT INTO horario_curso_materia (horario_curso_materia.FK_CUR_mat,horario_curso_materia.FK_HOR,horario_curso_materia.DIA,horario_curso_materia.tipo_turno) VALUES (  (SELECT curso_materia.ID_CUR_MAT FROM curso_materia WHERE curso_materia.CUPOF='2232477' ) ,
    (SELECT horario.ID_HOR FROM horario WHERE horario.modulo='4 ' and horario.turno='V ' ),'MARTES ' , 'CONTRATURNO ' );</v>
      </c>
    </row>
    <row r="524" spans="1:34" ht="15" hidden="1" customHeight="1" x14ac:dyDescent="0.3">
      <c r="A524" s="1" t="str">
        <f t="shared" si="92"/>
        <v>3°5°</v>
      </c>
      <c r="B524" s="54" t="str">
        <f t="shared" si="101"/>
        <v>3°5°4MAMAÑANA0</v>
      </c>
      <c r="C524" s="62">
        <f>VLOOKUP(G524,[1]Hoja1!$A:$O,3,0)</f>
        <v>0</v>
      </c>
      <c r="D524" s="2" t="str">
        <f t="shared" si="91"/>
        <v>4MAM</v>
      </c>
      <c r="E524" s="62" t="s">
        <v>16</v>
      </c>
      <c r="F524" s="62" t="s">
        <v>27</v>
      </c>
      <c r="G524" s="62" t="s">
        <v>390</v>
      </c>
      <c r="H524" s="8" t="str">
        <f>VLOOKUP(G524,[1]Hoja1!$A:$O,6,0)</f>
        <v>GEOGRAFIA</v>
      </c>
      <c r="I524" s="4"/>
      <c r="J524" s="4"/>
      <c r="K524" s="80" t="str">
        <f t="shared" si="100"/>
        <v>MA</v>
      </c>
      <c r="L524" s="4"/>
      <c r="M524" s="86" t="str">
        <f>VLOOKUP(G524,[1]Hoja1!$A:$O,15,0)</f>
        <v>MOURA FACUNDO</v>
      </c>
      <c r="N524" s="2" t="str">
        <f t="shared" si="93"/>
        <v>3°5°3GEOMA</v>
      </c>
      <c r="O524" s="2"/>
      <c r="P524" s="2" t="str">
        <f>VLOOKUP(G524,[1]Hoja1!$A:$P,16,0)</f>
        <v xml:space="preserve"> </v>
      </c>
      <c r="Q524" s="2"/>
      <c r="S524">
        <f>VLOOKUP(G524,[1]Hoja1!$A:$O,5,0)</f>
        <v>2232466</v>
      </c>
      <c r="U524" s="45" t="s">
        <v>2751</v>
      </c>
      <c r="V524" s="46">
        <f t="shared" si="94"/>
        <v>2232466</v>
      </c>
      <c r="W524" s="47" t="s">
        <v>1519</v>
      </c>
      <c r="X524" s="46" t="str">
        <f t="shared" si="95"/>
        <v>4</v>
      </c>
      <c r="Y524" s="47" t="s">
        <v>1518</v>
      </c>
      <c r="Z524" s="46" t="str">
        <f t="shared" si="96"/>
        <v>M</v>
      </c>
      <c r="AA524" s="47" t="s">
        <v>2752</v>
      </c>
      <c r="AB524" s="46" t="str">
        <f t="shared" si="97"/>
        <v>MARTES</v>
      </c>
      <c r="AC524" s="47" t="s">
        <v>2753</v>
      </c>
      <c r="AD524">
        <f t="shared" si="98"/>
        <v>0</v>
      </c>
      <c r="AE524" s="47" t="s">
        <v>2754</v>
      </c>
      <c r="AH524" t="str">
        <f t="shared" si="99"/>
        <v>INSERT INTO horario_curso_materia (horario_curso_materia.FK_CUR_mat,horario_curso_materia.FK_HOR,horario_curso_materia.DIA,horario_curso_materia.tipo_turno) VALUES (  (SELECT curso_materia.ID_CUR_MAT FROM curso_materia WHERE curso_materia.CUPOF='2232466' ) ,
    (SELECT horario.ID_HOR FROM horario WHERE horario.modulo='4 ' and horario.turno='M ' ),'MARTES ' , '0 ' );</v>
      </c>
    </row>
    <row r="525" spans="1:34" ht="15" hidden="1" customHeight="1" x14ac:dyDescent="0.3">
      <c r="A525" s="1" t="str">
        <f t="shared" si="92"/>
        <v>3°5°</v>
      </c>
      <c r="B525" s="54" t="str">
        <f t="shared" si="101"/>
        <v>3°5°4MATARDE351</v>
      </c>
      <c r="C525" s="62">
        <f>VLOOKUP(G525,[1]Hoja1!$A:$O,3,0)</f>
        <v>351</v>
      </c>
      <c r="D525" s="2" t="str">
        <f t="shared" si="91"/>
        <v>4MAT45</v>
      </c>
      <c r="E525" s="62" t="s">
        <v>16</v>
      </c>
      <c r="F525" s="62" t="s">
        <v>10</v>
      </c>
      <c r="G525" s="62" t="s">
        <v>127</v>
      </c>
      <c r="H525" s="8" t="str">
        <f>VLOOKUP(G525,[1]Hoja1!$A:$O,6,0)</f>
        <v>SISTEMAS TECNOLOGICOS</v>
      </c>
      <c r="I525" s="4">
        <v>45</v>
      </c>
      <c r="J525" s="4"/>
      <c r="K525" s="80" t="str">
        <f t="shared" si="100"/>
        <v>MA</v>
      </c>
      <c r="L525" s="4" t="s">
        <v>512</v>
      </c>
      <c r="M525" s="87" t="str">
        <f>VLOOKUP(G525,[1]Hoja1!$A:$O,15,0)</f>
        <v>CRUZ JESUS  NAZARENO</v>
      </c>
      <c r="N525" s="2" t="str">
        <f t="shared" si="93"/>
        <v>3°5°3513TST3MA</v>
      </c>
      <c r="O525" s="2"/>
      <c r="P525" s="2" t="str">
        <f>VLOOKUP(G525,[1]Hoja1!$A:$P,16,0)</f>
        <v xml:space="preserve"> </v>
      </c>
      <c r="Q525" s="2"/>
      <c r="S525">
        <f>VLOOKUP(G525,[1]Hoja1!$A:$O,5,0)</f>
        <v>2232473</v>
      </c>
      <c r="U525" s="45" t="s">
        <v>2751</v>
      </c>
      <c r="V525" s="46">
        <f t="shared" si="94"/>
        <v>2232473</v>
      </c>
      <c r="W525" s="47" t="s">
        <v>1519</v>
      </c>
      <c r="X525" s="46" t="str">
        <f t="shared" si="95"/>
        <v>4</v>
      </c>
      <c r="Y525" s="47" t="s">
        <v>1518</v>
      </c>
      <c r="Z525" s="46" t="str">
        <f t="shared" si="96"/>
        <v>T</v>
      </c>
      <c r="AA525" s="47" t="s">
        <v>2752</v>
      </c>
      <c r="AB525" s="46" t="str">
        <f t="shared" si="97"/>
        <v>MARTES</v>
      </c>
      <c r="AC525" s="47" t="s">
        <v>2753</v>
      </c>
      <c r="AD525" t="str">
        <f t="shared" si="98"/>
        <v>CONTRATURNO</v>
      </c>
      <c r="AE525" s="47" t="s">
        <v>2754</v>
      </c>
      <c r="AH525" t="str">
        <f t="shared" si="99"/>
        <v>INSERT INTO horario_curso_materia (horario_curso_materia.FK_CUR_mat,horario_curso_materia.FK_HOR,horario_curso_materia.DIA,horario_curso_materia.tipo_turno) VALUES (  (SELECT curso_materia.ID_CUR_MAT FROM curso_materia WHERE curso_materia.CUPOF='2232473' ) ,
    (SELECT horario.ID_HOR FROM horario WHERE horario.modulo='4 ' and horario.turno='T ' ),'MARTES ' , 'CONTRATURNO ' );</v>
      </c>
    </row>
    <row r="526" spans="1:34" ht="15" hidden="1" customHeight="1" x14ac:dyDescent="0.3">
      <c r="A526" s="1" t="str">
        <f t="shared" si="92"/>
        <v>3°5°</v>
      </c>
      <c r="B526" s="54" t="str">
        <f t="shared" si="101"/>
        <v>3°5°4MIMAÑANA0</v>
      </c>
      <c r="C526" s="62">
        <f>VLOOKUP(G526,[1]Hoja1!$A:$O,3,0)</f>
        <v>0</v>
      </c>
      <c r="D526" s="2" t="str">
        <f t="shared" si="91"/>
        <v>4MIM</v>
      </c>
      <c r="E526" s="62" t="s">
        <v>52</v>
      </c>
      <c r="F526" s="62" t="s">
        <v>27</v>
      </c>
      <c r="G526" s="62" t="s">
        <v>392</v>
      </c>
      <c r="H526" s="8" t="str">
        <f>VLOOKUP(G526,[1]Hoja1!$A:$O,6,0)</f>
        <v>PRACTICA DEL LENGUAJE</v>
      </c>
      <c r="I526" s="4"/>
      <c r="J526" s="4"/>
      <c r="K526" s="80" t="str">
        <f t="shared" si="100"/>
        <v>MI</v>
      </c>
      <c r="L526" s="4"/>
      <c r="M526" s="86" t="str">
        <f>VLOOKUP(G526,[1]Hoja1!$A:$O,15,0)</f>
        <v xml:space="preserve">CARESTIA, NOEMI </v>
      </c>
      <c r="N526" s="2" t="str">
        <f t="shared" si="93"/>
        <v>3°5°3PLGMI</v>
      </c>
      <c r="O526" s="2"/>
      <c r="P526" s="2" t="str">
        <f>VLOOKUP(G526,[1]Hoja1!$A:$P,16,0)</f>
        <v xml:space="preserve"> </v>
      </c>
      <c r="Q526" s="2"/>
      <c r="S526">
        <f>VLOOKUP(G526,[1]Hoja1!$A:$O,5,0)</f>
        <v>2232470</v>
      </c>
      <c r="U526" s="45" t="s">
        <v>2751</v>
      </c>
      <c r="V526" s="46">
        <f t="shared" si="94"/>
        <v>2232470</v>
      </c>
      <c r="W526" s="47" t="s">
        <v>1519</v>
      </c>
      <c r="X526" s="46" t="str">
        <f t="shared" si="95"/>
        <v>4</v>
      </c>
      <c r="Y526" s="47" t="s">
        <v>1518</v>
      </c>
      <c r="Z526" s="46" t="str">
        <f t="shared" si="96"/>
        <v>M</v>
      </c>
      <c r="AA526" s="47" t="s">
        <v>2752</v>
      </c>
      <c r="AB526" s="46" t="str">
        <f t="shared" si="97"/>
        <v>MIERCOLES</v>
      </c>
      <c r="AC526" s="47" t="s">
        <v>2753</v>
      </c>
      <c r="AD526">
        <f t="shared" si="98"/>
        <v>0</v>
      </c>
      <c r="AE526" s="47" t="s">
        <v>2754</v>
      </c>
      <c r="AH526" t="str">
        <f t="shared" si="99"/>
        <v>INSERT INTO horario_curso_materia (horario_curso_materia.FK_CUR_mat,horario_curso_materia.FK_HOR,horario_curso_materia.DIA,horario_curso_materia.tipo_turno) VALUES (  (SELECT curso_materia.ID_CUR_MAT FROM curso_materia WHERE curso_materia.CUPOF='2232470' ) ,
    (SELECT horario.ID_HOR FROM horario WHERE horario.modulo='4 ' and horario.turno='M ' ),'MIERCOLES ' , '0 ' );</v>
      </c>
    </row>
    <row r="527" spans="1:34" ht="15" hidden="1" customHeight="1" x14ac:dyDescent="0.3">
      <c r="A527" s="1" t="str">
        <f t="shared" si="92"/>
        <v>3°5°</v>
      </c>
      <c r="B527" s="54" t="str">
        <f t="shared" si="101"/>
        <v>3°5°4VIMAÑANA0</v>
      </c>
      <c r="C527" s="62">
        <f>VLOOKUP(G527,[1]Hoja1!$A:$O,3,0)</f>
        <v>0</v>
      </c>
      <c r="D527" s="2" t="str">
        <f t="shared" si="91"/>
        <v>4VIM</v>
      </c>
      <c r="E527" s="62" t="s">
        <v>36</v>
      </c>
      <c r="F527" s="62" t="s">
        <v>27</v>
      </c>
      <c r="G527" s="62" t="s">
        <v>392</v>
      </c>
      <c r="H527" s="8" t="str">
        <f>VLOOKUP(G527,[1]Hoja1!$A:$O,6,0)</f>
        <v>PRACTICA DEL LENGUAJE</v>
      </c>
      <c r="I527" s="4"/>
      <c r="J527" s="4"/>
      <c r="K527" s="80" t="str">
        <f t="shared" si="100"/>
        <v>VI</v>
      </c>
      <c r="L527" s="4"/>
      <c r="M527" s="86" t="str">
        <f>VLOOKUP(G527,[1]Hoja1!$A:$O,15,0)</f>
        <v xml:space="preserve">CARESTIA, NOEMI </v>
      </c>
      <c r="N527" s="2" t="str">
        <f t="shared" si="93"/>
        <v>3°5°3PLGVI</v>
      </c>
      <c r="O527" s="2"/>
      <c r="P527" s="2" t="str">
        <f>VLOOKUP(G527,[1]Hoja1!$A:$P,16,0)</f>
        <v xml:space="preserve"> </v>
      </c>
      <c r="Q527" s="2"/>
      <c r="S527">
        <f>VLOOKUP(G527,[1]Hoja1!$A:$O,5,0)</f>
        <v>2232470</v>
      </c>
      <c r="U527" s="45" t="s">
        <v>2751</v>
      </c>
      <c r="V527" s="46">
        <f t="shared" si="94"/>
        <v>2232470</v>
      </c>
      <c r="W527" s="47" t="s">
        <v>1519</v>
      </c>
      <c r="X527" s="46" t="str">
        <f t="shared" si="95"/>
        <v>4</v>
      </c>
      <c r="Y527" s="47" t="s">
        <v>1518</v>
      </c>
      <c r="Z527" s="46" t="str">
        <f t="shared" si="96"/>
        <v>M</v>
      </c>
      <c r="AA527" s="47" t="s">
        <v>2752</v>
      </c>
      <c r="AB527" s="46" t="str">
        <f t="shared" si="97"/>
        <v>VIERNES</v>
      </c>
      <c r="AC527" s="47" t="s">
        <v>2753</v>
      </c>
      <c r="AD527">
        <f t="shared" si="98"/>
        <v>0</v>
      </c>
      <c r="AE527" s="47" t="s">
        <v>2754</v>
      </c>
      <c r="AH527" t="str">
        <f t="shared" si="99"/>
        <v>INSERT INTO horario_curso_materia (horario_curso_materia.FK_CUR_mat,horario_curso_materia.FK_HOR,horario_curso_materia.DIA,horario_curso_materia.tipo_turno) VALUES (  (SELECT curso_materia.ID_CUR_MAT FROM curso_materia WHERE curso_materia.CUPOF='2232470' ) ,
    (SELECT horario.ID_HOR FROM horario WHERE horario.modulo='4 ' and horario.turno='M ' ),'VIERNES ' , '0 ' );</v>
      </c>
    </row>
    <row r="528" spans="1:34" ht="15" hidden="1" customHeight="1" x14ac:dyDescent="0.3">
      <c r="A528" s="1" t="str">
        <f t="shared" si="92"/>
        <v>3°5°</v>
      </c>
      <c r="B528" s="54" t="str">
        <f t="shared" si="101"/>
        <v>3°5°5JUMAÑANA0</v>
      </c>
      <c r="C528" s="62">
        <f>VLOOKUP(G528,[1]Hoja1!$A:$O,3,0)</f>
        <v>0</v>
      </c>
      <c r="D528" s="2" t="str">
        <f t="shared" si="91"/>
        <v>5JUM</v>
      </c>
      <c r="E528" s="4" t="s">
        <v>139</v>
      </c>
      <c r="F528" s="62" t="s">
        <v>27</v>
      </c>
      <c r="G528" s="72" t="s">
        <v>393</v>
      </c>
      <c r="H528" s="8" t="str">
        <f>VLOOKUP(G528,[1]Hoja1!$A:$O,6,0)</f>
        <v>CONSTRUCCION DE LA CIUDADANIA</v>
      </c>
      <c r="I528" s="4"/>
      <c r="J528" s="4"/>
      <c r="K528" s="80" t="str">
        <f t="shared" si="100"/>
        <v>JU</v>
      </c>
      <c r="L528" s="4"/>
      <c r="M528" s="86" t="str">
        <f>VLOOKUP(G528,[1]Hoja1!$A:$O,15,0)</f>
        <v xml:space="preserve">AMAYA SILVIA                      </v>
      </c>
      <c r="N528" s="2" t="str">
        <f t="shared" si="93"/>
        <v>3°5°3CCDJU</v>
      </c>
      <c r="O528" s="2" t="s">
        <v>1454</v>
      </c>
      <c r="P528" s="2" t="str">
        <f>VLOOKUP(G528,[1]Hoja1!$A:$P,16,0)</f>
        <v xml:space="preserve"> </v>
      </c>
      <c r="Q528" s="2"/>
      <c r="S528">
        <f>VLOOKUP(G528,[1]Hoja1!$A:$O,5,0)</f>
        <v>2232462</v>
      </c>
      <c r="U528" s="45" t="s">
        <v>2751</v>
      </c>
      <c r="V528" s="46">
        <f t="shared" si="94"/>
        <v>2232462</v>
      </c>
      <c r="W528" s="47" t="s">
        <v>1519</v>
      </c>
      <c r="X528" s="46" t="str">
        <f t="shared" si="95"/>
        <v>5</v>
      </c>
      <c r="Y528" s="47" t="s">
        <v>1518</v>
      </c>
      <c r="Z528" s="46" t="str">
        <f t="shared" si="96"/>
        <v>M</v>
      </c>
      <c r="AA528" s="47" t="s">
        <v>2752</v>
      </c>
      <c r="AB528" s="46" t="str">
        <f t="shared" si="97"/>
        <v>JUEVES</v>
      </c>
      <c r="AC528" s="47" t="s">
        <v>2753</v>
      </c>
      <c r="AD528">
        <f t="shared" si="98"/>
        <v>0</v>
      </c>
      <c r="AE528" s="47" t="s">
        <v>2754</v>
      </c>
      <c r="AH528" t="str">
        <f t="shared" si="99"/>
        <v>INSERT INTO horario_curso_materia (horario_curso_materia.FK_CUR_mat,horario_curso_materia.FK_HOR,horario_curso_materia.DIA,horario_curso_materia.tipo_turno) VALUES (  (SELECT curso_materia.ID_CUR_MAT FROM curso_materia WHERE curso_materia.CUPOF='2232462' ) ,
    (SELECT horario.ID_HOR FROM horario WHERE horario.modulo='5 ' and horario.turno='M ' ),'JUEVES ' , '0 ' );</v>
      </c>
    </row>
    <row r="529" spans="1:34" ht="15" hidden="1" customHeight="1" x14ac:dyDescent="0.3">
      <c r="A529" s="1" t="str">
        <f t="shared" si="92"/>
        <v>3°5°</v>
      </c>
      <c r="B529" s="54" t="str">
        <f t="shared" si="101"/>
        <v>3°5°5MIMAÑANA0</v>
      </c>
      <c r="C529" s="62">
        <f>VLOOKUP(G529,[1]Hoja1!$A:$O,3,0)</f>
        <v>0</v>
      </c>
      <c r="D529" s="2" t="str">
        <f t="shared" si="91"/>
        <v>5MIM</v>
      </c>
      <c r="E529" s="62" t="s">
        <v>275</v>
      </c>
      <c r="F529" s="62" t="s">
        <v>27</v>
      </c>
      <c r="G529" s="62" t="s">
        <v>393</v>
      </c>
      <c r="H529" s="8" t="str">
        <f>VLOOKUP(G529,[1]Hoja1!$A:$O,6,0)</f>
        <v>CONSTRUCCION DE LA CIUDADANIA</v>
      </c>
      <c r="I529" s="4"/>
      <c r="J529" s="4"/>
      <c r="K529" s="80" t="str">
        <f t="shared" si="100"/>
        <v>MI</v>
      </c>
      <c r="L529" s="4"/>
      <c r="M529" s="86" t="str">
        <f>VLOOKUP(G529,[1]Hoja1!$A:$O,15,0)</f>
        <v xml:space="preserve">AMAYA SILVIA                      </v>
      </c>
      <c r="N529" s="2" t="str">
        <f t="shared" si="93"/>
        <v>3°5°3CCDMI</v>
      </c>
      <c r="O529" s="2"/>
      <c r="P529" s="2" t="str">
        <f>VLOOKUP(G529,[1]Hoja1!$A:$P,16,0)</f>
        <v xml:space="preserve"> </v>
      </c>
      <c r="Q529" s="2"/>
      <c r="S529">
        <f>VLOOKUP(G529,[1]Hoja1!$A:$O,5,0)</f>
        <v>2232462</v>
      </c>
      <c r="U529" s="45" t="s">
        <v>2751</v>
      </c>
      <c r="V529" s="46">
        <f t="shared" si="94"/>
        <v>2232462</v>
      </c>
      <c r="W529" s="47" t="s">
        <v>1519</v>
      </c>
      <c r="X529" s="46" t="str">
        <f t="shared" si="95"/>
        <v>5</v>
      </c>
      <c r="Y529" s="47" t="s">
        <v>1518</v>
      </c>
      <c r="Z529" s="46" t="str">
        <f t="shared" si="96"/>
        <v>M</v>
      </c>
      <c r="AA529" s="47" t="s">
        <v>2752</v>
      </c>
      <c r="AB529" s="46" t="str">
        <f t="shared" si="97"/>
        <v>MIERCOLES</v>
      </c>
      <c r="AC529" s="47" t="s">
        <v>2753</v>
      </c>
      <c r="AD529">
        <f t="shared" si="98"/>
        <v>0</v>
      </c>
      <c r="AE529" s="47" t="s">
        <v>2754</v>
      </c>
      <c r="AH529" t="str">
        <f t="shared" si="99"/>
        <v>INSERT INTO horario_curso_materia (horario_curso_materia.FK_CUR_mat,horario_curso_materia.FK_HOR,horario_curso_materia.DIA,horario_curso_materia.tipo_turno) VALUES (  (SELECT curso_materia.ID_CUR_MAT FROM curso_materia WHERE curso_materia.CUPOF='2232462' ) ,
    (SELECT horario.ID_HOR FROM horario WHERE horario.modulo='5 ' and horario.turno='M ' ),'MIERCOLES ' , '0 ' );</v>
      </c>
    </row>
    <row r="530" spans="1:34" ht="15" hidden="1" customHeight="1" x14ac:dyDescent="0.3">
      <c r="A530" s="1" t="str">
        <f t="shared" si="92"/>
        <v>4°1°</v>
      </c>
      <c r="B530" s="54" t="str">
        <f t="shared" si="101"/>
        <v>4°1°1JUMAÑANA0</v>
      </c>
      <c r="C530" s="62">
        <f>VLOOKUP(G530,[1]Hoja1!$A:$O,3,0)</f>
        <v>0</v>
      </c>
      <c r="D530" s="2" t="str">
        <f t="shared" si="91"/>
        <v>1JUM</v>
      </c>
      <c r="E530" s="4" t="s">
        <v>43</v>
      </c>
      <c r="F530" s="62" t="s">
        <v>27</v>
      </c>
      <c r="G530" s="72" t="s">
        <v>403</v>
      </c>
      <c r="H530" s="8" t="str">
        <f>VLOOKUP(G530,[1]Hoja1!$A:$O,6,0)</f>
        <v>SALUD Y ADOLESCENCIA</v>
      </c>
      <c r="I530" s="4"/>
      <c r="J530" s="4"/>
      <c r="K530" s="80" t="str">
        <f t="shared" si="100"/>
        <v>JU</v>
      </c>
      <c r="L530" s="4"/>
      <c r="M530" s="86" t="str">
        <f>VLOOKUP(G530,[1]Hoja1!$A:$O,15,0)</f>
        <v>DIAZ HECTOR</v>
      </c>
      <c r="N530" s="2" t="str">
        <f t="shared" si="93"/>
        <v>4°1°4ISADSJU</v>
      </c>
      <c r="O530" s="2"/>
      <c r="P530" s="2" t="str">
        <f>VLOOKUP(G530,[1]Hoja1!$A:$P,16,0)</f>
        <v xml:space="preserve"> </v>
      </c>
      <c r="Q530" s="2"/>
      <c r="S530">
        <f>VLOOKUP(G530,[1]Hoja1!$A:$O,5,0)</f>
        <v>1517051</v>
      </c>
      <c r="U530" s="45" t="s">
        <v>2751</v>
      </c>
      <c r="V530" s="46">
        <f t="shared" si="94"/>
        <v>1517051</v>
      </c>
      <c r="W530" s="47" t="s">
        <v>1519</v>
      </c>
      <c r="X530" s="46" t="str">
        <f t="shared" si="95"/>
        <v>1</v>
      </c>
      <c r="Y530" s="47" t="s">
        <v>1518</v>
      </c>
      <c r="Z530" s="46" t="str">
        <f t="shared" si="96"/>
        <v>M</v>
      </c>
      <c r="AA530" s="47" t="s">
        <v>2752</v>
      </c>
      <c r="AB530" s="46" t="str">
        <f t="shared" si="97"/>
        <v>JUEVES</v>
      </c>
      <c r="AC530" s="47" t="s">
        <v>2753</v>
      </c>
      <c r="AD530">
        <f t="shared" si="98"/>
        <v>0</v>
      </c>
      <c r="AE530" s="47" t="s">
        <v>2754</v>
      </c>
      <c r="AH530" t="str">
        <f t="shared" si="99"/>
        <v>INSERT INTO horario_curso_materia (horario_curso_materia.FK_CUR_mat,horario_curso_materia.FK_HOR,horario_curso_materia.DIA,horario_curso_materia.tipo_turno) VALUES (  (SELECT curso_materia.ID_CUR_MAT FROM curso_materia WHERE curso_materia.CUPOF='1517051' ) ,
    (SELECT horario.ID_HOR FROM horario WHERE horario.modulo='1 ' and horario.turno='M ' ),'JUEVES ' , '0 ' );</v>
      </c>
    </row>
    <row r="531" spans="1:34" ht="15" hidden="1" customHeight="1" x14ac:dyDescent="0.3">
      <c r="A531" s="3" t="str">
        <f t="shared" si="92"/>
        <v>4°1°</v>
      </c>
      <c r="B531" s="54" t="str">
        <f t="shared" si="101"/>
        <v>4°1°1JUVESPERTINO411</v>
      </c>
      <c r="C531" s="63">
        <f>VLOOKUP(G531,[1]Hoja1!$A:$O,3,0)</f>
        <v>411</v>
      </c>
      <c r="D531" s="23" t="str">
        <f t="shared" si="91"/>
        <v>1JUV41</v>
      </c>
      <c r="E531" s="63" t="s">
        <v>43</v>
      </c>
      <c r="F531" s="63" t="s">
        <v>125</v>
      </c>
      <c r="G531" s="63" t="s">
        <v>140</v>
      </c>
      <c r="H531" s="3" t="str">
        <f>VLOOKUP(G531,[1]Hoja1!$A:$O,6,0)</f>
        <v>LAB DE APLICACIONES</v>
      </c>
      <c r="I531" s="17">
        <v>41</v>
      </c>
      <c r="J531" s="17"/>
      <c r="K531" s="81" t="str">
        <f t="shared" si="100"/>
        <v>JU</v>
      </c>
      <c r="L531" s="17" t="s">
        <v>512</v>
      </c>
      <c r="M531" s="87" t="str">
        <f>VLOOKUP(G531,[1]Hoja1!$A:$O,15,0)</f>
        <v xml:space="preserve"> AGUIRRE ISABEL ITATI</v>
      </c>
      <c r="N531" s="23" t="str">
        <f t="shared" si="93"/>
        <v>4°1°4114IFTLA4JU</v>
      </c>
      <c r="O531" s="2"/>
      <c r="P531" s="2" t="str">
        <f>VLOOKUP(G531,[1]Hoja1!$A:$P,16,0)</f>
        <v xml:space="preserve"> </v>
      </c>
      <c r="Q531" s="2"/>
      <c r="S531">
        <f>VLOOKUP(G531,[1]Hoja1!$A:$O,5,0)</f>
        <v>2680049</v>
      </c>
      <c r="U531" s="45" t="s">
        <v>2751</v>
      </c>
      <c r="V531" s="46">
        <f t="shared" si="94"/>
        <v>2680049</v>
      </c>
      <c r="W531" s="47" t="s">
        <v>1519</v>
      </c>
      <c r="X531" s="46" t="str">
        <f t="shared" si="95"/>
        <v>1</v>
      </c>
      <c r="Y531" s="47" t="s">
        <v>1518</v>
      </c>
      <c r="Z531" s="46" t="str">
        <f t="shared" si="96"/>
        <v>V</v>
      </c>
      <c r="AA531" s="47" t="s">
        <v>2752</v>
      </c>
      <c r="AB531" s="46" t="str">
        <f t="shared" si="97"/>
        <v>JUEVES</v>
      </c>
      <c r="AC531" s="47" t="s">
        <v>2753</v>
      </c>
      <c r="AD531" t="str">
        <f t="shared" si="98"/>
        <v>CONTRATURNO</v>
      </c>
      <c r="AE531" s="47" t="s">
        <v>2754</v>
      </c>
      <c r="AH531" t="str">
        <f t="shared" si="99"/>
        <v>INSERT INTO horario_curso_materia (horario_curso_materia.FK_CUR_mat,horario_curso_materia.FK_HOR,horario_curso_materia.DIA,horario_curso_materia.tipo_turno) VALUES (  (SELECT curso_materia.ID_CUR_MAT FROM curso_materia WHERE curso_materia.CUPOF='2680049' ) ,
    (SELECT horario.ID_HOR FROM horario WHERE horario.modulo='1 ' and horario.turno='V ' ),'JUEVES ' , 'CONTRATURNO ' );</v>
      </c>
    </row>
    <row r="532" spans="1:34" ht="15" hidden="1" customHeight="1" x14ac:dyDescent="0.3">
      <c r="A532" s="1" t="str">
        <f t="shared" si="92"/>
        <v>4°1°</v>
      </c>
      <c r="B532" s="54" t="str">
        <f t="shared" si="101"/>
        <v>4°1°1LUMAÑANA0</v>
      </c>
      <c r="C532" s="62">
        <f>VLOOKUP(G532,[1]Hoja1!$A:$O,3,0)</f>
        <v>0</v>
      </c>
      <c r="D532" s="2" t="str">
        <f t="shared" si="91"/>
        <v>1LUM</v>
      </c>
      <c r="E532" s="62" t="s">
        <v>9</v>
      </c>
      <c r="F532" s="62" t="s">
        <v>27</v>
      </c>
      <c r="G532" s="62" t="s">
        <v>397</v>
      </c>
      <c r="H532" s="8" t="str">
        <f>VLOOKUP(G532,[1]Hoja1!$A:$O,6,0)</f>
        <v>FISICA</v>
      </c>
      <c r="I532" s="4"/>
      <c r="J532" s="4"/>
      <c r="K532" s="80" t="str">
        <f t="shared" si="100"/>
        <v>LU</v>
      </c>
      <c r="L532" s="4"/>
      <c r="M532" s="86" t="str">
        <f>VLOOKUP(G532,[1]Hoja1!$A:$O,15,0)</f>
        <v xml:space="preserve">ESPINDOLA SERGIO                          </v>
      </c>
      <c r="N532" s="2" t="str">
        <f t="shared" si="93"/>
        <v>4°1°4IFISLU</v>
      </c>
      <c r="O532" s="2"/>
      <c r="P532" s="2" t="str">
        <f>VLOOKUP(G532,[1]Hoja1!$A:$P,16,0)</f>
        <v xml:space="preserve"> </v>
      </c>
      <c r="Q532" s="2"/>
      <c r="S532">
        <f>VLOOKUP(G532,[1]Hoja1!$A:$O,5,0)</f>
        <v>733330</v>
      </c>
      <c r="U532" s="45" t="s">
        <v>2751</v>
      </c>
      <c r="V532" s="46">
        <f t="shared" si="94"/>
        <v>733330</v>
      </c>
      <c r="W532" s="47" t="s">
        <v>1519</v>
      </c>
      <c r="X532" s="46" t="str">
        <f t="shared" si="95"/>
        <v>1</v>
      </c>
      <c r="Y532" s="47" t="s">
        <v>1518</v>
      </c>
      <c r="Z532" s="46" t="str">
        <f t="shared" si="96"/>
        <v>M</v>
      </c>
      <c r="AA532" s="47" t="s">
        <v>2752</v>
      </c>
      <c r="AB532" s="46" t="str">
        <f t="shared" si="97"/>
        <v>LUNES</v>
      </c>
      <c r="AC532" s="47" t="s">
        <v>2753</v>
      </c>
      <c r="AD532">
        <f t="shared" si="98"/>
        <v>0</v>
      </c>
      <c r="AE532" s="47" t="s">
        <v>2754</v>
      </c>
      <c r="AH532" t="str">
        <f t="shared" si="99"/>
        <v>INSERT INTO horario_curso_materia (horario_curso_materia.FK_CUR_mat,horario_curso_materia.FK_HOR,horario_curso_materia.DIA,horario_curso_materia.tipo_turno) VALUES (  (SELECT curso_materia.ID_CUR_MAT FROM curso_materia WHERE curso_materia.CUPOF='733330' ) ,
    (SELECT horario.ID_HOR FROM horario WHERE horario.modulo='1 ' and horario.turno='M ' ),'LUNES ' , '0 ' );</v>
      </c>
    </row>
    <row r="533" spans="1:34" ht="15" hidden="1" customHeight="1" x14ac:dyDescent="0.3">
      <c r="A533" s="1" t="str">
        <f t="shared" si="92"/>
        <v>4°1°</v>
      </c>
      <c r="B533" s="54" t="str">
        <f t="shared" si="101"/>
        <v>4°1°1LUVESPERTINO411</v>
      </c>
      <c r="C533" s="62">
        <f>VLOOKUP(G533,[1]Hoja1!$A:$O,3,0)</f>
        <v>411</v>
      </c>
      <c r="D533" s="2" t="str">
        <f t="shared" si="91"/>
        <v>1LUV30</v>
      </c>
      <c r="E533" s="62" t="s">
        <v>9</v>
      </c>
      <c r="F533" s="62" t="s">
        <v>125</v>
      </c>
      <c r="G533" s="62" t="s">
        <v>134</v>
      </c>
      <c r="H533" s="8" t="str">
        <f>VLOOKUP(G533,[1]Hoja1!$A:$O,6,0)</f>
        <v xml:space="preserve">LAB DE SIST OPERATIVOS   </v>
      </c>
      <c r="I533" s="4">
        <v>30</v>
      </c>
      <c r="J533" s="4"/>
      <c r="K533" s="81" t="str">
        <f t="shared" si="100"/>
        <v>LU</v>
      </c>
      <c r="L533" s="4" t="s">
        <v>512</v>
      </c>
      <c r="M533" s="86" t="str">
        <f>VLOOKUP(G533,[1]Hoja1!$A:$O,15,0)</f>
        <v xml:space="preserve">AGUIRRE ISABEL  </v>
      </c>
      <c r="N533" s="2" t="str">
        <f t="shared" si="93"/>
        <v>4°1°4114IFTLS4LU</v>
      </c>
      <c r="O533" s="2" t="s">
        <v>1499</v>
      </c>
      <c r="P533" s="2" t="str">
        <f>VLOOKUP(G533,[1]Hoja1!$A:$P,16,0)</f>
        <v xml:space="preserve"> </v>
      </c>
      <c r="Q533" s="2"/>
      <c r="S533">
        <f>VLOOKUP(G533,[1]Hoja1!$A:$O,5,0)</f>
        <v>2680045</v>
      </c>
      <c r="U533" s="45" t="s">
        <v>2751</v>
      </c>
      <c r="V533" s="46">
        <f t="shared" si="94"/>
        <v>2680045</v>
      </c>
      <c r="W533" s="47" t="s">
        <v>1519</v>
      </c>
      <c r="X533" s="46" t="str">
        <f t="shared" si="95"/>
        <v>1</v>
      </c>
      <c r="Y533" s="47" t="s">
        <v>1518</v>
      </c>
      <c r="Z533" s="46" t="str">
        <f t="shared" si="96"/>
        <v>V</v>
      </c>
      <c r="AA533" s="47" t="s">
        <v>2752</v>
      </c>
      <c r="AB533" s="46" t="str">
        <f t="shared" si="97"/>
        <v>LUNES</v>
      </c>
      <c r="AC533" s="47" t="s">
        <v>2753</v>
      </c>
      <c r="AD533" t="str">
        <f t="shared" si="98"/>
        <v>CONTRATURNO</v>
      </c>
      <c r="AE533" s="47" t="s">
        <v>2754</v>
      </c>
      <c r="AH533" t="str">
        <f t="shared" si="99"/>
        <v>INSERT INTO horario_curso_materia (horario_curso_materia.FK_CUR_mat,horario_curso_materia.FK_HOR,horario_curso_materia.DIA,horario_curso_materia.tipo_turno) VALUES (  (SELECT curso_materia.ID_CUR_MAT FROM curso_materia WHERE curso_materia.CUPOF='2680045' ) ,
    (SELECT horario.ID_HOR FROM horario WHERE horario.modulo='1 ' and horario.turno='V ' ),'LUNES ' , 'CONTRATURNO ' );</v>
      </c>
    </row>
    <row r="534" spans="1:34" ht="15" hidden="1" customHeight="1" x14ac:dyDescent="0.3">
      <c r="A534" s="1" t="str">
        <f t="shared" si="92"/>
        <v>4°1°</v>
      </c>
      <c r="B534" s="54" t="str">
        <f t="shared" si="101"/>
        <v>4°1°1LUVESPERTINO412</v>
      </c>
      <c r="C534" s="62">
        <f>VLOOKUP(G534,[1]Hoja1!$A:$O,3,0)</f>
        <v>412</v>
      </c>
      <c r="D534" s="2" t="str">
        <f t="shared" si="91"/>
        <v>1LUV40</v>
      </c>
      <c r="E534" s="62" t="s">
        <v>9</v>
      </c>
      <c r="F534" s="62" t="s">
        <v>125</v>
      </c>
      <c r="G534" s="62" t="s">
        <v>133</v>
      </c>
      <c r="H534" s="8" t="str">
        <f>VLOOKUP(G534,[1]Hoja1!$A:$O,6,0)</f>
        <v xml:space="preserve">LAB DE SIST OPERATIVOS   </v>
      </c>
      <c r="I534" s="4">
        <v>40</v>
      </c>
      <c r="J534" s="4"/>
      <c r="K534" s="80" t="str">
        <f t="shared" si="100"/>
        <v>LU</v>
      </c>
      <c r="L534" s="4" t="s">
        <v>512</v>
      </c>
      <c r="M534" s="86" t="str">
        <f>VLOOKUP(G534,[1]Hoja1!$A:$O,15,0)</f>
        <v xml:space="preserve">BARCENILLA, JAVIER </v>
      </c>
      <c r="N534" s="2" t="str">
        <f t="shared" si="93"/>
        <v>4°1°4124IFTLS4LU</v>
      </c>
      <c r="O534" s="2" t="s">
        <v>1374</v>
      </c>
      <c r="P534" s="2" t="str">
        <f>VLOOKUP(G534,[1]Hoja1!$A:$P,16,0)</f>
        <v xml:space="preserve"> </v>
      </c>
      <c r="Q534" s="2"/>
      <c r="S534">
        <f>VLOOKUP(G534,[1]Hoja1!$A:$O,5,0)</f>
        <v>2680054</v>
      </c>
      <c r="U534" s="45" t="s">
        <v>2751</v>
      </c>
      <c r="V534" s="46">
        <f t="shared" si="94"/>
        <v>2680054</v>
      </c>
      <c r="W534" s="47" t="s">
        <v>1519</v>
      </c>
      <c r="X534" s="46" t="str">
        <f t="shared" si="95"/>
        <v>1</v>
      </c>
      <c r="Y534" s="47" t="s">
        <v>1518</v>
      </c>
      <c r="Z534" s="46" t="str">
        <f t="shared" si="96"/>
        <v>V</v>
      </c>
      <c r="AA534" s="47" t="s">
        <v>2752</v>
      </c>
      <c r="AB534" s="46" t="str">
        <f t="shared" si="97"/>
        <v>LUNES</v>
      </c>
      <c r="AC534" s="47" t="s">
        <v>2753</v>
      </c>
      <c r="AD534" t="str">
        <f t="shared" si="98"/>
        <v>CONTRATURNO</v>
      </c>
      <c r="AE534" s="47" t="s">
        <v>2754</v>
      </c>
      <c r="AH534" t="str">
        <f t="shared" si="99"/>
        <v>INSERT INTO horario_curso_materia (horario_curso_materia.FK_CUR_mat,horario_curso_materia.FK_HOR,horario_curso_materia.DIA,horario_curso_materia.tipo_turno) VALUES (  (SELECT curso_materia.ID_CUR_MAT FROM curso_materia WHERE curso_materia.CUPOF='2680054' ) ,
    (SELECT horario.ID_HOR FROM horario WHERE horario.modulo='1 ' and horario.turno='V ' ),'LUNES ' , 'CONTRATURNO ' );</v>
      </c>
    </row>
    <row r="535" spans="1:34" ht="15" hidden="1" customHeight="1" x14ac:dyDescent="0.3">
      <c r="A535" s="1" t="str">
        <f t="shared" si="92"/>
        <v>4°1°</v>
      </c>
      <c r="B535" s="54" t="str">
        <f t="shared" si="101"/>
        <v>4°1°1MAMAÑANA0</v>
      </c>
      <c r="C535" s="62">
        <f>VLOOKUP(G535,[1]Hoja1!$A:$O,3,0)</f>
        <v>0</v>
      </c>
      <c r="D535" s="2" t="str">
        <f t="shared" si="91"/>
        <v>1MAM</v>
      </c>
      <c r="E535" s="62" t="s">
        <v>17</v>
      </c>
      <c r="F535" s="62" t="s">
        <v>27</v>
      </c>
      <c r="G535" s="62" t="s">
        <v>399</v>
      </c>
      <c r="H535" s="8" t="str">
        <f>VLOOKUP(G535,[1]Hoja1!$A:$O,6,0)</f>
        <v>MATEMATICA</v>
      </c>
      <c r="I535" s="4"/>
      <c r="J535" s="4"/>
      <c r="K535" s="80" t="str">
        <f t="shared" si="100"/>
        <v>MA</v>
      </c>
      <c r="L535" s="4"/>
      <c r="M535" s="86" t="str">
        <f>VLOOKUP(G535,[1]Hoja1!$A:$O,15,0)</f>
        <v>WEBBER JONATHAN</v>
      </c>
      <c r="N535" s="2" t="str">
        <f t="shared" si="93"/>
        <v>4°1°4IMATESMA</v>
      </c>
      <c r="O535" s="2"/>
      <c r="P535" s="2" t="str">
        <f>VLOOKUP(G535,[1]Hoja1!$A:$P,16,0)</f>
        <v xml:space="preserve"> </v>
      </c>
      <c r="Q535" s="2"/>
      <c r="S535">
        <f>VLOOKUP(G535,[1]Hoja1!$A:$O,5,0)</f>
        <v>733575</v>
      </c>
      <c r="U535" s="45" t="s">
        <v>2751</v>
      </c>
      <c r="V535" s="46">
        <f t="shared" si="94"/>
        <v>733575</v>
      </c>
      <c r="W535" s="47" t="s">
        <v>1519</v>
      </c>
      <c r="X535" s="46" t="str">
        <f t="shared" si="95"/>
        <v>1</v>
      </c>
      <c r="Y535" s="47" t="s">
        <v>1518</v>
      </c>
      <c r="Z535" s="46" t="str">
        <f t="shared" si="96"/>
        <v>M</v>
      </c>
      <c r="AA535" s="47" t="s">
        <v>2752</v>
      </c>
      <c r="AB535" s="46" t="str">
        <f t="shared" si="97"/>
        <v>MARTES</v>
      </c>
      <c r="AC535" s="47" t="s">
        <v>2753</v>
      </c>
      <c r="AD535">
        <f t="shared" si="98"/>
        <v>0</v>
      </c>
      <c r="AE535" s="47" t="s">
        <v>2754</v>
      </c>
      <c r="AH535" t="str">
        <f t="shared" si="99"/>
        <v>INSERT INTO horario_curso_materia (horario_curso_materia.FK_CUR_mat,horario_curso_materia.FK_HOR,horario_curso_materia.DIA,horario_curso_materia.tipo_turno) VALUES (  (SELECT curso_materia.ID_CUR_MAT FROM curso_materia WHERE curso_materia.CUPOF='733575' ) ,
    (SELECT horario.ID_HOR FROM horario WHERE horario.modulo='1 ' and horario.turno='M ' ),'MARTES ' , '0 ' );</v>
      </c>
    </row>
    <row r="536" spans="1:34" ht="15" hidden="1" customHeight="1" x14ac:dyDescent="0.3">
      <c r="A536" s="1" t="str">
        <f t="shared" si="92"/>
        <v>4°1°</v>
      </c>
      <c r="B536" s="54" t="str">
        <f t="shared" si="101"/>
        <v>4°1°1VIVESPERTINO412</v>
      </c>
      <c r="C536" s="62">
        <f>VLOOKUP(G536,[1]Hoja1!$A:$O,3,0)</f>
        <v>412</v>
      </c>
      <c r="D536" s="2" t="str">
        <f t="shared" si="91"/>
        <v>1VIVHARDWARE</v>
      </c>
      <c r="E536" s="62" t="s">
        <v>57</v>
      </c>
      <c r="F536" s="62" t="s">
        <v>125</v>
      </c>
      <c r="G536" s="62" t="s">
        <v>135</v>
      </c>
      <c r="H536" s="8" t="str">
        <f>VLOOKUP(G536,[1]Hoja1!$A:$O,6,0)</f>
        <v>LAB DE HARDWARE</v>
      </c>
      <c r="I536" s="4" t="s">
        <v>38</v>
      </c>
      <c r="J536" s="4"/>
      <c r="K536" s="80" t="str">
        <f t="shared" si="100"/>
        <v>VI</v>
      </c>
      <c r="L536" s="4" t="s">
        <v>512</v>
      </c>
      <c r="M536" s="86" t="str">
        <f>VLOOKUP(G536,[1]Hoja1!$A:$O,15,0)</f>
        <v>GAUNA FEDERICO</v>
      </c>
      <c r="N536" s="2" t="str">
        <f t="shared" si="93"/>
        <v>4°1°4124IFTLH4VI</v>
      </c>
      <c r="O536" s="2"/>
      <c r="P536" s="2" t="str">
        <f>VLOOKUP(G536,[1]Hoja1!$A:$P,16,0)</f>
        <v xml:space="preserve"> </v>
      </c>
      <c r="Q536" s="2"/>
      <c r="S536">
        <f>VLOOKUP(G536,[1]Hoja1!$A:$O,5,0)</f>
        <v>2680053</v>
      </c>
      <c r="U536" s="45" t="s">
        <v>2751</v>
      </c>
      <c r="V536" s="46">
        <f t="shared" si="94"/>
        <v>2680053</v>
      </c>
      <c r="W536" s="47" t="s">
        <v>1519</v>
      </c>
      <c r="X536" s="46" t="str">
        <f t="shared" si="95"/>
        <v>1</v>
      </c>
      <c r="Y536" s="47" t="s">
        <v>1518</v>
      </c>
      <c r="Z536" s="46" t="str">
        <f t="shared" si="96"/>
        <v>V</v>
      </c>
      <c r="AA536" s="47" t="s">
        <v>2752</v>
      </c>
      <c r="AB536" s="46" t="str">
        <f t="shared" si="97"/>
        <v>VIERNES</v>
      </c>
      <c r="AC536" s="47" t="s">
        <v>2753</v>
      </c>
      <c r="AD536" t="str">
        <f t="shared" si="98"/>
        <v>CONTRATURNO</v>
      </c>
      <c r="AE536" s="47" t="s">
        <v>2754</v>
      </c>
      <c r="AH536" t="str">
        <f t="shared" si="99"/>
        <v>INSERT INTO horario_curso_materia (horario_curso_materia.FK_CUR_mat,horario_curso_materia.FK_HOR,horario_curso_materia.DIA,horario_curso_materia.tipo_turno) VALUES (  (SELECT curso_materia.ID_CUR_MAT FROM curso_materia WHERE curso_materia.CUPOF='2680053' ) ,
    (SELECT horario.ID_HOR FROM horario WHERE horario.modulo='1 ' and horario.turno='V ' ),'VIERNES ' , 'CONTRATURNO ' );</v>
      </c>
    </row>
    <row r="537" spans="1:34" ht="15" hidden="1" customHeight="1" x14ac:dyDescent="0.3">
      <c r="A537" s="1" t="str">
        <f t="shared" si="92"/>
        <v>4°1°</v>
      </c>
      <c r="B537" s="54" t="str">
        <f t="shared" si="101"/>
        <v>4°1°1maVESPERTINO411</v>
      </c>
      <c r="C537" s="62">
        <f>VLOOKUP(G537,[1]Hoja1!$A:$O,3,0)</f>
        <v>411</v>
      </c>
      <c r="D537" s="2" t="str">
        <f t="shared" si="91"/>
        <v>1maVHARDWARE</v>
      </c>
      <c r="E537" s="62" t="s">
        <v>88</v>
      </c>
      <c r="F537" s="62" t="s">
        <v>125</v>
      </c>
      <c r="G537" s="62" t="s">
        <v>138</v>
      </c>
      <c r="H537" s="8" t="str">
        <f>VLOOKUP(G537,[1]Hoja1!$A:$O,6,0)</f>
        <v>LAB DE HARDWARE</v>
      </c>
      <c r="I537" s="4" t="s">
        <v>38</v>
      </c>
      <c r="J537" s="4"/>
      <c r="K537" s="80" t="str">
        <f t="shared" si="100"/>
        <v>ma</v>
      </c>
      <c r="L537" s="4" t="s">
        <v>512</v>
      </c>
      <c r="M537" s="86" t="str">
        <f>VLOOKUP(G537,[1]Hoja1!$A:$O,15,0)</f>
        <v>HERRERA STELLA 27- 29.873.235-7</v>
      </c>
      <c r="N537" s="2" t="str">
        <f t="shared" si="93"/>
        <v>4°1°4114IFTLH4ma</v>
      </c>
      <c r="O537" s="2"/>
      <c r="P537" s="2" t="str">
        <f>VLOOKUP(G537,[1]Hoja1!$A:$P,16,0)</f>
        <v xml:space="preserve"> </v>
      </c>
      <c r="Q537" s="2"/>
      <c r="S537">
        <f>VLOOKUP(G537,[1]Hoja1!$A:$O,5,0)</f>
        <v>2680043</v>
      </c>
      <c r="U537" s="45" t="s">
        <v>2751</v>
      </c>
      <c r="V537" s="46">
        <f t="shared" si="94"/>
        <v>2680043</v>
      </c>
      <c r="W537" s="47" t="s">
        <v>1519</v>
      </c>
      <c r="X537" s="46" t="str">
        <f t="shared" si="95"/>
        <v>1</v>
      </c>
      <c r="Y537" s="47" t="s">
        <v>1518</v>
      </c>
      <c r="Z537" s="46" t="str">
        <f t="shared" si="96"/>
        <v>V</v>
      </c>
      <c r="AA537" s="47" t="s">
        <v>2752</v>
      </c>
      <c r="AB537" s="46" t="str">
        <f t="shared" si="97"/>
        <v>MARTES</v>
      </c>
      <c r="AC537" s="47" t="s">
        <v>2753</v>
      </c>
      <c r="AD537" t="str">
        <f t="shared" si="98"/>
        <v>CONTRATURNO</v>
      </c>
      <c r="AE537" s="47" t="s">
        <v>2754</v>
      </c>
      <c r="AH537" t="str">
        <f t="shared" si="99"/>
        <v>INSERT INTO horario_curso_materia (horario_curso_materia.FK_CUR_mat,horario_curso_materia.FK_HOR,horario_curso_materia.DIA,horario_curso_materia.tipo_turno) VALUES (  (SELECT curso_materia.ID_CUR_MAT FROM curso_materia WHERE curso_materia.CUPOF='2680043' ) ,
    (SELECT horario.ID_HOR FROM horario WHERE horario.modulo='1 ' and horario.turno='V ' ),'MARTES ' , 'CONTRATURNO ' );</v>
      </c>
    </row>
    <row r="538" spans="1:34" ht="15" hidden="1" customHeight="1" x14ac:dyDescent="0.3">
      <c r="A538" s="1" t="str">
        <f t="shared" si="92"/>
        <v>4°1°</v>
      </c>
      <c r="B538" s="54" t="str">
        <f t="shared" si="101"/>
        <v>4°1°1MIMAÑANA0</v>
      </c>
      <c r="C538" s="62">
        <f>VLOOKUP(G538,[1]Hoja1!$A:$O,3,0)</f>
        <v>0</v>
      </c>
      <c r="D538" s="2" t="str">
        <f t="shared" si="91"/>
        <v>1MIM</v>
      </c>
      <c r="E538" s="62" t="s">
        <v>24</v>
      </c>
      <c r="F538" s="62" t="s">
        <v>27</v>
      </c>
      <c r="G538" s="62" t="s">
        <v>401</v>
      </c>
      <c r="H538" s="8" t="str">
        <f>VLOOKUP(G538,[1]Hoja1!$A:$O,6,0)</f>
        <v>HISTORIA</v>
      </c>
      <c r="I538" s="4"/>
      <c r="J538" s="4"/>
      <c r="K538" s="80" t="str">
        <f t="shared" si="100"/>
        <v>MI</v>
      </c>
      <c r="L538" s="4"/>
      <c r="M538" s="86" t="str">
        <f>VLOOKUP(G538,[1]Hoja1!$A:$O,15,0)</f>
        <v xml:space="preserve">LOPEZ MARINA  </v>
      </c>
      <c r="N538" s="2" t="str">
        <f t="shared" si="93"/>
        <v>4°1°4IHISMI</v>
      </c>
      <c r="O538" s="2"/>
      <c r="P538" s="2" t="str">
        <f>VLOOKUP(G538,[1]Hoja1!$A:$P,16,0)</f>
        <v xml:space="preserve"> </v>
      </c>
      <c r="Q538" s="2"/>
      <c r="S538">
        <f>VLOOKUP(G538,[1]Hoja1!$A:$O,5,0)</f>
        <v>733421</v>
      </c>
      <c r="U538" s="45" t="s">
        <v>2751</v>
      </c>
      <c r="V538" s="46">
        <f t="shared" si="94"/>
        <v>733421</v>
      </c>
      <c r="W538" s="47" t="s">
        <v>1519</v>
      </c>
      <c r="X538" s="46" t="str">
        <f t="shared" si="95"/>
        <v>1</v>
      </c>
      <c r="Y538" s="47" t="s">
        <v>1518</v>
      </c>
      <c r="Z538" s="46" t="str">
        <f t="shared" si="96"/>
        <v>M</v>
      </c>
      <c r="AA538" s="47" t="s">
        <v>2752</v>
      </c>
      <c r="AB538" s="46" t="str">
        <f t="shared" si="97"/>
        <v>MIERCOLES</v>
      </c>
      <c r="AC538" s="47" t="s">
        <v>2753</v>
      </c>
      <c r="AD538">
        <f t="shared" si="98"/>
        <v>0</v>
      </c>
      <c r="AE538" s="47" t="s">
        <v>2754</v>
      </c>
      <c r="AH538" t="str">
        <f t="shared" si="99"/>
        <v>INSERT INTO horario_curso_materia (horario_curso_materia.FK_CUR_mat,horario_curso_materia.FK_HOR,horario_curso_materia.DIA,horario_curso_materia.tipo_turno) VALUES (  (SELECT curso_materia.ID_CUR_MAT FROM curso_materia WHERE curso_materia.CUPOF='733421' ) ,
    (SELECT horario.ID_HOR FROM horario WHERE horario.modulo='1 ' and horario.turno='M ' ),'MIERCOLES ' , '0 ' );</v>
      </c>
    </row>
    <row r="539" spans="1:34" ht="15" hidden="1" customHeight="1" x14ac:dyDescent="0.3">
      <c r="A539" s="1" t="str">
        <f t="shared" si="92"/>
        <v>4°1°</v>
      </c>
      <c r="B539" s="54" t="str">
        <f t="shared" si="101"/>
        <v>4°1°1juVESPERTINO412</v>
      </c>
      <c r="C539" s="62">
        <f>VLOOKUP(G539,[1]Hoja1!$A:$O,3,0)</f>
        <v>412</v>
      </c>
      <c r="D539" s="2" t="str">
        <f t="shared" si="91"/>
        <v>1juV40</v>
      </c>
      <c r="E539" s="62" t="s">
        <v>1348</v>
      </c>
      <c r="F539" s="62" t="s">
        <v>125</v>
      </c>
      <c r="G539" s="62" t="s">
        <v>136</v>
      </c>
      <c r="H539" s="8" t="str">
        <f>VLOOKUP(G539,[1]Hoja1!$A:$O,6,0)</f>
        <v>LAB DE PROGRAM</v>
      </c>
      <c r="I539" s="4">
        <v>40</v>
      </c>
      <c r="J539" s="4"/>
      <c r="K539" s="80" t="str">
        <f t="shared" si="100"/>
        <v>ju</v>
      </c>
      <c r="L539" s="4" t="s">
        <v>512</v>
      </c>
      <c r="M539" s="86" t="str">
        <f>VLOOKUP(G539,[1]Hoja1!$A:$O,15,0)</f>
        <v>HERRERA STELLA MARIS</v>
      </c>
      <c r="N539" s="2" t="str">
        <f t="shared" si="93"/>
        <v>4°1°4124IFTLP4ju</v>
      </c>
      <c r="O539" s="2"/>
      <c r="P539" s="2" t="str">
        <f>VLOOKUP(G539,[1]Hoja1!$A:$P,16,0)</f>
        <v xml:space="preserve"> </v>
      </c>
      <c r="Q539" s="2"/>
      <c r="S539">
        <f>VLOOKUP(G539,[1]Hoja1!$A:$O,5,0)</f>
        <v>2680052</v>
      </c>
      <c r="U539" s="45" t="s">
        <v>2751</v>
      </c>
      <c r="V539" s="46">
        <f t="shared" si="94"/>
        <v>2680052</v>
      </c>
      <c r="W539" s="47" t="s">
        <v>1519</v>
      </c>
      <c r="X539" s="46" t="str">
        <f t="shared" si="95"/>
        <v>1</v>
      </c>
      <c r="Y539" s="47" t="s">
        <v>1518</v>
      </c>
      <c r="Z539" s="46" t="str">
        <f t="shared" si="96"/>
        <v>V</v>
      </c>
      <c r="AA539" s="47" t="s">
        <v>2752</v>
      </c>
      <c r="AB539" s="46" t="str">
        <f t="shared" si="97"/>
        <v>JUEVES</v>
      </c>
      <c r="AC539" s="47" t="s">
        <v>2753</v>
      </c>
      <c r="AD539" t="str">
        <f t="shared" si="98"/>
        <v>CONTRATURNO</v>
      </c>
      <c r="AE539" s="47" t="s">
        <v>2754</v>
      </c>
      <c r="AH539" t="str">
        <f t="shared" si="99"/>
        <v>INSERT INTO horario_curso_materia (horario_curso_materia.FK_CUR_mat,horario_curso_materia.FK_HOR,horario_curso_materia.DIA,horario_curso_materia.tipo_turno) VALUES (  (SELECT curso_materia.ID_CUR_MAT FROM curso_materia WHERE curso_materia.CUPOF='2680052' ) ,
    (SELECT horario.ID_HOR FROM horario WHERE horario.modulo='1 ' and horario.turno='V ' ),'JUEVES ' , 'CONTRATURNO ' );</v>
      </c>
    </row>
    <row r="540" spans="1:34" ht="15" hidden="1" customHeight="1" x14ac:dyDescent="0.3">
      <c r="A540" s="1" t="str">
        <f t="shared" si="92"/>
        <v>4°1°</v>
      </c>
      <c r="B540" s="54" t="str">
        <f t="shared" si="101"/>
        <v>4°1°1MIVESPERTINO0</v>
      </c>
      <c r="C540" s="62">
        <f>VLOOKUP(G540,[1]Hoja1!$A:$O,3,0)</f>
        <v>0</v>
      </c>
      <c r="D540" s="2" t="str">
        <f t="shared" si="91"/>
        <v>1MIVPATIO2</v>
      </c>
      <c r="E540" s="62" t="s">
        <v>24</v>
      </c>
      <c r="F540" s="62" t="s">
        <v>125</v>
      </c>
      <c r="G540" s="62" t="s">
        <v>563</v>
      </c>
      <c r="H540" s="8" t="str">
        <f>VLOOKUP(G540,[1]Hoja1!$A:$O,6,0)</f>
        <v>EDUCACIÓN FISICA</v>
      </c>
      <c r="I540" s="4" t="s">
        <v>295</v>
      </c>
      <c r="J540" s="4"/>
      <c r="K540" s="80" t="str">
        <f t="shared" si="100"/>
        <v>MI</v>
      </c>
      <c r="L540" s="4" t="s">
        <v>512</v>
      </c>
      <c r="M540" s="86" t="str">
        <f>VLOOKUP(G540,[1]Hoja1!$A:$O,15,0)</f>
        <v xml:space="preserve">RIOS LEOINARDO </v>
      </c>
      <c r="N540" s="2" t="str">
        <f t="shared" si="93"/>
        <v>4°1°4IEFISMI</v>
      </c>
      <c r="O540" s="2"/>
      <c r="P540" s="2" t="str">
        <f>VLOOKUP(G540,[1]Hoja1!$A:$P,16,0)</f>
        <v xml:space="preserve"> </v>
      </c>
      <c r="Q540" s="2"/>
      <c r="S540">
        <f>VLOOKUP(G540,[1]Hoja1!$A:$O,5,0)</f>
        <v>733409</v>
      </c>
      <c r="U540" s="45" t="s">
        <v>2751</v>
      </c>
      <c r="V540" s="46">
        <f t="shared" si="94"/>
        <v>733409</v>
      </c>
      <c r="W540" s="47" t="s">
        <v>1519</v>
      </c>
      <c r="X540" s="46" t="str">
        <f t="shared" si="95"/>
        <v>1</v>
      </c>
      <c r="Y540" s="47" t="s">
        <v>1518</v>
      </c>
      <c r="Z540" s="46" t="str">
        <f t="shared" si="96"/>
        <v>V</v>
      </c>
      <c r="AA540" s="47" t="s">
        <v>2752</v>
      </c>
      <c r="AB540" s="46" t="str">
        <f t="shared" si="97"/>
        <v>MIERCOLES</v>
      </c>
      <c r="AC540" s="47" t="s">
        <v>2753</v>
      </c>
      <c r="AD540" t="str">
        <f t="shared" si="98"/>
        <v>CONTRATURNO</v>
      </c>
      <c r="AE540" s="47" t="s">
        <v>2754</v>
      </c>
      <c r="AH540" t="str">
        <f t="shared" si="99"/>
        <v>INSERT INTO horario_curso_materia (horario_curso_materia.FK_CUR_mat,horario_curso_materia.FK_HOR,horario_curso_materia.DIA,horario_curso_materia.tipo_turno) VALUES (  (SELECT curso_materia.ID_CUR_MAT FROM curso_materia WHERE curso_materia.CUPOF='733409' ) ,
    (SELECT horario.ID_HOR FROM horario WHERE horario.modulo='1 ' and horario.turno='V ' ),'MIERCOLES ' , 'CONTRATURNO ' );</v>
      </c>
    </row>
    <row r="541" spans="1:34" ht="15" hidden="1" customHeight="1" x14ac:dyDescent="0.3">
      <c r="A541" s="1" t="str">
        <f t="shared" si="92"/>
        <v>4°1°</v>
      </c>
      <c r="B541" s="54" t="str">
        <f t="shared" si="101"/>
        <v>4°1°1VIMAÑANA0</v>
      </c>
      <c r="C541" s="62">
        <f>VLOOKUP(G541,[1]Hoja1!$A:$O,3,0)</f>
        <v>0</v>
      </c>
      <c r="D541" s="2" t="str">
        <f t="shared" si="91"/>
        <v>1VIM</v>
      </c>
      <c r="E541" s="62" t="s">
        <v>57</v>
      </c>
      <c r="F541" s="62" t="s">
        <v>27</v>
      </c>
      <c r="G541" s="62" t="s">
        <v>399</v>
      </c>
      <c r="H541" s="8" t="str">
        <f>VLOOKUP(G541,[1]Hoja1!$A:$O,6,0)</f>
        <v>MATEMATICA</v>
      </c>
      <c r="I541" s="4"/>
      <c r="J541" s="4"/>
      <c r="K541" s="80" t="str">
        <f t="shared" si="100"/>
        <v>VI</v>
      </c>
      <c r="L541" s="4"/>
      <c r="M541" s="86" t="str">
        <f>VLOOKUP(G541,[1]Hoja1!$A:$O,15,0)</f>
        <v>WEBBER JONATHAN</v>
      </c>
      <c r="N541" s="2" t="str">
        <f t="shared" si="93"/>
        <v>4°1°4IMATESVI</v>
      </c>
      <c r="O541" s="2"/>
      <c r="P541" s="2" t="str">
        <f>VLOOKUP(G541,[1]Hoja1!$A:$P,16,0)</f>
        <v xml:space="preserve"> </v>
      </c>
      <c r="Q541" s="2"/>
      <c r="S541">
        <f>VLOOKUP(G541,[1]Hoja1!$A:$O,5,0)</f>
        <v>733575</v>
      </c>
      <c r="U541" s="45" t="s">
        <v>2751</v>
      </c>
      <c r="V541" s="46">
        <f t="shared" si="94"/>
        <v>733575</v>
      </c>
      <c r="W541" s="47" t="s">
        <v>1519</v>
      </c>
      <c r="X541" s="46" t="str">
        <f t="shared" si="95"/>
        <v>1</v>
      </c>
      <c r="Y541" s="47" t="s">
        <v>1518</v>
      </c>
      <c r="Z541" s="46" t="str">
        <f t="shared" si="96"/>
        <v>M</v>
      </c>
      <c r="AA541" s="47" t="s">
        <v>2752</v>
      </c>
      <c r="AB541" s="46" t="str">
        <f t="shared" si="97"/>
        <v>VIERNES</v>
      </c>
      <c r="AC541" s="47" t="s">
        <v>2753</v>
      </c>
      <c r="AD541">
        <f t="shared" si="98"/>
        <v>0</v>
      </c>
      <c r="AE541" s="47" t="s">
        <v>2754</v>
      </c>
      <c r="AH541" t="str">
        <f t="shared" si="99"/>
        <v>INSERT INTO horario_curso_materia (horario_curso_materia.FK_CUR_mat,horario_curso_materia.FK_HOR,horario_curso_materia.DIA,horario_curso_materia.tipo_turno) VALUES (  (SELECT curso_materia.ID_CUR_MAT FROM curso_materia WHERE curso_materia.CUPOF='733575' ) ,
    (SELECT horario.ID_HOR FROM horario WHERE horario.modulo='1 ' and horario.turno='M ' ),'VIERNES ' , '0 ' );</v>
      </c>
    </row>
    <row r="542" spans="1:34" ht="15" hidden="1" customHeight="1" x14ac:dyDescent="0.3">
      <c r="A542" s="1" t="str">
        <f t="shared" si="92"/>
        <v>4°1°</v>
      </c>
      <c r="B542" s="54" t="str">
        <f t="shared" si="101"/>
        <v>4°1°1VITARDE412</v>
      </c>
      <c r="C542" s="62">
        <f>VLOOKUP(G542,[1]Hoja1!$A:$O,3,0)</f>
        <v>412</v>
      </c>
      <c r="D542" s="2" t="str">
        <f t="shared" si="91"/>
        <v>1VIT30</v>
      </c>
      <c r="E542" s="62" t="s">
        <v>57</v>
      </c>
      <c r="F542" s="62" t="s">
        <v>10</v>
      </c>
      <c r="G542" s="62" t="s">
        <v>141</v>
      </c>
      <c r="H542" s="8" t="str">
        <f>VLOOKUP(G542,[1]Hoja1!$A:$O,6,0)</f>
        <v>LAB DE APLICACIONES</v>
      </c>
      <c r="I542" s="4">
        <v>30</v>
      </c>
      <c r="J542" s="4"/>
      <c r="K542" s="80" t="str">
        <f t="shared" si="100"/>
        <v>VI</v>
      </c>
      <c r="L542" s="4" t="s">
        <v>512</v>
      </c>
      <c r="M542" s="86" t="str">
        <f>VLOOKUP(G542,[1]Hoja1!$A:$O,15,0)</f>
        <v xml:space="preserve">PROCHOR GLORIA </v>
      </c>
      <c r="N542" s="2" t="str">
        <f t="shared" si="93"/>
        <v>4°1°4124IFTLA4VI</v>
      </c>
      <c r="O542" s="2"/>
      <c r="P542" s="2" t="str">
        <f>VLOOKUP(G542,[1]Hoja1!$A:$P,16,0)</f>
        <v xml:space="preserve"> </v>
      </c>
      <c r="Q542" s="2"/>
      <c r="S542">
        <f>VLOOKUP(G542,[1]Hoja1!$A:$O,5,0)</f>
        <v>2680055</v>
      </c>
      <c r="U542" s="45" t="s">
        <v>2751</v>
      </c>
      <c r="V542" s="46">
        <f t="shared" si="94"/>
        <v>2680055</v>
      </c>
      <c r="W542" s="47" t="s">
        <v>1519</v>
      </c>
      <c r="X542" s="46" t="str">
        <f t="shared" si="95"/>
        <v>1</v>
      </c>
      <c r="Y542" s="47" t="s">
        <v>1518</v>
      </c>
      <c r="Z542" s="46" t="str">
        <f t="shared" si="96"/>
        <v>T</v>
      </c>
      <c r="AA542" s="47" t="s">
        <v>2752</v>
      </c>
      <c r="AB542" s="46" t="str">
        <f t="shared" si="97"/>
        <v>VIERNES</v>
      </c>
      <c r="AC542" s="47" t="s">
        <v>2753</v>
      </c>
      <c r="AD542" t="str">
        <f t="shared" si="98"/>
        <v>CONTRATURNO</v>
      </c>
      <c r="AE542" s="47" t="s">
        <v>2754</v>
      </c>
      <c r="AH542" t="str">
        <f t="shared" si="99"/>
        <v>INSERT INTO horario_curso_materia (horario_curso_materia.FK_CUR_mat,horario_curso_materia.FK_HOR,horario_curso_materia.DIA,horario_curso_materia.tipo_turno) VALUES (  (SELECT curso_materia.ID_CUR_MAT FROM curso_materia WHERE curso_materia.CUPOF='2680055' ) ,
    (SELECT horario.ID_HOR FROM horario WHERE horario.modulo='1 ' and horario.turno='T ' ),'VIERNES ' , 'CONTRATURNO ' );</v>
      </c>
    </row>
    <row r="543" spans="1:34" ht="15" hidden="1" customHeight="1" x14ac:dyDescent="0.3">
      <c r="A543" s="1" t="str">
        <f t="shared" si="92"/>
        <v>4°1°</v>
      </c>
      <c r="B543" s="54" t="str">
        <f t="shared" si="101"/>
        <v>4°1°3juVESPERTINO411</v>
      </c>
      <c r="C543" s="62">
        <f>VLOOKUP(G543,[1]Hoja1!$A:$O,3,0)</f>
        <v>411</v>
      </c>
      <c r="D543" s="2" t="str">
        <f t="shared" si="91"/>
        <v>3juV30</v>
      </c>
      <c r="E543" s="62" t="s">
        <v>1350</v>
      </c>
      <c r="F543" s="62" t="s">
        <v>125</v>
      </c>
      <c r="G543" s="62" t="s">
        <v>137</v>
      </c>
      <c r="H543" s="8" t="str">
        <f>VLOOKUP(G543,[1]Hoja1!$A:$O,6,0)</f>
        <v>LAB DE PROGRAM</v>
      </c>
      <c r="I543" s="4">
        <v>30</v>
      </c>
      <c r="J543" s="4"/>
      <c r="K543" s="80" t="str">
        <f t="shared" si="100"/>
        <v>ju</v>
      </c>
      <c r="L543" s="4" t="s">
        <v>512</v>
      </c>
      <c r="M543" s="86" t="str">
        <f>VLOOKUP(G543,[1]Hoja1!$A:$O,15,0)</f>
        <v>HERRERA STELLA MARIS</v>
      </c>
      <c r="N543" s="2" t="str">
        <f t="shared" si="93"/>
        <v>4°1°4114IFTLP4ju</v>
      </c>
      <c r="O543" s="2"/>
      <c r="P543" s="2" t="str">
        <f>VLOOKUP(G543,[1]Hoja1!$A:$P,16,0)</f>
        <v xml:space="preserve"> </v>
      </c>
      <c r="Q543" s="2"/>
      <c r="S543">
        <f>VLOOKUP(G543,[1]Hoja1!$A:$O,5,0)</f>
        <v>2680042</v>
      </c>
      <c r="U543" s="45" t="s">
        <v>2751</v>
      </c>
      <c r="V543" s="46">
        <f t="shared" si="94"/>
        <v>2680042</v>
      </c>
      <c r="W543" s="47" t="s">
        <v>1519</v>
      </c>
      <c r="X543" s="46" t="str">
        <f t="shared" si="95"/>
        <v>3</v>
      </c>
      <c r="Y543" s="47" t="s">
        <v>1518</v>
      </c>
      <c r="Z543" s="46" t="str">
        <f t="shared" si="96"/>
        <v>V</v>
      </c>
      <c r="AA543" s="47" t="s">
        <v>2752</v>
      </c>
      <c r="AB543" s="46" t="str">
        <f t="shared" si="97"/>
        <v>JUEVES</v>
      </c>
      <c r="AC543" s="47" t="s">
        <v>2753</v>
      </c>
      <c r="AD543" t="str">
        <f t="shared" si="98"/>
        <v>CONTRATURNO</v>
      </c>
      <c r="AE543" s="47" t="s">
        <v>2754</v>
      </c>
      <c r="AH543" t="str">
        <f t="shared" si="99"/>
        <v>INSERT INTO horario_curso_materia (horario_curso_materia.FK_CUR_mat,horario_curso_materia.FK_HOR,horario_curso_materia.DIA,horario_curso_materia.tipo_turno) VALUES (  (SELECT curso_materia.ID_CUR_MAT FROM curso_materia WHERE curso_materia.CUPOF='2680042' ) ,
    (SELECT horario.ID_HOR FROM horario WHERE horario.modulo='3 ' and horario.turno='V ' ),'JUEVES ' , 'CONTRATURNO ' );</v>
      </c>
    </row>
    <row r="544" spans="1:34" ht="15" hidden="1" customHeight="1" x14ac:dyDescent="0.3">
      <c r="A544" s="1" t="str">
        <f t="shared" si="92"/>
        <v>4°1°</v>
      </c>
      <c r="B544" s="54" t="str">
        <f t="shared" si="101"/>
        <v>4°1°2JUMAÑANA0</v>
      </c>
      <c r="C544" s="62">
        <f>VLOOKUP(G544,[1]Hoja1!$A:$O,3,0)</f>
        <v>0</v>
      </c>
      <c r="D544" s="2" t="str">
        <f t="shared" si="91"/>
        <v>2JUM</v>
      </c>
      <c r="E544" s="4" t="s">
        <v>45</v>
      </c>
      <c r="F544" s="62" t="s">
        <v>27</v>
      </c>
      <c r="G544" s="72" t="s">
        <v>403</v>
      </c>
      <c r="H544" s="8" t="str">
        <f>VLOOKUP(G544,[1]Hoja1!$A:$O,6,0)</f>
        <v>SALUD Y ADOLESCENCIA</v>
      </c>
      <c r="I544" s="4"/>
      <c r="J544" s="4"/>
      <c r="K544" s="80" t="str">
        <f t="shared" si="100"/>
        <v>JU</v>
      </c>
      <c r="L544" s="4"/>
      <c r="M544" s="86" t="str">
        <f>VLOOKUP(G544,[1]Hoja1!$A:$O,15,0)</f>
        <v>DIAZ HECTOR</v>
      </c>
      <c r="N544" s="2" t="str">
        <f t="shared" si="93"/>
        <v>4°1°4ISADSJU</v>
      </c>
      <c r="O544" s="2"/>
      <c r="P544" s="2" t="str">
        <f>VLOOKUP(G544,[1]Hoja1!$A:$P,16,0)</f>
        <v xml:space="preserve"> </v>
      </c>
      <c r="Q544" s="2"/>
      <c r="S544">
        <f>VLOOKUP(G544,[1]Hoja1!$A:$O,5,0)</f>
        <v>1517051</v>
      </c>
      <c r="U544" s="45" t="s">
        <v>2751</v>
      </c>
      <c r="V544" s="46">
        <f t="shared" si="94"/>
        <v>1517051</v>
      </c>
      <c r="W544" s="47" t="s">
        <v>1519</v>
      </c>
      <c r="X544" s="46" t="str">
        <f t="shared" si="95"/>
        <v>2</v>
      </c>
      <c r="Y544" s="47" t="s">
        <v>1518</v>
      </c>
      <c r="Z544" s="46" t="str">
        <f t="shared" si="96"/>
        <v>M</v>
      </c>
      <c r="AA544" s="47" t="s">
        <v>2752</v>
      </c>
      <c r="AB544" s="46" t="str">
        <f t="shared" si="97"/>
        <v>JUEVES</v>
      </c>
      <c r="AC544" s="47" t="s">
        <v>2753</v>
      </c>
      <c r="AD544">
        <f t="shared" si="98"/>
        <v>0</v>
      </c>
      <c r="AE544" s="47" t="s">
        <v>2754</v>
      </c>
      <c r="AH544" t="str">
        <f t="shared" si="99"/>
        <v>INSERT INTO horario_curso_materia (horario_curso_materia.FK_CUR_mat,horario_curso_materia.FK_HOR,horario_curso_materia.DIA,horario_curso_materia.tipo_turno) VALUES (  (SELECT curso_materia.ID_CUR_MAT FROM curso_materia WHERE curso_materia.CUPOF='1517051' ) ,
    (SELECT horario.ID_HOR FROM horario WHERE horario.modulo='2 ' and horario.turno='M ' ),'JUEVES ' , '0 ' );</v>
      </c>
    </row>
    <row r="545" spans="1:34" ht="15" hidden="1" customHeight="1" x14ac:dyDescent="0.3">
      <c r="A545" s="3" t="str">
        <f t="shared" si="92"/>
        <v>4°1°</v>
      </c>
      <c r="B545" s="54" t="str">
        <f t="shared" si="101"/>
        <v>4°1°2JUVESPERTINO411</v>
      </c>
      <c r="C545" s="63">
        <f>VLOOKUP(G545,[1]Hoja1!$A:$O,3,0)</f>
        <v>411</v>
      </c>
      <c r="D545" s="23" t="str">
        <f t="shared" ref="D545:D608" si="102">CONCATENATE(E545,LEFT(F545,1),I545)</f>
        <v>2JUV41</v>
      </c>
      <c r="E545" s="63" t="s">
        <v>45</v>
      </c>
      <c r="F545" s="63" t="s">
        <v>125</v>
      </c>
      <c r="G545" s="63" t="s">
        <v>140</v>
      </c>
      <c r="H545" s="3" t="str">
        <f>VLOOKUP(G545,[1]Hoja1!$A:$O,6,0)</f>
        <v>LAB DE APLICACIONES</v>
      </c>
      <c r="I545" s="17">
        <v>41</v>
      </c>
      <c r="J545" s="17"/>
      <c r="K545" s="81" t="str">
        <f t="shared" si="100"/>
        <v>JU</v>
      </c>
      <c r="L545" s="17" t="s">
        <v>512</v>
      </c>
      <c r="M545" s="87" t="str">
        <f>VLOOKUP(G545,[1]Hoja1!$A:$O,15,0)</f>
        <v xml:space="preserve"> AGUIRRE ISABEL ITATI</v>
      </c>
      <c r="N545" s="23" t="str">
        <f t="shared" si="93"/>
        <v>4°1°4114IFTLA4JU</v>
      </c>
      <c r="O545" s="2"/>
      <c r="P545" s="2" t="str">
        <f>VLOOKUP(G545,[1]Hoja1!$A:$P,16,0)</f>
        <v xml:space="preserve"> </v>
      </c>
      <c r="Q545" s="2"/>
      <c r="S545">
        <f>VLOOKUP(G545,[1]Hoja1!$A:$O,5,0)</f>
        <v>2680049</v>
      </c>
      <c r="U545" s="45" t="s">
        <v>2751</v>
      </c>
      <c r="V545" s="46">
        <f t="shared" si="94"/>
        <v>2680049</v>
      </c>
      <c r="W545" s="47" t="s">
        <v>1519</v>
      </c>
      <c r="X545" s="46" t="str">
        <f t="shared" si="95"/>
        <v>2</v>
      </c>
      <c r="Y545" s="47" t="s">
        <v>1518</v>
      </c>
      <c r="Z545" s="46" t="str">
        <f t="shared" si="96"/>
        <v>V</v>
      </c>
      <c r="AA545" s="47" t="s">
        <v>2752</v>
      </c>
      <c r="AB545" s="46" t="str">
        <f t="shared" si="97"/>
        <v>JUEVES</v>
      </c>
      <c r="AC545" s="47" t="s">
        <v>2753</v>
      </c>
      <c r="AD545" t="str">
        <f t="shared" si="98"/>
        <v>CONTRATURNO</v>
      </c>
      <c r="AE545" s="47" t="s">
        <v>2754</v>
      </c>
      <c r="AH545" t="str">
        <f t="shared" si="99"/>
        <v>INSERT INTO horario_curso_materia (horario_curso_materia.FK_CUR_mat,horario_curso_materia.FK_HOR,horario_curso_materia.DIA,horario_curso_materia.tipo_turno) VALUES (  (SELECT curso_materia.ID_CUR_MAT FROM curso_materia WHERE curso_materia.CUPOF='2680049' ) ,
    (SELECT horario.ID_HOR FROM horario WHERE horario.modulo='2 ' and horario.turno='V ' ),'JUEVES ' , 'CONTRATURNO ' );</v>
      </c>
    </row>
    <row r="546" spans="1:34" ht="15" hidden="1" customHeight="1" x14ac:dyDescent="0.3">
      <c r="A546" s="1" t="str">
        <f t="shared" si="92"/>
        <v>4°1°</v>
      </c>
      <c r="B546" s="54" t="str">
        <f t="shared" si="101"/>
        <v>4°1°2LUMAÑANA0</v>
      </c>
      <c r="C546" s="62">
        <f>VLOOKUP(G546,[1]Hoja1!$A:$O,3,0)</f>
        <v>0</v>
      </c>
      <c r="D546" s="2" t="str">
        <f t="shared" si="102"/>
        <v>2LUM</v>
      </c>
      <c r="E546" s="62" t="s">
        <v>12</v>
      </c>
      <c r="F546" s="62" t="s">
        <v>27</v>
      </c>
      <c r="G546" s="62" t="s">
        <v>397</v>
      </c>
      <c r="H546" s="8" t="str">
        <f>VLOOKUP(G546,[1]Hoja1!$A:$O,6,0)</f>
        <v>FISICA</v>
      </c>
      <c r="I546" s="4"/>
      <c r="J546" s="4"/>
      <c r="K546" s="80" t="str">
        <f t="shared" si="100"/>
        <v>LU</v>
      </c>
      <c r="L546" s="4"/>
      <c r="M546" s="86" t="str">
        <f>VLOOKUP(G546,[1]Hoja1!$A:$O,15,0)</f>
        <v xml:space="preserve">ESPINDOLA SERGIO                          </v>
      </c>
      <c r="N546" s="2" t="str">
        <f t="shared" si="93"/>
        <v>4°1°4IFISLU</v>
      </c>
      <c r="O546" s="2"/>
      <c r="P546" s="2" t="str">
        <f>VLOOKUP(G546,[1]Hoja1!$A:$P,16,0)</f>
        <v xml:space="preserve"> </v>
      </c>
      <c r="Q546" s="2"/>
      <c r="S546">
        <f>VLOOKUP(G546,[1]Hoja1!$A:$O,5,0)</f>
        <v>733330</v>
      </c>
      <c r="U546" s="45" t="s">
        <v>2751</v>
      </c>
      <c r="V546" s="46">
        <f t="shared" si="94"/>
        <v>733330</v>
      </c>
      <c r="W546" s="47" t="s">
        <v>1519</v>
      </c>
      <c r="X546" s="46" t="str">
        <f t="shared" si="95"/>
        <v>2</v>
      </c>
      <c r="Y546" s="47" t="s">
        <v>1518</v>
      </c>
      <c r="Z546" s="46" t="str">
        <f t="shared" si="96"/>
        <v>M</v>
      </c>
      <c r="AA546" s="47" t="s">
        <v>2752</v>
      </c>
      <c r="AB546" s="46" t="str">
        <f t="shared" si="97"/>
        <v>LUNES</v>
      </c>
      <c r="AC546" s="47" t="s">
        <v>2753</v>
      </c>
      <c r="AD546">
        <f t="shared" si="98"/>
        <v>0</v>
      </c>
      <c r="AE546" s="47" t="s">
        <v>2754</v>
      </c>
      <c r="AH546" t="str">
        <f t="shared" si="99"/>
        <v>INSERT INTO horario_curso_materia (horario_curso_materia.FK_CUR_mat,horario_curso_materia.FK_HOR,horario_curso_materia.DIA,horario_curso_materia.tipo_turno) VALUES (  (SELECT curso_materia.ID_CUR_MAT FROM curso_materia WHERE curso_materia.CUPOF='733330' ) ,
    (SELECT horario.ID_HOR FROM horario WHERE horario.modulo='2 ' and horario.turno='M ' ),'LUNES ' , '0 ' );</v>
      </c>
    </row>
    <row r="547" spans="1:34" ht="15" hidden="1" customHeight="1" x14ac:dyDescent="0.3">
      <c r="A547" s="1" t="str">
        <f t="shared" si="92"/>
        <v>4°1°</v>
      </c>
      <c r="B547" s="54" t="str">
        <f t="shared" si="101"/>
        <v>4°1°2LUVESPERTINO411</v>
      </c>
      <c r="C547" s="62">
        <f>VLOOKUP(G547,[1]Hoja1!$A:$O,3,0)</f>
        <v>411</v>
      </c>
      <c r="D547" s="2" t="str">
        <f t="shared" si="102"/>
        <v>2LUV30</v>
      </c>
      <c r="E547" s="62" t="s">
        <v>12</v>
      </c>
      <c r="F547" s="62" t="s">
        <v>125</v>
      </c>
      <c r="G547" s="62" t="s">
        <v>134</v>
      </c>
      <c r="H547" s="8" t="str">
        <f>VLOOKUP(G547,[1]Hoja1!$A:$O,6,0)</f>
        <v xml:space="preserve">LAB DE SIST OPERATIVOS   </v>
      </c>
      <c r="I547" s="4">
        <v>30</v>
      </c>
      <c r="J547" s="4"/>
      <c r="K547" s="81" t="str">
        <f t="shared" si="100"/>
        <v>LU</v>
      </c>
      <c r="L547" s="4" t="s">
        <v>512</v>
      </c>
      <c r="M547" s="86" t="str">
        <f>VLOOKUP(G547,[1]Hoja1!$A:$O,15,0)</f>
        <v xml:space="preserve">AGUIRRE ISABEL  </v>
      </c>
      <c r="N547" s="2" t="str">
        <f t="shared" si="93"/>
        <v>4°1°4114IFTLS4LU</v>
      </c>
      <c r="O547" s="2" t="s">
        <v>1499</v>
      </c>
      <c r="P547" s="2" t="str">
        <f>VLOOKUP(G547,[1]Hoja1!$A:$P,16,0)</f>
        <v xml:space="preserve"> </v>
      </c>
      <c r="Q547" s="2"/>
      <c r="S547">
        <f>VLOOKUP(G547,[1]Hoja1!$A:$O,5,0)</f>
        <v>2680045</v>
      </c>
      <c r="U547" s="45" t="s">
        <v>2751</v>
      </c>
      <c r="V547" s="46">
        <f t="shared" si="94"/>
        <v>2680045</v>
      </c>
      <c r="W547" s="47" t="s">
        <v>1519</v>
      </c>
      <c r="X547" s="46" t="str">
        <f t="shared" si="95"/>
        <v>2</v>
      </c>
      <c r="Y547" s="47" t="s">
        <v>1518</v>
      </c>
      <c r="Z547" s="46" t="str">
        <f t="shared" si="96"/>
        <v>V</v>
      </c>
      <c r="AA547" s="47" t="s">
        <v>2752</v>
      </c>
      <c r="AB547" s="46" t="str">
        <f t="shared" si="97"/>
        <v>LUNES</v>
      </c>
      <c r="AC547" s="47" t="s">
        <v>2753</v>
      </c>
      <c r="AD547" t="str">
        <f t="shared" si="98"/>
        <v>CONTRATURNO</v>
      </c>
      <c r="AE547" s="47" t="s">
        <v>2754</v>
      </c>
      <c r="AH547" t="str">
        <f t="shared" si="99"/>
        <v>INSERT INTO horario_curso_materia (horario_curso_materia.FK_CUR_mat,horario_curso_materia.FK_HOR,horario_curso_materia.DIA,horario_curso_materia.tipo_turno) VALUES (  (SELECT curso_materia.ID_CUR_MAT FROM curso_materia WHERE curso_materia.CUPOF='2680045' ) ,
    (SELECT horario.ID_HOR FROM horario WHERE horario.modulo='2 ' and horario.turno='V ' ),'LUNES ' , 'CONTRATURNO ' );</v>
      </c>
    </row>
    <row r="548" spans="1:34" ht="15" hidden="1" customHeight="1" x14ac:dyDescent="0.3">
      <c r="A548" s="1" t="str">
        <f t="shared" si="92"/>
        <v>4°1°</v>
      </c>
      <c r="B548" s="54" t="str">
        <f t="shared" si="101"/>
        <v>4°1°2LUVESPERTINO412</v>
      </c>
      <c r="C548" s="62">
        <f>VLOOKUP(G548,[1]Hoja1!$A:$O,3,0)</f>
        <v>412</v>
      </c>
      <c r="D548" s="2" t="str">
        <f t="shared" si="102"/>
        <v>2LUV40</v>
      </c>
      <c r="E548" s="62" t="s">
        <v>12</v>
      </c>
      <c r="F548" s="62" t="s">
        <v>125</v>
      </c>
      <c r="G548" s="62" t="s">
        <v>133</v>
      </c>
      <c r="H548" s="8" t="str">
        <f>VLOOKUP(G548,[1]Hoja1!$A:$O,6,0)</f>
        <v xml:space="preserve">LAB DE SIST OPERATIVOS   </v>
      </c>
      <c r="I548" s="4">
        <v>40</v>
      </c>
      <c r="J548" s="4"/>
      <c r="K548" s="80" t="str">
        <f t="shared" si="100"/>
        <v>LU</v>
      </c>
      <c r="L548" s="4" t="s">
        <v>512</v>
      </c>
      <c r="M548" s="86" t="str">
        <f>VLOOKUP(G548,[1]Hoja1!$A:$O,15,0)</f>
        <v xml:space="preserve">BARCENILLA, JAVIER </v>
      </c>
      <c r="N548" s="2" t="str">
        <f t="shared" si="93"/>
        <v>4°1°4124IFTLS4LU</v>
      </c>
      <c r="O548" s="2" t="s">
        <v>1374</v>
      </c>
      <c r="P548" s="2" t="str">
        <f>VLOOKUP(G548,[1]Hoja1!$A:$P,16,0)</f>
        <v xml:space="preserve"> </v>
      </c>
      <c r="Q548" s="2"/>
      <c r="S548">
        <f>VLOOKUP(G548,[1]Hoja1!$A:$O,5,0)</f>
        <v>2680054</v>
      </c>
      <c r="U548" s="45" t="s">
        <v>2751</v>
      </c>
      <c r="V548" s="46">
        <f t="shared" si="94"/>
        <v>2680054</v>
      </c>
      <c r="W548" s="47" t="s">
        <v>1519</v>
      </c>
      <c r="X548" s="46" t="str">
        <f t="shared" si="95"/>
        <v>2</v>
      </c>
      <c r="Y548" s="47" t="s">
        <v>1518</v>
      </c>
      <c r="Z548" s="46" t="str">
        <f t="shared" si="96"/>
        <v>V</v>
      </c>
      <c r="AA548" s="47" t="s">
        <v>2752</v>
      </c>
      <c r="AB548" s="46" t="str">
        <f t="shared" si="97"/>
        <v>LUNES</v>
      </c>
      <c r="AC548" s="47" t="s">
        <v>2753</v>
      </c>
      <c r="AD548" t="str">
        <f t="shared" si="98"/>
        <v>CONTRATURNO</v>
      </c>
      <c r="AE548" s="47" t="s">
        <v>2754</v>
      </c>
      <c r="AH548" t="str">
        <f t="shared" si="99"/>
        <v>INSERT INTO horario_curso_materia (horario_curso_materia.FK_CUR_mat,horario_curso_materia.FK_HOR,horario_curso_materia.DIA,horario_curso_materia.tipo_turno) VALUES (  (SELECT curso_materia.ID_CUR_MAT FROM curso_materia WHERE curso_materia.CUPOF='2680054' ) ,
    (SELECT horario.ID_HOR FROM horario WHERE horario.modulo='2 ' and horario.turno='V ' ),'LUNES ' , 'CONTRATURNO ' );</v>
      </c>
    </row>
    <row r="549" spans="1:34" ht="15" hidden="1" customHeight="1" x14ac:dyDescent="0.3">
      <c r="A549" s="1" t="str">
        <f t="shared" si="92"/>
        <v>4°1°</v>
      </c>
      <c r="B549" s="54" t="str">
        <f t="shared" si="101"/>
        <v>4°1°2MAMAÑANA0</v>
      </c>
      <c r="C549" s="62">
        <f>VLOOKUP(G549,[1]Hoja1!$A:$O,3,0)</f>
        <v>0</v>
      </c>
      <c r="D549" s="2" t="str">
        <f t="shared" si="102"/>
        <v>2MAM</v>
      </c>
      <c r="E549" s="62" t="s">
        <v>19</v>
      </c>
      <c r="F549" s="62" t="s">
        <v>27</v>
      </c>
      <c r="G549" s="62" t="s">
        <v>399</v>
      </c>
      <c r="H549" s="8" t="str">
        <f>VLOOKUP(G549,[1]Hoja1!$A:$O,6,0)</f>
        <v>MATEMATICA</v>
      </c>
      <c r="I549" s="4"/>
      <c r="J549" s="4"/>
      <c r="K549" s="80" t="str">
        <f t="shared" si="100"/>
        <v>MA</v>
      </c>
      <c r="L549" s="4"/>
      <c r="M549" s="86" t="str">
        <f>VLOOKUP(G549,[1]Hoja1!$A:$O,15,0)</f>
        <v>WEBBER JONATHAN</v>
      </c>
      <c r="N549" s="2" t="str">
        <f t="shared" si="93"/>
        <v>4°1°4IMATESMA</v>
      </c>
      <c r="O549" s="2"/>
      <c r="P549" s="2" t="str">
        <f>VLOOKUP(G549,[1]Hoja1!$A:$P,16,0)</f>
        <v xml:space="preserve"> </v>
      </c>
      <c r="Q549" s="2"/>
      <c r="S549">
        <f>VLOOKUP(G549,[1]Hoja1!$A:$O,5,0)</f>
        <v>733575</v>
      </c>
      <c r="U549" s="45" t="s">
        <v>2751</v>
      </c>
      <c r="V549" s="46">
        <f t="shared" si="94"/>
        <v>733575</v>
      </c>
      <c r="W549" s="47" t="s">
        <v>1519</v>
      </c>
      <c r="X549" s="46" t="str">
        <f t="shared" si="95"/>
        <v>2</v>
      </c>
      <c r="Y549" s="47" t="s">
        <v>1518</v>
      </c>
      <c r="Z549" s="46" t="str">
        <f t="shared" si="96"/>
        <v>M</v>
      </c>
      <c r="AA549" s="47" t="s">
        <v>2752</v>
      </c>
      <c r="AB549" s="46" t="str">
        <f t="shared" si="97"/>
        <v>MARTES</v>
      </c>
      <c r="AC549" s="47" t="s">
        <v>2753</v>
      </c>
      <c r="AD549">
        <f t="shared" si="98"/>
        <v>0</v>
      </c>
      <c r="AE549" s="47" t="s">
        <v>2754</v>
      </c>
      <c r="AH549" t="str">
        <f t="shared" si="99"/>
        <v>INSERT INTO horario_curso_materia (horario_curso_materia.FK_CUR_mat,horario_curso_materia.FK_HOR,horario_curso_materia.DIA,horario_curso_materia.tipo_turno) VALUES (  (SELECT curso_materia.ID_CUR_MAT FROM curso_materia WHERE curso_materia.CUPOF='733575' ) ,
    (SELECT horario.ID_HOR FROM horario WHERE horario.modulo='2 ' and horario.turno='M ' ),'MARTES ' , '0 ' );</v>
      </c>
    </row>
    <row r="550" spans="1:34" ht="15" hidden="1" customHeight="1" x14ac:dyDescent="0.3">
      <c r="A550" s="1" t="str">
        <f t="shared" si="92"/>
        <v>4°1°</v>
      </c>
      <c r="B550" s="54" t="str">
        <f t="shared" si="101"/>
        <v>4°1°2VIVESPERTINO412</v>
      </c>
      <c r="C550" s="62">
        <f>VLOOKUP(G550,[1]Hoja1!$A:$O,3,0)</f>
        <v>412</v>
      </c>
      <c r="D550" s="2" t="str">
        <f t="shared" si="102"/>
        <v>2VIVHARDWARE</v>
      </c>
      <c r="E550" s="62" t="s">
        <v>59</v>
      </c>
      <c r="F550" s="62" t="s">
        <v>125</v>
      </c>
      <c r="G550" s="62" t="s">
        <v>135</v>
      </c>
      <c r="H550" s="8" t="str">
        <f>VLOOKUP(G550,[1]Hoja1!$A:$O,6,0)</f>
        <v>LAB DE HARDWARE</v>
      </c>
      <c r="I550" s="4" t="s">
        <v>38</v>
      </c>
      <c r="J550" s="4"/>
      <c r="K550" s="80" t="str">
        <f t="shared" si="100"/>
        <v>VI</v>
      </c>
      <c r="L550" s="4" t="s">
        <v>512</v>
      </c>
      <c r="M550" s="86" t="str">
        <f>VLOOKUP(G550,[1]Hoja1!$A:$O,15,0)</f>
        <v>GAUNA FEDERICO</v>
      </c>
      <c r="N550" s="2" t="str">
        <f t="shared" si="93"/>
        <v>4°1°4124IFTLH4VI</v>
      </c>
      <c r="O550" s="2"/>
      <c r="P550" s="2" t="str">
        <f>VLOOKUP(G550,[1]Hoja1!$A:$P,16,0)</f>
        <v xml:space="preserve"> </v>
      </c>
      <c r="Q550" s="2"/>
      <c r="S550">
        <f>VLOOKUP(G550,[1]Hoja1!$A:$O,5,0)</f>
        <v>2680053</v>
      </c>
      <c r="U550" s="45" t="s">
        <v>2751</v>
      </c>
      <c r="V550" s="46">
        <f t="shared" si="94"/>
        <v>2680053</v>
      </c>
      <c r="W550" s="47" t="s">
        <v>1519</v>
      </c>
      <c r="X550" s="46" t="str">
        <f t="shared" si="95"/>
        <v>2</v>
      </c>
      <c r="Y550" s="47" t="s">
        <v>1518</v>
      </c>
      <c r="Z550" s="46" t="str">
        <f t="shared" si="96"/>
        <v>V</v>
      </c>
      <c r="AA550" s="47" t="s">
        <v>2752</v>
      </c>
      <c r="AB550" s="46" t="str">
        <f t="shared" si="97"/>
        <v>VIERNES</v>
      </c>
      <c r="AC550" s="47" t="s">
        <v>2753</v>
      </c>
      <c r="AD550" t="str">
        <f t="shared" si="98"/>
        <v>CONTRATURNO</v>
      </c>
      <c r="AE550" s="47" t="s">
        <v>2754</v>
      </c>
      <c r="AH550" t="str">
        <f t="shared" si="99"/>
        <v>INSERT INTO horario_curso_materia (horario_curso_materia.FK_CUR_mat,horario_curso_materia.FK_HOR,horario_curso_materia.DIA,horario_curso_materia.tipo_turno) VALUES (  (SELECT curso_materia.ID_CUR_MAT FROM curso_materia WHERE curso_materia.CUPOF='2680053' ) ,
    (SELECT horario.ID_HOR FROM horario WHERE horario.modulo='2 ' and horario.turno='V ' ),'VIERNES ' , 'CONTRATURNO ' );</v>
      </c>
    </row>
    <row r="551" spans="1:34" ht="15" hidden="1" customHeight="1" x14ac:dyDescent="0.3">
      <c r="A551" s="1" t="str">
        <f t="shared" si="92"/>
        <v>4°1°</v>
      </c>
      <c r="B551" s="54" t="str">
        <f t="shared" si="101"/>
        <v>4°1°2MaVESPERTINO411</v>
      </c>
      <c r="C551" s="62">
        <f>VLOOKUP(G551,[1]Hoja1!$A:$O,3,0)</f>
        <v>411</v>
      </c>
      <c r="D551" s="2" t="str">
        <f t="shared" si="102"/>
        <v>2MaVHARDWARE</v>
      </c>
      <c r="E551" s="62" t="s">
        <v>2755</v>
      </c>
      <c r="F551" s="62" t="s">
        <v>125</v>
      </c>
      <c r="G551" s="62" t="s">
        <v>138</v>
      </c>
      <c r="H551" s="8" t="str">
        <f>VLOOKUP(G551,[1]Hoja1!$A:$O,6,0)</f>
        <v>LAB DE HARDWARE</v>
      </c>
      <c r="I551" s="4" t="s">
        <v>38</v>
      </c>
      <c r="J551" s="4"/>
      <c r="K551" s="80" t="s">
        <v>514</v>
      </c>
      <c r="L551" s="4" t="s">
        <v>512</v>
      </c>
      <c r="M551" s="86" t="str">
        <f>VLOOKUP(G551,[1]Hoja1!$A:$O,15,0)</f>
        <v>HERRERA STELLA 27- 29.873.235-7</v>
      </c>
      <c r="N551" s="2" t="str">
        <f t="shared" si="93"/>
        <v>4°1°4114IFTLH4ma</v>
      </c>
      <c r="O551" s="2"/>
      <c r="P551" s="2" t="str">
        <f>VLOOKUP(G551,[1]Hoja1!$A:$P,16,0)</f>
        <v xml:space="preserve"> </v>
      </c>
      <c r="Q551" s="2"/>
      <c r="S551">
        <f>VLOOKUP(G551,[1]Hoja1!$A:$O,5,0)</f>
        <v>2680043</v>
      </c>
      <c r="U551" s="45" t="s">
        <v>2751</v>
      </c>
      <c r="V551" s="46">
        <f t="shared" si="94"/>
        <v>2680043</v>
      </c>
      <c r="W551" s="47" t="s">
        <v>1519</v>
      </c>
      <c r="X551" s="46" t="str">
        <f t="shared" si="95"/>
        <v>2</v>
      </c>
      <c r="Y551" s="47" t="s">
        <v>1518</v>
      </c>
      <c r="Z551" s="46" t="str">
        <f t="shared" si="96"/>
        <v>V</v>
      </c>
      <c r="AA551" s="47" t="s">
        <v>2752</v>
      </c>
      <c r="AB551" s="46" t="str">
        <f t="shared" si="97"/>
        <v>MARTES</v>
      </c>
      <c r="AC551" s="47" t="s">
        <v>2753</v>
      </c>
      <c r="AD551" t="str">
        <f t="shared" si="98"/>
        <v>CONTRATURNO</v>
      </c>
      <c r="AE551" s="47" t="s">
        <v>2754</v>
      </c>
      <c r="AH551" t="str">
        <f t="shared" si="99"/>
        <v>INSERT INTO horario_curso_materia (horario_curso_materia.FK_CUR_mat,horario_curso_materia.FK_HOR,horario_curso_materia.DIA,horario_curso_materia.tipo_turno) VALUES (  (SELECT curso_materia.ID_CUR_MAT FROM curso_materia WHERE curso_materia.CUPOF='2680043' ) ,
    (SELECT horario.ID_HOR FROM horario WHERE horario.modulo='2 ' and horario.turno='V ' ),'MARTES ' , 'CONTRATURNO ' );</v>
      </c>
    </row>
    <row r="552" spans="1:34" ht="15" hidden="1" customHeight="1" x14ac:dyDescent="0.3">
      <c r="A552" s="1" t="str">
        <f t="shared" si="92"/>
        <v>4°1°</v>
      </c>
      <c r="B552" s="54" t="str">
        <f t="shared" si="101"/>
        <v>4°1°2MIMAÑANA0</v>
      </c>
      <c r="C552" s="62">
        <f>VLOOKUP(G552,[1]Hoja1!$A:$O,3,0)</f>
        <v>0</v>
      </c>
      <c r="D552" s="2" t="str">
        <f t="shared" si="102"/>
        <v>2MIM</v>
      </c>
      <c r="E552" s="62" t="s">
        <v>26</v>
      </c>
      <c r="F552" s="62" t="s">
        <v>27</v>
      </c>
      <c r="G552" s="62" t="s">
        <v>401</v>
      </c>
      <c r="H552" s="8" t="str">
        <f>VLOOKUP(G552,[1]Hoja1!$A:$O,6,0)</f>
        <v>HISTORIA</v>
      </c>
      <c r="I552" s="4"/>
      <c r="J552" s="4"/>
      <c r="K552" s="80" t="str">
        <f t="shared" si="100"/>
        <v>MI</v>
      </c>
      <c r="L552" s="4"/>
      <c r="M552" s="86" t="str">
        <f>VLOOKUP(G552,[1]Hoja1!$A:$O,15,0)</f>
        <v xml:space="preserve">LOPEZ MARINA  </v>
      </c>
      <c r="N552" s="2" t="str">
        <f t="shared" si="93"/>
        <v>4°1°4IHISMI</v>
      </c>
      <c r="O552" s="2"/>
      <c r="P552" s="2" t="str">
        <f>VLOOKUP(G552,[1]Hoja1!$A:$P,16,0)</f>
        <v xml:space="preserve"> </v>
      </c>
      <c r="Q552" s="2"/>
      <c r="S552">
        <f>VLOOKUP(G552,[1]Hoja1!$A:$O,5,0)</f>
        <v>733421</v>
      </c>
      <c r="U552" s="45" t="s">
        <v>2751</v>
      </c>
      <c r="V552" s="46">
        <f t="shared" si="94"/>
        <v>733421</v>
      </c>
      <c r="W552" s="47" t="s">
        <v>1519</v>
      </c>
      <c r="X552" s="46" t="str">
        <f t="shared" si="95"/>
        <v>2</v>
      </c>
      <c r="Y552" s="47" t="s">
        <v>1518</v>
      </c>
      <c r="Z552" s="46" t="str">
        <f t="shared" si="96"/>
        <v>M</v>
      </c>
      <c r="AA552" s="47" t="s">
        <v>2752</v>
      </c>
      <c r="AB552" s="46" t="str">
        <f t="shared" si="97"/>
        <v>MIERCOLES</v>
      </c>
      <c r="AC552" s="47" t="s">
        <v>2753</v>
      </c>
      <c r="AD552">
        <f t="shared" si="98"/>
        <v>0</v>
      </c>
      <c r="AE552" s="47" t="s">
        <v>2754</v>
      </c>
      <c r="AH552" t="str">
        <f t="shared" si="99"/>
        <v>INSERT INTO horario_curso_materia (horario_curso_materia.FK_CUR_mat,horario_curso_materia.FK_HOR,horario_curso_materia.DIA,horario_curso_materia.tipo_turno) VALUES (  (SELECT curso_materia.ID_CUR_MAT FROM curso_materia WHERE curso_materia.CUPOF='733421' ) ,
    (SELECT horario.ID_HOR FROM horario WHERE horario.modulo='2 ' and horario.turno='M ' ),'MIERCOLES ' , '0 ' );</v>
      </c>
    </row>
    <row r="553" spans="1:34" ht="15" hidden="1" customHeight="1" x14ac:dyDescent="0.3">
      <c r="A553" s="1" t="str">
        <f t="shared" si="92"/>
        <v>4°1°</v>
      </c>
      <c r="B553" s="54" t="str">
        <f t="shared" si="101"/>
        <v>4°1°2juVESPERTINO412</v>
      </c>
      <c r="C553" s="62">
        <f>VLOOKUP(G553,[1]Hoja1!$A:$O,3,0)</f>
        <v>412</v>
      </c>
      <c r="D553" s="2" t="str">
        <f t="shared" si="102"/>
        <v>2juV40</v>
      </c>
      <c r="E553" s="62" t="s">
        <v>1349</v>
      </c>
      <c r="F553" s="62" t="s">
        <v>125</v>
      </c>
      <c r="G553" s="62" t="s">
        <v>136</v>
      </c>
      <c r="H553" s="8" t="str">
        <f>VLOOKUP(G553,[1]Hoja1!$A:$O,6,0)</f>
        <v>LAB DE PROGRAM</v>
      </c>
      <c r="I553" s="4">
        <v>40</v>
      </c>
      <c r="J553" s="4"/>
      <c r="K553" s="80" t="str">
        <f t="shared" si="100"/>
        <v>ju</v>
      </c>
      <c r="L553" s="4" t="s">
        <v>512</v>
      </c>
      <c r="M553" s="86" t="str">
        <f>VLOOKUP(G553,[1]Hoja1!$A:$O,15,0)</f>
        <v>HERRERA STELLA MARIS</v>
      </c>
      <c r="N553" s="2" t="str">
        <f t="shared" si="93"/>
        <v>4°1°4124IFTLP4ju</v>
      </c>
      <c r="O553" s="2"/>
      <c r="P553" s="2" t="str">
        <f>VLOOKUP(G553,[1]Hoja1!$A:$P,16,0)</f>
        <v xml:space="preserve"> </v>
      </c>
      <c r="Q553" s="2"/>
      <c r="S553">
        <f>VLOOKUP(G553,[1]Hoja1!$A:$O,5,0)</f>
        <v>2680052</v>
      </c>
      <c r="U553" s="45" t="s">
        <v>2751</v>
      </c>
      <c r="V553" s="46">
        <f t="shared" si="94"/>
        <v>2680052</v>
      </c>
      <c r="W553" s="47" t="s">
        <v>1519</v>
      </c>
      <c r="X553" s="46" t="str">
        <f t="shared" si="95"/>
        <v>2</v>
      </c>
      <c r="Y553" s="47" t="s">
        <v>1518</v>
      </c>
      <c r="Z553" s="46" t="str">
        <f t="shared" si="96"/>
        <v>V</v>
      </c>
      <c r="AA553" s="47" t="s">
        <v>2752</v>
      </c>
      <c r="AB553" s="46" t="str">
        <f t="shared" si="97"/>
        <v>JUEVES</v>
      </c>
      <c r="AC553" s="47" t="s">
        <v>2753</v>
      </c>
      <c r="AD553" t="str">
        <f t="shared" si="98"/>
        <v>CONTRATURNO</v>
      </c>
      <c r="AE553" s="47" t="s">
        <v>2754</v>
      </c>
      <c r="AH553" t="str">
        <f t="shared" si="99"/>
        <v>INSERT INTO horario_curso_materia (horario_curso_materia.FK_CUR_mat,horario_curso_materia.FK_HOR,horario_curso_materia.DIA,horario_curso_materia.tipo_turno) VALUES (  (SELECT curso_materia.ID_CUR_MAT FROM curso_materia WHERE curso_materia.CUPOF='2680052' ) ,
    (SELECT horario.ID_HOR FROM horario WHERE horario.modulo='2 ' and horario.turno='V ' ),'JUEVES ' , 'CONTRATURNO ' );</v>
      </c>
    </row>
    <row r="554" spans="1:34" ht="15" hidden="1" customHeight="1" x14ac:dyDescent="0.3">
      <c r="A554" s="1" t="str">
        <f t="shared" si="92"/>
        <v>4°1°</v>
      </c>
      <c r="B554" s="54" t="str">
        <f t="shared" si="101"/>
        <v>4°1°2MIVESPERTINO0</v>
      </c>
      <c r="C554" s="62">
        <f>VLOOKUP(G554,[1]Hoja1!$A:$O,3,0)</f>
        <v>0</v>
      </c>
      <c r="D554" s="2" t="str">
        <f t="shared" si="102"/>
        <v>2MIVPATIO2</v>
      </c>
      <c r="E554" s="62" t="s">
        <v>26</v>
      </c>
      <c r="F554" s="62" t="s">
        <v>125</v>
      </c>
      <c r="G554" s="62" t="s">
        <v>563</v>
      </c>
      <c r="H554" s="8" t="str">
        <f>VLOOKUP(G554,[1]Hoja1!$A:$O,6,0)</f>
        <v>EDUCACIÓN FISICA</v>
      </c>
      <c r="I554" s="4" t="s">
        <v>295</v>
      </c>
      <c r="J554" s="4"/>
      <c r="K554" s="80" t="str">
        <f t="shared" si="100"/>
        <v>MI</v>
      </c>
      <c r="L554" s="4" t="s">
        <v>512</v>
      </c>
      <c r="M554" s="86" t="str">
        <f>VLOOKUP(G554,[1]Hoja1!$A:$O,15,0)</f>
        <v xml:space="preserve">RIOS LEOINARDO </v>
      </c>
      <c r="N554" s="2" t="str">
        <f t="shared" si="93"/>
        <v>4°1°4IEFISMI</v>
      </c>
      <c r="O554" s="2"/>
      <c r="P554" s="2" t="str">
        <f>VLOOKUP(G554,[1]Hoja1!$A:$P,16,0)</f>
        <v xml:space="preserve"> </v>
      </c>
      <c r="Q554" s="2"/>
      <c r="S554">
        <f>VLOOKUP(G554,[1]Hoja1!$A:$O,5,0)</f>
        <v>733409</v>
      </c>
      <c r="U554" s="45" t="s">
        <v>2751</v>
      </c>
      <c r="V554" s="46">
        <f t="shared" si="94"/>
        <v>733409</v>
      </c>
      <c r="W554" s="47" t="s">
        <v>1519</v>
      </c>
      <c r="X554" s="46" t="str">
        <f t="shared" si="95"/>
        <v>2</v>
      </c>
      <c r="Y554" s="47" t="s">
        <v>1518</v>
      </c>
      <c r="Z554" s="46" t="str">
        <f t="shared" si="96"/>
        <v>V</v>
      </c>
      <c r="AA554" s="47" t="s">
        <v>2752</v>
      </c>
      <c r="AB554" s="46" t="str">
        <f t="shared" si="97"/>
        <v>MIERCOLES</v>
      </c>
      <c r="AC554" s="47" t="s">
        <v>2753</v>
      </c>
      <c r="AD554" t="str">
        <f t="shared" si="98"/>
        <v>CONTRATURNO</v>
      </c>
      <c r="AE554" s="47" t="s">
        <v>2754</v>
      </c>
      <c r="AH554" t="str">
        <f t="shared" si="99"/>
        <v>INSERT INTO horario_curso_materia (horario_curso_materia.FK_CUR_mat,horario_curso_materia.FK_HOR,horario_curso_materia.DIA,horario_curso_materia.tipo_turno) VALUES (  (SELECT curso_materia.ID_CUR_MAT FROM curso_materia WHERE curso_materia.CUPOF='733409' ) ,
    (SELECT horario.ID_HOR FROM horario WHERE horario.modulo='2 ' and horario.turno='V ' ),'MIERCOLES ' , 'CONTRATURNO ' );</v>
      </c>
    </row>
    <row r="555" spans="1:34" ht="15" hidden="1" customHeight="1" x14ac:dyDescent="0.3">
      <c r="A555" s="1" t="str">
        <f t="shared" si="92"/>
        <v>4°1°</v>
      </c>
      <c r="B555" s="54" t="str">
        <f t="shared" si="101"/>
        <v>4°1°2VIMAÑANA0</v>
      </c>
      <c r="C555" s="62">
        <f>VLOOKUP(G555,[1]Hoja1!$A:$O,3,0)</f>
        <v>0</v>
      </c>
      <c r="D555" s="2" t="str">
        <f t="shared" si="102"/>
        <v>2VIM</v>
      </c>
      <c r="E555" s="62" t="s">
        <v>59</v>
      </c>
      <c r="F555" s="62" t="s">
        <v>27</v>
      </c>
      <c r="G555" s="62" t="s">
        <v>399</v>
      </c>
      <c r="H555" s="8" t="str">
        <f>VLOOKUP(G555,[1]Hoja1!$A:$O,6,0)</f>
        <v>MATEMATICA</v>
      </c>
      <c r="I555" s="4"/>
      <c r="J555" s="4"/>
      <c r="K555" s="80" t="str">
        <f t="shared" si="100"/>
        <v>VI</v>
      </c>
      <c r="L555" s="4"/>
      <c r="M555" s="86" t="str">
        <f>VLOOKUP(G555,[1]Hoja1!$A:$O,15,0)</f>
        <v>WEBBER JONATHAN</v>
      </c>
      <c r="N555" s="2" t="str">
        <f t="shared" si="93"/>
        <v>4°1°4IMATESVI</v>
      </c>
      <c r="O555" s="2"/>
      <c r="P555" s="2" t="str">
        <f>VLOOKUP(G555,[1]Hoja1!$A:$P,16,0)</f>
        <v xml:space="preserve"> </v>
      </c>
      <c r="Q555" s="2"/>
      <c r="S555">
        <f>VLOOKUP(G555,[1]Hoja1!$A:$O,5,0)</f>
        <v>733575</v>
      </c>
      <c r="U555" s="45" t="s">
        <v>2751</v>
      </c>
      <c r="V555" s="46">
        <f t="shared" si="94"/>
        <v>733575</v>
      </c>
      <c r="W555" s="47" t="s">
        <v>1519</v>
      </c>
      <c r="X555" s="46" t="str">
        <f t="shared" si="95"/>
        <v>2</v>
      </c>
      <c r="Y555" s="47" t="s">
        <v>1518</v>
      </c>
      <c r="Z555" s="46" t="str">
        <f t="shared" si="96"/>
        <v>M</v>
      </c>
      <c r="AA555" s="47" t="s">
        <v>2752</v>
      </c>
      <c r="AB555" s="46" t="str">
        <f t="shared" si="97"/>
        <v>VIERNES</v>
      </c>
      <c r="AC555" s="47" t="s">
        <v>2753</v>
      </c>
      <c r="AD555">
        <f t="shared" si="98"/>
        <v>0</v>
      </c>
      <c r="AE555" s="47" t="s">
        <v>2754</v>
      </c>
      <c r="AH555" t="str">
        <f t="shared" si="99"/>
        <v>INSERT INTO horario_curso_materia (horario_curso_materia.FK_CUR_mat,horario_curso_materia.FK_HOR,horario_curso_materia.DIA,horario_curso_materia.tipo_turno) VALUES (  (SELECT curso_materia.ID_CUR_MAT FROM curso_materia WHERE curso_materia.CUPOF='733575' ) ,
    (SELECT horario.ID_HOR FROM horario WHERE horario.modulo='2 ' and horario.turno='M ' ),'VIERNES ' , '0 ' );</v>
      </c>
    </row>
    <row r="556" spans="1:34" ht="15" hidden="1" customHeight="1" x14ac:dyDescent="0.3">
      <c r="A556" s="1" t="str">
        <f t="shared" si="92"/>
        <v>4°1°</v>
      </c>
      <c r="B556" s="54" t="str">
        <f t="shared" si="101"/>
        <v>4°1°2VITARDE412</v>
      </c>
      <c r="C556" s="62">
        <f>VLOOKUP(G556,[1]Hoja1!$A:$O,3,0)</f>
        <v>412</v>
      </c>
      <c r="D556" s="2" t="str">
        <f t="shared" si="102"/>
        <v>2VIT30</v>
      </c>
      <c r="E556" s="62" t="s">
        <v>59</v>
      </c>
      <c r="F556" s="62" t="s">
        <v>10</v>
      </c>
      <c r="G556" s="62" t="s">
        <v>141</v>
      </c>
      <c r="H556" s="8" t="str">
        <f>VLOOKUP(G556,[1]Hoja1!$A:$O,6,0)</f>
        <v>LAB DE APLICACIONES</v>
      </c>
      <c r="I556" s="4">
        <v>30</v>
      </c>
      <c r="J556" s="4"/>
      <c r="K556" s="80" t="str">
        <f t="shared" si="100"/>
        <v>VI</v>
      </c>
      <c r="L556" s="4" t="s">
        <v>512</v>
      </c>
      <c r="M556" s="86" t="str">
        <f>VLOOKUP(G556,[1]Hoja1!$A:$O,15,0)</f>
        <v xml:space="preserve">PROCHOR GLORIA </v>
      </c>
      <c r="N556" s="2" t="str">
        <f t="shared" si="93"/>
        <v>4°1°4124IFTLA4VI</v>
      </c>
      <c r="O556" s="2"/>
      <c r="P556" s="2" t="str">
        <f>VLOOKUP(G556,[1]Hoja1!$A:$P,16,0)</f>
        <v xml:space="preserve"> </v>
      </c>
      <c r="Q556" s="2"/>
      <c r="S556">
        <f>VLOOKUP(G556,[1]Hoja1!$A:$O,5,0)</f>
        <v>2680055</v>
      </c>
      <c r="U556" s="45" t="s">
        <v>2751</v>
      </c>
      <c r="V556" s="46">
        <f t="shared" si="94"/>
        <v>2680055</v>
      </c>
      <c r="W556" s="47" t="s">
        <v>1519</v>
      </c>
      <c r="X556" s="46" t="str">
        <f t="shared" si="95"/>
        <v>2</v>
      </c>
      <c r="Y556" s="47" t="s">
        <v>1518</v>
      </c>
      <c r="Z556" s="46" t="str">
        <f t="shared" si="96"/>
        <v>T</v>
      </c>
      <c r="AA556" s="47" t="s">
        <v>2752</v>
      </c>
      <c r="AB556" s="46" t="str">
        <f t="shared" si="97"/>
        <v>VIERNES</v>
      </c>
      <c r="AC556" s="47" t="s">
        <v>2753</v>
      </c>
      <c r="AD556" t="str">
        <f t="shared" si="98"/>
        <v>CONTRATURNO</v>
      </c>
      <c r="AE556" s="47" t="s">
        <v>2754</v>
      </c>
      <c r="AH556" t="str">
        <f t="shared" si="99"/>
        <v>INSERT INTO horario_curso_materia (horario_curso_materia.FK_CUR_mat,horario_curso_materia.FK_HOR,horario_curso_materia.DIA,horario_curso_materia.tipo_turno) VALUES (  (SELECT curso_materia.ID_CUR_MAT FROM curso_materia WHERE curso_materia.CUPOF='2680055' ) ,
    (SELECT horario.ID_HOR FROM horario WHERE horario.modulo='2 ' and horario.turno='T ' ),'VIERNES ' , 'CONTRATURNO ' );</v>
      </c>
    </row>
    <row r="557" spans="1:34" ht="15" hidden="1" customHeight="1" x14ac:dyDescent="0.3">
      <c r="A557" s="1" t="str">
        <f t="shared" si="92"/>
        <v>4°1°</v>
      </c>
      <c r="B557" s="54" t="str">
        <f t="shared" si="101"/>
        <v>4°1°4juVESPERTINO411</v>
      </c>
      <c r="C557" s="62">
        <f>VLOOKUP(G557,[1]Hoja1!$A:$O,3,0)</f>
        <v>411</v>
      </c>
      <c r="D557" s="2" t="str">
        <f t="shared" si="102"/>
        <v>4juV30</v>
      </c>
      <c r="E557" s="62" t="s">
        <v>1351</v>
      </c>
      <c r="F557" s="62" t="s">
        <v>125</v>
      </c>
      <c r="G557" s="62" t="s">
        <v>137</v>
      </c>
      <c r="H557" s="8" t="str">
        <f>VLOOKUP(G557,[1]Hoja1!$A:$O,6,0)</f>
        <v>LAB DE PROGRAM</v>
      </c>
      <c r="I557" s="4">
        <v>30</v>
      </c>
      <c r="J557" s="4"/>
      <c r="K557" s="80" t="str">
        <f t="shared" si="100"/>
        <v>ju</v>
      </c>
      <c r="L557" s="4" t="s">
        <v>512</v>
      </c>
      <c r="M557" s="86" t="str">
        <f>VLOOKUP(G557,[1]Hoja1!$A:$O,15,0)</f>
        <v>HERRERA STELLA MARIS</v>
      </c>
      <c r="N557" s="2" t="str">
        <f t="shared" si="93"/>
        <v>4°1°4114IFTLP4ju</v>
      </c>
      <c r="O557" s="2"/>
      <c r="P557" s="2" t="str">
        <f>VLOOKUP(G557,[1]Hoja1!$A:$P,16,0)</f>
        <v xml:space="preserve"> </v>
      </c>
      <c r="Q557" s="2"/>
      <c r="S557">
        <f>VLOOKUP(G557,[1]Hoja1!$A:$O,5,0)</f>
        <v>2680042</v>
      </c>
      <c r="U557" s="45" t="s">
        <v>2751</v>
      </c>
      <c r="V557" s="46">
        <f t="shared" si="94"/>
        <v>2680042</v>
      </c>
      <c r="W557" s="47" t="s">
        <v>1519</v>
      </c>
      <c r="X557" s="46" t="str">
        <f t="shared" si="95"/>
        <v>4</v>
      </c>
      <c r="Y557" s="47" t="s">
        <v>1518</v>
      </c>
      <c r="Z557" s="46" t="str">
        <f t="shared" si="96"/>
        <v>V</v>
      </c>
      <c r="AA557" s="47" t="s">
        <v>2752</v>
      </c>
      <c r="AB557" s="46" t="str">
        <f t="shared" si="97"/>
        <v>JUEVES</v>
      </c>
      <c r="AC557" s="47" t="s">
        <v>2753</v>
      </c>
      <c r="AD557" t="str">
        <f t="shared" si="98"/>
        <v>CONTRATURNO</v>
      </c>
      <c r="AE557" s="47" t="s">
        <v>2754</v>
      </c>
      <c r="AH557" t="str">
        <f t="shared" si="99"/>
        <v>INSERT INTO horario_curso_materia (horario_curso_materia.FK_CUR_mat,horario_curso_materia.FK_HOR,horario_curso_materia.DIA,horario_curso_materia.tipo_turno) VALUES (  (SELECT curso_materia.ID_CUR_MAT FROM curso_materia WHERE curso_materia.CUPOF='2680042' ) ,
    (SELECT horario.ID_HOR FROM horario WHERE horario.modulo='4 ' and horario.turno='V ' ),'JUEVES ' , 'CONTRATURNO ' );</v>
      </c>
    </row>
    <row r="558" spans="1:34" ht="15" hidden="1" customHeight="1" x14ac:dyDescent="0.3">
      <c r="A558" s="1" t="str">
        <f t="shared" si="92"/>
        <v>4°1°</v>
      </c>
      <c r="B558" s="54" t="str">
        <f t="shared" si="101"/>
        <v>4°1°3JUMAÑANA0</v>
      </c>
      <c r="C558" s="62">
        <f>VLOOKUP(G558,[1]Hoja1!$A:$O,3,0)</f>
        <v>0</v>
      </c>
      <c r="D558" s="2" t="str">
        <f t="shared" si="102"/>
        <v>3JUM</v>
      </c>
      <c r="E558" s="4" t="s">
        <v>46</v>
      </c>
      <c r="F558" s="62" t="s">
        <v>27</v>
      </c>
      <c r="G558" s="72" t="s">
        <v>404</v>
      </c>
      <c r="H558" s="8" t="str">
        <f>VLOOKUP(G558,[1]Hoja1!$A:$O,6,0)</f>
        <v>INGLÉS</v>
      </c>
      <c r="I558" s="4"/>
      <c r="J558" s="4"/>
      <c r="K558" s="80" t="str">
        <f t="shared" si="100"/>
        <v>JU</v>
      </c>
      <c r="L558" s="4"/>
      <c r="M558" s="86" t="str">
        <f>VLOOKUP(G558,[1]Hoja1!$A:$O,15,0)</f>
        <v xml:space="preserve">LEGUIZAMON ANA </v>
      </c>
      <c r="N558" s="2" t="str">
        <f t="shared" si="93"/>
        <v>4°1°4IINGSJU</v>
      </c>
      <c r="O558" s="2"/>
      <c r="P558" s="2" t="str">
        <f>VLOOKUP(G558,[1]Hoja1!$A:$P,16,0)</f>
        <v xml:space="preserve"> </v>
      </c>
      <c r="Q558" s="2"/>
      <c r="S558">
        <f>VLOOKUP(G558,[1]Hoja1!$A:$O,5,0)</f>
        <v>733705</v>
      </c>
      <c r="U558" s="45" t="s">
        <v>2751</v>
      </c>
      <c r="V558" s="46">
        <f t="shared" si="94"/>
        <v>733705</v>
      </c>
      <c r="W558" s="47" t="s">
        <v>1519</v>
      </c>
      <c r="X558" s="46" t="str">
        <f t="shared" si="95"/>
        <v>3</v>
      </c>
      <c r="Y558" s="47" t="s">
        <v>1518</v>
      </c>
      <c r="Z558" s="46" t="str">
        <f t="shared" si="96"/>
        <v>M</v>
      </c>
      <c r="AA558" s="47" t="s">
        <v>2752</v>
      </c>
      <c r="AB558" s="46" t="str">
        <f t="shared" si="97"/>
        <v>JUEVES</v>
      </c>
      <c r="AC558" s="47" t="s">
        <v>2753</v>
      </c>
      <c r="AD558">
        <f t="shared" si="98"/>
        <v>0</v>
      </c>
      <c r="AE558" s="47" t="s">
        <v>2754</v>
      </c>
      <c r="AH558" t="str">
        <f t="shared" si="99"/>
        <v>INSERT INTO horario_curso_materia (horario_curso_materia.FK_CUR_mat,horario_curso_materia.FK_HOR,horario_curso_materia.DIA,horario_curso_materia.tipo_turno) VALUES (  (SELECT curso_materia.ID_CUR_MAT FROM curso_materia WHERE curso_materia.CUPOF='733705' ) ,
    (SELECT horario.ID_HOR FROM horario WHERE horario.modulo='3 ' and horario.turno='M ' ),'JUEVES ' , '0 ' );</v>
      </c>
    </row>
    <row r="559" spans="1:34" ht="15" hidden="1" customHeight="1" x14ac:dyDescent="0.3">
      <c r="A559" s="1" t="str">
        <f t="shared" si="92"/>
        <v>4°1°</v>
      </c>
      <c r="B559" s="54" t="str">
        <f t="shared" si="101"/>
        <v>4°1°3LUMAÑANA0</v>
      </c>
      <c r="C559" s="62">
        <f>VLOOKUP(G559,[1]Hoja1!$A:$O,3,0)</f>
        <v>0</v>
      </c>
      <c r="D559" s="2" t="str">
        <f t="shared" si="102"/>
        <v>3LUM</v>
      </c>
      <c r="E559" s="62" t="s">
        <v>29</v>
      </c>
      <c r="F559" s="62" t="s">
        <v>27</v>
      </c>
      <c r="G559" s="62" t="s">
        <v>398</v>
      </c>
      <c r="H559" s="8" t="str">
        <f>VLOOKUP(G559,[1]Hoja1!$A:$O,6,0)</f>
        <v>LITERATURA</v>
      </c>
      <c r="I559" s="4"/>
      <c r="J559" s="4"/>
      <c r="K559" s="80" t="str">
        <f t="shared" si="100"/>
        <v>LU</v>
      </c>
      <c r="L559" s="4"/>
      <c r="M559" s="86" t="str">
        <f>VLOOKUP(G559,[1]Hoja1!$A:$O,15,0)</f>
        <v>CARESTIA, NOEMI</v>
      </c>
      <c r="N559" s="2" t="str">
        <f t="shared" si="93"/>
        <v>4°1°4ILITSLU</v>
      </c>
      <c r="O559" s="2"/>
      <c r="P559" s="2" t="str">
        <f>VLOOKUP(G559,[1]Hoja1!$A:$P,16,0)</f>
        <v xml:space="preserve"> </v>
      </c>
      <c r="Q559" s="2"/>
      <c r="S559">
        <f>VLOOKUP(G559,[1]Hoja1!$A:$O,5,0)</f>
        <v>733437</v>
      </c>
      <c r="U559" s="45" t="s">
        <v>2751</v>
      </c>
      <c r="V559" s="46">
        <f t="shared" si="94"/>
        <v>733437</v>
      </c>
      <c r="W559" s="47" t="s">
        <v>1519</v>
      </c>
      <c r="X559" s="46" t="str">
        <f t="shared" si="95"/>
        <v>3</v>
      </c>
      <c r="Y559" s="47" t="s">
        <v>1518</v>
      </c>
      <c r="Z559" s="46" t="str">
        <f t="shared" si="96"/>
        <v>M</v>
      </c>
      <c r="AA559" s="47" t="s">
        <v>2752</v>
      </c>
      <c r="AB559" s="46" t="str">
        <f t="shared" si="97"/>
        <v>LUNES</v>
      </c>
      <c r="AC559" s="47" t="s">
        <v>2753</v>
      </c>
      <c r="AD559">
        <f t="shared" si="98"/>
        <v>0</v>
      </c>
      <c r="AE559" s="47" t="s">
        <v>2754</v>
      </c>
      <c r="AH559" t="str">
        <f t="shared" si="99"/>
        <v>INSERT INTO horario_curso_materia (horario_curso_materia.FK_CUR_mat,horario_curso_materia.FK_HOR,horario_curso_materia.DIA,horario_curso_materia.tipo_turno) VALUES (  (SELECT curso_materia.ID_CUR_MAT FROM curso_materia WHERE curso_materia.CUPOF='733437' ) ,
    (SELECT horario.ID_HOR FROM horario WHERE horario.modulo='3 ' and horario.turno='M ' ),'LUNES ' , '0 ' );</v>
      </c>
    </row>
    <row r="560" spans="1:34" ht="15" hidden="1" customHeight="1" x14ac:dyDescent="0.3">
      <c r="A560" s="1" t="str">
        <f t="shared" si="92"/>
        <v>4°1°</v>
      </c>
      <c r="B560" s="54" t="str">
        <f t="shared" si="101"/>
        <v>4°1°3LUVESPERTINO411</v>
      </c>
      <c r="C560" s="62">
        <f>VLOOKUP(G560,[1]Hoja1!$A:$O,3,0)</f>
        <v>411</v>
      </c>
      <c r="D560" s="2" t="str">
        <f t="shared" si="102"/>
        <v>3LUV30</v>
      </c>
      <c r="E560" s="62" t="s">
        <v>29</v>
      </c>
      <c r="F560" s="62" t="s">
        <v>125</v>
      </c>
      <c r="G560" s="62" t="s">
        <v>134</v>
      </c>
      <c r="H560" s="8" t="str">
        <f>VLOOKUP(G560,[1]Hoja1!$A:$O,6,0)</f>
        <v xml:space="preserve">LAB DE SIST OPERATIVOS   </v>
      </c>
      <c r="I560" s="4">
        <v>30</v>
      </c>
      <c r="J560" s="4"/>
      <c r="K560" s="81" t="str">
        <f t="shared" si="100"/>
        <v>LU</v>
      </c>
      <c r="L560" s="4" t="s">
        <v>512</v>
      </c>
      <c r="M560" s="86" t="str">
        <f>VLOOKUP(G560,[1]Hoja1!$A:$O,15,0)</f>
        <v xml:space="preserve">AGUIRRE ISABEL  </v>
      </c>
      <c r="N560" s="2" t="str">
        <f t="shared" si="93"/>
        <v>4°1°4114IFTLS4LU</v>
      </c>
      <c r="O560" s="2" t="s">
        <v>1499</v>
      </c>
      <c r="P560" s="2" t="str">
        <f>VLOOKUP(G560,[1]Hoja1!$A:$P,16,0)</f>
        <v xml:space="preserve"> </v>
      </c>
      <c r="Q560" s="2"/>
      <c r="S560">
        <f>VLOOKUP(G560,[1]Hoja1!$A:$O,5,0)</f>
        <v>2680045</v>
      </c>
      <c r="U560" s="45" t="s">
        <v>2751</v>
      </c>
      <c r="V560" s="46">
        <f t="shared" si="94"/>
        <v>2680045</v>
      </c>
      <c r="W560" s="47" t="s">
        <v>1519</v>
      </c>
      <c r="X560" s="46" t="str">
        <f t="shared" si="95"/>
        <v>3</v>
      </c>
      <c r="Y560" s="47" t="s">
        <v>1518</v>
      </c>
      <c r="Z560" s="46" t="str">
        <f t="shared" si="96"/>
        <v>V</v>
      </c>
      <c r="AA560" s="47" t="s">
        <v>2752</v>
      </c>
      <c r="AB560" s="46" t="str">
        <f t="shared" si="97"/>
        <v>LUNES</v>
      </c>
      <c r="AC560" s="47" t="s">
        <v>2753</v>
      </c>
      <c r="AD560" t="str">
        <f t="shared" si="98"/>
        <v>CONTRATURNO</v>
      </c>
      <c r="AE560" s="47" t="s">
        <v>2754</v>
      </c>
      <c r="AH560" t="str">
        <f t="shared" si="99"/>
        <v>INSERT INTO horario_curso_materia (horario_curso_materia.FK_CUR_mat,horario_curso_materia.FK_HOR,horario_curso_materia.DIA,horario_curso_materia.tipo_turno) VALUES (  (SELECT curso_materia.ID_CUR_MAT FROM curso_materia WHERE curso_materia.CUPOF='2680045' ) ,
    (SELECT horario.ID_HOR FROM horario WHERE horario.modulo='3 ' and horario.turno='V ' ),'LUNES ' , 'CONTRATURNO ' );</v>
      </c>
    </row>
    <row r="561" spans="1:34" s="16" customFormat="1" ht="15" hidden="1" customHeight="1" x14ac:dyDescent="0.3">
      <c r="A561" s="1" t="str">
        <f t="shared" ref="A561:A623" si="103">LEFT(B561,4)</f>
        <v>4°1°</v>
      </c>
      <c r="B561" s="54" t="str">
        <f t="shared" si="101"/>
        <v>4°1°3LUVESPERTINO412</v>
      </c>
      <c r="C561" s="62">
        <f>VLOOKUP(G561,[1]Hoja1!$A:$O,3,0)</f>
        <v>412</v>
      </c>
      <c r="D561" s="2" t="str">
        <f t="shared" si="102"/>
        <v>3LUV40</v>
      </c>
      <c r="E561" s="62" t="s">
        <v>29</v>
      </c>
      <c r="F561" s="62" t="s">
        <v>125</v>
      </c>
      <c r="G561" s="62" t="s">
        <v>133</v>
      </c>
      <c r="H561" s="8" t="str">
        <f>VLOOKUP(G561,[1]Hoja1!$A:$O,6,0)</f>
        <v xml:space="preserve">LAB DE SIST OPERATIVOS   </v>
      </c>
      <c r="I561" s="4">
        <v>40</v>
      </c>
      <c r="J561" s="4"/>
      <c r="K561" s="80" t="str">
        <f t="shared" si="100"/>
        <v>LU</v>
      </c>
      <c r="L561" s="4" t="s">
        <v>512</v>
      </c>
      <c r="M561" s="86" t="str">
        <f>VLOOKUP(G561,[1]Hoja1!$A:$O,15,0)</f>
        <v xml:space="preserve">BARCENILLA, JAVIER </v>
      </c>
      <c r="N561" s="2" t="str">
        <f t="shared" ref="N561:N623" si="104">CONCATENATE(G561,LEFT(K561,2))</f>
        <v>4°1°4124IFTLS4LU</v>
      </c>
      <c r="O561" s="2" t="s">
        <v>1374</v>
      </c>
      <c r="P561" s="2" t="str">
        <f>VLOOKUP(G561,[1]Hoja1!$A:$P,16,0)</f>
        <v xml:space="preserve"> </v>
      </c>
      <c r="Q561" s="2"/>
      <c r="R561" s="7"/>
      <c r="S561">
        <f>VLOOKUP(G561,[1]Hoja1!$A:$O,5,0)</f>
        <v>2680054</v>
      </c>
      <c r="T561"/>
      <c r="U561" s="45" t="s">
        <v>2751</v>
      </c>
      <c r="V561" s="46">
        <f t="shared" ref="V561:V623" si="105">S561</f>
        <v>2680054</v>
      </c>
      <c r="W561" s="47" t="s">
        <v>1519</v>
      </c>
      <c r="X561" s="46" t="str">
        <f t="shared" ref="X561:X623" si="106">IF(LEFT(E561,1)="p","prehora",LEFT(E561,1))</f>
        <v>3</v>
      </c>
      <c r="Y561" s="47" t="s">
        <v>1518</v>
      </c>
      <c r="Z561" s="46" t="str">
        <f t="shared" ref="Z561:Z623" si="107">LEFT(F561,1)</f>
        <v>V</v>
      </c>
      <c r="AA561" s="47" t="s">
        <v>2752</v>
      </c>
      <c r="AB561" s="46" t="str">
        <f t="shared" ref="AB561:AB623" si="108">IF(IF(LEFT(E561,1)="p",MID(E561,8,2),MID(E561,2,2))="lu","LUNES",IF(IF(LEFT(E561,1)="p",MID(E561,8,2),MID(E561,2,2))="ma","MARTES",IF(IF(LEFT(E561,1)="p",MID(E561,8,2),MID(E561,2,2))="MI","MIERCOLES",IF(IF(LEFT(E561,1)="p",MID(E561,8,2),MID(E561,2,2))="JU","JUEVES",IF(IF(LEFT(E561,1)="p",MID(E561,8,2),MID(E561,2,2))="vi","VIERNES","")))))</f>
        <v>LUNES</v>
      </c>
      <c r="AC561" s="47" t="s">
        <v>2753</v>
      </c>
      <c r="AD561" t="str">
        <f t="shared" ref="AD561:AD623" si="109">L561</f>
        <v>CONTRATURNO</v>
      </c>
      <c r="AE561" s="47" t="s">
        <v>2754</v>
      </c>
      <c r="AF561"/>
      <c r="AG561"/>
      <c r="AH561" t="str">
        <f t="shared" ref="AH561:AH623" si="110">U561&amp;V561&amp;W561&amp;X561&amp;Y561&amp;Z561&amp;AA561&amp;AB561&amp;AC561&amp;AD561&amp;AE561</f>
        <v>INSERT INTO horario_curso_materia (horario_curso_materia.FK_CUR_mat,horario_curso_materia.FK_HOR,horario_curso_materia.DIA,horario_curso_materia.tipo_turno) VALUES (  (SELECT curso_materia.ID_CUR_MAT FROM curso_materia WHERE curso_materia.CUPOF='2680054' ) ,
    (SELECT horario.ID_HOR FROM horario WHERE horario.modulo='3 ' and horario.turno='V ' ),'LUNES ' , 'CONTRATURNO ' );</v>
      </c>
    </row>
    <row r="562" spans="1:34" s="16" customFormat="1" ht="15" hidden="1" customHeight="1" x14ac:dyDescent="0.3">
      <c r="A562" s="1" t="str">
        <f t="shared" si="103"/>
        <v>4°1°</v>
      </c>
      <c r="B562" s="54" t="str">
        <f t="shared" si="101"/>
        <v>4°1°3MAMAÑANA0</v>
      </c>
      <c r="C562" s="62">
        <f>VLOOKUP(G562,[1]Hoja1!$A:$O,3,0)</f>
        <v>0</v>
      </c>
      <c r="D562" s="2" t="str">
        <f t="shared" si="102"/>
        <v>3MAM</v>
      </c>
      <c r="E562" s="62" t="s">
        <v>13</v>
      </c>
      <c r="F562" s="62" t="s">
        <v>27</v>
      </c>
      <c r="G562" s="62" t="s">
        <v>400</v>
      </c>
      <c r="H562" s="8" t="str">
        <f>VLOOKUP(G562,[1]Hoja1!$A:$O,6,0)</f>
        <v>GEOGRAFIA</v>
      </c>
      <c r="I562" s="4"/>
      <c r="J562" s="4"/>
      <c r="K562" s="80" t="str">
        <f t="shared" si="100"/>
        <v>MA</v>
      </c>
      <c r="L562" s="4"/>
      <c r="M562" s="86" t="str">
        <f>VLOOKUP(G562,[1]Hoja1!$A:$O,15,0)</f>
        <v>JUAREZ VANESA</v>
      </c>
      <c r="N562" s="2" t="str">
        <f t="shared" si="104"/>
        <v>4°1°4IGEOSMA</v>
      </c>
      <c r="O562" s="2"/>
      <c r="P562" s="2" t="str">
        <f>VLOOKUP(G562,[1]Hoja1!$A:$P,16,0)</f>
        <v xml:space="preserve"> </v>
      </c>
      <c r="Q562" s="2"/>
      <c r="R562" s="7"/>
      <c r="S562">
        <f>VLOOKUP(G562,[1]Hoja1!$A:$O,5,0)</f>
        <v>1517072</v>
      </c>
      <c r="T562"/>
      <c r="U562" s="45" t="s">
        <v>2751</v>
      </c>
      <c r="V562" s="46">
        <f t="shared" si="105"/>
        <v>1517072</v>
      </c>
      <c r="W562" s="47" t="s">
        <v>1519</v>
      </c>
      <c r="X562" s="46" t="str">
        <f t="shared" si="106"/>
        <v>3</v>
      </c>
      <c r="Y562" s="47" t="s">
        <v>1518</v>
      </c>
      <c r="Z562" s="46" t="str">
        <f t="shared" si="107"/>
        <v>M</v>
      </c>
      <c r="AA562" s="47" t="s">
        <v>2752</v>
      </c>
      <c r="AB562" s="46" t="str">
        <f t="shared" si="108"/>
        <v>MARTES</v>
      </c>
      <c r="AC562" s="47" t="s">
        <v>2753</v>
      </c>
      <c r="AD562">
        <f t="shared" si="109"/>
        <v>0</v>
      </c>
      <c r="AE562" s="47" t="s">
        <v>2754</v>
      </c>
      <c r="AF562"/>
      <c r="AG562"/>
      <c r="AH562" t="str">
        <f t="shared" si="110"/>
        <v>INSERT INTO horario_curso_materia (horario_curso_materia.FK_CUR_mat,horario_curso_materia.FK_HOR,horario_curso_materia.DIA,horario_curso_materia.tipo_turno) VALUES (  (SELECT curso_materia.ID_CUR_MAT FROM curso_materia WHERE curso_materia.CUPOF='1517072' ) ,
    (SELECT horario.ID_HOR FROM horario WHERE horario.modulo='3 ' and horario.turno='M ' ),'MARTES ' , '0 ' );</v>
      </c>
    </row>
    <row r="563" spans="1:34" ht="15" hidden="1" customHeight="1" x14ac:dyDescent="0.3">
      <c r="A563" s="1" t="str">
        <f t="shared" si="103"/>
        <v>4°1°</v>
      </c>
      <c r="B563" s="54" t="str">
        <f t="shared" si="101"/>
        <v>4°1°3VIVESPERTINO412</v>
      </c>
      <c r="C563" s="62">
        <f>VLOOKUP(G563,[1]Hoja1!$A:$O,3,0)</f>
        <v>412</v>
      </c>
      <c r="D563" s="2" t="str">
        <f t="shared" si="102"/>
        <v>3VIVHARDWARE</v>
      </c>
      <c r="E563" s="62" t="s">
        <v>35</v>
      </c>
      <c r="F563" s="62" t="s">
        <v>125</v>
      </c>
      <c r="G563" s="62" t="s">
        <v>135</v>
      </c>
      <c r="H563" s="8" t="str">
        <f>VLOOKUP(G563,[1]Hoja1!$A:$O,6,0)</f>
        <v>LAB DE HARDWARE</v>
      </c>
      <c r="I563" s="4" t="s">
        <v>38</v>
      </c>
      <c r="J563" s="4"/>
      <c r="K563" s="80" t="str">
        <f t="shared" si="100"/>
        <v>VI</v>
      </c>
      <c r="L563" s="4" t="s">
        <v>512</v>
      </c>
      <c r="M563" s="86" t="str">
        <f>VLOOKUP(G563,[1]Hoja1!$A:$O,15,0)</f>
        <v>GAUNA FEDERICO</v>
      </c>
      <c r="N563" s="2" t="str">
        <f t="shared" si="104"/>
        <v>4°1°4124IFTLH4VI</v>
      </c>
      <c r="O563" s="2"/>
      <c r="P563" s="2" t="str">
        <f>VLOOKUP(G563,[1]Hoja1!$A:$P,16,0)</f>
        <v xml:space="preserve"> </v>
      </c>
      <c r="Q563" s="2"/>
      <c r="S563">
        <f>VLOOKUP(G563,[1]Hoja1!$A:$O,5,0)</f>
        <v>2680053</v>
      </c>
      <c r="U563" s="45" t="s">
        <v>2751</v>
      </c>
      <c r="V563" s="46">
        <f t="shared" si="105"/>
        <v>2680053</v>
      </c>
      <c r="W563" s="47" t="s">
        <v>1519</v>
      </c>
      <c r="X563" s="46" t="str">
        <f t="shared" si="106"/>
        <v>3</v>
      </c>
      <c r="Y563" s="47" t="s">
        <v>1518</v>
      </c>
      <c r="Z563" s="46" t="str">
        <f t="shared" si="107"/>
        <v>V</v>
      </c>
      <c r="AA563" s="47" t="s">
        <v>2752</v>
      </c>
      <c r="AB563" s="46" t="str">
        <f t="shared" si="108"/>
        <v>VIERNES</v>
      </c>
      <c r="AC563" s="47" t="s">
        <v>2753</v>
      </c>
      <c r="AD563" t="str">
        <f t="shared" si="109"/>
        <v>CONTRATURNO</v>
      </c>
      <c r="AE563" s="47" t="s">
        <v>2754</v>
      </c>
      <c r="AH563" t="str">
        <f t="shared" si="110"/>
        <v>INSERT INTO horario_curso_materia (horario_curso_materia.FK_CUR_mat,horario_curso_materia.FK_HOR,horario_curso_materia.DIA,horario_curso_materia.tipo_turno) VALUES (  (SELECT curso_materia.ID_CUR_MAT FROM curso_materia WHERE curso_materia.CUPOF='2680053' ) ,
    (SELECT horario.ID_HOR FROM horario WHERE horario.modulo='3 ' and horario.turno='V ' ),'VIERNES ' , 'CONTRATURNO ' );</v>
      </c>
    </row>
    <row r="564" spans="1:34" ht="15" hidden="1" customHeight="1" x14ac:dyDescent="0.3">
      <c r="A564" s="1" t="str">
        <f t="shared" si="103"/>
        <v>4°1°</v>
      </c>
      <c r="B564" s="54" t="str">
        <f t="shared" si="101"/>
        <v>4°1°3maVESPERTINO411</v>
      </c>
      <c r="C564" s="62">
        <f>VLOOKUP(G564,[1]Hoja1!$A:$O,3,0)</f>
        <v>411</v>
      </c>
      <c r="D564" s="2" t="str">
        <f t="shared" si="102"/>
        <v>3maVHARDWARE</v>
      </c>
      <c r="E564" s="62" t="s">
        <v>1334</v>
      </c>
      <c r="F564" s="62" t="s">
        <v>125</v>
      </c>
      <c r="G564" s="62" t="s">
        <v>138</v>
      </c>
      <c r="H564" s="8" t="str">
        <f>VLOOKUP(G564,[1]Hoja1!$A:$O,6,0)</f>
        <v>LAB DE HARDWARE</v>
      </c>
      <c r="I564" s="4" t="s">
        <v>38</v>
      </c>
      <c r="J564" s="4"/>
      <c r="K564" s="80" t="str">
        <f t="shared" si="100"/>
        <v>ma</v>
      </c>
      <c r="L564" s="4" t="s">
        <v>512</v>
      </c>
      <c r="M564" s="86" t="str">
        <f>VLOOKUP(G564,[1]Hoja1!$A:$O,15,0)</f>
        <v>HERRERA STELLA 27- 29.873.235-7</v>
      </c>
      <c r="N564" s="2" t="str">
        <f t="shared" si="104"/>
        <v>4°1°4114IFTLH4ma</v>
      </c>
      <c r="O564" s="2"/>
      <c r="P564" s="2" t="str">
        <f>VLOOKUP(G564,[1]Hoja1!$A:$P,16,0)</f>
        <v xml:space="preserve"> </v>
      </c>
      <c r="Q564" s="2"/>
      <c r="S564">
        <f>VLOOKUP(G564,[1]Hoja1!$A:$O,5,0)</f>
        <v>2680043</v>
      </c>
      <c r="U564" s="45" t="s">
        <v>2751</v>
      </c>
      <c r="V564" s="46">
        <f t="shared" si="105"/>
        <v>2680043</v>
      </c>
      <c r="W564" s="47" t="s">
        <v>1519</v>
      </c>
      <c r="X564" s="46" t="str">
        <f t="shared" si="106"/>
        <v>3</v>
      </c>
      <c r="Y564" s="47" t="s">
        <v>1518</v>
      </c>
      <c r="Z564" s="46" t="str">
        <f t="shared" si="107"/>
        <v>V</v>
      </c>
      <c r="AA564" s="47" t="s">
        <v>2752</v>
      </c>
      <c r="AB564" s="46" t="str">
        <f t="shared" si="108"/>
        <v>MARTES</v>
      </c>
      <c r="AC564" s="47" t="s">
        <v>2753</v>
      </c>
      <c r="AD564" t="str">
        <f t="shared" si="109"/>
        <v>CONTRATURNO</v>
      </c>
      <c r="AE564" s="47" t="s">
        <v>2754</v>
      </c>
      <c r="AH564" t="str">
        <f t="shared" si="110"/>
        <v>INSERT INTO horario_curso_materia (horario_curso_materia.FK_CUR_mat,horario_curso_materia.FK_HOR,horario_curso_materia.DIA,horario_curso_materia.tipo_turno) VALUES (  (SELECT curso_materia.ID_CUR_MAT FROM curso_materia WHERE curso_materia.CUPOF='2680043' ) ,
    (SELECT horario.ID_HOR FROM horario WHERE horario.modulo='3 ' and horario.turno='V ' ),'MARTES ' , 'CONTRATURNO ' );</v>
      </c>
    </row>
    <row r="565" spans="1:34" ht="15" hidden="1" customHeight="1" x14ac:dyDescent="0.3">
      <c r="A565" s="1" t="str">
        <f t="shared" si="103"/>
        <v>4°1°</v>
      </c>
      <c r="B565" s="54" t="str">
        <f t="shared" si="101"/>
        <v>4°1°3MIMAÑANA0</v>
      </c>
      <c r="C565" s="62">
        <f>VLOOKUP(G565,[1]Hoja1!$A:$O,3,0)</f>
        <v>0</v>
      </c>
      <c r="D565" s="2" t="str">
        <f t="shared" si="102"/>
        <v>3MIM</v>
      </c>
      <c r="E565" s="62" t="s">
        <v>50</v>
      </c>
      <c r="F565" s="62" t="s">
        <v>27</v>
      </c>
      <c r="G565" s="62" t="s">
        <v>402</v>
      </c>
      <c r="H565" s="8" t="str">
        <f>VLOOKUP(G565,[1]Hoja1!$A:$O,6,0)</f>
        <v>QUIMICA</v>
      </c>
      <c r="I565" s="4"/>
      <c r="J565" s="4"/>
      <c r="K565" s="80" t="str">
        <f t="shared" si="100"/>
        <v>MI</v>
      </c>
      <c r="L565" s="4"/>
      <c r="M565" s="86" t="str">
        <f>VLOOKUP(G565,[1]Hoja1!$A:$O,15,0)</f>
        <v>RODRIGUEZ MERCEDES NATALIA</v>
      </c>
      <c r="N565" s="2" t="str">
        <f t="shared" si="104"/>
        <v>4°1°4IQUISMI</v>
      </c>
      <c r="O565" s="2"/>
      <c r="P565" s="2" t="str">
        <f>VLOOKUP(G565,[1]Hoja1!$A:$P,16,0)</f>
        <v xml:space="preserve"> </v>
      </c>
      <c r="Q565" s="2"/>
      <c r="S565">
        <f>VLOOKUP(G565,[1]Hoja1!$A:$O,5,0)</f>
        <v>733716</v>
      </c>
      <c r="U565" s="45" t="s">
        <v>2751</v>
      </c>
      <c r="V565" s="46">
        <f t="shared" si="105"/>
        <v>733716</v>
      </c>
      <c r="W565" s="47" t="s">
        <v>1519</v>
      </c>
      <c r="X565" s="46" t="str">
        <f t="shared" si="106"/>
        <v>3</v>
      </c>
      <c r="Y565" s="47" t="s">
        <v>1518</v>
      </c>
      <c r="Z565" s="46" t="str">
        <f t="shared" si="107"/>
        <v>M</v>
      </c>
      <c r="AA565" s="47" t="s">
        <v>2752</v>
      </c>
      <c r="AB565" s="46" t="str">
        <f t="shared" si="108"/>
        <v>MIERCOLES</v>
      </c>
      <c r="AC565" s="47" t="s">
        <v>2753</v>
      </c>
      <c r="AD565">
        <f t="shared" si="109"/>
        <v>0</v>
      </c>
      <c r="AE565" s="47" t="s">
        <v>2754</v>
      </c>
      <c r="AH565" t="str">
        <f t="shared" si="110"/>
        <v>INSERT INTO horario_curso_materia (horario_curso_materia.FK_CUR_mat,horario_curso_materia.FK_HOR,horario_curso_materia.DIA,horario_curso_materia.tipo_turno) VALUES (  (SELECT curso_materia.ID_CUR_MAT FROM curso_materia WHERE curso_materia.CUPOF='733716' ) ,
    (SELECT horario.ID_HOR FROM horario WHERE horario.modulo='3 ' and horario.turno='M ' ),'MIERCOLES ' , '0 ' );</v>
      </c>
    </row>
    <row r="566" spans="1:34" ht="15" hidden="1" customHeight="1" x14ac:dyDescent="0.3">
      <c r="A566" s="1" t="str">
        <f t="shared" si="103"/>
        <v>4°1°</v>
      </c>
      <c r="B566" s="54" t="str">
        <f t="shared" si="101"/>
        <v>4°1°3VIMAÑANA0</v>
      </c>
      <c r="C566" s="62">
        <f>VLOOKUP(G566,[1]Hoja1!$A:$O,3,0)</f>
        <v>0</v>
      </c>
      <c r="D566" s="2" t="str">
        <f t="shared" si="102"/>
        <v>3VIM</v>
      </c>
      <c r="E566" s="62" t="s">
        <v>35</v>
      </c>
      <c r="F566" s="62" t="s">
        <v>27</v>
      </c>
      <c r="G566" s="62" t="s">
        <v>405</v>
      </c>
      <c r="H566" s="8" t="str">
        <f>VLOOKUP(G566,[1]Hoja1!$A:$O,6,0)</f>
        <v>TECNOLOGIAS ELECTRONICAS</v>
      </c>
      <c r="I566" s="4"/>
      <c r="J566" s="4"/>
      <c r="K566" s="80" t="str">
        <f t="shared" si="100"/>
        <v>VI</v>
      </c>
      <c r="L566" s="4"/>
      <c r="M566" s="86" t="str">
        <f>VLOOKUP(G566,[1]Hoja1!$A:$O,15,0)</f>
        <v>FEDERICO GAUNA</v>
      </c>
      <c r="N566" s="2" t="str">
        <f t="shared" si="104"/>
        <v>4°1°4ITELEVI</v>
      </c>
      <c r="O566" s="2"/>
      <c r="P566" s="2" t="str">
        <f>VLOOKUP(G566,[1]Hoja1!$A:$P,16,0)</f>
        <v xml:space="preserve"> </v>
      </c>
      <c r="Q566" s="2"/>
      <c r="S566">
        <f>VLOOKUP(G566,[1]Hoja1!$A:$O,5,0)</f>
        <v>1643783</v>
      </c>
      <c r="U566" s="45" t="s">
        <v>2751</v>
      </c>
      <c r="V566" s="46">
        <f t="shared" si="105"/>
        <v>1643783</v>
      </c>
      <c r="W566" s="47" t="s">
        <v>1519</v>
      </c>
      <c r="X566" s="46" t="str">
        <f t="shared" si="106"/>
        <v>3</v>
      </c>
      <c r="Y566" s="47" t="s">
        <v>1518</v>
      </c>
      <c r="Z566" s="46" t="str">
        <f t="shared" si="107"/>
        <v>M</v>
      </c>
      <c r="AA566" s="47" t="s">
        <v>2752</v>
      </c>
      <c r="AB566" s="46" t="str">
        <f t="shared" si="108"/>
        <v>VIERNES</v>
      </c>
      <c r="AC566" s="47" t="s">
        <v>2753</v>
      </c>
      <c r="AD566">
        <f t="shared" si="109"/>
        <v>0</v>
      </c>
      <c r="AE566" s="47" t="s">
        <v>2754</v>
      </c>
      <c r="AH566" t="str">
        <f t="shared" si="110"/>
        <v>INSERT INTO horario_curso_materia (horario_curso_materia.FK_CUR_mat,horario_curso_materia.FK_HOR,horario_curso_materia.DIA,horario_curso_materia.tipo_turno) VALUES (  (SELECT curso_materia.ID_CUR_MAT FROM curso_materia WHERE curso_materia.CUPOF='1643783' ) ,
    (SELECT horario.ID_HOR FROM horario WHERE horario.modulo='3 ' and horario.turno='M ' ),'VIERNES ' , '0 ' );</v>
      </c>
    </row>
    <row r="567" spans="1:34" ht="15" hidden="1" customHeight="1" x14ac:dyDescent="0.3">
      <c r="A567" s="1" t="str">
        <f t="shared" si="103"/>
        <v>4°1°</v>
      </c>
      <c r="B567" s="54" t="str">
        <f t="shared" si="101"/>
        <v>4°1°4JUMAÑANA0</v>
      </c>
      <c r="C567" s="62">
        <f>VLOOKUP(G567,[1]Hoja1!$A:$O,3,0)</f>
        <v>0</v>
      </c>
      <c r="D567" s="2" t="str">
        <f t="shared" si="102"/>
        <v>4JUM</v>
      </c>
      <c r="E567" s="4" t="s">
        <v>48</v>
      </c>
      <c r="F567" s="62" t="s">
        <v>27</v>
      </c>
      <c r="G567" s="72" t="s">
        <v>404</v>
      </c>
      <c r="H567" s="8" t="str">
        <f>VLOOKUP(G567,[1]Hoja1!$A:$O,6,0)</f>
        <v>INGLÉS</v>
      </c>
      <c r="I567" s="4"/>
      <c r="J567" s="4"/>
      <c r="K567" s="80" t="str">
        <f t="shared" si="100"/>
        <v>JU</v>
      </c>
      <c r="L567" s="4"/>
      <c r="M567" s="86" t="str">
        <f>VLOOKUP(G567,[1]Hoja1!$A:$O,15,0)</f>
        <v xml:space="preserve">LEGUIZAMON ANA </v>
      </c>
      <c r="N567" s="2" t="str">
        <f t="shared" si="104"/>
        <v>4°1°4IINGSJU</v>
      </c>
      <c r="O567" s="2"/>
      <c r="P567" s="2" t="str">
        <f>VLOOKUP(G567,[1]Hoja1!$A:$P,16,0)</f>
        <v xml:space="preserve"> </v>
      </c>
      <c r="Q567" s="2"/>
      <c r="S567">
        <f>VLOOKUP(G567,[1]Hoja1!$A:$O,5,0)</f>
        <v>733705</v>
      </c>
      <c r="U567" s="45" t="s">
        <v>2751</v>
      </c>
      <c r="V567" s="46">
        <f t="shared" si="105"/>
        <v>733705</v>
      </c>
      <c r="W567" s="47" t="s">
        <v>1519</v>
      </c>
      <c r="X567" s="46" t="str">
        <f t="shared" si="106"/>
        <v>4</v>
      </c>
      <c r="Y567" s="47" t="s">
        <v>1518</v>
      </c>
      <c r="Z567" s="46" t="str">
        <f t="shared" si="107"/>
        <v>M</v>
      </c>
      <c r="AA567" s="47" t="s">
        <v>2752</v>
      </c>
      <c r="AB567" s="46" t="str">
        <f t="shared" si="108"/>
        <v>JUEVES</v>
      </c>
      <c r="AC567" s="47" t="s">
        <v>2753</v>
      </c>
      <c r="AD567">
        <f t="shared" si="109"/>
        <v>0</v>
      </c>
      <c r="AE567" s="47" t="s">
        <v>2754</v>
      </c>
      <c r="AH567" t="str">
        <f t="shared" si="110"/>
        <v>INSERT INTO horario_curso_materia (horario_curso_materia.FK_CUR_mat,horario_curso_materia.FK_HOR,horario_curso_materia.DIA,horario_curso_materia.tipo_turno) VALUES (  (SELECT curso_materia.ID_CUR_MAT FROM curso_materia WHERE curso_materia.CUPOF='733705' ) ,
    (SELECT horario.ID_HOR FROM horario WHERE horario.modulo='4 ' and horario.turno='M ' ),'JUEVES ' , '0 ' );</v>
      </c>
    </row>
    <row r="568" spans="1:34" ht="15" hidden="1" customHeight="1" x14ac:dyDescent="0.3">
      <c r="A568" s="1" t="str">
        <f t="shared" si="103"/>
        <v>4°1°</v>
      </c>
      <c r="B568" s="54" t="str">
        <f t="shared" si="101"/>
        <v>4°1°4LUMAÑANA0</v>
      </c>
      <c r="C568" s="62">
        <f>VLOOKUP(G568,[1]Hoja1!$A:$O,3,0)</f>
        <v>0</v>
      </c>
      <c r="D568" s="2" t="str">
        <f t="shared" si="102"/>
        <v>4LUM</v>
      </c>
      <c r="E568" s="62" t="s">
        <v>31</v>
      </c>
      <c r="F568" s="62" t="s">
        <v>27</v>
      </c>
      <c r="G568" s="62" t="s">
        <v>398</v>
      </c>
      <c r="H568" s="8" t="str">
        <f>VLOOKUP(G568,[1]Hoja1!$A:$O,6,0)</f>
        <v>LITERATURA</v>
      </c>
      <c r="I568" s="4"/>
      <c r="J568" s="4"/>
      <c r="K568" s="80" t="str">
        <f t="shared" si="100"/>
        <v>LU</v>
      </c>
      <c r="L568" s="4"/>
      <c r="M568" s="86" t="str">
        <f>VLOOKUP(G568,[1]Hoja1!$A:$O,15,0)</f>
        <v>CARESTIA, NOEMI</v>
      </c>
      <c r="N568" s="2" t="str">
        <f t="shared" si="104"/>
        <v>4°1°4ILITSLU</v>
      </c>
      <c r="O568" s="2"/>
      <c r="P568" s="2" t="str">
        <f>VLOOKUP(G568,[1]Hoja1!$A:$P,16,0)</f>
        <v xml:space="preserve"> </v>
      </c>
      <c r="Q568" s="2"/>
      <c r="S568">
        <f>VLOOKUP(G568,[1]Hoja1!$A:$O,5,0)</f>
        <v>733437</v>
      </c>
      <c r="U568" s="45" t="s">
        <v>2751</v>
      </c>
      <c r="V568" s="46">
        <f t="shared" si="105"/>
        <v>733437</v>
      </c>
      <c r="W568" s="47" t="s">
        <v>1519</v>
      </c>
      <c r="X568" s="46" t="str">
        <f t="shared" si="106"/>
        <v>4</v>
      </c>
      <c r="Y568" s="47" t="s">
        <v>1518</v>
      </c>
      <c r="Z568" s="46" t="str">
        <f t="shared" si="107"/>
        <v>M</v>
      </c>
      <c r="AA568" s="47" t="s">
        <v>2752</v>
      </c>
      <c r="AB568" s="46" t="str">
        <f t="shared" si="108"/>
        <v>LUNES</v>
      </c>
      <c r="AC568" s="47" t="s">
        <v>2753</v>
      </c>
      <c r="AD568">
        <f t="shared" si="109"/>
        <v>0</v>
      </c>
      <c r="AE568" s="47" t="s">
        <v>2754</v>
      </c>
      <c r="AH568" t="str">
        <f t="shared" si="110"/>
        <v>INSERT INTO horario_curso_materia (horario_curso_materia.FK_CUR_mat,horario_curso_materia.FK_HOR,horario_curso_materia.DIA,horario_curso_materia.tipo_turno) VALUES (  (SELECT curso_materia.ID_CUR_MAT FROM curso_materia WHERE curso_materia.CUPOF='733437' ) ,
    (SELECT horario.ID_HOR FROM horario WHERE horario.modulo='4 ' and horario.turno='M ' ),'LUNES ' , '0 ' );</v>
      </c>
    </row>
    <row r="569" spans="1:34" ht="15" hidden="1" customHeight="1" x14ac:dyDescent="0.3">
      <c r="A569" s="1" t="str">
        <f t="shared" si="103"/>
        <v>4°1°</v>
      </c>
      <c r="B569" s="54" t="str">
        <f t="shared" si="101"/>
        <v>4°1°4LUVESPERTINO411</v>
      </c>
      <c r="C569" s="62">
        <f>VLOOKUP(G569,[1]Hoja1!$A:$O,3,0)</f>
        <v>411</v>
      </c>
      <c r="D569" s="2" t="str">
        <f t="shared" si="102"/>
        <v>4LUV30</v>
      </c>
      <c r="E569" s="62" t="s">
        <v>31</v>
      </c>
      <c r="F569" s="62" t="s">
        <v>125</v>
      </c>
      <c r="G569" s="62" t="s">
        <v>134</v>
      </c>
      <c r="H569" s="8" t="str">
        <f>VLOOKUP(G569,[1]Hoja1!$A:$O,6,0)</f>
        <v xml:space="preserve">LAB DE SIST OPERATIVOS   </v>
      </c>
      <c r="I569" s="4">
        <v>30</v>
      </c>
      <c r="J569" s="4"/>
      <c r="K569" s="81" t="str">
        <f t="shared" si="100"/>
        <v>LU</v>
      </c>
      <c r="L569" s="4" t="s">
        <v>512</v>
      </c>
      <c r="M569" s="86" t="str">
        <f>VLOOKUP(G569,[1]Hoja1!$A:$O,15,0)</f>
        <v xml:space="preserve">AGUIRRE ISABEL  </v>
      </c>
      <c r="N569" s="2" t="str">
        <f t="shared" si="104"/>
        <v>4°1°4114IFTLS4LU</v>
      </c>
      <c r="O569" s="2" t="s">
        <v>1499</v>
      </c>
      <c r="P569" s="2" t="str">
        <f>VLOOKUP(G569,[1]Hoja1!$A:$P,16,0)</f>
        <v xml:space="preserve"> </v>
      </c>
      <c r="Q569" s="2"/>
      <c r="S569">
        <f>VLOOKUP(G569,[1]Hoja1!$A:$O,5,0)</f>
        <v>2680045</v>
      </c>
      <c r="U569" s="45" t="s">
        <v>2751</v>
      </c>
      <c r="V569" s="46">
        <f t="shared" si="105"/>
        <v>2680045</v>
      </c>
      <c r="W569" s="47" t="s">
        <v>1519</v>
      </c>
      <c r="X569" s="46" t="str">
        <f t="shared" si="106"/>
        <v>4</v>
      </c>
      <c r="Y569" s="47" t="s">
        <v>1518</v>
      </c>
      <c r="Z569" s="46" t="str">
        <f t="shared" si="107"/>
        <v>V</v>
      </c>
      <c r="AA569" s="47" t="s">
        <v>2752</v>
      </c>
      <c r="AB569" s="46" t="str">
        <f t="shared" si="108"/>
        <v>LUNES</v>
      </c>
      <c r="AC569" s="47" t="s">
        <v>2753</v>
      </c>
      <c r="AD569" t="str">
        <f t="shared" si="109"/>
        <v>CONTRATURNO</v>
      </c>
      <c r="AE569" s="47" t="s">
        <v>2754</v>
      </c>
      <c r="AH569" t="str">
        <f t="shared" si="110"/>
        <v>INSERT INTO horario_curso_materia (horario_curso_materia.FK_CUR_mat,horario_curso_materia.FK_HOR,horario_curso_materia.DIA,horario_curso_materia.tipo_turno) VALUES (  (SELECT curso_materia.ID_CUR_MAT FROM curso_materia WHERE curso_materia.CUPOF='2680045' ) ,
    (SELECT horario.ID_HOR FROM horario WHERE horario.modulo='4 ' and horario.turno='V ' ),'LUNES ' , 'CONTRATURNO ' );</v>
      </c>
    </row>
    <row r="570" spans="1:34" ht="15" hidden="1" customHeight="1" x14ac:dyDescent="0.3">
      <c r="A570" s="1" t="str">
        <f t="shared" si="103"/>
        <v>4°1°</v>
      </c>
      <c r="B570" s="54" t="str">
        <f t="shared" si="101"/>
        <v>4°1°4LUVESPERTINO412</v>
      </c>
      <c r="C570" s="62">
        <f>VLOOKUP(G570,[1]Hoja1!$A:$O,3,0)</f>
        <v>412</v>
      </c>
      <c r="D570" s="2" t="str">
        <f t="shared" si="102"/>
        <v>4LUV40</v>
      </c>
      <c r="E570" s="62" t="s">
        <v>31</v>
      </c>
      <c r="F570" s="62" t="s">
        <v>125</v>
      </c>
      <c r="G570" s="62" t="s">
        <v>133</v>
      </c>
      <c r="H570" s="8" t="str">
        <f>VLOOKUP(G570,[1]Hoja1!$A:$O,6,0)</f>
        <v xml:space="preserve">LAB DE SIST OPERATIVOS   </v>
      </c>
      <c r="I570" s="4">
        <v>40</v>
      </c>
      <c r="J570" s="4"/>
      <c r="K570" s="80" t="str">
        <f t="shared" si="100"/>
        <v>LU</v>
      </c>
      <c r="L570" s="4" t="s">
        <v>512</v>
      </c>
      <c r="M570" s="86" t="str">
        <f>VLOOKUP(G570,[1]Hoja1!$A:$O,15,0)</f>
        <v xml:space="preserve">BARCENILLA, JAVIER </v>
      </c>
      <c r="N570" s="2" t="str">
        <f t="shared" si="104"/>
        <v>4°1°4124IFTLS4LU</v>
      </c>
      <c r="O570" s="2" t="s">
        <v>1374</v>
      </c>
      <c r="P570" s="2" t="str">
        <f>VLOOKUP(G570,[1]Hoja1!$A:$P,16,0)</f>
        <v xml:space="preserve"> </v>
      </c>
      <c r="Q570" s="2"/>
      <c r="S570">
        <f>VLOOKUP(G570,[1]Hoja1!$A:$O,5,0)</f>
        <v>2680054</v>
      </c>
      <c r="U570" s="45" t="s">
        <v>2751</v>
      </c>
      <c r="V570" s="46">
        <f t="shared" si="105"/>
        <v>2680054</v>
      </c>
      <c r="W570" s="47" t="s">
        <v>1519</v>
      </c>
      <c r="X570" s="46" t="str">
        <f t="shared" si="106"/>
        <v>4</v>
      </c>
      <c r="Y570" s="47" t="s">
        <v>1518</v>
      </c>
      <c r="Z570" s="46" t="str">
        <f t="shared" si="107"/>
        <v>V</v>
      </c>
      <c r="AA570" s="47" t="s">
        <v>2752</v>
      </c>
      <c r="AB570" s="46" t="str">
        <f t="shared" si="108"/>
        <v>LUNES</v>
      </c>
      <c r="AC570" s="47" t="s">
        <v>2753</v>
      </c>
      <c r="AD570" t="str">
        <f t="shared" si="109"/>
        <v>CONTRATURNO</v>
      </c>
      <c r="AE570" s="47" t="s">
        <v>2754</v>
      </c>
      <c r="AH570" t="str">
        <f t="shared" si="110"/>
        <v>INSERT INTO horario_curso_materia (horario_curso_materia.FK_CUR_mat,horario_curso_materia.FK_HOR,horario_curso_materia.DIA,horario_curso_materia.tipo_turno) VALUES (  (SELECT curso_materia.ID_CUR_MAT FROM curso_materia WHERE curso_materia.CUPOF='2680054' ) ,
    (SELECT horario.ID_HOR FROM horario WHERE horario.modulo='4 ' and horario.turno='V ' ),'LUNES ' , 'CONTRATURNO ' );</v>
      </c>
    </row>
    <row r="571" spans="1:34" ht="15" hidden="1" customHeight="1" x14ac:dyDescent="0.3">
      <c r="A571" s="1" t="str">
        <f t="shared" si="103"/>
        <v>4°1°</v>
      </c>
      <c r="B571" s="54" t="str">
        <f t="shared" si="101"/>
        <v>4°1°4MAMAÑANA0</v>
      </c>
      <c r="C571" s="62">
        <f>VLOOKUP(G571,[1]Hoja1!$A:$O,3,0)</f>
        <v>0</v>
      </c>
      <c r="D571" s="2" t="str">
        <f t="shared" si="102"/>
        <v>4MAM</v>
      </c>
      <c r="E571" s="62" t="s">
        <v>16</v>
      </c>
      <c r="F571" s="62" t="s">
        <v>27</v>
      </c>
      <c r="G571" s="62" t="s">
        <v>400</v>
      </c>
      <c r="H571" s="8" t="str">
        <f>VLOOKUP(G571,[1]Hoja1!$A:$O,6,0)</f>
        <v>GEOGRAFIA</v>
      </c>
      <c r="I571" s="4"/>
      <c r="J571" s="4"/>
      <c r="K571" s="80" t="str">
        <f t="shared" si="100"/>
        <v>MA</v>
      </c>
      <c r="L571" s="4"/>
      <c r="M571" s="86" t="str">
        <f>VLOOKUP(G571,[1]Hoja1!$A:$O,15,0)</f>
        <v>JUAREZ VANESA</v>
      </c>
      <c r="N571" s="2" t="str">
        <f t="shared" si="104"/>
        <v>4°1°4IGEOSMA</v>
      </c>
      <c r="O571" s="2"/>
      <c r="P571" s="2" t="str">
        <f>VLOOKUP(G571,[1]Hoja1!$A:$P,16,0)</f>
        <v xml:space="preserve"> </v>
      </c>
      <c r="Q571" s="2"/>
      <c r="S571">
        <f>VLOOKUP(G571,[1]Hoja1!$A:$O,5,0)</f>
        <v>1517072</v>
      </c>
      <c r="U571" s="45" t="s">
        <v>2751</v>
      </c>
      <c r="V571" s="46">
        <f t="shared" si="105"/>
        <v>1517072</v>
      </c>
      <c r="W571" s="47" t="s">
        <v>1519</v>
      </c>
      <c r="X571" s="46" t="str">
        <f t="shared" si="106"/>
        <v>4</v>
      </c>
      <c r="Y571" s="47" t="s">
        <v>1518</v>
      </c>
      <c r="Z571" s="46" t="str">
        <f t="shared" si="107"/>
        <v>M</v>
      </c>
      <c r="AA571" s="47" t="s">
        <v>2752</v>
      </c>
      <c r="AB571" s="46" t="str">
        <f t="shared" si="108"/>
        <v>MARTES</v>
      </c>
      <c r="AC571" s="47" t="s">
        <v>2753</v>
      </c>
      <c r="AD571">
        <f t="shared" si="109"/>
        <v>0</v>
      </c>
      <c r="AE571" s="47" t="s">
        <v>2754</v>
      </c>
      <c r="AH571" t="str">
        <f t="shared" si="110"/>
        <v>INSERT INTO horario_curso_materia (horario_curso_materia.FK_CUR_mat,horario_curso_materia.FK_HOR,horario_curso_materia.DIA,horario_curso_materia.tipo_turno) VALUES (  (SELECT curso_materia.ID_CUR_MAT FROM curso_materia WHERE curso_materia.CUPOF='1517072' ) ,
    (SELECT horario.ID_HOR FROM horario WHERE horario.modulo='4 ' and horario.turno='M ' ),'MARTES ' , '0 ' );</v>
      </c>
    </row>
    <row r="572" spans="1:34" ht="15" hidden="1" customHeight="1" x14ac:dyDescent="0.3">
      <c r="A572" s="1" t="str">
        <f t="shared" si="103"/>
        <v>4°1°</v>
      </c>
      <c r="B572" s="54" t="str">
        <f t="shared" si="101"/>
        <v>4°1°4VIvESPERTINO412</v>
      </c>
      <c r="C572" s="62">
        <f>VLOOKUP(G572,[1]Hoja1!$A:$O,3,0)</f>
        <v>412</v>
      </c>
      <c r="D572" s="2" t="str">
        <f t="shared" si="102"/>
        <v>4VIvHARDWARE</v>
      </c>
      <c r="E572" s="62" t="s">
        <v>36</v>
      </c>
      <c r="F572" s="62" t="s">
        <v>2780</v>
      </c>
      <c r="G572" s="62" t="s">
        <v>135</v>
      </c>
      <c r="H572" s="8" t="str">
        <f>VLOOKUP(G572,[1]Hoja1!$A:$O,6,0)</f>
        <v>LAB DE HARDWARE</v>
      </c>
      <c r="I572" s="4" t="s">
        <v>38</v>
      </c>
      <c r="J572" s="4"/>
      <c r="K572" s="80" t="str">
        <f t="shared" si="100"/>
        <v>VI</v>
      </c>
      <c r="L572" s="4" t="s">
        <v>512</v>
      </c>
      <c r="M572" s="86" t="str">
        <f>VLOOKUP(G572,[1]Hoja1!$A:$O,15,0)</f>
        <v>GAUNA FEDERICO</v>
      </c>
      <c r="N572" s="2" t="str">
        <f t="shared" si="104"/>
        <v>4°1°4124IFTLH4VI</v>
      </c>
      <c r="O572" s="2"/>
      <c r="P572" s="2" t="str">
        <f>VLOOKUP(G572,[1]Hoja1!$A:$P,16,0)</f>
        <v xml:space="preserve"> </v>
      </c>
      <c r="Q572" s="2"/>
      <c r="S572">
        <f>VLOOKUP(G572,[1]Hoja1!$A:$O,5,0)</f>
        <v>2680053</v>
      </c>
      <c r="U572" s="45" t="s">
        <v>2751</v>
      </c>
      <c r="V572" s="46">
        <f t="shared" si="105"/>
        <v>2680053</v>
      </c>
      <c r="W572" s="47" t="s">
        <v>1519</v>
      </c>
      <c r="X572" s="46" t="str">
        <f t="shared" si="106"/>
        <v>4</v>
      </c>
      <c r="Y572" s="47" t="s">
        <v>1518</v>
      </c>
      <c r="Z572" s="46" t="str">
        <f t="shared" si="107"/>
        <v>v</v>
      </c>
      <c r="AA572" s="47" t="s">
        <v>2752</v>
      </c>
      <c r="AB572" s="46" t="str">
        <f t="shared" si="108"/>
        <v>VIERNES</v>
      </c>
      <c r="AC572" s="47" t="s">
        <v>2753</v>
      </c>
      <c r="AD572" t="str">
        <f t="shared" si="109"/>
        <v>CONTRATURNO</v>
      </c>
      <c r="AE572" s="47" t="s">
        <v>2754</v>
      </c>
      <c r="AH572" t="str">
        <f t="shared" si="110"/>
        <v>INSERT INTO horario_curso_materia (horario_curso_materia.FK_CUR_mat,horario_curso_materia.FK_HOR,horario_curso_materia.DIA,horario_curso_materia.tipo_turno) VALUES (  (SELECT curso_materia.ID_CUR_MAT FROM curso_materia WHERE curso_materia.CUPOF='2680053' ) ,
    (SELECT horario.ID_HOR FROM horario WHERE horario.modulo='4 ' and horario.turno='v ' ),'VIERNES ' , 'CONTRATURNO ' );</v>
      </c>
    </row>
    <row r="573" spans="1:34" ht="15" hidden="1" customHeight="1" x14ac:dyDescent="0.3">
      <c r="A573" s="1" t="str">
        <f t="shared" si="103"/>
        <v>4°1°</v>
      </c>
      <c r="B573" s="54" t="str">
        <f t="shared" si="101"/>
        <v>4°1°4maVESPERTINO411</v>
      </c>
      <c r="C573" s="62">
        <f>VLOOKUP(G573,[1]Hoja1!$A:$O,3,0)</f>
        <v>411</v>
      </c>
      <c r="D573" s="2" t="str">
        <f t="shared" si="102"/>
        <v>4maVHARDWARE</v>
      </c>
      <c r="E573" s="62" t="s">
        <v>1335</v>
      </c>
      <c r="F573" s="62" t="s">
        <v>125</v>
      </c>
      <c r="G573" s="62" t="s">
        <v>138</v>
      </c>
      <c r="H573" s="8" t="str">
        <f>VLOOKUP(G573,[1]Hoja1!$A:$O,6,0)</f>
        <v>LAB DE HARDWARE</v>
      </c>
      <c r="I573" s="4" t="s">
        <v>38</v>
      </c>
      <c r="J573" s="4"/>
      <c r="K573" s="80" t="str">
        <f t="shared" si="100"/>
        <v>ma</v>
      </c>
      <c r="L573" s="4" t="s">
        <v>512</v>
      </c>
      <c r="M573" s="86" t="str">
        <f>VLOOKUP(G573,[1]Hoja1!$A:$O,15,0)</f>
        <v>HERRERA STELLA 27- 29.873.235-7</v>
      </c>
      <c r="N573" s="2" t="str">
        <f t="shared" si="104"/>
        <v>4°1°4114IFTLH4ma</v>
      </c>
      <c r="O573" s="2"/>
      <c r="P573" s="2" t="str">
        <f>VLOOKUP(G573,[1]Hoja1!$A:$P,16,0)</f>
        <v xml:space="preserve"> </v>
      </c>
      <c r="Q573" s="2"/>
      <c r="S573">
        <f>VLOOKUP(G573,[1]Hoja1!$A:$O,5,0)</f>
        <v>2680043</v>
      </c>
      <c r="U573" s="45" t="s">
        <v>2751</v>
      </c>
      <c r="V573" s="46">
        <f t="shared" si="105"/>
        <v>2680043</v>
      </c>
      <c r="W573" s="47" t="s">
        <v>1519</v>
      </c>
      <c r="X573" s="46" t="str">
        <f t="shared" si="106"/>
        <v>4</v>
      </c>
      <c r="Y573" s="47" t="s">
        <v>1518</v>
      </c>
      <c r="Z573" s="46" t="str">
        <f t="shared" si="107"/>
        <v>V</v>
      </c>
      <c r="AA573" s="47" t="s">
        <v>2752</v>
      </c>
      <c r="AB573" s="46" t="str">
        <f t="shared" si="108"/>
        <v>MARTES</v>
      </c>
      <c r="AC573" s="47" t="s">
        <v>2753</v>
      </c>
      <c r="AD573" t="str">
        <f t="shared" si="109"/>
        <v>CONTRATURNO</v>
      </c>
      <c r="AE573" s="47" t="s">
        <v>2754</v>
      </c>
      <c r="AH573" t="str">
        <f t="shared" si="110"/>
        <v>INSERT INTO horario_curso_materia (horario_curso_materia.FK_CUR_mat,horario_curso_materia.FK_HOR,horario_curso_materia.DIA,horario_curso_materia.tipo_turno) VALUES (  (SELECT curso_materia.ID_CUR_MAT FROM curso_materia WHERE curso_materia.CUPOF='2680043' ) ,
    (SELECT horario.ID_HOR FROM horario WHERE horario.modulo='4 ' and horario.turno='V ' ),'MARTES ' , 'CONTRATURNO ' );</v>
      </c>
    </row>
    <row r="574" spans="1:34" ht="15" hidden="1" customHeight="1" x14ac:dyDescent="0.3">
      <c r="A574" s="1" t="str">
        <f t="shared" si="103"/>
        <v>4°1°</v>
      </c>
      <c r="B574" s="54" t="str">
        <f t="shared" si="101"/>
        <v>4°1°4MIMAÑANA0</v>
      </c>
      <c r="C574" s="62">
        <f>VLOOKUP(G574,[1]Hoja1!$A:$O,3,0)</f>
        <v>0</v>
      </c>
      <c r="D574" s="2" t="str">
        <f t="shared" si="102"/>
        <v>4MIM</v>
      </c>
      <c r="E574" s="62" t="s">
        <v>52</v>
      </c>
      <c r="F574" s="62" t="s">
        <v>27</v>
      </c>
      <c r="G574" s="62" t="s">
        <v>402</v>
      </c>
      <c r="H574" s="8" t="str">
        <f>VLOOKUP(G574,[1]Hoja1!$A:$O,6,0)</f>
        <v>QUIMICA</v>
      </c>
      <c r="I574" s="4"/>
      <c r="J574" s="4"/>
      <c r="K574" s="80" t="str">
        <f t="shared" si="100"/>
        <v>MI</v>
      </c>
      <c r="L574" s="4"/>
      <c r="M574" s="86" t="str">
        <f>VLOOKUP(G574,[1]Hoja1!$A:$O,15,0)</f>
        <v>RODRIGUEZ MERCEDES NATALIA</v>
      </c>
      <c r="N574" s="2" t="str">
        <f t="shared" si="104"/>
        <v>4°1°4IQUISMI</v>
      </c>
      <c r="O574" s="2"/>
      <c r="P574" s="2" t="str">
        <f>VLOOKUP(G574,[1]Hoja1!$A:$P,16,0)</f>
        <v xml:space="preserve"> </v>
      </c>
      <c r="Q574" s="2"/>
      <c r="S574">
        <f>VLOOKUP(G574,[1]Hoja1!$A:$O,5,0)</f>
        <v>733716</v>
      </c>
      <c r="U574" s="45" t="s">
        <v>2751</v>
      </c>
      <c r="V574" s="46">
        <f t="shared" si="105"/>
        <v>733716</v>
      </c>
      <c r="W574" s="47" t="s">
        <v>1519</v>
      </c>
      <c r="X574" s="46" t="str">
        <f t="shared" si="106"/>
        <v>4</v>
      </c>
      <c r="Y574" s="47" t="s">
        <v>1518</v>
      </c>
      <c r="Z574" s="46" t="str">
        <f t="shared" si="107"/>
        <v>M</v>
      </c>
      <c r="AA574" s="47" t="s">
        <v>2752</v>
      </c>
      <c r="AB574" s="46" t="str">
        <f t="shared" si="108"/>
        <v>MIERCOLES</v>
      </c>
      <c r="AC574" s="47" t="s">
        <v>2753</v>
      </c>
      <c r="AD574">
        <f t="shared" si="109"/>
        <v>0</v>
      </c>
      <c r="AE574" s="47" t="s">
        <v>2754</v>
      </c>
      <c r="AH574" t="str">
        <f t="shared" si="110"/>
        <v>INSERT INTO horario_curso_materia (horario_curso_materia.FK_CUR_mat,horario_curso_materia.FK_HOR,horario_curso_materia.DIA,horario_curso_materia.tipo_turno) VALUES (  (SELECT curso_materia.ID_CUR_MAT FROM curso_materia WHERE curso_materia.CUPOF='733716' ) ,
    (SELECT horario.ID_HOR FROM horario WHERE horario.modulo='4 ' and horario.turno='M ' ),'MIERCOLES ' , '0 ' );</v>
      </c>
    </row>
    <row r="575" spans="1:34" ht="15" hidden="1" customHeight="1" x14ac:dyDescent="0.3">
      <c r="A575" s="1" t="str">
        <f t="shared" si="103"/>
        <v>4°1°</v>
      </c>
      <c r="B575" s="54" t="str">
        <f t="shared" si="101"/>
        <v>4°1°4VIMAÑANA0</v>
      </c>
      <c r="C575" s="62">
        <f>VLOOKUP(G575,[1]Hoja1!$A:$O,3,0)</f>
        <v>0</v>
      </c>
      <c r="D575" s="2" t="str">
        <f t="shared" si="102"/>
        <v>4VIM</v>
      </c>
      <c r="E575" s="62" t="s">
        <v>36</v>
      </c>
      <c r="F575" s="62" t="s">
        <v>27</v>
      </c>
      <c r="G575" s="62" t="s">
        <v>405</v>
      </c>
      <c r="H575" s="8" t="str">
        <f>VLOOKUP(G575,[1]Hoja1!$A:$O,6,0)</f>
        <v>TECNOLOGIAS ELECTRONICAS</v>
      </c>
      <c r="I575" s="4"/>
      <c r="J575" s="4"/>
      <c r="K575" s="80" t="str">
        <f t="shared" ref="K575:K634" si="111">RIGHT(E575,2)</f>
        <v>VI</v>
      </c>
      <c r="L575" s="4"/>
      <c r="M575" s="86" t="str">
        <f>VLOOKUP(G575,[1]Hoja1!$A:$O,15,0)</f>
        <v>FEDERICO GAUNA</v>
      </c>
      <c r="N575" s="2" t="str">
        <f t="shared" si="104"/>
        <v>4°1°4ITELEVI</v>
      </c>
      <c r="O575" s="2"/>
      <c r="P575" s="2" t="str">
        <f>VLOOKUP(G575,[1]Hoja1!$A:$P,16,0)</f>
        <v xml:space="preserve"> </v>
      </c>
      <c r="Q575" s="2"/>
      <c r="S575">
        <f>VLOOKUP(G575,[1]Hoja1!$A:$O,5,0)</f>
        <v>1643783</v>
      </c>
      <c r="U575" s="45" t="s">
        <v>2751</v>
      </c>
      <c r="V575" s="46">
        <f t="shared" si="105"/>
        <v>1643783</v>
      </c>
      <c r="W575" s="47" t="s">
        <v>1519</v>
      </c>
      <c r="X575" s="46" t="str">
        <f t="shared" si="106"/>
        <v>4</v>
      </c>
      <c r="Y575" s="47" t="s">
        <v>1518</v>
      </c>
      <c r="Z575" s="46" t="str">
        <f t="shared" si="107"/>
        <v>M</v>
      </c>
      <c r="AA575" s="47" t="s">
        <v>2752</v>
      </c>
      <c r="AB575" s="46" t="str">
        <f t="shared" si="108"/>
        <v>VIERNES</v>
      </c>
      <c r="AC575" s="47" t="s">
        <v>2753</v>
      </c>
      <c r="AD575">
        <f t="shared" si="109"/>
        <v>0</v>
      </c>
      <c r="AE575" s="47" t="s">
        <v>2754</v>
      </c>
      <c r="AH575" t="str">
        <f t="shared" si="110"/>
        <v>INSERT INTO horario_curso_materia (horario_curso_materia.FK_CUR_mat,horario_curso_materia.FK_HOR,horario_curso_materia.DIA,horario_curso_materia.tipo_turno) VALUES (  (SELECT curso_materia.ID_CUR_MAT FROM curso_materia WHERE curso_materia.CUPOF='1643783' ) ,
    (SELECT horario.ID_HOR FROM horario WHERE horario.modulo='4 ' and horario.turno='M ' ),'VIERNES ' , '0 ' );</v>
      </c>
    </row>
    <row r="576" spans="1:34" ht="15" hidden="1" customHeight="1" x14ac:dyDescent="0.3">
      <c r="A576" s="1" t="str">
        <f t="shared" si="103"/>
        <v>4°1°</v>
      </c>
      <c r="B576" s="54" t="str">
        <f t="shared" si="101"/>
        <v>4°1°5MAMAÑANA0</v>
      </c>
      <c r="C576" s="62">
        <f>VLOOKUP(G576,[1]Hoja1!$A:$O,3,0)</f>
        <v>0</v>
      </c>
      <c r="D576" s="2" t="str">
        <f t="shared" si="102"/>
        <v>5MAM</v>
      </c>
      <c r="E576" s="62" t="s">
        <v>103</v>
      </c>
      <c r="F576" s="62" t="s">
        <v>27</v>
      </c>
      <c r="G576" s="62" t="s">
        <v>397</v>
      </c>
      <c r="H576" s="8" t="str">
        <f>VLOOKUP(G576,[1]Hoja1!$A:$O,6,0)</f>
        <v>FISICA</v>
      </c>
      <c r="I576" s="4"/>
      <c r="J576" s="4"/>
      <c r="K576" s="80" t="str">
        <f t="shared" si="111"/>
        <v>MA</v>
      </c>
      <c r="L576" s="4"/>
      <c r="M576" s="86" t="str">
        <f>VLOOKUP(G576,[1]Hoja1!$A:$O,15,0)</f>
        <v xml:space="preserve">ESPINDOLA SERGIO                          </v>
      </c>
      <c r="N576" s="2" t="str">
        <f t="shared" si="104"/>
        <v>4°1°4IFISMA</v>
      </c>
      <c r="O576" s="2"/>
      <c r="P576" s="2" t="str">
        <f>VLOOKUP(G576,[1]Hoja1!$A:$P,16,0)</f>
        <v xml:space="preserve"> </v>
      </c>
      <c r="Q576" s="2"/>
      <c r="S576">
        <f>VLOOKUP(G576,[1]Hoja1!$A:$O,5,0)</f>
        <v>733330</v>
      </c>
      <c r="U576" s="45" t="s">
        <v>2751</v>
      </c>
      <c r="V576" s="46">
        <f t="shared" si="105"/>
        <v>733330</v>
      </c>
      <c r="W576" s="47" t="s">
        <v>1519</v>
      </c>
      <c r="X576" s="46" t="str">
        <f t="shared" si="106"/>
        <v>5</v>
      </c>
      <c r="Y576" s="47" t="s">
        <v>1518</v>
      </c>
      <c r="Z576" s="46" t="str">
        <f t="shared" si="107"/>
        <v>M</v>
      </c>
      <c r="AA576" s="47" t="s">
        <v>2752</v>
      </c>
      <c r="AB576" s="46" t="str">
        <f t="shared" si="108"/>
        <v>MARTES</v>
      </c>
      <c r="AC576" s="47" t="s">
        <v>2753</v>
      </c>
      <c r="AD576">
        <f t="shared" si="109"/>
        <v>0</v>
      </c>
      <c r="AE576" s="47" t="s">
        <v>2754</v>
      </c>
      <c r="AH576" t="str">
        <f t="shared" si="110"/>
        <v>INSERT INTO horario_curso_materia (horario_curso_materia.FK_CUR_mat,horario_curso_materia.FK_HOR,horario_curso_materia.DIA,horario_curso_materia.tipo_turno) VALUES (  (SELECT curso_materia.ID_CUR_MAT FROM curso_materia WHERE curso_materia.CUPOF='733330' ) ,
    (SELECT horario.ID_HOR FROM horario WHERE horario.modulo='5 ' and horario.turno='M ' ),'MARTES ' , '0 ' );</v>
      </c>
    </row>
    <row r="577" spans="1:34" ht="15" hidden="1" customHeight="1" x14ac:dyDescent="0.3">
      <c r="A577" s="1" t="str">
        <f t="shared" si="103"/>
        <v>4°2°</v>
      </c>
      <c r="B577" s="54" t="str">
        <f t="shared" si="101"/>
        <v>4°2°1MAMAÑANA421</v>
      </c>
      <c r="C577" s="62">
        <f>VLOOKUP(G577,[1]Hoja1!$A:$O,3,0)</f>
        <v>421</v>
      </c>
      <c r="D577" s="2" t="str">
        <f t="shared" si="102"/>
        <v>1MAM52</v>
      </c>
      <c r="E577" s="62" t="s">
        <v>17</v>
      </c>
      <c r="F577" s="62" t="s">
        <v>27</v>
      </c>
      <c r="G577" s="62" t="s">
        <v>146</v>
      </c>
      <c r="H577" s="8" t="str">
        <f>VLOOKUP(G577,[1]Hoja1!$A:$O,6,0)</f>
        <v xml:space="preserve">LAB DE SIST OPERATIVOS   </v>
      </c>
      <c r="I577" s="4">
        <v>52</v>
      </c>
      <c r="J577" s="4"/>
      <c r="K577" s="80" t="str">
        <f t="shared" si="111"/>
        <v>MA</v>
      </c>
      <c r="L577" s="4" t="s">
        <v>512</v>
      </c>
      <c r="M577" s="86" t="str">
        <f>VLOOKUP(G577,[1]Hoja1!$A:$O,15,0)</f>
        <v xml:space="preserve">GOMEZ ANALIA </v>
      </c>
      <c r="N577" s="2" t="str">
        <f t="shared" si="104"/>
        <v>4°2°4214IFTLS4MA</v>
      </c>
      <c r="O577" s="2"/>
      <c r="P577" s="2" t="str">
        <f>VLOOKUP(G577,[1]Hoja1!$A:$P,16,0)</f>
        <v xml:space="preserve"> </v>
      </c>
      <c r="Q577" s="2"/>
      <c r="S577">
        <f>VLOOKUP(G577,[1]Hoja1!$A:$O,5,0)</f>
        <v>2680162</v>
      </c>
      <c r="U577" s="45" t="s">
        <v>2751</v>
      </c>
      <c r="V577" s="46">
        <f t="shared" si="105"/>
        <v>2680162</v>
      </c>
      <c r="W577" s="47" t="s">
        <v>1519</v>
      </c>
      <c r="X577" s="46" t="str">
        <f t="shared" si="106"/>
        <v>1</v>
      </c>
      <c r="Y577" s="47" t="s">
        <v>1518</v>
      </c>
      <c r="Z577" s="46" t="str">
        <f t="shared" si="107"/>
        <v>M</v>
      </c>
      <c r="AA577" s="47" t="s">
        <v>2752</v>
      </c>
      <c r="AB577" s="46" t="str">
        <f t="shared" si="108"/>
        <v>MARTES</v>
      </c>
      <c r="AC577" s="47" t="s">
        <v>2753</v>
      </c>
      <c r="AD577" t="str">
        <f t="shared" si="109"/>
        <v>CONTRATURNO</v>
      </c>
      <c r="AE577" s="47" t="s">
        <v>2754</v>
      </c>
      <c r="AH577" t="str">
        <f t="shared" si="110"/>
        <v>INSERT INTO horario_curso_materia (horario_curso_materia.FK_CUR_mat,horario_curso_materia.FK_HOR,horario_curso_materia.DIA,horario_curso_materia.tipo_turno) VALUES (  (SELECT curso_materia.ID_CUR_MAT FROM curso_materia WHERE curso_materia.CUPOF='2680162' ) ,
    (SELECT horario.ID_HOR FROM horario WHERE horario.modulo='1 ' and horario.turno='M ' ),'MARTES ' , 'CONTRATURNO ' );</v>
      </c>
    </row>
    <row r="578" spans="1:34" ht="15" hidden="1" customHeight="1" x14ac:dyDescent="0.3">
      <c r="A578" s="1" t="str">
        <f t="shared" si="103"/>
        <v>4°2°</v>
      </c>
      <c r="B578" s="54" t="str">
        <f t="shared" si="101"/>
        <v>4°2°1JUMAÑANA422</v>
      </c>
      <c r="C578" s="62">
        <f>VLOOKUP(G578,[1]Hoja1!$A:$O,3,0)</f>
        <v>422</v>
      </c>
      <c r="D578" s="2" t="str">
        <f t="shared" si="102"/>
        <v>1JUM41</v>
      </c>
      <c r="E578" s="62" t="s">
        <v>43</v>
      </c>
      <c r="F578" s="62" t="s">
        <v>27</v>
      </c>
      <c r="G578" s="62" t="s">
        <v>147</v>
      </c>
      <c r="H578" s="8" t="str">
        <f>VLOOKUP(G578,[1]Hoja1!$A:$O,6,0)</f>
        <v>LAB DE APLICACIONES</v>
      </c>
      <c r="I578" s="4">
        <v>41</v>
      </c>
      <c r="J578" s="4"/>
      <c r="K578" s="80" t="str">
        <f t="shared" si="111"/>
        <v>JU</v>
      </c>
      <c r="L578" s="4" t="s">
        <v>512</v>
      </c>
      <c r="M578" s="86" t="str">
        <f>VLOOKUP(G578,[1]Hoja1!$A:$O,15,0)</f>
        <v xml:space="preserve">HERRERA STELLA      </v>
      </c>
      <c r="N578" s="2" t="str">
        <f t="shared" si="104"/>
        <v>4°2°4224IFTLA4JU</v>
      </c>
      <c r="O578" s="2"/>
      <c r="P578" s="2" t="str">
        <f>VLOOKUP(G578,[1]Hoja1!$A:$P,16,0)</f>
        <v xml:space="preserve"> </v>
      </c>
      <c r="Q578" s="2"/>
      <c r="S578">
        <f>VLOOKUP(G578,[1]Hoja1!$A:$O,5,0)</f>
        <v>2680169</v>
      </c>
      <c r="U578" s="45" t="s">
        <v>2751</v>
      </c>
      <c r="V578" s="46">
        <f t="shared" si="105"/>
        <v>2680169</v>
      </c>
      <c r="W578" s="47" t="s">
        <v>1519</v>
      </c>
      <c r="X578" s="46" t="str">
        <f t="shared" si="106"/>
        <v>1</v>
      </c>
      <c r="Y578" s="47" t="s">
        <v>1518</v>
      </c>
      <c r="Z578" s="46" t="str">
        <f t="shared" si="107"/>
        <v>M</v>
      </c>
      <c r="AA578" s="47" t="s">
        <v>2752</v>
      </c>
      <c r="AB578" s="46" t="str">
        <f t="shared" si="108"/>
        <v>JUEVES</v>
      </c>
      <c r="AC578" s="47" t="s">
        <v>2753</v>
      </c>
      <c r="AD578" t="str">
        <f t="shared" si="109"/>
        <v>CONTRATURNO</v>
      </c>
      <c r="AE578" s="47" t="s">
        <v>2754</v>
      </c>
      <c r="AH578" t="str">
        <f t="shared" si="110"/>
        <v>INSERT INTO horario_curso_materia (horario_curso_materia.FK_CUR_mat,horario_curso_materia.FK_HOR,horario_curso_materia.DIA,horario_curso_materia.tipo_turno) VALUES (  (SELECT curso_materia.ID_CUR_MAT FROM curso_materia WHERE curso_materia.CUPOF='2680169' ) ,
    (SELECT horario.ID_HOR FROM horario WHERE horario.modulo='1 ' and horario.turno='M ' ),'JUEVES ' , 'CONTRATURNO ' );</v>
      </c>
    </row>
    <row r="579" spans="1:34" ht="15" hidden="1" customHeight="1" x14ac:dyDescent="0.3">
      <c r="A579" s="1" t="str">
        <f t="shared" si="103"/>
        <v>4°2°</v>
      </c>
      <c r="B579" s="54" t="str">
        <f t="shared" si="101"/>
        <v>4°2°PrehoramiTARDE0</v>
      </c>
      <c r="C579" s="62">
        <f>VLOOKUP(G579,[1]Hoja1!$A:$O,3,0)</f>
        <v>0</v>
      </c>
      <c r="D579" s="2" t="str">
        <f t="shared" si="102"/>
        <v>PrehoramiT</v>
      </c>
      <c r="E579" s="62" t="s">
        <v>2781</v>
      </c>
      <c r="F579" s="62" t="s">
        <v>10</v>
      </c>
      <c r="G579" s="62" t="s">
        <v>406</v>
      </c>
      <c r="H579" s="8" t="str">
        <f>VLOOKUP(G579,[1]Hoja1!$A:$O,6,0)</f>
        <v>MATEMATICA</v>
      </c>
      <c r="I579" s="4"/>
      <c r="J579" s="4"/>
      <c r="K579" s="80" t="str">
        <f t="shared" si="111"/>
        <v>mi</v>
      </c>
      <c r="L579" s="4"/>
      <c r="M579" s="86" t="str">
        <f>VLOOKUP(G579,[1]Hoja1!$A:$O,15,0)</f>
        <v xml:space="preserve">GARCIA CLAUDIA </v>
      </c>
      <c r="N579" s="2" t="str">
        <f t="shared" si="104"/>
        <v>4°2°4IMATESmi</v>
      </c>
      <c r="O579" s="2"/>
      <c r="P579" s="2" t="str">
        <f>VLOOKUP(G579,[1]Hoja1!$A:$P,16,0)</f>
        <v xml:space="preserve"> </v>
      </c>
      <c r="Q579" s="2"/>
      <c r="S579">
        <f>VLOOKUP(G579,[1]Hoja1!$A:$O,5,0)</f>
        <v>733458</v>
      </c>
      <c r="U579" s="45" t="s">
        <v>2751</v>
      </c>
      <c r="V579" s="46">
        <f t="shared" si="105"/>
        <v>733458</v>
      </c>
      <c r="W579" s="47" t="s">
        <v>1519</v>
      </c>
      <c r="X579" s="46" t="str">
        <f t="shared" si="106"/>
        <v>prehora</v>
      </c>
      <c r="Y579" s="47" t="s">
        <v>1518</v>
      </c>
      <c r="Z579" s="46" t="str">
        <f t="shared" si="107"/>
        <v>T</v>
      </c>
      <c r="AA579" s="47" t="s">
        <v>2752</v>
      </c>
      <c r="AB579" s="46" t="str">
        <f t="shared" si="108"/>
        <v>MIERCOLES</v>
      </c>
      <c r="AC579" s="47" t="s">
        <v>2753</v>
      </c>
      <c r="AD579">
        <f t="shared" si="109"/>
        <v>0</v>
      </c>
      <c r="AE579" s="47" t="s">
        <v>2754</v>
      </c>
      <c r="AH579" t="str">
        <f t="shared" si="110"/>
        <v>INSERT INTO horario_curso_materia (horario_curso_materia.FK_CUR_mat,horario_curso_materia.FK_HOR,horario_curso_materia.DIA,horario_curso_materia.tipo_turno) VALUES (  (SELECT curso_materia.ID_CUR_MAT FROM curso_materia WHERE curso_materia.CUPOF='733458' ) ,
    (SELECT horario.ID_HOR FROM horario WHERE horario.modulo='prehora ' and horario.turno='T ' ),'MIERCOLES ' , '0 ' );</v>
      </c>
    </row>
    <row r="580" spans="1:34" ht="15" hidden="1" customHeight="1" x14ac:dyDescent="0.3">
      <c r="A580" s="1" t="str">
        <f t="shared" si="103"/>
        <v>4°2°</v>
      </c>
      <c r="B580" s="54" t="str">
        <f t="shared" si="101"/>
        <v>4°2°1LUMAÑANA422</v>
      </c>
      <c r="C580" s="62">
        <f>VLOOKUP(G580,[1]Hoja1!$A:$O,3,0)</f>
        <v>422</v>
      </c>
      <c r="D580" s="2" t="str">
        <f t="shared" si="102"/>
        <v>1LUM30</v>
      </c>
      <c r="E580" s="62" t="s">
        <v>9</v>
      </c>
      <c r="F580" s="62" t="s">
        <v>27</v>
      </c>
      <c r="G580" s="62" t="s">
        <v>142</v>
      </c>
      <c r="H580" s="8" t="str">
        <f>VLOOKUP(G580,[1]Hoja1!$A:$O,6,0)</f>
        <v xml:space="preserve">LAB DE SIST OPERATIVOS   </v>
      </c>
      <c r="I580" s="4">
        <v>30</v>
      </c>
      <c r="J580" s="4"/>
      <c r="K580" s="80" t="str">
        <f t="shared" si="111"/>
        <v>LU</v>
      </c>
      <c r="L580" s="4" t="s">
        <v>512</v>
      </c>
      <c r="M580" s="86" t="str">
        <f>VLOOKUP(G580,[1]Hoja1!$A:$O,15,0)</f>
        <v>AGUIRRE ISABEL ITATI</v>
      </c>
      <c r="N580" s="2" t="str">
        <f t="shared" si="104"/>
        <v>4°2°4224IFTLS4LU</v>
      </c>
      <c r="O580" s="2"/>
      <c r="P580" s="2" t="str">
        <f>VLOOKUP(G580,[1]Hoja1!$A:$P,16,0)</f>
        <v xml:space="preserve"> </v>
      </c>
      <c r="Q580" s="2">
        <v>1</v>
      </c>
      <c r="S580">
        <f>VLOOKUP(G580,[1]Hoja1!$A:$O,5,0)</f>
        <v>2680168</v>
      </c>
      <c r="U580" s="45" t="s">
        <v>2751</v>
      </c>
      <c r="V580" s="46">
        <f t="shared" si="105"/>
        <v>2680168</v>
      </c>
      <c r="W580" s="47" t="s">
        <v>1519</v>
      </c>
      <c r="X580" s="46" t="str">
        <f t="shared" si="106"/>
        <v>1</v>
      </c>
      <c r="Y580" s="47" t="s">
        <v>1518</v>
      </c>
      <c r="Z580" s="46" t="str">
        <f t="shared" si="107"/>
        <v>M</v>
      </c>
      <c r="AA580" s="47" t="s">
        <v>2752</v>
      </c>
      <c r="AB580" s="46" t="str">
        <f t="shared" si="108"/>
        <v>LUNES</v>
      </c>
      <c r="AC580" s="47" t="s">
        <v>2753</v>
      </c>
      <c r="AD580" t="str">
        <f t="shared" si="109"/>
        <v>CONTRATURNO</v>
      </c>
      <c r="AE580" s="47" t="s">
        <v>2754</v>
      </c>
      <c r="AH580" t="str">
        <f t="shared" si="110"/>
        <v>INSERT INTO horario_curso_materia (horario_curso_materia.FK_CUR_mat,horario_curso_materia.FK_HOR,horario_curso_materia.DIA,horario_curso_materia.tipo_turno) VALUES (  (SELECT curso_materia.ID_CUR_MAT FROM curso_materia WHERE curso_materia.CUPOF='2680168' ) ,
    (SELECT horario.ID_HOR FROM horario WHERE horario.modulo='1 ' and horario.turno='M ' ),'LUNES ' , 'CONTRATURNO ' );</v>
      </c>
    </row>
    <row r="581" spans="1:34" ht="14.25" hidden="1" customHeight="1" x14ac:dyDescent="0.3">
      <c r="A581" s="1" t="str">
        <f t="shared" si="103"/>
        <v>4°2°</v>
      </c>
      <c r="B581" s="54" t="str">
        <f t="shared" si="101"/>
        <v>4°2°prehoraviTARDE0</v>
      </c>
      <c r="C581" s="62">
        <f>VLOOKUP(G581,[1]Hoja1!$A:$O,3,0)</f>
        <v>0</v>
      </c>
      <c r="D581" s="2" t="str">
        <f t="shared" si="102"/>
        <v>prehoraviT</v>
      </c>
      <c r="E581" s="62" t="s">
        <v>1441</v>
      </c>
      <c r="F581" s="62" t="s">
        <v>10</v>
      </c>
      <c r="G581" s="62" t="s">
        <v>406</v>
      </c>
      <c r="H581" s="8" t="str">
        <f>VLOOKUP(G581,[1]Hoja1!$A:$O,6,0)</f>
        <v>MATEMATICA</v>
      </c>
      <c r="I581" s="4"/>
      <c r="J581" s="4"/>
      <c r="K581" s="80" t="str">
        <f t="shared" si="111"/>
        <v>vi</v>
      </c>
      <c r="L581" s="4"/>
      <c r="M581" s="86" t="str">
        <f>VLOOKUP(G581,[1]Hoja1!$A:$O,15,0)</f>
        <v xml:space="preserve">GARCIA CLAUDIA </v>
      </c>
      <c r="N581" s="2" t="str">
        <f t="shared" si="104"/>
        <v>4°2°4IMATESvi</v>
      </c>
      <c r="O581" s="2"/>
      <c r="P581" s="2" t="str">
        <f>VLOOKUP(G581,[1]Hoja1!$A:$P,16,0)</f>
        <v xml:space="preserve"> </v>
      </c>
      <c r="Q581" s="2"/>
      <c r="S581">
        <f>VLOOKUP(G581,[1]Hoja1!$A:$O,5,0)</f>
        <v>733458</v>
      </c>
      <c r="U581" s="45" t="s">
        <v>2751</v>
      </c>
      <c r="V581" s="46">
        <f t="shared" si="105"/>
        <v>733458</v>
      </c>
      <c r="W581" s="47" t="s">
        <v>1519</v>
      </c>
      <c r="X581" s="46" t="str">
        <f t="shared" si="106"/>
        <v>prehora</v>
      </c>
      <c r="Y581" s="47" t="s">
        <v>1518</v>
      </c>
      <c r="Z581" s="46" t="str">
        <f t="shared" si="107"/>
        <v>T</v>
      </c>
      <c r="AA581" s="47" t="s">
        <v>2752</v>
      </c>
      <c r="AB581" s="46" t="str">
        <f t="shared" si="108"/>
        <v>VIERNES</v>
      </c>
      <c r="AC581" s="47" t="s">
        <v>2753</v>
      </c>
      <c r="AD581">
        <f t="shared" si="109"/>
        <v>0</v>
      </c>
      <c r="AE581" s="47" t="s">
        <v>2754</v>
      </c>
      <c r="AH581" t="str">
        <f t="shared" si="110"/>
        <v>INSERT INTO horario_curso_materia (horario_curso_materia.FK_CUR_mat,horario_curso_materia.FK_HOR,horario_curso_materia.DIA,horario_curso_materia.tipo_turno) VALUES (  (SELECT curso_materia.ID_CUR_MAT FROM curso_materia WHERE curso_materia.CUPOF='733458' ) ,
    (SELECT horario.ID_HOR FROM horario WHERE horario.modulo='prehora ' and horario.turno='T ' ),'VIERNES ' , '0 ' );</v>
      </c>
    </row>
    <row r="582" spans="1:34" ht="14.25" hidden="1" customHeight="1" x14ac:dyDescent="0.3">
      <c r="A582" s="1" t="str">
        <f t="shared" si="103"/>
        <v>4°2°</v>
      </c>
      <c r="B582" s="54" t="str">
        <f t="shared" ref="B582:B641" si="112">CONCATENATE(LEFT(G582,4),E582,F582,C582)</f>
        <v>4°2°1JUMAÑANA421</v>
      </c>
      <c r="C582" s="62">
        <f>VLOOKUP(G582,[1]Hoja1!$A:$O,3,0)</f>
        <v>421</v>
      </c>
      <c r="D582" s="2" t="str">
        <f t="shared" si="102"/>
        <v>1JUM31</v>
      </c>
      <c r="E582" s="62" t="s">
        <v>43</v>
      </c>
      <c r="F582" s="62" t="s">
        <v>27</v>
      </c>
      <c r="G582" s="62" t="s">
        <v>143</v>
      </c>
      <c r="H582" s="8" t="str">
        <f>VLOOKUP(G582,[1]Hoja1!$A:$O,6,0)</f>
        <v>LAB DE HARDWARE</v>
      </c>
      <c r="I582" s="4">
        <v>31</v>
      </c>
      <c r="J582" s="4"/>
      <c r="K582" s="80" t="str">
        <f t="shared" si="111"/>
        <v>JU</v>
      </c>
      <c r="L582" s="4" t="s">
        <v>512</v>
      </c>
      <c r="M582" s="86" t="str">
        <f>VLOOKUP(G582,[1]Hoja1!$A:$O,15,0)</f>
        <v>AGUIRRE ISABEL</v>
      </c>
      <c r="N582" s="2" t="str">
        <f t="shared" si="104"/>
        <v>4°2°4214IFTLH4JU</v>
      </c>
      <c r="O582" s="2"/>
      <c r="P582" s="2" t="str">
        <f>VLOOKUP(G582,[1]Hoja1!$A:$P,16,0)</f>
        <v xml:space="preserve"> </v>
      </c>
      <c r="Q582" s="2"/>
      <c r="S582">
        <f>VLOOKUP(G582,[1]Hoja1!$A:$O,5,0)</f>
        <v>2680161</v>
      </c>
      <c r="U582" s="45" t="s">
        <v>2751</v>
      </c>
      <c r="V582" s="46">
        <f t="shared" si="105"/>
        <v>2680161</v>
      </c>
      <c r="W582" s="47" t="s">
        <v>1519</v>
      </c>
      <c r="X582" s="46" t="str">
        <f t="shared" si="106"/>
        <v>1</v>
      </c>
      <c r="Y582" s="47" t="s">
        <v>1518</v>
      </c>
      <c r="Z582" s="46" t="str">
        <f t="shared" si="107"/>
        <v>M</v>
      </c>
      <c r="AA582" s="47" t="s">
        <v>2752</v>
      </c>
      <c r="AB582" s="46" t="str">
        <f t="shared" si="108"/>
        <v>JUEVES</v>
      </c>
      <c r="AC582" s="47" t="s">
        <v>2753</v>
      </c>
      <c r="AD582" t="str">
        <f t="shared" si="109"/>
        <v>CONTRATURNO</v>
      </c>
      <c r="AE582" s="47" t="s">
        <v>2754</v>
      </c>
      <c r="AH582" t="str">
        <f t="shared" si="110"/>
        <v>INSERT INTO horario_curso_materia (horario_curso_materia.FK_CUR_mat,horario_curso_materia.FK_HOR,horario_curso_materia.DIA,horario_curso_materia.tipo_turno) VALUES (  (SELECT curso_materia.ID_CUR_MAT FROM curso_materia WHERE curso_materia.CUPOF='2680161' ) ,
    (SELECT horario.ID_HOR FROM horario WHERE horario.modulo='1 ' and horario.turno='M ' ),'JUEVES ' , 'CONTRATURNO ' );</v>
      </c>
    </row>
    <row r="583" spans="1:34" ht="15" hidden="1" customHeight="1" x14ac:dyDescent="0.3">
      <c r="A583" s="1" t="str">
        <f t="shared" si="103"/>
        <v>4°2°</v>
      </c>
      <c r="B583" s="54" t="str">
        <f t="shared" si="112"/>
        <v>4°2°1MATARDE0</v>
      </c>
      <c r="C583" s="62">
        <f>VLOOKUP(G583,[1]Hoja1!$A:$O,3,0)</f>
        <v>0</v>
      </c>
      <c r="D583" s="2" t="str">
        <f t="shared" si="102"/>
        <v>1MAT</v>
      </c>
      <c r="E583" s="62" t="s">
        <v>17</v>
      </c>
      <c r="F583" s="62" t="s">
        <v>10</v>
      </c>
      <c r="G583" s="62" t="s">
        <v>408</v>
      </c>
      <c r="H583" s="8" t="str">
        <f>VLOOKUP(G583,[1]Hoja1!$A:$O,6,0)</f>
        <v>LITERATURA</v>
      </c>
      <c r="I583" s="4"/>
      <c r="J583" s="4"/>
      <c r="K583" s="80" t="str">
        <f t="shared" si="111"/>
        <v>MA</v>
      </c>
      <c r="L583" s="4"/>
      <c r="M583" s="86" t="str">
        <f>VLOOKUP(G583,[1]Hoja1!$A:$O,15,0)</f>
        <v>ALONSO, MARIA</v>
      </c>
      <c r="N583" s="2" t="str">
        <f t="shared" si="104"/>
        <v>4°2°4ILITSMA</v>
      </c>
      <c r="O583" s="2"/>
      <c r="P583" s="2" t="str">
        <f>VLOOKUP(G583,[1]Hoja1!$A:$P,16,0)</f>
        <v xml:space="preserve"> </v>
      </c>
      <c r="Q583" s="2"/>
      <c r="S583">
        <f>VLOOKUP(G583,[1]Hoja1!$A:$O,5,0)</f>
        <v>733407</v>
      </c>
      <c r="U583" s="45" t="s">
        <v>2751</v>
      </c>
      <c r="V583" s="46">
        <f t="shared" si="105"/>
        <v>733407</v>
      </c>
      <c r="W583" s="47" t="s">
        <v>1519</v>
      </c>
      <c r="X583" s="46" t="str">
        <f t="shared" si="106"/>
        <v>1</v>
      </c>
      <c r="Y583" s="47" t="s">
        <v>1518</v>
      </c>
      <c r="Z583" s="46" t="str">
        <f t="shared" si="107"/>
        <v>T</v>
      </c>
      <c r="AA583" s="47" t="s">
        <v>2752</v>
      </c>
      <c r="AB583" s="46" t="str">
        <f t="shared" si="108"/>
        <v>MARTES</v>
      </c>
      <c r="AC583" s="47" t="s">
        <v>2753</v>
      </c>
      <c r="AD583">
        <f t="shared" si="109"/>
        <v>0</v>
      </c>
      <c r="AE583" s="47" t="s">
        <v>2754</v>
      </c>
      <c r="AH583" t="str">
        <f t="shared" si="110"/>
        <v>INSERT INTO horario_curso_materia (horario_curso_materia.FK_CUR_mat,horario_curso_materia.FK_HOR,horario_curso_materia.DIA,horario_curso_materia.tipo_turno) VALUES (  (SELECT curso_materia.ID_CUR_MAT FROM curso_materia WHERE curso_materia.CUPOF='733407' ) ,
    (SELECT horario.ID_HOR FROM horario WHERE horario.modulo='1 ' and horario.turno='T ' ),'MARTES ' , '0 ' );</v>
      </c>
    </row>
    <row r="584" spans="1:34" ht="15" hidden="1" customHeight="1" x14ac:dyDescent="0.3">
      <c r="A584" s="1" t="str">
        <f t="shared" si="103"/>
        <v>4°2°</v>
      </c>
      <c r="B584" s="54" t="str">
        <f t="shared" si="112"/>
        <v>4°2°1MIMAÑANA422</v>
      </c>
      <c r="C584" s="62">
        <v>422</v>
      </c>
      <c r="D584" s="2" t="str">
        <f t="shared" si="102"/>
        <v>1MIMHARDWARE</v>
      </c>
      <c r="E584" s="62" t="s">
        <v>24</v>
      </c>
      <c r="F584" s="62" t="s">
        <v>27</v>
      </c>
      <c r="G584" s="62" t="s">
        <v>145</v>
      </c>
      <c r="H584" s="8" t="str">
        <f>VLOOKUP(G584,[1]Hoja1!$A:$O,6,0)</f>
        <v>LAB DE HARDWARE</v>
      </c>
      <c r="I584" s="4" t="s">
        <v>38</v>
      </c>
      <c r="J584" s="4"/>
      <c r="K584" s="80" t="str">
        <f t="shared" si="111"/>
        <v>MI</v>
      </c>
      <c r="L584" s="4" t="s">
        <v>512</v>
      </c>
      <c r="M584" s="86" t="str">
        <f>VLOOKUP(G584,[1]Hoja1!$A:$O,15,0)</f>
        <v>HERRERA STELLA MARIS</v>
      </c>
      <c r="N584" s="2" t="str">
        <f t="shared" si="104"/>
        <v>4°2°4224IFTLH4MI</v>
      </c>
      <c r="O584" s="2"/>
      <c r="P584" s="2" t="str">
        <f>VLOOKUP(G584,[1]Hoja1!$A:$P,16,0)</f>
        <v>CORREGIDO NO COINCIDE CON HORARIO SECRE AVISADO 20/03/23</v>
      </c>
      <c r="Q584" s="2"/>
      <c r="S584">
        <f>VLOOKUP(G584,[1]Hoja1!$A:$O,5,0)</f>
        <v>2680167</v>
      </c>
      <c r="U584" s="45" t="s">
        <v>2751</v>
      </c>
      <c r="V584" s="46">
        <f t="shared" si="105"/>
        <v>2680167</v>
      </c>
      <c r="W584" s="47" t="s">
        <v>1519</v>
      </c>
      <c r="X584" s="46" t="str">
        <f t="shared" si="106"/>
        <v>1</v>
      </c>
      <c r="Y584" s="47" t="s">
        <v>1518</v>
      </c>
      <c r="Z584" s="46" t="str">
        <f t="shared" si="107"/>
        <v>M</v>
      </c>
      <c r="AA584" s="47" t="s">
        <v>2752</v>
      </c>
      <c r="AB584" s="46" t="str">
        <f t="shared" si="108"/>
        <v>MIERCOLES</v>
      </c>
      <c r="AC584" s="47" t="s">
        <v>2753</v>
      </c>
      <c r="AD584" t="str">
        <f t="shared" si="109"/>
        <v>CONTRATURNO</v>
      </c>
      <c r="AE584" s="47" t="s">
        <v>2754</v>
      </c>
      <c r="AH584" t="str">
        <f t="shared" si="110"/>
        <v>INSERT INTO horario_curso_materia (horario_curso_materia.FK_CUR_mat,horario_curso_materia.FK_HOR,horario_curso_materia.DIA,horario_curso_materia.tipo_turno) VALUES (  (SELECT curso_materia.ID_CUR_MAT FROM curso_materia WHERE curso_materia.CUPOF='2680167' ) ,
    (SELECT horario.ID_HOR FROM horario WHERE horario.modulo='1 ' and horario.turno='M ' ),'MIERCOLES ' , 'CONTRATURNO ' );</v>
      </c>
    </row>
    <row r="585" spans="1:34" ht="15" hidden="1" customHeight="1" x14ac:dyDescent="0.3">
      <c r="A585" s="1" t="str">
        <f t="shared" si="103"/>
        <v>4°2°</v>
      </c>
      <c r="B585" s="54" t="str">
        <f t="shared" si="112"/>
        <v>4°2°1JUTARDE0</v>
      </c>
      <c r="C585" s="62">
        <f>VLOOKUP(G585,[1]Hoja1!$A:$O,3,0)</f>
        <v>0</v>
      </c>
      <c r="D585" s="2" t="str">
        <f t="shared" si="102"/>
        <v>1JUT</v>
      </c>
      <c r="E585" s="62" t="s">
        <v>43</v>
      </c>
      <c r="F585" s="62" t="s">
        <v>10</v>
      </c>
      <c r="G585" s="62" t="s">
        <v>410</v>
      </c>
      <c r="H585" s="8" t="str">
        <f>VLOOKUP(G585,[1]Hoja1!$A:$O,6,0)</f>
        <v>TECNOLOGIAS ELECTRONICAS</v>
      </c>
      <c r="I585" s="4"/>
      <c r="J585" s="4"/>
      <c r="K585" s="80" t="str">
        <f t="shared" si="111"/>
        <v>JU</v>
      </c>
      <c r="L585" s="4"/>
      <c r="M585" s="86" t="str">
        <f>VLOOKUP(G585,[1]Hoja1!$A:$O,15,0)</f>
        <v>BARONI, ROBERTO</v>
      </c>
      <c r="N585" s="2" t="str">
        <f t="shared" si="104"/>
        <v>4°2°4ITELEJU</v>
      </c>
      <c r="O585" s="2"/>
      <c r="P585" s="2" t="str">
        <f>VLOOKUP(G585,[1]Hoja1!$A:$P,16,0)</f>
        <v xml:space="preserve"> </v>
      </c>
      <c r="Q585" s="2"/>
      <c r="S585">
        <f>VLOOKUP(G585,[1]Hoja1!$A:$O,5,0)</f>
        <v>2680173</v>
      </c>
      <c r="U585" s="45" t="s">
        <v>2751</v>
      </c>
      <c r="V585" s="46">
        <f t="shared" si="105"/>
        <v>2680173</v>
      </c>
      <c r="W585" s="47" t="s">
        <v>1519</v>
      </c>
      <c r="X585" s="46" t="str">
        <f t="shared" si="106"/>
        <v>1</v>
      </c>
      <c r="Y585" s="47" t="s">
        <v>1518</v>
      </c>
      <c r="Z585" s="46" t="str">
        <f t="shared" si="107"/>
        <v>T</v>
      </c>
      <c r="AA585" s="47" t="s">
        <v>2752</v>
      </c>
      <c r="AB585" s="46" t="str">
        <f t="shared" si="108"/>
        <v>JUEVES</v>
      </c>
      <c r="AC585" s="47" t="s">
        <v>2753</v>
      </c>
      <c r="AD585">
        <f t="shared" si="109"/>
        <v>0</v>
      </c>
      <c r="AE585" s="47" t="s">
        <v>2754</v>
      </c>
      <c r="AH585" t="str">
        <f t="shared" si="110"/>
        <v>INSERT INTO horario_curso_materia (horario_curso_materia.FK_CUR_mat,horario_curso_materia.FK_HOR,horario_curso_materia.DIA,horario_curso_materia.tipo_turno) VALUES (  (SELECT curso_materia.ID_CUR_MAT FROM curso_materia WHERE curso_materia.CUPOF='2680173' ) ,
    (SELECT horario.ID_HOR FROM horario WHERE horario.modulo='1 ' and horario.turno='T ' ),'JUEVES ' , '0 ' );</v>
      </c>
    </row>
    <row r="586" spans="1:34" ht="15" hidden="1" customHeight="1" x14ac:dyDescent="0.3">
      <c r="A586" s="1" t="str">
        <f t="shared" si="103"/>
        <v>4°2°</v>
      </c>
      <c r="B586" s="54" t="str">
        <f t="shared" si="112"/>
        <v>4°2°1VIMAÑANA421</v>
      </c>
      <c r="C586" s="62">
        <f>VLOOKUP(G586,[1]Hoja1!$A:$O,3,0)</f>
        <v>421</v>
      </c>
      <c r="D586" s="2" t="str">
        <f t="shared" si="102"/>
        <v>1VIM30</v>
      </c>
      <c r="E586" s="62" t="s">
        <v>57</v>
      </c>
      <c r="F586" s="62" t="s">
        <v>27</v>
      </c>
      <c r="G586" s="62" t="s">
        <v>149</v>
      </c>
      <c r="H586" s="8" t="str">
        <f>VLOOKUP(G586,[1]Hoja1!$A:$O,6,0)</f>
        <v>LAB DE PROGRAM</v>
      </c>
      <c r="I586" s="4">
        <v>30</v>
      </c>
      <c r="J586" s="4"/>
      <c r="K586" s="80" t="str">
        <f t="shared" si="111"/>
        <v>VI</v>
      </c>
      <c r="L586" s="4" t="s">
        <v>512</v>
      </c>
      <c r="M586" s="86" t="str">
        <f>VLOOKUP(G586,[1]Hoja1!$A:$O,15,0)</f>
        <v>PROCHOR GLORIA</v>
      </c>
      <c r="N586" s="2" t="str">
        <f t="shared" si="104"/>
        <v>4°2°4214IFTLP4VI</v>
      </c>
      <c r="O586" s="2"/>
      <c r="P586" s="2" t="str">
        <f>VLOOKUP(G586,[1]Hoja1!$A:$P,16,0)</f>
        <v xml:space="preserve"> </v>
      </c>
      <c r="Q586" s="2"/>
      <c r="S586">
        <f>VLOOKUP(G586,[1]Hoja1!$A:$O,5,0)</f>
        <v>2680159</v>
      </c>
      <c r="U586" s="45" t="s">
        <v>2751</v>
      </c>
      <c r="V586" s="46">
        <f t="shared" si="105"/>
        <v>2680159</v>
      </c>
      <c r="W586" s="47" t="s">
        <v>1519</v>
      </c>
      <c r="X586" s="46" t="str">
        <f t="shared" si="106"/>
        <v>1</v>
      </c>
      <c r="Y586" s="47" t="s">
        <v>1518</v>
      </c>
      <c r="Z586" s="46" t="str">
        <f t="shared" si="107"/>
        <v>M</v>
      </c>
      <c r="AA586" s="47" t="s">
        <v>2752</v>
      </c>
      <c r="AB586" s="46" t="str">
        <f t="shared" si="108"/>
        <v>VIERNES</v>
      </c>
      <c r="AC586" s="47" t="s">
        <v>2753</v>
      </c>
      <c r="AD586" t="str">
        <f t="shared" si="109"/>
        <v>CONTRATURNO</v>
      </c>
      <c r="AE586" s="47" t="s">
        <v>2754</v>
      </c>
      <c r="AH586" t="str">
        <f t="shared" si="110"/>
        <v>INSERT INTO horario_curso_materia (horario_curso_materia.FK_CUR_mat,horario_curso_materia.FK_HOR,horario_curso_materia.DIA,horario_curso_materia.tipo_turno) VALUES (  (SELECT curso_materia.ID_CUR_MAT FROM curso_materia WHERE curso_materia.CUPOF='2680159' ) ,
    (SELECT horario.ID_HOR FROM horario WHERE horario.modulo='1 ' and horario.turno='M ' ),'VIERNES ' , 'CONTRATURNO ' );</v>
      </c>
    </row>
    <row r="587" spans="1:34" ht="15" hidden="1" customHeight="1" x14ac:dyDescent="0.3">
      <c r="A587" s="1" t="str">
        <f t="shared" si="103"/>
        <v>4°2°</v>
      </c>
      <c r="B587" s="54" t="str">
        <f t="shared" si="112"/>
        <v>4°2°1VIMAÑANA422</v>
      </c>
      <c r="C587" s="62">
        <f>VLOOKUP(G587,[1]Hoja1!$A:$O,3,0)</f>
        <v>422</v>
      </c>
      <c r="D587" s="2" t="str">
        <f t="shared" si="102"/>
        <v>1VIMHARDWARE</v>
      </c>
      <c r="E587" s="62" t="s">
        <v>57</v>
      </c>
      <c r="F587" s="62" t="s">
        <v>27</v>
      </c>
      <c r="G587" s="62" t="s">
        <v>145</v>
      </c>
      <c r="H587" s="8" t="str">
        <f>VLOOKUP(G587,[1]Hoja1!$A:$O,6,0)</f>
        <v>LAB DE HARDWARE</v>
      </c>
      <c r="I587" s="4" t="s">
        <v>38</v>
      </c>
      <c r="J587" s="4"/>
      <c r="K587" s="80" t="str">
        <f t="shared" si="111"/>
        <v>VI</v>
      </c>
      <c r="L587" s="4" t="s">
        <v>512</v>
      </c>
      <c r="M587" s="86" t="str">
        <f>VLOOKUP(G587,[1]Hoja1!$A:$O,15,0)</f>
        <v>HERRERA STELLA MARIS</v>
      </c>
      <c r="N587" s="2" t="str">
        <f t="shared" si="104"/>
        <v>4°2°4224IFTLH4VI</v>
      </c>
      <c r="O587" s="2"/>
      <c r="P587" s="2" t="str">
        <f>VLOOKUP(G587,[1]Hoja1!$A:$P,16,0)</f>
        <v>CORREGIDO NO COINCIDE CON HORARIO SECRE AVISADO 20/03/23</v>
      </c>
      <c r="Q587" s="2"/>
      <c r="S587">
        <f>VLOOKUP(G587,[1]Hoja1!$A:$O,5,0)</f>
        <v>2680167</v>
      </c>
      <c r="U587" s="45" t="s">
        <v>2751</v>
      </c>
      <c r="V587" s="46">
        <f t="shared" si="105"/>
        <v>2680167</v>
      </c>
      <c r="W587" s="47" t="s">
        <v>1519</v>
      </c>
      <c r="X587" s="46" t="str">
        <f t="shared" si="106"/>
        <v>1</v>
      </c>
      <c r="Y587" s="47" t="s">
        <v>1518</v>
      </c>
      <c r="Z587" s="46" t="str">
        <f t="shared" si="107"/>
        <v>M</v>
      </c>
      <c r="AA587" s="47" t="s">
        <v>2752</v>
      </c>
      <c r="AB587" s="46" t="str">
        <f t="shared" si="108"/>
        <v>VIERNES</v>
      </c>
      <c r="AC587" s="47" t="s">
        <v>2753</v>
      </c>
      <c r="AD587" t="str">
        <f t="shared" si="109"/>
        <v>CONTRATURNO</v>
      </c>
      <c r="AE587" s="47" t="s">
        <v>2754</v>
      </c>
      <c r="AH587" t="str">
        <f t="shared" si="110"/>
        <v>INSERT INTO horario_curso_materia (horario_curso_materia.FK_CUR_mat,horario_curso_materia.FK_HOR,horario_curso_materia.DIA,horario_curso_materia.tipo_turno) VALUES (  (SELECT curso_materia.ID_CUR_MAT FROM curso_materia WHERE curso_materia.CUPOF='2680167' ) ,
    (SELECT horario.ID_HOR FROM horario WHERE horario.modulo='1 ' and horario.turno='M ' ),'VIERNES ' , 'CONTRATURNO ' );</v>
      </c>
    </row>
    <row r="588" spans="1:34" ht="15" hidden="1" customHeight="1" x14ac:dyDescent="0.3">
      <c r="A588" s="1" t="str">
        <f t="shared" si="103"/>
        <v>4°2°</v>
      </c>
      <c r="B588" s="54" t="str">
        <f t="shared" si="112"/>
        <v>4°2°1VITARDE0</v>
      </c>
      <c r="C588" s="62">
        <f>VLOOKUP(G588,[1]Hoja1!$A:$O,3,0)</f>
        <v>0</v>
      </c>
      <c r="D588" s="2" t="str">
        <f t="shared" si="102"/>
        <v>1VIT</v>
      </c>
      <c r="E588" s="62" t="s">
        <v>57</v>
      </c>
      <c r="F588" s="62" t="s">
        <v>10</v>
      </c>
      <c r="G588" s="62" t="s">
        <v>412</v>
      </c>
      <c r="H588" s="8" t="str">
        <f>VLOOKUP(G588,[1]Hoja1!$A:$O,6,0)</f>
        <v>FISICA</v>
      </c>
      <c r="I588" s="4"/>
      <c r="J588" s="4"/>
      <c r="K588" s="80" t="str">
        <f t="shared" si="111"/>
        <v>VI</v>
      </c>
      <c r="L588" s="4"/>
      <c r="M588" s="86" t="str">
        <f>VLOOKUP(G588,[1]Hoja1!$A:$O,15,0)</f>
        <v>ESPINDOLA, S</v>
      </c>
      <c r="N588" s="2" t="str">
        <f t="shared" si="104"/>
        <v>4°2°4IFISVI</v>
      </c>
      <c r="O588" s="2"/>
      <c r="P588" s="2" t="str">
        <f>VLOOKUP(G588,[1]Hoja1!$A:$P,16,0)</f>
        <v xml:space="preserve"> </v>
      </c>
      <c r="Q588" s="2"/>
      <c r="S588">
        <f>VLOOKUP(G588,[1]Hoja1!$A:$O,5,0)</f>
        <v>733622</v>
      </c>
      <c r="U588" s="45" t="s">
        <v>2751</v>
      </c>
      <c r="V588" s="46">
        <f t="shared" si="105"/>
        <v>733622</v>
      </c>
      <c r="W588" s="47" t="s">
        <v>1519</v>
      </c>
      <c r="X588" s="46" t="str">
        <f t="shared" si="106"/>
        <v>1</v>
      </c>
      <c r="Y588" s="47" t="s">
        <v>1518</v>
      </c>
      <c r="Z588" s="46" t="str">
        <f t="shared" si="107"/>
        <v>T</v>
      </c>
      <c r="AA588" s="47" t="s">
        <v>2752</v>
      </c>
      <c r="AB588" s="46" t="str">
        <f t="shared" si="108"/>
        <v>VIERNES</v>
      </c>
      <c r="AC588" s="47" t="s">
        <v>2753</v>
      </c>
      <c r="AD588">
        <f t="shared" si="109"/>
        <v>0</v>
      </c>
      <c r="AE588" s="47" t="s">
        <v>2754</v>
      </c>
      <c r="AH588" t="str">
        <f t="shared" si="110"/>
        <v>INSERT INTO horario_curso_materia (horario_curso_materia.FK_CUR_mat,horario_curso_materia.FK_HOR,horario_curso_materia.DIA,horario_curso_materia.tipo_turno) VALUES (  (SELECT curso_materia.ID_CUR_MAT FROM curso_materia WHERE curso_materia.CUPOF='733622' ) ,
    (SELECT horario.ID_HOR FROM horario WHERE horario.modulo='1 ' and horario.turno='T ' ),'VIERNES ' , '0 ' );</v>
      </c>
    </row>
    <row r="589" spans="1:34" ht="15" hidden="1" customHeight="1" x14ac:dyDescent="0.3">
      <c r="A589" s="1" t="str">
        <f t="shared" si="103"/>
        <v>4°2°</v>
      </c>
      <c r="B589" s="54" t="str">
        <f t="shared" si="112"/>
        <v>4°2°2MAMAÑANA421</v>
      </c>
      <c r="C589" s="62">
        <f>VLOOKUP(G589,[1]Hoja1!$A:$O,3,0)</f>
        <v>421</v>
      </c>
      <c r="D589" s="2" t="str">
        <f t="shared" si="102"/>
        <v>2MAM52</v>
      </c>
      <c r="E589" s="62" t="s">
        <v>19</v>
      </c>
      <c r="F589" s="62" t="s">
        <v>27</v>
      </c>
      <c r="G589" s="62" t="s">
        <v>146</v>
      </c>
      <c r="H589" s="8" t="str">
        <f>VLOOKUP(G589,[1]Hoja1!$A:$O,6,0)</f>
        <v xml:space="preserve">LAB DE SIST OPERATIVOS   </v>
      </c>
      <c r="I589" s="4">
        <v>52</v>
      </c>
      <c r="J589" s="4"/>
      <c r="K589" s="80" t="str">
        <f t="shared" si="111"/>
        <v>MA</v>
      </c>
      <c r="L589" s="4" t="s">
        <v>512</v>
      </c>
      <c r="M589" s="86" t="str">
        <f>VLOOKUP(G589,[1]Hoja1!$A:$O,15,0)</f>
        <v xml:space="preserve">GOMEZ ANALIA </v>
      </c>
      <c r="N589" s="2" t="str">
        <f t="shared" si="104"/>
        <v>4°2°4214IFTLS4MA</v>
      </c>
      <c r="O589" s="2"/>
      <c r="P589" s="2" t="str">
        <f>VLOOKUP(G589,[1]Hoja1!$A:$P,16,0)</f>
        <v xml:space="preserve"> </v>
      </c>
      <c r="Q589" s="2"/>
      <c r="S589">
        <f>VLOOKUP(G589,[1]Hoja1!$A:$O,5,0)</f>
        <v>2680162</v>
      </c>
      <c r="U589" s="45" t="s">
        <v>2751</v>
      </c>
      <c r="V589" s="46">
        <f t="shared" si="105"/>
        <v>2680162</v>
      </c>
      <c r="W589" s="47" t="s">
        <v>1519</v>
      </c>
      <c r="X589" s="46" t="str">
        <f t="shared" si="106"/>
        <v>2</v>
      </c>
      <c r="Y589" s="47" t="s">
        <v>1518</v>
      </c>
      <c r="Z589" s="46" t="str">
        <f t="shared" si="107"/>
        <v>M</v>
      </c>
      <c r="AA589" s="47" t="s">
        <v>2752</v>
      </c>
      <c r="AB589" s="46" t="str">
        <f t="shared" si="108"/>
        <v>MARTES</v>
      </c>
      <c r="AC589" s="47" t="s">
        <v>2753</v>
      </c>
      <c r="AD589" t="str">
        <f t="shared" si="109"/>
        <v>CONTRATURNO</v>
      </c>
      <c r="AE589" s="47" t="s">
        <v>2754</v>
      </c>
      <c r="AH589" t="str">
        <f t="shared" si="110"/>
        <v>INSERT INTO horario_curso_materia (horario_curso_materia.FK_CUR_mat,horario_curso_materia.FK_HOR,horario_curso_materia.DIA,horario_curso_materia.tipo_turno) VALUES (  (SELECT curso_materia.ID_CUR_MAT FROM curso_materia WHERE curso_materia.CUPOF='2680162' ) ,
    (SELECT horario.ID_HOR FROM horario WHERE horario.modulo='2 ' and horario.turno='M ' ),'MARTES ' , 'CONTRATURNO ' );</v>
      </c>
    </row>
    <row r="590" spans="1:34" ht="15" hidden="1" customHeight="1" x14ac:dyDescent="0.3">
      <c r="A590" s="1" t="str">
        <f t="shared" si="103"/>
        <v>4°2°</v>
      </c>
      <c r="B590" s="54" t="str">
        <f t="shared" si="112"/>
        <v>4°2°2JUMAÑANA422</v>
      </c>
      <c r="C590" s="62">
        <f>VLOOKUP(G590,[1]Hoja1!$A:$O,3,0)</f>
        <v>422</v>
      </c>
      <c r="D590" s="2" t="str">
        <f t="shared" si="102"/>
        <v>2JUM41</v>
      </c>
      <c r="E590" s="62" t="s">
        <v>45</v>
      </c>
      <c r="F590" s="62" t="s">
        <v>27</v>
      </c>
      <c r="G590" s="62" t="s">
        <v>147</v>
      </c>
      <c r="H590" s="8" t="str">
        <f>VLOOKUP(G590,[1]Hoja1!$A:$O,6,0)</f>
        <v>LAB DE APLICACIONES</v>
      </c>
      <c r="I590" s="4">
        <v>41</v>
      </c>
      <c r="J590" s="4"/>
      <c r="K590" s="80" t="str">
        <f t="shared" si="111"/>
        <v>JU</v>
      </c>
      <c r="L590" s="4" t="s">
        <v>512</v>
      </c>
      <c r="M590" s="86" t="str">
        <f>VLOOKUP(G590,[1]Hoja1!$A:$O,15,0)</f>
        <v xml:space="preserve">HERRERA STELLA      </v>
      </c>
      <c r="N590" s="2" t="str">
        <f t="shared" si="104"/>
        <v>4°2°4224IFTLA4JU</v>
      </c>
      <c r="O590" s="2"/>
      <c r="P590" s="2" t="str">
        <f>VLOOKUP(G590,[1]Hoja1!$A:$P,16,0)</f>
        <v xml:space="preserve"> </v>
      </c>
      <c r="Q590" s="2"/>
      <c r="S590">
        <f>VLOOKUP(G590,[1]Hoja1!$A:$O,5,0)</f>
        <v>2680169</v>
      </c>
      <c r="U590" s="45" t="s">
        <v>2751</v>
      </c>
      <c r="V590" s="46">
        <f t="shared" si="105"/>
        <v>2680169</v>
      </c>
      <c r="W590" s="47" t="s">
        <v>1519</v>
      </c>
      <c r="X590" s="46" t="str">
        <f t="shared" si="106"/>
        <v>2</v>
      </c>
      <c r="Y590" s="47" t="s">
        <v>1518</v>
      </c>
      <c r="Z590" s="46" t="str">
        <f t="shared" si="107"/>
        <v>M</v>
      </c>
      <c r="AA590" s="47" t="s">
        <v>2752</v>
      </c>
      <c r="AB590" s="46" t="str">
        <f t="shared" si="108"/>
        <v>JUEVES</v>
      </c>
      <c r="AC590" s="47" t="s">
        <v>2753</v>
      </c>
      <c r="AD590" t="str">
        <f t="shared" si="109"/>
        <v>CONTRATURNO</v>
      </c>
      <c r="AE590" s="47" t="s">
        <v>2754</v>
      </c>
      <c r="AH590" t="str">
        <f t="shared" si="110"/>
        <v>INSERT INTO horario_curso_materia (horario_curso_materia.FK_CUR_mat,horario_curso_materia.FK_HOR,horario_curso_materia.DIA,horario_curso_materia.tipo_turno) VALUES (  (SELECT curso_materia.ID_CUR_MAT FROM curso_materia WHERE curso_materia.CUPOF='2680169' ) ,
    (SELECT horario.ID_HOR FROM horario WHERE horario.modulo='2 ' and horario.turno='M ' ),'JUEVES ' , 'CONTRATURNO ' );</v>
      </c>
    </row>
    <row r="591" spans="1:34" ht="15" hidden="1" customHeight="1" x14ac:dyDescent="0.3">
      <c r="A591" s="1" t="str">
        <f t="shared" si="103"/>
        <v>4°2°</v>
      </c>
      <c r="B591" s="54" t="str">
        <f t="shared" si="112"/>
        <v>4°2°1miTARDE0</v>
      </c>
      <c r="C591" s="62">
        <f>VLOOKUP(G591,[1]Hoja1!$A:$O,3,0)</f>
        <v>0</v>
      </c>
      <c r="D591" s="2" t="str">
        <f t="shared" si="102"/>
        <v>1miT</v>
      </c>
      <c r="E591" s="62" t="s">
        <v>55</v>
      </c>
      <c r="F591" s="62" t="s">
        <v>10</v>
      </c>
      <c r="G591" s="62" t="s">
        <v>406</v>
      </c>
      <c r="H591" s="8" t="str">
        <f>VLOOKUP(G591,[1]Hoja1!$A:$O,6,0)</f>
        <v>MATEMATICA</v>
      </c>
      <c r="I591" s="4"/>
      <c r="J591" s="4"/>
      <c r="K591" s="80" t="str">
        <f t="shared" si="111"/>
        <v>mi</v>
      </c>
      <c r="L591" s="4"/>
      <c r="M591" s="86" t="str">
        <f>VLOOKUP(G591,[1]Hoja1!$A:$O,15,0)</f>
        <v xml:space="preserve">GARCIA CLAUDIA </v>
      </c>
      <c r="N591" s="2" t="str">
        <f t="shared" si="104"/>
        <v>4°2°4IMATESmi</v>
      </c>
      <c r="O591" s="2"/>
      <c r="P591" s="2" t="str">
        <f>VLOOKUP(G591,[1]Hoja1!$A:$P,16,0)</f>
        <v xml:space="preserve"> </v>
      </c>
      <c r="Q591" s="2"/>
      <c r="S591">
        <f>VLOOKUP(G591,[1]Hoja1!$A:$O,5,0)</f>
        <v>733458</v>
      </c>
      <c r="U591" s="45" t="s">
        <v>2751</v>
      </c>
      <c r="V591" s="46">
        <f t="shared" si="105"/>
        <v>733458</v>
      </c>
      <c r="W591" s="47" t="s">
        <v>1519</v>
      </c>
      <c r="X591" s="46" t="str">
        <f t="shared" si="106"/>
        <v>1</v>
      </c>
      <c r="Y591" s="47" t="s">
        <v>1518</v>
      </c>
      <c r="Z591" s="46" t="str">
        <f t="shared" si="107"/>
        <v>T</v>
      </c>
      <c r="AA591" s="47" t="s">
        <v>2752</v>
      </c>
      <c r="AB591" s="46" t="str">
        <f t="shared" si="108"/>
        <v>MIERCOLES</v>
      </c>
      <c r="AC591" s="47" t="s">
        <v>2753</v>
      </c>
      <c r="AD591">
        <f t="shared" si="109"/>
        <v>0</v>
      </c>
      <c r="AE591" s="47" t="s">
        <v>2754</v>
      </c>
      <c r="AH591" t="str">
        <f t="shared" si="110"/>
        <v>INSERT INTO horario_curso_materia (horario_curso_materia.FK_CUR_mat,horario_curso_materia.FK_HOR,horario_curso_materia.DIA,horario_curso_materia.tipo_turno) VALUES (  (SELECT curso_materia.ID_CUR_MAT FROM curso_materia WHERE curso_materia.CUPOF='733458' ) ,
    (SELECT horario.ID_HOR FROM horario WHERE horario.modulo='1 ' and horario.turno='T ' ),'MIERCOLES ' , '0 ' );</v>
      </c>
    </row>
    <row r="592" spans="1:34" s="16" customFormat="1" ht="15" hidden="1" customHeight="1" x14ac:dyDescent="0.3">
      <c r="A592" s="1" t="str">
        <f t="shared" si="103"/>
        <v>4°2°</v>
      </c>
      <c r="B592" s="54" t="str">
        <f t="shared" si="112"/>
        <v>4°2°2LUMAÑANA422</v>
      </c>
      <c r="C592" s="62">
        <f>VLOOKUP(G592,[1]Hoja1!$A:$O,3,0)</f>
        <v>422</v>
      </c>
      <c r="D592" s="2" t="str">
        <f t="shared" si="102"/>
        <v>2LUM30</v>
      </c>
      <c r="E592" s="62" t="s">
        <v>12</v>
      </c>
      <c r="F592" s="62" t="s">
        <v>27</v>
      </c>
      <c r="G592" s="62" t="s">
        <v>142</v>
      </c>
      <c r="H592" s="8" t="str">
        <f>VLOOKUP(G592,[1]Hoja1!$A:$O,6,0)</f>
        <v xml:space="preserve">LAB DE SIST OPERATIVOS   </v>
      </c>
      <c r="I592" s="4">
        <v>30</v>
      </c>
      <c r="J592" s="4"/>
      <c r="K592" s="80" t="str">
        <f t="shared" si="111"/>
        <v>LU</v>
      </c>
      <c r="L592" s="4" t="s">
        <v>512</v>
      </c>
      <c r="M592" s="86" t="str">
        <f>VLOOKUP(G592,[1]Hoja1!$A:$O,15,0)</f>
        <v>AGUIRRE ISABEL ITATI</v>
      </c>
      <c r="N592" s="2" t="str">
        <f t="shared" si="104"/>
        <v>4°2°4224IFTLS4LU</v>
      </c>
      <c r="O592" s="2"/>
      <c r="P592" s="2" t="str">
        <f>VLOOKUP(G592,[1]Hoja1!$A:$P,16,0)</f>
        <v xml:space="preserve"> </v>
      </c>
      <c r="Q592" s="2">
        <v>1</v>
      </c>
      <c r="R592" s="7"/>
      <c r="S592">
        <f>VLOOKUP(G592,[1]Hoja1!$A:$O,5,0)</f>
        <v>2680168</v>
      </c>
      <c r="T592"/>
      <c r="U592" s="45" t="s">
        <v>2751</v>
      </c>
      <c r="V592" s="46">
        <f t="shared" si="105"/>
        <v>2680168</v>
      </c>
      <c r="W592" s="47" t="s">
        <v>1519</v>
      </c>
      <c r="X592" s="46" t="str">
        <f t="shared" si="106"/>
        <v>2</v>
      </c>
      <c r="Y592" s="47" t="s">
        <v>1518</v>
      </c>
      <c r="Z592" s="46" t="str">
        <f t="shared" si="107"/>
        <v>M</v>
      </c>
      <c r="AA592" s="47" t="s">
        <v>2752</v>
      </c>
      <c r="AB592" s="46" t="str">
        <f t="shared" si="108"/>
        <v>LUNES</v>
      </c>
      <c r="AC592" s="47" t="s">
        <v>2753</v>
      </c>
      <c r="AD592" t="str">
        <f t="shared" si="109"/>
        <v>CONTRATURNO</v>
      </c>
      <c r="AE592" s="47" t="s">
        <v>2754</v>
      </c>
      <c r="AF592"/>
      <c r="AG592"/>
      <c r="AH592" t="str">
        <f t="shared" si="110"/>
        <v>INSERT INTO horario_curso_materia (horario_curso_materia.FK_CUR_mat,horario_curso_materia.FK_HOR,horario_curso_materia.DIA,horario_curso_materia.tipo_turno) VALUES (  (SELECT curso_materia.ID_CUR_MAT FROM curso_materia WHERE curso_materia.CUPOF='2680168' ) ,
    (SELECT horario.ID_HOR FROM horario WHERE horario.modulo='2 ' and horario.turno='M ' ),'LUNES ' , 'CONTRATURNO ' );</v>
      </c>
    </row>
    <row r="593" spans="1:34" ht="15" hidden="1" customHeight="1" x14ac:dyDescent="0.3">
      <c r="A593" s="1" t="str">
        <f t="shared" si="103"/>
        <v>4°2°</v>
      </c>
      <c r="B593" s="54" t="str">
        <f t="shared" si="112"/>
        <v>4°2°2miTARDE0</v>
      </c>
      <c r="C593" s="62">
        <f>VLOOKUP(G593,[1]Hoja1!$A:$O,3,0)</f>
        <v>0</v>
      </c>
      <c r="D593" s="2" t="str">
        <f t="shared" si="102"/>
        <v>2miT</v>
      </c>
      <c r="E593" s="62" t="s">
        <v>1343</v>
      </c>
      <c r="F593" s="62" t="s">
        <v>10</v>
      </c>
      <c r="G593" s="62" t="s">
        <v>406</v>
      </c>
      <c r="H593" s="8" t="str">
        <f>VLOOKUP(G593,[1]Hoja1!$A:$O,6,0)</f>
        <v>MATEMATICA</v>
      </c>
      <c r="I593" s="4"/>
      <c r="J593" s="4"/>
      <c r="K593" s="80" t="str">
        <f t="shared" si="111"/>
        <v>mi</v>
      </c>
      <c r="L593" s="4"/>
      <c r="M593" s="86" t="str">
        <f>VLOOKUP(G593,[1]Hoja1!$A:$O,15,0)</f>
        <v xml:space="preserve">GARCIA CLAUDIA </v>
      </c>
      <c r="N593" s="2" t="str">
        <f t="shared" si="104"/>
        <v>4°2°4IMATESmi</v>
      </c>
      <c r="O593" s="2"/>
      <c r="P593" s="2" t="str">
        <f>VLOOKUP(G593,[1]Hoja1!$A:$P,16,0)</f>
        <v xml:space="preserve"> </v>
      </c>
      <c r="Q593" s="2"/>
      <c r="S593">
        <f>VLOOKUP(G593,[1]Hoja1!$A:$O,5,0)</f>
        <v>733458</v>
      </c>
      <c r="U593" s="45" t="s">
        <v>2751</v>
      </c>
      <c r="V593" s="46">
        <f t="shared" si="105"/>
        <v>733458</v>
      </c>
      <c r="W593" s="47" t="s">
        <v>1519</v>
      </c>
      <c r="X593" s="46" t="str">
        <f t="shared" si="106"/>
        <v>2</v>
      </c>
      <c r="Y593" s="47" t="s">
        <v>1518</v>
      </c>
      <c r="Z593" s="46" t="str">
        <f t="shared" si="107"/>
        <v>T</v>
      </c>
      <c r="AA593" s="47" t="s">
        <v>2752</v>
      </c>
      <c r="AB593" s="46" t="str">
        <f t="shared" si="108"/>
        <v>MIERCOLES</v>
      </c>
      <c r="AC593" s="47" t="s">
        <v>2753</v>
      </c>
      <c r="AD593">
        <f t="shared" si="109"/>
        <v>0</v>
      </c>
      <c r="AE593" s="47" t="s">
        <v>2754</v>
      </c>
      <c r="AH593" t="str">
        <f t="shared" si="110"/>
        <v>INSERT INTO horario_curso_materia (horario_curso_materia.FK_CUR_mat,horario_curso_materia.FK_HOR,horario_curso_materia.DIA,horario_curso_materia.tipo_turno) VALUES (  (SELECT curso_materia.ID_CUR_MAT FROM curso_materia WHERE curso_materia.CUPOF='733458' ) ,
    (SELECT horario.ID_HOR FROM horario WHERE horario.modulo='2 ' and horario.turno='T ' ),'MIERCOLES ' , '0 ' );</v>
      </c>
    </row>
    <row r="594" spans="1:34" ht="15" hidden="1" customHeight="1" x14ac:dyDescent="0.3">
      <c r="A594" s="1" t="str">
        <f t="shared" si="103"/>
        <v>4°2°</v>
      </c>
      <c r="B594" s="54" t="str">
        <f t="shared" si="112"/>
        <v>4°2°2JUMAÑANA421</v>
      </c>
      <c r="C594" s="62">
        <f>VLOOKUP(G594,[1]Hoja1!$A:$O,3,0)</f>
        <v>421</v>
      </c>
      <c r="D594" s="2" t="str">
        <f t="shared" si="102"/>
        <v>2JUM31</v>
      </c>
      <c r="E594" s="62" t="s">
        <v>45</v>
      </c>
      <c r="F594" s="62" t="s">
        <v>27</v>
      </c>
      <c r="G594" s="62" t="s">
        <v>143</v>
      </c>
      <c r="H594" s="8" t="str">
        <f>VLOOKUP(G594,[1]Hoja1!$A:$O,6,0)</f>
        <v>LAB DE HARDWARE</v>
      </c>
      <c r="I594" s="4">
        <v>31</v>
      </c>
      <c r="J594" s="4"/>
      <c r="K594" s="80" t="str">
        <f t="shared" si="111"/>
        <v>JU</v>
      </c>
      <c r="L594" s="4" t="s">
        <v>512</v>
      </c>
      <c r="M594" s="86" t="str">
        <f>VLOOKUP(G594,[1]Hoja1!$A:$O,15,0)</f>
        <v>AGUIRRE ISABEL</v>
      </c>
      <c r="N594" s="2" t="str">
        <f t="shared" si="104"/>
        <v>4°2°4214IFTLH4JU</v>
      </c>
      <c r="O594" s="2"/>
      <c r="P594" s="2" t="str">
        <f>VLOOKUP(G594,[1]Hoja1!$A:$P,16,0)</f>
        <v xml:space="preserve"> </v>
      </c>
      <c r="Q594" s="2"/>
      <c r="S594">
        <f>VLOOKUP(G594,[1]Hoja1!$A:$O,5,0)</f>
        <v>2680161</v>
      </c>
      <c r="U594" s="45" t="s">
        <v>2751</v>
      </c>
      <c r="V594" s="46">
        <f t="shared" si="105"/>
        <v>2680161</v>
      </c>
      <c r="W594" s="47" t="s">
        <v>1519</v>
      </c>
      <c r="X594" s="46" t="str">
        <f t="shared" si="106"/>
        <v>2</v>
      </c>
      <c r="Y594" s="47" t="s">
        <v>1518</v>
      </c>
      <c r="Z594" s="46" t="str">
        <f t="shared" si="107"/>
        <v>M</v>
      </c>
      <c r="AA594" s="47" t="s">
        <v>2752</v>
      </c>
      <c r="AB594" s="46" t="str">
        <f t="shared" si="108"/>
        <v>JUEVES</v>
      </c>
      <c r="AC594" s="47" t="s">
        <v>2753</v>
      </c>
      <c r="AD594" t="str">
        <f t="shared" si="109"/>
        <v>CONTRATURNO</v>
      </c>
      <c r="AE594" s="47" t="s">
        <v>2754</v>
      </c>
      <c r="AH594" t="str">
        <f t="shared" si="110"/>
        <v>INSERT INTO horario_curso_materia (horario_curso_materia.FK_CUR_mat,horario_curso_materia.FK_HOR,horario_curso_materia.DIA,horario_curso_materia.tipo_turno) VALUES (  (SELECT curso_materia.ID_CUR_MAT FROM curso_materia WHERE curso_materia.CUPOF='2680161' ) ,
    (SELECT horario.ID_HOR FROM horario WHERE horario.modulo='2 ' and horario.turno='M ' ),'JUEVES ' , 'CONTRATURNO ' );</v>
      </c>
    </row>
    <row r="595" spans="1:34" ht="15" hidden="1" customHeight="1" x14ac:dyDescent="0.3">
      <c r="A595" s="1" t="str">
        <f t="shared" si="103"/>
        <v>4°2°</v>
      </c>
      <c r="B595" s="54" t="str">
        <f t="shared" si="112"/>
        <v>4°2°2MATARDE0</v>
      </c>
      <c r="C595" s="62">
        <f>VLOOKUP(G595,[1]Hoja1!$A:$O,3,0)</f>
        <v>0</v>
      </c>
      <c r="D595" s="2" t="str">
        <f t="shared" si="102"/>
        <v>2MAT</v>
      </c>
      <c r="E595" s="62" t="s">
        <v>19</v>
      </c>
      <c r="F595" s="62" t="s">
        <v>10</v>
      </c>
      <c r="G595" s="62" t="s">
        <v>408</v>
      </c>
      <c r="H595" s="8" t="str">
        <f>VLOOKUP(G595,[1]Hoja1!$A:$O,6,0)</f>
        <v>LITERATURA</v>
      </c>
      <c r="I595" s="4"/>
      <c r="J595" s="4"/>
      <c r="K595" s="80" t="str">
        <f t="shared" si="111"/>
        <v>MA</v>
      </c>
      <c r="L595" s="4"/>
      <c r="M595" s="86" t="str">
        <f>VLOOKUP(G595,[1]Hoja1!$A:$O,15,0)</f>
        <v>ALONSO, MARIA</v>
      </c>
      <c r="N595" s="2" t="str">
        <f t="shared" si="104"/>
        <v>4°2°4ILITSMA</v>
      </c>
      <c r="O595" s="2"/>
      <c r="P595" s="2" t="str">
        <f>VLOOKUP(G595,[1]Hoja1!$A:$P,16,0)</f>
        <v xml:space="preserve"> </v>
      </c>
      <c r="Q595" s="2"/>
      <c r="S595">
        <f>VLOOKUP(G595,[1]Hoja1!$A:$O,5,0)</f>
        <v>733407</v>
      </c>
      <c r="U595" s="45" t="s">
        <v>2751</v>
      </c>
      <c r="V595" s="46">
        <f t="shared" si="105"/>
        <v>733407</v>
      </c>
      <c r="W595" s="47" t="s">
        <v>1519</v>
      </c>
      <c r="X595" s="46" t="str">
        <f t="shared" si="106"/>
        <v>2</v>
      </c>
      <c r="Y595" s="47" t="s">
        <v>1518</v>
      </c>
      <c r="Z595" s="46" t="str">
        <f t="shared" si="107"/>
        <v>T</v>
      </c>
      <c r="AA595" s="47" t="s">
        <v>2752</v>
      </c>
      <c r="AB595" s="46" t="str">
        <f t="shared" si="108"/>
        <v>MARTES</v>
      </c>
      <c r="AC595" s="47" t="s">
        <v>2753</v>
      </c>
      <c r="AD595">
        <f t="shared" si="109"/>
        <v>0</v>
      </c>
      <c r="AE595" s="47" t="s">
        <v>2754</v>
      </c>
      <c r="AH595" t="str">
        <f t="shared" si="110"/>
        <v>INSERT INTO horario_curso_materia (horario_curso_materia.FK_CUR_mat,horario_curso_materia.FK_HOR,horario_curso_materia.DIA,horario_curso_materia.tipo_turno) VALUES (  (SELECT curso_materia.ID_CUR_MAT FROM curso_materia WHERE curso_materia.CUPOF='733407' ) ,
    (SELECT horario.ID_HOR FROM horario WHERE horario.modulo='2 ' and horario.turno='T ' ),'MARTES ' , '0 ' );</v>
      </c>
    </row>
    <row r="596" spans="1:34" ht="15" hidden="1" customHeight="1" x14ac:dyDescent="0.3">
      <c r="A596" s="1" t="str">
        <f t="shared" si="103"/>
        <v>4°2°</v>
      </c>
      <c r="B596" s="54" t="str">
        <f t="shared" si="112"/>
        <v>4°2°2MIMAÑANA422</v>
      </c>
      <c r="C596" s="62">
        <v>422</v>
      </c>
      <c r="D596" s="2" t="str">
        <f t="shared" si="102"/>
        <v>2MIMHARDWARE</v>
      </c>
      <c r="E596" s="62" t="s">
        <v>26</v>
      </c>
      <c r="F596" s="62" t="s">
        <v>27</v>
      </c>
      <c r="G596" s="62" t="s">
        <v>145</v>
      </c>
      <c r="H596" s="8" t="str">
        <f>VLOOKUP(G596,[1]Hoja1!$A:$O,6,0)</f>
        <v>LAB DE HARDWARE</v>
      </c>
      <c r="I596" s="4" t="s">
        <v>38</v>
      </c>
      <c r="J596" s="4"/>
      <c r="K596" s="80" t="str">
        <f t="shared" si="111"/>
        <v>MI</v>
      </c>
      <c r="L596" s="4" t="s">
        <v>512</v>
      </c>
      <c r="M596" s="86" t="str">
        <f>VLOOKUP(G596,[1]Hoja1!$A:$O,15,0)</f>
        <v>HERRERA STELLA MARIS</v>
      </c>
      <c r="N596" s="2" t="str">
        <f t="shared" si="104"/>
        <v>4°2°4224IFTLH4MI</v>
      </c>
      <c r="O596" s="2"/>
      <c r="P596" s="2" t="str">
        <f>VLOOKUP(G596,[1]Hoja1!$A:$P,16,0)</f>
        <v>CORREGIDO NO COINCIDE CON HORARIO SECRE AVISADO 20/03/23</v>
      </c>
      <c r="Q596" s="2"/>
      <c r="S596">
        <f>VLOOKUP(G596,[1]Hoja1!$A:$O,5,0)</f>
        <v>2680167</v>
      </c>
      <c r="U596" s="45" t="s">
        <v>2751</v>
      </c>
      <c r="V596" s="46">
        <f t="shared" si="105"/>
        <v>2680167</v>
      </c>
      <c r="W596" s="47" t="s">
        <v>1519</v>
      </c>
      <c r="X596" s="46" t="str">
        <f t="shared" si="106"/>
        <v>2</v>
      </c>
      <c r="Y596" s="47" t="s">
        <v>1518</v>
      </c>
      <c r="Z596" s="46" t="str">
        <f t="shared" si="107"/>
        <v>M</v>
      </c>
      <c r="AA596" s="47" t="s">
        <v>2752</v>
      </c>
      <c r="AB596" s="46" t="str">
        <f t="shared" si="108"/>
        <v>MIERCOLES</v>
      </c>
      <c r="AC596" s="47" t="s">
        <v>2753</v>
      </c>
      <c r="AD596" t="str">
        <f t="shared" si="109"/>
        <v>CONTRATURNO</v>
      </c>
      <c r="AE596" s="47" t="s">
        <v>2754</v>
      </c>
      <c r="AH596" t="str">
        <f t="shared" si="110"/>
        <v>INSERT INTO horario_curso_materia (horario_curso_materia.FK_CUR_mat,horario_curso_materia.FK_HOR,horario_curso_materia.DIA,horario_curso_materia.tipo_turno) VALUES (  (SELECT curso_materia.ID_CUR_MAT FROM curso_materia WHERE curso_materia.CUPOF='2680167' ) ,
    (SELECT horario.ID_HOR FROM horario WHERE horario.modulo='2 ' and horario.turno='M ' ),'MIERCOLES ' , 'CONTRATURNO ' );</v>
      </c>
    </row>
    <row r="597" spans="1:34" ht="15" hidden="1" customHeight="1" x14ac:dyDescent="0.3">
      <c r="A597" s="1" t="str">
        <f t="shared" si="103"/>
        <v>4°2°</v>
      </c>
      <c r="B597" s="54" t="str">
        <f t="shared" si="112"/>
        <v>4°2°2JUTARDE0</v>
      </c>
      <c r="C597" s="62">
        <f>VLOOKUP(G597,[1]Hoja1!$A:$O,3,0)</f>
        <v>0</v>
      </c>
      <c r="D597" s="2" t="str">
        <f t="shared" si="102"/>
        <v>2JUT</v>
      </c>
      <c r="E597" s="62" t="s">
        <v>45</v>
      </c>
      <c r="F597" s="62" t="s">
        <v>10</v>
      </c>
      <c r="G597" s="62" t="s">
        <v>410</v>
      </c>
      <c r="H597" s="8" t="str">
        <f>VLOOKUP(G597,[1]Hoja1!$A:$O,6,0)</f>
        <v>TECNOLOGIAS ELECTRONICAS</v>
      </c>
      <c r="I597" s="4"/>
      <c r="J597" s="4"/>
      <c r="K597" s="80" t="str">
        <f t="shared" si="111"/>
        <v>JU</v>
      </c>
      <c r="L597" s="4"/>
      <c r="M597" s="86" t="str">
        <f>VLOOKUP(G597,[1]Hoja1!$A:$O,15,0)</f>
        <v>BARONI, ROBERTO</v>
      </c>
      <c r="N597" s="2" t="str">
        <f t="shared" si="104"/>
        <v>4°2°4ITELEJU</v>
      </c>
      <c r="O597" s="2"/>
      <c r="P597" s="2" t="str">
        <f>VLOOKUP(G597,[1]Hoja1!$A:$P,16,0)</f>
        <v xml:space="preserve"> </v>
      </c>
      <c r="Q597" s="2"/>
      <c r="S597">
        <f>VLOOKUP(G597,[1]Hoja1!$A:$O,5,0)</f>
        <v>2680173</v>
      </c>
      <c r="U597" s="45" t="s">
        <v>2751</v>
      </c>
      <c r="V597" s="46">
        <f t="shared" si="105"/>
        <v>2680173</v>
      </c>
      <c r="W597" s="47" t="s">
        <v>1519</v>
      </c>
      <c r="X597" s="46" t="str">
        <f t="shared" si="106"/>
        <v>2</v>
      </c>
      <c r="Y597" s="47" t="s">
        <v>1518</v>
      </c>
      <c r="Z597" s="46" t="str">
        <f t="shared" si="107"/>
        <v>T</v>
      </c>
      <c r="AA597" s="47" t="s">
        <v>2752</v>
      </c>
      <c r="AB597" s="46" t="str">
        <f t="shared" si="108"/>
        <v>JUEVES</v>
      </c>
      <c r="AC597" s="47" t="s">
        <v>2753</v>
      </c>
      <c r="AD597">
        <f t="shared" si="109"/>
        <v>0</v>
      </c>
      <c r="AE597" s="47" t="s">
        <v>2754</v>
      </c>
      <c r="AH597" t="str">
        <f t="shared" si="110"/>
        <v>INSERT INTO horario_curso_materia (horario_curso_materia.FK_CUR_mat,horario_curso_materia.FK_HOR,horario_curso_materia.DIA,horario_curso_materia.tipo_turno) VALUES (  (SELECT curso_materia.ID_CUR_MAT FROM curso_materia WHERE curso_materia.CUPOF='2680173' ) ,
    (SELECT horario.ID_HOR FROM horario WHERE horario.modulo='2 ' and horario.turno='T ' ),'JUEVES ' , '0 ' );</v>
      </c>
    </row>
    <row r="598" spans="1:34" ht="15" hidden="1" customHeight="1" x14ac:dyDescent="0.3">
      <c r="A598" s="1" t="str">
        <f t="shared" si="103"/>
        <v>4°2°</v>
      </c>
      <c r="B598" s="54" t="str">
        <f t="shared" si="112"/>
        <v>4°2°2VIMAÑANA421</v>
      </c>
      <c r="C598" s="62">
        <f>VLOOKUP(G598,[1]Hoja1!$A:$O,3,0)</f>
        <v>421</v>
      </c>
      <c r="D598" s="2" t="str">
        <f t="shared" si="102"/>
        <v>2VIM30</v>
      </c>
      <c r="E598" s="62" t="s">
        <v>59</v>
      </c>
      <c r="F598" s="62" t="s">
        <v>27</v>
      </c>
      <c r="G598" s="62" t="s">
        <v>149</v>
      </c>
      <c r="H598" s="8" t="str">
        <f>VLOOKUP(G598,[1]Hoja1!$A:$O,6,0)</f>
        <v>LAB DE PROGRAM</v>
      </c>
      <c r="I598" s="4">
        <v>30</v>
      </c>
      <c r="J598" s="4"/>
      <c r="K598" s="80" t="str">
        <f t="shared" si="111"/>
        <v>VI</v>
      </c>
      <c r="L598" s="4" t="s">
        <v>512</v>
      </c>
      <c r="M598" s="86" t="str">
        <f>VLOOKUP(G598,[1]Hoja1!$A:$O,15,0)</f>
        <v>PROCHOR GLORIA</v>
      </c>
      <c r="N598" s="2" t="str">
        <f t="shared" si="104"/>
        <v>4°2°4214IFTLP4VI</v>
      </c>
      <c r="O598" s="2"/>
      <c r="P598" s="2" t="str">
        <f>VLOOKUP(G598,[1]Hoja1!$A:$P,16,0)</f>
        <v xml:space="preserve"> </v>
      </c>
      <c r="Q598" s="2"/>
      <c r="S598">
        <f>VLOOKUP(G598,[1]Hoja1!$A:$O,5,0)</f>
        <v>2680159</v>
      </c>
      <c r="U598" s="45" t="s">
        <v>2751</v>
      </c>
      <c r="V598" s="46">
        <f t="shared" si="105"/>
        <v>2680159</v>
      </c>
      <c r="W598" s="47" t="s">
        <v>1519</v>
      </c>
      <c r="X598" s="46" t="str">
        <f t="shared" si="106"/>
        <v>2</v>
      </c>
      <c r="Y598" s="47" t="s">
        <v>1518</v>
      </c>
      <c r="Z598" s="46" t="str">
        <f t="shared" si="107"/>
        <v>M</v>
      </c>
      <c r="AA598" s="47" t="s">
        <v>2752</v>
      </c>
      <c r="AB598" s="46" t="str">
        <f t="shared" si="108"/>
        <v>VIERNES</v>
      </c>
      <c r="AC598" s="47" t="s">
        <v>2753</v>
      </c>
      <c r="AD598" t="str">
        <f t="shared" si="109"/>
        <v>CONTRATURNO</v>
      </c>
      <c r="AE598" s="47" t="s">
        <v>2754</v>
      </c>
      <c r="AH598" t="str">
        <f t="shared" si="110"/>
        <v>INSERT INTO horario_curso_materia (horario_curso_materia.FK_CUR_mat,horario_curso_materia.FK_HOR,horario_curso_materia.DIA,horario_curso_materia.tipo_turno) VALUES (  (SELECT curso_materia.ID_CUR_MAT FROM curso_materia WHERE curso_materia.CUPOF='2680159' ) ,
    (SELECT horario.ID_HOR FROM horario WHERE horario.modulo='2 ' and horario.turno='M ' ),'VIERNES ' , 'CONTRATURNO ' );</v>
      </c>
    </row>
    <row r="599" spans="1:34" ht="15" hidden="1" customHeight="1" x14ac:dyDescent="0.3">
      <c r="A599" s="1" t="str">
        <f t="shared" si="103"/>
        <v>4°2°</v>
      </c>
      <c r="B599" s="54" t="str">
        <f t="shared" si="112"/>
        <v>4°2°2VIMAÑANA422</v>
      </c>
      <c r="C599" s="62">
        <f>VLOOKUP(G599,[1]Hoja1!$A:$O,3,0)</f>
        <v>422</v>
      </c>
      <c r="D599" s="2" t="str">
        <f t="shared" si="102"/>
        <v>2VIMHARDWARE</v>
      </c>
      <c r="E599" s="62" t="s">
        <v>59</v>
      </c>
      <c r="F599" s="62" t="s">
        <v>27</v>
      </c>
      <c r="G599" s="62" t="s">
        <v>145</v>
      </c>
      <c r="H599" s="8" t="str">
        <f>VLOOKUP(G599,[1]Hoja1!$A:$O,6,0)</f>
        <v>LAB DE HARDWARE</v>
      </c>
      <c r="I599" s="4" t="s">
        <v>38</v>
      </c>
      <c r="J599" s="4"/>
      <c r="K599" s="80" t="str">
        <f t="shared" si="111"/>
        <v>VI</v>
      </c>
      <c r="L599" s="4" t="s">
        <v>512</v>
      </c>
      <c r="M599" s="86" t="str">
        <f>VLOOKUP(G599,[1]Hoja1!$A:$O,15,0)</f>
        <v>HERRERA STELLA MARIS</v>
      </c>
      <c r="N599" s="2" t="str">
        <f t="shared" si="104"/>
        <v>4°2°4224IFTLH4VI</v>
      </c>
      <c r="O599" s="2"/>
      <c r="P599" s="2" t="str">
        <f>VLOOKUP(G599,[1]Hoja1!$A:$P,16,0)</f>
        <v>CORREGIDO NO COINCIDE CON HORARIO SECRE AVISADO 20/03/23</v>
      </c>
      <c r="Q599" s="2"/>
      <c r="S599">
        <f>VLOOKUP(G599,[1]Hoja1!$A:$O,5,0)</f>
        <v>2680167</v>
      </c>
      <c r="U599" s="45" t="s">
        <v>2751</v>
      </c>
      <c r="V599" s="46">
        <f t="shared" si="105"/>
        <v>2680167</v>
      </c>
      <c r="W599" s="47" t="s">
        <v>1519</v>
      </c>
      <c r="X599" s="46" t="str">
        <f t="shared" si="106"/>
        <v>2</v>
      </c>
      <c r="Y599" s="47" t="s">
        <v>1518</v>
      </c>
      <c r="Z599" s="46" t="str">
        <f t="shared" si="107"/>
        <v>M</v>
      </c>
      <c r="AA599" s="47" t="s">
        <v>2752</v>
      </c>
      <c r="AB599" s="46" t="str">
        <f t="shared" si="108"/>
        <v>VIERNES</v>
      </c>
      <c r="AC599" s="47" t="s">
        <v>2753</v>
      </c>
      <c r="AD599" t="str">
        <f t="shared" si="109"/>
        <v>CONTRATURNO</v>
      </c>
      <c r="AE599" s="47" t="s">
        <v>2754</v>
      </c>
      <c r="AH599" t="str">
        <f t="shared" si="110"/>
        <v>INSERT INTO horario_curso_materia (horario_curso_materia.FK_CUR_mat,horario_curso_materia.FK_HOR,horario_curso_materia.DIA,horario_curso_materia.tipo_turno) VALUES (  (SELECT curso_materia.ID_CUR_MAT FROM curso_materia WHERE curso_materia.CUPOF='2680167' ) ,
    (SELECT horario.ID_HOR FROM horario WHERE horario.modulo='2 ' and horario.turno='M ' ),'VIERNES ' , 'CONTRATURNO ' );</v>
      </c>
    </row>
    <row r="600" spans="1:34" ht="15" hidden="1" customHeight="1" x14ac:dyDescent="0.3">
      <c r="A600" s="1" t="str">
        <f t="shared" si="103"/>
        <v>4°2°</v>
      </c>
      <c r="B600" s="54" t="str">
        <f t="shared" si="112"/>
        <v>4°2°2VITARDE0</v>
      </c>
      <c r="C600" s="62">
        <f>VLOOKUP(G600,[1]Hoja1!$A:$O,3,0)</f>
        <v>0</v>
      </c>
      <c r="D600" s="2" t="str">
        <f t="shared" si="102"/>
        <v>2VIT</v>
      </c>
      <c r="E600" s="62" t="s">
        <v>59</v>
      </c>
      <c r="F600" s="62" t="s">
        <v>10</v>
      </c>
      <c r="G600" s="62" t="s">
        <v>412</v>
      </c>
      <c r="H600" s="8" t="str">
        <f>VLOOKUP(G600,[1]Hoja1!$A:$O,6,0)</f>
        <v>FISICA</v>
      </c>
      <c r="I600" s="4"/>
      <c r="J600" s="4"/>
      <c r="K600" s="80" t="str">
        <f t="shared" si="111"/>
        <v>VI</v>
      </c>
      <c r="L600" s="4"/>
      <c r="M600" s="86" t="str">
        <f>VLOOKUP(G600,[1]Hoja1!$A:$O,15,0)</f>
        <v>ESPINDOLA, S</v>
      </c>
      <c r="N600" s="2" t="str">
        <f t="shared" si="104"/>
        <v>4°2°4IFISVI</v>
      </c>
      <c r="O600" s="2"/>
      <c r="P600" s="2" t="str">
        <f>VLOOKUP(G600,[1]Hoja1!$A:$P,16,0)</f>
        <v xml:space="preserve"> </v>
      </c>
      <c r="Q600" s="2"/>
      <c r="S600">
        <f>VLOOKUP(G600,[1]Hoja1!$A:$O,5,0)</f>
        <v>733622</v>
      </c>
      <c r="U600" s="45" t="s">
        <v>2751</v>
      </c>
      <c r="V600" s="46">
        <f t="shared" si="105"/>
        <v>733622</v>
      </c>
      <c r="W600" s="47" t="s">
        <v>1519</v>
      </c>
      <c r="X600" s="46" t="str">
        <f t="shared" si="106"/>
        <v>2</v>
      </c>
      <c r="Y600" s="47" t="s">
        <v>1518</v>
      </c>
      <c r="Z600" s="46" t="str">
        <f t="shared" si="107"/>
        <v>T</v>
      </c>
      <c r="AA600" s="47" t="s">
        <v>2752</v>
      </c>
      <c r="AB600" s="46" t="str">
        <f t="shared" si="108"/>
        <v>VIERNES</v>
      </c>
      <c r="AC600" s="47" t="s">
        <v>2753</v>
      </c>
      <c r="AD600">
        <f t="shared" si="109"/>
        <v>0</v>
      </c>
      <c r="AE600" s="47" t="s">
        <v>2754</v>
      </c>
      <c r="AH600" t="str">
        <f t="shared" si="110"/>
        <v>INSERT INTO horario_curso_materia (horario_curso_materia.FK_CUR_mat,horario_curso_materia.FK_HOR,horario_curso_materia.DIA,horario_curso_materia.tipo_turno) VALUES (  (SELECT curso_materia.ID_CUR_MAT FROM curso_materia WHERE curso_materia.CUPOF='733622' ) ,
    (SELECT horario.ID_HOR FROM horario WHERE horario.modulo='2 ' and horario.turno='T ' ),'VIERNES ' , '0 ' );</v>
      </c>
    </row>
    <row r="601" spans="1:34" ht="15" hidden="1" customHeight="1" x14ac:dyDescent="0.3">
      <c r="A601" s="1" t="str">
        <f t="shared" si="103"/>
        <v>4°2°</v>
      </c>
      <c r="B601" s="54" t="str">
        <f t="shared" si="112"/>
        <v>4°2°3MAMAÑANA421</v>
      </c>
      <c r="C601" s="62">
        <f>VLOOKUP(G601,[1]Hoja1!$A:$O,3,0)</f>
        <v>421</v>
      </c>
      <c r="D601" s="2" t="str">
        <f t="shared" si="102"/>
        <v>3MAM52</v>
      </c>
      <c r="E601" s="62" t="s">
        <v>13</v>
      </c>
      <c r="F601" s="62" t="s">
        <v>27</v>
      </c>
      <c r="G601" s="62" t="s">
        <v>146</v>
      </c>
      <c r="H601" s="8" t="str">
        <f>VLOOKUP(G601,[1]Hoja1!$A:$O,6,0)</f>
        <v xml:space="preserve">LAB DE SIST OPERATIVOS   </v>
      </c>
      <c r="I601" s="4">
        <v>52</v>
      </c>
      <c r="J601" s="4"/>
      <c r="K601" s="80" t="str">
        <f t="shared" si="111"/>
        <v>MA</v>
      </c>
      <c r="L601" s="4" t="s">
        <v>512</v>
      </c>
      <c r="M601" s="86" t="str">
        <f>VLOOKUP(G601,[1]Hoja1!$A:$O,15,0)</f>
        <v xml:space="preserve">GOMEZ ANALIA </v>
      </c>
      <c r="N601" s="2" t="str">
        <f t="shared" si="104"/>
        <v>4°2°4214IFTLS4MA</v>
      </c>
      <c r="O601" s="2"/>
      <c r="P601" s="2" t="str">
        <f>VLOOKUP(G601,[1]Hoja1!$A:$P,16,0)</f>
        <v xml:space="preserve"> </v>
      </c>
      <c r="Q601" s="2"/>
      <c r="S601">
        <f>VLOOKUP(G601,[1]Hoja1!$A:$O,5,0)</f>
        <v>2680162</v>
      </c>
      <c r="U601" s="45" t="s">
        <v>2751</v>
      </c>
      <c r="V601" s="46">
        <f t="shared" si="105"/>
        <v>2680162</v>
      </c>
      <c r="W601" s="47" t="s">
        <v>1519</v>
      </c>
      <c r="X601" s="46" t="str">
        <f t="shared" si="106"/>
        <v>3</v>
      </c>
      <c r="Y601" s="47" t="s">
        <v>1518</v>
      </c>
      <c r="Z601" s="46" t="str">
        <f t="shared" si="107"/>
        <v>M</v>
      </c>
      <c r="AA601" s="47" t="s">
        <v>2752</v>
      </c>
      <c r="AB601" s="46" t="str">
        <f t="shared" si="108"/>
        <v>MARTES</v>
      </c>
      <c r="AC601" s="47" t="s">
        <v>2753</v>
      </c>
      <c r="AD601" t="str">
        <f t="shared" si="109"/>
        <v>CONTRATURNO</v>
      </c>
      <c r="AE601" s="47" t="s">
        <v>2754</v>
      </c>
      <c r="AH601" t="str">
        <f t="shared" si="110"/>
        <v>INSERT INTO horario_curso_materia (horario_curso_materia.FK_CUR_mat,horario_curso_materia.FK_HOR,horario_curso_materia.DIA,horario_curso_materia.tipo_turno) VALUES (  (SELECT curso_materia.ID_CUR_MAT FROM curso_materia WHERE curso_materia.CUPOF='2680162' ) ,
    (SELECT horario.ID_HOR FROM horario WHERE horario.modulo='3 ' and horario.turno='M ' ),'MARTES ' , 'CONTRATURNO ' );</v>
      </c>
    </row>
    <row r="602" spans="1:34" ht="15" hidden="1" customHeight="1" x14ac:dyDescent="0.3">
      <c r="A602" s="1" t="str">
        <f t="shared" si="103"/>
        <v>4°2°</v>
      </c>
      <c r="B602" s="54" t="str">
        <f t="shared" si="112"/>
        <v>4°2°3JUMAÑANA422</v>
      </c>
      <c r="C602" s="62">
        <f>VLOOKUP(G602,[1]Hoja1!$A:$O,3,0)</f>
        <v>422</v>
      </c>
      <c r="D602" s="2" t="str">
        <f t="shared" si="102"/>
        <v>3JUM41</v>
      </c>
      <c r="E602" s="62" t="s">
        <v>46</v>
      </c>
      <c r="F602" s="62" t="s">
        <v>27</v>
      </c>
      <c r="G602" s="62" t="s">
        <v>148</v>
      </c>
      <c r="H602" s="8" t="str">
        <f>VLOOKUP(G602,[1]Hoja1!$A:$O,6,0)</f>
        <v>LAB DE PROGRAM</v>
      </c>
      <c r="I602" s="4">
        <v>41</v>
      </c>
      <c r="J602" s="4"/>
      <c r="K602" s="80" t="str">
        <f t="shared" si="111"/>
        <v>JU</v>
      </c>
      <c r="L602" s="4" t="s">
        <v>512</v>
      </c>
      <c r="M602" s="86" t="str">
        <f>VLOOKUP(G602,[1]Hoja1!$A:$O,15,0)</f>
        <v xml:space="preserve">HERRERA STELLA MARIS   </v>
      </c>
      <c r="N602" s="2" t="str">
        <f t="shared" si="104"/>
        <v>4°2°4224IFTLP4JU</v>
      </c>
      <c r="O602" s="2"/>
      <c r="P602" s="2" t="str">
        <f>VLOOKUP(G602,[1]Hoja1!$A:$P,16,0)</f>
        <v xml:space="preserve"> </v>
      </c>
      <c r="Q602" s="2"/>
      <c r="S602">
        <f>VLOOKUP(G602,[1]Hoja1!$A:$O,5,0)</f>
        <v>2680165</v>
      </c>
      <c r="U602" s="45" t="s">
        <v>2751</v>
      </c>
      <c r="V602" s="46">
        <f t="shared" si="105"/>
        <v>2680165</v>
      </c>
      <c r="W602" s="47" t="s">
        <v>1519</v>
      </c>
      <c r="X602" s="46" t="str">
        <f t="shared" si="106"/>
        <v>3</v>
      </c>
      <c r="Y602" s="47" t="s">
        <v>1518</v>
      </c>
      <c r="Z602" s="46" t="str">
        <f t="shared" si="107"/>
        <v>M</v>
      </c>
      <c r="AA602" s="47" t="s">
        <v>2752</v>
      </c>
      <c r="AB602" s="46" t="str">
        <f t="shared" si="108"/>
        <v>JUEVES</v>
      </c>
      <c r="AC602" s="47" t="s">
        <v>2753</v>
      </c>
      <c r="AD602" t="str">
        <f t="shared" si="109"/>
        <v>CONTRATURNO</v>
      </c>
      <c r="AE602" s="47" t="s">
        <v>2754</v>
      </c>
      <c r="AH602" t="str">
        <f t="shared" si="110"/>
        <v>INSERT INTO horario_curso_materia (horario_curso_materia.FK_CUR_mat,horario_curso_materia.FK_HOR,horario_curso_materia.DIA,horario_curso_materia.tipo_turno) VALUES (  (SELECT curso_materia.ID_CUR_MAT FROM curso_materia WHERE curso_materia.CUPOF='2680165' ) ,
    (SELECT horario.ID_HOR FROM horario WHERE horario.modulo='3 ' and horario.turno='M ' ),'JUEVES ' , 'CONTRATURNO ' );</v>
      </c>
    </row>
    <row r="603" spans="1:34" ht="15" hidden="1" customHeight="1" x14ac:dyDescent="0.3">
      <c r="A603" s="1" t="str">
        <f t="shared" si="103"/>
        <v>4°2°</v>
      </c>
      <c r="B603" s="54" t="str">
        <f t="shared" si="112"/>
        <v>4°2°3JUTARDE0</v>
      </c>
      <c r="C603" s="62">
        <f>VLOOKUP(G603,[1]Hoja1!$A:$O,3,0)</f>
        <v>0</v>
      </c>
      <c r="D603" s="2" t="str">
        <f t="shared" si="102"/>
        <v>3JUT</v>
      </c>
      <c r="E603" s="62" t="s">
        <v>46</v>
      </c>
      <c r="F603" s="62" t="s">
        <v>10</v>
      </c>
      <c r="G603" s="62" t="s">
        <v>413</v>
      </c>
      <c r="H603" s="8" t="str">
        <f>VLOOKUP(G603,[1]Hoja1!$A:$O,6,0)</f>
        <v>HISTORIA</v>
      </c>
      <c r="I603" s="4"/>
      <c r="J603" s="4"/>
      <c r="K603" s="80" t="str">
        <f t="shared" si="111"/>
        <v>JU</v>
      </c>
      <c r="L603" s="4"/>
      <c r="M603" s="86" t="str">
        <f>VLOOKUP(G603,[1]Hoja1!$A:$O,15,0)</f>
        <v>GILES NATALIA</v>
      </c>
      <c r="N603" s="2" t="str">
        <f t="shared" si="104"/>
        <v>4°2°4IHISJU</v>
      </c>
      <c r="O603" s="2"/>
      <c r="P603" s="2" t="str">
        <f>VLOOKUP(G603,[1]Hoja1!$A:$P,16,0)</f>
        <v xml:space="preserve"> </v>
      </c>
      <c r="Q603" s="2"/>
      <c r="S603">
        <f>VLOOKUP(G603,[1]Hoja1!$A:$O,5,0)</f>
        <v>733419</v>
      </c>
      <c r="U603" s="45" t="s">
        <v>2751</v>
      </c>
      <c r="V603" s="46">
        <f t="shared" si="105"/>
        <v>733419</v>
      </c>
      <c r="W603" s="47" t="s">
        <v>1519</v>
      </c>
      <c r="X603" s="46" t="str">
        <f t="shared" si="106"/>
        <v>3</v>
      </c>
      <c r="Y603" s="47" t="s">
        <v>1518</v>
      </c>
      <c r="Z603" s="46" t="str">
        <f t="shared" si="107"/>
        <v>T</v>
      </c>
      <c r="AA603" s="47" t="s">
        <v>2752</v>
      </c>
      <c r="AB603" s="46" t="str">
        <f t="shared" si="108"/>
        <v>JUEVES</v>
      </c>
      <c r="AC603" s="47" t="s">
        <v>2753</v>
      </c>
      <c r="AD603">
        <f t="shared" si="109"/>
        <v>0</v>
      </c>
      <c r="AE603" s="47" t="s">
        <v>2754</v>
      </c>
      <c r="AH603" t="str">
        <f t="shared" si="110"/>
        <v>INSERT INTO horario_curso_materia (horario_curso_materia.FK_CUR_mat,horario_curso_materia.FK_HOR,horario_curso_materia.DIA,horario_curso_materia.tipo_turno) VALUES (  (SELECT curso_materia.ID_CUR_MAT FROM curso_materia WHERE curso_materia.CUPOF='733419' ) ,
    (SELECT horario.ID_HOR FROM horario WHERE horario.modulo='3 ' and horario.turno='T ' ),'JUEVES ' , '0 ' );</v>
      </c>
    </row>
    <row r="604" spans="1:34" ht="15" hidden="1" customHeight="1" x14ac:dyDescent="0.3">
      <c r="A604" s="1" t="str">
        <f t="shared" si="103"/>
        <v>4°2°</v>
      </c>
      <c r="B604" s="54" t="str">
        <f t="shared" si="112"/>
        <v>4°2°3LUMAÑANA422</v>
      </c>
      <c r="C604" s="62">
        <f>VLOOKUP(G604,[1]Hoja1!$A:$O,3,0)</f>
        <v>422</v>
      </c>
      <c r="D604" s="2" t="str">
        <f t="shared" si="102"/>
        <v>3LUM30</v>
      </c>
      <c r="E604" s="62" t="s">
        <v>29</v>
      </c>
      <c r="F604" s="62" t="s">
        <v>27</v>
      </c>
      <c r="G604" s="62" t="s">
        <v>142</v>
      </c>
      <c r="H604" s="8" t="str">
        <f>VLOOKUP(G604,[1]Hoja1!$A:$O,6,0)</f>
        <v xml:space="preserve">LAB DE SIST OPERATIVOS   </v>
      </c>
      <c r="I604" s="4">
        <v>30</v>
      </c>
      <c r="J604" s="4"/>
      <c r="K604" s="80" t="str">
        <f t="shared" si="111"/>
        <v>LU</v>
      </c>
      <c r="L604" s="4" t="s">
        <v>512</v>
      </c>
      <c r="M604" s="86" t="str">
        <f>VLOOKUP(G604,[1]Hoja1!$A:$O,15,0)</f>
        <v>AGUIRRE ISABEL ITATI</v>
      </c>
      <c r="N604" s="2" t="str">
        <f t="shared" si="104"/>
        <v>4°2°4224IFTLS4LU</v>
      </c>
      <c r="O604" s="2"/>
      <c r="P604" s="2" t="str">
        <f>VLOOKUP(G604,[1]Hoja1!$A:$P,16,0)</f>
        <v xml:space="preserve"> </v>
      </c>
      <c r="Q604" s="2">
        <v>1</v>
      </c>
      <c r="S604">
        <f>VLOOKUP(G604,[1]Hoja1!$A:$O,5,0)</f>
        <v>2680168</v>
      </c>
      <c r="U604" s="45" t="s">
        <v>2751</v>
      </c>
      <c r="V604" s="46">
        <f t="shared" si="105"/>
        <v>2680168</v>
      </c>
      <c r="W604" s="47" t="s">
        <v>1519</v>
      </c>
      <c r="X604" s="46" t="str">
        <f t="shared" si="106"/>
        <v>3</v>
      </c>
      <c r="Y604" s="47" t="s">
        <v>1518</v>
      </c>
      <c r="Z604" s="46" t="str">
        <f t="shared" si="107"/>
        <v>M</v>
      </c>
      <c r="AA604" s="47" t="s">
        <v>2752</v>
      </c>
      <c r="AB604" s="46" t="str">
        <f t="shared" si="108"/>
        <v>LUNES</v>
      </c>
      <c r="AC604" s="47" t="s">
        <v>2753</v>
      </c>
      <c r="AD604" t="str">
        <f t="shared" si="109"/>
        <v>CONTRATURNO</v>
      </c>
      <c r="AE604" s="47" t="s">
        <v>2754</v>
      </c>
      <c r="AH604" t="str">
        <f t="shared" si="110"/>
        <v>INSERT INTO horario_curso_materia (horario_curso_materia.FK_CUR_mat,horario_curso_materia.FK_HOR,horario_curso_materia.DIA,horario_curso_materia.tipo_turno) VALUES (  (SELECT curso_materia.ID_CUR_MAT FROM curso_materia WHERE curso_materia.CUPOF='2680168' ) ,
    (SELECT horario.ID_HOR FROM horario WHERE horario.modulo='3 ' and horario.turno='M ' ),'LUNES ' , 'CONTRATURNO ' );</v>
      </c>
    </row>
    <row r="605" spans="1:34" ht="15" hidden="1" customHeight="1" x14ac:dyDescent="0.3">
      <c r="A605" s="1" t="str">
        <f t="shared" si="103"/>
        <v>4°2°</v>
      </c>
      <c r="B605" s="54" t="str">
        <f t="shared" si="112"/>
        <v>4°2°3LUTARDE0</v>
      </c>
      <c r="C605" s="62">
        <f>VLOOKUP(G605,[1]Hoja1!$A:$O,3,0)</f>
        <v>0</v>
      </c>
      <c r="D605" s="2" t="str">
        <f t="shared" si="102"/>
        <v>3LUT</v>
      </c>
      <c r="E605" s="62" t="s">
        <v>29</v>
      </c>
      <c r="F605" s="62" t="s">
        <v>10</v>
      </c>
      <c r="G605" s="62" t="s">
        <v>407</v>
      </c>
      <c r="H605" s="8" t="str">
        <f>VLOOKUP(G605,[1]Hoja1!$A:$O,6,0)</f>
        <v>INGLÉS</v>
      </c>
      <c r="I605" s="4"/>
      <c r="J605" s="4"/>
      <c r="K605" s="80" t="str">
        <f t="shared" si="111"/>
        <v>LU</v>
      </c>
      <c r="L605" s="4"/>
      <c r="M605" s="86" t="str">
        <f>VLOOKUP(G605,[1]Hoja1!$A:$O,15,0)</f>
        <v xml:space="preserve">ARCE KARINA </v>
      </c>
      <c r="N605" s="2" t="str">
        <f t="shared" si="104"/>
        <v>4°2°4IINGSLU</v>
      </c>
      <c r="O605" s="2"/>
      <c r="P605" s="2" t="str">
        <f>VLOOKUP(G605,[1]Hoja1!$A:$P,16,0)</f>
        <v xml:space="preserve"> </v>
      </c>
      <c r="Q605" s="2"/>
      <c r="S605">
        <f>VLOOKUP(G605,[1]Hoja1!$A:$O,5,0)</f>
        <v>733377</v>
      </c>
      <c r="U605" s="45" t="s">
        <v>2751</v>
      </c>
      <c r="V605" s="46">
        <f t="shared" si="105"/>
        <v>733377</v>
      </c>
      <c r="W605" s="47" t="s">
        <v>1519</v>
      </c>
      <c r="X605" s="46" t="str">
        <f t="shared" si="106"/>
        <v>3</v>
      </c>
      <c r="Y605" s="47" t="s">
        <v>1518</v>
      </c>
      <c r="Z605" s="46" t="str">
        <f t="shared" si="107"/>
        <v>T</v>
      </c>
      <c r="AA605" s="47" t="s">
        <v>2752</v>
      </c>
      <c r="AB605" s="46" t="str">
        <f t="shared" si="108"/>
        <v>LUNES</v>
      </c>
      <c r="AC605" s="47" t="s">
        <v>2753</v>
      </c>
      <c r="AD605">
        <f t="shared" si="109"/>
        <v>0</v>
      </c>
      <c r="AE605" s="47" t="s">
        <v>2754</v>
      </c>
      <c r="AH605" t="str">
        <f t="shared" si="110"/>
        <v>INSERT INTO horario_curso_materia (horario_curso_materia.FK_CUR_mat,horario_curso_materia.FK_HOR,horario_curso_materia.DIA,horario_curso_materia.tipo_turno) VALUES (  (SELECT curso_materia.ID_CUR_MAT FROM curso_materia WHERE curso_materia.CUPOF='733377' ) ,
    (SELECT horario.ID_HOR FROM horario WHERE horario.modulo='3 ' and horario.turno='T ' ),'LUNES ' , '0 ' );</v>
      </c>
    </row>
    <row r="606" spans="1:34" ht="15" hidden="1" customHeight="1" x14ac:dyDescent="0.3">
      <c r="A606" s="1" t="str">
        <f t="shared" si="103"/>
        <v>4°2°</v>
      </c>
      <c r="B606" s="54" t="str">
        <f t="shared" si="112"/>
        <v>4°2°3JUMAÑANA421</v>
      </c>
      <c r="C606" s="62">
        <f>VLOOKUP(G606,[1]Hoja1!$A:$O,3,0)</f>
        <v>421</v>
      </c>
      <c r="D606" s="2" t="str">
        <f t="shared" si="102"/>
        <v>3JUM31</v>
      </c>
      <c r="E606" s="62" t="s">
        <v>46</v>
      </c>
      <c r="F606" s="62" t="s">
        <v>27</v>
      </c>
      <c r="G606" s="62" t="s">
        <v>143</v>
      </c>
      <c r="H606" s="8" t="str">
        <f>VLOOKUP(G606,[1]Hoja1!$A:$O,6,0)</f>
        <v>LAB DE HARDWARE</v>
      </c>
      <c r="I606" s="4">
        <v>31</v>
      </c>
      <c r="J606" s="4"/>
      <c r="K606" s="80" t="str">
        <f t="shared" si="111"/>
        <v>JU</v>
      </c>
      <c r="L606" s="4" t="s">
        <v>512</v>
      </c>
      <c r="M606" s="86" t="str">
        <f>VLOOKUP(G606,[1]Hoja1!$A:$O,15,0)</f>
        <v>AGUIRRE ISABEL</v>
      </c>
      <c r="N606" s="2" t="str">
        <f t="shared" si="104"/>
        <v>4°2°4214IFTLH4JU</v>
      </c>
      <c r="O606" s="2"/>
      <c r="P606" s="2" t="str">
        <f>VLOOKUP(G606,[1]Hoja1!$A:$P,16,0)</f>
        <v xml:space="preserve"> </v>
      </c>
      <c r="Q606" s="2"/>
      <c r="S606">
        <f>VLOOKUP(G606,[1]Hoja1!$A:$O,5,0)</f>
        <v>2680161</v>
      </c>
      <c r="U606" s="45" t="s">
        <v>2751</v>
      </c>
      <c r="V606" s="46">
        <f t="shared" si="105"/>
        <v>2680161</v>
      </c>
      <c r="W606" s="47" t="s">
        <v>1519</v>
      </c>
      <c r="X606" s="46" t="str">
        <f t="shared" si="106"/>
        <v>3</v>
      </c>
      <c r="Y606" s="47" t="s">
        <v>1518</v>
      </c>
      <c r="Z606" s="46" t="str">
        <f t="shared" si="107"/>
        <v>M</v>
      </c>
      <c r="AA606" s="47" t="s">
        <v>2752</v>
      </c>
      <c r="AB606" s="46" t="str">
        <f t="shared" si="108"/>
        <v>JUEVES</v>
      </c>
      <c r="AC606" s="47" t="s">
        <v>2753</v>
      </c>
      <c r="AD606" t="str">
        <f t="shared" si="109"/>
        <v>CONTRATURNO</v>
      </c>
      <c r="AE606" s="47" t="s">
        <v>2754</v>
      </c>
      <c r="AH606" t="str">
        <f t="shared" si="110"/>
        <v>INSERT INTO horario_curso_materia (horario_curso_materia.FK_CUR_mat,horario_curso_materia.FK_HOR,horario_curso_materia.DIA,horario_curso_materia.tipo_turno) VALUES (  (SELECT curso_materia.ID_CUR_MAT FROM curso_materia WHERE curso_materia.CUPOF='2680161' ) ,
    (SELECT horario.ID_HOR FROM horario WHERE horario.modulo='3 ' and horario.turno='M ' ),'JUEVES ' , 'CONTRATURNO ' );</v>
      </c>
    </row>
    <row r="607" spans="1:34" ht="15" hidden="1" customHeight="1" x14ac:dyDescent="0.3">
      <c r="A607" s="1" t="str">
        <f t="shared" si="103"/>
        <v>4°2°</v>
      </c>
      <c r="B607" s="54" t="str">
        <f t="shared" si="112"/>
        <v>4°2°3MATARDE0</v>
      </c>
      <c r="C607" s="62">
        <f>VLOOKUP(G607,[1]Hoja1!$A:$O,3,0)</f>
        <v>0</v>
      </c>
      <c r="D607" s="2" t="str">
        <f t="shared" si="102"/>
        <v>3MAT</v>
      </c>
      <c r="E607" s="62" t="s">
        <v>13</v>
      </c>
      <c r="F607" s="62" t="s">
        <v>10</v>
      </c>
      <c r="G607" s="62" t="s">
        <v>409</v>
      </c>
      <c r="H607" s="8" t="str">
        <f>VLOOKUP(G607,[1]Hoja1!$A:$O,6,0)</f>
        <v>GEOGRAFIA</v>
      </c>
      <c r="I607" s="4"/>
      <c r="J607" s="4"/>
      <c r="K607" s="80" t="str">
        <f t="shared" si="111"/>
        <v>MA</v>
      </c>
      <c r="L607" s="4"/>
      <c r="M607" s="86" t="str">
        <f>VLOOKUP(G607,[1]Hoja1!$A:$O,15,0)</f>
        <v xml:space="preserve">BRAVO MARIA </v>
      </c>
      <c r="N607" s="2" t="str">
        <f t="shared" si="104"/>
        <v>4°2°4IGEOSMA</v>
      </c>
      <c r="O607" s="2"/>
      <c r="P607" s="2" t="str">
        <f>VLOOKUP(G607,[1]Hoja1!$A:$P,16,0)</f>
        <v xml:space="preserve"> </v>
      </c>
      <c r="Q607" s="2"/>
      <c r="S607">
        <f>VLOOKUP(G607,[1]Hoja1!$A:$O,5,0)</f>
        <v>1517157</v>
      </c>
      <c r="U607" s="45" t="s">
        <v>2751</v>
      </c>
      <c r="V607" s="46">
        <f t="shared" si="105"/>
        <v>1517157</v>
      </c>
      <c r="W607" s="47" t="s">
        <v>1519</v>
      </c>
      <c r="X607" s="46" t="str">
        <f t="shared" si="106"/>
        <v>3</v>
      </c>
      <c r="Y607" s="47" t="s">
        <v>1518</v>
      </c>
      <c r="Z607" s="46" t="str">
        <f t="shared" si="107"/>
        <v>T</v>
      </c>
      <c r="AA607" s="47" t="s">
        <v>2752</v>
      </c>
      <c r="AB607" s="46" t="str">
        <f t="shared" si="108"/>
        <v>MARTES</v>
      </c>
      <c r="AC607" s="47" t="s">
        <v>2753</v>
      </c>
      <c r="AD607">
        <f t="shared" si="109"/>
        <v>0</v>
      </c>
      <c r="AE607" s="47" t="s">
        <v>2754</v>
      </c>
      <c r="AH607" t="str">
        <f t="shared" si="110"/>
        <v>INSERT INTO horario_curso_materia (horario_curso_materia.FK_CUR_mat,horario_curso_materia.FK_HOR,horario_curso_materia.DIA,horario_curso_materia.tipo_turno) VALUES (  (SELECT curso_materia.ID_CUR_MAT FROM curso_materia WHERE curso_materia.CUPOF='1517157' ) ,
    (SELECT horario.ID_HOR FROM horario WHERE horario.modulo='3 ' and horario.turno='T ' ),'MARTES ' , '0 ' );</v>
      </c>
    </row>
    <row r="608" spans="1:34" ht="15" hidden="1" customHeight="1" x14ac:dyDescent="0.3">
      <c r="A608" s="1" t="str">
        <f t="shared" si="103"/>
        <v>4°2°</v>
      </c>
      <c r="B608" s="54" t="str">
        <f t="shared" si="112"/>
        <v>4°2°3MIMAÑANA0</v>
      </c>
      <c r="C608" s="62">
        <f>VLOOKUP(G608,[1]Hoja1!$A:$O,3,0)</f>
        <v>0</v>
      </c>
      <c r="D608" s="2" t="str">
        <f t="shared" si="102"/>
        <v>3MIMPATIO2</v>
      </c>
      <c r="E608" s="62" t="s">
        <v>50</v>
      </c>
      <c r="F608" s="62" t="s">
        <v>27</v>
      </c>
      <c r="G608" s="62" t="s">
        <v>415</v>
      </c>
      <c r="H608" s="8" t="str">
        <f>VLOOKUP(G608,[1]Hoja1!$A:$O,6,0)</f>
        <v>EDUCACIÓN FISICA</v>
      </c>
      <c r="I608" s="4" t="s">
        <v>295</v>
      </c>
      <c r="J608" s="4"/>
      <c r="K608" s="80" t="str">
        <f t="shared" si="111"/>
        <v>MI</v>
      </c>
      <c r="L608" s="4" t="s">
        <v>512</v>
      </c>
      <c r="M608" s="86" t="str">
        <f>VLOOKUP(G608,[1]Hoja1!$A:$O,15,0)</f>
        <v>RIOS, LEONARDO</v>
      </c>
      <c r="N608" s="2" t="str">
        <f t="shared" si="104"/>
        <v>4°2°4IEFISMI</v>
      </c>
      <c r="O608" s="2"/>
      <c r="P608" s="2" t="str">
        <f>VLOOKUP(G608,[1]Hoja1!$A:$P,16,0)</f>
        <v xml:space="preserve"> </v>
      </c>
      <c r="Q608" s="2"/>
      <c r="S608">
        <f>VLOOKUP(G608,[1]Hoja1!$A:$O,5,0)</f>
        <v>938354</v>
      </c>
      <c r="U608" s="45" t="s">
        <v>2751</v>
      </c>
      <c r="V608" s="46">
        <f t="shared" si="105"/>
        <v>938354</v>
      </c>
      <c r="W608" s="47" t="s">
        <v>1519</v>
      </c>
      <c r="X608" s="46" t="str">
        <f t="shared" si="106"/>
        <v>3</v>
      </c>
      <c r="Y608" s="47" t="s">
        <v>1518</v>
      </c>
      <c r="Z608" s="46" t="str">
        <f t="shared" si="107"/>
        <v>M</v>
      </c>
      <c r="AA608" s="47" t="s">
        <v>2752</v>
      </c>
      <c r="AB608" s="46" t="str">
        <f t="shared" si="108"/>
        <v>MIERCOLES</v>
      </c>
      <c r="AC608" s="47" t="s">
        <v>2753</v>
      </c>
      <c r="AD608" t="str">
        <f t="shared" si="109"/>
        <v>CONTRATURNO</v>
      </c>
      <c r="AE608" s="47" t="s">
        <v>2754</v>
      </c>
      <c r="AH608" t="str">
        <f t="shared" si="110"/>
        <v>INSERT INTO horario_curso_materia (horario_curso_materia.FK_CUR_mat,horario_curso_materia.FK_HOR,horario_curso_materia.DIA,horario_curso_materia.tipo_turno) VALUES (  (SELECT curso_materia.ID_CUR_MAT FROM curso_materia WHERE curso_materia.CUPOF='938354' ) ,
    (SELECT horario.ID_HOR FROM horario WHERE horario.modulo='3 ' and horario.turno='M ' ),'MIERCOLES ' , 'CONTRATURNO ' );</v>
      </c>
    </row>
    <row r="609" spans="1:34" ht="15" hidden="1" customHeight="1" x14ac:dyDescent="0.3">
      <c r="A609" s="1" t="str">
        <f t="shared" si="103"/>
        <v>4°2°</v>
      </c>
      <c r="B609" s="54" t="str">
        <f t="shared" si="112"/>
        <v>4°2°3MITARDE0</v>
      </c>
      <c r="C609" s="62">
        <f>VLOOKUP(G609,[1]Hoja1!$A:$O,3,0)</f>
        <v>0</v>
      </c>
      <c r="D609" s="2" t="str">
        <f t="shared" ref="D609:D668" si="113">CONCATENATE(E609,LEFT(F609,1),I609)</f>
        <v>3MIT</v>
      </c>
      <c r="E609" s="62" t="s">
        <v>50</v>
      </c>
      <c r="F609" s="62" t="s">
        <v>10</v>
      </c>
      <c r="G609" s="62" t="s">
        <v>411</v>
      </c>
      <c r="H609" s="8" t="str">
        <f>VLOOKUP(G609,[1]Hoja1!$A:$O,6,0)</f>
        <v>SALUD Y ADOLESCENCIA</v>
      </c>
      <c r="I609" s="4"/>
      <c r="J609" s="4"/>
      <c r="K609" s="80" t="str">
        <f t="shared" si="111"/>
        <v>MI</v>
      </c>
      <c r="L609" s="4"/>
      <c r="M609" s="86" t="str">
        <f>VLOOKUP(G609,[1]Hoja1!$A:$O,15,0)</f>
        <v>RODRIGUEZ GUTIERRES, PAOLA</v>
      </c>
      <c r="N609" s="2" t="str">
        <f t="shared" si="104"/>
        <v>4°2°4ISADSMI</v>
      </c>
      <c r="O609" s="2"/>
      <c r="P609" s="2" t="str">
        <f>VLOOKUP(G609,[1]Hoja1!$A:$P,16,0)</f>
        <v xml:space="preserve"> </v>
      </c>
      <c r="Q609" s="2"/>
      <c r="S609">
        <f>VLOOKUP(G609,[1]Hoja1!$A:$O,5,0)</f>
        <v>1517133</v>
      </c>
      <c r="U609" s="45" t="s">
        <v>2751</v>
      </c>
      <c r="V609" s="46">
        <f t="shared" si="105"/>
        <v>1517133</v>
      </c>
      <c r="W609" s="47" t="s">
        <v>1519</v>
      </c>
      <c r="X609" s="46" t="str">
        <f t="shared" si="106"/>
        <v>3</v>
      </c>
      <c r="Y609" s="47" t="s">
        <v>1518</v>
      </c>
      <c r="Z609" s="46" t="str">
        <f t="shared" si="107"/>
        <v>T</v>
      </c>
      <c r="AA609" s="47" t="s">
        <v>2752</v>
      </c>
      <c r="AB609" s="46" t="str">
        <f t="shared" si="108"/>
        <v>MIERCOLES</v>
      </c>
      <c r="AC609" s="47" t="s">
        <v>2753</v>
      </c>
      <c r="AD609">
        <f t="shared" si="109"/>
        <v>0</v>
      </c>
      <c r="AE609" s="47" t="s">
        <v>2754</v>
      </c>
      <c r="AH609" t="str">
        <f t="shared" si="110"/>
        <v>INSERT INTO horario_curso_materia (horario_curso_materia.FK_CUR_mat,horario_curso_materia.FK_HOR,horario_curso_materia.DIA,horario_curso_materia.tipo_turno) VALUES (  (SELECT curso_materia.ID_CUR_MAT FROM curso_materia WHERE curso_materia.CUPOF='1517133' ) ,
    (SELECT horario.ID_HOR FROM horario WHERE horario.modulo='3 ' and horario.turno='T ' ),'MIERCOLES ' , '0 ' );</v>
      </c>
    </row>
    <row r="610" spans="1:34" ht="15" hidden="1" customHeight="1" x14ac:dyDescent="0.3">
      <c r="A610" s="1" t="str">
        <f t="shared" si="103"/>
        <v>4°2°</v>
      </c>
      <c r="B610" s="54" t="str">
        <f t="shared" si="112"/>
        <v>4°2°3VIMAÑANA421</v>
      </c>
      <c r="C610" s="62">
        <f>VLOOKUP(G610,[1]Hoja1!$A:$O,3,0)</f>
        <v>421</v>
      </c>
      <c r="D610" s="2" t="str">
        <f t="shared" si="113"/>
        <v>3VIM30</v>
      </c>
      <c r="E610" s="62" t="s">
        <v>35</v>
      </c>
      <c r="F610" s="62" t="s">
        <v>27</v>
      </c>
      <c r="G610" s="62" t="s">
        <v>144</v>
      </c>
      <c r="H610" s="8" t="str">
        <f>VLOOKUP(G610,[1]Hoja1!$A:$O,6,0)</f>
        <v>LAB DE APLICACIONES</v>
      </c>
      <c r="I610" s="4">
        <v>30</v>
      </c>
      <c r="J610" s="4"/>
      <c r="K610" s="80" t="str">
        <f t="shared" si="111"/>
        <v>VI</v>
      </c>
      <c r="L610" s="4" t="s">
        <v>512</v>
      </c>
      <c r="M610" s="86" t="str">
        <f>VLOOKUP(G610,[1]Hoja1!$A:$O,15,0)</f>
        <v>PROCHOR GLORIA</v>
      </c>
      <c r="N610" s="2" t="str">
        <f t="shared" si="104"/>
        <v>4°2°4214IFTLA4VI</v>
      </c>
      <c r="O610" s="2"/>
      <c r="P610" s="2" t="str">
        <f>VLOOKUP(G610,[1]Hoja1!$A:$P,16,0)</f>
        <v xml:space="preserve"> </v>
      </c>
      <c r="Q610" s="2"/>
      <c r="S610">
        <f>VLOOKUP(G610,[1]Hoja1!$A:$O,5,0)</f>
        <v>2680163</v>
      </c>
      <c r="U610" s="45" t="s">
        <v>2751</v>
      </c>
      <c r="V610" s="46">
        <f t="shared" si="105"/>
        <v>2680163</v>
      </c>
      <c r="W610" s="47" t="s">
        <v>1519</v>
      </c>
      <c r="X610" s="46" t="str">
        <f t="shared" si="106"/>
        <v>3</v>
      </c>
      <c r="Y610" s="47" t="s">
        <v>1518</v>
      </c>
      <c r="Z610" s="46" t="str">
        <f t="shared" si="107"/>
        <v>M</v>
      </c>
      <c r="AA610" s="47" t="s">
        <v>2752</v>
      </c>
      <c r="AB610" s="46" t="str">
        <f t="shared" si="108"/>
        <v>VIERNES</v>
      </c>
      <c r="AC610" s="47" t="s">
        <v>2753</v>
      </c>
      <c r="AD610" t="str">
        <f t="shared" si="109"/>
        <v>CONTRATURNO</v>
      </c>
      <c r="AE610" s="47" t="s">
        <v>2754</v>
      </c>
      <c r="AH610" t="str">
        <f t="shared" si="110"/>
        <v>INSERT INTO horario_curso_materia (horario_curso_materia.FK_CUR_mat,horario_curso_materia.FK_HOR,horario_curso_materia.DIA,horario_curso_materia.tipo_turno) VALUES (  (SELECT curso_materia.ID_CUR_MAT FROM curso_materia WHERE curso_materia.CUPOF='2680163' ) ,
    (SELECT horario.ID_HOR FROM horario WHERE horario.modulo='3 ' and horario.turno='M ' ),'VIERNES ' , 'CONTRATURNO ' );</v>
      </c>
    </row>
    <row r="611" spans="1:34" ht="15" hidden="1" customHeight="1" x14ac:dyDescent="0.3">
      <c r="A611" s="1" t="str">
        <f t="shared" si="103"/>
        <v>4°2°</v>
      </c>
      <c r="B611" s="54" t="str">
        <f t="shared" si="112"/>
        <v>4°2°3VITARDE0</v>
      </c>
      <c r="C611" s="62">
        <f>VLOOKUP(G611,[1]Hoja1!$A:$O,3,0)</f>
        <v>0</v>
      </c>
      <c r="D611" s="2" t="str">
        <f t="shared" si="113"/>
        <v>3VIT</v>
      </c>
      <c r="E611" s="62" t="s">
        <v>35</v>
      </c>
      <c r="F611" s="62" t="s">
        <v>10</v>
      </c>
      <c r="G611" s="62" t="s">
        <v>414</v>
      </c>
      <c r="H611" s="8" t="str">
        <f>VLOOKUP(G611,[1]Hoja1!$A:$O,6,0)</f>
        <v>QUIMICA</v>
      </c>
      <c r="I611" s="4"/>
      <c r="J611" s="4"/>
      <c r="K611" s="80" t="str">
        <f t="shared" si="111"/>
        <v>VI</v>
      </c>
      <c r="L611" s="4"/>
      <c r="M611" s="86" t="str">
        <f>VLOOKUP(G611,[1]Hoja1!$A:$O,15,0)</f>
        <v>CASCIANO CLAUDIO RUBEN</v>
      </c>
      <c r="N611" s="2" t="str">
        <f t="shared" si="104"/>
        <v>4°2°4IQUISVI</v>
      </c>
      <c r="O611" s="2"/>
      <c r="P611" s="2" t="str">
        <f>VLOOKUP(G611,[1]Hoja1!$A:$P,16,0)</f>
        <v xml:space="preserve"> </v>
      </c>
      <c r="Q611" s="2"/>
      <c r="S611">
        <f>VLOOKUP(G611,[1]Hoja1!$A:$O,5,0)</f>
        <v>733408</v>
      </c>
      <c r="U611" s="45" t="s">
        <v>2751</v>
      </c>
      <c r="V611" s="46">
        <f t="shared" si="105"/>
        <v>733408</v>
      </c>
      <c r="W611" s="47" t="s">
        <v>1519</v>
      </c>
      <c r="X611" s="46" t="str">
        <f t="shared" si="106"/>
        <v>3</v>
      </c>
      <c r="Y611" s="47" t="s">
        <v>1518</v>
      </c>
      <c r="Z611" s="46" t="str">
        <f t="shared" si="107"/>
        <v>T</v>
      </c>
      <c r="AA611" s="47" t="s">
        <v>2752</v>
      </c>
      <c r="AB611" s="46" t="str">
        <f t="shared" si="108"/>
        <v>VIERNES</v>
      </c>
      <c r="AC611" s="47" t="s">
        <v>2753</v>
      </c>
      <c r="AD611">
        <f t="shared" si="109"/>
        <v>0</v>
      </c>
      <c r="AE611" s="47" t="s">
        <v>2754</v>
      </c>
      <c r="AH611" t="str">
        <f t="shared" si="110"/>
        <v>INSERT INTO horario_curso_materia (horario_curso_materia.FK_CUR_mat,horario_curso_materia.FK_HOR,horario_curso_materia.DIA,horario_curso_materia.tipo_turno) VALUES (  (SELECT curso_materia.ID_CUR_MAT FROM curso_materia WHERE curso_materia.CUPOF='733408' ) ,
    (SELECT horario.ID_HOR FROM horario WHERE horario.modulo='3 ' and horario.turno='T ' ),'VIERNES ' , '0 ' );</v>
      </c>
    </row>
    <row r="612" spans="1:34" ht="15" hidden="1" customHeight="1" x14ac:dyDescent="0.3">
      <c r="A612" s="1" t="str">
        <f t="shared" si="103"/>
        <v>4°2°</v>
      </c>
      <c r="B612" s="54" t="str">
        <f t="shared" si="112"/>
        <v>4°2°4MAMAÑANA421</v>
      </c>
      <c r="C612" s="62">
        <f>VLOOKUP(G612,[1]Hoja1!$A:$O,3,0)</f>
        <v>421</v>
      </c>
      <c r="D612" s="2" t="str">
        <f t="shared" si="113"/>
        <v>4MAM52</v>
      </c>
      <c r="E612" s="62" t="s">
        <v>16</v>
      </c>
      <c r="F612" s="62" t="s">
        <v>27</v>
      </c>
      <c r="G612" s="62" t="s">
        <v>146</v>
      </c>
      <c r="H612" s="8" t="str">
        <f>VLOOKUP(G612,[1]Hoja1!$A:$O,6,0)</f>
        <v xml:space="preserve">LAB DE SIST OPERATIVOS   </v>
      </c>
      <c r="I612" s="4">
        <v>52</v>
      </c>
      <c r="J612" s="4"/>
      <c r="K612" s="80" t="str">
        <f t="shared" si="111"/>
        <v>MA</v>
      </c>
      <c r="L612" s="4" t="s">
        <v>512</v>
      </c>
      <c r="M612" s="86" t="str">
        <f>VLOOKUP(G612,[1]Hoja1!$A:$O,15,0)</f>
        <v xml:space="preserve">GOMEZ ANALIA </v>
      </c>
      <c r="N612" s="2" t="str">
        <f t="shared" si="104"/>
        <v>4°2°4214IFTLS4MA</v>
      </c>
      <c r="O612" s="2"/>
      <c r="P612" s="2" t="str">
        <f>VLOOKUP(G612,[1]Hoja1!$A:$P,16,0)</f>
        <v xml:space="preserve"> </v>
      </c>
      <c r="Q612" s="2"/>
      <c r="S612">
        <f>VLOOKUP(G612,[1]Hoja1!$A:$O,5,0)</f>
        <v>2680162</v>
      </c>
      <c r="U612" s="45" t="s">
        <v>2751</v>
      </c>
      <c r="V612" s="46">
        <f t="shared" si="105"/>
        <v>2680162</v>
      </c>
      <c r="W612" s="47" t="s">
        <v>1519</v>
      </c>
      <c r="X612" s="46" t="str">
        <f t="shared" si="106"/>
        <v>4</v>
      </c>
      <c r="Y612" s="47" t="s">
        <v>1518</v>
      </c>
      <c r="Z612" s="46" t="str">
        <f t="shared" si="107"/>
        <v>M</v>
      </c>
      <c r="AA612" s="47" t="s">
        <v>2752</v>
      </c>
      <c r="AB612" s="46" t="str">
        <f t="shared" si="108"/>
        <v>MARTES</v>
      </c>
      <c r="AC612" s="47" t="s">
        <v>2753</v>
      </c>
      <c r="AD612" t="str">
        <f t="shared" si="109"/>
        <v>CONTRATURNO</v>
      </c>
      <c r="AE612" s="47" t="s">
        <v>2754</v>
      </c>
      <c r="AH612" t="str">
        <f t="shared" si="110"/>
        <v>INSERT INTO horario_curso_materia (horario_curso_materia.FK_CUR_mat,horario_curso_materia.FK_HOR,horario_curso_materia.DIA,horario_curso_materia.tipo_turno) VALUES (  (SELECT curso_materia.ID_CUR_MAT FROM curso_materia WHERE curso_materia.CUPOF='2680162' ) ,
    (SELECT horario.ID_HOR FROM horario WHERE horario.modulo='4 ' and horario.turno='M ' ),'MARTES ' , 'CONTRATURNO ' );</v>
      </c>
    </row>
    <row r="613" spans="1:34" ht="15" hidden="1" customHeight="1" x14ac:dyDescent="0.3">
      <c r="A613" s="1" t="str">
        <f t="shared" si="103"/>
        <v>4°2°</v>
      </c>
      <c r="B613" s="54" t="str">
        <f t="shared" si="112"/>
        <v>4°2°4JUMAÑANA422</v>
      </c>
      <c r="C613" s="62">
        <f>VLOOKUP(G613,[1]Hoja1!$A:$O,3,0)</f>
        <v>422</v>
      </c>
      <c r="D613" s="2" t="str">
        <f t="shared" si="113"/>
        <v>4JUM41</v>
      </c>
      <c r="E613" s="62" t="s">
        <v>48</v>
      </c>
      <c r="F613" s="62" t="s">
        <v>27</v>
      </c>
      <c r="G613" s="62" t="s">
        <v>148</v>
      </c>
      <c r="H613" s="8" t="str">
        <f>VLOOKUP(G613,[1]Hoja1!$A:$O,6,0)</f>
        <v>LAB DE PROGRAM</v>
      </c>
      <c r="I613" s="4">
        <v>41</v>
      </c>
      <c r="J613" s="4"/>
      <c r="K613" s="80" t="str">
        <f t="shared" si="111"/>
        <v>JU</v>
      </c>
      <c r="L613" s="4" t="s">
        <v>512</v>
      </c>
      <c r="M613" s="86" t="str">
        <f>VLOOKUP(G613,[1]Hoja1!$A:$O,15,0)</f>
        <v xml:space="preserve">HERRERA STELLA MARIS   </v>
      </c>
      <c r="N613" s="2" t="str">
        <f t="shared" si="104"/>
        <v>4°2°4224IFTLP4JU</v>
      </c>
      <c r="O613" s="2"/>
      <c r="P613" s="2" t="str">
        <f>VLOOKUP(G613,[1]Hoja1!$A:$P,16,0)</f>
        <v xml:space="preserve"> </v>
      </c>
      <c r="Q613" s="2"/>
      <c r="S613">
        <f>VLOOKUP(G613,[1]Hoja1!$A:$O,5,0)</f>
        <v>2680165</v>
      </c>
      <c r="U613" s="45" t="s">
        <v>2751</v>
      </c>
      <c r="V613" s="46">
        <f t="shared" si="105"/>
        <v>2680165</v>
      </c>
      <c r="W613" s="47" t="s">
        <v>1519</v>
      </c>
      <c r="X613" s="46" t="str">
        <f t="shared" si="106"/>
        <v>4</v>
      </c>
      <c r="Y613" s="47" t="s">
        <v>1518</v>
      </c>
      <c r="Z613" s="46" t="str">
        <f t="shared" si="107"/>
        <v>M</v>
      </c>
      <c r="AA613" s="47" t="s">
        <v>2752</v>
      </c>
      <c r="AB613" s="46" t="str">
        <f t="shared" si="108"/>
        <v>JUEVES</v>
      </c>
      <c r="AC613" s="47" t="s">
        <v>2753</v>
      </c>
      <c r="AD613" t="str">
        <f t="shared" si="109"/>
        <v>CONTRATURNO</v>
      </c>
      <c r="AE613" s="47" t="s">
        <v>2754</v>
      </c>
      <c r="AH613" t="str">
        <f t="shared" si="110"/>
        <v>INSERT INTO horario_curso_materia (horario_curso_materia.FK_CUR_mat,horario_curso_materia.FK_HOR,horario_curso_materia.DIA,horario_curso_materia.tipo_turno) VALUES (  (SELECT curso_materia.ID_CUR_MAT FROM curso_materia WHERE curso_materia.CUPOF='2680165' ) ,
    (SELECT horario.ID_HOR FROM horario WHERE horario.modulo='4 ' and horario.turno='M ' ),'JUEVES ' , 'CONTRATURNO ' );</v>
      </c>
    </row>
    <row r="614" spans="1:34" ht="15" hidden="1" customHeight="1" x14ac:dyDescent="0.3">
      <c r="A614" s="1" t="str">
        <f t="shared" si="103"/>
        <v>4°2°</v>
      </c>
      <c r="B614" s="54" t="str">
        <f t="shared" si="112"/>
        <v>4°2°4JUTARDE0</v>
      </c>
      <c r="C614" s="62">
        <f>VLOOKUP(G614,[1]Hoja1!$A:$O,3,0)</f>
        <v>0</v>
      </c>
      <c r="D614" s="2" t="str">
        <f t="shared" si="113"/>
        <v>4JUT</v>
      </c>
      <c r="E614" s="62" t="s">
        <v>48</v>
      </c>
      <c r="F614" s="62" t="s">
        <v>10</v>
      </c>
      <c r="G614" s="62" t="s">
        <v>413</v>
      </c>
      <c r="H614" s="8" t="str">
        <f>VLOOKUP(G614,[1]Hoja1!$A:$O,6,0)</f>
        <v>HISTORIA</v>
      </c>
      <c r="I614" s="4"/>
      <c r="J614" s="4"/>
      <c r="K614" s="80" t="str">
        <f t="shared" si="111"/>
        <v>JU</v>
      </c>
      <c r="L614" s="4"/>
      <c r="M614" s="86" t="str">
        <f>VLOOKUP(G614,[1]Hoja1!$A:$O,15,0)</f>
        <v>GILES NATALIA</v>
      </c>
      <c r="N614" s="2" t="str">
        <f t="shared" si="104"/>
        <v>4°2°4IHISJU</v>
      </c>
      <c r="O614" s="2"/>
      <c r="P614" s="2" t="str">
        <f>VLOOKUP(G614,[1]Hoja1!$A:$P,16,0)</f>
        <v xml:space="preserve"> </v>
      </c>
      <c r="Q614" s="2"/>
      <c r="S614">
        <f>VLOOKUP(G614,[1]Hoja1!$A:$O,5,0)</f>
        <v>733419</v>
      </c>
      <c r="U614" s="45" t="s">
        <v>2751</v>
      </c>
      <c r="V614" s="46">
        <f t="shared" si="105"/>
        <v>733419</v>
      </c>
      <c r="W614" s="47" t="s">
        <v>1519</v>
      </c>
      <c r="X614" s="46" t="str">
        <f t="shared" si="106"/>
        <v>4</v>
      </c>
      <c r="Y614" s="47" t="s">
        <v>1518</v>
      </c>
      <c r="Z614" s="46" t="str">
        <f t="shared" si="107"/>
        <v>T</v>
      </c>
      <c r="AA614" s="47" t="s">
        <v>2752</v>
      </c>
      <c r="AB614" s="46" t="str">
        <f t="shared" si="108"/>
        <v>JUEVES</v>
      </c>
      <c r="AC614" s="47" t="s">
        <v>2753</v>
      </c>
      <c r="AD614">
        <f t="shared" si="109"/>
        <v>0</v>
      </c>
      <c r="AE614" s="47" t="s">
        <v>2754</v>
      </c>
      <c r="AH614" t="str">
        <f t="shared" si="110"/>
        <v>INSERT INTO horario_curso_materia (horario_curso_materia.FK_CUR_mat,horario_curso_materia.FK_HOR,horario_curso_materia.DIA,horario_curso_materia.tipo_turno) VALUES (  (SELECT curso_materia.ID_CUR_MAT FROM curso_materia WHERE curso_materia.CUPOF='733419' ) ,
    (SELECT horario.ID_HOR FROM horario WHERE horario.modulo='4 ' and horario.turno='T ' ),'JUEVES ' , '0 ' );</v>
      </c>
    </row>
    <row r="615" spans="1:34" ht="15" hidden="1" customHeight="1" x14ac:dyDescent="0.3">
      <c r="A615" s="1" t="str">
        <f t="shared" si="103"/>
        <v>4°2°</v>
      </c>
      <c r="B615" s="54" t="str">
        <f t="shared" si="112"/>
        <v>4°2°4LUMAÑANA422</v>
      </c>
      <c r="C615" s="62">
        <f>VLOOKUP(G615,[1]Hoja1!$A:$O,3,0)</f>
        <v>422</v>
      </c>
      <c r="D615" s="2" t="str">
        <f t="shared" si="113"/>
        <v>4LUM30</v>
      </c>
      <c r="E615" s="62" t="s">
        <v>31</v>
      </c>
      <c r="F615" s="62" t="s">
        <v>27</v>
      </c>
      <c r="G615" s="62" t="s">
        <v>142</v>
      </c>
      <c r="H615" s="8" t="str">
        <f>VLOOKUP(G615,[1]Hoja1!$A:$O,6,0)</f>
        <v xml:space="preserve">LAB DE SIST OPERATIVOS   </v>
      </c>
      <c r="I615" s="4">
        <v>30</v>
      </c>
      <c r="J615" s="4"/>
      <c r="K615" s="80" t="str">
        <f t="shared" si="111"/>
        <v>LU</v>
      </c>
      <c r="L615" s="4" t="s">
        <v>512</v>
      </c>
      <c r="M615" s="86" t="str">
        <f>VLOOKUP(G615,[1]Hoja1!$A:$O,15,0)</f>
        <v>AGUIRRE ISABEL ITATI</v>
      </c>
      <c r="N615" s="2" t="str">
        <f t="shared" si="104"/>
        <v>4°2°4224IFTLS4LU</v>
      </c>
      <c r="O615" s="2"/>
      <c r="P615" s="2" t="str">
        <f>VLOOKUP(G615,[1]Hoja1!$A:$P,16,0)</f>
        <v xml:space="preserve"> </v>
      </c>
      <c r="Q615" s="2">
        <v>1</v>
      </c>
      <c r="S615">
        <f>VLOOKUP(G615,[1]Hoja1!$A:$O,5,0)</f>
        <v>2680168</v>
      </c>
      <c r="U615" s="45" t="s">
        <v>2751</v>
      </c>
      <c r="V615" s="46">
        <f t="shared" si="105"/>
        <v>2680168</v>
      </c>
      <c r="W615" s="47" t="s">
        <v>1519</v>
      </c>
      <c r="X615" s="46" t="str">
        <f t="shared" si="106"/>
        <v>4</v>
      </c>
      <c r="Y615" s="47" t="s">
        <v>1518</v>
      </c>
      <c r="Z615" s="46" t="str">
        <f t="shared" si="107"/>
        <v>M</v>
      </c>
      <c r="AA615" s="47" t="s">
        <v>2752</v>
      </c>
      <c r="AB615" s="46" t="str">
        <f t="shared" si="108"/>
        <v>LUNES</v>
      </c>
      <c r="AC615" s="47" t="s">
        <v>2753</v>
      </c>
      <c r="AD615" t="str">
        <f t="shared" si="109"/>
        <v>CONTRATURNO</v>
      </c>
      <c r="AE615" s="47" t="s">
        <v>2754</v>
      </c>
      <c r="AH615" t="str">
        <f t="shared" si="110"/>
        <v>INSERT INTO horario_curso_materia (horario_curso_materia.FK_CUR_mat,horario_curso_materia.FK_HOR,horario_curso_materia.DIA,horario_curso_materia.tipo_turno) VALUES (  (SELECT curso_materia.ID_CUR_MAT FROM curso_materia WHERE curso_materia.CUPOF='2680168' ) ,
    (SELECT horario.ID_HOR FROM horario WHERE horario.modulo='4 ' and horario.turno='M ' ),'LUNES ' , 'CONTRATURNO ' );</v>
      </c>
    </row>
    <row r="616" spans="1:34" ht="15" hidden="1" customHeight="1" x14ac:dyDescent="0.3">
      <c r="A616" s="1" t="str">
        <f t="shared" si="103"/>
        <v>4°2°</v>
      </c>
      <c r="B616" s="54" t="str">
        <f t="shared" si="112"/>
        <v>4°2°4LUTARDE0</v>
      </c>
      <c r="C616" s="62">
        <f>VLOOKUP(G616,[1]Hoja1!$A:$O,3,0)</f>
        <v>0</v>
      </c>
      <c r="D616" s="2" t="str">
        <f t="shared" si="113"/>
        <v>4LUT</v>
      </c>
      <c r="E616" s="62" t="s">
        <v>31</v>
      </c>
      <c r="F616" s="62" t="s">
        <v>10</v>
      </c>
      <c r="G616" s="62" t="s">
        <v>407</v>
      </c>
      <c r="H616" s="8" t="str">
        <f>VLOOKUP(G616,[1]Hoja1!$A:$O,6,0)</f>
        <v>INGLÉS</v>
      </c>
      <c r="I616" s="4"/>
      <c r="J616" s="4"/>
      <c r="K616" s="80" t="str">
        <f t="shared" si="111"/>
        <v>LU</v>
      </c>
      <c r="L616" s="4"/>
      <c r="M616" s="86" t="str">
        <f>VLOOKUP(G616,[1]Hoja1!$A:$O,15,0)</f>
        <v xml:space="preserve">ARCE KARINA </v>
      </c>
      <c r="N616" s="2" t="str">
        <f t="shared" si="104"/>
        <v>4°2°4IINGSLU</v>
      </c>
      <c r="O616" s="2"/>
      <c r="P616" s="2" t="str">
        <f>VLOOKUP(G616,[1]Hoja1!$A:$P,16,0)</f>
        <v xml:space="preserve"> </v>
      </c>
      <c r="Q616" s="2"/>
      <c r="S616">
        <f>VLOOKUP(G616,[1]Hoja1!$A:$O,5,0)</f>
        <v>733377</v>
      </c>
      <c r="U616" s="45" t="s">
        <v>2751</v>
      </c>
      <c r="V616" s="46">
        <f t="shared" si="105"/>
        <v>733377</v>
      </c>
      <c r="W616" s="47" t="s">
        <v>1519</v>
      </c>
      <c r="X616" s="46" t="str">
        <f t="shared" si="106"/>
        <v>4</v>
      </c>
      <c r="Y616" s="47" t="s">
        <v>1518</v>
      </c>
      <c r="Z616" s="46" t="str">
        <f t="shared" si="107"/>
        <v>T</v>
      </c>
      <c r="AA616" s="47" t="s">
        <v>2752</v>
      </c>
      <c r="AB616" s="46" t="str">
        <f t="shared" si="108"/>
        <v>LUNES</v>
      </c>
      <c r="AC616" s="47" t="s">
        <v>2753</v>
      </c>
      <c r="AD616">
        <f t="shared" si="109"/>
        <v>0</v>
      </c>
      <c r="AE616" s="47" t="s">
        <v>2754</v>
      </c>
      <c r="AH616" t="str">
        <f t="shared" si="110"/>
        <v>INSERT INTO horario_curso_materia (horario_curso_materia.FK_CUR_mat,horario_curso_materia.FK_HOR,horario_curso_materia.DIA,horario_curso_materia.tipo_turno) VALUES (  (SELECT curso_materia.ID_CUR_MAT FROM curso_materia WHERE curso_materia.CUPOF='733377' ) ,
    (SELECT horario.ID_HOR FROM horario WHERE horario.modulo='4 ' and horario.turno='T ' ),'LUNES ' , '0 ' );</v>
      </c>
    </row>
    <row r="617" spans="1:34" ht="15" hidden="1" customHeight="1" x14ac:dyDescent="0.3">
      <c r="A617" s="1" t="str">
        <f t="shared" si="103"/>
        <v>4°2°</v>
      </c>
      <c r="B617" s="54" t="str">
        <f t="shared" si="112"/>
        <v>4°2°4JUMAÑANA421</v>
      </c>
      <c r="C617" s="62">
        <f>VLOOKUP(G617,[1]Hoja1!$A:$O,3,0)</f>
        <v>421</v>
      </c>
      <c r="D617" s="2" t="str">
        <f t="shared" si="113"/>
        <v>4JUM31</v>
      </c>
      <c r="E617" s="62" t="s">
        <v>48</v>
      </c>
      <c r="F617" s="62" t="s">
        <v>27</v>
      </c>
      <c r="G617" s="62" t="s">
        <v>143</v>
      </c>
      <c r="H617" s="8" t="str">
        <f>VLOOKUP(G617,[1]Hoja1!$A:$O,6,0)</f>
        <v>LAB DE HARDWARE</v>
      </c>
      <c r="I617" s="4">
        <v>31</v>
      </c>
      <c r="J617" s="4"/>
      <c r="K617" s="80" t="str">
        <f t="shared" si="111"/>
        <v>JU</v>
      </c>
      <c r="L617" s="4" t="s">
        <v>512</v>
      </c>
      <c r="M617" s="86" t="str">
        <f>VLOOKUP(G617,[1]Hoja1!$A:$O,15,0)</f>
        <v>AGUIRRE ISABEL</v>
      </c>
      <c r="N617" s="2" t="str">
        <f t="shared" si="104"/>
        <v>4°2°4214IFTLH4JU</v>
      </c>
      <c r="O617" s="2"/>
      <c r="P617" s="2" t="str">
        <f>VLOOKUP(G617,[1]Hoja1!$A:$P,16,0)</f>
        <v xml:space="preserve"> </v>
      </c>
      <c r="Q617" s="2"/>
      <c r="S617">
        <f>VLOOKUP(G617,[1]Hoja1!$A:$O,5,0)</f>
        <v>2680161</v>
      </c>
      <c r="U617" s="45" t="s">
        <v>2751</v>
      </c>
      <c r="V617" s="46">
        <f t="shared" si="105"/>
        <v>2680161</v>
      </c>
      <c r="W617" s="47" t="s">
        <v>1519</v>
      </c>
      <c r="X617" s="46" t="str">
        <f t="shared" si="106"/>
        <v>4</v>
      </c>
      <c r="Y617" s="47" t="s">
        <v>1518</v>
      </c>
      <c r="Z617" s="46" t="str">
        <f t="shared" si="107"/>
        <v>M</v>
      </c>
      <c r="AA617" s="47" t="s">
        <v>2752</v>
      </c>
      <c r="AB617" s="46" t="str">
        <f t="shared" si="108"/>
        <v>JUEVES</v>
      </c>
      <c r="AC617" s="47" t="s">
        <v>2753</v>
      </c>
      <c r="AD617" t="str">
        <f t="shared" si="109"/>
        <v>CONTRATURNO</v>
      </c>
      <c r="AE617" s="47" t="s">
        <v>2754</v>
      </c>
      <c r="AH617" t="str">
        <f t="shared" si="110"/>
        <v>INSERT INTO horario_curso_materia (horario_curso_materia.FK_CUR_mat,horario_curso_materia.FK_HOR,horario_curso_materia.DIA,horario_curso_materia.tipo_turno) VALUES (  (SELECT curso_materia.ID_CUR_MAT FROM curso_materia WHERE curso_materia.CUPOF='2680161' ) ,
    (SELECT horario.ID_HOR FROM horario WHERE horario.modulo='4 ' and horario.turno='M ' ),'JUEVES ' , 'CONTRATURNO ' );</v>
      </c>
    </row>
    <row r="618" spans="1:34" ht="15" hidden="1" customHeight="1" x14ac:dyDescent="0.3">
      <c r="A618" s="1" t="str">
        <f t="shared" si="103"/>
        <v>4°2°</v>
      </c>
      <c r="B618" s="54" t="str">
        <f t="shared" si="112"/>
        <v>4°2°4MATARDE0</v>
      </c>
      <c r="C618" s="62">
        <f>VLOOKUP(G618,[1]Hoja1!$A:$O,3,0)</f>
        <v>0</v>
      </c>
      <c r="D618" s="2" t="str">
        <f t="shared" si="113"/>
        <v>4MAT</v>
      </c>
      <c r="E618" s="62" t="s">
        <v>16</v>
      </c>
      <c r="F618" s="62" t="s">
        <v>10</v>
      </c>
      <c r="G618" s="62" t="s">
        <v>409</v>
      </c>
      <c r="H618" s="8" t="str">
        <f>VLOOKUP(G618,[1]Hoja1!$A:$O,6,0)</f>
        <v>GEOGRAFIA</v>
      </c>
      <c r="I618" s="4"/>
      <c r="J618" s="4"/>
      <c r="K618" s="80" t="str">
        <f t="shared" si="111"/>
        <v>MA</v>
      </c>
      <c r="L618" s="4"/>
      <c r="M618" s="86" t="str">
        <f>VLOOKUP(G618,[1]Hoja1!$A:$O,15,0)</f>
        <v xml:space="preserve">BRAVO MARIA </v>
      </c>
      <c r="N618" s="2" t="str">
        <f t="shared" si="104"/>
        <v>4°2°4IGEOSMA</v>
      </c>
      <c r="O618" s="2"/>
      <c r="P618" s="2" t="str">
        <f>VLOOKUP(G618,[1]Hoja1!$A:$P,16,0)</f>
        <v xml:space="preserve"> </v>
      </c>
      <c r="Q618" s="2"/>
      <c r="S618">
        <f>VLOOKUP(G618,[1]Hoja1!$A:$O,5,0)</f>
        <v>1517157</v>
      </c>
      <c r="U618" s="45" t="s">
        <v>2751</v>
      </c>
      <c r="V618" s="46">
        <f t="shared" si="105"/>
        <v>1517157</v>
      </c>
      <c r="W618" s="47" t="s">
        <v>1519</v>
      </c>
      <c r="X618" s="46" t="str">
        <f t="shared" si="106"/>
        <v>4</v>
      </c>
      <c r="Y618" s="47" t="s">
        <v>1518</v>
      </c>
      <c r="Z618" s="46" t="str">
        <f t="shared" si="107"/>
        <v>T</v>
      </c>
      <c r="AA618" s="47" t="s">
        <v>2752</v>
      </c>
      <c r="AB618" s="46" t="str">
        <f t="shared" si="108"/>
        <v>MARTES</v>
      </c>
      <c r="AC618" s="47" t="s">
        <v>2753</v>
      </c>
      <c r="AD618">
        <f t="shared" si="109"/>
        <v>0</v>
      </c>
      <c r="AE618" s="47" t="s">
        <v>2754</v>
      </c>
      <c r="AH618" t="str">
        <f t="shared" si="110"/>
        <v>INSERT INTO horario_curso_materia (horario_curso_materia.FK_CUR_mat,horario_curso_materia.FK_HOR,horario_curso_materia.DIA,horario_curso_materia.tipo_turno) VALUES (  (SELECT curso_materia.ID_CUR_MAT FROM curso_materia WHERE curso_materia.CUPOF='1517157' ) ,
    (SELECT horario.ID_HOR FROM horario WHERE horario.modulo='4 ' and horario.turno='T ' ),'MARTES ' , '0 ' );</v>
      </c>
    </row>
    <row r="619" spans="1:34" ht="15" hidden="1" customHeight="1" x14ac:dyDescent="0.3">
      <c r="A619" s="1" t="str">
        <f t="shared" si="103"/>
        <v>4°2°</v>
      </c>
      <c r="B619" s="54" t="str">
        <f t="shared" si="112"/>
        <v>4°2°4MIMAÑANA0</v>
      </c>
      <c r="C619" s="62">
        <f>VLOOKUP(G619,[1]Hoja1!$A:$O,3,0)</f>
        <v>0</v>
      </c>
      <c r="D619" s="2" t="str">
        <f t="shared" si="113"/>
        <v>4MIMPATIO2</v>
      </c>
      <c r="E619" s="62" t="s">
        <v>52</v>
      </c>
      <c r="F619" s="62" t="s">
        <v>27</v>
      </c>
      <c r="G619" s="62" t="s">
        <v>415</v>
      </c>
      <c r="H619" s="8" t="str">
        <f>VLOOKUP(G619,[1]Hoja1!$A:$O,6,0)</f>
        <v>EDUCACIÓN FISICA</v>
      </c>
      <c r="I619" s="4" t="s">
        <v>295</v>
      </c>
      <c r="J619" s="4"/>
      <c r="K619" s="80" t="str">
        <f t="shared" si="111"/>
        <v>MI</v>
      </c>
      <c r="L619" s="4" t="s">
        <v>512</v>
      </c>
      <c r="M619" s="86" t="str">
        <f>VLOOKUP(G619,[1]Hoja1!$A:$O,15,0)</f>
        <v>RIOS, LEONARDO</v>
      </c>
      <c r="N619" s="2" t="str">
        <f t="shared" si="104"/>
        <v>4°2°4IEFISMI</v>
      </c>
      <c r="O619" s="2"/>
      <c r="P619" s="2" t="str">
        <f>VLOOKUP(G619,[1]Hoja1!$A:$P,16,0)</f>
        <v xml:space="preserve"> </v>
      </c>
      <c r="Q619" s="2"/>
      <c r="S619">
        <f>VLOOKUP(G619,[1]Hoja1!$A:$O,5,0)</f>
        <v>938354</v>
      </c>
      <c r="U619" s="45" t="s">
        <v>2751</v>
      </c>
      <c r="V619" s="46">
        <f t="shared" si="105"/>
        <v>938354</v>
      </c>
      <c r="W619" s="47" t="s">
        <v>1519</v>
      </c>
      <c r="X619" s="46" t="str">
        <f t="shared" si="106"/>
        <v>4</v>
      </c>
      <c r="Y619" s="47" t="s">
        <v>1518</v>
      </c>
      <c r="Z619" s="46" t="str">
        <f t="shared" si="107"/>
        <v>M</v>
      </c>
      <c r="AA619" s="47" t="s">
        <v>2752</v>
      </c>
      <c r="AB619" s="46" t="str">
        <f t="shared" si="108"/>
        <v>MIERCOLES</v>
      </c>
      <c r="AC619" s="47" t="s">
        <v>2753</v>
      </c>
      <c r="AD619" t="str">
        <f t="shared" si="109"/>
        <v>CONTRATURNO</v>
      </c>
      <c r="AE619" s="47" t="s">
        <v>2754</v>
      </c>
      <c r="AH619" t="str">
        <f t="shared" si="110"/>
        <v>INSERT INTO horario_curso_materia (horario_curso_materia.FK_CUR_mat,horario_curso_materia.FK_HOR,horario_curso_materia.DIA,horario_curso_materia.tipo_turno) VALUES (  (SELECT curso_materia.ID_CUR_MAT FROM curso_materia WHERE curso_materia.CUPOF='938354' ) ,
    (SELECT horario.ID_HOR FROM horario WHERE horario.modulo='4 ' and horario.turno='M ' ),'MIERCOLES ' , 'CONTRATURNO ' );</v>
      </c>
    </row>
    <row r="620" spans="1:34" ht="15" hidden="1" customHeight="1" x14ac:dyDescent="0.3">
      <c r="A620" s="1" t="str">
        <f t="shared" si="103"/>
        <v>4°2°</v>
      </c>
      <c r="B620" s="54" t="str">
        <f t="shared" si="112"/>
        <v>4°2°4MITARDE0</v>
      </c>
      <c r="C620" s="62">
        <f>VLOOKUP(G620,[1]Hoja1!$A:$O,3,0)</f>
        <v>0</v>
      </c>
      <c r="D620" s="2" t="str">
        <f t="shared" si="113"/>
        <v>4MIT</v>
      </c>
      <c r="E620" s="62" t="s">
        <v>52</v>
      </c>
      <c r="F620" s="62" t="s">
        <v>10</v>
      </c>
      <c r="G620" s="62" t="s">
        <v>411</v>
      </c>
      <c r="H620" s="8" t="str">
        <f>VLOOKUP(G620,[1]Hoja1!$A:$O,6,0)</f>
        <v>SALUD Y ADOLESCENCIA</v>
      </c>
      <c r="I620" s="4"/>
      <c r="J620" s="4"/>
      <c r="K620" s="80" t="str">
        <f t="shared" si="111"/>
        <v>MI</v>
      </c>
      <c r="L620" s="4"/>
      <c r="M620" s="86" t="str">
        <f>VLOOKUP(G620,[1]Hoja1!$A:$O,15,0)</f>
        <v>RODRIGUEZ GUTIERRES, PAOLA</v>
      </c>
      <c r="N620" s="2" t="str">
        <f t="shared" si="104"/>
        <v>4°2°4ISADSMI</v>
      </c>
      <c r="O620" s="2"/>
      <c r="P620" s="2" t="str">
        <f>VLOOKUP(G620,[1]Hoja1!$A:$P,16,0)</f>
        <v xml:space="preserve"> </v>
      </c>
      <c r="Q620" s="2"/>
      <c r="S620">
        <f>VLOOKUP(G620,[1]Hoja1!$A:$O,5,0)</f>
        <v>1517133</v>
      </c>
      <c r="U620" s="45" t="s">
        <v>2751</v>
      </c>
      <c r="V620" s="46">
        <f t="shared" si="105"/>
        <v>1517133</v>
      </c>
      <c r="W620" s="47" t="s">
        <v>1519</v>
      </c>
      <c r="X620" s="46" t="str">
        <f t="shared" si="106"/>
        <v>4</v>
      </c>
      <c r="Y620" s="47" t="s">
        <v>1518</v>
      </c>
      <c r="Z620" s="46" t="str">
        <f t="shared" si="107"/>
        <v>T</v>
      </c>
      <c r="AA620" s="47" t="s">
        <v>2752</v>
      </c>
      <c r="AB620" s="46" t="str">
        <f t="shared" si="108"/>
        <v>MIERCOLES</v>
      </c>
      <c r="AC620" s="47" t="s">
        <v>2753</v>
      </c>
      <c r="AD620">
        <f t="shared" si="109"/>
        <v>0</v>
      </c>
      <c r="AE620" s="47" t="s">
        <v>2754</v>
      </c>
      <c r="AH620" t="str">
        <f t="shared" si="110"/>
        <v>INSERT INTO horario_curso_materia (horario_curso_materia.FK_CUR_mat,horario_curso_materia.FK_HOR,horario_curso_materia.DIA,horario_curso_materia.tipo_turno) VALUES (  (SELECT curso_materia.ID_CUR_MAT FROM curso_materia WHERE curso_materia.CUPOF='1517133' ) ,
    (SELECT horario.ID_HOR FROM horario WHERE horario.modulo='4 ' and horario.turno='T ' ),'MIERCOLES ' , '0 ' );</v>
      </c>
    </row>
    <row r="621" spans="1:34" ht="15" hidden="1" customHeight="1" x14ac:dyDescent="0.3">
      <c r="A621" s="1" t="str">
        <f t="shared" si="103"/>
        <v>4°2°</v>
      </c>
      <c r="B621" s="54" t="str">
        <f t="shared" si="112"/>
        <v>4°2°4VIMAÑANA421</v>
      </c>
      <c r="C621" s="62">
        <f>VLOOKUP(G621,[1]Hoja1!$A:$O,3,0)</f>
        <v>421</v>
      </c>
      <c r="D621" s="2" t="str">
        <f t="shared" si="113"/>
        <v>4VIM30</v>
      </c>
      <c r="E621" s="62" t="s">
        <v>36</v>
      </c>
      <c r="F621" s="62" t="s">
        <v>27</v>
      </c>
      <c r="G621" s="62" t="s">
        <v>144</v>
      </c>
      <c r="H621" s="8" t="str">
        <f>VLOOKUP(G621,[1]Hoja1!$A:$O,6,0)</f>
        <v>LAB DE APLICACIONES</v>
      </c>
      <c r="I621" s="4">
        <v>30</v>
      </c>
      <c r="J621" s="4"/>
      <c r="K621" s="80" t="str">
        <f t="shared" si="111"/>
        <v>VI</v>
      </c>
      <c r="L621" s="4" t="s">
        <v>512</v>
      </c>
      <c r="M621" s="86" t="str">
        <f>VLOOKUP(G621,[1]Hoja1!$A:$O,15,0)</f>
        <v>PROCHOR GLORIA</v>
      </c>
      <c r="N621" s="2" t="str">
        <f t="shared" si="104"/>
        <v>4°2°4214IFTLA4VI</v>
      </c>
      <c r="O621" s="2"/>
      <c r="P621" s="2" t="str">
        <f>VLOOKUP(G621,[1]Hoja1!$A:$P,16,0)</f>
        <v xml:space="preserve"> </v>
      </c>
      <c r="Q621" s="2"/>
      <c r="S621">
        <f>VLOOKUP(G621,[1]Hoja1!$A:$O,5,0)</f>
        <v>2680163</v>
      </c>
      <c r="U621" s="45" t="s">
        <v>2751</v>
      </c>
      <c r="V621" s="46">
        <f t="shared" si="105"/>
        <v>2680163</v>
      </c>
      <c r="W621" s="47" t="s">
        <v>1519</v>
      </c>
      <c r="X621" s="46" t="str">
        <f t="shared" si="106"/>
        <v>4</v>
      </c>
      <c r="Y621" s="47" t="s">
        <v>1518</v>
      </c>
      <c r="Z621" s="46" t="str">
        <f t="shared" si="107"/>
        <v>M</v>
      </c>
      <c r="AA621" s="47" t="s">
        <v>2752</v>
      </c>
      <c r="AB621" s="46" t="str">
        <f t="shared" si="108"/>
        <v>VIERNES</v>
      </c>
      <c r="AC621" s="47" t="s">
        <v>2753</v>
      </c>
      <c r="AD621" t="str">
        <f t="shared" si="109"/>
        <v>CONTRATURNO</v>
      </c>
      <c r="AE621" s="47" t="s">
        <v>2754</v>
      </c>
      <c r="AH621" t="str">
        <f t="shared" si="110"/>
        <v>INSERT INTO horario_curso_materia (horario_curso_materia.FK_CUR_mat,horario_curso_materia.FK_HOR,horario_curso_materia.DIA,horario_curso_materia.tipo_turno) VALUES (  (SELECT curso_materia.ID_CUR_MAT FROM curso_materia WHERE curso_materia.CUPOF='2680163' ) ,
    (SELECT horario.ID_HOR FROM horario WHERE horario.modulo='4 ' and horario.turno='M ' ),'VIERNES ' , 'CONTRATURNO ' );</v>
      </c>
    </row>
    <row r="622" spans="1:34" ht="15" hidden="1" customHeight="1" x14ac:dyDescent="0.3">
      <c r="A622" s="1" t="str">
        <f t="shared" si="103"/>
        <v>4°2°</v>
      </c>
      <c r="B622" s="54" t="str">
        <f t="shared" si="112"/>
        <v>4°2°4VITARDE0</v>
      </c>
      <c r="C622" s="62">
        <f>VLOOKUP(G622,[1]Hoja1!$A:$O,3,0)</f>
        <v>0</v>
      </c>
      <c r="D622" s="2" t="str">
        <f t="shared" si="113"/>
        <v>4VIT</v>
      </c>
      <c r="E622" s="62" t="s">
        <v>36</v>
      </c>
      <c r="F622" s="62" t="s">
        <v>10</v>
      </c>
      <c r="G622" s="62" t="s">
        <v>414</v>
      </c>
      <c r="H622" s="8" t="str">
        <f>VLOOKUP(G622,[1]Hoja1!$A:$O,6,0)</f>
        <v>QUIMICA</v>
      </c>
      <c r="I622" s="4"/>
      <c r="J622" s="4"/>
      <c r="K622" s="80" t="str">
        <f t="shared" si="111"/>
        <v>VI</v>
      </c>
      <c r="L622" s="4"/>
      <c r="M622" s="86" t="str">
        <f>VLOOKUP(G622,[1]Hoja1!$A:$O,15,0)</f>
        <v>CASCIANO CLAUDIO RUBEN</v>
      </c>
      <c r="N622" s="2" t="str">
        <f t="shared" si="104"/>
        <v>4°2°4IQUISVI</v>
      </c>
      <c r="O622" s="2"/>
      <c r="P622" s="2" t="str">
        <f>VLOOKUP(G622,[1]Hoja1!$A:$P,16,0)</f>
        <v xml:space="preserve"> </v>
      </c>
      <c r="Q622" s="2"/>
      <c r="S622">
        <f>VLOOKUP(G622,[1]Hoja1!$A:$O,5,0)</f>
        <v>733408</v>
      </c>
      <c r="U622" s="45" t="s">
        <v>2751</v>
      </c>
      <c r="V622" s="46">
        <f t="shared" si="105"/>
        <v>733408</v>
      </c>
      <c r="W622" s="47" t="s">
        <v>1519</v>
      </c>
      <c r="X622" s="46" t="str">
        <f t="shared" si="106"/>
        <v>4</v>
      </c>
      <c r="Y622" s="47" t="s">
        <v>1518</v>
      </c>
      <c r="Z622" s="46" t="str">
        <f t="shared" si="107"/>
        <v>T</v>
      </c>
      <c r="AA622" s="47" t="s">
        <v>2752</v>
      </c>
      <c r="AB622" s="46" t="str">
        <f t="shared" si="108"/>
        <v>VIERNES</v>
      </c>
      <c r="AC622" s="47" t="s">
        <v>2753</v>
      </c>
      <c r="AD622">
        <f t="shared" si="109"/>
        <v>0</v>
      </c>
      <c r="AE622" s="47" t="s">
        <v>2754</v>
      </c>
      <c r="AH622" t="str">
        <f t="shared" si="110"/>
        <v>INSERT INTO horario_curso_materia (horario_curso_materia.FK_CUR_mat,horario_curso_materia.FK_HOR,horario_curso_materia.DIA,horario_curso_materia.tipo_turno) VALUES (  (SELECT curso_materia.ID_CUR_MAT FROM curso_materia WHERE curso_materia.CUPOF='733408' ) ,
    (SELECT horario.ID_HOR FROM horario WHERE horario.modulo='4 ' and horario.turno='T ' ),'VIERNES ' , '0 ' );</v>
      </c>
    </row>
    <row r="623" spans="1:34" ht="15" hidden="1" customHeight="1" x14ac:dyDescent="0.3">
      <c r="A623" s="1" t="str">
        <f t="shared" si="103"/>
        <v>4°2°</v>
      </c>
      <c r="B623" s="54" t="str">
        <f t="shared" si="112"/>
        <v>4°2°prehorajuTARDE0</v>
      </c>
      <c r="C623" s="62">
        <f>VLOOKUP(G623,[1]Hoja1!$A:$O,3,0)</f>
        <v>0</v>
      </c>
      <c r="D623" s="2" t="str">
        <f t="shared" si="113"/>
        <v>prehorajuT</v>
      </c>
      <c r="E623" s="62" t="s">
        <v>1447</v>
      </c>
      <c r="F623" s="62" t="s">
        <v>10</v>
      </c>
      <c r="G623" s="62" t="s">
        <v>412</v>
      </c>
      <c r="H623" s="8" t="str">
        <f>VLOOKUP(G623,[1]Hoja1!$A:$O,6,0)</f>
        <v>FISICA</v>
      </c>
      <c r="I623" s="4"/>
      <c r="J623" s="4"/>
      <c r="K623" s="80" t="str">
        <f t="shared" si="111"/>
        <v>ju</v>
      </c>
      <c r="L623" s="4"/>
      <c r="M623" s="86" t="str">
        <f>VLOOKUP(G623,[1]Hoja1!$A:$O,15,0)</f>
        <v>ESPINDOLA, S</v>
      </c>
      <c r="N623" s="2" t="str">
        <f t="shared" si="104"/>
        <v>4°2°4IFISju</v>
      </c>
      <c r="O623" s="2" t="s">
        <v>1491</v>
      </c>
      <c r="P623" s="2" t="str">
        <f>VLOOKUP(G623,[1]Hoja1!$A:$P,16,0)</f>
        <v xml:space="preserve"> </v>
      </c>
      <c r="Q623" s="2"/>
      <c r="S623">
        <f>VLOOKUP(G623,[1]Hoja1!$A:$O,5,0)</f>
        <v>733622</v>
      </c>
      <c r="U623" s="45" t="s">
        <v>2751</v>
      </c>
      <c r="V623" s="46">
        <f t="shared" si="105"/>
        <v>733622</v>
      </c>
      <c r="W623" s="47" t="s">
        <v>1519</v>
      </c>
      <c r="X623" s="46" t="str">
        <f t="shared" si="106"/>
        <v>prehora</v>
      </c>
      <c r="Y623" s="47" t="s">
        <v>1518</v>
      </c>
      <c r="Z623" s="46" t="str">
        <f t="shared" si="107"/>
        <v>T</v>
      </c>
      <c r="AA623" s="47" t="s">
        <v>2752</v>
      </c>
      <c r="AB623" s="46" t="str">
        <f t="shared" si="108"/>
        <v>JUEVES</v>
      </c>
      <c r="AC623" s="47" t="s">
        <v>2753</v>
      </c>
      <c r="AD623">
        <f t="shared" si="109"/>
        <v>0</v>
      </c>
      <c r="AE623" s="47" t="s">
        <v>2754</v>
      </c>
      <c r="AH623" t="str">
        <f t="shared" si="110"/>
        <v>INSERT INTO horario_curso_materia (horario_curso_materia.FK_CUR_mat,horario_curso_materia.FK_HOR,horario_curso_materia.DIA,horario_curso_materia.tipo_turno) VALUES (  (SELECT curso_materia.ID_CUR_MAT FROM curso_materia WHERE curso_materia.CUPOF='733622' ) ,
    (SELECT horario.ID_HOR FROM horario WHERE horario.modulo='prehora ' and horario.turno='T ' ),'JUEVES ' , '0 ' );</v>
      </c>
    </row>
    <row r="624" spans="1:34" ht="15" hidden="1" customHeight="1" x14ac:dyDescent="0.3">
      <c r="A624" s="1" t="str">
        <f t="shared" ref="A624:A687" si="114">LEFT(B624,4)</f>
        <v>4°3°</v>
      </c>
      <c r="B624" s="54" t="str">
        <f t="shared" si="112"/>
        <v>4°3°1JUMAÑANA0</v>
      </c>
      <c r="C624" s="62">
        <f>VLOOKUP(G624,[1]Hoja1!$A:$O,3,0)</f>
        <v>0</v>
      </c>
      <c r="D624" s="2" t="str">
        <f t="shared" si="113"/>
        <v>1JUM</v>
      </c>
      <c r="E624" s="4" t="s">
        <v>43</v>
      </c>
      <c r="F624" s="62" t="s">
        <v>27</v>
      </c>
      <c r="G624" s="72" t="s">
        <v>423</v>
      </c>
      <c r="H624" s="8" t="str">
        <f>VLOOKUP(G624,[1]Hoja1!$A:$O,6,0)</f>
        <v>INGLÉS</v>
      </c>
      <c r="I624" s="4"/>
      <c r="J624" s="4"/>
      <c r="K624" s="80" t="str">
        <f t="shared" si="111"/>
        <v>JU</v>
      </c>
      <c r="L624" s="4"/>
      <c r="M624" s="86" t="str">
        <f>VLOOKUP(G624,[1]Hoja1!$A:$O,15,0)</f>
        <v xml:space="preserve">LEGUIZAMO ANA </v>
      </c>
      <c r="N624" s="2" t="str">
        <f t="shared" ref="N624:N687" si="115">CONCATENATE(G624,LEFT(K624,2))</f>
        <v>4°3°4EINGSJU</v>
      </c>
      <c r="O624" s="2"/>
      <c r="P624" s="2" t="str">
        <f>VLOOKUP(G624,[1]Hoja1!$A:$P,16,0)</f>
        <v xml:space="preserve"> </v>
      </c>
      <c r="Q624" s="2"/>
      <c r="S624">
        <f>VLOOKUP(G624,[1]Hoja1!$A:$O,5,0)</f>
        <v>733722</v>
      </c>
      <c r="U624" s="45" t="s">
        <v>2751</v>
      </c>
      <c r="V624" s="46">
        <f t="shared" ref="V624:V684" si="116">S624</f>
        <v>733722</v>
      </c>
      <c r="W624" s="47" t="s">
        <v>1519</v>
      </c>
      <c r="X624" s="46" t="str">
        <f t="shared" ref="X624:X679" si="117">IF(LEFT(E624,1)="p","prehora",LEFT(E624,1))</f>
        <v>1</v>
      </c>
      <c r="Y624" s="47" t="s">
        <v>1518</v>
      </c>
      <c r="Z624" s="46" t="str">
        <f t="shared" ref="Z624:Z684" si="118">LEFT(F624,1)</f>
        <v>M</v>
      </c>
      <c r="AA624" s="47" t="s">
        <v>2752</v>
      </c>
      <c r="AB624" s="46" t="str">
        <f t="shared" ref="AB624:AB679" si="119">IF(IF(LEFT(E624,1)="p",MID(E624,8,2),MID(E624,2,2))="lu","LUNES",IF(IF(LEFT(E624,1)="p",MID(E624,8,2),MID(E624,2,2))="ma","MARTES",IF(IF(LEFT(E624,1)="p",MID(E624,8,2),MID(E624,2,2))="MI","MIERCOLES",IF(IF(LEFT(E624,1)="p",MID(E624,8,2),MID(E624,2,2))="JU","JUEVES",IF(IF(LEFT(E624,1)="p",MID(E624,8,2),MID(E624,2,2))="vi","VIERNES","")))))</f>
        <v>JUEVES</v>
      </c>
      <c r="AC624" s="47" t="s">
        <v>2753</v>
      </c>
      <c r="AD624">
        <f t="shared" ref="AD624:AD684" si="120">L624</f>
        <v>0</v>
      </c>
      <c r="AE624" s="47" t="s">
        <v>2754</v>
      </c>
      <c r="AH624" t="str">
        <f t="shared" ref="AH624:AH684" si="121">U624&amp;V624&amp;W624&amp;X624&amp;Y624&amp;Z624&amp;AA624&amp;AB624&amp;AC624&amp;AD624&amp;AE624</f>
        <v>INSERT INTO horario_curso_materia (horario_curso_materia.FK_CUR_mat,horario_curso_materia.FK_HOR,horario_curso_materia.DIA,horario_curso_materia.tipo_turno) VALUES (  (SELECT curso_materia.ID_CUR_MAT FROM curso_materia WHERE curso_materia.CUPOF='733722' ) ,
    (SELECT horario.ID_HOR FROM horario WHERE horario.modulo='1 ' and horario.turno='M ' ),'JUEVES ' , '0 ' );</v>
      </c>
    </row>
    <row r="625" spans="1:34" ht="15" hidden="1" customHeight="1" x14ac:dyDescent="0.3">
      <c r="A625" s="1" t="str">
        <f t="shared" si="114"/>
        <v>4°3°</v>
      </c>
      <c r="B625" s="54" t="str">
        <f t="shared" si="112"/>
        <v>4°3°1miVESPERTINO431</v>
      </c>
      <c r="C625" s="62">
        <f>VLOOKUP(G625,[1]Hoja1!$A:$O,3,0)</f>
        <v>431</v>
      </c>
      <c r="D625" s="2" t="str">
        <f t="shared" si="113"/>
        <v>1miV46</v>
      </c>
      <c r="E625" s="62" t="s">
        <v>55</v>
      </c>
      <c r="F625" s="62" t="s">
        <v>125</v>
      </c>
      <c r="G625" s="62" t="s">
        <v>153</v>
      </c>
      <c r="H625" s="8" t="str">
        <f>VLOOKUP(G625,[1]Hoja1!$A:$O,6,0)</f>
        <v xml:space="preserve">APLIC ELECT ANALOG </v>
      </c>
      <c r="I625" s="4">
        <v>46</v>
      </c>
      <c r="J625" s="4"/>
      <c r="K625" s="80" t="str">
        <f t="shared" si="111"/>
        <v>mi</v>
      </c>
      <c r="L625" s="4" t="s">
        <v>512</v>
      </c>
      <c r="M625" s="86" t="str">
        <f>VLOOKUP(G625,[1]Hoja1!$A:$O,15,0)</f>
        <v>escalada arnaldo</v>
      </c>
      <c r="N625" s="2" t="str">
        <f t="shared" si="115"/>
        <v>4°3°4314EFTAE4mi</v>
      </c>
      <c r="O625" s="2"/>
      <c r="P625" s="2" t="str">
        <f>VLOOKUP(G625,[1]Hoja1!$A:$P,16,0)</f>
        <v xml:space="preserve"> </v>
      </c>
      <c r="Q625" s="2"/>
      <c r="S625">
        <f>VLOOKUP(G625,[1]Hoja1!$A:$O,5,0)</f>
        <v>2680250</v>
      </c>
      <c r="U625" s="45" t="s">
        <v>2751</v>
      </c>
      <c r="V625" s="46">
        <f t="shared" si="116"/>
        <v>2680250</v>
      </c>
      <c r="W625" s="47" t="s">
        <v>1519</v>
      </c>
      <c r="X625" s="46" t="str">
        <f t="shared" si="117"/>
        <v>1</v>
      </c>
      <c r="Y625" s="47" t="s">
        <v>1518</v>
      </c>
      <c r="Z625" s="46" t="str">
        <f t="shared" si="118"/>
        <v>V</v>
      </c>
      <c r="AA625" s="47" t="s">
        <v>2752</v>
      </c>
      <c r="AB625" s="46" t="str">
        <f t="shared" si="119"/>
        <v>MIERCOLES</v>
      </c>
      <c r="AC625" s="47" t="s">
        <v>2753</v>
      </c>
      <c r="AD625" t="str">
        <f t="shared" si="120"/>
        <v>CONTRATURNO</v>
      </c>
      <c r="AE625" s="47" t="s">
        <v>2754</v>
      </c>
      <c r="AH625" t="str">
        <f t="shared" si="121"/>
        <v>INSERT INTO horario_curso_materia (horario_curso_materia.FK_CUR_mat,horario_curso_materia.FK_HOR,horario_curso_materia.DIA,horario_curso_materia.tipo_turno) VALUES (  (SELECT curso_materia.ID_CUR_MAT FROM curso_materia WHERE curso_materia.CUPOF='2680250' ) ,
    (SELECT horario.ID_HOR FROM horario WHERE horario.modulo='1 ' and horario.turno='V ' ),'MIERCOLES ' , 'CONTRATURNO ' );</v>
      </c>
    </row>
    <row r="626" spans="1:34" ht="15" hidden="1" customHeight="1" x14ac:dyDescent="0.3">
      <c r="A626" s="1" t="str">
        <f t="shared" si="114"/>
        <v>4°3°</v>
      </c>
      <c r="B626" s="54" t="str">
        <f t="shared" si="112"/>
        <v>4°3°1JUTARDE432</v>
      </c>
      <c r="C626" s="62">
        <f>VLOOKUP(G626,[1]Hoja1!$A:$O,3,0)</f>
        <v>432</v>
      </c>
      <c r="D626" s="2" t="str">
        <f t="shared" si="113"/>
        <v>1JUT44</v>
      </c>
      <c r="E626" s="62" t="s">
        <v>43</v>
      </c>
      <c r="F626" s="62" t="s">
        <v>10</v>
      </c>
      <c r="G626" s="62" t="s">
        <v>154</v>
      </c>
      <c r="H626" s="8" t="str">
        <f>VLOOKUP(G626,[1]Hoja1!$A:$O,6,0)</f>
        <v xml:space="preserve">APLIC ELECT ANALOG </v>
      </c>
      <c r="I626" s="4">
        <v>44</v>
      </c>
      <c r="J626" s="4"/>
      <c r="K626" s="80" t="str">
        <f t="shared" si="111"/>
        <v>JU</v>
      </c>
      <c r="L626" s="4" t="s">
        <v>512</v>
      </c>
      <c r="M626" s="86" t="str">
        <f>VLOOKUP(G626,[1]Hoja1!$A:$O,15,0)</f>
        <v>GAUNA FEDERICO</v>
      </c>
      <c r="N626" s="2" t="str">
        <f t="shared" si="115"/>
        <v>4°3°4324EFTAE4JU</v>
      </c>
      <c r="O626" s="2"/>
      <c r="P626" s="2" t="str">
        <f>VLOOKUP(G626,[1]Hoja1!$A:$P,16,0)</f>
        <v xml:space="preserve"> </v>
      </c>
      <c r="Q626" s="2"/>
      <c r="S626">
        <f>VLOOKUP(G626,[1]Hoja1!$A:$O,5,0)</f>
        <v>2680253</v>
      </c>
      <c r="U626" s="45" t="s">
        <v>2751</v>
      </c>
      <c r="V626" s="46">
        <f t="shared" si="116"/>
        <v>2680253</v>
      </c>
      <c r="W626" s="47" t="s">
        <v>1519</v>
      </c>
      <c r="X626" s="46" t="str">
        <f t="shared" si="117"/>
        <v>1</v>
      </c>
      <c r="Y626" s="47" t="s">
        <v>1518</v>
      </c>
      <c r="Z626" s="46" t="str">
        <f t="shared" si="118"/>
        <v>T</v>
      </c>
      <c r="AA626" s="47" t="s">
        <v>2752</v>
      </c>
      <c r="AB626" s="46" t="str">
        <f t="shared" si="119"/>
        <v>JUEVES</v>
      </c>
      <c r="AC626" s="47" t="s">
        <v>2753</v>
      </c>
      <c r="AD626" t="str">
        <f t="shared" si="120"/>
        <v>CONTRATURNO</v>
      </c>
      <c r="AE626" s="47" t="s">
        <v>2754</v>
      </c>
      <c r="AH626" t="str">
        <f t="shared" si="121"/>
        <v>INSERT INTO horario_curso_materia (horario_curso_materia.FK_CUR_mat,horario_curso_materia.FK_HOR,horario_curso_materia.DIA,horario_curso_materia.tipo_turno) VALUES (  (SELECT curso_materia.ID_CUR_MAT FROM curso_materia WHERE curso_materia.CUPOF='2680253' ) ,
    (SELECT horario.ID_HOR FROM horario WHERE horario.modulo='1 ' and horario.turno='T ' ),'JUEVES ' , 'CONTRATURNO ' );</v>
      </c>
    </row>
    <row r="627" spans="1:34" ht="15" hidden="1" customHeight="1" x14ac:dyDescent="0.3">
      <c r="A627" s="1" t="str">
        <f t="shared" si="114"/>
        <v>4°3°</v>
      </c>
      <c r="B627" s="54" t="str">
        <f t="shared" si="112"/>
        <v>4°3°1LUMAÑANA0</v>
      </c>
      <c r="C627" s="62">
        <f>VLOOKUP(G627,[1]Hoja1!$A:$O,3,0)</f>
        <v>0</v>
      </c>
      <c r="D627" s="2" t="str">
        <f t="shared" si="113"/>
        <v>1LUM</v>
      </c>
      <c r="E627" s="62" t="s">
        <v>9</v>
      </c>
      <c r="F627" s="62" t="s">
        <v>27</v>
      </c>
      <c r="G627" s="62" t="s">
        <v>416</v>
      </c>
      <c r="H627" s="8" t="str">
        <f>VLOOKUP(G627,[1]Hoja1!$A:$O,6,0)</f>
        <v>HISTORIA</v>
      </c>
      <c r="I627" s="4"/>
      <c r="J627" s="4"/>
      <c r="K627" s="80" t="str">
        <f t="shared" si="111"/>
        <v>LU</v>
      </c>
      <c r="L627" s="4"/>
      <c r="M627" s="86" t="str">
        <f>VLOOKUP(G627,[1]Hoja1!$A:$O,15,0)</f>
        <v>PALACIOS GUSTAVO</v>
      </c>
      <c r="N627" s="2" t="str">
        <f t="shared" si="115"/>
        <v>4°3°4EHISLU</v>
      </c>
      <c r="O627" s="2"/>
      <c r="P627" s="2" t="str">
        <f>VLOOKUP(G627,[1]Hoja1!$A:$P,16,0)</f>
        <v xml:space="preserve"> </v>
      </c>
      <c r="Q627" s="2"/>
      <c r="S627">
        <f>VLOOKUP(G627,[1]Hoja1!$A:$O,5,0)</f>
        <v>733689</v>
      </c>
      <c r="U627" s="45" t="s">
        <v>2751</v>
      </c>
      <c r="V627" s="46">
        <f t="shared" si="116"/>
        <v>733689</v>
      </c>
      <c r="W627" s="47" t="s">
        <v>1519</v>
      </c>
      <c r="X627" s="46" t="str">
        <f t="shared" si="117"/>
        <v>1</v>
      </c>
      <c r="Y627" s="47" t="s">
        <v>1518</v>
      </c>
      <c r="Z627" s="46" t="str">
        <f t="shared" si="118"/>
        <v>M</v>
      </c>
      <c r="AA627" s="47" t="s">
        <v>2752</v>
      </c>
      <c r="AB627" s="46" t="str">
        <f t="shared" si="119"/>
        <v>LUNES</v>
      </c>
      <c r="AC627" s="47" t="s">
        <v>2753</v>
      </c>
      <c r="AD627">
        <f t="shared" si="120"/>
        <v>0</v>
      </c>
      <c r="AE627" s="47" t="s">
        <v>2754</v>
      </c>
      <c r="AH627" t="str">
        <f t="shared" si="121"/>
        <v>INSERT INTO horario_curso_materia (horario_curso_materia.FK_CUR_mat,horario_curso_materia.FK_HOR,horario_curso_materia.DIA,horario_curso_materia.tipo_turno) VALUES (  (SELECT curso_materia.ID_CUR_MAT FROM curso_materia WHERE curso_materia.CUPOF='733689' ) ,
    (SELECT horario.ID_HOR FROM horario WHERE horario.modulo='1 ' and horario.turno='M ' ),'LUNES ' , '0 ' );</v>
      </c>
    </row>
    <row r="628" spans="1:34" ht="15" hidden="1" customHeight="1" x14ac:dyDescent="0.3">
      <c r="A628" s="1" t="str">
        <f t="shared" si="114"/>
        <v>4°3°</v>
      </c>
      <c r="B628" s="54" t="str">
        <f t="shared" si="112"/>
        <v>4°3°1LUTARDE431</v>
      </c>
      <c r="C628" s="62">
        <f>VLOOKUP(G628,[1]Hoja1!$A:$O,3,0)</f>
        <v>431</v>
      </c>
      <c r="D628" s="2" t="str">
        <f t="shared" si="113"/>
        <v>1LUT44</v>
      </c>
      <c r="E628" s="62" t="s">
        <v>9</v>
      </c>
      <c r="F628" s="62" t="s">
        <v>10</v>
      </c>
      <c r="G628" s="62" t="s">
        <v>150</v>
      </c>
      <c r="H628" s="8" t="str">
        <f>VLOOKUP(G628,[1]Hoja1!$A:$O,6,0)</f>
        <v xml:space="preserve">MONTAJE DE PROYECTO ELECTRONICOS </v>
      </c>
      <c r="I628" s="4">
        <v>44</v>
      </c>
      <c r="J628" s="4"/>
      <c r="K628" s="80" t="str">
        <f t="shared" si="111"/>
        <v>LU</v>
      </c>
      <c r="L628" s="4" t="s">
        <v>512</v>
      </c>
      <c r="M628" s="86" t="str">
        <f>VLOOKUP(G628,[1]Hoja1!$A:$O,15,0)</f>
        <v xml:space="preserve">SAUCEDO GUSTAVO </v>
      </c>
      <c r="N628" s="2" t="str">
        <f t="shared" si="115"/>
        <v>4°3°4314EFTMP4LU</v>
      </c>
      <c r="O628" s="2"/>
      <c r="P628" s="2" t="str">
        <f>VLOOKUP(G628,[1]Hoja1!$A:$P,16,0)</f>
        <v xml:space="preserve"> </v>
      </c>
      <c r="Q628" s="2"/>
      <c r="S628">
        <f>VLOOKUP(G628,[1]Hoja1!$A:$O,5,0)</f>
        <v>2680252</v>
      </c>
      <c r="U628" s="45" t="s">
        <v>2751</v>
      </c>
      <c r="V628" s="46">
        <f t="shared" si="116"/>
        <v>2680252</v>
      </c>
      <c r="W628" s="47" t="s">
        <v>1519</v>
      </c>
      <c r="X628" s="46" t="str">
        <f t="shared" si="117"/>
        <v>1</v>
      </c>
      <c r="Y628" s="47" t="s">
        <v>1518</v>
      </c>
      <c r="Z628" s="46" t="str">
        <f t="shared" si="118"/>
        <v>T</v>
      </c>
      <c r="AA628" s="47" t="s">
        <v>2752</v>
      </c>
      <c r="AB628" s="46" t="str">
        <f t="shared" si="119"/>
        <v>LUNES</v>
      </c>
      <c r="AC628" s="47" t="s">
        <v>2753</v>
      </c>
      <c r="AD628" t="str">
        <f t="shared" si="120"/>
        <v>CONTRATURNO</v>
      </c>
      <c r="AE628" s="47" t="s">
        <v>2754</v>
      </c>
      <c r="AH628" t="str">
        <f t="shared" si="121"/>
        <v>INSERT INTO horario_curso_materia (horario_curso_materia.FK_CUR_mat,horario_curso_materia.FK_HOR,horario_curso_materia.DIA,horario_curso_materia.tipo_turno) VALUES (  (SELECT curso_materia.ID_CUR_MAT FROM curso_materia WHERE curso_materia.CUPOF='2680252' ) ,
    (SELECT horario.ID_HOR FROM horario WHERE horario.modulo='1 ' and horario.turno='T ' ),'LUNES ' , 'CONTRATURNO ' );</v>
      </c>
    </row>
    <row r="629" spans="1:34" ht="15" hidden="1" customHeight="1" x14ac:dyDescent="0.3">
      <c r="A629" s="1" t="str">
        <f t="shared" si="114"/>
        <v>4°3°</v>
      </c>
      <c r="B629" s="54" t="str">
        <f t="shared" si="112"/>
        <v>4°3°1MAMAÑANA0</v>
      </c>
      <c r="C629" s="62">
        <f>VLOOKUP(G629,[1]Hoja1!$A:$O,3,0)</f>
        <v>0</v>
      </c>
      <c r="D629" s="2" t="str">
        <f t="shared" si="113"/>
        <v>1MAM</v>
      </c>
      <c r="E629" s="62" t="s">
        <v>17</v>
      </c>
      <c r="F629" s="62" t="s">
        <v>27</v>
      </c>
      <c r="G629" s="62" t="s">
        <v>417</v>
      </c>
      <c r="H629" s="8" t="str">
        <f>VLOOKUP(G629,[1]Hoja1!$A:$O,6,0)</f>
        <v>FUNDAMENTOS DE LOS MODELOS CIRCUITALES</v>
      </c>
      <c r="I629" s="4"/>
      <c r="J629" s="4"/>
      <c r="K629" s="80" t="str">
        <f t="shared" si="111"/>
        <v>MA</v>
      </c>
      <c r="L629" s="4"/>
      <c r="M629" s="86" t="str">
        <f>VLOOKUP(G629,[1]Hoja1!$A:$O,15,0)</f>
        <v xml:space="preserve">VIANA MAURO                  </v>
      </c>
      <c r="N629" s="2" t="str">
        <f t="shared" si="115"/>
        <v>4°3°4EFMCMA</v>
      </c>
      <c r="O629" s="2"/>
      <c r="P629" s="2" t="str">
        <f>VLOOKUP(G629,[1]Hoja1!$A:$P,16,0)</f>
        <v xml:space="preserve"> </v>
      </c>
      <c r="Q629" s="2"/>
      <c r="S629">
        <f>VLOOKUP(G629,[1]Hoja1!$A:$O,5,0)</f>
        <v>733495</v>
      </c>
      <c r="U629" s="45" t="s">
        <v>2751</v>
      </c>
      <c r="V629" s="46">
        <f t="shared" si="116"/>
        <v>733495</v>
      </c>
      <c r="W629" s="47" t="s">
        <v>1519</v>
      </c>
      <c r="X629" s="46" t="str">
        <f t="shared" si="117"/>
        <v>1</v>
      </c>
      <c r="Y629" s="47" t="s">
        <v>1518</v>
      </c>
      <c r="Z629" s="46" t="str">
        <f t="shared" si="118"/>
        <v>M</v>
      </c>
      <c r="AA629" s="47" t="s">
        <v>2752</v>
      </c>
      <c r="AB629" s="46" t="str">
        <f t="shared" si="119"/>
        <v>MARTES</v>
      </c>
      <c r="AC629" s="47" t="s">
        <v>2753</v>
      </c>
      <c r="AD629">
        <f t="shared" si="120"/>
        <v>0</v>
      </c>
      <c r="AE629" s="47" t="s">
        <v>2754</v>
      </c>
      <c r="AH629" t="str">
        <f t="shared" si="121"/>
        <v>INSERT INTO horario_curso_materia (horario_curso_materia.FK_CUR_mat,horario_curso_materia.FK_HOR,horario_curso_materia.DIA,horario_curso_materia.tipo_turno) VALUES (  (SELECT curso_materia.ID_CUR_MAT FROM curso_materia WHERE curso_materia.CUPOF='733495' ) ,
    (SELECT horario.ID_HOR FROM horario WHERE horario.modulo='1 ' and horario.turno='M ' ),'MARTES ' , '0 ' );</v>
      </c>
    </row>
    <row r="630" spans="1:34" ht="15" hidden="1" customHeight="1" x14ac:dyDescent="0.3">
      <c r="A630" s="1" t="str">
        <f t="shared" si="114"/>
        <v>4°3°</v>
      </c>
      <c r="B630" s="54" t="str">
        <f t="shared" si="112"/>
        <v>4°3°3VIMAÑANA0</v>
      </c>
      <c r="C630" s="62">
        <f>VLOOKUP(G630,[1]Hoja1!$A:$O,3,0)</f>
        <v>0</v>
      </c>
      <c r="D630" s="2" t="str">
        <f t="shared" si="113"/>
        <v>3VIM</v>
      </c>
      <c r="E630" s="62" t="s">
        <v>35</v>
      </c>
      <c r="F630" s="62" t="s">
        <v>27</v>
      </c>
      <c r="G630" s="62" t="s">
        <v>421</v>
      </c>
      <c r="H630" s="8" t="str">
        <f>VLOOKUP(G630,[1]Hoja1!$A:$O,6,0)</f>
        <v>GEOGRAFIA</v>
      </c>
      <c r="I630" s="4"/>
      <c r="J630" s="4"/>
      <c r="K630" s="80" t="str">
        <f t="shared" si="111"/>
        <v>VI</v>
      </c>
      <c r="L630" s="4"/>
      <c r="M630" s="86" t="str">
        <f>VLOOKUP(G630,[1]Hoja1!$A:$O,15,0)</f>
        <v xml:space="preserve">ROJAS SOLEDAD </v>
      </c>
      <c r="N630" s="2" t="str">
        <f t="shared" si="115"/>
        <v>4°3°4EGEOSVI</v>
      </c>
      <c r="O630" s="2"/>
      <c r="P630" s="2" t="str">
        <f>VLOOKUP(G630,[1]Hoja1!$A:$P,16,0)</f>
        <v xml:space="preserve"> </v>
      </c>
      <c r="Q630" s="2"/>
      <c r="S630">
        <f>VLOOKUP(G630,[1]Hoja1!$A:$O,5,0)</f>
        <v>1517229</v>
      </c>
      <c r="U630" s="45" t="s">
        <v>2751</v>
      </c>
      <c r="V630" s="46">
        <f t="shared" si="116"/>
        <v>1517229</v>
      </c>
      <c r="W630" s="47" t="s">
        <v>1519</v>
      </c>
      <c r="X630" s="46" t="str">
        <f t="shared" si="117"/>
        <v>3</v>
      </c>
      <c r="Y630" s="47" t="s">
        <v>1518</v>
      </c>
      <c r="Z630" s="46" t="str">
        <f t="shared" si="118"/>
        <v>M</v>
      </c>
      <c r="AA630" s="47" t="s">
        <v>2752</v>
      </c>
      <c r="AB630" s="46" t="str">
        <f t="shared" si="119"/>
        <v>VIERNES</v>
      </c>
      <c r="AC630" s="47" t="s">
        <v>2753</v>
      </c>
      <c r="AD630">
        <f t="shared" si="120"/>
        <v>0</v>
      </c>
      <c r="AE630" s="47" t="s">
        <v>2754</v>
      </c>
      <c r="AH630" t="str">
        <f t="shared" si="121"/>
        <v>INSERT INTO horario_curso_materia (horario_curso_materia.FK_CUR_mat,horario_curso_materia.FK_HOR,horario_curso_materia.DIA,horario_curso_materia.tipo_turno) VALUES (  (SELECT curso_materia.ID_CUR_MAT FROM curso_materia WHERE curso_materia.CUPOF='1517229' ) ,
    (SELECT horario.ID_HOR FROM horario WHERE horario.modulo='3 ' and horario.turno='M ' ),'VIERNES ' , '0 ' );</v>
      </c>
    </row>
    <row r="631" spans="1:34" ht="15" hidden="1" customHeight="1" x14ac:dyDescent="0.3">
      <c r="A631" s="1" t="str">
        <f t="shared" si="114"/>
        <v>4°3°</v>
      </c>
      <c r="B631" s="54" t="str">
        <f t="shared" si="112"/>
        <v>4°3°1miTARDE432</v>
      </c>
      <c r="C631" s="62">
        <f>VLOOKUP(G631,[1]Hoja1!$A:$O,3,0)</f>
        <v>432</v>
      </c>
      <c r="D631" s="2" t="str">
        <f t="shared" si="113"/>
        <v>1miT46</v>
      </c>
      <c r="E631" s="62" t="s">
        <v>55</v>
      </c>
      <c r="F631" s="62" t="s">
        <v>10</v>
      </c>
      <c r="G631" s="62" t="s">
        <v>151</v>
      </c>
      <c r="H631" s="8" t="str">
        <f>VLOOKUP(G631,[1]Hoja1!$A:$O,6,0)</f>
        <v xml:space="preserve">MONTAJE DE PROYECTO ELECTRONICOS </v>
      </c>
      <c r="I631" s="4">
        <v>46</v>
      </c>
      <c r="J631" s="4"/>
      <c r="K631" s="80" t="str">
        <f t="shared" si="111"/>
        <v>mi</v>
      </c>
      <c r="L631" s="4" t="s">
        <v>512</v>
      </c>
      <c r="M631" s="86" t="str">
        <f>VLOOKUP(G631,[1]Hoja1!$A:$O,15,0)</f>
        <v>FERREYRA JESICA</v>
      </c>
      <c r="N631" s="2" t="str">
        <f t="shared" si="115"/>
        <v>4°3°4324EFTMP4mi</v>
      </c>
      <c r="O631" s="2"/>
      <c r="P631" s="2" t="str">
        <f>VLOOKUP(G631,[1]Hoja1!$A:$P,16,0)</f>
        <v xml:space="preserve"> </v>
      </c>
      <c r="Q631" s="2"/>
      <c r="S631">
        <f>VLOOKUP(G631,[1]Hoja1!$A:$O,5,0)</f>
        <v>2680256</v>
      </c>
      <c r="U631" s="45" t="s">
        <v>2751</v>
      </c>
      <c r="V631" s="46">
        <f t="shared" si="116"/>
        <v>2680256</v>
      </c>
      <c r="W631" s="47" t="s">
        <v>1519</v>
      </c>
      <c r="X631" s="46" t="str">
        <f t="shared" si="117"/>
        <v>1</v>
      </c>
      <c r="Y631" s="47" t="s">
        <v>1518</v>
      </c>
      <c r="Z631" s="46" t="str">
        <f t="shared" si="118"/>
        <v>T</v>
      </c>
      <c r="AA631" s="47" t="s">
        <v>2752</v>
      </c>
      <c r="AB631" s="46" t="str">
        <f t="shared" si="119"/>
        <v>MIERCOLES</v>
      </c>
      <c r="AC631" s="47" t="s">
        <v>2753</v>
      </c>
      <c r="AD631" t="str">
        <f t="shared" si="120"/>
        <v>CONTRATURNO</v>
      </c>
      <c r="AE631" s="47" t="s">
        <v>2754</v>
      </c>
      <c r="AH631" t="str">
        <f t="shared" si="121"/>
        <v>INSERT INTO horario_curso_materia (horario_curso_materia.FK_CUR_mat,horario_curso_materia.FK_HOR,horario_curso_materia.DIA,horario_curso_materia.tipo_turno) VALUES (  (SELECT curso_materia.ID_CUR_MAT FROM curso_materia WHERE curso_materia.CUPOF='2680256' ) ,
    (SELECT horario.ID_HOR FROM horario WHERE horario.modulo='1 ' and horario.turno='T ' ),'MIERCOLES ' , 'CONTRATURNO ' );</v>
      </c>
    </row>
    <row r="632" spans="1:34" ht="15" hidden="1" customHeight="1" x14ac:dyDescent="0.3">
      <c r="A632" s="1" t="str">
        <f t="shared" si="114"/>
        <v>4°3°</v>
      </c>
      <c r="B632" s="54" t="str">
        <f t="shared" si="112"/>
        <v>4°3°1VIMAÑANA0</v>
      </c>
      <c r="C632" s="62">
        <f>VLOOKUP(G632,[1]Hoja1!$A:$O,3,0)</f>
        <v>0</v>
      </c>
      <c r="D632" s="2" t="str">
        <f t="shared" si="113"/>
        <v>1VIM</v>
      </c>
      <c r="E632" s="62" t="s">
        <v>57</v>
      </c>
      <c r="F632" s="62" t="s">
        <v>27</v>
      </c>
      <c r="G632" s="62" t="s">
        <v>425</v>
      </c>
      <c r="H632" s="8" t="str">
        <f>VLOOKUP(G632,[1]Hoja1!$A:$O,6,0)</f>
        <v>QUIMICA</v>
      </c>
      <c r="I632" s="4"/>
      <c r="J632" s="4"/>
      <c r="K632" s="80" t="str">
        <f t="shared" si="111"/>
        <v>VI</v>
      </c>
      <c r="L632" s="4"/>
      <c r="M632" s="86" t="str">
        <f>VLOOKUP(G632,[1]Hoja1!$A:$O,15,0)</f>
        <v xml:space="preserve">PEREYRA MARISA </v>
      </c>
      <c r="N632" s="2" t="str">
        <f t="shared" si="115"/>
        <v>4°3°4EQUISVI</v>
      </c>
      <c r="O632" s="2"/>
      <c r="P632" s="2" t="str">
        <f>VLOOKUP(G632,[1]Hoja1!$A:$P,16,0)</f>
        <v xml:space="preserve"> </v>
      </c>
      <c r="Q632" s="2"/>
      <c r="S632">
        <f>VLOOKUP(G632,[1]Hoja1!$A:$O,5,0)</f>
        <v>733563</v>
      </c>
      <c r="U632" s="45" t="s">
        <v>2751</v>
      </c>
      <c r="V632" s="46">
        <f t="shared" si="116"/>
        <v>733563</v>
      </c>
      <c r="W632" s="47" t="s">
        <v>1519</v>
      </c>
      <c r="X632" s="46" t="str">
        <f t="shared" si="117"/>
        <v>1</v>
      </c>
      <c r="Y632" s="47" t="s">
        <v>1518</v>
      </c>
      <c r="Z632" s="46" t="str">
        <f t="shared" si="118"/>
        <v>M</v>
      </c>
      <c r="AA632" s="47" t="s">
        <v>2752</v>
      </c>
      <c r="AB632" s="46" t="str">
        <f t="shared" si="119"/>
        <v>VIERNES</v>
      </c>
      <c r="AC632" s="47" t="s">
        <v>2753</v>
      </c>
      <c r="AD632">
        <f t="shared" si="120"/>
        <v>0</v>
      </c>
      <c r="AE632" s="47" t="s">
        <v>2754</v>
      </c>
      <c r="AH632" t="str">
        <f t="shared" si="121"/>
        <v>INSERT INTO horario_curso_materia (horario_curso_materia.FK_CUR_mat,horario_curso_materia.FK_HOR,horario_curso_materia.DIA,horario_curso_materia.tipo_turno) VALUES (  (SELECT curso_materia.ID_CUR_MAT FROM curso_materia WHERE curso_materia.CUPOF='733563' ) ,
    (SELECT horario.ID_HOR FROM horario WHERE horario.modulo='1 ' and horario.turno='M ' ),'VIERNES ' , '0 ' );</v>
      </c>
    </row>
    <row r="633" spans="1:34" ht="14.25" hidden="1" customHeight="1" x14ac:dyDescent="0.3">
      <c r="A633" s="1" t="str">
        <f t="shared" si="114"/>
        <v>4°3°</v>
      </c>
      <c r="B633" s="54" t="str">
        <f t="shared" si="112"/>
        <v>4°3°1VITARDE431</v>
      </c>
      <c r="C633" s="62">
        <f>VLOOKUP(G633,[1]Hoja1!$A:$O,3,0)</f>
        <v>431</v>
      </c>
      <c r="D633" s="2" t="str">
        <f t="shared" si="113"/>
        <v>1VIT44</v>
      </c>
      <c r="E633" s="62" t="s">
        <v>57</v>
      </c>
      <c r="F633" s="62" t="s">
        <v>10</v>
      </c>
      <c r="G633" s="62" t="s">
        <v>155</v>
      </c>
      <c r="H633" s="8" t="str">
        <f>VLOOKUP(G633,[1]Hoja1!$A:$O,6,0)</f>
        <v>APLIC ELECTR DIGITAL</v>
      </c>
      <c r="I633" s="4">
        <v>44</v>
      </c>
      <c r="J633" s="4"/>
      <c r="K633" s="80" t="str">
        <f t="shared" si="111"/>
        <v>VI</v>
      </c>
      <c r="L633" s="4" t="s">
        <v>512</v>
      </c>
      <c r="M633" s="86" t="str">
        <f>VLOOKUP(G633,[1]Hoja1!$A:$O,15,0)</f>
        <v>CORDOBA ERNESTO</v>
      </c>
      <c r="N633" s="2" t="str">
        <f t="shared" si="115"/>
        <v>4°3°4314EFTED4VI</v>
      </c>
      <c r="O633" s="2"/>
      <c r="P633" s="2" t="str">
        <f>VLOOKUP(G633,[1]Hoja1!$A:$P,16,0)</f>
        <v xml:space="preserve"> </v>
      </c>
      <c r="Q633" s="2"/>
      <c r="S633">
        <f>VLOOKUP(G633,[1]Hoja1!$A:$O,5,0)</f>
        <v>2680251</v>
      </c>
      <c r="U633" s="45" t="s">
        <v>2751</v>
      </c>
      <c r="V633" s="46">
        <f t="shared" si="116"/>
        <v>2680251</v>
      </c>
      <c r="W633" s="47" t="s">
        <v>1519</v>
      </c>
      <c r="X633" s="46" t="str">
        <f t="shared" si="117"/>
        <v>1</v>
      </c>
      <c r="Y633" s="47" t="s">
        <v>1518</v>
      </c>
      <c r="Z633" s="46" t="str">
        <f t="shared" si="118"/>
        <v>T</v>
      </c>
      <c r="AA633" s="47" t="s">
        <v>2752</v>
      </c>
      <c r="AB633" s="46" t="str">
        <f t="shared" si="119"/>
        <v>VIERNES</v>
      </c>
      <c r="AC633" s="47" t="s">
        <v>2753</v>
      </c>
      <c r="AD633" t="str">
        <f t="shared" si="120"/>
        <v>CONTRATURNO</v>
      </c>
      <c r="AE633" s="47" t="s">
        <v>2754</v>
      </c>
      <c r="AH633" t="str">
        <f t="shared" si="121"/>
        <v>INSERT INTO horario_curso_materia (horario_curso_materia.FK_CUR_mat,horario_curso_materia.FK_HOR,horario_curso_materia.DIA,horario_curso_materia.tipo_turno) VALUES (  (SELECT curso_materia.ID_CUR_MAT FROM curso_materia WHERE curso_materia.CUPOF='2680251' ) ,
    (SELECT horario.ID_HOR FROM horario WHERE horario.modulo='1 ' and horario.turno='T ' ),'VIERNES ' , 'CONTRATURNO ' );</v>
      </c>
    </row>
    <row r="634" spans="1:34" ht="14.25" hidden="1" customHeight="1" x14ac:dyDescent="0.3">
      <c r="A634" s="1" t="str">
        <f t="shared" si="114"/>
        <v>4°3°</v>
      </c>
      <c r="B634" s="54" t="str">
        <f t="shared" si="112"/>
        <v>4°3°1luVESPERTINO432</v>
      </c>
      <c r="C634" s="62">
        <f>VLOOKUP(G634,[1]Hoja1!$A:$O,3,0)</f>
        <v>432</v>
      </c>
      <c r="D634" s="2" t="str">
        <f t="shared" si="113"/>
        <v>1luV46</v>
      </c>
      <c r="E634" s="62" t="s">
        <v>1444</v>
      </c>
      <c r="F634" s="62" t="s">
        <v>125</v>
      </c>
      <c r="G634" s="62" t="s">
        <v>152</v>
      </c>
      <c r="H634" s="8" t="str">
        <f>VLOOKUP(G634,[1]Hoja1!$A:$O,6,0)</f>
        <v>APLIC ELECTR DIGITAL</v>
      </c>
      <c r="I634" s="4">
        <v>46</v>
      </c>
      <c r="J634" s="4"/>
      <c r="K634" s="80" t="str">
        <f t="shared" si="111"/>
        <v>lu</v>
      </c>
      <c r="L634" s="4" t="s">
        <v>512</v>
      </c>
      <c r="M634" s="86" t="str">
        <f>VLOOKUP(G634,[1]Hoja1!$A:$O,15,0)</f>
        <v>BULACIO ARIEL</v>
      </c>
      <c r="N634" s="2" t="str">
        <f t="shared" si="115"/>
        <v>4°3°4324EFTED4lu</v>
      </c>
      <c r="O634" s="2"/>
      <c r="P634" s="2" t="str">
        <f>VLOOKUP(G634,[1]Hoja1!$A:$P,16,0)</f>
        <v xml:space="preserve"> </v>
      </c>
      <c r="Q634" s="2"/>
      <c r="S634">
        <f>VLOOKUP(G634,[1]Hoja1!$A:$O,5,0)</f>
        <v>2680254</v>
      </c>
      <c r="U634" s="45" t="s">
        <v>2751</v>
      </c>
      <c r="V634" s="46">
        <f t="shared" si="116"/>
        <v>2680254</v>
      </c>
      <c r="W634" s="47" t="s">
        <v>1519</v>
      </c>
      <c r="X634" s="46" t="str">
        <f t="shared" si="117"/>
        <v>1</v>
      </c>
      <c r="Y634" s="47" t="s">
        <v>1518</v>
      </c>
      <c r="Z634" s="46" t="str">
        <f t="shared" si="118"/>
        <v>V</v>
      </c>
      <c r="AA634" s="47" t="s">
        <v>2752</v>
      </c>
      <c r="AB634" s="46" t="str">
        <f t="shared" si="119"/>
        <v>LUNES</v>
      </c>
      <c r="AC634" s="47" t="s">
        <v>2753</v>
      </c>
      <c r="AD634" t="str">
        <f t="shared" si="120"/>
        <v>CONTRATURNO</v>
      </c>
      <c r="AE634" s="47" t="s">
        <v>2754</v>
      </c>
      <c r="AH634" t="str">
        <f t="shared" si="121"/>
        <v>INSERT INTO horario_curso_materia (horario_curso_materia.FK_CUR_mat,horario_curso_materia.FK_HOR,horario_curso_materia.DIA,horario_curso_materia.tipo_turno) VALUES (  (SELECT curso_materia.ID_CUR_MAT FROM curso_materia WHERE curso_materia.CUPOF='2680254' ) ,
    (SELECT horario.ID_HOR FROM horario WHERE horario.modulo='1 ' and horario.turno='V ' ),'LUNES ' , 'CONTRATURNO ' );</v>
      </c>
    </row>
    <row r="635" spans="1:34" ht="15" hidden="1" customHeight="1" x14ac:dyDescent="0.3">
      <c r="A635" s="1" t="str">
        <f t="shared" si="114"/>
        <v>4°3°</v>
      </c>
      <c r="B635" s="54" t="str">
        <f t="shared" si="112"/>
        <v>4°3°2JUMAÑANA0</v>
      </c>
      <c r="C635" s="62">
        <f>VLOOKUP(G635,[1]Hoja1!$A:$O,3,0)</f>
        <v>0</v>
      </c>
      <c r="D635" s="2" t="str">
        <f t="shared" si="113"/>
        <v>2JUM</v>
      </c>
      <c r="E635" s="4" t="s">
        <v>45</v>
      </c>
      <c r="F635" s="62" t="s">
        <v>27</v>
      </c>
      <c r="G635" s="72" t="s">
        <v>423</v>
      </c>
      <c r="H635" s="8" t="str">
        <f>VLOOKUP(G635,[1]Hoja1!$A:$O,6,0)</f>
        <v>INGLÉS</v>
      </c>
      <c r="I635" s="4"/>
      <c r="J635" s="4"/>
      <c r="K635" s="80" t="str">
        <f t="shared" ref="K635:K698" si="122">RIGHT(E635,2)</f>
        <v>JU</v>
      </c>
      <c r="L635" s="4"/>
      <c r="M635" s="86" t="str">
        <f>VLOOKUP(G635,[1]Hoja1!$A:$O,15,0)</f>
        <v xml:space="preserve">LEGUIZAMO ANA </v>
      </c>
      <c r="N635" s="2" t="str">
        <f t="shared" si="115"/>
        <v>4°3°4EINGSJU</v>
      </c>
      <c r="O635" s="2"/>
      <c r="P635" s="2" t="str">
        <f>VLOOKUP(G635,[1]Hoja1!$A:$P,16,0)</f>
        <v xml:space="preserve"> </v>
      </c>
      <c r="Q635" s="2"/>
      <c r="S635">
        <f>VLOOKUP(G635,[1]Hoja1!$A:$O,5,0)</f>
        <v>733722</v>
      </c>
      <c r="U635" s="45" t="s">
        <v>2751</v>
      </c>
      <c r="V635" s="46">
        <f t="shared" si="116"/>
        <v>733722</v>
      </c>
      <c r="W635" s="47" t="s">
        <v>1519</v>
      </c>
      <c r="X635" s="46" t="str">
        <f t="shared" si="117"/>
        <v>2</v>
      </c>
      <c r="Y635" s="47" t="s">
        <v>1518</v>
      </c>
      <c r="Z635" s="46" t="str">
        <f t="shared" si="118"/>
        <v>M</v>
      </c>
      <c r="AA635" s="47" t="s">
        <v>2752</v>
      </c>
      <c r="AB635" s="46" t="str">
        <f t="shared" si="119"/>
        <v>JUEVES</v>
      </c>
      <c r="AC635" s="47" t="s">
        <v>2753</v>
      </c>
      <c r="AD635">
        <f t="shared" si="120"/>
        <v>0</v>
      </c>
      <c r="AE635" s="47" t="s">
        <v>2754</v>
      </c>
      <c r="AH635" t="str">
        <f t="shared" si="121"/>
        <v>INSERT INTO horario_curso_materia (horario_curso_materia.FK_CUR_mat,horario_curso_materia.FK_HOR,horario_curso_materia.DIA,horario_curso_materia.tipo_turno) VALUES (  (SELECT curso_materia.ID_CUR_MAT FROM curso_materia WHERE curso_materia.CUPOF='733722' ) ,
    (SELECT horario.ID_HOR FROM horario WHERE horario.modulo='2 ' and horario.turno='M ' ),'JUEVES ' , '0 ' );</v>
      </c>
    </row>
    <row r="636" spans="1:34" ht="15" hidden="1" customHeight="1" x14ac:dyDescent="0.3">
      <c r="A636" s="1" t="str">
        <f t="shared" si="114"/>
        <v>4°3°</v>
      </c>
      <c r="B636" s="54" t="str">
        <f t="shared" si="112"/>
        <v>4°3°2miVESPERTINO431</v>
      </c>
      <c r="C636" s="62">
        <f>VLOOKUP(G636,[1]Hoja1!$A:$O,3,0)</f>
        <v>431</v>
      </c>
      <c r="D636" s="2" t="str">
        <f t="shared" si="113"/>
        <v>2miV46</v>
      </c>
      <c r="E636" s="62" t="s">
        <v>1343</v>
      </c>
      <c r="F636" s="62" t="s">
        <v>125</v>
      </c>
      <c r="G636" s="62" t="s">
        <v>153</v>
      </c>
      <c r="H636" s="8" t="str">
        <f>VLOOKUP(G636,[1]Hoja1!$A:$O,6,0)</f>
        <v xml:space="preserve">APLIC ELECT ANALOG </v>
      </c>
      <c r="I636" s="4">
        <v>46</v>
      </c>
      <c r="J636" s="4"/>
      <c r="K636" s="80" t="str">
        <f t="shared" si="122"/>
        <v>mi</v>
      </c>
      <c r="L636" s="4" t="s">
        <v>512</v>
      </c>
      <c r="M636" s="86" t="str">
        <f>VLOOKUP(G636,[1]Hoja1!$A:$O,15,0)</f>
        <v>escalada arnaldo</v>
      </c>
      <c r="N636" s="2" t="str">
        <f t="shared" si="115"/>
        <v>4°3°4314EFTAE4mi</v>
      </c>
      <c r="O636" s="2"/>
      <c r="P636" s="2" t="str">
        <f>VLOOKUP(G636,[1]Hoja1!$A:$P,16,0)</f>
        <v xml:space="preserve"> </v>
      </c>
      <c r="Q636" s="2"/>
      <c r="S636">
        <f>VLOOKUP(G636,[1]Hoja1!$A:$O,5,0)</f>
        <v>2680250</v>
      </c>
      <c r="U636" s="45" t="s">
        <v>2751</v>
      </c>
      <c r="V636" s="46">
        <f t="shared" si="116"/>
        <v>2680250</v>
      </c>
      <c r="W636" s="47" t="s">
        <v>1519</v>
      </c>
      <c r="X636" s="46" t="str">
        <f t="shared" si="117"/>
        <v>2</v>
      </c>
      <c r="Y636" s="47" t="s">
        <v>1518</v>
      </c>
      <c r="Z636" s="46" t="str">
        <f t="shared" si="118"/>
        <v>V</v>
      </c>
      <c r="AA636" s="47" t="s">
        <v>2752</v>
      </c>
      <c r="AB636" s="46" t="str">
        <f t="shared" si="119"/>
        <v>MIERCOLES</v>
      </c>
      <c r="AC636" s="47" t="s">
        <v>2753</v>
      </c>
      <c r="AD636" t="str">
        <f t="shared" si="120"/>
        <v>CONTRATURNO</v>
      </c>
      <c r="AE636" s="47" t="s">
        <v>2754</v>
      </c>
      <c r="AH636" t="str">
        <f t="shared" si="121"/>
        <v>INSERT INTO horario_curso_materia (horario_curso_materia.FK_CUR_mat,horario_curso_materia.FK_HOR,horario_curso_materia.DIA,horario_curso_materia.tipo_turno) VALUES (  (SELECT curso_materia.ID_CUR_MAT FROM curso_materia WHERE curso_materia.CUPOF='2680250' ) ,
    (SELECT horario.ID_HOR FROM horario WHERE horario.modulo='2 ' and horario.turno='V ' ),'MIERCOLES ' , 'CONTRATURNO ' );</v>
      </c>
    </row>
    <row r="637" spans="1:34" ht="15" hidden="1" customHeight="1" x14ac:dyDescent="0.3">
      <c r="A637" s="1" t="str">
        <f t="shared" si="114"/>
        <v>4°3°</v>
      </c>
      <c r="B637" s="54" t="str">
        <f t="shared" si="112"/>
        <v>4°3°2JUTARDE432</v>
      </c>
      <c r="C637" s="62">
        <f>VLOOKUP(G637,[1]Hoja1!$A:$O,3,0)</f>
        <v>432</v>
      </c>
      <c r="D637" s="2" t="str">
        <f t="shared" si="113"/>
        <v>2JUT44</v>
      </c>
      <c r="E637" s="62" t="s">
        <v>45</v>
      </c>
      <c r="F637" s="62" t="s">
        <v>10</v>
      </c>
      <c r="G637" s="62" t="s">
        <v>154</v>
      </c>
      <c r="H637" s="8" t="str">
        <f>VLOOKUP(G637,[1]Hoja1!$A:$O,6,0)</f>
        <v xml:space="preserve">APLIC ELECT ANALOG </v>
      </c>
      <c r="I637" s="4">
        <v>44</v>
      </c>
      <c r="J637" s="4"/>
      <c r="K637" s="80" t="str">
        <f t="shared" si="122"/>
        <v>JU</v>
      </c>
      <c r="L637" s="4" t="s">
        <v>512</v>
      </c>
      <c r="M637" s="86" t="str">
        <f>VLOOKUP(G637,[1]Hoja1!$A:$O,15,0)</f>
        <v>GAUNA FEDERICO</v>
      </c>
      <c r="N637" s="2" t="str">
        <f t="shared" si="115"/>
        <v>4°3°4324EFTAE4JU</v>
      </c>
      <c r="O637" s="2"/>
      <c r="P637" s="2" t="str">
        <f>VLOOKUP(G637,[1]Hoja1!$A:$P,16,0)</f>
        <v xml:space="preserve"> </v>
      </c>
      <c r="Q637" s="2"/>
      <c r="S637">
        <f>VLOOKUP(G637,[1]Hoja1!$A:$O,5,0)</f>
        <v>2680253</v>
      </c>
      <c r="U637" s="45" t="s">
        <v>2751</v>
      </c>
      <c r="V637" s="46">
        <f t="shared" si="116"/>
        <v>2680253</v>
      </c>
      <c r="W637" s="47" t="s">
        <v>1519</v>
      </c>
      <c r="X637" s="46" t="str">
        <f t="shared" si="117"/>
        <v>2</v>
      </c>
      <c r="Y637" s="47" t="s">
        <v>1518</v>
      </c>
      <c r="Z637" s="46" t="str">
        <f t="shared" si="118"/>
        <v>T</v>
      </c>
      <c r="AA637" s="47" t="s">
        <v>2752</v>
      </c>
      <c r="AB637" s="46" t="str">
        <f t="shared" si="119"/>
        <v>JUEVES</v>
      </c>
      <c r="AC637" s="47" t="s">
        <v>2753</v>
      </c>
      <c r="AD637" t="str">
        <f t="shared" si="120"/>
        <v>CONTRATURNO</v>
      </c>
      <c r="AE637" s="47" t="s">
        <v>2754</v>
      </c>
      <c r="AH637" t="str">
        <f t="shared" si="121"/>
        <v>INSERT INTO horario_curso_materia (horario_curso_materia.FK_CUR_mat,horario_curso_materia.FK_HOR,horario_curso_materia.DIA,horario_curso_materia.tipo_turno) VALUES (  (SELECT curso_materia.ID_CUR_MAT FROM curso_materia WHERE curso_materia.CUPOF='2680253' ) ,
    (SELECT horario.ID_HOR FROM horario WHERE horario.modulo='2 ' and horario.turno='T ' ),'JUEVES ' , 'CONTRATURNO ' );</v>
      </c>
    </row>
    <row r="638" spans="1:34" ht="15" hidden="1" customHeight="1" x14ac:dyDescent="0.3">
      <c r="A638" s="1" t="str">
        <f t="shared" si="114"/>
        <v>4°3°</v>
      </c>
      <c r="B638" s="54" t="str">
        <f t="shared" si="112"/>
        <v>4°3°2LUMAÑANA0</v>
      </c>
      <c r="C638" s="62">
        <f>VLOOKUP(G638,[1]Hoja1!$A:$O,3,0)</f>
        <v>0</v>
      </c>
      <c r="D638" s="2" t="str">
        <f t="shared" si="113"/>
        <v>2LUM</v>
      </c>
      <c r="E638" s="62" t="s">
        <v>12</v>
      </c>
      <c r="F638" s="62" t="s">
        <v>27</v>
      </c>
      <c r="G638" s="62" t="s">
        <v>416</v>
      </c>
      <c r="H638" s="8" t="str">
        <f>VLOOKUP(G638,[1]Hoja1!$A:$O,6,0)</f>
        <v>HISTORIA</v>
      </c>
      <c r="I638" s="4"/>
      <c r="J638" s="4"/>
      <c r="K638" s="80" t="str">
        <f t="shared" si="122"/>
        <v>LU</v>
      </c>
      <c r="L638" s="4"/>
      <c r="M638" s="86" t="str">
        <f>VLOOKUP(G638,[1]Hoja1!$A:$O,15,0)</f>
        <v>PALACIOS GUSTAVO</v>
      </c>
      <c r="N638" s="2" t="str">
        <f t="shared" si="115"/>
        <v>4°3°4EHISLU</v>
      </c>
      <c r="O638" s="2"/>
      <c r="P638" s="2" t="str">
        <f>VLOOKUP(G638,[1]Hoja1!$A:$P,16,0)</f>
        <v xml:space="preserve"> </v>
      </c>
      <c r="Q638" s="2"/>
      <c r="S638">
        <f>VLOOKUP(G638,[1]Hoja1!$A:$O,5,0)</f>
        <v>733689</v>
      </c>
      <c r="U638" s="45" t="s">
        <v>2751</v>
      </c>
      <c r="V638" s="46">
        <f t="shared" si="116"/>
        <v>733689</v>
      </c>
      <c r="W638" s="47" t="s">
        <v>1519</v>
      </c>
      <c r="X638" s="46" t="str">
        <f t="shared" si="117"/>
        <v>2</v>
      </c>
      <c r="Y638" s="47" t="s">
        <v>1518</v>
      </c>
      <c r="Z638" s="46" t="str">
        <f t="shared" si="118"/>
        <v>M</v>
      </c>
      <c r="AA638" s="47" t="s">
        <v>2752</v>
      </c>
      <c r="AB638" s="46" t="str">
        <f t="shared" si="119"/>
        <v>LUNES</v>
      </c>
      <c r="AC638" s="47" t="s">
        <v>2753</v>
      </c>
      <c r="AD638">
        <f t="shared" si="120"/>
        <v>0</v>
      </c>
      <c r="AE638" s="47" t="s">
        <v>2754</v>
      </c>
      <c r="AH638" t="str">
        <f t="shared" si="121"/>
        <v>INSERT INTO horario_curso_materia (horario_curso_materia.FK_CUR_mat,horario_curso_materia.FK_HOR,horario_curso_materia.DIA,horario_curso_materia.tipo_turno) VALUES (  (SELECT curso_materia.ID_CUR_MAT FROM curso_materia WHERE curso_materia.CUPOF='733689' ) ,
    (SELECT horario.ID_HOR FROM horario WHERE horario.modulo='2 ' and horario.turno='M ' ),'LUNES ' , '0 ' );</v>
      </c>
    </row>
    <row r="639" spans="1:34" ht="15" hidden="1" customHeight="1" x14ac:dyDescent="0.3">
      <c r="A639" s="1" t="str">
        <f t="shared" si="114"/>
        <v>4°3°</v>
      </c>
      <c r="B639" s="54" t="str">
        <f t="shared" si="112"/>
        <v>4°3°2LUTARDE431</v>
      </c>
      <c r="C639" s="62">
        <f>VLOOKUP(G639,[1]Hoja1!$A:$O,3,0)</f>
        <v>431</v>
      </c>
      <c r="D639" s="2" t="str">
        <f t="shared" si="113"/>
        <v>2LUT44</v>
      </c>
      <c r="E639" s="62" t="s">
        <v>12</v>
      </c>
      <c r="F639" s="62" t="s">
        <v>10</v>
      </c>
      <c r="G639" s="62" t="s">
        <v>150</v>
      </c>
      <c r="H639" s="8" t="str">
        <f>VLOOKUP(G639,[1]Hoja1!$A:$O,6,0)</f>
        <v xml:space="preserve">MONTAJE DE PROYECTO ELECTRONICOS </v>
      </c>
      <c r="I639" s="4">
        <v>44</v>
      </c>
      <c r="J639" s="4"/>
      <c r="K639" s="80" t="str">
        <f t="shared" si="122"/>
        <v>LU</v>
      </c>
      <c r="L639" s="4" t="s">
        <v>512</v>
      </c>
      <c r="M639" s="86" t="str">
        <f>VLOOKUP(G639,[1]Hoja1!$A:$O,15,0)</f>
        <v xml:space="preserve">SAUCEDO GUSTAVO </v>
      </c>
      <c r="N639" s="2" t="str">
        <f t="shared" si="115"/>
        <v>4°3°4314EFTMP4LU</v>
      </c>
      <c r="O639" s="2"/>
      <c r="P639" s="2" t="str">
        <f>VLOOKUP(G639,[1]Hoja1!$A:$P,16,0)</f>
        <v xml:space="preserve"> </v>
      </c>
      <c r="Q639" s="2"/>
      <c r="S639">
        <f>VLOOKUP(G639,[1]Hoja1!$A:$O,5,0)</f>
        <v>2680252</v>
      </c>
      <c r="U639" s="45" t="s">
        <v>2751</v>
      </c>
      <c r="V639" s="46">
        <f t="shared" si="116"/>
        <v>2680252</v>
      </c>
      <c r="W639" s="47" t="s">
        <v>1519</v>
      </c>
      <c r="X639" s="46" t="str">
        <f t="shared" si="117"/>
        <v>2</v>
      </c>
      <c r="Y639" s="47" t="s">
        <v>1518</v>
      </c>
      <c r="Z639" s="46" t="str">
        <f t="shared" si="118"/>
        <v>T</v>
      </c>
      <c r="AA639" s="47" t="s">
        <v>2752</v>
      </c>
      <c r="AB639" s="46" t="str">
        <f t="shared" si="119"/>
        <v>LUNES</v>
      </c>
      <c r="AC639" s="47" t="s">
        <v>2753</v>
      </c>
      <c r="AD639" t="str">
        <f t="shared" si="120"/>
        <v>CONTRATURNO</v>
      </c>
      <c r="AE639" s="47" t="s">
        <v>2754</v>
      </c>
      <c r="AH639" t="str">
        <f t="shared" si="121"/>
        <v>INSERT INTO horario_curso_materia (horario_curso_materia.FK_CUR_mat,horario_curso_materia.FK_HOR,horario_curso_materia.DIA,horario_curso_materia.tipo_turno) VALUES (  (SELECT curso_materia.ID_CUR_MAT FROM curso_materia WHERE curso_materia.CUPOF='2680252' ) ,
    (SELECT horario.ID_HOR FROM horario WHERE horario.modulo='2 ' and horario.turno='T ' ),'LUNES ' , 'CONTRATURNO ' );</v>
      </c>
    </row>
    <row r="640" spans="1:34" ht="15" hidden="1" customHeight="1" x14ac:dyDescent="0.3">
      <c r="A640" s="1" t="str">
        <f t="shared" si="114"/>
        <v>4°3°</v>
      </c>
      <c r="B640" s="54" t="str">
        <f t="shared" si="112"/>
        <v>4°3°2MAMAÑANA0</v>
      </c>
      <c r="C640" s="62">
        <f>VLOOKUP(G640,[1]Hoja1!$A:$O,3,0)</f>
        <v>0</v>
      </c>
      <c r="D640" s="2" t="str">
        <f t="shared" si="113"/>
        <v>2MAM</v>
      </c>
      <c r="E640" s="62" t="s">
        <v>19</v>
      </c>
      <c r="F640" s="62" t="s">
        <v>27</v>
      </c>
      <c r="G640" s="62" t="s">
        <v>417</v>
      </c>
      <c r="H640" s="8" t="str">
        <f>VLOOKUP(G640,[1]Hoja1!$A:$O,6,0)</f>
        <v>FUNDAMENTOS DE LOS MODELOS CIRCUITALES</v>
      </c>
      <c r="I640" s="4"/>
      <c r="J640" s="4"/>
      <c r="K640" s="80" t="str">
        <f t="shared" si="122"/>
        <v>MA</v>
      </c>
      <c r="L640" s="4"/>
      <c r="M640" s="86" t="str">
        <f>VLOOKUP(G640,[1]Hoja1!$A:$O,15,0)</f>
        <v xml:space="preserve">VIANA MAURO                  </v>
      </c>
      <c r="N640" s="2" t="str">
        <f t="shared" si="115"/>
        <v>4°3°4EFMCMA</v>
      </c>
      <c r="O640" s="2"/>
      <c r="P640" s="2" t="str">
        <f>VLOOKUP(G640,[1]Hoja1!$A:$P,16,0)</f>
        <v xml:space="preserve"> </v>
      </c>
      <c r="Q640" s="2"/>
      <c r="S640">
        <f>VLOOKUP(G640,[1]Hoja1!$A:$O,5,0)</f>
        <v>733495</v>
      </c>
      <c r="U640" s="45" t="s">
        <v>2751</v>
      </c>
      <c r="V640" s="46">
        <f t="shared" si="116"/>
        <v>733495</v>
      </c>
      <c r="W640" s="47" t="s">
        <v>1519</v>
      </c>
      <c r="X640" s="46" t="str">
        <f t="shared" si="117"/>
        <v>2</v>
      </c>
      <c r="Y640" s="47" t="s">
        <v>1518</v>
      </c>
      <c r="Z640" s="46" t="str">
        <f t="shared" si="118"/>
        <v>M</v>
      </c>
      <c r="AA640" s="47" t="s">
        <v>2752</v>
      </c>
      <c r="AB640" s="46" t="str">
        <f t="shared" si="119"/>
        <v>MARTES</v>
      </c>
      <c r="AC640" s="47" t="s">
        <v>2753</v>
      </c>
      <c r="AD640">
        <f t="shared" si="120"/>
        <v>0</v>
      </c>
      <c r="AE640" s="47" t="s">
        <v>2754</v>
      </c>
      <c r="AH640" t="str">
        <f t="shared" si="121"/>
        <v>INSERT INTO horario_curso_materia (horario_curso_materia.FK_CUR_mat,horario_curso_materia.FK_HOR,horario_curso_materia.DIA,horario_curso_materia.tipo_turno) VALUES (  (SELECT curso_materia.ID_CUR_MAT FROM curso_materia WHERE curso_materia.CUPOF='733495' ) ,
    (SELECT horario.ID_HOR FROM horario WHERE horario.modulo='2 ' and horario.turno='M ' ),'MARTES ' , '0 ' );</v>
      </c>
    </row>
    <row r="641" spans="1:34" ht="15" hidden="1" customHeight="1" x14ac:dyDescent="0.3">
      <c r="A641" s="1" t="str">
        <f t="shared" si="114"/>
        <v>4°3°</v>
      </c>
      <c r="B641" s="54" t="str">
        <f t="shared" si="112"/>
        <v>4°3°4VIMAÑANA0</v>
      </c>
      <c r="C641" s="62">
        <f>VLOOKUP(G641,[1]Hoja1!$A:$O,3,0)</f>
        <v>0</v>
      </c>
      <c r="D641" s="2" t="str">
        <f t="shared" si="113"/>
        <v>4VIM</v>
      </c>
      <c r="E641" s="62" t="s">
        <v>36</v>
      </c>
      <c r="F641" s="62" t="s">
        <v>27</v>
      </c>
      <c r="G641" s="62" t="s">
        <v>421</v>
      </c>
      <c r="H641" s="8" t="str">
        <f>VLOOKUP(G641,[1]Hoja1!$A:$O,6,0)</f>
        <v>GEOGRAFIA</v>
      </c>
      <c r="I641" s="4"/>
      <c r="J641" s="4"/>
      <c r="K641" s="80" t="str">
        <f t="shared" si="122"/>
        <v>VI</v>
      </c>
      <c r="L641" s="4"/>
      <c r="M641" s="86" t="str">
        <f>VLOOKUP(G641,[1]Hoja1!$A:$O,15,0)</f>
        <v xml:space="preserve">ROJAS SOLEDAD </v>
      </c>
      <c r="N641" s="2" t="str">
        <f t="shared" si="115"/>
        <v>4°3°4EGEOSVI</v>
      </c>
      <c r="O641" s="2"/>
      <c r="P641" s="2" t="str">
        <f>VLOOKUP(G641,[1]Hoja1!$A:$P,16,0)</f>
        <v xml:space="preserve"> </v>
      </c>
      <c r="Q641" s="2"/>
      <c r="S641">
        <f>VLOOKUP(G641,[1]Hoja1!$A:$O,5,0)</f>
        <v>1517229</v>
      </c>
      <c r="U641" s="45" t="s">
        <v>2751</v>
      </c>
      <c r="V641" s="46">
        <f t="shared" si="116"/>
        <v>1517229</v>
      </c>
      <c r="W641" s="47" t="s">
        <v>1519</v>
      </c>
      <c r="X641" s="46" t="str">
        <f t="shared" si="117"/>
        <v>4</v>
      </c>
      <c r="Y641" s="47" t="s">
        <v>1518</v>
      </c>
      <c r="Z641" s="46" t="str">
        <f t="shared" si="118"/>
        <v>M</v>
      </c>
      <c r="AA641" s="47" t="s">
        <v>2752</v>
      </c>
      <c r="AB641" s="46" t="str">
        <f t="shared" si="119"/>
        <v>VIERNES</v>
      </c>
      <c r="AC641" s="47" t="s">
        <v>2753</v>
      </c>
      <c r="AD641">
        <f t="shared" si="120"/>
        <v>0</v>
      </c>
      <c r="AE641" s="47" t="s">
        <v>2754</v>
      </c>
      <c r="AH641" t="str">
        <f t="shared" si="121"/>
        <v>INSERT INTO horario_curso_materia (horario_curso_materia.FK_CUR_mat,horario_curso_materia.FK_HOR,horario_curso_materia.DIA,horario_curso_materia.tipo_turno) VALUES (  (SELECT curso_materia.ID_CUR_MAT FROM curso_materia WHERE curso_materia.CUPOF='1517229' ) ,
    (SELECT horario.ID_HOR FROM horario WHERE horario.modulo='4 ' and horario.turno='M ' ),'VIERNES ' , '0 ' );</v>
      </c>
    </row>
    <row r="642" spans="1:34" ht="15" hidden="1" customHeight="1" x14ac:dyDescent="0.3">
      <c r="A642" s="1" t="str">
        <f t="shared" si="114"/>
        <v>4°3°</v>
      </c>
      <c r="B642" s="54" t="str">
        <f t="shared" ref="B642:B705" si="123">CONCATENATE(LEFT(G642,4),E642,F642,C642)</f>
        <v>4°3°2miTARDE432</v>
      </c>
      <c r="C642" s="62">
        <f>VLOOKUP(G642,[1]Hoja1!$A:$O,3,0)</f>
        <v>432</v>
      </c>
      <c r="D642" s="2" t="str">
        <f t="shared" si="113"/>
        <v>2miT46</v>
      </c>
      <c r="E642" s="62" t="s">
        <v>1343</v>
      </c>
      <c r="F642" s="62" t="s">
        <v>10</v>
      </c>
      <c r="G642" s="62" t="s">
        <v>151</v>
      </c>
      <c r="H642" s="8" t="str">
        <f>VLOOKUP(G642,[1]Hoja1!$A:$O,6,0)</f>
        <v xml:space="preserve">MONTAJE DE PROYECTO ELECTRONICOS </v>
      </c>
      <c r="I642" s="4">
        <v>46</v>
      </c>
      <c r="J642" s="4"/>
      <c r="K642" s="80" t="str">
        <f t="shared" si="122"/>
        <v>mi</v>
      </c>
      <c r="L642" s="4" t="s">
        <v>512</v>
      </c>
      <c r="M642" s="86" t="str">
        <f>VLOOKUP(G642,[1]Hoja1!$A:$O,15,0)</f>
        <v>FERREYRA JESICA</v>
      </c>
      <c r="N642" s="2" t="str">
        <f t="shared" si="115"/>
        <v>4°3°4324EFTMP4mi</v>
      </c>
      <c r="O642" s="2"/>
      <c r="P642" s="2" t="str">
        <f>VLOOKUP(G642,[1]Hoja1!$A:$P,16,0)</f>
        <v xml:space="preserve"> </v>
      </c>
      <c r="Q642" s="2"/>
      <c r="S642">
        <f>VLOOKUP(G642,[1]Hoja1!$A:$O,5,0)</f>
        <v>2680256</v>
      </c>
      <c r="U642" s="45" t="s">
        <v>2751</v>
      </c>
      <c r="V642" s="46">
        <f t="shared" si="116"/>
        <v>2680256</v>
      </c>
      <c r="W642" s="47" t="s">
        <v>1519</v>
      </c>
      <c r="X642" s="46" t="str">
        <f t="shared" si="117"/>
        <v>2</v>
      </c>
      <c r="Y642" s="47" t="s">
        <v>1518</v>
      </c>
      <c r="Z642" s="46" t="str">
        <f t="shared" si="118"/>
        <v>T</v>
      </c>
      <c r="AA642" s="47" t="s">
        <v>2752</v>
      </c>
      <c r="AB642" s="46" t="str">
        <f t="shared" si="119"/>
        <v>MIERCOLES</v>
      </c>
      <c r="AC642" s="47" t="s">
        <v>2753</v>
      </c>
      <c r="AD642" t="str">
        <f t="shared" si="120"/>
        <v>CONTRATURNO</v>
      </c>
      <c r="AE642" s="47" t="s">
        <v>2754</v>
      </c>
      <c r="AH642" t="str">
        <f t="shared" si="121"/>
        <v>INSERT INTO horario_curso_materia (horario_curso_materia.FK_CUR_mat,horario_curso_materia.FK_HOR,horario_curso_materia.DIA,horario_curso_materia.tipo_turno) VALUES (  (SELECT curso_materia.ID_CUR_MAT FROM curso_materia WHERE curso_materia.CUPOF='2680256' ) ,
    (SELECT horario.ID_HOR FROM horario WHERE horario.modulo='2 ' and horario.turno='T ' ),'MIERCOLES ' , 'CONTRATURNO ' );</v>
      </c>
    </row>
    <row r="643" spans="1:34" ht="15" hidden="1" customHeight="1" x14ac:dyDescent="0.3">
      <c r="A643" s="1" t="str">
        <f t="shared" si="114"/>
        <v>4°3°</v>
      </c>
      <c r="B643" s="54" t="str">
        <f t="shared" si="123"/>
        <v>4°3°2VIMAÑANA0</v>
      </c>
      <c r="C643" s="62">
        <f>VLOOKUP(G643,[1]Hoja1!$A:$O,3,0)</f>
        <v>0</v>
      </c>
      <c r="D643" s="2" t="str">
        <f t="shared" si="113"/>
        <v>2VIM</v>
      </c>
      <c r="E643" s="62" t="s">
        <v>59</v>
      </c>
      <c r="F643" s="62" t="s">
        <v>27</v>
      </c>
      <c r="G643" s="62" t="s">
        <v>425</v>
      </c>
      <c r="H643" s="8" t="str">
        <f>VLOOKUP(G643,[1]Hoja1!$A:$O,6,0)</f>
        <v>QUIMICA</v>
      </c>
      <c r="I643" s="4"/>
      <c r="J643" s="4"/>
      <c r="K643" s="80" t="str">
        <f t="shared" si="122"/>
        <v>VI</v>
      </c>
      <c r="L643" s="4"/>
      <c r="M643" s="86" t="str">
        <f>VLOOKUP(G643,[1]Hoja1!$A:$O,15,0)</f>
        <v xml:space="preserve">PEREYRA MARISA </v>
      </c>
      <c r="N643" s="2" t="str">
        <f t="shared" si="115"/>
        <v>4°3°4EQUISVI</v>
      </c>
      <c r="O643" s="2"/>
      <c r="P643" s="2" t="str">
        <f>VLOOKUP(G643,[1]Hoja1!$A:$P,16,0)</f>
        <v xml:space="preserve"> </v>
      </c>
      <c r="Q643" s="2"/>
      <c r="S643">
        <f>VLOOKUP(G643,[1]Hoja1!$A:$O,5,0)</f>
        <v>733563</v>
      </c>
      <c r="U643" s="45" t="s">
        <v>2751</v>
      </c>
      <c r="V643" s="46">
        <f t="shared" si="116"/>
        <v>733563</v>
      </c>
      <c r="W643" s="47" t="s">
        <v>1519</v>
      </c>
      <c r="X643" s="46" t="str">
        <f t="shared" si="117"/>
        <v>2</v>
      </c>
      <c r="Y643" s="47" t="s">
        <v>1518</v>
      </c>
      <c r="Z643" s="46" t="str">
        <f t="shared" si="118"/>
        <v>M</v>
      </c>
      <c r="AA643" s="47" t="s">
        <v>2752</v>
      </c>
      <c r="AB643" s="46" t="str">
        <f t="shared" si="119"/>
        <v>VIERNES</v>
      </c>
      <c r="AC643" s="47" t="s">
        <v>2753</v>
      </c>
      <c r="AD643">
        <f t="shared" si="120"/>
        <v>0</v>
      </c>
      <c r="AE643" s="47" t="s">
        <v>2754</v>
      </c>
      <c r="AH643" t="str">
        <f t="shared" si="121"/>
        <v>INSERT INTO horario_curso_materia (horario_curso_materia.FK_CUR_mat,horario_curso_materia.FK_HOR,horario_curso_materia.DIA,horario_curso_materia.tipo_turno) VALUES (  (SELECT curso_materia.ID_CUR_MAT FROM curso_materia WHERE curso_materia.CUPOF='733563' ) ,
    (SELECT horario.ID_HOR FROM horario WHERE horario.modulo='2 ' and horario.turno='M ' ),'VIERNES ' , '0 ' );</v>
      </c>
    </row>
    <row r="644" spans="1:34" ht="14.25" hidden="1" customHeight="1" x14ac:dyDescent="0.3">
      <c r="A644" s="1" t="str">
        <f t="shared" si="114"/>
        <v>4°3°</v>
      </c>
      <c r="B644" s="54" t="str">
        <f t="shared" si="123"/>
        <v>4°3°2VITARDE431</v>
      </c>
      <c r="C644" s="62">
        <f>VLOOKUP(G644,[1]Hoja1!$A:$O,3,0)</f>
        <v>431</v>
      </c>
      <c r="D644" s="2" t="str">
        <f t="shared" si="113"/>
        <v>2VIT44</v>
      </c>
      <c r="E644" s="62" t="s">
        <v>59</v>
      </c>
      <c r="F644" s="62" t="s">
        <v>10</v>
      </c>
      <c r="G644" s="62" t="s">
        <v>155</v>
      </c>
      <c r="H644" s="8" t="str">
        <f>VLOOKUP(G644,[1]Hoja1!$A:$O,6,0)</f>
        <v>APLIC ELECTR DIGITAL</v>
      </c>
      <c r="I644" s="4">
        <v>44</v>
      </c>
      <c r="J644" s="4"/>
      <c r="K644" s="80" t="str">
        <f t="shared" si="122"/>
        <v>VI</v>
      </c>
      <c r="L644" s="4" t="s">
        <v>512</v>
      </c>
      <c r="M644" s="86" t="str">
        <f>VLOOKUP(G644,[1]Hoja1!$A:$O,15,0)</f>
        <v>CORDOBA ERNESTO</v>
      </c>
      <c r="N644" s="2" t="str">
        <f t="shared" si="115"/>
        <v>4°3°4314EFTED4VI</v>
      </c>
      <c r="O644" s="2"/>
      <c r="P644" s="2" t="str">
        <f>VLOOKUP(G644,[1]Hoja1!$A:$P,16,0)</f>
        <v xml:space="preserve"> </v>
      </c>
      <c r="Q644" s="2"/>
      <c r="S644">
        <f>VLOOKUP(G644,[1]Hoja1!$A:$O,5,0)</f>
        <v>2680251</v>
      </c>
      <c r="U644" s="45" t="s">
        <v>2751</v>
      </c>
      <c r="V644" s="46">
        <f t="shared" si="116"/>
        <v>2680251</v>
      </c>
      <c r="W644" s="47" t="s">
        <v>1519</v>
      </c>
      <c r="X644" s="46" t="str">
        <f t="shared" si="117"/>
        <v>2</v>
      </c>
      <c r="Y644" s="47" t="s">
        <v>1518</v>
      </c>
      <c r="Z644" s="46" t="str">
        <f t="shared" si="118"/>
        <v>T</v>
      </c>
      <c r="AA644" s="47" t="s">
        <v>2752</v>
      </c>
      <c r="AB644" s="46" t="str">
        <f t="shared" si="119"/>
        <v>VIERNES</v>
      </c>
      <c r="AC644" s="47" t="s">
        <v>2753</v>
      </c>
      <c r="AD644" t="str">
        <f t="shared" si="120"/>
        <v>CONTRATURNO</v>
      </c>
      <c r="AE644" s="47" t="s">
        <v>2754</v>
      </c>
      <c r="AH644" t="str">
        <f t="shared" si="121"/>
        <v>INSERT INTO horario_curso_materia (horario_curso_materia.FK_CUR_mat,horario_curso_materia.FK_HOR,horario_curso_materia.DIA,horario_curso_materia.tipo_turno) VALUES (  (SELECT curso_materia.ID_CUR_MAT FROM curso_materia WHERE curso_materia.CUPOF='2680251' ) ,
    (SELECT horario.ID_HOR FROM horario WHERE horario.modulo='2 ' and horario.turno='T ' ),'VIERNES ' , 'CONTRATURNO ' );</v>
      </c>
    </row>
    <row r="645" spans="1:34" ht="14.25" hidden="1" customHeight="1" x14ac:dyDescent="0.3">
      <c r="A645" s="1" t="str">
        <f t="shared" si="114"/>
        <v>4°3°</v>
      </c>
      <c r="B645" s="54" t="str">
        <f t="shared" si="123"/>
        <v>4°3°2luVESPERTINO432</v>
      </c>
      <c r="C645" s="62">
        <f>VLOOKUP(G645,[1]Hoja1!$A:$O,3,0)</f>
        <v>432</v>
      </c>
      <c r="D645" s="2" t="str">
        <f t="shared" si="113"/>
        <v>2luV46</v>
      </c>
      <c r="E645" s="62" t="s">
        <v>1445</v>
      </c>
      <c r="F645" s="62" t="s">
        <v>125</v>
      </c>
      <c r="G645" s="62" t="s">
        <v>152</v>
      </c>
      <c r="H645" s="8" t="str">
        <f>VLOOKUP(G645,[1]Hoja1!$A:$O,6,0)</f>
        <v>APLIC ELECTR DIGITAL</v>
      </c>
      <c r="I645" s="4">
        <v>46</v>
      </c>
      <c r="J645" s="4"/>
      <c r="K645" s="80" t="str">
        <f t="shared" si="122"/>
        <v>lu</v>
      </c>
      <c r="L645" s="4" t="s">
        <v>512</v>
      </c>
      <c r="M645" s="86" t="str">
        <f>VLOOKUP(G645,[1]Hoja1!$A:$O,15,0)</f>
        <v>BULACIO ARIEL</v>
      </c>
      <c r="N645" s="2" t="str">
        <f t="shared" si="115"/>
        <v>4°3°4324EFTED4lu</v>
      </c>
      <c r="O645" s="2"/>
      <c r="P645" s="2" t="str">
        <f>VLOOKUP(G645,[1]Hoja1!$A:$P,16,0)</f>
        <v xml:space="preserve"> </v>
      </c>
      <c r="Q645" s="2"/>
      <c r="S645">
        <f>VLOOKUP(G645,[1]Hoja1!$A:$O,5,0)</f>
        <v>2680254</v>
      </c>
      <c r="U645" s="45" t="s">
        <v>2751</v>
      </c>
      <c r="V645" s="46">
        <f t="shared" si="116"/>
        <v>2680254</v>
      </c>
      <c r="W645" s="47" t="s">
        <v>1519</v>
      </c>
      <c r="X645" s="46" t="str">
        <f t="shared" si="117"/>
        <v>2</v>
      </c>
      <c r="Y645" s="47" t="s">
        <v>1518</v>
      </c>
      <c r="Z645" s="46" t="str">
        <f t="shared" si="118"/>
        <v>V</v>
      </c>
      <c r="AA645" s="47" t="s">
        <v>2752</v>
      </c>
      <c r="AB645" s="46" t="str">
        <f t="shared" si="119"/>
        <v>LUNES</v>
      </c>
      <c r="AC645" s="47" t="s">
        <v>2753</v>
      </c>
      <c r="AD645" t="str">
        <f t="shared" si="120"/>
        <v>CONTRATURNO</v>
      </c>
      <c r="AE645" s="47" t="s">
        <v>2754</v>
      </c>
      <c r="AH645" t="str">
        <f t="shared" si="121"/>
        <v>INSERT INTO horario_curso_materia (horario_curso_materia.FK_CUR_mat,horario_curso_materia.FK_HOR,horario_curso_materia.DIA,horario_curso_materia.tipo_turno) VALUES (  (SELECT curso_materia.ID_CUR_MAT FROM curso_materia WHERE curso_materia.CUPOF='2680254' ) ,
    (SELECT horario.ID_HOR FROM horario WHERE horario.modulo='2 ' and horario.turno='V ' ),'LUNES ' , 'CONTRATURNO ' );</v>
      </c>
    </row>
    <row r="646" spans="1:34" ht="15" hidden="1" customHeight="1" x14ac:dyDescent="0.3">
      <c r="A646" s="1" t="str">
        <f t="shared" si="114"/>
        <v>4°3°</v>
      </c>
      <c r="B646" s="54" t="str">
        <f t="shared" si="123"/>
        <v>4°3°3JUMAÑANA0</v>
      </c>
      <c r="C646" s="62">
        <f>VLOOKUP(G646,[1]Hoja1!$A:$O,3,0)</f>
        <v>0</v>
      </c>
      <c r="D646" s="2" t="str">
        <f t="shared" si="113"/>
        <v>3JUM</v>
      </c>
      <c r="E646" s="4" t="s">
        <v>46</v>
      </c>
      <c r="F646" s="62" t="s">
        <v>27</v>
      </c>
      <c r="G646" s="72" t="s">
        <v>424</v>
      </c>
      <c r="H646" s="8" t="str">
        <f>VLOOKUP(G646,[1]Hoja1!$A:$O,6,0)</f>
        <v>TECNOLOGIAS ELECTRONICAS</v>
      </c>
      <c r="I646" s="4"/>
      <c r="J646" s="4"/>
      <c r="K646" s="80" t="str">
        <f t="shared" si="122"/>
        <v>JU</v>
      </c>
      <c r="L646" s="4"/>
      <c r="M646" s="86" t="str">
        <f>VLOOKUP(G646,[1]Hoja1!$A:$O,15,0)</f>
        <v>ATAMAÑUK, FLORENCIA</v>
      </c>
      <c r="N646" s="2" t="str">
        <f t="shared" si="115"/>
        <v>4°3°4ETELEJU</v>
      </c>
      <c r="O646" s="2"/>
      <c r="P646" s="2" t="str">
        <f>VLOOKUP(G646,[1]Hoja1!$A:$P,16,0)</f>
        <v xml:space="preserve"> </v>
      </c>
      <c r="Q646" s="2"/>
      <c r="S646">
        <f>VLOOKUP(G646,[1]Hoja1!$A:$O,5,0)</f>
        <v>733519</v>
      </c>
      <c r="U646" s="45" t="s">
        <v>2751</v>
      </c>
      <c r="V646" s="46">
        <f t="shared" si="116"/>
        <v>733519</v>
      </c>
      <c r="W646" s="47" t="s">
        <v>1519</v>
      </c>
      <c r="X646" s="46" t="str">
        <f t="shared" si="117"/>
        <v>3</v>
      </c>
      <c r="Y646" s="47" t="s">
        <v>1518</v>
      </c>
      <c r="Z646" s="46" t="str">
        <f t="shared" si="118"/>
        <v>M</v>
      </c>
      <c r="AA646" s="47" t="s">
        <v>2752</v>
      </c>
      <c r="AB646" s="46" t="str">
        <f t="shared" si="119"/>
        <v>JUEVES</v>
      </c>
      <c r="AC646" s="47" t="s">
        <v>2753</v>
      </c>
      <c r="AD646">
        <f t="shared" si="120"/>
        <v>0</v>
      </c>
      <c r="AE646" s="47" t="s">
        <v>2754</v>
      </c>
      <c r="AH646" t="str">
        <f t="shared" si="121"/>
        <v>INSERT INTO horario_curso_materia (horario_curso_materia.FK_CUR_mat,horario_curso_materia.FK_HOR,horario_curso_materia.DIA,horario_curso_materia.tipo_turno) VALUES (  (SELECT curso_materia.ID_CUR_MAT FROM curso_materia WHERE curso_materia.CUPOF='733519' ) ,
    (SELECT horario.ID_HOR FROM horario WHERE horario.modulo='3 ' and horario.turno='M ' ),'JUEVES ' , '0 ' );</v>
      </c>
    </row>
    <row r="647" spans="1:34" ht="15" hidden="1" customHeight="1" x14ac:dyDescent="0.3">
      <c r="A647" s="1" t="str">
        <f t="shared" si="114"/>
        <v>4°3°</v>
      </c>
      <c r="B647" s="54" t="str">
        <f t="shared" si="123"/>
        <v>4°3°3miVESPERTINO431</v>
      </c>
      <c r="C647" s="62">
        <f>VLOOKUP(G647,[1]Hoja1!$A:$O,3,0)</f>
        <v>431</v>
      </c>
      <c r="D647" s="2" t="str">
        <f t="shared" si="113"/>
        <v>3miV46</v>
      </c>
      <c r="E647" s="62" t="s">
        <v>1331</v>
      </c>
      <c r="F647" s="62" t="s">
        <v>125</v>
      </c>
      <c r="G647" s="62" t="s">
        <v>153</v>
      </c>
      <c r="H647" s="8" t="str">
        <f>VLOOKUP(G647,[1]Hoja1!$A:$O,6,0)</f>
        <v xml:space="preserve">APLIC ELECT ANALOG </v>
      </c>
      <c r="I647" s="4">
        <v>46</v>
      </c>
      <c r="J647" s="4"/>
      <c r="K647" s="80" t="str">
        <f t="shared" si="122"/>
        <v>mi</v>
      </c>
      <c r="L647" s="4" t="s">
        <v>512</v>
      </c>
      <c r="M647" s="86" t="str">
        <f>VLOOKUP(G647,[1]Hoja1!$A:$O,15,0)</f>
        <v>escalada arnaldo</v>
      </c>
      <c r="N647" s="2" t="str">
        <f t="shared" si="115"/>
        <v>4°3°4314EFTAE4mi</v>
      </c>
      <c r="O647" s="2"/>
      <c r="P647" s="2" t="str">
        <f>VLOOKUP(G647,[1]Hoja1!$A:$P,16,0)</f>
        <v xml:space="preserve"> </v>
      </c>
      <c r="Q647" s="2"/>
      <c r="S647">
        <f>VLOOKUP(G647,[1]Hoja1!$A:$O,5,0)</f>
        <v>2680250</v>
      </c>
      <c r="U647" s="45" t="s">
        <v>2751</v>
      </c>
      <c r="V647" s="46">
        <f t="shared" si="116"/>
        <v>2680250</v>
      </c>
      <c r="W647" s="47" t="s">
        <v>1519</v>
      </c>
      <c r="X647" s="46" t="str">
        <f t="shared" si="117"/>
        <v>3</v>
      </c>
      <c r="Y647" s="47" t="s">
        <v>1518</v>
      </c>
      <c r="Z647" s="46" t="str">
        <f t="shared" si="118"/>
        <v>V</v>
      </c>
      <c r="AA647" s="47" t="s">
        <v>2752</v>
      </c>
      <c r="AB647" s="46" t="str">
        <f t="shared" si="119"/>
        <v>MIERCOLES</v>
      </c>
      <c r="AC647" s="47" t="s">
        <v>2753</v>
      </c>
      <c r="AD647" t="str">
        <f t="shared" si="120"/>
        <v>CONTRATURNO</v>
      </c>
      <c r="AE647" s="47" t="s">
        <v>2754</v>
      </c>
      <c r="AH647" t="str">
        <f t="shared" si="121"/>
        <v>INSERT INTO horario_curso_materia (horario_curso_materia.FK_CUR_mat,horario_curso_materia.FK_HOR,horario_curso_materia.DIA,horario_curso_materia.tipo_turno) VALUES (  (SELECT curso_materia.ID_CUR_MAT FROM curso_materia WHERE curso_materia.CUPOF='2680250' ) ,
    (SELECT horario.ID_HOR FROM horario WHERE horario.modulo='3 ' and horario.turno='V ' ),'MIERCOLES ' , 'CONTRATURNO ' );</v>
      </c>
    </row>
    <row r="648" spans="1:34" ht="15" hidden="1" customHeight="1" x14ac:dyDescent="0.3">
      <c r="A648" s="1" t="str">
        <f t="shared" si="114"/>
        <v>4°3°</v>
      </c>
      <c r="B648" s="54" t="str">
        <f t="shared" si="123"/>
        <v>4°3°3JUTARDE432</v>
      </c>
      <c r="C648" s="62">
        <f>VLOOKUP(G648,[1]Hoja1!$A:$O,3,0)</f>
        <v>432</v>
      </c>
      <c r="D648" s="2" t="str">
        <f t="shared" si="113"/>
        <v>3JUT44</v>
      </c>
      <c r="E648" s="62" t="s">
        <v>46</v>
      </c>
      <c r="F648" s="62" t="s">
        <v>10</v>
      </c>
      <c r="G648" s="62" t="s">
        <v>154</v>
      </c>
      <c r="H648" s="8" t="str">
        <f>VLOOKUP(G648,[1]Hoja1!$A:$O,6,0)</f>
        <v xml:space="preserve">APLIC ELECT ANALOG </v>
      </c>
      <c r="I648" s="4">
        <v>44</v>
      </c>
      <c r="J648" s="4"/>
      <c r="K648" s="80" t="str">
        <f t="shared" si="122"/>
        <v>JU</v>
      </c>
      <c r="L648" s="4" t="s">
        <v>512</v>
      </c>
      <c r="M648" s="86" t="str">
        <f>VLOOKUP(G648,[1]Hoja1!$A:$O,15,0)</f>
        <v>GAUNA FEDERICO</v>
      </c>
      <c r="N648" s="2" t="str">
        <f t="shared" si="115"/>
        <v>4°3°4324EFTAE4JU</v>
      </c>
      <c r="O648" s="2"/>
      <c r="P648" s="2" t="str">
        <f>VLOOKUP(G648,[1]Hoja1!$A:$P,16,0)</f>
        <v xml:space="preserve"> </v>
      </c>
      <c r="Q648" s="2"/>
      <c r="S648">
        <f>VLOOKUP(G648,[1]Hoja1!$A:$O,5,0)</f>
        <v>2680253</v>
      </c>
      <c r="U648" s="45" t="s">
        <v>2751</v>
      </c>
      <c r="V648" s="46">
        <f t="shared" si="116"/>
        <v>2680253</v>
      </c>
      <c r="W648" s="47" t="s">
        <v>1519</v>
      </c>
      <c r="X648" s="46" t="str">
        <f t="shared" si="117"/>
        <v>3</v>
      </c>
      <c r="Y648" s="47" t="s">
        <v>1518</v>
      </c>
      <c r="Z648" s="46" t="str">
        <f t="shared" si="118"/>
        <v>T</v>
      </c>
      <c r="AA648" s="47" t="s">
        <v>2752</v>
      </c>
      <c r="AB648" s="46" t="str">
        <f t="shared" si="119"/>
        <v>JUEVES</v>
      </c>
      <c r="AC648" s="47" t="s">
        <v>2753</v>
      </c>
      <c r="AD648" t="str">
        <f t="shared" si="120"/>
        <v>CONTRATURNO</v>
      </c>
      <c r="AE648" s="47" t="s">
        <v>2754</v>
      </c>
      <c r="AH648" t="str">
        <f t="shared" si="121"/>
        <v>INSERT INTO horario_curso_materia (horario_curso_materia.FK_CUR_mat,horario_curso_materia.FK_HOR,horario_curso_materia.DIA,horario_curso_materia.tipo_turno) VALUES (  (SELECT curso_materia.ID_CUR_MAT FROM curso_materia WHERE curso_materia.CUPOF='2680253' ) ,
    (SELECT horario.ID_HOR FROM horario WHERE horario.modulo='3 ' and horario.turno='T ' ),'JUEVES ' , 'CONTRATURNO ' );</v>
      </c>
    </row>
    <row r="649" spans="1:34" ht="15" hidden="1" customHeight="1" x14ac:dyDescent="0.3">
      <c r="A649" s="1" t="str">
        <f t="shared" si="114"/>
        <v>4°3°</v>
      </c>
      <c r="B649" s="54" t="str">
        <f t="shared" si="123"/>
        <v>4°3°3LUMAÑANA0</v>
      </c>
      <c r="C649" s="62">
        <f>VLOOKUP(G649,[1]Hoja1!$A:$O,3,0)</f>
        <v>0</v>
      </c>
      <c r="D649" s="2" t="str">
        <f t="shared" si="113"/>
        <v>3LUM</v>
      </c>
      <c r="E649" s="62" t="s">
        <v>29</v>
      </c>
      <c r="F649" s="62" t="s">
        <v>27</v>
      </c>
      <c r="G649" s="62" t="s">
        <v>419</v>
      </c>
      <c r="H649" s="8" t="str">
        <f>VLOOKUP(G649,[1]Hoja1!$A:$O,6,0)</f>
        <v>SALUD Y ADOLESCENCIA</v>
      </c>
      <c r="I649" s="4"/>
      <c r="J649" s="4"/>
      <c r="K649" s="80" t="str">
        <f t="shared" si="122"/>
        <v>LU</v>
      </c>
      <c r="L649" s="4"/>
      <c r="M649" s="86" t="str">
        <f>VLOOKUP(G649,[1]Hoja1!$A:$O,15,0)</f>
        <v xml:space="preserve">CANCELA GONZALEZ M </v>
      </c>
      <c r="N649" s="2" t="str">
        <f t="shared" si="115"/>
        <v>4°3°4ESADSLU</v>
      </c>
      <c r="O649" s="2"/>
      <c r="P649" s="2" t="str">
        <f>VLOOKUP(G649,[1]Hoja1!$A:$P,16,0)</f>
        <v xml:space="preserve"> </v>
      </c>
      <c r="Q649" s="2"/>
      <c r="S649">
        <f>VLOOKUP(G649,[1]Hoja1!$A:$O,5,0)</f>
        <v>1517221</v>
      </c>
      <c r="U649" s="45" t="s">
        <v>2751</v>
      </c>
      <c r="V649" s="46">
        <f t="shared" si="116"/>
        <v>1517221</v>
      </c>
      <c r="W649" s="47" t="s">
        <v>1519</v>
      </c>
      <c r="X649" s="46" t="str">
        <f t="shared" si="117"/>
        <v>3</v>
      </c>
      <c r="Y649" s="47" t="s">
        <v>1518</v>
      </c>
      <c r="Z649" s="46" t="str">
        <f t="shared" si="118"/>
        <v>M</v>
      </c>
      <c r="AA649" s="47" t="s">
        <v>2752</v>
      </c>
      <c r="AB649" s="46" t="str">
        <f t="shared" si="119"/>
        <v>LUNES</v>
      </c>
      <c r="AC649" s="47" t="s">
        <v>2753</v>
      </c>
      <c r="AD649">
        <f t="shared" si="120"/>
        <v>0</v>
      </c>
      <c r="AE649" s="47" t="s">
        <v>2754</v>
      </c>
      <c r="AH649" t="str">
        <f t="shared" si="121"/>
        <v>INSERT INTO horario_curso_materia (horario_curso_materia.FK_CUR_mat,horario_curso_materia.FK_HOR,horario_curso_materia.DIA,horario_curso_materia.tipo_turno) VALUES (  (SELECT curso_materia.ID_CUR_MAT FROM curso_materia WHERE curso_materia.CUPOF='1517221' ) ,
    (SELECT horario.ID_HOR FROM horario WHERE horario.modulo='3 ' and horario.turno='M ' ),'LUNES ' , '0 ' );</v>
      </c>
    </row>
    <row r="650" spans="1:34" ht="15" hidden="1" customHeight="1" x14ac:dyDescent="0.3">
      <c r="A650" s="1" t="str">
        <f t="shared" si="114"/>
        <v>4°3°</v>
      </c>
      <c r="B650" s="54" t="str">
        <f t="shared" si="123"/>
        <v>4°3°3LUTARDE431</v>
      </c>
      <c r="C650" s="62">
        <f>VLOOKUP(G650,[1]Hoja1!$A:$O,3,0)</f>
        <v>431</v>
      </c>
      <c r="D650" s="2" t="str">
        <f t="shared" si="113"/>
        <v>3LUT44</v>
      </c>
      <c r="E650" s="62" t="s">
        <v>29</v>
      </c>
      <c r="F650" s="62" t="s">
        <v>10</v>
      </c>
      <c r="G650" s="62" t="s">
        <v>150</v>
      </c>
      <c r="H650" s="8" t="str">
        <f>VLOOKUP(G650,[1]Hoja1!$A:$O,6,0)</f>
        <v xml:space="preserve">MONTAJE DE PROYECTO ELECTRONICOS </v>
      </c>
      <c r="I650" s="4">
        <v>44</v>
      </c>
      <c r="J650" s="4"/>
      <c r="K650" s="80" t="str">
        <f t="shared" si="122"/>
        <v>LU</v>
      </c>
      <c r="L650" s="4" t="s">
        <v>512</v>
      </c>
      <c r="M650" s="86" t="str">
        <f>VLOOKUP(G650,[1]Hoja1!$A:$O,15,0)</f>
        <v xml:space="preserve">SAUCEDO GUSTAVO </v>
      </c>
      <c r="N650" s="2" t="str">
        <f t="shared" si="115"/>
        <v>4°3°4314EFTMP4LU</v>
      </c>
      <c r="O650" s="2"/>
      <c r="P650" s="2" t="str">
        <f>VLOOKUP(G650,[1]Hoja1!$A:$P,16,0)</f>
        <v xml:space="preserve"> </v>
      </c>
      <c r="Q650" s="2"/>
      <c r="S650">
        <f>VLOOKUP(G650,[1]Hoja1!$A:$O,5,0)</f>
        <v>2680252</v>
      </c>
      <c r="U650" s="45" t="s">
        <v>2751</v>
      </c>
      <c r="V650" s="46">
        <f t="shared" si="116"/>
        <v>2680252</v>
      </c>
      <c r="W650" s="47" t="s">
        <v>1519</v>
      </c>
      <c r="X650" s="46" t="str">
        <f t="shared" si="117"/>
        <v>3</v>
      </c>
      <c r="Y650" s="47" t="s">
        <v>1518</v>
      </c>
      <c r="Z650" s="46" t="str">
        <f t="shared" si="118"/>
        <v>T</v>
      </c>
      <c r="AA650" s="47" t="s">
        <v>2752</v>
      </c>
      <c r="AB650" s="46" t="str">
        <f t="shared" si="119"/>
        <v>LUNES</v>
      </c>
      <c r="AC650" s="47" t="s">
        <v>2753</v>
      </c>
      <c r="AD650" t="str">
        <f t="shared" si="120"/>
        <v>CONTRATURNO</v>
      </c>
      <c r="AE650" s="47" t="s">
        <v>2754</v>
      </c>
      <c r="AH650" t="str">
        <f t="shared" si="121"/>
        <v>INSERT INTO horario_curso_materia (horario_curso_materia.FK_CUR_mat,horario_curso_materia.FK_HOR,horario_curso_materia.DIA,horario_curso_materia.tipo_turno) VALUES (  (SELECT curso_materia.ID_CUR_MAT FROM curso_materia WHERE curso_materia.CUPOF='2680252' ) ,
    (SELECT horario.ID_HOR FROM horario WHERE horario.modulo='3 ' and horario.turno='T ' ),'LUNES ' , 'CONTRATURNO ' );</v>
      </c>
    </row>
    <row r="651" spans="1:34" ht="15" hidden="1" customHeight="1" x14ac:dyDescent="0.3">
      <c r="A651" s="1" t="str">
        <f t="shared" si="114"/>
        <v>4°3°</v>
      </c>
      <c r="B651" s="54" t="str">
        <f t="shared" si="123"/>
        <v>4°3°3MAMAÑANA0</v>
      </c>
      <c r="C651" s="62">
        <f>VLOOKUP(G651,[1]Hoja1!$A:$O,3,0)</f>
        <v>0</v>
      </c>
      <c r="D651" s="2" t="str">
        <f t="shared" si="113"/>
        <v>3MAM</v>
      </c>
      <c r="E651" s="68" t="s">
        <v>13</v>
      </c>
      <c r="F651" s="62" t="s">
        <v>27</v>
      </c>
      <c r="G651" s="62" t="s">
        <v>420</v>
      </c>
      <c r="H651" s="8" t="str">
        <f>VLOOKUP(G651,[1]Hoja1!$A:$O,6,0)</f>
        <v>MATEMATICA</v>
      </c>
      <c r="I651" s="4"/>
      <c r="J651" s="4"/>
      <c r="K651" s="80" t="str">
        <f t="shared" si="122"/>
        <v>MA</v>
      </c>
      <c r="L651" s="4"/>
      <c r="M651" s="86" t="str">
        <f>VLOOKUP(G651,[1]Hoja1!$A:$O,15,0)</f>
        <v>LENCINAS NOELIA</v>
      </c>
      <c r="N651" s="2" t="str">
        <f t="shared" si="115"/>
        <v>4°3°4EMATESMA</v>
      </c>
      <c r="O651" s="2"/>
      <c r="P651" s="2" t="str">
        <f>VLOOKUP(G651,[1]Hoja1!$A:$P,16,0)</f>
        <v xml:space="preserve"> </v>
      </c>
      <c r="Q651" s="2"/>
      <c r="S651">
        <f>VLOOKUP(G651,[1]Hoja1!$A:$O,5,0)</f>
        <v>733522</v>
      </c>
      <c r="U651" s="45" t="s">
        <v>2751</v>
      </c>
      <c r="V651" s="46">
        <f t="shared" si="116"/>
        <v>733522</v>
      </c>
      <c r="W651" s="47" t="s">
        <v>1519</v>
      </c>
      <c r="X651" s="46" t="str">
        <f t="shared" si="117"/>
        <v>3</v>
      </c>
      <c r="Y651" s="47" t="s">
        <v>1518</v>
      </c>
      <c r="Z651" s="46" t="str">
        <f t="shared" si="118"/>
        <v>M</v>
      </c>
      <c r="AA651" s="47" t="s">
        <v>2752</v>
      </c>
      <c r="AB651" s="46" t="str">
        <f t="shared" si="119"/>
        <v>MARTES</v>
      </c>
      <c r="AC651" s="47" t="s">
        <v>2753</v>
      </c>
      <c r="AD651">
        <f t="shared" si="120"/>
        <v>0</v>
      </c>
      <c r="AE651" s="47" t="s">
        <v>2754</v>
      </c>
      <c r="AH651" t="str">
        <f t="shared" si="121"/>
        <v>INSERT INTO horario_curso_materia (horario_curso_materia.FK_CUR_mat,horario_curso_materia.FK_HOR,horario_curso_materia.DIA,horario_curso_materia.tipo_turno) VALUES (  (SELECT curso_materia.ID_CUR_MAT FROM curso_materia WHERE curso_materia.CUPOF='733522' ) ,
    (SELECT horario.ID_HOR FROM horario WHERE horario.modulo='3 ' and horario.turno='M ' ),'MARTES ' , '0 ' );</v>
      </c>
    </row>
    <row r="652" spans="1:34" ht="15" hidden="1" customHeight="1" x14ac:dyDescent="0.3">
      <c r="A652" s="1" t="str">
        <f t="shared" si="114"/>
        <v>4°3°</v>
      </c>
      <c r="B652" s="54" t="str">
        <f t="shared" si="123"/>
        <v>4°3°3MIMAÑANA0</v>
      </c>
      <c r="C652" s="62">
        <f>VLOOKUP(G652,[1]Hoja1!$A:$O,3,0)</f>
        <v>0</v>
      </c>
      <c r="D652" s="2" t="str">
        <f t="shared" si="113"/>
        <v>3MIM</v>
      </c>
      <c r="E652" s="62" t="s">
        <v>50</v>
      </c>
      <c r="F652" s="62" t="s">
        <v>27</v>
      </c>
      <c r="G652" s="62" t="s">
        <v>420</v>
      </c>
      <c r="H652" s="8" t="str">
        <f>VLOOKUP(G652,[1]Hoja1!$A:$O,6,0)</f>
        <v>MATEMATICA</v>
      </c>
      <c r="I652" s="4"/>
      <c r="J652" s="4"/>
      <c r="K652" s="80" t="str">
        <f t="shared" si="122"/>
        <v>MI</v>
      </c>
      <c r="L652" s="4"/>
      <c r="M652" s="86" t="str">
        <f>VLOOKUP(G652,[1]Hoja1!$A:$O,15,0)</f>
        <v>LENCINAS NOELIA</v>
      </c>
      <c r="N652" s="2" t="str">
        <f t="shared" si="115"/>
        <v>4°3°4EMATESMI</v>
      </c>
      <c r="O652" s="2"/>
      <c r="P652" s="2" t="str">
        <f>VLOOKUP(G652,[1]Hoja1!$A:$P,16,0)</f>
        <v xml:space="preserve"> </v>
      </c>
      <c r="Q652" s="2"/>
      <c r="S652">
        <f>VLOOKUP(G652,[1]Hoja1!$A:$O,5,0)</f>
        <v>733522</v>
      </c>
      <c r="U652" s="45" t="s">
        <v>2751</v>
      </c>
      <c r="V652" s="46">
        <f t="shared" si="116"/>
        <v>733522</v>
      </c>
      <c r="W652" s="47" t="s">
        <v>1519</v>
      </c>
      <c r="X652" s="46" t="str">
        <f t="shared" si="117"/>
        <v>3</v>
      </c>
      <c r="Y652" s="47" t="s">
        <v>1518</v>
      </c>
      <c r="Z652" s="46" t="str">
        <f t="shared" si="118"/>
        <v>M</v>
      </c>
      <c r="AA652" s="47" t="s">
        <v>2752</v>
      </c>
      <c r="AB652" s="46" t="str">
        <f t="shared" si="119"/>
        <v>MIERCOLES</v>
      </c>
      <c r="AC652" s="47" t="s">
        <v>2753</v>
      </c>
      <c r="AD652">
        <f t="shared" si="120"/>
        <v>0</v>
      </c>
      <c r="AE652" s="47" t="s">
        <v>2754</v>
      </c>
      <c r="AH652" t="str">
        <f t="shared" si="121"/>
        <v>INSERT INTO horario_curso_materia (horario_curso_materia.FK_CUR_mat,horario_curso_materia.FK_HOR,horario_curso_materia.DIA,horario_curso_materia.tipo_turno) VALUES (  (SELECT curso_materia.ID_CUR_MAT FROM curso_materia WHERE curso_materia.CUPOF='733522' ) ,
    (SELECT horario.ID_HOR FROM horario WHERE horario.modulo='3 ' and horario.turno='M ' ),'MIERCOLES ' , '0 ' );</v>
      </c>
    </row>
    <row r="653" spans="1:34" ht="15" hidden="1" customHeight="1" x14ac:dyDescent="0.3">
      <c r="A653" s="1" t="str">
        <f t="shared" si="114"/>
        <v>4°3°</v>
      </c>
      <c r="B653" s="54" t="str">
        <f t="shared" si="123"/>
        <v>4°3°3miTARDE432</v>
      </c>
      <c r="C653" s="62">
        <f>VLOOKUP(G653,[1]Hoja1!$A:$O,3,0)</f>
        <v>432</v>
      </c>
      <c r="D653" s="2" t="str">
        <f t="shared" si="113"/>
        <v>3miT46</v>
      </c>
      <c r="E653" s="62" t="s">
        <v>1331</v>
      </c>
      <c r="F653" s="62" t="s">
        <v>10</v>
      </c>
      <c r="G653" s="62" t="s">
        <v>151</v>
      </c>
      <c r="H653" s="8" t="str">
        <f>VLOOKUP(G653,[1]Hoja1!$A:$O,6,0)</f>
        <v xml:space="preserve">MONTAJE DE PROYECTO ELECTRONICOS </v>
      </c>
      <c r="I653" s="4">
        <v>46</v>
      </c>
      <c r="J653" s="4"/>
      <c r="K653" s="80" t="str">
        <f t="shared" si="122"/>
        <v>mi</v>
      </c>
      <c r="L653" s="4" t="s">
        <v>512</v>
      </c>
      <c r="M653" s="86" t="str">
        <f>VLOOKUP(G653,[1]Hoja1!$A:$O,15,0)</f>
        <v>FERREYRA JESICA</v>
      </c>
      <c r="N653" s="2" t="str">
        <f t="shared" si="115"/>
        <v>4°3°4324EFTMP4mi</v>
      </c>
      <c r="O653" s="2"/>
      <c r="P653" s="2" t="str">
        <f>VLOOKUP(G653,[1]Hoja1!$A:$P,16,0)</f>
        <v xml:space="preserve"> </v>
      </c>
      <c r="Q653" s="2"/>
      <c r="S653">
        <f>VLOOKUP(G653,[1]Hoja1!$A:$O,5,0)</f>
        <v>2680256</v>
      </c>
      <c r="U653" s="45" t="s">
        <v>2751</v>
      </c>
      <c r="V653" s="46">
        <f t="shared" si="116"/>
        <v>2680256</v>
      </c>
      <c r="W653" s="47" t="s">
        <v>1519</v>
      </c>
      <c r="X653" s="46" t="str">
        <f t="shared" si="117"/>
        <v>3</v>
      </c>
      <c r="Y653" s="47" t="s">
        <v>1518</v>
      </c>
      <c r="Z653" s="46" t="str">
        <f t="shared" si="118"/>
        <v>T</v>
      </c>
      <c r="AA653" s="47" t="s">
        <v>2752</v>
      </c>
      <c r="AB653" s="46" t="str">
        <f t="shared" si="119"/>
        <v>MIERCOLES</v>
      </c>
      <c r="AC653" s="47" t="s">
        <v>2753</v>
      </c>
      <c r="AD653" t="str">
        <f t="shared" si="120"/>
        <v>CONTRATURNO</v>
      </c>
      <c r="AE653" s="47" t="s">
        <v>2754</v>
      </c>
      <c r="AH653" t="str">
        <f t="shared" si="121"/>
        <v>INSERT INTO horario_curso_materia (horario_curso_materia.FK_CUR_mat,horario_curso_materia.FK_HOR,horario_curso_materia.DIA,horario_curso_materia.tipo_turno) VALUES (  (SELECT curso_materia.ID_CUR_MAT FROM curso_materia WHERE curso_materia.CUPOF='2680256' ) ,
    (SELECT horario.ID_HOR FROM horario WHERE horario.modulo='3 ' and horario.turno='T ' ),'MIERCOLES ' , 'CONTRATURNO ' );</v>
      </c>
    </row>
    <row r="654" spans="1:34" ht="15" hidden="1" customHeight="1" x14ac:dyDescent="0.3">
      <c r="A654" s="1" t="str">
        <f t="shared" si="114"/>
        <v>4°3°</v>
      </c>
      <c r="B654" s="54" t="str">
        <f t="shared" si="123"/>
        <v>4°3°1MIMAÑANA0</v>
      </c>
      <c r="C654" s="62">
        <f>VLOOKUP(G654,[1]Hoja1!$A:$O,3,0)</f>
        <v>0</v>
      </c>
      <c r="D654" s="2" t="str">
        <f t="shared" si="113"/>
        <v>1MIM</v>
      </c>
      <c r="E654" s="62" t="s">
        <v>24</v>
      </c>
      <c r="F654" s="62" t="s">
        <v>27</v>
      </c>
      <c r="G654" s="62" t="s">
        <v>422</v>
      </c>
      <c r="H654" s="8" t="str">
        <f>VLOOKUP(G654,[1]Hoja1!$A:$O,6,0)</f>
        <v>FISICA</v>
      </c>
      <c r="I654" s="4"/>
      <c r="J654" s="4"/>
      <c r="K654" s="80" t="str">
        <f t="shared" si="122"/>
        <v>MI</v>
      </c>
      <c r="L654" s="4"/>
      <c r="M654" s="86" t="str">
        <f>VLOOKUP(G654,[1]Hoja1!$A:$O,15,0)</f>
        <v xml:space="preserve">ESPINDOLA SERGIO                          </v>
      </c>
      <c r="N654" s="2" t="str">
        <f t="shared" si="115"/>
        <v>4°3°4EFISMI</v>
      </c>
      <c r="O654" s="2"/>
      <c r="P654" s="2" t="str">
        <f>VLOOKUP(G654,[1]Hoja1!$A:$P,16,0)</f>
        <v xml:space="preserve"> </v>
      </c>
      <c r="Q654" s="2"/>
      <c r="S654">
        <f>VLOOKUP(G654,[1]Hoja1!$A:$O,5,0)</f>
        <v>733670</v>
      </c>
      <c r="U654" s="45" t="s">
        <v>2751</v>
      </c>
      <c r="V654" s="46">
        <f t="shared" si="116"/>
        <v>733670</v>
      </c>
      <c r="W654" s="47" t="s">
        <v>1519</v>
      </c>
      <c r="X654" s="46" t="str">
        <f t="shared" si="117"/>
        <v>1</v>
      </c>
      <c r="Y654" s="47" t="s">
        <v>1518</v>
      </c>
      <c r="Z654" s="46" t="str">
        <f t="shared" si="118"/>
        <v>M</v>
      </c>
      <c r="AA654" s="47" t="s">
        <v>2752</v>
      </c>
      <c r="AB654" s="46" t="str">
        <f t="shared" si="119"/>
        <v>MIERCOLES</v>
      </c>
      <c r="AC654" s="47" t="s">
        <v>2753</v>
      </c>
      <c r="AD654">
        <f t="shared" si="120"/>
        <v>0</v>
      </c>
      <c r="AE654" s="47" t="s">
        <v>2754</v>
      </c>
      <c r="AH654" t="str">
        <f t="shared" si="121"/>
        <v>INSERT INTO horario_curso_materia (horario_curso_materia.FK_CUR_mat,horario_curso_materia.FK_HOR,horario_curso_materia.DIA,horario_curso_materia.tipo_turno) VALUES (  (SELECT curso_materia.ID_CUR_MAT FROM curso_materia WHERE curso_materia.CUPOF='733670' ) ,
    (SELECT horario.ID_HOR FROM horario WHERE horario.modulo='1 ' and horario.turno='M ' ),'MIERCOLES ' , '0 ' );</v>
      </c>
    </row>
    <row r="655" spans="1:34" ht="14.25" hidden="1" customHeight="1" x14ac:dyDescent="0.3">
      <c r="A655" s="1" t="str">
        <f t="shared" si="114"/>
        <v>4°3°</v>
      </c>
      <c r="B655" s="54" t="str">
        <f t="shared" si="123"/>
        <v>4°3°3VITARDE431</v>
      </c>
      <c r="C655" s="62">
        <f>VLOOKUP(G655,[1]Hoja1!$A:$O,3,0)</f>
        <v>431</v>
      </c>
      <c r="D655" s="2" t="str">
        <f t="shared" si="113"/>
        <v>3VIT44</v>
      </c>
      <c r="E655" s="62" t="s">
        <v>35</v>
      </c>
      <c r="F655" s="62" t="s">
        <v>10</v>
      </c>
      <c r="G655" s="62" t="s">
        <v>155</v>
      </c>
      <c r="H655" s="8" t="str">
        <f>VLOOKUP(G655,[1]Hoja1!$A:$O,6,0)</f>
        <v>APLIC ELECTR DIGITAL</v>
      </c>
      <c r="I655" s="4">
        <v>44</v>
      </c>
      <c r="J655" s="4"/>
      <c r="K655" s="80" t="str">
        <f t="shared" si="122"/>
        <v>VI</v>
      </c>
      <c r="L655" s="4" t="s">
        <v>512</v>
      </c>
      <c r="M655" s="86" t="str">
        <f>VLOOKUP(G655,[1]Hoja1!$A:$O,15,0)</f>
        <v>CORDOBA ERNESTO</v>
      </c>
      <c r="N655" s="2" t="str">
        <f t="shared" si="115"/>
        <v>4°3°4314EFTED4VI</v>
      </c>
      <c r="O655" s="2"/>
      <c r="P655" s="2" t="str">
        <f>VLOOKUP(G655,[1]Hoja1!$A:$P,16,0)</f>
        <v xml:space="preserve"> </v>
      </c>
      <c r="Q655" s="2"/>
      <c r="S655">
        <f>VLOOKUP(G655,[1]Hoja1!$A:$O,5,0)</f>
        <v>2680251</v>
      </c>
      <c r="U655" s="45" t="s">
        <v>2751</v>
      </c>
      <c r="V655" s="46">
        <f t="shared" si="116"/>
        <v>2680251</v>
      </c>
      <c r="W655" s="47" t="s">
        <v>1519</v>
      </c>
      <c r="X655" s="46" t="str">
        <f t="shared" si="117"/>
        <v>3</v>
      </c>
      <c r="Y655" s="47" t="s">
        <v>1518</v>
      </c>
      <c r="Z655" s="46" t="str">
        <f t="shared" si="118"/>
        <v>T</v>
      </c>
      <c r="AA655" s="47" t="s">
        <v>2752</v>
      </c>
      <c r="AB655" s="46" t="str">
        <f t="shared" si="119"/>
        <v>VIERNES</v>
      </c>
      <c r="AC655" s="47" t="s">
        <v>2753</v>
      </c>
      <c r="AD655" t="str">
        <f t="shared" si="120"/>
        <v>CONTRATURNO</v>
      </c>
      <c r="AE655" s="47" t="s">
        <v>2754</v>
      </c>
      <c r="AH655" t="str">
        <f t="shared" si="121"/>
        <v>INSERT INTO horario_curso_materia (horario_curso_materia.FK_CUR_mat,horario_curso_materia.FK_HOR,horario_curso_materia.DIA,horario_curso_materia.tipo_turno) VALUES (  (SELECT curso_materia.ID_CUR_MAT FROM curso_materia WHERE curso_materia.CUPOF='2680251' ) ,
    (SELECT horario.ID_HOR FROM horario WHERE horario.modulo='3 ' and horario.turno='T ' ),'VIERNES ' , 'CONTRATURNO ' );</v>
      </c>
    </row>
    <row r="656" spans="1:34" ht="14.25" hidden="1" customHeight="1" x14ac:dyDescent="0.3">
      <c r="A656" s="1" t="str">
        <f t="shared" si="114"/>
        <v>4°3°</v>
      </c>
      <c r="B656" s="54" t="str">
        <f t="shared" si="123"/>
        <v>4°3°3luVESPERTINO432</v>
      </c>
      <c r="C656" s="62">
        <f>VLOOKUP(G656,[1]Hoja1!$A:$O,3,0)</f>
        <v>432</v>
      </c>
      <c r="D656" s="2" t="str">
        <f t="shared" si="113"/>
        <v>3luV46</v>
      </c>
      <c r="E656" s="62" t="s">
        <v>1514</v>
      </c>
      <c r="F656" s="62" t="s">
        <v>125</v>
      </c>
      <c r="G656" s="62" t="s">
        <v>152</v>
      </c>
      <c r="H656" s="8" t="str">
        <f>VLOOKUP(G656,[1]Hoja1!$A:$O,6,0)</f>
        <v>APLIC ELECTR DIGITAL</v>
      </c>
      <c r="I656" s="4">
        <v>46</v>
      </c>
      <c r="J656" s="4"/>
      <c r="K656" s="80" t="str">
        <f t="shared" si="122"/>
        <v>lu</v>
      </c>
      <c r="L656" s="4" t="s">
        <v>512</v>
      </c>
      <c r="M656" s="86" t="str">
        <f>VLOOKUP(G656,[1]Hoja1!$A:$O,15,0)</f>
        <v>BULACIO ARIEL</v>
      </c>
      <c r="N656" s="2" t="str">
        <f t="shared" si="115"/>
        <v>4°3°4324EFTED4lu</v>
      </c>
      <c r="O656" s="2"/>
      <c r="P656" s="2" t="str">
        <f>VLOOKUP(G656,[1]Hoja1!$A:$P,16,0)</f>
        <v xml:space="preserve"> </v>
      </c>
      <c r="Q656" s="2"/>
      <c r="S656">
        <f>VLOOKUP(G656,[1]Hoja1!$A:$O,5,0)</f>
        <v>2680254</v>
      </c>
      <c r="U656" s="45" t="s">
        <v>2751</v>
      </c>
      <c r="V656" s="46">
        <f t="shared" si="116"/>
        <v>2680254</v>
      </c>
      <c r="W656" s="47" t="s">
        <v>1519</v>
      </c>
      <c r="X656" s="46" t="str">
        <f t="shared" si="117"/>
        <v>3</v>
      </c>
      <c r="Y656" s="47" t="s">
        <v>1518</v>
      </c>
      <c r="Z656" s="46" t="str">
        <f t="shared" si="118"/>
        <v>V</v>
      </c>
      <c r="AA656" s="47" t="s">
        <v>2752</v>
      </c>
      <c r="AB656" s="46" t="str">
        <f t="shared" si="119"/>
        <v>LUNES</v>
      </c>
      <c r="AC656" s="47" t="s">
        <v>2753</v>
      </c>
      <c r="AD656" t="str">
        <f t="shared" si="120"/>
        <v>CONTRATURNO</v>
      </c>
      <c r="AE656" s="47" t="s">
        <v>2754</v>
      </c>
      <c r="AH656" t="str">
        <f t="shared" si="121"/>
        <v>INSERT INTO horario_curso_materia (horario_curso_materia.FK_CUR_mat,horario_curso_materia.FK_HOR,horario_curso_materia.DIA,horario_curso_materia.tipo_turno) VALUES (  (SELECT curso_materia.ID_CUR_MAT FROM curso_materia WHERE curso_materia.CUPOF='2680254' ) ,
    (SELECT horario.ID_HOR FROM horario WHERE horario.modulo='3 ' and horario.turno='V ' ),'LUNES ' , 'CONTRATURNO ' );</v>
      </c>
    </row>
    <row r="657" spans="1:34" ht="15" hidden="1" customHeight="1" x14ac:dyDescent="0.3">
      <c r="A657" s="1" t="str">
        <f t="shared" si="114"/>
        <v>4°3°</v>
      </c>
      <c r="B657" s="54" t="str">
        <f t="shared" si="123"/>
        <v>4°3°4JUMAÑANA0</v>
      </c>
      <c r="C657" s="62">
        <f>VLOOKUP(G657,[1]Hoja1!$A:$O,3,0)</f>
        <v>0</v>
      </c>
      <c r="D657" s="2" t="str">
        <f t="shared" si="113"/>
        <v>4JUM</v>
      </c>
      <c r="E657" s="4" t="s">
        <v>48</v>
      </c>
      <c r="F657" s="62" t="s">
        <v>27</v>
      </c>
      <c r="G657" s="72" t="s">
        <v>424</v>
      </c>
      <c r="H657" s="8" t="str">
        <f>VLOOKUP(G657,[1]Hoja1!$A:$O,6,0)</f>
        <v>TECNOLOGIAS ELECTRONICAS</v>
      </c>
      <c r="I657" s="4"/>
      <c r="J657" s="4"/>
      <c r="K657" s="80" t="str">
        <f t="shared" si="122"/>
        <v>JU</v>
      </c>
      <c r="L657" s="4"/>
      <c r="M657" s="86" t="str">
        <f>VLOOKUP(G657,[1]Hoja1!$A:$O,15,0)</f>
        <v>ATAMAÑUK, FLORENCIA</v>
      </c>
      <c r="N657" s="2" t="str">
        <f t="shared" si="115"/>
        <v>4°3°4ETELEJU</v>
      </c>
      <c r="O657" s="2"/>
      <c r="P657" s="2" t="str">
        <f>VLOOKUP(G657,[1]Hoja1!$A:$P,16,0)</f>
        <v xml:space="preserve"> </v>
      </c>
      <c r="Q657" s="2"/>
      <c r="S657">
        <f>VLOOKUP(G657,[1]Hoja1!$A:$O,5,0)</f>
        <v>733519</v>
      </c>
      <c r="U657" s="45" t="s">
        <v>2751</v>
      </c>
      <c r="V657" s="46">
        <f t="shared" si="116"/>
        <v>733519</v>
      </c>
      <c r="W657" s="47" t="s">
        <v>1519</v>
      </c>
      <c r="X657" s="46" t="str">
        <f t="shared" si="117"/>
        <v>4</v>
      </c>
      <c r="Y657" s="47" t="s">
        <v>1518</v>
      </c>
      <c r="Z657" s="46" t="str">
        <f t="shared" si="118"/>
        <v>M</v>
      </c>
      <c r="AA657" s="47" t="s">
        <v>2752</v>
      </c>
      <c r="AB657" s="46" t="str">
        <f t="shared" si="119"/>
        <v>JUEVES</v>
      </c>
      <c r="AC657" s="47" t="s">
        <v>2753</v>
      </c>
      <c r="AD657">
        <f t="shared" si="120"/>
        <v>0</v>
      </c>
      <c r="AE657" s="47" t="s">
        <v>2754</v>
      </c>
      <c r="AH657" t="str">
        <f t="shared" si="121"/>
        <v>INSERT INTO horario_curso_materia (horario_curso_materia.FK_CUR_mat,horario_curso_materia.FK_HOR,horario_curso_materia.DIA,horario_curso_materia.tipo_turno) VALUES (  (SELECT curso_materia.ID_CUR_MAT FROM curso_materia WHERE curso_materia.CUPOF='733519' ) ,
    (SELECT horario.ID_HOR FROM horario WHERE horario.modulo='4 ' and horario.turno='M ' ),'JUEVES ' , '0 ' );</v>
      </c>
    </row>
    <row r="658" spans="1:34" ht="15" hidden="1" customHeight="1" x14ac:dyDescent="0.3">
      <c r="A658" s="1" t="str">
        <f t="shared" si="114"/>
        <v>4°3°</v>
      </c>
      <c r="B658" s="54" t="str">
        <f t="shared" si="123"/>
        <v>4°3°4miVESPERTINO431</v>
      </c>
      <c r="C658" s="62">
        <f>VLOOKUP(G658,[1]Hoja1!$A:$O,3,0)</f>
        <v>431</v>
      </c>
      <c r="D658" s="2" t="str">
        <f t="shared" si="113"/>
        <v>4miV46</v>
      </c>
      <c r="E658" s="62" t="s">
        <v>1344</v>
      </c>
      <c r="F658" s="62" t="s">
        <v>125</v>
      </c>
      <c r="G658" s="62" t="s">
        <v>153</v>
      </c>
      <c r="H658" s="8" t="str">
        <f>VLOOKUP(G658,[1]Hoja1!$A:$O,6,0)</f>
        <v xml:space="preserve">APLIC ELECT ANALOG </v>
      </c>
      <c r="I658" s="4">
        <v>46</v>
      </c>
      <c r="J658" s="4"/>
      <c r="K658" s="80" t="str">
        <f t="shared" si="122"/>
        <v>mi</v>
      </c>
      <c r="L658" s="4" t="s">
        <v>512</v>
      </c>
      <c r="M658" s="86" t="str">
        <f>VLOOKUP(G658,[1]Hoja1!$A:$O,15,0)</f>
        <v>escalada arnaldo</v>
      </c>
      <c r="N658" s="2" t="str">
        <f t="shared" si="115"/>
        <v>4°3°4314EFTAE4mi</v>
      </c>
      <c r="O658" s="2"/>
      <c r="P658" s="2" t="str">
        <f>VLOOKUP(G658,[1]Hoja1!$A:$P,16,0)</f>
        <v xml:space="preserve"> </v>
      </c>
      <c r="Q658" s="2"/>
      <c r="S658">
        <f>VLOOKUP(G658,[1]Hoja1!$A:$O,5,0)</f>
        <v>2680250</v>
      </c>
      <c r="U658" s="45" t="s">
        <v>2751</v>
      </c>
      <c r="V658" s="46">
        <f t="shared" si="116"/>
        <v>2680250</v>
      </c>
      <c r="W658" s="47" t="s">
        <v>1519</v>
      </c>
      <c r="X658" s="46" t="str">
        <f t="shared" si="117"/>
        <v>4</v>
      </c>
      <c r="Y658" s="47" t="s">
        <v>1518</v>
      </c>
      <c r="Z658" s="46" t="str">
        <f t="shared" si="118"/>
        <v>V</v>
      </c>
      <c r="AA658" s="47" t="s">
        <v>2752</v>
      </c>
      <c r="AB658" s="46" t="str">
        <f t="shared" si="119"/>
        <v>MIERCOLES</v>
      </c>
      <c r="AC658" s="47" t="s">
        <v>2753</v>
      </c>
      <c r="AD658" t="str">
        <f t="shared" si="120"/>
        <v>CONTRATURNO</v>
      </c>
      <c r="AE658" s="47" t="s">
        <v>2754</v>
      </c>
      <c r="AH658" t="str">
        <f t="shared" si="121"/>
        <v>INSERT INTO horario_curso_materia (horario_curso_materia.FK_CUR_mat,horario_curso_materia.FK_HOR,horario_curso_materia.DIA,horario_curso_materia.tipo_turno) VALUES (  (SELECT curso_materia.ID_CUR_MAT FROM curso_materia WHERE curso_materia.CUPOF='2680250' ) ,
    (SELECT horario.ID_HOR FROM horario WHERE horario.modulo='4 ' and horario.turno='V ' ),'MIERCOLES ' , 'CONTRATURNO ' );</v>
      </c>
    </row>
    <row r="659" spans="1:34" ht="15" hidden="1" customHeight="1" x14ac:dyDescent="0.3">
      <c r="A659" s="1" t="str">
        <f t="shared" si="114"/>
        <v>4°3°</v>
      </c>
      <c r="B659" s="54" t="str">
        <f t="shared" si="123"/>
        <v>4°3°4JUTARDE432</v>
      </c>
      <c r="C659" s="62">
        <f>VLOOKUP(G659,[1]Hoja1!$A:$O,3,0)</f>
        <v>432</v>
      </c>
      <c r="D659" s="2" t="str">
        <f t="shared" si="113"/>
        <v>4JUT44</v>
      </c>
      <c r="E659" s="62" t="s">
        <v>48</v>
      </c>
      <c r="F659" s="62" t="s">
        <v>10</v>
      </c>
      <c r="G659" s="62" t="s">
        <v>154</v>
      </c>
      <c r="H659" s="8" t="str">
        <f>VLOOKUP(G659,[1]Hoja1!$A:$O,6,0)</f>
        <v xml:space="preserve">APLIC ELECT ANALOG </v>
      </c>
      <c r="I659" s="4">
        <v>44</v>
      </c>
      <c r="J659" s="4"/>
      <c r="K659" s="80" t="str">
        <f t="shared" si="122"/>
        <v>JU</v>
      </c>
      <c r="L659" s="4" t="s">
        <v>512</v>
      </c>
      <c r="M659" s="86" t="str">
        <f>VLOOKUP(G659,[1]Hoja1!$A:$O,15,0)</f>
        <v>GAUNA FEDERICO</v>
      </c>
      <c r="N659" s="2" t="str">
        <f t="shared" si="115"/>
        <v>4°3°4324EFTAE4JU</v>
      </c>
      <c r="O659" s="2"/>
      <c r="P659" s="2" t="str">
        <f>VLOOKUP(G659,[1]Hoja1!$A:$P,16,0)</f>
        <v xml:space="preserve"> </v>
      </c>
      <c r="Q659" s="2"/>
      <c r="S659">
        <f>VLOOKUP(G659,[1]Hoja1!$A:$O,5,0)</f>
        <v>2680253</v>
      </c>
      <c r="U659" s="45" t="s">
        <v>2751</v>
      </c>
      <c r="V659" s="46">
        <f t="shared" si="116"/>
        <v>2680253</v>
      </c>
      <c r="W659" s="47" t="s">
        <v>1519</v>
      </c>
      <c r="X659" s="46" t="str">
        <f t="shared" si="117"/>
        <v>4</v>
      </c>
      <c r="Y659" s="47" t="s">
        <v>1518</v>
      </c>
      <c r="Z659" s="46" t="str">
        <f t="shared" si="118"/>
        <v>T</v>
      </c>
      <c r="AA659" s="47" t="s">
        <v>2752</v>
      </c>
      <c r="AB659" s="46" t="str">
        <f t="shared" si="119"/>
        <v>JUEVES</v>
      </c>
      <c r="AC659" s="47" t="s">
        <v>2753</v>
      </c>
      <c r="AD659" t="str">
        <f t="shared" si="120"/>
        <v>CONTRATURNO</v>
      </c>
      <c r="AE659" s="47" t="s">
        <v>2754</v>
      </c>
      <c r="AH659" t="str">
        <f t="shared" si="121"/>
        <v>INSERT INTO horario_curso_materia (horario_curso_materia.FK_CUR_mat,horario_curso_materia.FK_HOR,horario_curso_materia.DIA,horario_curso_materia.tipo_turno) VALUES (  (SELECT curso_materia.ID_CUR_MAT FROM curso_materia WHERE curso_materia.CUPOF='2680253' ) ,
    (SELECT horario.ID_HOR FROM horario WHERE horario.modulo='4 ' and horario.turno='T ' ),'JUEVES ' , 'CONTRATURNO ' );</v>
      </c>
    </row>
    <row r="660" spans="1:34" ht="15" hidden="1" customHeight="1" x14ac:dyDescent="0.3">
      <c r="A660" s="1" t="str">
        <f t="shared" si="114"/>
        <v>4°3°</v>
      </c>
      <c r="B660" s="54" t="str">
        <f t="shared" si="123"/>
        <v>4°3°4LUMAÑANA0</v>
      </c>
      <c r="C660" s="62">
        <f>VLOOKUP(G660,[1]Hoja1!$A:$O,3,0)</f>
        <v>0</v>
      </c>
      <c r="D660" s="2" t="str">
        <f t="shared" si="113"/>
        <v>4LUM</v>
      </c>
      <c r="E660" s="62" t="s">
        <v>31</v>
      </c>
      <c r="F660" s="62" t="s">
        <v>27</v>
      </c>
      <c r="G660" s="62" t="s">
        <v>419</v>
      </c>
      <c r="H660" s="8" t="str">
        <f>VLOOKUP(G660,[1]Hoja1!$A:$O,6,0)</f>
        <v>SALUD Y ADOLESCENCIA</v>
      </c>
      <c r="I660" s="4"/>
      <c r="J660" s="4"/>
      <c r="K660" s="80" t="str">
        <f t="shared" si="122"/>
        <v>LU</v>
      </c>
      <c r="L660" s="4"/>
      <c r="M660" s="86" t="str">
        <f>VLOOKUP(G660,[1]Hoja1!$A:$O,15,0)</f>
        <v xml:space="preserve">CANCELA GONZALEZ M </v>
      </c>
      <c r="N660" s="2" t="str">
        <f t="shared" si="115"/>
        <v>4°3°4ESADSLU</v>
      </c>
      <c r="O660" s="2"/>
      <c r="P660" s="2" t="str">
        <f>VLOOKUP(G660,[1]Hoja1!$A:$P,16,0)</f>
        <v xml:space="preserve"> </v>
      </c>
      <c r="Q660" s="2"/>
      <c r="S660">
        <f>VLOOKUP(G660,[1]Hoja1!$A:$O,5,0)</f>
        <v>1517221</v>
      </c>
      <c r="U660" s="45" t="s">
        <v>2751</v>
      </c>
      <c r="V660" s="46">
        <f t="shared" si="116"/>
        <v>1517221</v>
      </c>
      <c r="W660" s="47" t="s">
        <v>1519</v>
      </c>
      <c r="X660" s="46" t="str">
        <f t="shared" si="117"/>
        <v>4</v>
      </c>
      <c r="Y660" s="47" t="s">
        <v>1518</v>
      </c>
      <c r="Z660" s="46" t="str">
        <f t="shared" si="118"/>
        <v>M</v>
      </c>
      <c r="AA660" s="47" t="s">
        <v>2752</v>
      </c>
      <c r="AB660" s="46" t="str">
        <f t="shared" si="119"/>
        <v>LUNES</v>
      </c>
      <c r="AC660" s="47" t="s">
        <v>2753</v>
      </c>
      <c r="AD660">
        <f t="shared" si="120"/>
        <v>0</v>
      </c>
      <c r="AE660" s="47" t="s">
        <v>2754</v>
      </c>
      <c r="AH660" t="str">
        <f t="shared" si="121"/>
        <v>INSERT INTO horario_curso_materia (horario_curso_materia.FK_CUR_mat,horario_curso_materia.FK_HOR,horario_curso_materia.DIA,horario_curso_materia.tipo_turno) VALUES (  (SELECT curso_materia.ID_CUR_MAT FROM curso_materia WHERE curso_materia.CUPOF='1517221' ) ,
    (SELECT horario.ID_HOR FROM horario WHERE horario.modulo='4 ' and horario.turno='M ' ),'LUNES ' , '0 ' );</v>
      </c>
    </row>
    <row r="661" spans="1:34" ht="15" hidden="1" customHeight="1" x14ac:dyDescent="0.3">
      <c r="A661" s="1" t="str">
        <f t="shared" si="114"/>
        <v>4°3°</v>
      </c>
      <c r="B661" s="54" t="str">
        <f t="shared" si="123"/>
        <v>4°3°4LUTARDE431</v>
      </c>
      <c r="C661" s="62">
        <f>VLOOKUP(G661,[1]Hoja1!$A:$O,3,0)</f>
        <v>431</v>
      </c>
      <c r="D661" s="2" t="str">
        <f t="shared" si="113"/>
        <v>4LUT44</v>
      </c>
      <c r="E661" s="62" t="s">
        <v>31</v>
      </c>
      <c r="F661" s="62" t="s">
        <v>10</v>
      </c>
      <c r="G661" s="62" t="s">
        <v>150</v>
      </c>
      <c r="H661" s="8" t="str">
        <f>VLOOKUP(G661,[1]Hoja1!$A:$O,6,0)</f>
        <v xml:space="preserve">MONTAJE DE PROYECTO ELECTRONICOS </v>
      </c>
      <c r="I661" s="4">
        <v>44</v>
      </c>
      <c r="J661" s="4"/>
      <c r="K661" s="80" t="str">
        <f t="shared" si="122"/>
        <v>LU</v>
      </c>
      <c r="L661" s="4" t="s">
        <v>512</v>
      </c>
      <c r="M661" s="86" t="str">
        <f>VLOOKUP(G661,[1]Hoja1!$A:$O,15,0)</f>
        <v xml:space="preserve">SAUCEDO GUSTAVO </v>
      </c>
      <c r="N661" s="2" t="str">
        <f t="shared" si="115"/>
        <v>4°3°4314EFTMP4LU</v>
      </c>
      <c r="O661" s="2"/>
      <c r="P661" s="2" t="str">
        <f>VLOOKUP(G661,[1]Hoja1!$A:$P,16,0)</f>
        <v xml:space="preserve"> </v>
      </c>
      <c r="Q661" s="2"/>
      <c r="S661">
        <f>VLOOKUP(G661,[1]Hoja1!$A:$O,5,0)</f>
        <v>2680252</v>
      </c>
      <c r="U661" s="45" t="s">
        <v>2751</v>
      </c>
      <c r="V661" s="46">
        <f t="shared" si="116"/>
        <v>2680252</v>
      </c>
      <c r="W661" s="47" t="s">
        <v>1519</v>
      </c>
      <c r="X661" s="46" t="str">
        <f t="shared" si="117"/>
        <v>4</v>
      </c>
      <c r="Y661" s="47" t="s">
        <v>1518</v>
      </c>
      <c r="Z661" s="46" t="str">
        <f t="shared" si="118"/>
        <v>T</v>
      </c>
      <c r="AA661" s="47" t="s">
        <v>2752</v>
      </c>
      <c r="AB661" s="46" t="str">
        <f t="shared" si="119"/>
        <v>LUNES</v>
      </c>
      <c r="AC661" s="47" t="s">
        <v>2753</v>
      </c>
      <c r="AD661" t="str">
        <f t="shared" si="120"/>
        <v>CONTRATURNO</v>
      </c>
      <c r="AE661" s="47" t="s">
        <v>2754</v>
      </c>
      <c r="AH661" t="str">
        <f t="shared" si="121"/>
        <v>INSERT INTO horario_curso_materia (horario_curso_materia.FK_CUR_mat,horario_curso_materia.FK_HOR,horario_curso_materia.DIA,horario_curso_materia.tipo_turno) VALUES (  (SELECT curso_materia.ID_CUR_MAT FROM curso_materia WHERE curso_materia.CUPOF='2680252' ) ,
    (SELECT horario.ID_HOR FROM horario WHERE horario.modulo='4 ' and horario.turno='T ' ),'LUNES ' , 'CONTRATURNO ' );</v>
      </c>
    </row>
    <row r="662" spans="1:34" ht="15" hidden="1" customHeight="1" x14ac:dyDescent="0.3">
      <c r="A662" s="1" t="str">
        <f t="shared" si="114"/>
        <v>4°3°</v>
      </c>
      <c r="B662" s="54" t="str">
        <f t="shared" si="123"/>
        <v>4°3°4MAMAÑANA0</v>
      </c>
      <c r="C662" s="62">
        <f>VLOOKUP(G662,[1]Hoja1!$A:$O,3,0)</f>
        <v>0</v>
      </c>
      <c r="D662" s="2" t="str">
        <f t="shared" si="113"/>
        <v>4MAM</v>
      </c>
      <c r="E662" s="62" t="s">
        <v>16</v>
      </c>
      <c r="F662" s="62" t="s">
        <v>27</v>
      </c>
      <c r="G662" s="62" t="s">
        <v>420</v>
      </c>
      <c r="H662" s="8" t="str">
        <f>VLOOKUP(G662,[1]Hoja1!$A:$O,6,0)</f>
        <v>MATEMATICA</v>
      </c>
      <c r="I662" s="4"/>
      <c r="J662" s="4"/>
      <c r="K662" s="80" t="str">
        <f t="shared" si="122"/>
        <v>MA</v>
      </c>
      <c r="L662" s="4"/>
      <c r="M662" s="86" t="str">
        <f>VLOOKUP(G662,[1]Hoja1!$A:$O,15,0)</f>
        <v>LENCINAS NOELIA</v>
      </c>
      <c r="N662" s="2" t="str">
        <f t="shared" si="115"/>
        <v>4°3°4EMATESMA</v>
      </c>
      <c r="O662" s="2"/>
      <c r="P662" s="2" t="str">
        <f>VLOOKUP(G662,[1]Hoja1!$A:$P,16,0)</f>
        <v xml:space="preserve"> </v>
      </c>
      <c r="Q662" s="2"/>
      <c r="S662">
        <f>VLOOKUP(G662,[1]Hoja1!$A:$O,5,0)</f>
        <v>733522</v>
      </c>
      <c r="U662" s="45" t="s">
        <v>2751</v>
      </c>
      <c r="V662" s="46">
        <f t="shared" si="116"/>
        <v>733522</v>
      </c>
      <c r="W662" s="47" t="s">
        <v>1519</v>
      </c>
      <c r="X662" s="46" t="str">
        <f t="shared" si="117"/>
        <v>4</v>
      </c>
      <c r="Y662" s="47" t="s">
        <v>1518</v>
      </c>
      <c r="Z662" s="46" t="str">
        <f t="shared" si="118"/>
        <v>M</v>
      </c>
      <c r="AA662" s="47" t="s">
        <v>2752</v>
      </c>
      <c r="AB662" s="46" t="str">
        <f t="shared" si="119"/>
        <v>MARTES</v>
      </c>
      <c r="AC662" s="47" t="s">
        <v>2753</v>
      </c>
      <c r="AD662">
        <f t="shared" si="120"/>
        <v>0</v>
      </c>
      <c r="AE662" s="47" t="s">
        <v>2754</v>
      </c>
      <c r="AH662" t="str">
        <f t="shared" si="121"/>
        <v>INSERT INTO horario_curso_materia (horario_curso_materia.FK_CUR_mat,horario_curso_materia.FK_HOR,horario_curso_materia.DIA,horario_curso_materia.tipo_turno) VALUES (  (SELECT curso_materia.ID_CUR_MAT FROM curso_materia WHERE curso_materia.CUPOF='733522' ) ,
    (SELECT horario.ID_HOR FROM horario WHERE horario.modulo='4 ' and horario.turno='M ' ),'MARTES ' , '0 ' );</v>
      </c>
    </row>
    <row r="663" spans="1:34" ht="15" hidden="1" customHeight="1" x14ac:dyDescent="0.3">
      <c r="A663" s="3" t="str">
        <f t="shared" si="114"/>
        <v>4°3°</v>
      </c>
      <c r="B663" s="54" t="str">
        <f t="shared" si="123"/>
        <v>4°3°4MATARDE0</v>
      </c>
      <c r="C663" s="63">
        <f>VLOOKUP(G663,[1]Hoja1!$A:$O,3,0)</f>
        <v>0</v>
      </c>
      <c r="D663" s="2" t="str">
        <f t="shared" si="113"/>
        <v>4MATPATIO2</v>
      </c>
      <c r="E663" s="62" t="s">
        <v>16</v>
      </c>
      <c r="F663" s="63" t="s">
        <v>10</v>
      </c>
      <c r="G663" s="63" t="s">
        <v>426</v>
      </c>
      <c r="H663" s="3" t="str">
        <f>VLOOKUP(G663,[1]Hoja1!$A:$O,6,0)</f>
        <v>EDUCACIÓN FISICA</v>
      </c>
      <c r="I663" s="17" t="s">
        <v>295</v>
      </c>
      <c r="J663" s="17"/>
      <c r="K663" s="81" t="str">
        <f t="shared" si="122"/>
        <v>MA</v>
      </c>
      <c r="L663" s="17" t="s">
        <v>512</v>
      </c>
      <c r="M663" s="87" t="str">
        <f>VLOOKUP(G663,[1]Hoja1!$A:$O,15,0)</f>
        <v xml:space="preserve">SANCHEZ CARLOS </v>
      </c>
      <c r="N663" s="2" t="str">
        <f t="shared" si="115"/>
        <v>4°3°4EEFISMA</v>
      </c>
      <c r="O663" s="2"/>
      <c r="P663" s="2" t="str">
        <f>VLOOKUP(G663,[1]Hoja1!$A:$P,16,0)</f>
        <v xml:space="preserve"> </v>
      </c>
      <c r="Q663" s="2"/>
      <c r="S663">
        <f>VLOOKUP(G663,[1]Hoja1!$A:$O,5,0)</f>
        <v>789629</v>
      </c>
      <c r="U663" s="45" t="s">
        <v>2751</v>
      </c>
      <c r="V663" s="46">
        <f t="shared" si="116"/>
        <v>789629</v>
      </c>
      <c r="W663" s="47" t="s">
        <v>1519</v>
      </c>
      <c r="X663" s="46" t="str">
        <f t="shared" si="117"/>
        <v>4</v>
      </c>
      <c r="Y663" s="47" t="s">
        <v>1518</v>
      </c>
      <c r="Z663" s="46" t="str">
        <f t="shared" si="118"/>
        <v>T</v>
      </c>
      <c r="AA663" s="47" t="s">
        <v>2752</v>
      </c>
      <c r="AB663" s="46" t="str">
        <f t="shared" si="119"/>
        <v>MARTES</v>
      </c>
      <c r="AC663" s="47" t="s">
        <v>2753</v>
      </c>
      <c r="AD663" t="str">
        <f t="shared" si="120"/>
        <v>CONTRATURNO</v>
      </c>
      <c r="AE663" s="47" t="s">
        <v>2754</v>
      </c>
      <c r="AH663" t="str">
        <f t="shared" si="121"/>
        <v>INSERT INTO horario_curso_materia (horario_curso_materia.FK_CUR_mat,horario_curso_materia.FK_HOR,horario_curso_materia.DIA,horario_curso_materia.tipo_turno) VALUES (  (SELECT curso_materia.ID_CUR_MAT FROM curso_materia WHERE curso_materia.CUPOF='789629' ) ,
    (SELECT horario.ID_HOR FROM horario WHERE horario.modulo='4 ' and horario.turno='T ' ),'MARTES ' , 'CONTRATURNO ' );</v>
      </c>
    </row>
    <row r="664" spans="1:34" ht="15" hidden="1" customHeight="1" x14ac:dyDescent="0.3">
      <c r="A664" s="1" t="str">
        <f t="shared" si="114"/>
        <v>4°3°</v>
      </c>
      <c r="B664" s="54" t="str">
        <f t="shared" si="123"/>
        <v>4°3°4MIMAÑANA0</v>
      </c>
      <c r="C664" s="62">
        <f>VLOOKUP(G664,[1]Hoja1!$A:$O,3,0)</f>
        <v>0</v>
      </c>
      <c r="D664" s="2" t="str">
        <f t="shared" si="113"/>
        <v>4MIM</v>
      </c>
      <c r="E664" s="62" t="s">
        <v>52</v>
      </c>
      <c r="F664" s="62" t="s">
        <v>27</v>
      </c>
      <c r="G664" s="62" t="s">
        <v>420</v>
      </c>
      <c r="H664" s="8" t="str">
        <f>VLOOKUP(G664,[1]Hoja1!$A:$O,6,0)</f>
        <v>MATEMATICA</v>
      </c>
      <c r="I664" s="4"/>
      <c r="J664" s="4"/>
      <c r="K664" s="80" t="str">
        <f t="shared" si="122"/>
        <v>MI</v>
      </c>
      <c r="L664" s="4"/>
      <c r="M664" s="86" t="str">
        <f>VLOOKUP(G664,[1]Hoja1!$A:$O,15,0)</f>
        <v>LENCINAS NOELIA</v>
      </c>
      <c r="N664" s="2" t="str">
        <f t="shared" si="115"/>
        <v>4°3°4EMATESMI</v>
      </c>
      <c r="O664" s="2"/>
      <c r="P664" s="2" t="str">
        <f>VLOOKUP(G664,[1]Hoja1!$A:$P,16,0)</f>
        <v xml:space="preserve"> </v>
      </c>
      <c r="Q664" s="2"/>
      <c r="S664">
        <f>VLOOKUP(G664,[1]Hoja1!$A:$O,5,0)</f>
        <v>733522</v>
      </c>
      <c r="U664" s="45" t="s">
        <v>2751</v>
      </c>
      <c r="V664" s="46">
        <f t="shared" si="116"/>
        <v>733522</v>
      </c>
      <c r="W664" s="47" t="s">
        <v>1519</v>
      </c>
      <c r="X664" s="46" t="str">
        <f t="shared" si="117"/>
        <v>4</v>
      </c>
      <c r="Y664" s="47" t="s">
        <v>1518</v>
      </c>
      <c r="Z664" s="46" t="str">
        <f t="shared" si="118"/>
        <v>M</v>
      </c>
      <c r="AA664" s="47" t="s">
        <v>2752</v>
      </c>
      <c r="AB664" s="46" t="str">
        <f t="shared" si="119"/>
        <v>MIERCOLES</v>
      </c>
      <c r="AC664" s="47" t="s">
        <v>2753</v>
      </c>
      <c r="AD664">
        <f t="shared" si="120"/>
        <v>0</v>
      </c>
      <c r="AE664" s="47" t="s">
        <v>2754</v>
      </c>
      <c r="AH664" t="str">
        <f t="shared" si="121"/>
        <v>INSERT INTO horario_curso_materia (horario_curso_materia.FK_CUR_mat,horario_curso_materia.FK_HOR,horario_curso_materia.DIA,horario_curso_materia.tipo_turno) VALUES (  (SELECT curso_materia.ID_CUR_MAT FROM curso_materia WHERE curso_materia.CUPOF='733522' ) ,
    (SELECT horario.ID_HOR FROM horario WHERE horario.modulo='4 ' and horario.turno='M ' ),'MIERCOLES ' , '0 ' );</v>
      </c>
    </row>
    <row r="665" spans="1:34" ht="15" hidden="1" customHeight="1" x14ac:dyDescent="0.3">
      <c r="A665" s="1" t="str">
        <f t="shared" si="114"/>
        <v>4°3°</v>
      </c>
      <c r="B665" s="54" t="str">
        <f t="shared" si="123"/>
        <v>4°3°4miTARDE432</v>
      </c>
      <c r="C665" s="62">
        <f>VLOOKUP(G665,[1]Hoja1!$A:$O,3,0)</f>
        <v>432</v>
      </c>
      <c r="D665" s="2" t="str">
        <f t="shared" si="113"/>
        <v>4miT46</v>
      </c>
      <c r="E665" s="62" t="s">
        <v>1344</v>
      </c>
      <c r="F665" s="62" t="s">
        <v>10</v>
      </c>
      <c r="G665" s="62" t="s">
        <v>151</v>
      </c>
      <c r="H665" s="8" t="str">
        <f>VLOOKUP(G665,[1]Hoja1!$A:$O,6,0)</f>
        <v xml:space="preserve">MONTAJE DE PROYECTO ELECTRONICOS </v>
      </c>
      <c r="I665" s="4">
        <v>46</v>
      </c>
      <c r="J665" s="4"/>
      <c r="K665" s="80" t="str">
        <f t="shared" si="122"/>
        <v>mi</v>
      </c>
      <c r="L665" s="4" t="s">
        <v>512</v>
      </c>
      <c r="M665" s="86" t="str">
        <f>VLOOKUP(G665,[1]Hoja1!$A:$O,15,0)</f>
        <v>FERREYRA JESICA</v>
      </c>
      <c r="N665" s="2" t="str">
        <f t="shared" si="115"/>
        <v>4°3°4324EFTMP4mi</v>
      </c>
      <c r="O665" s="2"/>
      <c r="P665" s="2" t="str">
        <f>VLOOKUP(G665,[1]Hoja1!$A:$P,16,0)</f>
        <v xml:space="preserve"> </v>
      </c>
      <c r="Q665" s="2"/>
      <c r="S665">
        <f>VLOOKUP(G665,[1]Hoja1!$A:$O,5,0)</f>
        <v>2680256</v>
      </c>
      <c r="U665" s="45" t="s">
        <v>2751</v>
      </c>
      <c r="V665" s="46">
        <f t="shared" si="116"/>
        <v>2680256</v>
      </c>
      <c r="W665" s="47" t="s">
        <v>1519</v>
      </c>
      <c r="X665" s="46" t="str">
        <f t="shared" si="117"/>
        <v>4</v>
      </c>
      <c r="Y665" s="47" t="s">
        <v>1518</v>
      </c>
      <c r="Z665" s="46" t="str">
        <f t="shared" si="118"/>
        <v>T</v>
      </c>
      <c r="AA665" s="47" t="s">
        <v>2752</v>
      </c>
      <c r="AB665" s="46" t="str">
        <f t="shared" si="119"/>
        <v>MIERCOLES</v>
      </c>
      <c r="AC665" s="47" t="s">
        <v>2753</v>
      </c>
      <c r="AD665" t="str">
        <f t="shared" si="120"/>
        <v>CONTRATURNO</v>
      </c>
      <c r="AE665" s="47" t="s">
        <v>2754</v>
      </c>
      <c r="AH665" t="str">
        <f t="shared" si="121"/>
        <v>INSERT INTO horario_curso_materia (horario_curso_materia.FK_CUR_mat,horario_curso_materia.FK_HOR,horario_curso_materia.DIA,horario_curso_materia.tipo_turno) VALUES (  (SELECT curso_materia.ID_CUR_MAT FROM curso_materia WHERE curso_materia.CUPOF='2680256' ) ,
    (SELECT horario.ID_HOR FROM horario WHERE horario.modulo='4 ' and horario.turno='T ' ),'MIERCOLES ' , 'CONTRATURNO ' );</v>
      </c>
    </row>
    <row r="666" spans="1:34" ht="15" hidden="1" customHeight="1" x14ac:dyDescent="0.3">
      <c r="A666" s="1" t="str">
        <f t="shared" si="114"/>
        <v>4°3°</v>
      </c>
      <c r="B666" s="54" t="str">
        <f t="shared" si="123"/>
        <v>4°3°2MIMAÑANA0</v>
      </c>
      <c r="C666" s="62">
        <f>VLOOKUP(G666,[1]Hoja1!$A:$O,3,0)</f>
        <v>0</v>
      </c>
      <c r="D666" s="2" t="str">
        <f t="shared" si="113"/>
        <v>2MIM</v>
      </c>
      <c r="E666" s="62" t="s">
        <v>26</v>
      </c>
      <c r="F666" s="62" t="s">
        <v>27</v>
      </c>
      <c r="G666" s="62" t="s">
        <v>422</v>
      </c>
      <c r="H666" s="8" t="str">
        <f>VLOOKUP(G666,[1]Hoja1!$A:$O,6,0)</f>
        <v>FISICA</v>
      </c>
      <c r="I666" s="4"/>
      <c r="J666" s="4"/>
      <c r="K666" s="80" t="str">
        <f t="shared" si="122"/>
        <v>MI</v>
      </c>
      <c r="L666" s="4"/>
      <c r="M666" s="86" t="str">
        <f>VLOOKUP(G666,[1]Hoja1!$A:$O,15,0)</f>
        <v xml:space="preserve">ESPINDOLA SERGIO                          </v>
      </c>
      <c r="N666" s="2" t="str">
        <f t="shared" si="115"/>
        <v>4°3°4EFISMI</v>
      </c>
      <c r="O666" s="2"/>
      <c r="P666" s="2" t="str">
        <f>VLOOKUP(G666,[1]Hoja1!$A:$P,16,0)</f>
        <v xml:space="preserve"> </v>
      </c>
      <c r="Q666" s="2"/>
      <c r="S666">
        <f>VLOOKUP(G666,[1]Hoja1!$A:$O,5,0)</f>
        <v>733670</v>
      </c>
      <c r="U666" s="45" t="s">
        <v>2751</v>
      </c>
      <c r="V666" s="46">
        <f t="shared" si="116"/>
        <v>733670</v>
      </c>
      <c r="W666" s="47" t="s">
        <v>1519</v>
      </c>
      <c r="X666" s="46" t="str">
        <f t="shared" si="117"/>
        <v>2</v>
      </c>
      <c r="Y666" s="47" t="s">
        <v>1518</v>
      </c>
      <c r="Z666" s="46" t="str">
        <f t="shared" si="118"/>
        <v>M</v>
      </c>
      <c r="AA666" s="47" t="s">
        <v>2752</v>
      </c>
      <c r="AB666" s="46" t="str">
        <f t="shared" si="119"/>
        <v>MIERCOLES</v>
      </c>
      <c r="AC666" s="47" t="s">
        <v>2753</v>
      </c>
      <c r="AD666">
        <f t="shared" si="120"/>
        <v>0</v>
      </c>
      <c r="AE666" s="47" t="s">
        <v>2754</v>
      </c>
      <c r="AH666" t="str">
        <f t="shared" si="121"/>
        <v>INSERT INTO horario_curso_materia (horario_curso_materia.FK_CUR_mat,horario_curso_materia.FK_HOR,horario_curso_materia.DIA,horario_curso_materia.tipo_turno) VALUES (  (SELECT curso_materia.ID_CUR_MAT FROM curso_materia WHERE curso_materia.CUPOF='733670' ) ,
    (SELECT horario.ID_HOR FROM horario WHERE horario.modulo='2 ' and horario.turno='M ' ),'MIERCOLES ' , '0 ' );</v>
      </c>
    </row>
    <row r="667" spans="1:34" ht="14.25" hidden="1" customHeight="1" x14ac:dyDescent="0.3">
      <c r="A667" s="1" t="str">
        <f t="shared" si="114"/>
        <v>4°3°</v>
      </c>
      <c r="B667" s="54" t="str">
        <f t="shared" si="123"/>
        <v>4°3°4VITARDE431</v>
      </c>
      <c r="C667" s="62">
        <f>VLOOKUP(G667,[1]Hoja1!$A:$O,3,0)</f>
        <v>431</v>
      </c>
      <c r="D667" s="2" t="str">
        <f t="shared" si="113"/>
        <v>4VIT44</v>
      </c>
      <c r="E667" s="62" t="s">
        <v>36</v>
      </c>
      <c r="F667" s="62" t="s">
        <v>10</v>
      </c>
      <c r="G667" s="62" t="s">
        <v>155</v>
      </c>
      <c r="H667" s="8" t="str">
        <f>VLOOKUP(G667,[1]Hoja1!$A:$O,6,0)</f>
        <v>APLIC ELECTR DIGITAL</v>
      </c>
      <c r="I667" s="4">
        <v>44</v>
      </c>
      <c r="J667" s="4"/>
      <c r="K667" s="80" t="str">
        <f t="shared" si="122"/>
        <v>VI</v>
      </c>
      <c r="L667" s="4" t="s">
        <v>512</v>
      </c>
      <c r="M667" s="86" t="str">
        <f>VLOOKUP(G667,[1]Hoja1!$A:$O,15,0)</f>
        <v>CORDOBA ERNESTO</v>
      </c>
      <c r="N667" s="2" t="str">
        <f t="shared" si="115"/>
        <v>4°3°4314EFTED4VI</v>
      </c>
      <c r="O667" s="2"/>
      <c r="P667" s="2" t="str">
        <f>VLOOKUP(G667,[1]Hoja1!$A:$P,16,0)</f>
        <v xml:space="preserve"> </v>
      </c>
      <c r="Q667" s="2"/>
      <c r="S667">
        <f>VLOOKUP(G667,[1]Hoja1!$A:$O,5,0)</f>
        <v>2680251</v>
      </c>
      <c r="U667" s="45" t="s">
        <v>2751</v>
      </c>
      <c r="V667" s="46">
        <f t="shared" si="116"/>
        <v>2680251</v>
      </c>
      <c r="W667" s="47" t="s">
        <v>1519</v>
      </c>
      <c r="X667" s="46" t="str">
        <f t="shared" si="117"/>
        <v>4</v>
      </c>
      <c r="Y667" s="47" t="s">
        <v>1518</v>
      </c>
      <c r="Z667" s="46" t="str">
        <f t="shared" si="118"/>
        <v>T</v>
      </c>
      <c r="AA667" s="47" t="s">
        <v>2752</v>
      </c>
      <c r="AB667" s="46" t="str">
        <f t="shared" si="119"/>
        <v>VIERNES</v>
      </c>
      <c r="AC667" s="47" t="s">
        <v>2753</v>
      </c>
      <c r="AD667" t="str">
        <f t="shared" si="120"/>
        <v>CONTRATURNO</v>
      </c>
      <c r="AE667" s="47" t="s">
        <v>2754</v>
      </c>
      <c r="AH667" t="str">
        <f t="shared" si="121"/>
        <v>INSERT INTO horario_curso_materia (horario_curso_materia.FK_CUR_mat,horario_curso_materia.FK_HOR,horario_curso_materia.DIA,horario_curso_materia.tipo_turno) VALUES (  (SELECT curso_materia.ID_CUR_MAT FROM curso_materia WHERE curso_materia.CUPOF='2680251' ) ,
    (SELECT horario.ID_HOR FROM horario WHERE horario.modulo='4 ' and horario.turno='T ' ),'VIERNES ' , 'CONTRATURNO ' );</v>
      </c>
    </row>
    <row r="668" spans="1:34" ht="14.25" hidden="1" customHeight="1" x14ac:dyDescent="0.3">
      <c r="A668" s="1" t="str">
        <f t="shared" si="114"/>
        <v>4°3°</v>
      </c>
      <c r="B668" s="54" t="str">
        <f t="shared" si="123"/>
        <v>4°3°4luVESPERTINO432</v>
      </c>
      <c r="C668" s="62">
        <f>VLOOKUP(G668,[1]Hoja1!$A:$O,3,0)</f>
        <v>432</v>
      </c>
      <c r="D668" s="2" t="str">
        <f t="shared" si="113"/>
        <v>4luV46</v>
      </c>
      <c r="E668" s="62" t="s">
        <v>1515</v>
      </c>
      <c r="F668" s="62" t="s">
        <v>125</v>
      </c>
      <c r="G668" s="62" t="s">
        <v>152</v>
      </c>
      <c r="H668" s="8" t="str">
        <f>VLOOKUP(G668,[1]Hoja1!$A:$O,6,0)</f>
        <v>APLIC ELECTR DIGITAL</v>
      </c>
      <c r="I668" s="4">
        <v>46</v>
      </c>
      <c r="J668" s="4"/>
      <c r="K668" s="80" t="str">
        <f t="shared" si="122"/>
        <v>lu</v>
      </c>
      <c r="L668" s="4" t="s">
        <v>512</v>
      </c>
      <c r="M668" s="86" t="str">
        <f>VLOOKUP(G668,[1]Hoja1!$A:$O,15,0)</f>
        <v>BULACIO ARIEL</v>
      </c>
      <c r="N668" s="2" t="str">
        <f t="shared" si="115"/>
        <v>4°3°4324EFTED4lu</v>
      </c>
      <c r="O668" s="2"/>
      <c r="P668" s="2" t="str">
        <f>VLOOKUP(G668,[1]Hoja1!$A:$P,16,0)</f>
        <v xml:space="preserve"> </v>
      </c>
      <c r="Q668" s="2"/>
      <c r="S668">
        <f>VLOOKUP(G668,[1]Hoja1!$A:$O,5,0)</f>
        <v>2680254</v>
      </c>
      <c r="U668" s="45" t="s">
        <v>2751</v>
      </c>
      <c r="V668" s="46">
        <f t="shared" si="116"/>
        <v>2680254</v>
      </c>
      <c r="W668" s="47" t="s">
        <v>1519</v>
      </c>
      <c r="X668" s="46" t="str">
        <f t="shared" si="117"/>
        <v>4</v>
      </c>
      <c r="Y668" s="47" t="s">
        <v>1518</v>
      </c>
      <c r="Z668" s="46" t="str">
        <f t="shared" si="118"/>
        <v>V</v>
      </c>
      <c r="AA668" s="47" t="s">
        <v>2752</v>
      </c>
      <c r="AB668" s="46" t="str">
        <f t="shared" si="119"/>
        <v>LUNES</v>
      </c>
      <c r="AC668" s="47" t="s">
        <v>2753</v>
      </c>
      <c r="AD668" t="str">
        <f t="shared" si="120"/>
        <v>CONTRATURNO</v>
      </c>
      <c r="AE668" s="47" t="s">
        <v>2754</v>
      </c>
      <c r="AH668" t="str">
        <f t="shared" si="121"/>
        <v>INSERT INTO horario_curso_materia (horario_curso_materia.FK_CUR_mat,horario_curso_materia.FK_HOR,horario_curso_materia.DIA,horario_curso_materia.tipo_turno) VALUES (  (SELECT curso_materia.ID_CUR_MAT FROM curso_materia WHERE curso_materia.CUPOF='2680254' ) ,
    (SELECT horario.ID_HOR FROM horario WHERE horario.modulo='4 ' and horario.turno='V ' ),'LUNES ' , 'CONTRATURNO ' );</v>
      </c>
    </row>
    <row r="669" spans="1:34" ht="15" hidden="1" customHeight="1" x14ac:dyDescent="0.3">
      <c r="A669" s="1" t="str">
        <f t="shared" si="114"/>
        <v>4°3°</v>
      </c>
      <c r="B669" s="54" t="str">
        <f t="shared" si="123"/>
        <v>4°3°5JUMAÑANA0</v>
      </c>
      <c r="C669" s="62">
        <f>VLOOKUP(G669,[1]Hoja1!$A:$O,3,0)</f>
        <v>0</v>
      </c>
      <c r="D669" s="2" t="str">
        <f t="shared" ref="D669:D732" si="124">CONCATENATE(E669,LEFT(F669,1),I669)</f>
        <v>5JUM</v>
      </c>
      <c r="E669" s="4" t="s">
        <v>139</v>
      </c>
      <c r="F669" s="62" t="s">
        <v>27</v>
      </c>
      <c r="G669" s="72" t="s">
        <v>418</v>
      </c>
      <c r="H669" s="8" t="str">
        <f>VLOOKUP(G669,[1]Hoja1!$A:$O,6,0)</f>
        <v>LITERATURA</v>
      </c>
      <c r="I669" s="4"/>
      <c r="J669" s="4"/>
      <c r="K669" s="80" t="str">
        <f t="shared" si="122"/>
        <v>JU</v>
      </c>
      <c r="L669" s="4"/>
      <c r="M669" s="86" t="str">
        <f>VLOOKUP(G669,[1]Hoja1!$A:$O,15,0)</f>
        <v xml:space="preserve">SANTILLAN ESTELA   </v>
      </c>
      <c r="N669" s="2" t="str">
        <f t="shared" si="115"/>
        <v>4°3°4ELITSJU</v>
      </c>
      <c r="O669" s="2"/>
      <c r="P669" s="2" t="str">
        <f>VLOOKUP(G669,[1]Hoja1!$A:$P,16,0)</f>
        <v xml:space="preserve"> </v>
      </c>
      <c r="Q669" s="2"/>
      <c r="S669">
        <f>VLOOKUP(G669,[1]Hoja1!$A:$O,5,0)</f>
        <v>733521</v>
      </c>
      <c r="U669" s="45" t="s">
        <v>2751</v>
      </c>
      <c r="V669" s="46">
        <f t="shared" si="116"/>
        <v>733521</v>
      </c>
      <c r="W669" s="47" t="s">
        <v>1519</v>
      </c>
      <c r="X669" s="46" t="str">
        <f t="shared" si="117"/>
        <v>5</v>
      </c>
      <c r="Y669" s="47" t="s">
        <v>1518</v>
      </c>
      <c r="Z669" s="46" t="str">
        <f t="shared" si="118"/>
        <v>M</v>
      </c>
      <c r="AA669" s="47" t="s">
        <v>2752</v>
      </c>
      <c r="AB669" s="46" t="str">
        <f t="shared" si="119"/>
        <v>JUEVES</v>
      </c>
      <c r="AC669" s="47" t="s">
        <v>2753</v>
      </c>
      <c r="AD669">
        <f t="shared" si="120"/>
        <v>0</v>
      </c>
      <c r="AE669" s="47" t="s">
        <v>2754</v>
      </c>
      <c r="AH669" t="str">
        <f t="shared" si="121"/>
        <v>INSERT INTO horario_curso_materia (horario_curso_materia.FK_CUR_mat,horario_curso_materia.FK_HOR,horario_curso_materia.DIA,horario_curso_materia.tipo_turno) VALUES (  (SELECT curso_materia.ID_CUR_MAT FROM curso_materia WHERE curso_materia.CUPOF='733521' ) ,
    (SELECT horario.ID_HOR FROM horario WHERE horario.modulo='5 ' and horario.turno='M ' ),'JUEVES ' , '0 ' );</v>
      </c>
    </row>
    <row r="670" spans="1:34" ht="15" hidden="1" customHeight="1" x14ac:dyDescent="0.3">
      <c r="A670" s="1" t="str">
        <f t="shared" si="114"/>
        <v>4°3°</v>
      </c>
      <c r="B670" s="54" t="str">
        <f t="shared" si="123"/>
        <v>4°3°5LUMAÑANA0</v>
      </c>
      <c r="C670" s="62">
        <f>VLOOKUP(G670,[1]Hoja1!$A:$O,3,0)</f>
        <v>0</v>
      </c>
      <c r="D670" s="2" t="str">
        <f t="shared" si="124"/>
        <v>5LUM</v>
      </c>
      <c r="E670" s="62" t="s">
        <v>102</v>
      </c>
      <c r="F670" s="62" t="s">
        <v>27</v>
      </c>
      <c r="G670" s="62" t="s">
        <v>418</v>
      </c>
      <c r="H670" s="8" t="str">
        <f>VLOOKUP(G670,[1]Hoja1!$A:$O,6,0)</f>
        <v>LITERATURA</v>
      </c>
      <c r="I670" s="4"/>
      <c r="J670" s="4"/>
      <c r="K670" s="80" t="str">
        <f t="shared" si="122"/>
        <v>LU</v>
      </c>
      <c r="L670" s="4"/>
      <c r="M670" s="86" t="str">
        <f>VLOOKUP(G670,[1]Hoja1!$A:$O,15,0)</f>
        <v xml:space="preserve">SANTILLAN ESTELA   </v>
      </c>
      <c r="N670" s="2" t="str">
        <f t="shared" si="115"/>
        <v>4°3°4ELITSLU</v>
      </c>
      <c r="O670" s="2"/>
      <c r="P670" s="2" t="str">
        <f>VLOOKUP(G670,[1]Hoja1!$A:$P,16,0)</f>
        <v xml:space="preserve"> </v>
      </c>
      <c r="Q670" s="2"/>
      <c r="S670">
        <f>VLOOKUP(G670,[1]Hoja1!$A:$O,5,0)</f>
        <v>733521</v>
      </c>
      <c r="U670" s="45" t="s">
        <v>2751</v>
      </c>
      <c r="V670" s="46">
        <f t="shared" si="116"/>
        <v>733521</v>
      </c>
      <c r="W670" s="47" t="s">
        <v>1519</v>
      </c>
      <c r="X670" s="46" t="str">
        <f t="shared" si="117"/>
        <v>5</v>
      </c>
      <c r="Y670" s="47" t="s">
        <v>1518</v>
      </c>
      <c r="Z670" s="46" t="str">
        <f t="shared" si="118"/>
        <v>M</v>
      </c>
      <c r="AA670" s="47" t="s">
        <v>2752</v>
      </c>
      <c r="AB670" s="46" t="str">
        <f t="shared" si="119"/>
        <v>LUNES</v>
      </c>
      <c r="AC670" s="47" t="s">
        <v>2753</v>
      </c>
      <c r="AD670">
        <f t="shared" si="120"/>
        <v>0</v>
      </c>
      <c r="AE670" s="47" t="s">
        <v>2754</v>
      </c>
      <c r="AH670" t="str">
        <f t="shared" si="121"/>
        <v>INSERT INTO horario_curso_materia (horario_curso_materia.FK_CUR_mat,horario_curso_materia.FK_HOR,horario_curso_materia.DIA,horario_curso_materia.tipo_turno) VALUES (  (SELECT curso_materia.ID_CUR_MAT FROM curso_materia WHERE curso_materia.CUPOF='733521' ) ,
    (SELECT horario.ID_HOR FROM horario WHERE horario.modulo='5 ' and horario.turno='M ' ),'LUNES ' , '0 ' );</v>
      </c>
    </row>
    <row r="671" spans="1:34" ht="15" hidden="1" customHeight="1" x14ac:dyDescent="0.3">
      <c r="A671" s="3" t="str">
        <f t="shared" si="114"/>
        <v>4°3°</v>
      </c>
      <c r="B671" s="54" t="str">
        <f t="shared" si="123"/>
        <v>4°3°5MATARDE0</v>
      </c>
      <c r="C671" s="63">
        <f>VLOOKUP(G671,[1]Hoja1!$A:$O,3,0)</f>
        <v>0</v>
      </c>
      <c r="D671" s="2" t="str">
        <f t="shared" si="124"/>
        <v>5MATPATIO2</v>
      </c>
      <c r="E671" s="62" t="s">
        <v>103</v>
      </c>
      <c r="F671" s="63" t="s">
        <v>10</v>
      </c>
      <c r="G671" s="63" t="s">
        <v>426</v>
      </c>
      <c r="H671" s="3" t="str">
        <f>VLOOKUP(G671,[1]Hoja1!$A:$O,6,0)</f>
        <v>EDUCACIÓN FISICA</v>
      </c>
      <c r="I671" s="17" t="s">
        <v>295</v>
      </c>
      <c r="J671" s="17"/>
      <c r="K671" s="81" t="str">
        <f t="shared" si="122"/>
        <v>MA</v>
      </c>
      <c r="L671" s="17" t="s">
        <v>512</v>
      </c>
      <c r="M671" s="87" t="str">
        <f>VLOOKUP(G671,[1]Hoja1!$A:$O,15,0)</f>
        <v xml:space="preserve">SANCHEZ CARLOS </v>
      </c>
      <c r="N671" s="2" t="str">
        <f t="shared" si="115"/>
        <v>4°3°4EEFISMA</v>
      </c>
      <c r="O671" s="2"/>
      <c r="P671" s="2" t="str">
        <f>VLOOKUP(G671,[1]Hoja1!$A:$P,16,0)</f>
        <v xml:space="preserve"> </v>
      </c>
      <c r="Q671" s="2"/>
      <c r="S671">
        <f>VLOOKUP(G671,[1]Hoja1!$A:$O,5,0)</f>
        <v>789629</v>
      </c>
      <c r="U671" s="45" t="s">
        <v>2751</v>
      </c>
      <c r="V671" s="46">
        <f t="shared" si="116"/>
        <v>789629</v>
      </c>
      <c r="W671" s="47" t="s">
        <v>1519</v>
      </c>
      <c r="X671" s="46" t="str">
        <f t="shared" si="117"/>
        <v>5</v>
      </c>
      <c r="Y671" s="47" t="s">
        <v>1518</v>
      </c>
      <c r="Z671" s="46" t="str">
        <f t="shared" si="118"/>
        <v>T</v>
      </c>
      <c r="AA671" s="47" t="s">
        <v>2752</v>
      </c>
      <c r="AB671" s="46" t="str">
        <f t="shared" si="119"/>
        <v>MARTES</v>
      </c>
      <c r="AC671" s="47" t="s">
        <v>2753</v>
      </c>
      <c r="AD671" t="str">
        <f t="shared" si="120"/>
        <v>CONTRATURNO</v>
      </c>
      <c r="AE671" s="47" t="s">
        <v>2754</v>
      </c>
      <c r="AH671" t="str">
        <f t="shared" si="121"/>
        <v>INSERT INTO horario_curso_materia (horario_curso_materia.FK_CUR_mat,horario_curso_materia.FK_HOR,horario_curso_materia.DIA,horario_curso_materia.tipo_turno) VALUES (  (SELECT curso_materia.ID_CUR_MAT FROM curso_materia WHERE curso_materia.CUPOF='789629' ) ,
    (SELECT horario.ID_HOR FROM horario WHERE horario.modulo='5 ' and horario.turno='T ' ),'MARTES ' , 'CONTRATURNO ' );</v>
      </c>
    </row>
    <row r="672" spans="1:34" ht="15" hidden="1" customHeight="1" x14ac:dyDescent="0.3">
      <c r="A672" s="1" t="str">
        <f t="shared" si="114"/>
        <v>4°3°</v>
      </c>
      <c r="B672" s="54" t="str">
        <f t="shared" si="123"/>
        <v>4°3°5MIMAÑANA0</v>
      </c>
      <c r="C672" s="62">
        <f>VLOOKUP(G672,[1]Hoja1!$A:$O,3,0)</f>
        <v>0</v>
      </c>
      <c r="D672" s="2" t="str">
        <f t="shared" si="124"/>
        <v>5MIM</v>
      </c>
      <c r="E672" s="62" t="s">
        <v>275</v>
      </c>
      <c r="F672" s="62" t="s">
        <v>27</v>
      </c>
      <c r="G672" s="62" t="s">
        <v>422</v>
      </c>
      <c r="H672" s="8" t="str">
        <f>VLOOKUP(G672,[1]Hoja1!$A:$O,6,0)</f>
        <v>FISICA</v>
      </c>
      <c r="I672" s="4"/>
      <c r="J672" s="4"/>
      <c r="K672" s="80" t="str">
        <f t="shared" si="122"/>
        <v>MI</v>
      </c>
      <c r="L672" s="4"/>
      <c r="M672" s="86" t="str">
        <f>VLOOKUP(G672,[1]Hoja1!$A:$O,15,0)</f>
        <v xml:space="preserve">ESPINDOLA SERGIO                          </v>
      </c>
      <c r="N672" s="2" t="str">
        <f t="shared" si="115"/>
        <v>4°3°4EFISMI</v>
      </c>
      <c r="O672" s="2"/>
      <c r="P672" s="2" t="str">
        <f>VLOOKUP(G672,[1]Hoja1!$A:$P,16,0)</f>
        <v xml:space="preserve"> </v>
      </c>
      <c r="Q672" s="2"/>
      <c r="S672">
        <f>VLOOKUP(G672,[1]Hoja1!$A:$O,5,0)</f>
        <v>733670</v>
      </c>
      <c r="U672" s="45" t="s">
        <v>2751</v>
      </c>
      <c r="V672" s="46">
        <f t="shared" si="116"/>
        <v>733670</v>
      </c>
      <c r="W672" s="47" t="s">
        <v>1519</v>
      </c>
      <c r="X672" s="46" t="str">
        <f t="shared" si="117"/>
        <v>5</v>
      </c>
      <c r="Y672" s="47" t="s">
        <v>1518</v>
      </c>
      <c r="Z672" s="46" t="str">
        <f t="shared" si="118"/>
        <v>M</v>
      </c>
      <c r="AA672" s="47" t="s">
        <v>2752</v>
      </c>
      <c r="AB672" s="46" t="str">
        <f t="shared" si="119"/>
        <v>MIERCOLES</v>
      </c>
      <c r="AC672" s="47" t="s">
        <v>2753</v>
      </c>
      <c r="AD672">
        <f t="shared" si="120"/>
        <v>0</v>
      </c>
      <c r="AE672" s="47" t="s">
        <v>2754</v>
      </c>
      <c r="AH672" t="str">
        <f t="shared" si="121"/>
        <v>INSERT INTO horario_curso_materia (horario_curso_materia.FK_CUR_mat,horario_curso_materia.FK_HOR,horario_curso_materia.DIA,horario_curso_materia.tipo_turno) VALUES (  (SELECT curso_materia.ID_CUR_MAT FROM curso_materia WHERE curso_materia.CUPOF='733670' ) ,
    (SELECT horario.ID_HOR FROM horario WHERE horario.modulo='5 ' and horario.turno='M ' ),'MIERCOLES ' , '0 ' );</v>
      </c>
    </row>
    <row r="673" spans="1:34" ht="15" hidden="1" customHeight="1" x14ac:dyDescent="0.3">
      <c r="A673" s="1" t="str">
        <f t="shared" si="114"/>
        <v>4°4°</v>
      </c>
      <c r="B673" s="54" t="str">
        <f t="shared" si="123"/>
        <v>4°4°1JUVESPERTINO0</v>
      </c>
      <c r="C673" s="62">
        <f>VLOOKUP(G673,[1]Hoja1!$A:$O,3,0)</f>
        <v>0</v>
      </c>
      <c r="D673" s="2" t="str">
        <f t="shared" si="124"/>
        <v>1JUV</v>
      </c>
      <c r="E673" s="62" t="s">
        <v>43</v>
      </c>
      <c r="F673" s="62" t="s">
        <v>125</v>
      </c>
      <c r="G673" s="62" t="s">
        <v>435</v>
      </c>
      <c r="H673" s="8" t="str">
        <f>VLOOKUP(G673,[1]Hoja1!$A:$O,6,0)</f>
        <v>MATEMATICA</v>
      </c>
      <c r="I673" s="4"/>
      <c r="J673" s="4"/>
      <c r="K673" s="80" t="str">
        <f t="shared" si="122"/>
        <v>JU</v>
      </c>
      <c r="L673" s="4"/>
      <c r="M673" s="86" t="str">
        <f>VLOOKUP(G673,[1]Hoja1!$A:$O,15,0)</f>
        <v>FISTER VICTOR</v>
      </c>
      <c r="N673" s="2" t="str">
        <f t="shared" si="115"/>
        <v>4°4°4EMATESJU</v>
      </c>
      <c r="O673" s="2"/>
      <c r="P673" s="2" t="str">
        <f>VLOOKUP(G673,[1]Hoja1!$A:$P,16,0)</f>
        <v xml:space="preserve"> </v>
      </c>
      <c r="Q673" s="2"/>
      <c r="S673">
        <f>VLOOKUP(G673,[1]Hoja1!$A:$O,5,0)</f>
        <v>733568</v>
      </c>
      <c r="U673" s="45" t="s">
        <v>2751</v>
      </c>
      <c r="V673" s="46">
        <f t="shared" si="116"/>
        <v>733568</v>
      </c>
      <c r="W673" s="47" t="s">
        <v>1519</v>
      </c>
      <c r="X673" s="46" t="str">
        <f t="shared" si="117"/>
        <v>1</v>
      </c>
      <c r="Y673" s="47" t="s">
        <v>1518</v>
      </c>
      <c r="Z673" s="46" t="str">
        <f t="shared" si="118"/>
        <v>V</v>
      </c>
      <c r="AA673" s="47" t="s">
        <v>2752</v>
      </c>
      <c r="AB673" s="46" t="str">
        <f t="shared" si="119"/>
        <v>JUEVES</v>
      </c>
      <c r="AC673" s="47" t="s">
        <v>2753</v>
      </c>
      <c r="AD673">
        <f t="shared" si="120"/>
        <v>0</v>
      </c>
      <c r="AE673" s="47" t="s">
        <v>2754</v>
      </c>
      <c r="AH673" t="str">
        <f t="shared" si="121"/>
        <v>INSERT INTO horario_curso_materia (horario_curso_materia.FK_CUR_mat,horario_curso_materia.FK_HOR,horario_curso_materia.DIA,horario_curso_materia.tipo_turno) VALUES (  (SELECT curso_materia.ID_CUR_MAT FROM curso_materia WHERE curso_materia.CUPOF='733568' ) ,
    (SELECT horario.ID_HOR FROM horario WHERE horario.modulo='1 ' and horario.turno='V ' ),'JUEVES ' , '0 ' );</v>
      </c>
    </row>
    <row r="674" spans="1:34" ht="15" hidden="1" customHeight="1" x14ac:dyDescent="0.3">
      <c r="A674" s="1" t="str">
        <f t="shared" si="114"/>
        <v>4°4°</v>
      </c>
      <c r="B674" s="54" t="str">
        <f t="shared" si="123"/>
        <v>4°4°1LUMAÑANA441</v>
      </c>
      <c r="C674" s="62">
        <f>VLOOKUP(G674,[1]Hoja1!$A:$O,3,0)</f>
        <v>441</v>
      </c>
      <c r="D674" s="2" t="str">
        <f t="shared" si="124"/>
        <v>1LUM46</v>
      </c>
      <c r="E674" s="62" t="s">
        <v>9</v>
      </c>
      <c r="F674" s="62" t="s">
        <v>27</v>
      </c>
      <c r="G674" s="62" t="s">
        <v>157</v>
      </c>
      <c r="H674" s="8" t="str">
        <f>VLOOKUP(G674,[1]Hoja1!$A:$O,6,0)</f>
        <v xml:space="preserve">APLIC ELECT ANALOG </v>
      </c>
      <c r="I674" s="4">
        <v>46</v>
      </c>
      <c r="J674" s="4"/>
      <c r="K674" s="80" t="str">
        <f t="shared" si="122"/>
        <v>LU</v>
      </c>
      <c r="L674" s="4" t="s">
        <v>512</v>
      </c>
      <c r="M674" s="86" t="str">
        <f>VLOOKUP(G674,[1]Hoja1!$A:$O,15,0)</f>
        <v xml:space="preserve">VELAZQUEZ GERARDO </v>
      </c>
      <c r="N674" s="2" t="str">
        <f t="shared" si="115"/>
        <v>4°4°4414EFTAE4LU</v>
      </c>
      <c r="O674" s="2" t="s">
        <v>1356</v>
      </c>
      <c r="P674" s="2" t="str">
        <f>VLOOKUP(G674,[1]Hoja1!$A:$P,16,0)</f>
        <v xml:space="preserve"> </v>
      </c>
      <c r="Q674" s="2"/>
      <c r="S674">
        <f>VLOOKUP(G674,[1]Hoja1!$A:$O,5,0)</f>
        <v>2680556</v>
      </c>
      <c r="U674" s="45" t="s">
        <v>2751</v>
      </c>
      <c r="V674" s="46">
        <f t="shared" si="116"/>
        <v>2680556</v>
      </c>
      <c r="W674" s="47" t="s">
        <v>1519</v>
      </c>
      <c r="X674" s="46" t="str">
        <f t="shared" si="117"/>
        <v>1</v>
      </c>
      <c r="Y674" s="47" t="s">
        <v>1518</v>
      </c>
      <c r="Z674" s="46" t="str">
        <f t="shared" si="118"/>
        <v>M</v>
      </c>
      <c r="AA674" s="47" t="s">
        <v>2752</v>
      </c>
      <c r="AB674" s="46" t="str">
        <f t="shared" si="119"/>
        <v>LUNES</v>
      </c>
      <c r="AC674" s="47" t="s">
        <v>2753</v>
      </c>
      <c r="AD674" t="str">
        <f t="shared" si="120"/>
        <v>CONTRATURNO</v>
      </c>
      <c r="AE674" s="47" t="s">
        <v>2754</v>
      </c>
      <c r="AH674" t="str">
        <f t="shared" si="121"/>
        <v>INSERT INTO horario_curso_materia (horario_curso_materia.FK_CUR_mat,horario_curso_materia.FK_HOR,horario_curso_materia.DIA,horario_curso_materia.tipo_turno) VALUES (  (SELECT curso_materia.ID_CUR_MAT FROM curso_materia WHERE curso_materia.CUPOF='2680556' ) ,
    (SELECT horario.ID_HOR FROM horario WHERE horario.modulo='1 ' and horario.turno='M ' ),'LUNES ' , 'CONTRATURNO ' );</v>
      </c>
    </row>
    <row r="675" spans="1:34" ht="15" hidden="1" customHeight="1" x14ac:dyDescent="0.3">
      <c r="A675" s="1" t="str">
        <f t="shared" si="114"/>
        <v>4°4°</v>
      </c>
      <c r="B675" s="54" t="str">
        <f t="shared" si="123"/>
        <v>4°4°1LUVESPERTINO0</v>
      </c>
      <c r="C675" s="62">
        <f>VLOOKUP(G675,[1]Hoja1!$A:$O,3,0)</f>
        <v>0</v>
      </c>
      <c r="D675" s="2" t="str">
        <f t="shared" si="124"/>
        <v>1LUV</v>
      </c>
      <c r="E675" s="62" t="s">
        <v>9</v>
      </c>
      <c r="F675" s="62" t="s">
        <v>125</v>
      </c>
      <c r="G675" s="62" t="s">
        <v>428</v>
      </c>
      <c r="H675" s="8" t="str">
        <f>VLOOKUP(G675,[1]Hoja1!$A:$O,6,0)</f>
        <v>LITERATURA</v>
      </c>
      <c r="I675" s="4"/>
      <c r="J675" s="4"/>
      <c r="K675" s="80" t="str">
        <f t="shared" si="122"/>
        <v>LU</v>
      </c>
      <c r="L675" s="4"/>
      <c r="M675" s="86" t="str">
        <f>VLOOKUP(G675,[1]Hoja1!$A:$O,15,0)</f>
        <v>CARESTIA, NOEMI</v>
      </c>
      <c r="N675" s="2" t="str">
        <f t="shared" si="115"/>
        <v>4°4°4ELITSLU</v>
      </c>
      <c r="O675" s="2"/>
      <c r="P675" s="2" t="str">
        <f>VLOOKUP(G675,[1]Hoja1!$A:$P,16,0)</f>
        <v xml:space="preserve"> </v>
      </c>
      <c r="Q675" s="2"/>
      <c r="S675">
        <f>VLOOKUP(G675,[1]Hoja1!$A:$O,5,0)</f>
        <v>733426</v>
      </c>
      <c r="U675" s="45" t="s">
        <v>2751</v>
      </c>
      <c r="V675" s="46">
        <f t="shared" si="116"/>
        <v>733426</v>
      </c>
      <c r="W675" s="47" t="s">
        <v>1519</v>
      </c>
      <c r="X675" s="46" t="str">
        <f t="shared" si="117"/>
        <v>1</v>
      </c>
      <c r="Y675" s="47" t="s">
        <v>1518</v>
      </c>
      <c r="Z675" s="46" t="str">
        <f t="shared" si="118"/>
        <v>V</v>
      </c>
      <c r="AA675" s="47" t="s">
        <v>2752</v>
      </c>
      <c r="AB675" s="46" t="str">
        <f t="shared" si="119"/>
        <v>LUNES</v>
      </c>
      <c r="AC675" s="47" t="s">
        <v>2753</v>
      </c>
      <c r="AD675">
        <f t="shared" si="120"/>
        <v>0</v>
      </c>
      <c r="AE675" s="47" t="s">
        <v>2754</v>
      </c>
      <c r="AH675" t="str">
        <f t="shared" si="121"/>
        <v>INSERT INTO horario_curso_materia (horario_curso_materia.FK_CUR_mat,horario_curso_materia.FK_HOR,horario_curso_materia.DIA,horario_curso_materia.tipo_turno) VALUES (  (SELECT curso_materia.ID_CUR_MAT FROM curso_materia WHERE curso_materia.CUPOF='733426' ) ,
    (SELECT horario.ID_HOR FROM horario WHERE horario.modulo='1 ' and horario.turno='V ' ),'LUNES ' , '0 ' );</v>
      </c>
    </row>
    <row r="676" spans="1:34" ht="14.25" hidden="1" customHeight="1" x14ac:dyDescent="0.3">
      <c r="A676" s="1" t="str">
        <f t="shared" si="114"/>
        <v>4°4°</v>
      </c>
      <c r="B676" s="54" t="str">
        <f t="shared" si="123"/>
        <v>4°4°1MAMAÑANA441</v>
      </c>
      <c r="C676" s="62">
        <f>VLOOKUP(G676,[1]Hoja1!$A:$O,3,0)</f>
        <v>441</v>
      </c>
      <c r="D676" s="2" t="str">
        <f t="shared" si="124"/>
        <v>1MAM45</v>
      </c>
      <c r="E676" s="62" t="s">
        <v>17</v>
      </c>
      <c r="F676" s="62" t="s">
        <v>27</v>
      </c>
      <c r="G676" s="62" t="s">
        <v>158</v>
      </c>
      <c r="H676" s="8" t="str">
        <f>VLOOKUP(G676,[1]Hoja1!$A:$O,6,0)</f>
        <v>APLIC ELECTR DIGITAL</v>
      </c>
      <c r="I676" s="4">
        <v>45</v>
      </c>
      <c r="J676" s="4"/>
      <c r="K676" s="80" t="str">
        <f t="shared" si="122"/>
        <v>MA</v>
      </c>
      <c r="L676" s="4" t="s">
        <v>512</v>
      </c>
      <c r="M676" s="86" t="str">
        <f>VLOOKUP(G676,[1]Hoja1!$A:$O,15,0)</f>
        <v>MARTINEZ, SILVIO</v>
      </c>
      <c r="N676" s="2" t="str">
        <f t="shared" si="115"/>
        <v>4°4°4414EFTED4MA</v>
      </c>
      <c r="O676" s="2"/>
      <c r="P676" s="2" t="str">
        <f>VLOOKUP(G676,[1]Hoja1!$A:$P,16,0)</f>
        <v xml:space="preserve"> </v>
      </c>
      <c r="Q676" s="2"/>
      <c r="S676">
        <f>VLOOKUP(G676,[1]Hoja1!$A:$O,5,0)</f>
        <v>2680557</v>
      </c>
      <c r="U676" s="45" t="s">
        <v>2751</v>
      </c>
      <c r="V676" s="46">
        <f t="shared" si="116"/>
        <v>2680557</v>
      </c>
      <c r="W676" s="47" t="s">
        <v>1519</v>
      </c>
      <c r="X676" s="46" t="str">
        <f t="shared" si="117"/>
        <v>1</v>
      </c>
      <c r="Y676" s="47" t="s">
        <v>1518</v>
      </c>
      <c r="Z676" s="46" t="str">
        <f t="shared" si="118"/>
        <v>M</v>
      </c>
      <c r="AA676" s="47" t="s">
        <v>2752</v>
      </c>
      <c r="AB676" s="46" t="str">
        <f t="shared" si="119"/>
        <v>MARTES</v>
      </c>
      <c r="AC676" s="47" t="s">
        <v>2753</v>
      </c>
      <c r="AD676" t="str">
        <f t="shared" si="120"/>
        <v>CONTRATURNO</v>
      </c>
      <c r="AE676" s="47" t="s">
        <v>2754</v>
      </c>
      <c r="AH676" t="str">
        <f t="shared" si="121"/>
        <v>INSERT INTO horario_curso_materia (horario_curso_materia.FK_CUR_mat,horario_curso_materia.FK_HOR,horario_curso_materia.DIA,horario_curso_materia.tipo_turno) VALUES (  (SELECT curso_materia.ID_CUR_MAT FROM curso_materia WHERE curso_materia.CUPOF='2680557' ) ,
    (SELECT horario.ID_HOR FROM horario WHERE horario.modulo='1 ' and horario.turno='M ' ),'MARTES ' , 'CONTRATURNO ' );</v>
      </c>
    </row>
    <row r="677" spans="1:34" ht="15" hidden="1" customHeight="1" x14ac:dyDescent="0.3">
      <c r="A677" s="1" t="str">
        <f t="shared" si="114"/>
        <v>4°4°</v>
      </c>
      <c r="B677" s="54" t="str">
        <f t="shared" si="123"/>
        <v>4°4°1luMAÑANA442</v>
      </c>
      <c r="C677" s="62">
        <f>VLOOKUP(G677,[1]Hoja1!$A:$O,3,0)</f>
        <v>442</v>
      </c>
      <c r="D677" s="2" t="str">
        <f t="shared" si="124"/>
        <v>1luMHARDWARE</v>
      </c>
      <c r="E677" s="62" t="s">
        <v>1444</v>
      </c>
      <c r="F677" s="62" t="s">
        <v>27</v>
      </c>
      <c r="G677" s="62" t="s">
        <v>159</v>
      </c>
      <c r="H677" s="8" t="str">
        <f>VLOOKUP(G677,[1]Hoja1!$A:$O,6,0)</f>
        <v xml:space="preserve">APLIC ELECT ANALOG </v>
      </c>
      <c r="I677" s="4" t="s">
        <v>38</v>
      </c>
      <c r="J677" s="4"/>
      <c r="K677" s="80" t="str">
        <f t="shared" si="122"/>
        <v>lu</v>
      </c>
      <c r="L677" s="4" t="s">
        <v>512</v>
      </c>
      <c r="M677" s="86" t="str">
        <f>VLOOKUP(G677,[1]Hoja1!$A:$O,15,0)</f>
        <v>ARNALDO ESCALADA</v>
      </c>
      <c r="N677" s="2" t="str">
        <f t="shared" si="115"/>
        <v>4°4°4424EFTAE4lu</v>
      </c>
      <c r="O677" s="2"/>
      <c r="P677" s="2" t="str">
        <f>VLOOKUP(G677,[1]Hoja1!$A:$P,16,0)</f>
        <v xml:space="preserve"> </v>
      </c>
      <c r="Q677" s="2"/>
      <c r="S677">
        <f>VLOOKUP(G677,[1]Hoja1!$A:$O,5,0)</f>
        <v>2680559</v>
      </c>
      <c r="U677" s="45" t="s">
        <v>2751</v>
      </c>
      <c r="V677" s="46">
        <f t="shared" si="116"/>
        <v>2680559</v>
      </c>
      <c r="W677" s="47" t="s">
        <v>1519</v>
      </c>
      <c r="X677" s="46" t="str">
        <f t="shared" si="117"/>
        <v>1</v>
      </c>
      <c r="Y677" s="47" t="s">
        <v>1518</v>
      </c>
      <c r="Z677" s="46" t="str">
        <f t="shared" si="118"/>
        <v>M</v>
      </c>
      <c r="AA677" s="47" t="s">
        <v>2752</v>
      </c>
      <c r="AB677" s="46" t="str">
        <f t="shared" si="119"/>
        <v>LUNES</v>
      </c>
      <c r="AC677" s="47" t="s">
        <v>2753</v>
      </c>
      <c r="AD677" t="str">
        <f t="shared" si="120"/>
        <v>CONTRATURNO</v>
      </c>
      <c r="AE677" s="47" t="s">
        <v>2754</v>
      </c>
      <c r="AH677" t="str">
        <f t="shared" si="121"/>
        <v>INSERT INTO horario_curso_materia (horario_curso_materia.FK_CUR_mat,horario_curso_materia.FK_HOR,horario_curso_materia.DIA,horario_curso_materia.tipo_turno) VALUES (  (SELECT curso_materia.ID_CUR_MAT FROM curso_materia WHERE curso_materia.CUPOF='2680559' ) ,
    (SELECT horario.ID_HOR FROM horario WHERE horario.modulo='1 ' and horario.turno='M ' ),'LUNES ' , 'CONTRATURNO ' );</v>
      </c>
    </row>
    <row r="678" spans="1:34" ht="15" hidden="1" customHeight="1" x14ac:dyDescent="0.3">
      <c r="A678" s="1" t="str">
        <f t="shared" si="114"/>
        <v>4°4°</v>
      </c>
      <c r="B678" s="54" t="str">
        <f t="shared" si="123"/>
        <v>4°4°1MAVESPERTINO0</v>
      </c>
      <c r="C678" s="62">
        <f>VLOOKUP(G678,[1]Hoja1!$A:$O,3,0)</f>
        <v>0</v>
      </c>
      <c r="D678" s="2" t="str">
        <f t="shared" si="124"/>
        <v>1MAV</v>
      </c>
      <c r="E678" s="62" t="s">
        <v>17</v>
      </c>
      <c r="F678" s="62" t="s">
        <v>125</v>
      </c>
      <c r="G678" s="62" t="s">
        <v>437</v>
      </c>
      <c r="H678" s="8" t="str">
        <f>VLOOKUP(G678,[1]Hoja1!$A:$O,6,0)</f>
        <v>HISTORIA</v>
      </c>
      <c r="I678" s="4"/>
      <c r="J678" s="4"/>
      <c r="K678" s="80" t="str">
        <f t="shared" si="122"/>
        <v>MA</v>
      </c>
      <c r="L678" s="4"/>
      <c r="M678" s="86" t="str">
        <f>VLOOKUP(G678,[1]Hoja1!$A:$O,15,0)</f>
        <v xml:space="preserve">PALACIOS GUSTAVO </v>
      </c>
      <c r="N678" s="2" t="str">
        <f t="shared" si="115"/>
        <v>4°4°4EHISMA</v>
      </c>
      <c r="O678" s="2"/>
      <c r="P678" s="2" t="str">
        <f>VLOOKUP(G678,[1]Hoja1!$A:$P,16,0)</f>
        <v xml:space="preserve"> </v>
      </c>
      <c r="Q678" s="2"/>
      <c r="S678">
        <f>VLOOKUP(G678,[1]Hoja1!$A:$O,5,0)</f>
        <v>733423</v>
      </c>
      <c r="U678" s="45" t="s">
        <v>2751</v>
      </c>
      <c r="V678" s="46">
        <f t="shared" si="116"/>
        <v>733423</v>
      </c>
      <c r="W678" s="47" t="s">
        <v>1519</v>
      </c>
      <c r="X678" s="46" t="str">
        <f t="shared" si="117"/>
        <v>1</v>
      </c>
      <c r="Y678" s="47" t="s">
        <v>1518</v>
      </c>
      <c r="Z678" s="46" t="str">
        <f t="shared" si="118"/>
        <v>V</v>
      </c>
      <c r="AA678" s="47" t="s">
        <v>2752</v>
      </c>
      <c r="AB678" s="46" t="str">
        <f t="shared" si="119"/>
        <v>MARTES</v>
      </c>
      <c r="AC678" s="47" t="s">
        <v>2753</v>
      </c>
      <c r="AD678">
        <f t="shared" si="120"/>
        <v>0</v>
      </c>
      <c r="AE678" s="47" t="s">
        <v>2754</v>
      </c>
      <c r="AH678" t="str">
        <f t="shared" si="121"/>
        <v>INSERT INTO horario_curso_materia (horario_curso_materia.FK_CUR_mat,horario_curso_materia.FK_HOR,horario_curso_materia.DIA,horario_curso_materia.tipo_turno) VALUES (  (SELECT curso_materia.ID_CUR_MAT FROM curso_materia WHERE curso_materia.CUPOF='733423' ) ,
    (SELECT horario.ID_HOR FROM horario WHERE horario.modulo='1 ' and horario.turno='V ' ),'MARTES ' , '0 ' );</v>
      </c>
    </row>
    <row r="679" spans="1:34" ht="14.25" hidden="1" customHeight="1" x14ac:dyDescent="0.3">
      <c r="A679" s="1" t="str">
        <f t="shared" si="114"/>
        <v>4°4°</v>
      </c>
      <c r="B679" s="54" t="str">
        <f t="shared" si="123"/>
        <v>4°4°1viTARDE442</v>
      </c>
      <c r="C679" s="62">
        <f>VLOOKUP(G679,[1]Hoja1!$A:$O,3,0)</f>
        <v>442</v>
      </c>
      <c r="D679" s="2" t="str">
        <f t="shared" si="124"/>
        <v>1viT46</v>
      </c>
      <c r="E679" s="62" t="s">
        <v>1375</v>
      </c>
      <c r="F679" s="62" t="s">
        <v>10</v>
      </c>
      <c r="G679" s="62" t="s">
        <v>160</v>
      </c>
      <c r="H679" s="8" t="str">
        <f>VLOOKUP(G679,[1]Hoja1!$A:$O,6,0)</f>
        <v>APLIC ELECTR DIGITAL</v>
      </c>
      <c r="I679" s="4">
        <v>46</v>
      </c>
      <c r="J679" s="4"/>
      <c r="K679" s="80" t="str">
        <f t="shared" si="122"/>
        <v>vi</v>
      </c>
      <c r="L679" s="4" t="s">
        <v>512</v>
      </c>
      <c r="M679" s="86" t="str">
        <f>VLOOKUP(G679,[1]Hoja1!$A:$O,15,0)</f>
        <v xml:space="preserve">FISTER (Serv.Prov)         </v>
      </c>
      <c r="N679" s="2" t="str">
        <f t="shared" si="115"/>
        <v>4°4°4424EFTED4vi</v>
      </c>
      <c r="O679" s="2"/>
      <c r="P679" s="2" t="str">
        <f>VLOOKUP(G679,[1]Hoja1!$A:$P,16,0)</f>
        <v xml:space="preserve"> </v>
      </c>
      <c r="Q679" s="2"/>
      <c r="S679">
        <f>VLOOKUP(G679,[1]Hoja1!$A:$O,5,0)</f>
        <v>2680560</v>
      </c>
      <c r="U679" s="45" t="s">
        <v>2751</v>
      </c>
      <c r="V679" s="46">
        <f t="shared" si="116"/>
        <v>2680560</v>
      </c>
      <c r="W679" s="47" t="s">
        <v>1519</v>
      </c>
      <c r="X679" s="46" t="str">
        <f t="shared" si="117"/>
        <v>1</v>
      </c>
      <c r="Y679" s="47" t="s">
        <v>1518</v>
      </c>
      <c r="Z679" s="46" t="str">
        <f t="shared" si="118"/>
        <v>T</v>
      </c>
      <c r="AA679" s="47" t="s">
        <v>2752</v>
      </c>
      <c r="AB679" s="46" t="str">
        <f t="shared" si="119"/>
        <v>VIERNES</v>
      </c>
      <c r="AC679" s="47" t="s">
        <v>2753</v>
      </c>
      <c r="AD679" t="str">
        <f t="shared" si="120"/>
        <v>CONTRATURNO</v>
      </c>
      <c r="AE679" s="47" t="s">
        <v>2754</v>
      </c>
      <c r="AH679" t="str">
        <f t="shared" si="121"/>
        <v>INSERT INTO horario_curso_materia (horario_curso_materia.FK_CUR_mat,horario_curso_materia.FK_HOR,horario_curso_materia.DIA,horario_curso_materia.tipo_turno) VALUES (  (SELECT curso_materia.ID_CUR_MAT FROM curso_materia WHERE curso_materia.CUPOF='2680560' ) ,
    (SELECT horario.ID_HOR FROM horario WHERE horario.modulo='1 ' and horario.turno='T ' ),'VIERNES ' , 'CONTRATURNO ' );</v>
      </c>
    </row>
    <row r="680" spans="1:34" ht="15" hidden="1" customHeight="1" x14ac:dyDescent="0.3">
      <c r="A680" s="1" t="str">
        <f t="shared" si="114"/>
        <v>4°4°</v>
      </c>
      <c r="B680" s="54" t="str">
        <f t="shared" ref="B680:B691" si="125">CONCATENATE(LEFT(G680,4),E680,F680,C680)</f>
        <v>4°4°3MIVESPERTINO0</v>
      </c>
      <c r="C680" s="62">
        <f>VLOOKUP(G680,[1]Hoja1!$A:$O,3,0)</f>
        <v>0</v>
      </c>
      <c r="D680" s="2" t="str">
        <f t="shared" ref="D680:D691" si="126">CONCATENATE(E680,LEFT(F680,1),I680)</f>
        <v>3MIV</v>
      </c>
      <c r="E680" s="62" t="s">
        <v>50</v>
      </c>
      <c r="F680" s="62" t="s">
        <v>125</v>
      </c>
      <c r="G680" s="62" t="s">
        <v>433</v>
      </c>
      <c r="H680" s="8" t="str">
        <f>VLOOKUP(G680,[1]Hoja1!$A:$O,6,0)</f>
        <v>GEOGRAFIA</v>
      </c>
      <c r="I680" s="4"/>
      <c r="J680" s="4"/>
      <c r="K680" s="80" t="str">
        <f t="shared" ref="K680:K691" si="127">RIGHT(E680,2)</f>
        <v>MI</v>
      </c>
      <c r="L680" s="4"/>
      <c r="M680" s="86" t="str">
        <f>VLOOKUP(G680,[1]Hoja1!$A:$O,15,0)</f>
        <v>SEGUEIRA SUSANA SOLEDAD</v>
      </c>
      <c r="N680" s="2" t="str">
        <f t="shared" si="115"/>
        <v>4°4°4EGEOSMI</v>
      </c>
      <c r="O680" s="2"/>
      <c r="P680" s="2" t="str">
        <f>VLOOKUP(G680,[1]Hoja1!$A:$P,16,0)</f>
        <v xml:space="preserve"> </v>
      </c>
      <c r="Q680" s="2"/>
      <c r="S680">
        <f>VLOOKUP(G680,[1]Hoja1!$A:$O,5,0)</f>
        <v>1517208</v>
      </c>
      <c r="U680" s="45" t="s">
        <v>2751</v>
      </c>
      <c r="V680" s="46">
        <f t="shared" si="116"/>
        <v>1517208</v>
      </c>
      <c r="W680" s="47" t="s">
        <v>1519</v>
      </c>
      <c r="X680" s="46" t="str">
        <f t="shared" ref="X680:X691" si="128">IF(LEFT(E680,1)="p","prehora",LEFT(E680,1))</f>
        <v>3</v>
      </c>
      <c r="Y680" s="47" t="s">
        <v>1518</v>
      </c>
      <c r="Z680" s="46" t="str">
        <f t="shared" si="118"/>
        <v>V</v>
      </c>
      <c r="AA680" s="47" t="s">
        <v>2752</v>
      </c>
      <c r="AB680" s="46" t="str">
        <f t="shared" ref="AB680:AB691" si="129">IF(IF(LEFT(E680,1)="p",MID(E680,8,2),MID(E680,2,2))="lu","LUNES",IF(IF(LEFT(E680,1)="p",MID(E680,8,2),MID(E680,2,2))="ma","MARTES",IF(IF(LEFT(E680,1)="p",MID(E680,8,2),MID(E680,2,2))="MI","MIERCOLES",IF(IF(LEFT(E680,1)="p",MID(E680,8,2),MID(E680,2,2))="JU","JUEVES",IF(IF(LEFT(E680,1)="p",MID(E680,8,2),MID(E680,2,2))="vi","VIERNES","")))))</f>
        <v>MIERCOLES</v>
      </c>
      <c r="AC680" s="47" t="s">
        <v>2753</v>
      </c>
      <c r="AD680">
        <f t="shared" si="120"/>
        <v>0</v>
      </c>
      <c r="AE680" s="47" t="s">
        <v>2754</v>
      </c>
      <c r="AH680" t="str">
        <f t="shared" si="121"/>
        <v>INSERT INTO horario_curso_materia (horario_curso_materia.FK_CUR_mat,horario_curso_materia.FK_HOR,horario_curso_materia.DIA,horario_curso_materia.tipo_turno) VALUES (  (SELECT curso_materia.ID_CUR_MAT FROM curso_materia WHERE curso_materia.CUPOF='1517208' ) ,
    (SELECT horario.ID_HOR FROM horario WHERE horario.modulo='3 ' and horario.turno='V ' ),'MIERCOLES ' , '0 ' );</v>
      </c>
    </row>
    <row r="681" spans="1:34" ht="15" hidden="1" customHeight="1" x14ac:dyDescent="0.3">
      <c r="A681" s="1" t="str">
        <f t="shared" si="114"/>
        <v>4°4°</v>
      </c>
      <c r="B681" s="54" t="str">
        <f t="shared" si="125"/>
        <v>4°4°1VIMAÑANA441</v>
      </c>
      <c r="C681" s="62">
        <f>VLOOKUP(G681,[1]Hoja1!$A:$O,3,0)</f>
        <v>441</v>
      </c>
      <c r="D681" s="2" t="str">
        <f t="shared" si="126"/>
        <v>1VIM46</v>
      </c>
      <c r="E681" s="62" t="s">
        <v>57</v>
      </c>
      <c r="F681" s="62" t="s">
        <v>27</v>
      </c>
      <c r="G681" s="62" t="s">
        <v>161</v>
      </c>
      <c r="H681" s="8" t="str">
        <f>VLOOKUP(G681,[1]Hoja1!$A:$O,6,0)</f>
        <v xml:space="preserve">MONTAJE DE PROYECTO ELECTRONICOS </v>
      </c>
      <c r="I681" s="4">
        <v>46</v>
      </c>
      <c r="J681" s="4"/>
      <c r="K681" s="80" t="str">
        <f t="shared" si="127"/>
        <v>VI</v>
      </c>
      <c r="L681" s="4" t="s">
        <v>512</v>
      </c>
      <c r="M681" s="86" t="str">
        <f>VLOOKUP(G681,[1]Hoja1!$A:$O,15,0)</f>
        <v xml:space="preserve">QUINTANA RAMON </v>
      </c>
      <c r="N681" s="2" t="str">
        <f t="shared" si="115"/>
        <v>4°4°4414EFTMP4VI</v>
      </c>
      <c r="O681" s="2"/>
      <c r="P681" s="2" t="str">
        <f>VLOOKUP(G681,[1]Hoja1!$A:$P,16,0)</f>
        <v xml:space="preserve"> </v>
      </c>
      <c r="Q681" s="2"/>
      <c r="S681">
        <f>VLOOKUP(G681,[1]Hoja1!$A:$O,5,0)</f>
        <v>2680558</v>
      </c>
      <c r="U681" s="45" t="s">
        <v>2751</v>
      </c>
      <c r="V681" s="46">
        <f t="shared" si="116"/>
        <v>2680558</v>
      </c>
      <c r="W681" s="47" t="s">
        <v>1519</v>
      </c>
      <c r="X681" s="46" t="str">
        <f t="shared" si="128"/>
        <v>1</v>
      </c>
      <c r="Y681" s="47" t="s">
        <v>1518</v>
      </c>
      <c r="Z681" s="46" t="str">
        <f t="shared" si="118"/>
        <v>M</v>
      </c>
      <c r="AA681" s="47" t="s">
        <v>2752</v>
      </c>
      <c r="AB681" s="46" t="str">
        <f t="shared" si="129"/>
        <v>VIERNES</v>
      </c>
      <c r="AC681" s="47" t="s">
        <v>2753</v>
      </c>
      <c r="AD681" t="str">
        <f t="shared" si="120"/>
        <v>CONTRATURNO</v>
      </c>
      <c r="AE681" s="47" t="s">
        <v>2754</v>
      </c>
      <c r="AH681" t="str">
        <f t="shared" si="121"/>
        <v>INSERT INTO horario_curso_materia (horario_curso_materia.FK_CUR_mat,horario_curso_materia.FK_HOR,horario_curso_materia.DIA,horario_curso_materia.tipo_turno) VALUES (  (SELECT curso_materia.ID_CUR_MAT FROM curso_materia WHERE curso_materia.CUPOF='2680558' ) ,
    (SELECT horario.ID_HOR FROM horario WHERE horario.modulo='1 ' and horario.turno='M ' ),'VIERNES ' , 'CONTRATURNO ' );</v>
      </c>
    </row>
    <row r="682" spans="1:34" ht="15" hidden="1" customHeight="1" x14ac:dyDescent="0.3">
      <c r="A682" s="1" t="str">
        <f t="shared" si="114"/>
        <v>4°4°</v>
      </c>
      <c r="B682" s="54" t="str">
        <f t="shared" si="125"/>
        <v>4°4°1VIMAÑANA442</v>
      </c>
      <c r="C682" s="62">
        <f>VLOOKUP(G682,[1]Hoja1!$A:$O,3,0)</f>
        <v>442</v>
      </c>
      <c r="D682" s="2" t="str">
        <f t="shared" si="126"/>
        <v>1VIMaula 4</v>
      </c>
      <c r="E682" s="62" t="s">
        <v>57</v>
      </c>
      <c r="F682" s="62" t="s">
        <v>27</v>
      </c>
      <c r="G682" s="62" t="s">
        <v>156</v>
      </c>
      <c r="H682" s="8" t="str">
        <f>VLOOKUP(G682,[1]Hoja1!$A:$O,6,0)</f>
        <v xml:space="preserve">MONTAJE DE PROYECTO ELECTRONICOS </v>
      </c>
      <c r="I682" s="4" t="s">
        <v>1437</v>
      </c>
      <c r="J682" s="4"/>
      <c r="K682" s="80" t="str">
        <f t="shared" si="127"/>
        <v>VI</v>
      </c>
      <c r="L682" s="4" t="s">
        <v>512</v>
      </c>
      <c r="M682" s="86" t="str">
        <f>VLOOKUP(G682,[1]Hoja1!$A:$O,15,0)</f>
        <v xml:space="preserve">VELAZQUEZ GERARDO </v>
      </c>
      <c r="N682" s="2" t="str">
        <f t="shared" si="115"/>
        <v>4°4°4424EFTMP4VI</v>
      </c>
      <c r="O682" s="2"/>
      <c r="P682" s="2" t="str">
        <f>VLOOKUP(G682,[1]Hoja1!$A:$P,16,0)</f>
        <v xml:space="preserve"> </v>
      </c>
      <c r="Q682" s="2"/>
      <c r="S682">
        <f>VLOOKUP(G682,[1]Hoja1!$A:$O,5,0)</f>
        <v>2680561</v>
      </c>
      <c r="U682" s="45" t="s">
        <v>2751</v>
      </c>
      <c r="V682" s="46">
        <f t="shared" si="116"/>
        <v>2680561</v>
      </c>
      <c r="W682" s="47" t="s">
        <v>1519</v>
      </c>
      <c r="X682" s="46" t="str">
        <f t="shared" si="128"/>
        <v>1</v>
      </c>
      <c r="Y682" s="47" t="s">
        <v>1518</v>
      </c>
      <c r="Z682" s="46" t="str">
        <f t="shared" si="118"/>
        <v>M</v>
      </c>
      <c r="AA682" s="47" t="s">
        <v>2752</v>
      </c>
      <c r="AB682" s="46" t="str">
        <f t="shared" si="129"/>
        <v>VIERNES</v>
      </c>
      <c r="AC682" s="47" t="s">
        <v>2753</v>
      </c>
      <c r="AD682" t="str">
        <f t="shared" si="120"/>
        <v>CONTRATURNO</v>
      </c>
      <c r="AE682" s="47" t="s">
        <v>2754</v>
      </c>
      <c r="AH682" t="str">
        <f t="shared" si="121"/>
        <v>INSERT INTO horario_curso_materia (horario_curso_materia.FK_CUR_mat,horario_curso_materia.FK_HOR,horario_curso_materia.DIA,horario_curso_materia.tipo_turno) VALUES (  (SELECT curso_materia.ID_CUR_MAT FROM curso_materia WHERE curso_materia.CUPOF='2680561' ) ,
    (SELECT horario.ID_HOR FROM horario WHERE horario.modulo='1 ' and horario.turno='M ' ),'VIERNES ' , 'CONTRATURNO ' );</v>
      </c>
    </row>
    <row r="683" spans="1:34" ht="15" hidden="1" customHeight="1" x14ac:dyDescent="0.3">
      <c r="A683" s="1" t="str">
        <f t="shared" si="114"/>
        <v>4°4°</v>
      </c>
      <c r="B683" s="54" t="str">
        <f t="shared" si="125"/>
        <v>4°4°1VIVESPERTINO0</v>
      </c>
      <c r="C683" s="62">
        <f>VLOOKUP(G683,[1]Hoja1!$A:$O,3,0)</f>
        <v>0</v>
      </c>
      <c r="D683" s="2" t="str">
        <f t="shared" si="126"/>
        <v>1VIV</v>
      </c>
      <c r="E683" s="62" t="s">
        <v>57</v>
      </c>
      <c r="F683" s="62" t="s">
        <v>125</v>
      </c>
      <c r="G683" s="62" t="s">
        <v>427</v>
      </c>
      <c r="H683" s="8" t="str">
        <f>VLOOKUP(G683,[1]Hoja1!$A:$O,6,0)</f>
        <v>INGLÉS</v>
      </c>
      <c r="I683" s="4"/>
      <c r="J683" s="4"/>
      <c r="K683" s="80" t="str">
        <f t="shared" si="127"/>
        <v>VI</v>
      </c>
      <c r="L683" s="4"/>
      <c r="M683" s="86" t="str">
        <f>VLOOKUP(G683,[1]Hoja1!$A:$O,15,0)</f>
        <v xml:space="preserve">ARCE KARINA </v>
      </c>
      <c r="N683" s="2" t="str">
        <f t="shared" si="115"/>
        <v>4°4°4EINGSVI</v>
      </c>
      <c r="O683" s="2"/>
      <c r="P683" s="2" t="str">
        <f>VLOOKUP(G683,[1]Hoja1!$A:$P,16,0)</f>
        <v xml:space="preserve"> </v>
      </c>
      <c r="Q683" s="2"/>
      <c r="S683">
        <f>VLOOKUP(G683,[1]Hoja1!$A:$O,5,0)</f>
        <v>733417</v>
      </c>
      <c r="U683" s="45" t="s">
        <v>2751</v>
      </c>
      <c r="V683" s="46">
        <f t="shared" si="116"/>
        <v>733417</v>
      </c>
      <c r="W683" s="47" t="s">
        <v>1519</v>
      </c>
      <c r="X683" s="46" t="str">
        <f t="shared" si="128"/>
        <v>1</v>
      </c>
      <c r="Y683" s="47" t="s">
        <v>1518</v>
      </c>
      <c r="Z683" s="46" t="str">
        <f t="shared" si="118"/>
        <v>V</v>
      </c>
      <c r="AA683" s="47" t="s">
        <v>2752</v>
      </c>
      <c r="AB683" s="46" t="str">
        <f t="shared" si="129"/>
        <v>VIERNES</v>
      </c>
      <c r="AC683" s="47" t="s">
        <v>2753</v>
      </c>
      <c r="AD683">
        <f t="shared" si="120"/>
        <v>0</v>
      </c>
      <c r="AE683" s="47" t="s">
        <v>2754</v>
      </c>
      <c r="AH683" t="str">
        <f t="shared" si="121"/>
        <v>INSERT INTO horario_curso_materia (horario_curso_materia.FK_CUR_mat,horario_curso_materia.FK_HOR,horario_curso_materia.DIA,horario_curso_materia.tipo_turno) VALUES (  (SELECT curso_materia.ID_CUR_MAT FROM curso_materia WHERE curso_materia.CUPOF='733417' ) ,
    (SELECT horario.ID_HOR FROM horario WHERE horario.modulo='1 ' and horario.turno='V ' ),'VIERNES ' , '0 ' );</v>
      </c>
    </row>
    <row r="684" spans="1:34" ht="15" hidden="1" customHeight="1" x14ac:dyDescent="0.3">
      <c r="A684" s="1" t="str">
        <f t="shared" si="114"/>
        <v>4°4°</v>
      </c>
      <c r="B684" s="54" t="str">
        <f t="shared" si="125"/>
        <v>4°4°2JUVESPERTINO0</v>
      </c>
      <c r="C684" s="62">
        <f>VLOOKUP(G684,[1]Hoja1!$A:$O,3,0)</f>
        <v>0</v>
      </c>
      <c r="D684" s="2" t="str">
        <f t="shared" si="126"/>
        <v>2JUV</v>
      </c>
      <c r="E684" s="62" t="s">
        <v>45</v>
      </c>
      <c r="F684" s="62" t="s">
        <v>125</v>
      </c>
      <c r="G684" s="62" t="s">
        <v>435</v>
      </c>
      <c r="H684" s="8" t="str">
        <f>VLOOKUP(G684,[1]Hoja1!$A:$O,6,0)</f>
        <v>MATEMATICA</v>
      </c>
      <c r="I684" s="4"/>
      <c r="J684" s="4"/>
      <c r="K684" s="80" t="str">
        <f t="shared" si="127"/>
        <v>JU</v>
      </c>
      <c r="L684" s="4"/>
      <c r="M684" s="86" t="str">
        <f>VLOOKUP(G684,[1]Hoja1!$A:$O,15,0)</f>
        <v>FISTER VICTOR</v>
      </c>
      <c r="N684" s="2" t="str">
        <f t="shared" si="115"/>
        <v>4°4°4EMATESJU</v>
      </c>
      <c r="O684" s="2"/>
      <c r="P684" s="2" t="str">
        <f>VLOOKUP(G684,[1]Hoja1!$A:$P,16,0)</f>
        <v xml:space="preserve"> </v>
      </c>
      <c r="Q684" s="2"/>
      <c r="S684">
        <f>VLOOKUP(G684,[1]Hoja1!$A:$O,5,0)</f>
        <v>733568</v>
      </c>
      <c r="U684" s="45" t="s">
        <v>2751</v>
      </c>
      <c r="V684" s="46">
        <f t="shared" si="116"/>
        <v>733568</v>
      </c>
      <c r="W684" s="47" t="s">
        <v>1519</v>
      </c>
      <c r="X684" s="46" t="str">
        <f t="shared" si="128"/>
        <v>2</v>
      </c>
      <c r="Y684" s="47" t="s">
        <v>1518</v>
      </c>
      <c r="Z684" s="46" t="str">
        <f t="shared" si="118"/>
        <v>V</v>
      </c>
      <c r="AA684" s="47" t="s">
        <v>2752</v>
      </c>
      <c r="AB684" s="46" t="str">
        <f t="shared" si="129"/>
        <v>JUEVES</v>
      </c>
      <c r="AC684" s="47" t="s">
        <v>2753</v>
      </c>
      <c r="AD684">
        <f t="shared" si="120"/>
        <v>0</v>
      </c>
      <c r="AE684" s="47" t="s">
        <v>2754</v>
      </c>
      <c r="AH684" t="str">
        <f t="shared" si="121"/>
        <v>INSERT INTO horario_curso_materia (horario_curso_materia.FK_CUR_mat,horario_curso_materia.FK_HOR,horario_curso_materia.DIA,horario_curso_materia.tipo_turno) VALUES (  (SELECT curso_materia.ID_CUR_MAT FROM curso_materia WHERE curso_materia.CUPOF='733568' ) ,
    (SELECT horario.ID_HOR FROM horario WHERE horario.modulo='2 ' and horario.turno='V ' ),'JUEVES ' , '0 ' );</v>
      </c>
    </row>
    <row r="685" spans="1:34" ht="15" hidden="1" customHeight="1" x14ac:dyDescent="0.3">
      <c r="A685" s="1" t="str">
        <f t="shared" si="114"/>
        <v>4°4°</v>
      </c>
      <c r="B685" s="54" t="str">
        <f t="shared" si="125"/>
        <v>4°4°2LUMAÑANA441</v>
      </c>
      <c r="C685" s="62">
        <f>VLOOKUP(G685,[1]Hoja1!$A:$O,3,0)</f>
        <v>441</v>
      </c>
      <c r="D685" s="2" t="str">
        <f t="shared" si="126"/>
        <v>2LUM46</v>
      </c>
      <c r="E685" s="62" t="s">
        <v>12</v>
      </c>
      <c r="F685" s="62" t="s">
        <v>27</v>
      </c>
      <c r="G685" s="62" t="s">
        <v>157</v>
      </c>
      <c r="H685" s="8" t="str">
        <f>VLOOKUP(G685,[1]Hoja1!$A:$O,6,0)</f>
        <v xml:space="preserve">APLIC ELECT ANALOG </v>
      </c>
      <c r="I685" s="4">
        <v>46</v>
      </c>
      <c r="J685" s="4"/>
      <c r="K685" s="80" t="str">
        <f t="shared" si="127"/>
        <v>LU</v>
      </c>
      <c r="L685" s="4" t="s">
        <v>512</v>
      </c>
      <c r="M685" s="86" t="str">
        <f>VLOOKUP(G685,[1]Hoja1!$A:$O,15,0)</f>
        <v xml:space="preserve">VELAZQUEZ GERARDO </v>
      </c>
      <c r="N685" s="2" t="str">
        <f t="shared" si="115"/>
        <v>4°4°4414EFTAE4LU</v>
      </c>
      <c r="O685" s="2" t="s">
        <v>1357</v>
      </c>
      <c r="P685" s="2" t="str">
        <f>VLOOKUP(G685,[1]Hoja1!$A:$P,16,0)</f>
        <v xml:space="preserve"> </v>
      </c>
      <c r="Q685" s="2"/>
      <c r="S685">
        <f>VLOOKUP(G685,[1]Hoja1!$A:$O,5,0)</f>
        <v>2680556</v>
      </c>
      <c r="U685" s="45" t="s">
        <v>2751</v>
      </c>
      <c r="V685" s="46">
        <f t="shared" ref="V685:V748" si="130">S685</f>
        <v>2680556</v>
      </c>
      <c r="W685" s="47" t="s">
        <v>1519</v>
      </c>
      <c r="X685" s="46" t="str">
        <f t="shared" si="128"/>
        <v>2</v>
      </c>
      <c r="Y685" s="47" t="s">
        <v>1518</v>
      </c>
      <c r="Z685" s="46" t="str">
        <f t="shared" ref="Z685:Z748" si="131">LEFT(F685,1)</f>
        <v>M</v>
      </c>
      <c r="AA685" s="47" t="s">
        <v>2752</v>
      </c>
      <c r="AB685" s="46" t="str">
        <f t="shared" si="129"/>
        <v>LUNES</v>
      </c>
      <c r="AC685" s="47" t="s">
        <v>2753</v>
      </c>
      <c r="AD685" t="str">
        <f t="shared" ref="AD685:AD748" si="132">L685</f>
        <v>CONTRATURNO</v>
      </c>
      <c r="AE685" s="47" t="s">
        <v>2754</v>
      </c>
      <c r="AH685" t="str">
        <f t="shared" ref="AH685:AH748" si="133">U685&amp;V685&amp;W685&amp;X685&amp;Y685&amp;Z685&amp;AA685&amp;AB685&amp;AC685&amp;AD685&amp;AE685</f>
        <v>INSERT INTO horario_curso_materia (horario_curso_materia.FK_CUR_mat,horario_curso_materia.FK_HOR,horario_curso_materia.DIA,horario_curso_materia.tipo_turno) VALUES (  (SELECT curso_materia.ID_CUR_MAT FROM curso_materia WHERE curso_materia.CUPOF='2680556' ) ,
    (SELECT horario.ID_HOR FROM horario WHERE horario.modulo='2 ' and horario.turno='M ' ),'LUNES ' , 'CONTRATURNO ' );</v>
      </c>
    </row>
    <row r="686" spans="1:34" ht="15" hidden="1" customHeight="1" x14ac:dyDescent="0.3">
      <c r="A686" s="1" t="str">
        <f t="shared" si="114"/>
        <v>4°4°</v>
      </c>
      <c r="B686" s="54" t="str">
        <f t="shared" si="125"/>
        <v>4°4°2LUVESPERTINO0</v>
      </c>
      <c r="C686" s="62">
        <f>VLOOKUP(G686,[1]Hoja1!$A:$O,3,0)</f>
        <v>0</v>
      </c>
      <c r="D686" s="2" t="str">
        <f t="shared" si="126"/>
        <v>2LUV</v>
      </c>
      <c r="E686" s="62" t="s">
        <v>12</v>
      </c>
      <c r="F686" s="62" t="s">
        <v>125</v>
      </c>
      <c r="G686" s="62" t="s">
        <v>428</v>
      </c>
      <c r="H686" s="8" t="str">
        <f>VLOOKUP(G686,[1]Hoja1!$A:$O,6,0)</f>
        <v>LITERATURA</v>
      </c>
      <c r="I686" s="4"/>
      <c r="J686" s="4"/>
      <c r="K686" s="80" t="str">
        <f t="shared" si="127"/>
        <v>LU</v>
      </c>
      <c r="L686" s="4"/>
      <c r="M686" s="86" t="str">
        <f>VLOOKUP(G686,[1]Hoja1!$A:$O,15,0)</f>
        <v>CARESTIA, NOEMI</v>
      </c>
      <c r="N686" s="2" t="str">
        <f t="shared" si="115"/>
        <v>4°4°4ELITSLU</v>
      </c>
      <c r="O686" s="2"/>
      <c r="P686" s="2" t="str">
        <f>VLOOKUP(G686,[1]Hoja1!$A:$P,16,0)</f>
        <v xml:space="preserve"> </v>
      </c>
      <c r="Q686" s="2"/>
      <c r="S686">
        <f>VLOOKUP(G686,[1]Hoja1!$A:$O,5,0)</f>
        <v>733426</v>
      </c>
      <c r="U686" s="45" t="s">
        <v>2751</v>
      </c>
      <c r="V686" s="46">
        <f t="shared" si="130"/>
        <v>733426</v>
      </c>
      <c r="W686" s="47" t="s">
        <v>1519</v>
      </c>
      <c r="X686" s="46" t="str">
        <f t="shared" si="128"/>
        <v>2</v>
      </c>
      <c r="Y686" s="47" t="s">
        <v>1518</v>
      </c>
      <c r="Z686" s="46" t="str">
        <f t="shared" si="131"/>
        <v>V</v>
      </c>
      <c r="AA686" s="47" t="s">
        <v>2752</v>
      </c>
      <c r="AB686" s="46" t="str">
        <f t="shared" si="129"/>
        <v>LUNES</v>
      </c>
      <c r="AC686" s="47" t="s">
        <v>2753</v>
      </c>
      <c r="AD686">
        <f t="shared" si="132"/>
        <v>0</v>
      </c>
      <c r="AE686" s="47" t="s">
        <v>2754</v>
      </c>
      <c r="AH686" t="str">
        <f t="shared" si="133"/>
        <v>INSERT INTO horario_curso_materia (horario_curso_materia.FK_CUR_mat,horario_curso_materia.FK_HOR,horario_curso_materia.DIA,horario_curso_materia.tipo_turno) VALUES (  (SELECT curso_materia.ID_CUR_MAT FROM curso_materia WHERE curso_materia.CUPOF='733426' ) ,
    (SELECT horario.ID_HOR FROM horario WHERE horario.modulo='2 ' and horario.turno='V ' ),'LUNES ' , '0 ' );</v>
      </c>
    </row>
    <row r="687" spans="1:34" ht="14.25" hidden="1" customHeight="1" x14ac:dyDescent="0.3">
      <c r="A687" s="1" t="str">
        <f t="shared" si="114"/>
        <v>4°4°</v>
      </c>
      <c r="B687" s="54" t="str">
        <f t="shared" si="125"/>
        <v>4°4°2MAMAÑANA441</v>
      </c>
      <c r="C687" s="62">
        <f>VLOOKUP(G687,[1]Hoja1!$A:$O,3,0)</f>
        <v>441</v>
      </c>
      <c r="D687" s="2" t="str">
        <f t="shared" si="126"/>
        <v>2MAM45</v>
      </c>
      <c r="E687" s="62" t="s">
        <v>19</v>
      </c>
      <c r="F687" s="62" t="s">
        <v>27</v>
      </c>
      <c r="G687" s="62" t="s">
        <v>158</v>
      </c>
      <c r="H687" s="8" t="str">
        <f>VLOOKUP(G687,[1]Hoja1!$A:$O,6,0)</f>
        <v>APLIC ELECTR DIGITAL</v>
      </c>
      <c r="I687" s="4">
        <v>45</v>
      </c>
      <c r="J687" s="4"/>
      <c r="K687" s="80" t="str">
        <f t="shared" si="127"/>
        <v>MA</v>
      </c>
      <c r="L687" s="4" t="s">
        <v>512</v>
      </c>
      <c r="M687" s="86" t="str">
        <f>VLOOKUP(G687,[1]Hoja1!$A:$O,15,0)</f>
        <v>MARTINEZ, SILVIO</v>
      </c>
      <c r="N687" s="2" t="str">
        <f t="shared" si="115"/>
        <v>4°4°4414EFTED4MA</v>
      </c>
      <c r="O687" s="2"/>
      <c r="P687" s="2" t="str">
        <f>VLOOKUP(G687,[1]Hoja1!$A:$P,16,0)</f>
        <v xml:space="preserve"> </v>
      </c>
      <c r="Q687" s="2"/>
      <c r="S687">
        <f>VLOOKUP(G687,[1]Hoja1!$A:$O,5,0)</f>
        <v>2680557</v>
      </c>
      <c r="U687" s="45" t="s">
        <v>2751</v>
      </c>
      <c r="V687" s="46">
        <f t="shared" si="130"/>
        <v>2680557</v>
      </c>
      <c r="W687" s="47" t="s">
        <v>1519</v>
      </c>
      <c r="X687" s="46" t="str">
        <f t="shared" si="128"/>
        <v>2</v>
      </c>
      <c r="Y687" s="47" t="s">
        <v>1518</v>
      </c>
      <c r="Z687" s="46" t="str">
        <f t="shared" si="131"/>
        <v>M</v>
      </c>
      <c r="AA687" s="47" t="s">
        <v>2752</v>
      </c>
      <c r="AB687" s="46" t="str">
        <f t="shared" si="129"/>
        <v>MARTES</v>
      </c>
      <c r="AC687" s="47" t="s">
        <v>2753</v>
      </c>
      <c r="AD687" t="str">
        <f t="shared" si="132"/>
        <v>CONTRATURNO</v>
      </c>
      <c r="AE687" s="47" t="s">
        <v>2754</v>
      </c>
      <c r="AH687" t="str">
        <f t="shared" si="133"/>
        <v>INSERT INTO horario_curso_materia (horario_curso_materia.FK_CUR_mat,horario_curso_materia.FK_HOR,horario_curso_materia.DIA,horario_curso_materia.tipo_turno) VALUES (  (SELECT curso_materia.ID_CUR_MAT FROM curso_materia WHERE curso_materia.CUPOF='2680557' ) ,
    (SELECT horario.ID_HOR FROM horario WHERE horario.modulo='2 ' and horario.turno='M ' ),'MARTES ' , 'CONTRATURNO ' );</v>
      </c>
    </row>
    <row r="688" spans="1:34" ht="15" hidden="1" customHeight="1" x14ac:dyDescent="0.3">
      <c r="A688" s="1" t="str">
        <f t="shared" ref="A688:A751" si="134">LEFT(B688,4)</f>
        <v>4°4°</v>
      </c>
      <c r="B688" s="54" t="str">
        <f t="shared" si="125"/>
        <v>4°4°2luMAÑANA442</v>
      </c>
      <c r="C688" s="62">
        <f>VLOOKUP(G688,[1]Hoja1!$A:$O,3,0)</f>
        <v>442</v>
      </c>
      <c r="D688" s="2" t="str">
        <f t="shared" si="126"/>
        <v>2luMHARDWARE</v>
      </c>
      <c r="E688" s="62" t="s">
        <v>1445</v>
      </c>
      <c r="F688" s="62" t="s">
        <v>27</v>
      </c>
      <c r="G688" s="62" t="s">
        <v>159</v>
      </c>
      <c r="H688" s="8" t="str">
        <f>VLOOKUP(G688,[1]Hoja1!$A:$O,6,0)</f>
        <v xml:space="preserve">APLIC ELECT ANALOG </v>
      </c>
      <c r="I688" s="4" t="s">
        <v>38</v>
      </c>
      <c r="J688" s="4"/>
      <c r="K688" s="80" t="str">
        <f t="shared" si="127"/>
        <v>lu</v>
      </c>
      <c r="L688" s="4" t="s">
        <v>512</v>
      </c>
      <c r="M688" s="86" t="str">
        <f>VLOOKUP(G688,[1]Hoja1!$A:$O,15,0)</f>
        <v>ARNALDO ESCALADA</v>
      </c>
      <c r="N688" s="2" t="str">
        <f t="shared" ref="N688:N751" si="135">CONCATENATE(G688,LEFT(K688,2))</f>
        <v>4°4°4424EFTAE4lu</v>
      </c>
      <c r="O688" s="2"/>
      <c r="P688" s="2" t="str">
        <f>VLOOKUP(G688,[1]Hoja1!$A:$P,16,0)</f>
        <v xml:space="preserve"> </v>
      </c>
      <c r="Q688" s="2"/>
      <c r="S688">
        <f>VLOOKUP(G688,[1]Hoja1!$A:$O,5,0)</f>
        <v>2680559</v>
      </c>
      <c r="U688" s="45" t="s">
        <v>2751</v>
      </c>
      <c r="V688" s="46">
        <f t="shared" si="130"/>
        <v>2680559</v>
      </c>
      <c r="W688" s="47" t="s">
        <v>1519</v>
      </c>
      <c r="X688" s="46" t="str">
        <f t="shared" si="128"/>
        <v>2</v>
      </c>
      <c r="Y688" s="47" t="s">
        <v>1518</v>
      </c>
      <c r="Z688" s="46" t="str">
        <f t="shared" si="131"/>
        <v>M</v>
      </c>
      <c r="AA688" s="47" t="s">
        <v>2752</v>
      </c>
      <c r="AB688" s="46" t="str">
        <f t="shared" si="129"/>
        <v>LUNES</v>
      </c>
      <c r="AC688" s="47" t="s">
        <v>2753</v>
      </c>
      <c r="AD688" t="str">
        <f t="shared" si="132"/>
        <v>CONTRATURNO</v>
      </c>
      <c r="AE688" s="47" t="s">
        <v>2754</v>
      </c>
      <c r="AH688" t="str">
        <f t="shared" si="133"/>
        <v>INSERT INTO horario_curso_materia (horario_curso_materia.FK_CUR_mat,horario_curso_materia.FK_HOR,horario_curso_materia.DIA,horario_curso_materia.tipo_turno) VALUES (  (SELECT curso_materia.ID_CUR_MAT FROM curso_materia WHERE curso_materia.CUPOF='2680559' ) ,
    (SELECT horario.ID_HOR FROM horario WHERE horario.modulo='2 ' and horario.turno='M ' ),'LUNES ' , 'CONTRATURNO ' );</v>
      </c>
    </row>
    <row r="689" spans="1:34" ht="15" hidden="1" customHeight="1" x14ac:dyDescent="0.3">
      <c r="A689" s="1" t="str">
        <f t="shared" si="134"/>
        <v>4°4°</v>
      </c>
      <c r="B689" s="54" t="str">
        <f t="shared" si="125"/>
        <v>4°4°2MAVESPERTINO0</v>
      </c>
      <c r="C689" s="62">
        <f>VLOOKUP(G689,[1]Hoja1!$A:$O,3,0)</f>
        <v>0</v>
      </c>
      <c r="D689" s="2" t="str">
        <f t="shared" si="126"/>
        <v>2MAV</v>
      </c>
      <c r="E689" s="62" t="s">
        <v>19</v>
      </c>
      <c r="F689" s="62" t="s">
        <v>125</v>
      </c>
      <c r="G689" s="62" t="s">
        <v>432</v>
      </c>
      <c r="H689" s="8" t="str">
        <f>VLOOKUP(G689,[1]Hoja1!$A:$O,6,0)</f>
        <v>FISICA</v>
      </c>
      <c r="I689" s="4"/>
      <c r="J689" s="4"/>
      <c r="K689" s="80" t="str">
        <f t="shared" si="127"/>
        <v>MA</v>
      </c>
      <c r="L689" s="4"/>
      <c r="M689" s="86" t="str">
        <f>VLOOKUP(G689,[1]Hoja1!$A:$O,15,0)</f>
        <v>PROCHOR JUAN</v>
      </c>
      <c r="N689" s="2" t="str">
        <f t="shared" si="135"/>
        <v>4°4°4EFISMA</v>
      </c>
      <c r="O689" s="2"/>
      <c r="P689" s="2" t="str">
        <f>VLOOKUP(G689,[1]Hoja1!$A:$P,16,0)</f>
        <v xml:space="preserve"> </v>
      </c>
      <c r="Q689" s="2"/>
      <c r="S689">
        <f>VLOOKUP(G689,[1]Hoja1!$A:$O,5,0)</f>
        <v>733706</v>
      </c>
      <c r="U689" s="45" t="s">
        <v>2751</v>
      </c>
      <c r="V689" s="46">
        <f t="shared" si="130"/>
        <v>733706</v>
      </c>
      <c r="W689" s="47" t="s">
        <v>1519</v>
      </c>
      <c r="X689" s="46" t="str">
        <f t="shared" si="128"/>
        <v>2</v>
      </c>
      <c r="Y689" s="47" t="s">
        <v>1518</v>
      </c>
      <c r="Z689" s="46" t="str">
        <f t="shared" si="131"/>
        <v>V</v>
      </c>
      <c r="AA689" s="47" t="s">
        <v>2752</v>
      </c>
      <c r="AB689" s="46" t="str">
        <f t="shared" si="129"/>
        <v>MARTES</v>
      </c>
      <c r="AC689" s="47" t="s">
        <v>2753</v>
      </c>
      <c r="AD689">
        <f t="shared" si="132"/>
        <v>0</v>
      </c>
      <c r="AE689" s="47" t="s">
        <v>2754</v>
      </c>
      <c r="AH689" t="str">
        <f t="shared" si="133"/>
        <v>INSERT INTO horario_curso_materia (horario_curso_materia.FK_CUR_mat,horario_curso_materia.FK_HOR,horario_curso_materia.DIA,horario_curso_materia.tipo_turno) VALUES (  (SELECT curso_materia.ID_CUR_MAT FROM curso_materia WHERE curso_materia.CUPOF='733706' ) ,
    (SELECT horario.ID_HOR FROM horario WHERE horario.modulo='2 ' and horario.turno='V ' ),'MARTES ' , '0 ' );</v>
      </c>
    </row>
    <row r="690" spans="1:34" ht="14.25" hidden="1" customHeight="1" x14ac:dyDescent="0.3">
      <c r="A690" s="1" t="str">
        <f t="shared" si="134"/>
        <v>4°4°</v>
      </c>
      <c r="B690" s="54" t="str">
        <f t="shared" si="125"/>
        <v>4°4°2viTARDE442</v>
      </c>
      <c r="C690" s="62">
        <f>VLOOKUP(G690,[1]Hoja1!$A:$O,3,0)</f>
        <v>442</v>
      </c>
      <c r="D690" s="2" t="str">
        <f t="shared" si="126"/>
        <v>2viT46</v>
      </c>
      <c r="E690" s="62" t="s">
        <v>1377</v>
      </c>
      <c r="F690" s="62" t="s">
        <v>10</v>
      </c>
      <c r="G690" s="62" t="s">
        <v>160</v>
      </c>
      <c r="H690" s="8" t="str">
        <f>VLOOKUP(G690,[1]Hoja1!$A:$O,6,0)</f>
        <v>APLIC ELECTR DIGITAL</v>
      </c>
      <c r="I690" s="4">
        <v>46</v>
      </c>
      <c r="J690" s="4"/>
      <c r="K690" s="80" t="str">
        <f t="shared" si="127"/>
        <v>vi</v>
      </c>
      <c r="L690" s="4" t="s">
        <v>512</v>
      </c>
      <c r="M690" s="86" t="str">
        <f>VLOOKUP(G690,[1]Hoja1!$A:$O,15,0)</f>
        <v xml:space="preserve">FISTER (Serv.Prov)         </v>
      </c>
      <c r="N690" s="2" t="str">
        <f t="shared" si="135"/>
        <v>4°4°4424EFTED4vi</v>
      </c>
      <c r="O690" s="2"/>
      <c r="P690" s="2" t="str">
        <f>VLOOKUP(G690,[1]Hoja1!$A:$P,16,0)</f>
        <v xml:space="preserve"> </v>
      </c>
      <c r="Q690" s="2"/>
      <c r="S690">
        <f>VLOOKUP(G690,[1]Hoja1!$A:$O,5,0)</f>
        <v>2680560</v>
      </c>
      <c r="U690" s="45" t="s">
        <v>2751</v>
      </c>
      <c r="V690" s="46">
        <f t="shared" si="130"/>
        <v>2680560</v>
      </c>
      <c r="W690" s="47" t="s">
        <v>1519</v>
      </c>
      <c r="X690" s="46" t="str">
        <f t="shared" si="128"/>
        <v>2</v>
      </c>
      <c r="Y690" s="47" t="s">
        <v>1518</v>
      </c>
      <c r="Z690" s="46" t="str">
        <f t="shared" si="131"/>
        <v>T</v>
      </c>
      <c r="AA690" s="47" t="s">
        <v>2752</v>
      </c>
      <c r="AB690" s="46" t="str">
        <f t="shared" si="129"/>
        <v>VIERNES</v>
      </c>
      <c r="AC690" s="47" t="s">
        <v>2753</v>
      </c>
      <c r="AD690" t="str">
        <f t="shared" si="132"/>
        <v>CONTRATURNO</v>
      </c>
      <c r="AE690" s="47" t="s">
        <v>2754</v>
      </c>
      <c r="AH690" t="str">
        <f t="shared" si="133"/>
        <v>INSERT INTO horario_curso_materia (horario_curso_materia.FK_CUR_mat,horario_curso_materia.FK_HOR,horario_curso_materia.DIA,horario_curso_materia.tipo_turno) VALUES (  (SELECT curso_materia.ID_CUR_MAT FROM curso_materia WHERE curso_materia.CUPOF='2680560' ) ,
    (SELECT horario.ID_HOR FROM horario WHERE horario.modulo='2 ' and horario.turno='T ' ),'VIERNES ' , 'CONTRATURNO ' );</v>
      </c>
    </row>
    <row r="691" spans="1:34" ht="15" hidden="1" customHeight="1" x14ac:dyDescent="0.3">
      <c r="A691" s="1" t="str">
        <f t="shared" si="134"/>
        <v>4°4°</v>
      </c>
      <c r="B691" s="54" t="str">
        <f t="shared" si="125"/>
        <v>4°4°4MIVESPERTINO0</v>
      </c>
      <c r="C691" s="62">
        <f>VLOOKUP(G691,[1]Hoja1!$A:$O,3,0)</f>
        <v>0</v>
      </c>
      <c r="D691" s="2" t="str">
        <f t="shared" si="126"/>
        <v>4MIV</v>
      </c>
      <c r="E691" s="62" t="s">
        <v>52</v>
      </c>
      <c r="F691" s="62" t="s">
        <v>125</v>
      </c>
      <c r="G691" s="62" t="s">
        <v>433</v>
      </c>
      <c r="H691" s="8" t="str">
        <f>VLOOKUP(G691,[1]Hoja1!$A:$O,6,0)</f>
        <v>GEOGRAFIA</v>
      </c>
      <c r="I691" s="4"/>
      <c r="J691" s="4"/>
      <c r="K691" s="80" t="str">
        <f t="shared" si="127"/>
        <v>MI</v>
      </c>
      <c r="L691" s="4"/>
      <c r="M691" s="86" t="str">
        <f>VLOOKUP(G691,[1]Hoja1!$A:$O,15,0)</f>
        <v>SEGUEIRA SUSANA SOLEDAD</v>
      </c>
      <c r="N691" s="2" t="str">
        <f t="shared" si="135"/>
        <v>4°4°4EGEOSMI</v>
      </c>
      <c r="O691" s="2"/>
      <c r="P691" s="2" t="str">
        <f>VLOOKUP(G691,[1]Hoja1!$A:$P,16,0)</f>
        <v xml:space="preserve"> </v>
      </c>
      <c r="Q691" s="2"/>
      <c r="S691">
        <f>VLOOKUP(G691,[1]Hoja1!$A:$O,5,0)</f>
        <v>1517208</v>
      </c>
      <c r="U691" s="45" t="s">
        <v>2751</v>
      </c>
      <c r="V691" s="46">
        <f t="shared" si="130"/>
        <v>1517208</v>
      </c>
      <c r="W691" s="47" t="s">
        <v>1519</v>
      </c>
      <c r="X691" s="46" t="str">
        <f t="shared" si="128"/>
        <v>4</v>
      </c>
      <c r="Y691" s="47" t="s">
        <v>1518</v>
      </c>
      <c r="Z691" s="46" t="str">
        <f t="shared" si="131"/>
        <v>V</v>
      </c>
      <c r="AA691" s="47" t="s">
        <v>2752</v>
      </c>
      <c r="AB691" s="46" t="str">
        <f t="shared" si="129"/>
        <v>MIERCOLES</v>
      </c>
      <c r="AC691" s="47" t="s">
        <v>2753</v>
      </c>
      <c r="AD691">
        <f t="shared" si="132"/>
        <v>0</v>
      </c>
      <c r="AE691" s="47" t="s">
        <v>2754</v>
      </c>
      <c r="AH691" t="str">
        <f t="shared" si="133"/>
        <v>INSERT INTO horario_curso_materia (horario_curso_materia.FK_CUR_mat,horario_curso_materia.FK_HOR,horario_curso_materia.DIA,horario_curso_materia.tipo_turno) VALUES (  (SELECT curso_materia.ID_CUR_MAT FROM curso_materia WHERE curso_materia.CUPOF='1517208' ) ,
    (SELECT horario.ID_HOR FROM horario WHERE horario.modulo='4 ' and horario.turno='V ' ),'MIERCOLES ' , '0 ' );</v>
      </c>
    </row>
    <row r="692" spans="1:34" ht="15" hidden="1" customHeight="1" x14ac:dyDescent="0.3">
      <c r="A692" s="1" t="str">
        <f t="shared" si="134"/>
        <v>4°4°</v>
      </c>
      <c r="B692" s="54" t="str">
        <f t="shared" si="123"/>
        <v>4°4°2VIMAÑANA441</v>
      </c>
      <c r="C692" s="62">
        <f>VLOOKUP(G692,[1]Hoja1!$A:$O,3,0)</f>
        <v>441</v>
      </c>
      <c r="D692" s="2" t="str">
        <f t="shared" si="124"/>
        <v>2VIM46</v>
      </c>
      <c r="E692" s="62" t="s">
        <v>59</v>
      </c>
      <c r="F692" s="62" t="s">
        <v>27</v>
      </c>
      <c r="G692" s="62" t="s">
        <v>161</v>
      </c>
      <c r="H692" s="8" t="str">
        <f>VLOOKUP(G692,[1]Hoja1!$A:$O,6,0)</f>
        <v xml:space="preserve">MONTAJE DE PROYECTO ELECTRONICOS </v>
      </c>
      <c r="I692" s="4">
        <v>46</v>
      </c>
      <c r="J692" s="4"/>
      <c r="K692" s="80" t="str">
        <f t="shared" si="122"/>
        <v>VI</v>
      </c>
      <c r="L692" s="4" t="s">
        <v>512</v>
      </c>
      <c r="M692" s="86" t="str">
        <f>VLOOKUP(G692,[1]Hoja1!$A:$O,15,0)</f>
        <v xml:space="preserve">QUINTANA RAMON </v>
      </c>
      <c r="N692" s="2" t="str">
        <f t="shared" si="135"/>
        <v>4°4°4414EFTMP4VI</v>
      </c>
      <c r="O692" s="2"/>
      <c r="P692" s="2" t="str">
        <f>VLOOKUP(G692,[1]Hoja1!$A:$P,16,0)</f>
        <v xml:space="preserve"> </v>
      </c>
      <c r="Q692" s="2"/>
      <c r="S692">
        <f>VLOOKUP(G692,[1]Hoja1!$A:$O,5,0)</f>
        <v>2680558</v>
      </c>
      <c r="U692" s="45" t="s">
        <v>2751</v>
      </c>
      <c r="V692" s="46">
        <f t="shared" si="130"/>
        <v>2680558</v>
      </c>
      <c r="W692" s="47" t="s">
        <v>1519</v>
      </c>
      <c r="X692" s="46" t="str">
        <f t="shared" ref="X692:X748" si="136">IF(LEFT(E692,1)="p","prehora",LEFT(E692,1))</f>
        <v>2</v>
      </c>
      <c r="Y692" s="47" t="s">
        <v>1518</v>
      </c>
      <c r="Z692" s="46" t="str">
        <f t="shared" si="131"/>
        <v>M</v>
      </c>
      <c r="AA692" s="47" t="s">
        <v>2752</v>
      </c>
      <c r="AB692" s="46" t="str">
        <f t="shared" ref="AB692:AB748" si="137">IF(IF(LEFT(E692,1)="p",MID(E692,8,2),MID(E692,2,2))="lu","LUNES",IF(IF(LEFT(E692,1)="p",MID(E692,8,2),MID(E692,2,2))="ma","MARTES",IF(IF(LEFT(E692,1)="p",MID(E692,8,2),MID(E692,2,2))="MI","MIERCOLES",IF(IF(LEFT(E692,1)="p",MID(E692,8,2),MID(E692,2,2))="JU","JUEVES",IF(IF(LEFT(E692,1)="p",MID(E692,8,2),MID(E692,2,2))="vi","VIERNES","")))))</f>
        <v>VIERNES</v>
      </c>
      <c r="AC692" s="47" t="s">
        <v>2753</v>
      </c>
      <c r="AD692" t="str">
        <f t="shared" si="132"/>
        <v>CONTRATURNO</v>
      </c>
      <c r="AE692" s="47" t="s">
        <v>2754</v>
      </c>
      <c r="AH692" t="str">
        <f t="shared" si="133"/>
        <v>INSERT INTO horario_curso_materia (horario_curso_materia.FK_CUR_mat,horario_curso_materia.FK_HOR,horario_curso_materia.DIA,horario_curso_materia.tipo_turno) VALUES (  (SELECT curso_materia.ID_CUR_MAT FROM curso_materia WHERE curso_materia.CUPOF='2680558' ) ,
    (SELECT horario.ID_HOR FROM horario WHERE horario.modulo='2 ' and horario.turno='M ' ),'VIERNES ' , 'CONTRATURNO ' );</v>
      </c>
    </row>
    <row r="693" spans="1:34" ht="15" hidden="1" customHeight="1" x14ac:dyDescent="0.3">
      <c r="A693" s="1" t="str">
        <f t="shared" si="134"/>
        <v>4°4°</v>
      </c>
      <c r="B693" s="54" t="str">
        <f t="shared" si="123"/>
        <v>4°4°2VIMAÑANA442</v>
      </c>
      <c r="C693" s="62">
        <f>VLOOKUP(G693,[1]Hoja1!$A:$O,3,0)</f>
        <v>442</v>
      </c>
      <c r="D693" s="2" t="str">
        <f t="shared" si="124"/>
        <v>2VIMaula 4</v>
      </c>
      <c r="E693" s="62" t="s">
        <v>59</v>
      </c>
      <c r="F693" s="62" t="s">
        <v>27</v>
      </c>
      <c r="G693" s="62" t="s">
        <v>156</v>
      </c>
      <c r="H693" s="8" t="str">
        <f>VLOOKUP(G693,[1]Hoja1!$A:$O,6,0)</f>
        <v xml:space="preserve">MONTAJE DE PROYECTO ELECTRONICOS </v>
      </c>
      <c r="I693" s="4" t="s">
        <v>1437</v>
      </c>
      <c r="J693" s="4"/>
      <c r="K693" s="80" t="str">
        <f t="shared" si="122"/>
        <v>VI</v>
      </c>
      <c r="L693" s="4" t="s">
        <v>512</v>
      </c>
      <c r="M693" s="86" t="str">
        <f>VLOOKUP(G693,[1]Hoja1!$A:$O,15,0)</f>
        <v xml:space="preserve">VELAZQUEZ GERARDO </v>
      </c>
      <c r="N693" s="2" t="str">
        <f t="shared" si="135"/>
        <v>4°4°4424EFTMP4VI</v>
      </c>
      <c r="O693" s="2"/>
      <c r="P693" s="2" t="str">
        <f>VLOOKUP(G693,[1]Hoja1!$A:$P,16,0)</f>
        <v xml:space="preserve"> </v>
      </c>
      <c r="Q693" s="2"/>
      <c r="S693">
        <f>VLOOKUP(G693,[1]Hoja1!$A:$O,5,0)</f>
        <v>2680561</v>
      </c>
      <c r="U693" s="45" t="s">
        <v>2751</v>
      </c>
      <c r="V693" s="46">
        <f t="shared" si="130"/>
        <v>2680561</v>
      </c>
      <c r="W693" s="47" t="s">
        <v>1519</v>
      </c>
      <c r="X693" s="46" t="str">
        <f t="shared" si="136"/>
        <v>2</v>
      </c>
      <c r="Y693" s="47" t="s">
        <v>1518</v>
      </c>
      <c r="Z693" s="46" t="str">
        <f t="shared" si="131"/>
        <v>M</v>
      </c>
      <c r="AA693" s="47" t="s">
        <v>2752</v>
      </c>
      <c r="AB693" s="46" t="str">
        <f t="shared" si="137"/>
        <v>VIERNES</v>
      </c>
      <c r="AC693" s="47" t="s">
        <v>2753</v>
      </c>
      <c r="AD693" t="str">
        <f t="shared" si="132"/>
        <v>CONTRATURNO</v>
      </c>
      <c r="AE693" s="47" t="s">
        <v>2754</v>
      </c>
      <c r="AH693" t="str">
        <f t="shared" si="133"/>
        <v>INSERT INTO horario_curso_materia (horario_curso_materia.FK_CUR_mat,horario_curso_materia.FK_HOR,horario_curso_materia.DIA,horario_curso_materia.tipo_turno) VALUES (  (SELECT curso_materia.ID_CUR_MAT FROM curso_materia WHERE curso_materia.CUPOF='2680561' ) ,
    (SELECT horario.ID_HOR FROM horario WHERE horario.modulo='2 ' and horario.turno='M ' ),'VIERNES ' , 'CONTRATURNO ' );</v>
      </c>
    </row>
    <row r="694" spans="1:34" ht="15" hidden="1" customHeight="1" x14ac:dyDescent="0.3">
      <c r="A694" s="1" t="str">
        <f t="shared" si="134"/>
        <v>4°4°</v>
      </c>
      <c r="B694" s="54" t="str">
        <f t="shared" si="123"/>
        <v>4°4°PHEHORAJUVESPERTINO0</v>
      </c>
      <c r="C694" s="62">
        <f>VLOOKUP(G694,[1]Hoja1!$A:$O,3,0)</f>
        <v>0</v>
      </c>
      <c r="D694" s="2" t="str">
        <f t="shared" si="124"/>
        <v>PHEHORAJUV</v>
      </c>
      <c r="E694" s="62" t="s">
        <v>2794</v>
      </c>
      <c r="F694" s="62" t="s">
        <v>125</v>
      </c>
      <c r="G694" s="62" t="s">
        <v>435</v>
      </c>
      <c r="H694" s="8" t="str">
        <f>VLOOKUP(G694,[1]Hoja1!$A:$O,6,0)</f>
        <v>MATEMATICA</v>
      </c>
      <c r="I694" s="4"/>
      <c r="J694" s="4"/>
      <c r="K694" s="80" t="str">
        <f t="shared" si="122"/>
        <v>JU</v>
      </c>
      <c r="L694" s="4"/>
      <c r="M694" s="86" t="str">
        <f>VLOOKUP(G694,[1]Hoja1!$A:$O,15,0)</f>
        <v>FISTER VICTOR</v>
      </c>
      <c r="N694" s="2" t="str">
        <f t="shared" si="135"/>
        <v>4°4°4EMATESJU</v>
      </c>
      <c r="O694" s="2"/>
      <c r="P694" s="2" t="str">
        <f>VLOOKUP(G694,[1]Hoja1!$A:$P,16,0)</f>
        <v xml:space="preserve"> </v>
      </c>
      <c r="Q694" s="2"/>
      <c r="S694">
        <f>VLOOKUP(G694,[1]Hoja1!$A:$O,5,0)</f>
        <v>733568</v>
      </c>
      <c r="U694" s="45" t="s">
        <v>2751</v>
      </c>
      <c r="V694" s="46">
        <f t="shared" si="130"/>
        <v>733568</v>
      </c>
      <c r="W694" s="47" t="s">
        <v>1519</v>
      </c>
      <c r="X694" s="46" t="str">
        <f t="shared" si="136"/>
        <v>prehora</v>
      </c>
      <c r="Y694" s="47" t="s">
        <v>1518</v>
      </c>
      <c r="Z694" s="46" t="str">
        <f t="shared" si="131"/>
        <v>V</v>
      </c>
      <c r="AA694" s="47" t="s">
        <v>2752</v>
      </c>
      <c r="AB694" s="46" t="str">
        <f t="shared" si="137"/>
        <v>JUEVES</v>
      </c>
      <c r="AC694" s="47" t="s">
        <v>2753</v>
      </c>
      <c r="AD694">
        <f t="shared" si="132"/>
        <v>0</v>
      </c>
      <c r="AE694" s="47" t="s">
        <v>2754</v>
      </c>
      <c r="AH694" t="str">
        <f t="shared" si="133"/>
        <v>INSERT INTO horario_curso_materia (horario_curso_materia.FK_CUR_mat,horario_curso_materia.FK_HOR,horario_curso_materia.DIA,horario_curso_materia.tipo_turno) VALUES (  (SELECT curso_materia.ID_CUR_MAT FROM curso_materia WHERE curso_materia.CUPOF='733568' ) ,
    (SELECT horario.ID_HOR FROM horario WHERE horario.modulo='prehora ' and horario.turno='V ' ),'JUEVES ' , '0 ' );</v>
      </c>
    </row>
    <row r="695" spans="1:34" ht="15" hidden="1" customHeight="1" x14ac:dyDescent="0.3">
      <c r="A695" s="1" t="str">
        <f t="shared" si="134"/>
        <v>4°4°</v>
      </c>
      <c r="B695" s="54" t="str">
        <f t="shared" si="123"/>
        <v>4°4°3JUMAÑANA0</v>
      </c>
      <c r="C695" s="62">
        <f>VLOOKUP(G695,[1]Hoja1!$A:$O,3,0)</f>
        <v>0</v>
      </c>
      <c r="D695" s="2" t="str">
        <f t="shared" si="124"/>
        <v>3JUMPATIO</v>
      </c>
      <c r="E695" s="4" t="s">
        <v>46</v>
      </c>
      <c r="F695" s="62" t="s">
        <v>27</v>
      </c>
      <c r="G695" s="72" t="s">
        <v>438</v>
      </c>
      <c r="H695" s="8" t="str">
        <f>VLOOKUP(G695,[1]Hoja1!$A:$O,6,0)</f>
        <v>EDUCACIÓN FISICA</v>
      </c>
      <c r="I695" s="4" t="s">
        <v>241</v>
      </c>
      <c r="J695" s="4"/>
      <c r="K695" s="80" t="str">
        <f t="shared" si="122"/>
        <v>JU</v>
      </c>
      <c r="L695" s="4" t="s">
        <v>512</v>
      </c>
      <c r="M695" s="86" t="str">
        <f>VLOOKUP(G695,[1]Hoja1!$A:$O,15,0)</f>
        <v>SANCHEZ CARLOS</v>
      </c>
      <c r="N695" s="2" t="str">
        <f t="shared" si="135"/>
        <v>4°4°4EEFISJU</v>
      </c>
      <c r="O695" s="2"/>
      <c r="P695" s="2" t="str">
        <f>VLOOKUP(G695,[1]Hoja1!$A:$P,16,0)</f>
        <v xml:space="preserve"> </v>
      </c>
      <c r="Q695" s="2"/>
      <c r="S695">
        <f>VLOOKUP(G695,[1]Hoja1!$A:$O,5,0)</f>
        <v>733645</v>
      </c>
      <c r="U695" s="45" t="s">
        <v>2751</v>
      </c>
      <c r="V695" s="46">
        <f t="shared" si="130"/>
        <v>733645</v>
      </c>
      <c r="W695" s="47" t="s">
        <v>1519</v>
      </c>
      <c r="X695" s="46" t="str">
        <f t="shared" si="136"/>
        <v>3</v>
      </c>
      <c r="Y695" s="47" t="s">
        <v>1518</v>
      </c>
      <c r="Z695" s="46" t="str">
        <f t="shared" si="131"/>
        <v>M</v>
      </c>
      <c r="AA695" s="47" t="s">
        <v>2752</v>
      </c>
      <c r="AB695" s="46" t="str">
        <f t="shared" si="137"/>
        <v>JUEVES</v>
      </c>
      <c r="AC695" s="47" t="s">
        <v>2753</v>
      </c>
      <c r="AD695" t="str">
        <f t="shared" si="132"/>
        <v>CONTRATURNO</v>
      </c>
      <c r="AE695" s="47" t="s">
        <v>2754</v>
      </c>
      <c r="AH695" t="str">
        <f t="shared" si="133"/>
        <v>INSERT INTO horario_curso_materia (horario_curso_materia.FK_CUR_mat,horario_curso_materia.FK_HOR,horario_curso_materia.DIA,horario_curso_materia.tipo_turno) VALUES (  (SELECT curso_materia.ID_CUR_MAT FROM curso_materia WHERE curso_materia.CUPOF='733645' ) ,
    (SELECT horario.ID_HOR FROM horario WHERE horario.modulo='3 ' and horario.turno='M ' ),'JUEVES ' , 'CONTRATURNO ' );</v>
      </c>
    </row>
    <row r="696" spans="1:34" ht="15" hidden="1" customHeight="1" x14ac:dyDescent="0.3">
      <c r="A696" s="1" t="str">
        <f t="shared" si="134"/>
        <v>4°4°</v>
      </c>
      <c r="B696" s="54" t="str">
        <f t="shared" si="123"/>
        <v>4°4°3JUVESPERTINO0</v>
      </c>
      <c r="C696" s="62">
        <f>VLOOKUP(G696,[1]Hoja1!$A:$O,3,0)</f>
        <v>0</v>
      </c>
      <c r="D696" s="2" t="str">
        <f t="shared" si="124"/>
        <v>3JUV</v>
      </c>
      <c r="E696" s="62" t="s">
        <v>46</v>
      </c>
      <c r="F696" s="62" t="s">
        <v>125</v>
      </c>
      <c r="G696" s="62" t="s">
        <v>436</v>
      </c>
      <c r="H696" s="8" t="str">
        <f>VLOOKUP(G696,[1]Hoja1!$A:$O,6,0)</f>
        <v>FUNDAMENTOS DE LOS MODELOS CIRCUITALES</v>
      </c>
      <c r="I696" s="4"/>
      <c r="J696" s="4"/>
      <c r="K696" s="80" t="str">
        <f t="shared" si="122"/>
        <v>JU</v>
      </c>
      <c r="L696" s="4"/>
      <c r="M696" s="86" t="str">
        <f>VLOOKUP(G696,[1]Hoja1!$A:$O,15,0)</f>
        <v xml:space="preserve">FISTER VICTOR             </v>
      </c>
      <c r="N696" s="2" t="str">
        <f t="shared" si="135"/>
        <v>4°4°4EFMCJU</v>
      </c>
      <c r="O696" s="2"/>
      <c r="P696" s="2" t="str">
        <f>VLOOKUP(G696,[1]Hoja1!$A:$P,16,0)</f>
        <v xml:space="preserve"> </v>
      </c>
      <c r="Q696" s="2"/>
      <c r="S696">
        <f>VLOOKUP(G696,[1]Hoja1!$A:$O,5,0)</f>
        <v>789654</v>
      </c>
      <c r="U696" s="45" t="s">
        <v>2751</v>
      </c>
      <c r="V696" s="46">
        <f t="shared" si="130"/>
        <v>789654</v>
      </c>
      <c r="W696" s="47" t="s">
        <v>1519</v>
      </c>
      <c r="X696" s="46" t="str">
        <f t="shared" si="136"/>
        <v>3</v>
      </c>
      <c r="Y696" s="47" t="s">
        <v>1518</v>
      </c>
      <c r="Z696" s="46" t="str">
        <f t="shared" si="131"/>
        <v>V</v>
      </c>
      <c r="AA696" s="47" t="s">
        <v>2752</v>
      </c>
      <c r="AB696" s="46" t="str">
        <f t="shared" si="137"/>
        <v>JUEVES</v>
      </c>
      <c r="AC696" s="47" t="s">
        <v>2753</v>
      </c>
      <c r="AD696">
        <f t="shared" si="132"/>
        <v>0</v>
      </c>
      <c r="AE696" s="47" t="s">
        <v>2754</v>
      </c>
      <c r="AH696" t="str">
        <f t="shared" si="133"/>
        <v>INSERT INTO horario_curso_materia (horario_curso_materia.FK_CUR_mat,horario_curso_materia.FK_HOR,horario_curso_materia.DIA,horario_curso_materia.tipo_turno) VALUES (  (SELECT curso_materia.ID_CUR_MAT FROM curso_materia WHERE curso_materia.CUPOF='789654' ) ,
    (SELECT horario.ID_HOR FROM horario WHERE horario.modulo='3 ' and horario.turno='V ' ),'JUEVES ' , '0 ' );</v>
      </c>
    </row>
    <row r="697" spans="1:34" ht="15" hidden="1" customHeight="1" x14ac:dyDescent="0.3">
      <c r="A697" s="1" t="str">
        <f t="shared" si="134"/>
        <v>4°4°</v>
      </c>
      <c r="B697" s="54" t="str">
        <f t="shared" si="123"/>
        <v>4°4°3LUMAÑANA441</v>
      </c>
      <c r="C697" s="62">
        <f>VLOOKUP(G697,[1]Hoja1!$A:$O,3,0)</f>
        <v>441</v>
      </c>
      <c r="D697" s="2" t="str">
        <f t="shared" si="124"/>
        <v>3LUM46</v>
      </c>
      <c r="E697" s="62" t="s">
        <v>29</v>
      </c>
      <c r="F697" s="62" t="s">
        <v>27</v>
      </c>
      <c r="G697" s="62" t="s">
        <v>157</v>
      </c>
      <c r="H697" s="8" t="str">
        <f>VLOOKUP(G697,[1]Hoja1!$A:$O,6,0)</f>
        <v xml:space="preserve">APLIC ELECT ANALOG </v>
      </c>
      <c r="I697" s="4">
        <v>46</v>
      </c>
      <c r="J697" s="4"/>
      <c r="K697" s="80" t="str">
        <f t="shared" si="122"/>
        <v>LU</v>
      </c>
      <c r="L697" s="4" t="s">
        <v>512</v>
      </c>
      <c r="M697" s="86" t="str">
        <f>VLOOKUP(G697,[1]Hoja1!$A:$O,15,0)</f>
        <v xml:space="preserve">VELAZQUEZ GERARDO </v>
      </c>
      <c r="N697" s="2" t="str">
        <f t="shared" si="135"/>
        <v>4°4°4414EFTAE4LU</v>
      </c>
      <c r="O697" s="2"/>
      <c r="P697" s="2" t="str">
        <f>VLOOKUP(G697,[1]Hoja1!$A:$P,16,0)</f>
        <v xml:space="preserve"> </v>
      </c>
      <c r="Q697" s="2"/>
      <c r="S697">
        <f>VLOOKUP(G697,[1]Hoja1!$A:$O,5,0)</f>
        <v>2680556</v>
      </c>
      <c r="U697" s="45" t="s">
        <v>2751</v>
      </c>
      <c r="V697" s="46">
        <f t="shared" si="130"/>
        <v>2680556</v>
      </c>
      <c r="W697" s="47" t="s">
        <v>1519</v>
      </c>
      <c r="X697" s="46" t="str">
        <f t="shared" si="136"/>
        <v>3</v>
      </c>
      <c r="Y697" s="47" t="s">
        <v>1518</v>
      </c>
      <c r="Z697" s="46" t="str">
        <f t="shared" si="131"/>
        <v>M</v>
      </c>
      <c r="AA697" s="47" t="s">
        <v>2752</v>
      </c>
      <c r="AB697" s="46" t="str">
        <f t="shared" si="137"/>
        <v>LUNES</v>
      </c>
      <c r="AC697" s="47" t="s">
        <v>2753</v>
      </c>
      <c r="AD697" t="str">
        <f t="shared" si="132"/>
        <v>CONTRATURNO</v>
      </c>
      <c r="AE697" s="47" t="s">
        <v>2754</v>
      </c>
      <c r="AH697" t="str">
        <f t="shared" si="133"/>
        <v>INSERT INTO horario_curso_materia (horario_curso_materia.FK_CUR_mat,horario_curso_materia.FK_HOR,horario_curso_materia.DIA,horario_curso_materia.tipo_turno) VALUES (  (SELECT curso_materia.ID_CUR_MAT FROM curso_materia WHERE curso_materia.CUPOF='2680556' ) ,
    (SELECT horario.ID_HOR FROM horario WHERE horario.modulo='3 ' and horario.turno='M ' ),'LUNES ' , 'CONTRATURNO ' );</v>
      </c>
    </row>
    <row r="698" spans="1:34" ht="15" hidden="1" customHeight="1" x14ac:dyDescent="0.3">
      <c r="A698" s="1" t="str">
        <f t="shared" si="134"/>
        <v>4°4°</v>
      </c>
      <c r="B698" s="54" t="str">
        <f t="shared" si="123"/>
        <v>4°4°3LUVESPERTINO0</v>
      </c>
      <c r="C698" s="62">
        <f>VLOOKUP(G698,[1]Hoja1!$A:$O,3,0)</f>
        <v>0</v>
      </c>
      <c r="D698" s="2" t="str">
        <f t="shared" si="124"/>
        <v>3LUV</v>
      </c>
      <c r="E698" s="62" t="s">
        <v>29</v>
      </c>
      <c r="F698" s="62" t="s">
        <v>125</v>
      </c>
      <c r="G698" s="62" t="s">
        <v>429</v>
      </c>
      <c r="H698" s="8" t="str">
        <f>VLOOKUP(G698,[1]Hoja1!$A:$O,6,0)</f>
        <v>TECNOLOGIAS ELECTRONICAS</v>
      </c>
      <c r="I698" s="4"/>
      <c r="J698" s="4"/>
      <c r="K698" s="80" t="str">
        <f t="shared" si="122"/>
        <v>LU</v>
      </c>
      <c r="L698" s="4"/>
      <c r="M698" s="86" t="str">
        <f>VLOOKUP(G698,[1]Hoja1!$A:$O,15,0)</f>
        <v>SERENO, LEONEL</v>
      </c>
      <c r="N698" s="2" t="str">
        <f t="shared" si="135"/>
        <v>4°4°4ETELELU</v>
      </c>
      <c r="O698" s="2"/>
      <c r="P698" s="2" t="str">
        <f>VLOOKUP(G698,[1]Hoja1!$A:$P,16,0)</f>
        <v xml:space="preserve"> </v>
      </c>
      <c r="Q698" s="2"/>
      <c r="S698">
        <f>VLOOKUP(G698,[1]Hoja1!$A:$O,5,0)</f>
        <v>790146</v>
      </c>
      <c r="U698" s="45" t="s">
        <v>2751</v>
      </c>
      <c r="V698" s="46">
        <f t="shared" si="130"/>
        <v>790146</v>
      </c>
      <c r="W698" s="47" t="s">
        <v>1519</v>
      </c>
      <c r="X698" s="46" t="str">
        <f t="shared" si="136"/>
        <v>3</v>
      </c>
      <c r="Y698" s="47" t="s">
        <v>1518</v>
      </c>
      <c r="Z698" s="46" t="str">
        <f t="shared" si="131"/>
        <v>V</v>
      </c>
      <c r="AA698" s="47" t="s">
        <v>2752</v>
      </c>
      <c r="AB698" s="46" t="str">
        <f t="shared" si="137"/>
        <v>LUNES</v>
      </c>
      <c r="AC698" s="47" t="s">
        <v>2753</v>
      </c>
      <c r="AD698">
        <f t="shared" si="132"/>
        <v>0</v>
      </c>
      <c r="AE698" s="47" t="s">
        <v>2754</v>
      </c>
      <c r="AH698" t="str">
        <f t="shared" si="133"/>
        <v>INSERT INTO horario_curso_materia (horario_curso_materia.FK_CUR_mat,horario_curso_materia.FK_HOR,horario_curso_materia.DIA,horario_curso_materia.tipo_turno) VALUES (  (SELECT curso_materia.ID_CUR_MAT FROM curso_materia WHERE curso_materia.CUPOF='790146' ) ,
    (SELECT horario.ID_HOR FROM horario WHERE horario.modulo='3 ' and horario.turno='V ' ),'LUNES ' , '0 ' );</v>
      </c>
    </row>
    <row r="699" spans="1:34" ht="14.25" hidden="1" customHeight="1" x14ac:dyDescent="0.3">
      <c r="A699" s="1" t="str">
        <f t="shared" si="134"/>
        <v>4°4°</v>
      </c>
      <c r="B699" s="54" t="str">
        <f t="shared" si="123"/>
        <v>4°4°3MAMAÑANA441</v>
      </c>
      <c r="C699" s="62">
        <f>VLOOKUP(G699,[1]Hoja1!$A:$O,3,0)</f>
        <v>441</v>
      </c>
      <c r="D699" s="2" t="str">
        <f t="shared" si="124"/>
        <v>3MAM45</v>
      </c>
      <c r="E699" s="62" t="s">
        <v>13</v>
      </c>
      <c r="F699" s="62" t="s">
        <v>27</v>
      </c>
      <c r="G699" s="62" t="s">
        <v>158</v>
      </c>
      <c r="H699" s="8" t="str">
        <f>VLOOKUP(G699,[1]Hoja1!$A:$O,6,0)</f>
        <v>APLIC ELECTR DIGITAL</v>
      </c>
      <c r="I699" s="4">
        <v>45</v>
      </c>
      <c r="J699" s="4"/>
      <c r="K699" s="80" t="str">
        <f t="shared" ref="K699:K762" si="138">RIGHT(E699,2)</f>
        <v>MA</v>
      </c>
      <c r="L699" s="4" t="s">
        <v>512</v>
      </c>
      <c r="M699" s="86" t="str">
        <f>VLOOKUP(G699,[1]Hoja1!$A:$O,15,0)</f>
        <v>MARTINEZ, SILVIO</v>
      </c>
      <c r="N699" s="2" t="str">
        <f t="shared" si="135"/>
        <v>4°4°4414EFTED4MA</v>
      </c>
      <c r="O699" s="2"/>
      <c r="P699" s="2" t="str">
        <f>VLOOKUP(G699,[1]Hoja1!$A:$P,16,0)</f>
        <v xml:space="preserve"> </v>
      </c>
      <c r="Q699" s="2"/>
      <c r="S699">
        <f>VLOOKUP(G699,[1]Hoja1!$A:$O,5,0)</f>
        <v>2680557</v>
      </c>
      <c r="U699" s="45" t="s">
        <v>2751</v>
      </c>
      <c r="V699" s="46">
        <f t="shared" si="130"/>
        <v>2680557</v>
      </c>
      <c r="W699" s="47" t="s">
        <v>1519</v>
      </c>
      <c r="X699" s="46" t="str">
        <f t="shared" si="136"/>
        <v>3</v>
      </c>
      <c r="Y699" s="47" t="s">
        <v>1518</v>
      </c>
      <c r="Z699" s="46" t="str">
        <f t="shared" si="131"/>
        <v>M</v>
      </c>
      <c r="AA699" s="47" t="s">
        <v>2752</v>
      </c>
      <c r="AB699" s="46" t="str">
        <f t="shared" si="137"/>
        <v>MARTES</v>
      </c>
      <c r="AC699" s="47" t="s">
        <v>2753</v>
      </c>
      <c r="AD699" t="str">
        <f t="shared" si="132"/>
        <v>CONTRATURNO</v>
      </c>
      <c r="AE699" s="47" t="s">
        <v>2754</v>
      </c>
      <c r="AH699" t="str">
        <f t="shared" si="133"/>
        <v>INSERT INTO horario_curso_materia (horario_curso_materia.FK_CUR_mat,horario_curso_materia.FK_HOR,horario_curso_materia.DIA,horario_curso_materia.tipo_turno) VALUES (  (SELECT curso_materia.ID_CUR_MAT FROM curso_materia WHERE curso_materia.CUPOF='2680557' ) ,
    (SELECT horario.ID_HOR FROM horario WHERE horario.modulo='3 ' and horario.turno='M ' ),'MARTES ' , 'CONTRATURNO ' );</v>
      </c>
    </row>
    <row r="700" spans="1:34" ht="15" hidden="1" customHeight="1" x14ac:dyDescent="0.3">
      <c r="A700" s="1" t="str">
        <f t="shared" si="134"/>
        <v>4°4°</v>
      </c>
      <c r="B700" s="54" t="str">
        <f t="shared" si="123"/>
        <v>4°4°3luMAÑANA442</v>
      </c>
      <c r="C700" s="62">
        <f>VLOOKUP(G700,[1]Hoja1!$A:$O,3,0)</f>
        <v>442</v>
      </c>
      <c r="D700" s="2" t="str">
        <f t="shared" si="124"/>
        <v>3luMHARDWARE</v>
      </c>
      <c r="E700" s="62" t="s">
        <v>1514</v>
      </c>
      <c r="F700" s="62" t="s">
        <v>27</v>
      </c>
      <c r="G700" s="62" t="s">
        <v>159</v>
      </c>
      <c r="H700" s="8" t="str">
        <f>VLOOKUP(G700,[1]Hoja1!$A:$O,6,0)</f>
        <v xml:space="preserve">APLIC ELECT ANALOG </v>
      </c>
      <c r="I700" s="4" t="s">
        <v>38</v>
      </c>
      <c r="J700" s="4"/>
      <c r="K700" s="80" t="str">
        <f t="shared" si="138"/>
        <v>lu</v>
      </c>
      <c r="L700" s="4" t="s">
        <v>512</v>
      </c>
      <c r="M700" s="86" t="str">
        <f>VLOOKUP(G700,[1]Hoja1!$A:$O,15,0)</f>
        <v>ARNALDO ESCALADA</v>
      </c>
      <c r="N700" s="2" t="str">
        <f t="shared" si="135"/>
        <v>4°4°4424EFTAE4lu</v>
      </c>
      <c r="O700" s="2"/>
      <c r="P700" s="2" t="str">
        <f>VLOOKUP(G700,[1]Hoja1!$A:$P,16,0)</f>
        <v xml:space="preserve"> </v>
      </c>
      <c r="Q700" s="2"/>
      <c r="S700">
        <f>VLOOKUP(G700,[1]Hoja1!$A:$O,5,0)</f>
        <v>2680559</v>
      </c>
      <c r="U700" s="45" t="s">
        <v>2751</v>
      </c>
      <c r="V700" s="46">
        <f t="shared" si="130"/>
        <v>2680559</v>
      </c>
      <c r="W700" s="47" t="s">
        <v>1519</v>
      </c>
      <c r="X700" s="46" t="str">
        <f t="shared" si="136"/>
        <v>3</v>
      </c>
      <c r="Y700" s="47" t="s">
        <v>1518</v>
      </c>
      <c r="Z700" s="46" t="str">
        <f t="shared" si="131"/>
        <v>M</v>
      </c>
      <c r="AA700" s="47" t="s">
        <v>2752</v>
      </c>
      <c r="AB700" s="46" t="str">
        <f t="shared" si="137"/>
        <v>LUNES</v>
      </c>
      <c r="AC700" s="47" t="s">
        <v>2753</v>
      </c>
      <c r="AD700" t="str">
        <f t="shared" si="132"/>
        <v>CONTRATURNO</v>
      </c>
      <c r="AE700" s="47" t="s">
        <v>2754</v>
      </c>
      <c r="AH700" t="str">
        <f t="shared" si="133"/>
        <v>INSERT INTO horario_curso_materia (horario_curso_materia.FK_CUR_mat,horario_curso_materia.FK_HOR,horario_curso_materia.DIA,horario_curso_materia.tipo_turno) VALUES (  (SELECT curso_materia.ID_CUR_MAT FROM curso_materia WHERE curso_materia.CUPOF='2680559' ) ,
    (SELECT horario.ID_HOR FROM horario WHERE horario.modulo='3 ' and horario.turno='M ' ),'LUNES ' , 'CONTRATURNO ' );</v>
      </c>
    </row>
    <row r="701" spans="1:34" ht="15" hidden="1" customHeight="1" x14ac:dyDescent="0.3">
      <c r="A701" s="1" t="str">
        <f t="shared" si="134"/>
        <v>4°4°</v>
      </c>
      <c r="B701" s="54" t="str">
        <f t="shared" si="123"/>
        <v>4°4°3MAVESPERTINO0</v>
      </c>
      <c r="C701" s="62">
        <f>VLOOKUP(G701,[1]Hoja1!$A:$O,3,0)</f>
        <v>0</v>
      </c>
      <c r="D701" s="2" t="str">
        <f t="shared" si="124"/>
        <v>3MAV</v>
      </c>
      <c r="E701" s="62" t="s">
        <v>13</v>
      </c>
      <c r="F701" s="62" t="s">
        <v>125</v>
      </c>
      <c r="G701" s="62" t="s">
        <v>432</v>
      </c>
      <c r="H701" s="8" t="str">
        <f>VLOOKUP(G701,[1]Hoja1!$A:$O,6,0)</f>
        <v>FISICA</v>
      </c>
      <c r="I701" s="4"/>
      <c r="J701" s="4"/>
      <c r="K701" s="80" t="str">
        <f t="shared" si="138"/>
        <v>MA</v>
      </c>
      <c r="L701" s="4"/>
      <c r="M701" s="86" t="str">
        <f>VLOOKUP(G701,[1]Hoja1!$A:$O,15,0)</f>
        <v>PROCHOR JUAN</v>
      </c>
      <c r="N701" s="2" t="str">
        <f t="shared" si="135"/>
        <v>4°4°4EFISMA</v>
      </c>
      <c r="O701" s="2"/>
      <c r="P701" s="2" t="str">
        <f>VLOOKUP(G701,[1]Hoja1!$A:$P,16,0)</f>
        <v xml:space="preserve"> </v>
      </c>
      <c r="Q701" s="2"/>
      <c r="S701">
        <f>VLOOKUP(G701,[1]Hoja1!$A:$O,5,0)</f>
        <v>733706</v>
      </c>
      <c r="U701" s="45" t="s">
        <v>2751</v>
      </c>
      <c r="V701" s="46">
        <f t="shared" si="130"/>
        <v>733706</v>
      </c>
      <c r="W701" s="47" t="s">
        <v>1519</v>
      </c>
      <c r="X701" s="46" t="str">
        <f t="shared" si="136"/>
        <v>3</v>
      </c>
      <c r="Y701" s="47" t="s">
        <v>1518</v>
      </c>
      <c r="Z701" s="46" t="str">
        <f t="shared" si="131"/>
        <v>V</v>
      </c>
      <c r="AA701" s="47" t="s">
        <v>2752</v>
      </c>
      <c r="AB701" s="46" t="str">
        <f t="shared" si="137"/>
        <v>MARTES</v>
      </c>
      <c r="AC701" s="47" t="s">
        <v>2753</v>
      </c>
      <c r="AD701">
        <f t="shared" si="132"/>
        <v>0</v>
      </c>
      <c r="AE701" s="47" t="s">
        <v>2754</v>
      </c>
      <c r="AH701" t="str">
        <f t="shared" si="133"/>
        <v>INSERT INTO horario_curso_materia (horario_curso_materia.FK_CUR_mat,horario_curso_materia.FK_HOR,horario_curso_materia.DIA,horario_curso_materia.tipo_turno) VALUES (  (SELECT curso_materia.ID_CUR_MAT FROM curso_materia WHERE curso_materia.CUPOF='733706' ) ,
    (SELECT horario.ID_HOR FROM horario WHERE horario.modulo='3 ' and horario.turno='V ' ),'MARTES ' , '0 ' );</v>
      </c>
    </row>
    <row r="702" spans="1:34" ht="14.25" hidden="1" customHeight="1" x14ac:dyDescent="0.3">
      <c r="A702" s="1" t="str">
        <f t="shared" si="134"/>
        <v>4°4°</v>
      </c>
      <c r="B702" s="54" t="str">
        <f t="shared" si="123"/>
        <v>4°4°3viTARDE442</v>
      </c>
      <c r="C702" s="62">
        <f>VLOOKUP(G702,[1]Hoja1!$A:$O,3,0)</f>
        <v>442</v>
      </c>
      <c r="D702" s="2" t="str">
        <f t="shared" si="124"/>
        <v>3viT46</v>
      </c>
      <c r="E702" s="62" t="s">
        <v>1336</v>
      </c>
      <c r="F702" s="62" t="s">
        <v>10</v>
      </c>
      <c r="G702" s="62" t="s">
        <v>160</v>
      </c>
      <c r="H702" s="8" t="str">
        <f>VLOOKUP(G702,[1]Hoja1!$A:$O,6,0)</f>
        <v>APLIC ELECTR DIGITAL</v>
      </c>
      <c r="I702" s="4">
        <v>46</v>
      </c>
      <c r="J702" s="4"/>
      <c r="K702" s="80" t="str">
        <f t="shared" si="138"/>
        <v>vi</v>
      </c>
      <c r="L702" s="4" t="s">
        <v>512</v>
      </c>
      <c r="M702" s="86" t="str">
        <f>VLOOKUP(G702,[1]Hoja1!$A:$O,15,0)</f>
        <v xml:space="preserve">FISTER (Serv.Prov)         </v>
      </c>
      <c r="N702" s="2" t="str">
        <f t="shared" si="135"/>
        <v>4°4°4424EFTED4vi</v>
      </c>
      <c r="O702" s="2"/>
      <c r="P702" s="2" t="str">
        <f>VLOOKUP(G702,[1]Hoja1!$A:$P,16,0)</f>
        <v xml:space="preserve"> </v>
      </c>
      <c r="Q702" s="2"/>
      <c r="S702">
        <f>VLOOKUP(G702,[1]Hoja1!$A:$O,5,0)</f>
        <v>2680560</v>
      </c>
      <c r="U702" s="45" t="s">
        <v>2751</v>
      </c>
      <c r="V702" s="46">
        <f t="shared" si="130"/>
        <v>2680560</v>
      </c>
      <c r="W702" s="47" t="s">
        <v>1519</v>
      </c>
      <c r="X702" s="46" t="str">
        <f t="shared" si="136"/>
        <v>3</v>
      </c>
      <c r="Y702" s="47" t="s">
        <v>1518</v>
      </c>
      <c r="Z702" s="46" t="str">
        <f t="shared" si="131"/>
        <v>T</v>
      </c>
      <c r="AA702" s="47" t="s">
        <v>2752</v>
      </c>
      <c r="AB702" s="46" t="str">
        <f t="shared" si="137"/>
        <v>VIERNES</v>
      </c>
      <c r="AC702" s="47" t="s">
        <v>2753</v>
      </c>
      <c r="AD702" t="str">
        <f t="shared" si="132"/>
        <v>CONTRATURNO</v>
      </c>
      <c r="AE702" s="47" t="s">
        <v>2754</v>
      </c>
      <c r="AH702" t="str">
        <f t="shared" si="133"/>
        <v>INSERT INTO horario_curso_materia (horario_curso_materia.FK_CUR_mat,horario_curso_materia.FK_HOR,horario_curso_materia.DIA,horario_curso_materia.tipo_turno) VALUES (  (SELECT curso_materia.ID_CUR_MAT FROM curso_materia WHERE curso_materia.CUPOF='2680560' ) ,
    (SELECT horario.ID_HOR FROM horario WHERE horario.modulo='3 ' and horario.turno='T ' ),'VIERNES ' , 'CONTRATURNO ' );</v>
      </c>
    </row>
    <row r="703" spans="1:34" ht="15" hidden="1" customHeight="1" x14ac:dyDescent="0.3">
      <c r="A703" s="1" t="str">
        <f t="shared" si="134"/>
        <v>4°4°</v>
      </c>
      <c r="B703" s="54" t="str">
        <f t="shared" si="123"/>
        <v>4°4°1MIVESPERTINO0</v>
      </c>
      <c r="C703" s="62">
        <f>VLOOKUP(G703,[1]Hoja1!$A:$O,3,0)</f>
        <v>0</v>
      </c>
      <c r="D703" s="2" t="str">
        <f t="shared" si="124"/>
        <v>1MIV</v>
      </c>
      <c r="E703" s="62" t="s">
        <v>24</v>
      </c>
      <c r="F703" s="62" t="s">
        <v>125</v>
      </c>
      <c r="G703" s="62" t="s">
        <v>434</v>
      </c>
      <c r="H703" s="8" t="str">
        <f>VLOOKUP(G703,[1]Hoja1!$A:$O,6,0)</f>
        <v>SALUD Y ADOLESCENCIA</v>
      </c>
      <c r="I703" s="4"/>
      <c r="J703" s="4"/>
      <c r="K703" s="80" t="str">
        <f t="shared" si="138"/>
        <v>MI</v>
      </c>
      <c r="L703" s="4"/>
      <c r="M703" s="86" t="str">
        <f>VLOOKUP(G703,[1]Hoja1!$A:$O,15,0)</f>
        <v>TORRES VANINA</v>
      </c>
      <c r="N703" s="2" t="str">
        <f t="shared" si="135"/>
        <v>4°4°4ESADSMI</v>
      </c>
      <c r="O703" s="2"/>
      <c r="P703" s="2" t="str">
        <f>VLOOKUP(G703,[1]Hoja1!$A:$P,16,0)</f>
        <v xml:space="preserve"> </v>
      </c>
      <c r="Q703" s="2"/>
      <c r="S703">
        <f>VLOOKUP(G703,[1]Hoja1!$A:$O,5,0)</f>
        <v>1517205</v>
      </c>
      <c r="U703" s="45" t="s">
        <v>2751</v>
      </c>
      <c r="V703" s="46">
        <f t="shared" si="130"/>
        <v>1517205</v>
      </c>
      <c r="W703" s="47" t="s">
        <v>1519</v>
      </c>
      <c r="X703" s="46" t="str">
        <f t="shared" si="136"/>
        <v>1</v>
      </c>
      <c r="Y703" s="47" t="s">
        <v>1518</v>
      </c>
      <c r="Z703" s="46" t="str">
        <f t="shared" si="131"/>
        <v>V</v>
      </c>
      <c r="AA703" s="47" t="s">
        <v>2752</v>
      </c>
      <c r="AB703" s="46" t="str">
        <f t="shared" si="137"/>
        <v>MIERCOLES</v>
      </c>
      <c r="AC703" s="47" t="s">
        <v>2753</v>
      </c>
      <c r="AD703">
        <f t="shared" si="132"/>
        <v>0</v>
      </c>
      <c r="AE703" s="47" t="s">
        <v>2754</v>
      </c>
      <c r="AH703" t="str">
        <f t="shared" si="133"/>
        <v>INSERT INTO horario_curso_materia (horario_curso_materia.FK_CUR_mat,horario_curso_materia.FK_HOR,horario_curso_materia.DIA,horario_curso_materia.tipo_turno) VALUES (  (SELECT curso_materia.ID_CUR_MAT FROM curso_materia WHERE curso_materia.CUPOF='1517205' ) ,
    (SELECT horario.ID_HOR FROM horario WHERE horario.modulo='1 ' and horario.turno='V ' ),'MIERCOLES ' , '0 ' );</v>
      </c>
    </row>
    <row r="704" spans="1:34" ht="15" hidden="1" customHeight="1" x14ac:dyDescent="0.3">
      <c r="A704" s="1" t="str">
        <f t="shared" si="134"/>
        <v>4°4°</v>
      </c>
      <c r="B704" s="54" t="str">
        <f t="shared" si="123"/>
        <v>4°4°3VIMAÑANA441</v>
      </c>
      <c r="C704" s="62">
        <f>VLOOKUP(G704,[1]Hoja1!$A:$O,3,0)</f>
        <v>441</v>
      </c>
      <c r="D704" s="2" t="str">
        <f t="shared" si="124"/>
        <v>3VIM46</v>
      </c>
      <c r="E704" s="62" t="s">
        <v>35</v>
      </c>
      <c r="F704" s="62" t="s">
        <v>27</v>
      </c>
      <c r="G704" s="62" t="s">
        <v>161</v>
      </c>
      <c r="H704" s="8" t="str">
        <f>VLOOKUP(G704,[1]Hoja1!$A:$O,6,0)</f>
        <v xml:space="preserve">MONTAJE DE PROYECTO ELECTRONICOS </v>
      </c>
      <c r="I704" s="4">
        <v>46</v>
      </c>
      <c r="J704" s="4"/>
      <c r="K704" s="80" t="str">
        <f t="shared" si="138"/>
        <v>VI</v>
      </c>
      <c r="L704" s="4" t="s">
        <v>512</v>
      </c>
      <c r="M704" s="86" t="str">
        <f>VLOOKUP(G704,[1]Hoja1!$A:$O,15,0)</f>
        <v xml:space="preserve">QUINTANA RAMON </v>
      </c>
      <c r="N704" s="2" t="str">
        <f t="shared" si="135"/>
        <v>4°4°4414EFTMP4VI</v>
      </c>
      <c r="O704" s="2"/>
      <c r="P704" s="2" t="str">
        <f>VLOOKUP(G704,[1]Hoja1!$A:$P,16,0)</f>
        <v xml:space="preserve"> </v>
      </c>
      <c r="Q704" s="2"/>
      <c r="S704">
        <f>VLOOKUP(G704,[1]Hoja1!$A:$O,5,0)</f>
        <v>2680558</v>
      </c>
      <c r="U704" s="45" t="s">
        <v>2751</v>
      </c>
      <c r="V704" s="46">
        <f t="shared" si="130"/>
        <v>2680558</v>
      </c>
      <c r="W704" s="47" t="s">
        <v>1519</v>
      </c>
      <c r="X704" s="46" t="str">
        <f t="shared" si="136"/>
        <v>3</v>
      </c>
      <c r="Y704" s="47" t="s">
        <v>1518</v>
      </c>
      <c r="Z704" s="46" t="str">
        <f t="shared" si="131"/>
        <v>M</v>
      </c>
      <c r="AA704" s="47" t="s">
        <v>2752</v>
      </c>
      <c r="AB704" s="46" t="str">
        <f t="shared" si="137"/>
        <v>VIERNES</v>
      </c>
      <c r="AC704" s="47" t="s">
        <v>2753</v>
      </c>
      <c r="AD704" t="str">
        <f t="shared" si="132"/>
        <v>CONTRATURNO</v>
      </c>
      <c r="AE704" s="47" t="s">
        <v>2754</v>
      </c>
      <c r="AH704" t="str">
        <f t="shared" si="133"/>
        <v>INSERT INTO horario_curso_materia (horario_curso_materia.FK_CUR_mat,horario_curso_materia.FK_HOR,horario_curso_materia.DIA,horario_curso_materia.tipo_turno) VALUES (  (SELECT curso_materia.ID_CUR_MAT FROM curso_materia WHERE curso_materia.CUPOF='2680558' ) ,
    (SELECT horario.ID_HOR FROM horario WHERE horario.modulo='3 ' and horario.turno='M ' ),'VIERNES ' , 'CONTRATURNO ' );</v>
      </c>
    </row>
    <row r="705" spans="1:34" ht="15" hidden="1" customHeight="1" x14ac:dyDescent="0.3">
      <c r="A705" s="1" t="str">
        <f t="shared" si="134"/>
        <v>4°4°</v>
      </c>
      <c r="B705" s="54" t="str">
        <f t="shared" si="123"/>
        <v>4°4°3VIMAÑANA442</v>
      </c>
      <c r="C705" s="62">
        <f>VLOOKUP(G705,[1]Hoja1!$A:$O,3,0)</f>
        <v>442</v>
      </c>
      <c r="D705" s="2" t="str">
        <f t="shared" si="124"/>
        <v>3VIMaula 4</v>
      </c>
      <c r="E705" s="62" t="s">
        <v>35</v>
      </c>
      <c r="F705" s="62" t="s">
        <v>27</v>
      </c>
      <c r="G705" s="62" t="s">
        <v>156</v>
      </c>
      <c r="H705" s="8" t="str">
        <f>VLOOKUP(G705,[1]Hoja1!$A:$O,6,0)</f>
        <v xml:space="preserve">MONTAJE DE PROYECTO ELECTRONICOS </v>
      </c>
      <c r="I705" s="4" t="s">
        <v>1437</v>
      </c>
      <c r="J705" s="4"/>
      <c r="K705" s="80" t="str">
        <f t="shared" si="138"/>
        <v>VI</v>
      </c>
      <c r="L705" s="4" t="s">
        <v>512</v>
      </c>
      <c r="M705" s="86" t="str">
        <f>VLOOKUP(G705,[1]Hoja1!$A:$O,15,0)</f>
        <v xml:space="preserve">VELAZQUEZ GERARDO </v>
      </c>
      <c r="N705" s="2" t="str">
        <f t="shared" si="135"/>
        <v>4°4°4424EFTMP4VI</v>
      </c>
      <c r="O705" s="2" t="s">
        <v>1455</v>
      </c>
      <c r="P705" s="2" t="str">
        <f>VLOOKUP(G705,[1]Hoja1!$A:$P,16,0)</f>
        <v xml:space="preserve"> </v>
      </c>
      <c r="Q705" s="2"/>
      <c r="S705">
        <f>VLOOKUP(G705,[1]Hoja1!$A:$O,5,0)</f>
        <v>2680561</v>
      </c>
      <c r="U705" s="45" t="s">
        <v>2751</v>
      </c>
      <c r="V705" s="46">
        <f t="shared" si="130"/>
        <v>2680561</v>
      </c>
      <c r="W705" s="47" t="s">
        <v>1519</v>
      </c>
      <c r="X705" s="46" t="str">
        <f t="shared" si="136"/>
        <v>3</v>
      </c>
      <c r="Y705" s="47" t="s">
        <v>1518</v>
      </c>
      <c r="Z705" s="46" t="str">
        <f t="shared" si="131"/>
        <v>M</v>
      </c>
      <c r="AA705" s="47" t="s">
        <v>2752</v>
      </c>
      <c r="AB705" s="46" t="str">
        <f t="shared" si="137"/>
        <v>VIERNES</v>
      </c>
      <c r="AC705" s="47" t="s">
        <v>2753</v>
      </c>
      <c r="AD705" t="str">
        <f t="shared" si="132"/>
        <v>CONTRATURNO</v>
      </c>
      <c r="AE705" s="47" t="s">
        <v>2754</v>
      </c>
      <c r="AH705" t="str">
        <f t="shared" si="133"/>
        <v>INSERT INTO horario_curso_materia (horario_curso_materia.FK_CUR_mat,horario_curso_materia.FK_HOR,horario_curso_materia.DIA,horario_curso_materia.tipo_turno) VALUES (  (SELECT curso_materia.ID_CUR_MAT FROM curso_materia WHERE curso_materia.CUPOF='2680561' ) ,
    (SELECT horario.ID_HOR FROM horario WHERE horario.modulo='3 ' and horario.turno='M ' ),'VIERNES ' , 'CONTRATURNO ' );</v>
      </c>
    </row>
    <row r="706" spans="1:34" ht="15" hidden="1" customHeight="1" x14ac:dyDescent="0.3">
      <c r="A706" s="1" t="str">
        <f t="shared" si="134"/>
        <v>4°4°</v>
      </c>
      <c r="B706" s="54" t="str">
        <f t="shared" ref="B706:B769" si="139">CONCATENATE(LEFT(G706,4),E706,F706,C706)</f>
        <v>4°4°3VIVESPERTINO0</v>
      </c>
      <c r="C706" s="62">
        <f>VLOOKUP(G706,[1]Hoja1!$A:$O,3,0)</f>
        <v>0</v>
      </c>
      <c r="D706" s="2" t="str">
        <f t="shared" si="124"/>
        <v>3VIV</v>
      </c>
      <c r="E706" s="62" t="s">
        <v>35</v>
      </c>
      <c r="F706" s="62" t="s">
        <v>125</v>
      </c>
      <c r="G706" s="62" t="s">
        <v>431</v>
      </c>
      <c r="H706" s="8" t="str">
        <f>VLOOKUP(G706,[1]Hoja1!$A:$O,6,0)</f>
        <v>QUIMICA</v>
      </c>
      <c r="I706" s="4"/>
      <c r="J706" s="4"/>
      <c r="K706" s="80" t="str">
        <f t="shared" si="138"/>
        <v>VI</v>
      </c>
      <c r="L706" s="4"/>
      <c r="M706" s="86" t="str">
        <f>VLOOKUP(G706,[1]Hoja1!$A:$O,15,0)</f>
        <v xml:space="preserve">STEIN PAMELA </v>
      </c>
      <c r="N706" s="2" t="str">
        <f t="shared" si="135"/>
        <v>4°4°4EQUISVI</v>
      </c>
      <c r="O706" s="2"/>
      <c r="P706" s="2" t="str">
        <f>VLOOKUP(G706,[1]Hoja1!$A:$P,16,0)</f>
        <v xml:space="preserve"> </v>
      </c>
      <c r="Q706" s="2"/>
      <c r="S706">
        <f>VLOOKUP(G706,[1]Hoja1!$A:$O,5,0)</f>
        <v>733703</v>
      </c>
      <c r="U706" s="45" t="s">
        <v>2751</v>
      </c>
      <c r="V706" s="46">
        <f t="shared" si="130"/>
        <v>733703</v>
      </c>
      <c r="W706" s="47" t="s">
        <v>1519</v>
      </c>
      <c r="X706" s="46" t="str">
        <f t="shared" si="136"/>
        <v>3</v>
      </c>
      <c r="Y706" s="47" t="s">
        <v>1518</v>
      </c>
      <c r="Z706" s="46" t="str">
        <f t="shared" si="131"/>
        <v>V</v>
      </c>
      <c r="AA706" s="47" t="s">
        <v>2752</v>
      </c>
      <c r="AB706" s="46" t="str">
        <f t="shared" si="137"/>
        <v>VIERNES</v>
      </c>
      <c r="AC706" s="47" t="s">
        <v>2753</v>
      </c>
      <c r="AD706">
        <f t="shared" si="132"/>
        <v>0</v>
      </c>
      <c r="AE706" s="47" t="s">
        <v>2754</v>
      </c>
      <c r="AH706" t="str">
        <f t="shared" si="133"/>
        <v>INSERT INTO horario_curso_materia (horario_curso_materia.FK_CUR_mat,horario_curso_materia.FK_HOR,horario_curso_materia.DIA,horario_curso_materia.tipo_turno) VALUES (  (SELECT curso_materia.ID_CUR_MAT FROM curso_materia WHERE curso_materia.CUPOF='733703' ) ,
    (SELECT horario.ID_HOR FROM horario WHERE horario.modulo='3 ' and horario.turno='V ' ),'VIERNES ' , '0 ' );</v>
      </c>
    </row>
    <row r="707" spans="1:34" ht="15" hidden="1" customHeight="1" x14ac:dyDescent="0.3">
      <c r="A707" s="1" t="str">
        <f t="shared" si="134"/>
        <v>4°4°</v>
      </c>
      <c r="B707" s="54" t="str">
        <f t="shared" si="139"/>
        <v>4°4°4JUMAÑANA0</v>
      </c>
      <c r="C707" s="62">
        <f>VLOOKUP(G707,[1]Hoja1!$A:$O,3,0)</f>
        <v>0</v>
      </c>
      <c r="D707" s="2" t="str">
        <f t="shared" si="124"/>
        <v>4JUMPATIO</v>
      </c>
      <c r="E707" s="4" t="s">
        <v>48</v>
      </c>
      <c r="F707" s="62" t="s">
        <v>27</v>
      </c>
      <c r="G707" s="72" t="s">
        <v>438</v>
      </c>
      <c r="H707" s="8" t="str">
        <f>VLOOKUP(G707,[1]Hoja1!$A:$O,6,0)</f>
        <v>EDUCACIÓN FISICA</v>
      </c>
      <c r="I707" s="4" t="s">
        <v>241</v>
      </c>
      <c r="J707" s="4"/>
      <c r="K707" s="80" t="str">
        <f t="shared" si="138"/>
        <v>JU</v>
      </c>
      <c r="L707" s="4" t="s">
        <v>512</v>
      </c>
      <c r="M707" s="86" t="str">
        <f>VLOOKUP(G707,[1]Hoja1!$A:$O,15,0)</f>
        <v>SANCHEZ CARLOS</v>
      </c>
      <c r="N707" s="2" t="str">
        <f t="shared" si="135"/>
        <v>4°4°4EEFISJU</v>
      </c>
      <c r="O707" s="2"/>
      <c r="P707" s="2" t="str">
        <f>VLOOKUP(G707,[1]Hoja1!$A:$P,16,0)</f>
        <v xml:space="preserve"> </v>
      </c>
      <c r="Q707" s="2"/>
      <c r="S707">
        <f>VLOOKUP(G707,[1]Hoja1!$A:$O,5,0)</f>
        <v>733645</v>
      </c>
      <c r="U707" s="45" t="s">
        <v>2751</v>
      </c>
      <c r="V707" s="46">
        <f t="shared" si="130"/>
        <v>733645</v>
      </c>
      <c r="W707" s="47" t="s">
        <v>1519</v>
      </c>
      <c r="X707" s="46" t="str">
        <f t="shared" si="136"/>
        <v>4</v>
      </c>
      <c r="Y707" s="47" t="s">
        <v>1518</v>
      </c>
      <c r="Z707" s="46" t="str">
        <f t="shared" si="131"/>
        <v>M</v>
      </c>
      <c r="AA707" s="47" t="s">
        <v>2752</v>
      </c>
      <c r="AB707" s="46" t="str">
        <f t="shared" si="137"/>
        <v>JUEVES</v>
      </c>
      <c r="AC707" s="47" t="s">
        <v>2753</v>
      </c>
      <c r="AD707" t="str">
        <f t="shared" si="132"/>
        <v>CONTRATURNO</v>
      </c>
      <c r="AE707" s="47" t="s">
        <v>2754</v>
      </c>
      <c r="AH707" t="str">
        <f t="shared" si="133"/>
        <v>INSERT INTO horario_curso_materia (horario_curso_materia.FK_CUR_mat,horario_curso_materia.FK_HOR,horario_curso_materia.DIA,horario_curso_materia.tipo_turno) VALUES (  (SELECT curso_materia.ID_CUR_MAT FROM curso_materia WHERE curso_materia.CUPOF='733645' ) ,
    (SELECT horario.ID_HOR FROM horario WHERE horario.modulo='4 ' and horario.turno='M ' ),'JUEVES ' , 'CONTRATURNO ' );</v>
      </c>
    </row>
    <row r="708" spans="1:34" ht="15" hidden="1" customHeight="1" x14ac:dyDescent="0.3">
      <c r="A708" s="1" t="str">
        <f t="shared" si="134"/>
        <v>4°4°</v>
      </c>
      <c r="B708" s="54" t="str">
        <f t="shared" si="139"/>
        <v>4°4°4JUVESPERTINO0</v>
      </c>
      <c r="C708" s="62">
        <f>VLOOKUP(G708,[1]Hoja1!$A:$O,3,0)</f>
        <v>0</v>
      </c>
      <c r="D708" s="2" t="str">
        <f t="shared" si="124"/>
        <v>4JUV</v>
      </c>
      <c r="E708" s="62" t="s">
        <v>48</v>
      </c>
      <c r="F708" s="62" t="s">
        <v>125</v>
      </c>
      <c r="G708" s="62" t="s">
        <v>436</v>
      </c>
      <c r="H708" s="8" t="str">
        <f>VLOOKUP(G708,[1]Hoja1!$A:$O,6,0)</f>
        <v>FUNDAMENTOS DE LOS MODELOS CIRCUITALES</v>
      </c>
      <c r="I708" s="4"/>
      <c r="J708" s="4"/>
      <c r="K708" s="80" t="str">
        <f t="shared" si="138"/>
        <v>JU</v>
      </c>
      <c r="L708" s="4"/>
      <c r="M708" s="86" t="str">
        <f>VLOOKUP(G708,[1]Hoja1!$A:$O,15,0)</f>
        <v xml:space="preserve">FISTER VICTOR             </v>
      </c>
      <c r="N708" s="2" t="str">
        <f t="shared" si="135"/>
        <v>4°4°4EFMCJU</v>
      </c>
      <c r="O708" s="2"/>
      <c r="P708" s="2" t="str">
        <f>VLOOKUP(G708,[1]Hoja1!$A:$P,16,0)</f>
        <v xml:space="preserve"> </v>
      </c>
      <c r="Q708" s="2"/>
      <c r="S708">
        <f>VLOOKUP(G708,[1]Hoja1!$A:$O,5,0)</f>
        <v>789654</v>
      </c>
      <c r="U708" s="45" t="s">
        <v>2751</v>
      </c>
      <c r="V708" s="46">
        <f t="shared" si="130"/>
        <v>789654</v>
      </c>
      <c r="W708" s="47" t="s">
        <v>1519</v>
      </c>
      <c r="X708" s="46" t="str">
        <f t="shared" si="136"/>
        <v>4</v>
      </c>
      <c r="Y708" s="47" t="s">
        <v>1518</v>
      </c>
      <c r="Z708" s="46" t="str">
        <f t="shared" si="131"/>
        <v>V</v>
      </c>
      <c r="AA708" s="47" t="s">
        <v>2752</v>
      </c>
      <c r="AB708" s="46" t="str">
        <f t="shared" si="137"/>
        <v>JUEVES</v>
      </c>
      <c r="AC708" s="47" t="s">
        <v>2753</v>
      </c>
      <c r="AD708">
        <f t="shared" si="132"/>
        <v>0</v>
      </c>
      <c r="AE708" s="47" t="s">
        <v>2754</v>
      </c>
      <c r="AH708" t="str">
        <f t="shared" si="133"/>
        <v>INSERT INTO horario_curso_materia (horario_curso_materia.FK_CUR_mat,horario_curso_materia.FK_HOR,horario_curso_materia.DIA,horario_curso_materia.tipo_turno) VALUES (  (SELECT curso_materia.ID_CUR_MAT FROM curso_materia WHERE curso_materia.CUPOF='789654' ) ,
    (SELECT horario.ID_HOR FROM horario WHERE horario.modulo='4 ' and horario.turno='V ' ),'JUEVES ' , '0 ' );</v>
      </c>
    </row>
    <row r="709" spans="1:34" ht="15" hidden="1" customHeight="1" x14ac:dyDescent="0.3">
      <c r="A709" s="1" t="str">
        <f t="shared" si="134"/>
        <v>4°4°</v>
      </c>
      <c r="B709" s="54" t="str">
        <f t="shared" si="139"/>
        <v>4°4°4LUMAÑANA441</v>
      </c>
      <c r="C709" s="62">
        <f>VLOOKUP(G709,[1]Hoja1!$A:$O,3,0)</f>
        <v>441</v>
      </c>
      <c r="D709" s="2" t="str">
        <f t="shared" si="124"/>
        <v>4LUM46</v>
      </c>
      <c r="E709" s="62" t="s">
        <v>31</v>
      </c>
      <c r="F709" s="62" t="s">
        <v>27</v>
      </c>
      <c r="G709" s="62" t="s">
        <v>157</v>
      </c>
      <c r="H709" s="8" t="str">
        <f>VLOOKUP(G709,[1]Hoja1!$A:$O,6,0)</f>
        <v xml:space="preserve">APLIC ELECT ANALOG </v>
      </c>
      <c r="I709" s="4">
        <v>46</v>
      </c>
      <c r="J709" s="4"/>
      <c r="K709" s="80" t="str">
        <f t="shared" si="138"/>
        <v>LU</v>
      </c>
      <c r="L709" s="4" t="s">
        <v>512</v>
      </c>
      <c r="M709" s="86" t="str">
        <f>VLOOKUP(G709,[1]Hoja1!$A:$O,15,0)</f>
        <v xml:space="preserve">VELAZQUEZ GERARDO </v>
      </c>
      <c r="N709" s="2" t="str">
        <f t="shared" si="135"/>
        <v>4°4°4414EFTAE4LU</v>
      </c>
      <c r="O709" s="2"/>
      <c r="P709" s="2" t="str">
        <f>VLOOKUP(G709,[1]Hoja1!$A:$P,16,0)</f>
        <v xml:space="preserve"> </v>
      </c>
      <c r="Q709" s="2"/>
      <c r="S709">
        <f>VLOOKUP(G709,[1]Hoja1!$A:$O,5,0)</f>
        <v>2680556</v>
      </c>
      <c r="U709" s="45" t="s">
        <v>2751</v>
      </c>
      <c r="V709" s="46">
        <f t="shared" si="130"/>
        <v>2680556</v>
      </c>
      <c r="W709" s="47" t="s">
        <v>1519</v>
      </c>
      <c r="X709" s="46" t="str">
        <f t="shared" si="136"/>
        <v>4</v>
      </c>
      <c r="Y709" s="47" t="s">
        <v>1518</v>
      </c>
      <c r="Z709" s="46" t="str">
        <f t="shared" si="131"/>
        <v>M</v>
      </c>
      <c r="AA709" s="47" t="s">
        <v>2752</v>
      </c>
      <c r="AB709" s="46" t="str">
        <f t="shared" si="137"/>
        <v>LUNES</v>
      </c>
      <c r="AC709" s="47" t="s">
        <v>2753</v>
      </c>
      <c r="AD709" t="str">
        <f t="shared" si="132"/>
        <v>CONTRATURNO</v>
      </c>
      <c r="AE709" s="47" t="s">
        <v>2754</v>
      </c>
      <c r="AH709" t="str">
        <f t="shared" si="133"/>
        <v>INSERT INTO horario_curso_materia (horario_curso_materia.FK_CUR_mat,horario_curso_materia.FK_HOR,horario_curso_materia.DIA,horario_curso_materia.tipo_turno) VALUES (  (SELECT curso_materia.ID_CUR_MAT FROM curso_materia WHERE curso_materia.CUPOF='2680556' ) ,
    (SELECT horario.ID_HOR FROM horario WHERE horario.modulo='4 ' and horario.turno='M ' ),'LUNES ' , 'CONTRATURNO ' );</v>
      </c>
    </row>
    <row r="710" spans="1:34" ht="15" hidden="1" customHeight="1" x14ac:dyDescent="0.3">
      <c r="A710" s="1" t="str">
        <f t="shared" si="134"/>
        <v>4°4°</v>
      </c>
      <c r="B710" s="54" t="str">
        <f t="shared" si="139"/>
        <v>4°4°4LUVESPERTINO0</v>
      </c>
      <c r="C710" s="62">
        <f>VLOOKUP(G710,[1]Hoja1!$A:$O,3,0)</f>
        <v>0</v>
      </c>
      <c r="D710" s="2" t="str">
        <f t="shared" si="124"/>
        <v>4LUV</v>
      </c>
      <c r="E710" s="62" t="s">
        <v>31</v>
      </c>
      <c r="F710" s="62" t="s">
        <v>125</v>
      </c>
      <c r="G710" s="62" t="s">
        <v>429</v>
      </c>
      <c r="H710" s="8" t="str">
        <f>VLOOKUP(G710,[1]Hoja1!$A:$O,6,0)</f>
        <v>TECNOLOGIAS ELECTRONICAS</v>
      </c>
      <c r="I710" s="4"/>
      <c r="J710" s="4"/>
      <c r="K710" s="80" t="str">
        <f t="shared" si="138"/>
        <v>LU</v>
      </c>
      <c r="L710" s="4"/>
      <c r="M710" s="86" t="str">
        <f>VLOOKUP(G710,[1]Hoja1!$A:$O,15,0)</f>
        <v>SERENO, LEONEL</v>
      </c>
      <c r="N710" s="2" t="str">
        <f t="shared" si="135"/>
        <v>4°4°4ETELELU</v>
      </c>
      <c r="O710" s="2"/>
      <c r="P710" s="2" t="str">
        <f>VLOOKUP(G710,[1]Hoja1!$A:$P,16,0)</f>
        <v xml:space="preserve"> </v>
      </c>
      <c r="Q710" s="2"/>
      <c r="S710">
        <f>VLOOKUP(G710,[1]Hoja1!$A:$O,5,0)</f>
        <v>790146</v>
      </c>
      <c r="U710" s="45" t="s">
        <v>2751</v>
      </c>
      <c r="V710" s="46">
        <f t="shared" si="130"/>
        <v>790146</v>
      </c>
      <c r="W710" s="47" t="s">
        <v>1519</v>
      </c>
      <c r="X710" s="46" t="str">
        <f t="shared" si="136"/>
        <v>4</v>
      </c>
      <c r="Y710" s="47" t="s">
        <v>1518</v>
      </c>
      <c r="Z710" s="46" t="str">
        <f t="shared" si="131"/>
        <v>V</v>
      </c>
      <c r="AA710" s="47" t="s">
        <v>2752</v>
      </c>
      <c r="AB710" s="46" t="str">
        <f t="shared" si="137"/>
        <v>LUNES</v>
      </c>
      <c r="AC710" s="47" t="s">
        <v>2753</v>
      </c>
      <c r="AD710">
        <f t="shared" si="132"/>
        <v>0</v>
      </c>
      <c r="AE710" s="47" t="s">
        <v>2754</v>
      </c>
      <c r="AH710" t="str">
        <f t="shared" si="133"/>
        <v>INSERT INTO horario_curso_materia (horario_curso_materia.FK_CUR_mat,horario_curso_materia.FK_HOR,horario_curso_materia.DIA,horario_curso_materia.tipo_turno) VALUES (  (SELECT curso_materia.ID_CUR_MAT FROM curso_materia WHERE curso_materia.CUPOF='790146' ) ,
    (SELECT horario.ID_HOR FROM horario WHERE horario.modulo='4 ' and horario.turno='V ' ),'LUNES ' , '0 ' );</v>
      </c>
    </row>
    <row r="711" spans="1:34" ht="14.25" hidden="1" customHeight="1" x14ac:dyDescent="0.3">
      <c r="A711" s="1" t="str">
        <f t="shared" si="134"/>
        <v>4°4°</v>
      </c>
      <c r="B711" s="54" t="str">
        <f t="shared" si="139"/>
        <v>4°4°4MAMAÑANA441</v>
      </c>
      <c r="C711" s="62">
        <f>VLOOKUP(G711,[1]Hoja1!$A:$O,3,0)</f>
        <v>441</v>
      </c>
      <c r="D711" s="2" t="str">
        <f t="shared" si="124"/>
        <v>4MAM45</v>
      </c>
      <c r="E711" s="62" t="s">
        <v>16</v>
      </c>
      <c r="F711" s="62" t="s">
        <v>27</v>
      </c>
      <c r="G711" s="62" t="s">
        <v>158</v>
      </c>
      <c r="H711" s="8" t="str">
        <f>VLOOKUP(G711,[1]Hoja1!$A:$O,6,0)</f>
        <v>APLIC ELECTR DIGITAL</v>
      </c>
      <c r="I711" s="4">
        <v>45</v>
      </c>
      <c r="J711" s="4"/>
      <c r="K711" s="80" t="str">
        <f t="shared" si="138"/>
        <v>MA</v>
      </c>
      <c r="L711" s="4" t="s">
        <v>512</v>
      </c>
      <c r="M711" s="86" t="str">
        <f>VLOOKUP(G711,[1]Hoja1!$A:$O,15,0)</f>
        <v>MARTINEZ, SILVIO</v>
      </c>
      <c r="N711" s="2" t="str">
        <f t="shared" si="135"/>
        <v>4°4°4414EFTED4MA</v>
      </c>
      <c r="O711" s="2"/>
      <c r="P711" s="2" t="str">
        <f>VLOOKUP(G711,[1]Hoja1!$A:$P,16,0)</f>
        <v xml:space="preserve"> </v>
      </c>
      <c r="Q711" s="2"/>
      <c r="S711">
        <f>VLOOKUP(G711,[1]Hoja1!$A:$O,5,0)</f>
        <v>2680557</v>
      </c>
      <c r="U711" s="45" t="s">
        <v>2751</v>
      </c>
      <c r="V711" s="46">
        <f t="shared" si="130"/>
        <v>2680557</v>
      </c>
      <c r="W711" s="47" t="s">
        <v>1519</v>
      </c>
      <c r="X711" s="46" t="str">
        <f t="shared" si="136"/>
        <v>4</v>
      </c>
      <c r="Y711" s="47" t="s">
        <v>1518</v>
      </c>
      <c r="Z711" s="46" t="str">
        <f t="shared" si="131"/>
        <v>M</v>
      </c>
      <c r="AA711" s="47" t="s">
        <v>2752</v>
      </c>
      <c r="AB711" s="46" t="str">
        <f t="shared" si="137"/>
        <v>MARTES</v>
      </c>
      <c r="AC711" s="47" t="s">
        <v>2753</v>
      </c>
      <c r="AD711" t="str">
        <f t="shared" si="132"/>
        <v>CONTRATURNO</v>
      </c>
      <c r="AE711" s="47" t="s">
        <v>2754</v>
      </c>
      <c r="AH711" t="str">
        <f t="shared" si="133"/>
        <v>INSERT INTO horario_curso_materia (horario_curso_materia.FK_CUR_mat,horario_curso_materia.FK_HOR,horario_curso_materia.DIA,horario_curso_materia.tipo_turno) VALUES (  (SELECT curso_materia.ID_CUR_MAT FROM curso_materia WHERE curso_materia.CUPOF='2680557' ) ,
    (SELECT horario.ID_HOR FROM horario WHERE horario.modulo='4 ' and horario.turno='M ' ),'MARTES ' , 'CONTRATURNO ' );</v>
      </c>
    </row>
    <row r="712" spans="1:34" ht="15" hidden="1" customHeight="1" x14ac:dyDescent="0.3">
      <c r="A712" s="1" t="str">
        <f t="shared" si="134"/>
        <v>4°4°</v>
      </c>
      <c r="B712" s="54" t="str">
        <f t="shared" si="139"/>
        <v>4°4°4luMAÑANA442</v>
      </c>
      <c r="C712" s="62">
        <f>VLOOKUP(G712,[1]Hoja1!$A:$O,3,0)</f>
        <v>442</v>
      </c>
      <c r="D712" s="2" t="str">
        <f t="shared" si="124"/>
        <v>4luMHARDWARE</v>
      </c>
      <c r="E712" s="62" t="s">
        <v>1515</v>
      </c>
      <c r="F712" s="62" t="s">
        <v>27</v>
      </c>
      <c r="G712" s="62" t="s">
        <v>159</v>
      </c>
      <c r="H712" s="8" t="str">
        <f>VLOOKUP(G712,[1]Hoja1!$A:$O,6,0)</f>
        <v xml:space="preserve">APLIC ELECT ANALOG </v>
      </c>
      <c r="I712" s="4" t="s">
        <v>38</v>
      </c>
      <c r="J712" s="4"/>
      <c r="K712" s="80" t="str">
        <f t="shared" si="138"/>
        <v>lu</v>
      </c>
      <c r="L712" s="4" t="s">
        <v>512</v>
      </c>
      <c r="M712" s="86" t="str">
        <f>VLOOKUP(G712,[1]Hoja1!$A:$O,15,0)</f>
        <v>ARNALDO ESCALADA</v>
      </c>
      <c r="N712" s="2" t="str">
        <f t="shared" si="135"/>
        <v>4°4°4424EFTAE4lu</v>
      </c>
      <c r="O712" s="2"/>
      <c r="P712" s="2" t="str">
        <f>VLOOKUP(G712,[1]Hoja1!$A:$P,16,0)</f>
        <v xml:space="preserve"> </v>
      </c>
      <c r="Q712" s="2"/>
      <c r="S712">
        <f>VLOOKUP(G712,[1]Hoja1!$A:$O,5,0)</f>
        <v>2680559</v>
      </c>
      <c r="U712" s="45" t="s">
        <v>2751</v>
      </c>
      <c r="V712" s="46">
        <f t="shared" si="130"/>
        <v>2680559</v>
      </c>
      <c r="W712" s="47" t="s">
        <v>1519</v>
      </c>
      <c r="X712" s="46" t="str">
        <f t="shared" si="136"/>
        <v>4</v>
      </c>
      <c r="Y712" s="47" t="s">
        <v>1518</v>
      </c>
      <c r="Z712" s="46" t="str">
        <f t="shared" si="131"/>
        <v>M</v>
      </c>
      <c r="AA712" s="47" t="s">
        <v>2752</v>
      </c>
      <c r="AB712" s="46" t="str">
        <f t="shared" si="137"/>
        <v>LUNES</v>
      </c>
      <c r="AC712" s="47" t="s">
        <v>2753</v>
      </c>
      <c r="AD712" t="str">
        <f t="shared" si="132"/>
        <v>CONTRATURNO</v>
      </c>
      <c r="AE712" s="47" t="s">
        <v>2754</v>
      </c>
      <c r="AH712" t="str">
        <f t="shared" si="133"/>
        <v>INSERT INTO horario_curso_materia (horario_curso_materia.FK_CUR_mat,horario_curso_materia.FK_HOR,horario_curso_materia.DIA,horario_curso_materia.tipo_turno) VALUES (  (SELECT curso_materia.ID_CUR_MAT FROM curso_materia WHERE curso_materia.CUPOF='2680559' ) ,
    (SELECT horario.ID_HOR FROM horario WHERE horario.modulo='4 ' and horario.turno='M ' ),'LUNES ' , 'CONTRATURNO ' );</v>
      </c>
    </row>
    <row r="713" spans="1:34" ht="15" hidden="1" customHeight="1" x14ac:dyDescent="0.3">
      <c r="A713" s="1" t="str">
        <f t="shared" si="134"/>
        <v>4°4°</v>
      </c>
      <c r="B713" s="54" t="str">
        <f t="shared" si="139"/>
        <v>4°4°4MAVESPERTINO0</v>
      </c>
      <c r="C713" s="62">
        <f>VLOOKUP(G713,[1]Hoja1!$A:$O,3,0)</f>
        <v>0</v>
      </c>
      <c r="D713" s="2" t="str">
        <f t="shared" si="124"/>
        <v>4MAV</v>
      </c>
      <c r="E713" s="62" t="s">
        <v>16</v>
      </c>
      <c r="F713" s="62" t="s">
        <v>125</v>
      </c>
      <c r="G713" s="62" t="s">
        <v>432</v>
      </c>
      <c r="H713" s="8" t="str">
        <f>VLOOKUP(G713,[1]Hoja1!$A:$O,6,0)</f>
        <v>FISICA</v>
      </c>
      <c r="I713" s="4"/>
      <c r="J713" s="4"/>
      <c r="K713" s="80" t="str">
        <f t="shared" si="138"/>
        <v>MA</v>
      </c>
      <c r="L713" s="4"/>
      <c r="M713" s="86" t="str">
        <f>VLOOKUP(G713,[1]Hoja1!$A:$O,15,0)</f>
        <v>PROCHOR JUAN</v>
      </c>
      <c r="N713" s="2" t="str">
        <f t="shared" si="135"/>
        <v>4°4°4EFISMA</v>
      </c>
      <c r="O713" s="2"/>
      <c r="P713" s="2" t="str">
        <f>VLOOKUP(G713,[1]Hoja1!$A:$P,16,0)</f>
        <v xml:space="preserve"> </v>
      </c>
      <c r="Q713" s="2"/>
      <c r="S713">
        <f>VLOOKUP(G713,[1]Hoja1!$A:$O,5,0)</f>
        <v>733706</v>
      </c>
      <c r="U713" s="45" t="s">
        <v>2751</v>
      </c>
      <c r="V713" s="46">
        <f t="shared" si="130"/>
        <v>733706</v>
      </c>
      <c r="W713" s="47" t="s">
        <v>1519</v>
      </c>
      <c r="X713" s="46" t="str">
        <f t="shared" si="136"/>
        <v>4</v>
      </c>
      <c r="Y713" s="47" t="s">
        <v>1518</v>
      </c>
      <c r="Z713" s="46" t="str">
        <f t="shared" si="131"/>
        <v>V</v>
      </c>
      <c r="AA713" s="47" t="s">
        <v>2752</v>
      </c>
      <c r="AB713" s="46" t="str">
        <f t="shared" si="137"/>
        <v>MARTES</v>
      </c>
      <c r="AC713" s="47" t="s">
        <v>2753</v>
      </c>
      <c r="AD713">
        <f t="shared" si="132"/>
        <v>0</v>
      </c>
      <c r="AE713" s="47" t="s">
        <v>2754</v>
      </c>
      <c r="AH713" t="str">
        <f t="shared" si="133"/>
        <v>INSERT INTO horario_curso_materia (horario_curso_materia.FK_CUR_mat,horario_curso_materia.FK_HOR,horario_curso_materia.DIA,horario_curso_materia.tipo_turno) VALUES (  (SELECT curso_materia.ID_CUR_MAT FROM curso_materia WHERE curso_materia.CUPOF='733706' ) ,
    (SELECT horario.ID_HOR FROM horario WHERE horario.modulo='4 ' and horario.turno='V ' ),'MARTES ' , '0 ' );</v>
      </c>
    </row>
    <row r="714" spans="1:34" ht="14.25" hidden="1" customHeight="1" x14ac:dyDescent="0.3">
      <c r="A714" s="1" t="str">
        <f t="shared" si="134"/>
        <v>4°4°</v>
      </c>
      <c r="B714" s="54" t="str">
        <f t="shared" si="139"/>
        <v>4°4°4viTARDE442</v>
      </c>
      <c r="C714" s="62">
        <f>VLOOKUP(G714,[1]Hoja1!$A:$O,3,0)</f>
        <v>442</v>
      </c>
      <c r="D714" s="2" t="str">
        <f t="shared" si="124"/>
        <v>4viT46</v>
      </c>
      <c r="E714" s="62" t="s">
        <v>1337</v>
      </c>
      <c r="F714" s="62" t="s">
        <v>10</v>
      </c>
      <c r="G714" s="62" t="s">
        <v>160</v>
      </c>
      <c r="H714" s="8" t="str">
        <f>VLOOKUP(G714,[1]Hoja1!$A:$O,6,0)</f>
        <v>APLIC ELECTR DIGITAL</v>
      </c>
      <c r="I714" s="4">
        <v>46</v>
      </c>
      <c r="J714" s="4"/>
      <c r="K714" s="80" t="str">
        <f t="shared" si="138"/>
        <v>vi</v>
      </c>
      <c r="L714" s="4" t="s">
        <v>512</v>
      </c>
      <c r="M714" s="86" t="str">
        <f>VLOOKUP(G714,[1]Hoja1!$A:$O,15,0)</f>
        <v xml:space="preserve">FISTER (Serv.Prov)         </v>
      </c>
      <c r="N714" s="2" t="str">
        <f t="shared" si="135"/>
        <v>4°4°4424EFTED4vi</v>
      </c>
      <c r="O714" s="2"/>
      <c r="P714" s="2" t="str">
        <f>VLOOKUP(G714,[1]Hoja1!$A:$P,16,0)</f>
        <v xml:space="preserve"> </v>
      </c>
      <c r="Q714" s="2"/>
      <c r="S714">
        <f>VLOOKUP(G714,[1]Hoja1!$A:$O,5,0)</f>
        <v>2680560</v>
      </c>
      <c r="U714" s="45" t="s">
        <v>2751</v>
      </c>
      <c r="V714" s="46">
        <f t="shared" si="130"/>
        <v>2680560</v>
      </c>
      <c r="W714" s="47" t="s">
        <v>1519</v>
      </c>
      <c r="X714" s="46" t="str">
        <f t="shared" si="136"/>
        <v>4</v>
      </c>
      <c r="Y714" s="47" t="s">
        <v>1518</v>
      </c>
      <c r="Z714" s="46" t="str">
        <f t="shared" si="131"/>
        <v>T</v>
      </c>
      <c r="AA714" s="47" t="s">
        <v>2752</v>
      </c>
      <c r="AB714" s="46" t="str">
        <f t="shared" si="137"/>
        <v>VIERNES</v>
      </c>
      <c r="AC714" s="47" t="s">
        <v>2753</v>
      </c>
      <c r="AD714" t="str">
        <f t="shared" si="132"/>
        <v>CONTRATURNO</v>
      </c>
      <c r="AE714" s="47" t="s">
        <v>2754</v>
      </c>
      <c r="AH714" t="str">
        <f t="shared" si="133"/>
        <v>INSERT INTO horario_curso_materia (horario_curso_materia.FK_CUR_mat,horario_curso_materia.FK_HOR,horario_curso_materia.DIA,horario_curso_materia.tipo_turno) VALUES (  (SELECT curso_materia.ID_CUR_MAT FROM curso_materia WHERE curso_materia.CUPOF='2680560' ) ,
    (SELECT horario.ID_HOR FROM horario WHERE horario.modulo='4 ' and horario.turno='T ' ),'VIERNES ' , 'CONTRATURNO ' );</v>
      </c>
    </row>
    <row r="715" spans="1:34" ht="15" hidden="1" customHeight="1" x14ac:dyDescent="0.3">
      <c r="A715" s="1" t="str">
        <f t="shared" si="134"/>
        <v>4°4°</v>
      </c>
      <c r="B715" s="54" t="str">
        <f t="shared" ref="B715:B726" si="140">CONCATENATE(LEFT(G715,4),E715,F715,C715)</f>
        <v>4°4°2MIVESPERTINO0</v>
      </c>
      <c r="C715" s="62">
        <f>VLOOKUP(G715,[1]Hoja1!$A:$O,3,0)</f>
        <v>0</v>
      </c>
      <c r="D715" s="2" t="str">
        <f t="shared" ref="D715:D726" si="141">CONCATENATE(E715,LEFT(F715,1),I715)</f>
        <v>2MIV</v>
      </c>
      <c r="E715" s="62" t="s">
        <v>26</v>
      </c>
      <c r="F715" s="62" t="s">
        <v>125</v>
      </c>
      <c r="G715" s="62" t="s">
        <v>434</v>
      </c>
      <c r="H715" s="8" t="str">
        <f>VLOOKUP(G715,[1]Hoja1!$A:$O,6,0)</f>
        <v>SALUD Y ADOLESCENCIA</v>
      </c>
      <c r="I715" s="4"/>
      <c r="J715" s="4"/>
      <c r="K715" s="80" t="str">
        <f t="shared" ref="K715:K726" si="142">RIGHT(E715,2)</f>
        <v>MI</v>
      </c>
      <c r="L715" s="4"/>
      <c r="M715" s="86" t="str">
        <f>VLOOKUP(G715,[1]Hoja1!$A:$O,15,0)</f>
        <v>TORRES VANINA</v>
      </c>
      <c r="N715" s="2" t="str">
        <f t="shared" si="135"/>
        <v>4°4°4ESADSMI</v>
      </c>
      <c r="O715" s="2"/>
      <c r="P715" s="2" t="str">
        <f>VLOOKUP(G715,[1]Hoja1!$A:$P,16,0)</f>
        <v xml:space="preserve"> </v>
      </c>
      <c r="Q715" s="2"/>
      <c r="S715">
        <f>VLOOKUP(G715,[1]Hoja1!$A:$O,5,0)</f>
        <v>1517205</v>
      </c>
      <c r="U715" s="45" t="s">
        <v>2751</v>
      </c>
      <c r="V715" s="46">
        <f t="shared" si="130"/>
        <v>1517205</v>
      </c>
      <c r="W715" s="47" t="s">
        <v>1519</v>
      </c>
      <c r="X715" s="46" t="str">
        <f t="shared" ref="X715:X726" si="143">IF(LEFT(E715,1)="p","prehora",LEFT(E715,1))</f>
        <v>2</v>
      </c>
      <c r="Y715" s="47" t="s">
        <v>1518</v>
      </c>
      <c r="Z715" s="46" t="str">
        <f t="shared" si="131"/>
        <v>V</v>
      </c>
      <c r="AA715" s="47" t="s">
        <v>2752</v>
      </c>
      <c r="AB715" s="46" t="str">
        <f t="shared" ref="AB715:AB726" si="144">IF(IF(LEFT(E715,1)="p",MID(E715,8,2),MID(E715,2,2))="lu","LUNES",IF(IF(LEFT(E715,1)="p",MID(E715,8,2),MID(E715,2,2))="ma","MARTES",IF(IF(LEFT(E715,1)="p",MID(E715,8,2),MID(E715,2,2))="MI","MIERCOLES",IF(IF(LEFT(E715,1)="p",MID(E715,8,2),MID(E715,2,2))="JU","JUEVES",IF(IF(LEFT(E715,1)="p",MID(E715,8,2),MID(E715,2,2))="vi","VIERNES","")))))</f>
        <v>MIERCOLES</v>
      </c>
      <c r="AC715" s="47" t="s">
        <v>2753</v>
      </c>
      <c r="AD715">
        <f t="shared" si="132"/>
        <v>0</v>
      </c>
      <c r="AE715" s="47" t="s">
        <v>2754</v>
      </c>
      <c r="AH715" t="str">
        <f t="shared" si="133"/>
        <v>INSERT INTO horario_curso_materia (horario_curso_materia.FK_CUR_mat,horario_curso_materia.FK_HOR,horario_curso_materia.DIA,horario_curso_materia.tipo_turno) VALUES (  (SELECT curso_materia.ID_CUR_MAT FROM curso_materia WHERE curso_materia.CUPOF='1517205' ) ,
    (SELECT horario.ID_HOR FROM horario WHERE horario.modulo='2 ' and horario.turno='V ' ),'MIERCOLES ' , '0 ' );</v>
      </c>
    </row>
    <row r="716" spans="1:34" ht="15" hidden="1" customHeight="1" x14ac:dyDescent="0.3">
      <c r="A716" s="1" t="str">
        <f t="shared" si="134"/>
        <v>4°4°</v>
      </c>
      <c r="B716" s="54" t="str">
        <f t="shared" si="140"/>
        <v>4°4°4VIMAÑANA441</v>
      </c>
      <c r="C716" s="62">
        <f>VLOOKUP(G716,[1]Hoja1!$A:$O,3,0)</f>
        <v>441</v>
      </c>
      <c r="D716" s="2" t="str">
        <f t="shared" si="141"/>
        <v>4VIM46</v>
      </c>
      <c r="E716" s="62" t="s">
        <v>36</v>
      </c>
      <c r="F716" s="62" t="s">
        <v>27</v>
      </c>
      <c r="G716" s="62" t="s">
        <v>161</v>
      </c>
      <c r="H716" s="8" t="str">
        <f>VLOOKUP(G716,[1]Hoja1!$A:$O,6,0)</f>
        <v xml:space="preserve">MONTAJE DE PROYECTO ELECTRONICOS </v>
      </c>
      <c r="I716" s="4">
        <v>46</v>
      </c>
      <c r="J716" s="4"/>
      <c r="K716" s="80" t="str">
        <f t="shared" si="142"/>
        <v>VI</v>
      </c>
      <c r="L716" s="4" t="s">
        <v>512</v>
      </c>
      <c r="M716" s="86" t="str">
        <f>VLOOKUP(G716,[1]Hoja1!$A:$O,15,0)</f>
        <v xml:space="preserve">QUINTANA RAMON </v>
      </c>
      <c r="N716" s="2" t="str">
        <f t="shared" si="135"/>
        <v>4°4°4414EFTMP4VI</v>
      </c>
      <c r="O716" s="2"/>
      <c r="P716" s="2" t="str">
        <f>VLOOKUP(G716,[1]Hoja1!$A:$P,16,0)</f>
        <v xml:space="preserve"> </v>
      </c>
      <c r="Q716" s="2"/>
      <c r="S716">
        <f>VLOOKUP(G716,[1]Hoja1!$A:$O,5,0)</f>
        <v>2680558</v>
      </c>
      <c r="U716" s="45" t="s">
        <v>2751</v>
      </c>
      <c r="V716" s="46">
        <f t="shared" si="130"/>
        <v>2680558</v>
      </c>
      <c r="W716" s="47" t="s">
        <v>1519</v>
      </c>
      <c r="X716" s="46" t="str">
        <f t="shared" si="143"/>
        <v>4</v>
      </c>
      <c r="Y716" s="47" t="s">
        <v>1518</v>
      </c>
      <c r="Z716" s="46" t="str">
        <f t="shared" si="131"/>
        <v>M</v>
      </c>
      <c r="AA716" s="47" t="s">
        <v>2752</v>
      </c>
      <c r="AB716" s="46" t="str">
        <f t="shared" si="144"/>
        <v>VIERNES</v>
      </c>
      <c r="AC716" s="47" t="s">
        <v>2753</v>
      </c>
      <c r="AD716" t="str">
        <f t="shared" si="132"/>
        <v>CONTRATURNO</v>
      </c>
      <c r="AE716" s="47" t="s">
        <v>2754</v>
      </c>
      <c r="AH716" t="str">
        <f t="shared" si="133"/>
        <v>INSERT INTO horario_curso_materia (horario_curso_materia.FK_CUR_mat,horario_curso_materia.FK_HOR,horario_curso_materia.DIA,horario_curso_materia.tipo_turno) VALUES (  (SELECT curso_materia.ID_CUR_MAT FROM curso_materia WHERE curso_materia.CUPOF='2680558' ) ,
    (SELECT horario.ID_HOR FROM horario WHERE horario.modulo='4 ' and horario.turno='M ' ),'VIERNES ' , 'CONTRATURNO ' );</v>
      </c>
    </row>
    <row r="717" spans="1:34" ht="15" hidden="1" customHeight="1" x14ac:dyDescent="0.3">
      <c r="A717" s="1" t="str">
        <f t="shared" si="134"/>
        <v>4°4°</v>
      </c>
      <c r="B717" s="54" t="str">
        <f t="shared" si="140"/>
        <v>4°4°4VIMAÑANA442</v>
      </c>
      <c r="C717" s="62">
        <f>VLOOKUP(G717,[1]Hoja1!$A:$O,3,0)</f>
        <v>442</v>
      </c>
      <c r="D717" s="2" t="str">
        <f t="shared" si="141"/>
        <v>4VIMaula 4</v>
      </c>
      <c r="E717" s="62" t="s">
        <v>36</v>
      </c>
      <c r="F717" s="62" t="s">
        <v>27</v>
      </c>
      <c r="G717" s="62" t="s">
        <v>156</v>
      </c>
      <c r="H717" s="8" t="str">
        <f>VLOOKUP(G717,[1]Hoja1!$A:$O,6,0)</f>
        <v xml:space="preserve">MONTAJE DE PROYECTO ELECTRONICOS </v>
      </c>
      <c r="I717" s="4" t="s">
        <v>1437</v>
      </c>
      <c r="J717" s="4"/>
      <c r="K717" s="80" t="str">
        <f t="shared" si="142"/>
        <v>VI</v>
      </c>
      <c r="L717" s="4" t="s">
        <v>512</v>
      </c>
      <c r="M717" s="86" t="str">
        <f>VLOOKUP(G717,[1]Hoja1!$A:$O,15,0)</f>
        <v xml:space="preserve">VELAZQUEZ GERARDO </v>
      </c>
      <c r="N717" s="2" t="str">
        <f t="shared" si="135"/>
        <v>4°4°4424EFTMP4VI</v>
      </c>
      <c r="O717" s="2" t="s">
        <v>1455</v>
      </c>
      <c r="P717" s="2" t="str">
        <f>VLOOKUP(G717,[1]Hoja1!$A:$P,16,0)</f>
        <v xml:space="preserve"> </v>
      </c>
      <c r="Q717" s="2"/>
      <c r="S717">
        <f>VLOOKUP(G717,[1]Hoja1!$A:$O,5,0)</f>
        <v>2680561</v>
      </c>
      <c r="U717" s="45" t="s">
        <v>2751</v>
      </c>
      <c r="V717" s="46">
        <f t="shared" si="130"/>
        <v>2680561</v>
      </c>
      <c r="W717" s="47" t="s">
        <v>1519</v>
      </c>
      <c r="X717" s="46" t="str">
        <f t="shared" si="143"/>
        <v>4</v>
      </c>
      <c r="Y717" s="47" t="s">
        <v>1518</v>
      </c>
      <c r="Z717" s="46" t="str">
        <f t="shared" si="131"/>
        <v>M</v>
      </c>
      <c r="AA717" s="47" t="s">
        <v>2752</v>
      </c>
      <c r="AB717" s="46" t="str">
        <f t="shared" si="144"/>
        <v>VIERNES</v>
      </c>
      <c r="AC717" s="47" t="s">
        <v>2753</v>
      </c>
      <c r="AD717" t="str">
        <f t="shared" si="132"/>
        <v>CONTRATURNO</v>
      </c>
      <c r="AE717" s="47" t="s">
        <v>2754</v>
      </c>
      <c r="AH717" t="str">
        <f t="shared" si="133"/>
        <v>INSERT INTO horario_curso_materia (horario_curso_materia.FK_CUR_mat,horario_curso_materia.FK_HOR,horario_curso_materia.DIA,horario_curso_materia.tipo_turno) VALUES (  (SELECT curso_materia.ID_CUR_MAT FROM curso_materia WHERE curso_materia.CUPOF='2680561' ) ,
    (SELECT horario.ID_HOR FROM horario WHERE horario.modulo='4 ' and horario.turno='M ' ),'VIERNES ' , 'CONTRATURNO ' );</v>
      </c>
    </row>
    <row r="718" spans="1:34" ht="15" hidden="1" customHeight="1" x14ac:dyDescent="0.3">
      <c r="A718" s="1" t="str">
        <f t="shared" si="134"/>
        <v>4°4°</v>
      </c>
      <c r="B718" s="54" t="str">
        <f t="shared" si="140"/>
        <v>4°4°4VIVESPERTINO0</v>
      </c>
      <c r="C718" s="62">
        <f>VLOOKUP(G718,[1]Hoja1!$A:$O,3,0)</f>
        <v>0</v>
      </c>
      <c r="D718" s="2" t="str">
        <f t="shared" si="141"/>
        <v>4VIV</v>
      </c>
      <c r="E718" s="62" t="s">
        <v>36</v>
      </c>
      <c r="F718" s="62" t="s">
        <v>125</v>
      </c>
      <c r="G718" s="62" t="s">
        <v>431</v>
      </c>
      <c r="H718" s="8" t="str">
        <f>VLOOKUP(G718,[1]Hoja1!$A:$O,6,0)</f>
        <v>QUIMICA</v>
      </c>
      <c r="I718" s="4"/>
      <c r="J718" s="4"/>
      <c r="K718" s="80" t="str">
        <f t="shared" si="142"/>
        <v>VI</v>
      </c>
      <c r="L718" s="4"/>
      <c r="M718" s="86" t="str">
        <f>VLOOKUP(G718,[1]Hoja1!$A:$O,15,0)</f>
        <v xml:space="preserve">STEIN PAMELA </v>
      </c>
      <c r="N718" s="2" t="str">
        <f t="shared" si="135"/>
        <v>4°4°4EQUISVI</v>
      </c>
      <c r="O718" s="2"/>
      <c r="P718" s="2" t="str">
        <f>VLOOKUP(G718,[1]Hoja1!$A:$P,16,0)</f>
        <v xml:space="preserve"> </v>
      </c>
      <c r="Q718" s="2"/>
      <c r="S718">
        <f>VLOOKUP(G718,[1]Hoja1!$A:$O,5,0)</f>
        <v>733703</v>
      </c>
      <c r="U718" s="45" t="s">
        <v>2751</v>
      </c>
      <c r="V718" s="46">
        <f t="shared" si="130"/>
        <v>733703</v>
      </c>
      <c r="W718" s="47" t="s">
        <v>1519</v>
      </c>
      <c r="X718" s="46" t="str">
        <f t="shared" si="143"/>
        <v>4</v>
      </c>
      <c r="Y718" s="47" t="s">
        <v>1518</v>
      </c>
      <c r="Z718" s="46" t="str">
        <f t="shared" si="131"/>
        <v>V</v>
      </c>
      <c r="AA718" s="47" t="s">
        <v>2752</v>
      </c>
      <c r="AB718" s="46" t="str">
        <f t="shared" si="144"/>
        <v>VIERNES</v>
      </c>
      <c r="AC718" s="47" t="s">
        <v>2753</v>
      </c>
      <c r="AD718">
        <f t="shared" si="132"/>
        <v>0</v>
      </c>
      <c r="AE718" s="47" t="s">
        <v>2754</v>
      </c>
      <c r="AH718" t="str">
        <f t="shared" si="133"/>
        <v>INSERT INTO horario_curso_materia (horario_curso_materia.FK_CUR_mat,horario_curso_materia.FK_HOR,horario_curso_materia.DIA,horario_curso_materia.tipo_turno) VALUES (  (SELECT curso_materia.ID_CUR_MAT FROM curso_materia WHERE curso_materia.CUPOF='733703' ) ,
    (SELECT horario.ID_HOR FROM horario WHERE horario.modulo='4 ' and horario.turno='V ' ),'VIERNES ' , '0 ' );</v>
      </c>
    </row>
    <row r="719" spans="1:34" ht="15" hidden="1" customHeight="1" x14ac:dyDescent="0.3">
      <c r="A719" s="1" t="str">
        <f t="shared" si="134"/>
        <v>4°4°</v>
      </c>
      <c r="B719" s="54" t="str">
        <f t="shared" si="140"/>
        <v>4°4°PREHORAMIVESPERTINO0</v>
      </c>
      <c r="C719" s="62">
        <f>VLOOKUP(G719,[1]Hoja1!$A:$O,3,0)</f>
        <v>0</v>
      </c>
      <c r="D719" s="2" t="str">
        <f t="shared" si="141"/>
        <v>PREHORAMIV</v>
      </c>
      <c r="E719" s="62" t="s">
        <v>448</v>
      </c>
      <c r="F719" s="62" t="s">
        <v>125</v>
      </c>
      <c r="G719" s="62" t="s">
        <v>435</v>
      </c>
      <c r="H719" s="8" t="str">
        <f>VLOOKUP(G719,[1]Hoja1!$A:$O,6,0)</f>
        <v>MATEMATICA</v>
      </c>
      <c r="I719" s="4"/>
      <c r="J719" s="4"/>
      <c r="K719" s="80" t="str">
        <f t="shared" si="142"/>
        <v>MI</v>
      </c>
      <c r="L719" s="4"/>
      <c r="M719" s="86" t="str">
        <f>VLOOKUP(G719,[1]Hoja1!$A:$O,15,0)</f>
        <v>FISTER VICTOR</v>
      </c>
      <c r="N719" s="2" t="str">
        <f t="shared" si="135"/>
        <v>4°4°4EMATESMI</v>
      </c>
      <c r="O719" s="2"/>
      <c r="P719" s="2" t="str">
        <f>VLOOKUP(G719,[1]Hoja1!$A:$P,16,0)</f>
        <v xml:space="preserve"> </v>
      </c>
      <c r="Q719" s="2"/>
      <c r="S719">
        <f>VLOOKUP(G719,[1]Hoja1!$A:$O,5,0)</f>
        <v>733568</v>
      </c>
      <c r="U719" s="45" t="s">
        <v>2751</v>
      </c>
      <c r="V719" s="46">
        <f t="shared" si="130"/>
        <v>733568</v>
      </c>
      <c r="W719" s="47" t="s">
        <v>1519</v>
      </c>
      <c r="X719" s="46" t="str">
        <f t="shared" si="143"/>
        <v>prehora</v>
      </c>
      <c r="Y719" s="47" t="s">
        <v>1518</v>
      </c>
      <c r="Z719" s="46" t="str">
        <f t="shared" si="131"/>
        <v>V</v>
      </c>
      <c r="AA719" s="47" t="s">
        <v>2752</v>
      </c>
      <c r="AB719" s="46" t="str">
        <f t="shared" si="144"/>
        <v>MIERCOLES</v>
      </c>
      <c r="AC719" s="47" t="s">
        <v>2753</v>
      </c>
      <c r="AD719">
        <f t="shared" si="132"/>
        <v>0</v>
      </c>
      <c r="AE719" s="47" t="s">
        <v>2754</v>
      </c>
      <c r="AH719" t="str">
        <f t="shared" si="133"/>
        <v>INSERT INTO horario_curso_materia (horario_curso_materia.FK_CUR_mat,horario_curso_materia.FK_HOR,horario_curso_materia.DIA,horario_curso_materia.tipo_turno) VALUES (  (SELECT curso_materia.ID_CUR_MAT FROM curso_materia WHERE curso_materia.CUPOF='733568' ) ,
    (SELECT horario.ID_HOR FROM horario WHERE horario.modulo='prehora ' and horario.turno='V ' ),'MIERCOLES ' , '0 ' );</v>
      </c>
    </row>
    <row r="720" spans="1:34" ht="15" hidden="1" customHeight="1" x14ac:dyDescent="0.3">
      <c r="A720" s="1" t="str">
        <f t="shared" si="134"/>
        <v>4°4°</v>
      </c>
      <c r="B720" s="54" t="str">
        <f t="shared" si="140"/>
        <v>4°4°PREHORAMAVESPERTINO0</v>
      </c>
      <c r="C720" s="62">
        <f>VLOOKUP(G720,[1]Hoja1!$A:$O,3,0)</f>
        <v>0</v>
      </c>
      <c r="D720" s="2" t="str">
        <f t="shared" si="141"/>
        <v>PREHORAMAV</v>
      </c>
      <c r="E720" s="62" t="s">
        <v>430</v>
      </c>
      <c r="F720" s="62" t="s">
        <v>125</v>
      </c>
      <c r="G720" s="62" t="s">
        <v>437</v>
      </c>
      <c r="H720" s="8" t="str">
        <f>VLOOKUP(G720,[1]Hoja1!$A:$O,6,0)</f>
        <v>HISTORIA</v>
      </c>
      <c r="I720" s="4"/>
      <c r="J720" s="4"/>
      <c r="K720" s="80" t="str">
        <f t="shared" si="142"/>
        <v>MA</v>
      </c>
      <c r="L720" s="4"/>
      <c r="M720" s="86" t="str">
        <f>VLOOKUP(G720,[1]Hoja1!$A:$O,15,0)</f>
        <v xml:space="preserve">PALACIOS GUSTAVO </v>
      </c>
      <c r="N720" s="2" t="str">
        <f t="shared" si="135"/>
        <v>4°4°4EHISMA</v>
      </c>
      <c r="O720" s="2"/>
      <c r="P720" s="2" t="str">
        <f>VLOOKUP(G720,[1]Hoja1!$A:$P,16,0)</f>
        <v xml:space="preserve"> </v>
      </c>
      <c r="Q720" s="2"/>
      <c r="S720">
        <f>VLOOKUP(G720,[1]Hoja1!$A:$O,5,0)</f>
        <v>733423</v>
      </c>
      <c r="U720" s="45" t="s">
        <v>2751</v>
      </c>
      <c r="V720" s="46">
        <f t="shared" si="130"/>
        <v>733423</v>
      </c>
      <c r="W720" s="47" t="s">
        <v>1519</v>
      </c>
      <c r="X720" s="46" t="str">
        <f t="shared" si="143"/>
        <v>prehora</v>
      </c>
      <c r="Y720" s="47" t="s">
        <v>1518</v>
      </c>
      <c r="Z720" s="46" t="str">
        <f t="shared" si="131"/>
        <v>V</v>
      </c>
      <c r="AA720" s="47" t="s">
        <v>2752</v>
      </c>
      <c r="AB720" s="46" t="str">
        <f t="shared" si="144"/>
        <v>MARTES</v>
      </c>
      <c r="AC720" s="47" t="s">
        <v>2753</v>
      </c>
      <c r="AD720">
        <f t="shared" si="132"/>
        <v>0</v>
      </c>
      <c r="AE720" s="47" t="s">
        <v>2754</v>
      </c>
      <c r="AH720" t="str">
        <f t="shared" si="133"/>
        <v>INSERT INTO horario_curso_materia (horario_curso_materia.FK_CUR_mat,horario_curso_materia.FK_HOR,horario_curso_materia.DIA,horario_curso_materia.tipo_turno) VALUES (  (SELECT curso_materia.ID_CUR_MAT FROM curso_materia WHERE curso_materia.CUPOF='733423' ) ,
    (SELECT horario.ID_HOR FROM horario WHERE horario.modulo='prehora ' and horario.turno='V ' ),'MARTES ' , '0 ' );</v>
      </c>
    </row>
    <row r="721" spans="1:34" ht="15" hidden="1" customHeight="1" x14ac:dyDescent="0.3">
      <c r="A721" s="1" t="str">
        <f t="shared" si="134"/>
        <v>4°4°</v>
      </c>
      <c r="B721" s="54" t="str">
        <f t="shared" si="140"/>
        <v>4°4°2VIVESPERTINO0</v>
      </c>
      <c r="C721" s="62">
        <f>VLOOKUP(G721,[1]Hoja1!$A:$O,3,0)</f>
        <v>0</v>
      </c>
      <c r="D721" s="2" t="str">
        <f t="shared" si="141"/>
        <v>2VIV</v>
      </c>
      <c r="E721" s="62" t="s">
        <v>59</v>
      </c>
      <c r="F721" s="62" t="s">
        <v>125</v>
      </c>
      <c r="G721" s="62" t="s">
        <v>427</v>
      </c>
      <c r="H721" s="8" t="str">
        <f>VLOOKUP(G721,[1]Hoja1!$A:$O,6,0)</f>
        <v>INGLÉS</v>
      </c>
      <c r="I721" s="4"/>
      <c r="J721" s="4"/>
      <c r="K721" s="80" t="str">
        <f t="shared" si="142"/>
        <v>VI</v>
      </c>
      <c r="L721" s="4"/>
      <c r="M721" s="86" t="str">
        <f>VLOOKUP(G721,[1]Hoja1!$A:$O,15,0)</f>
        <v xml:space="preserve">ARCE KARINA </v>
      </c>
      <c r="N721" s="2" t="str">
        <f t="shared" si="135"/>
        <v>4°4°4EINGSVI</v>
      </c>
      <c r="O721" s="2"/>
      <c r="P721" s="2" t="str">
        <f>VLOOKUP(G721,[1]Hoja1!$A:$P,16,0)</f>
        <v xml:space="preserve"> </v>
      </c>
      <c r="Q721" s="2"/>
      <c r="S721">
        <f>VLOOKUP(G721,[1]Hoja1!$A:$O,5,0)</f>
        <v>733417</v>
      </c>
      <c r="U721" s="45" t="s">
        <v>2751</v>
      </c>
      <c r="V721" s="46">
        <f t="shared" si="130"/>
        <v>733417</v>
      </c>
      <c r="W721" s="47" t="s">
        <v>1519</v>
      </c>
      <c r="X721" s="46" t="str">
        <f t="shared" si="143"/>
        <v>2</v>
      </c>
      <c r="Y721" s="47" t="s">
        <v>1518</v>
      </c>
      <c r="Z721" s="46" t="str">
        <f t="shared" si="131"/>
        <v>V</v>
      </c>
      <c r="AA721" s="47" t="s">
        <v>2752</v>
      </c>
      <c r="AB721" s="46" t="str">
        <f t="shared" si="144"/>
        <v>VIERNES</v>
      </c>
      <c r="AC721" s="47" t="s">
        <v>2753</v>
      </c>
      <c r="AD721">
        <f t="shared" si="132"/>
        <v>0</v>
      </c>
      <c r="AE721" s="47" t="s">
        <v>2754</v>
      </c>
      <c r="AH721" t="str">
        <f t="shared" si="133"/>
        <v>INSERT INTO horario_curso_materia (horario_curso_materia.FK_CUR_mat,horario_curso_materia.FK_HOR,horario_curso_materia.DIA,horario_curso_materia.tipo_turno) VALUES (  (SELECT curso_materia.ID_CUR_MAT FROM curso_materia WHERE curso_materia.CUPOF='733417' ) ,
    (SELECT horario.ID_HOR FROM horario WHERE horario.modulo='2 ' and horario.turno='V ' ),'VIERNES ' , '0 ' );</v>
      </c>
    </row>
    <row r="722" spans="1:34" ht="15" hidden="1" customHeight="1" x14ac:dyDescent="0.3">
      <c r="A722" s="1" t="str">
        <f t="shared" si="134"/>
        <v>5°5°</v>
      </c>
      <c r="B722" s="54" t="str">
        <f t="shared" si="140"/>
        <v>5°5°1maMAÑANA552</v>
      </c>
      <c r="C722" s="62">
        <f>VLOOKUP(G722,[1]Hoja1!$A:$O,3,0)</f>
        <v>552</v>
      </c>
      <c r="D722" s="2" t="str">
        <f t="shared" si="141"/>
        <v>1maM30</v>
      </c>
      <c r="E722" s="62" t="s">
        <v>88</v>
      </c>
      <c r="F722" s="62" t="s">
        <v>27</v>
      </c>
      <c r="G722" s="62" t="s">
        <v>1345</v>
      </c>
      <c r="H722" s="8" t="str">
        <f>VLOOKUP(G722,[1]Hoja1!$A:$O,6,0)</f>
        <v xml:space="preserve">LAB DE PROGRAM </v>
      </c>
      <c r="I722" s="4">
        <v>30</v>
      </c>
      <c r="J722" s="4"/>
      <c r="K722" s="80" t="str">
        <f t="shared" si="142"/>
        <v>ma</v>
      </c>
      <c r="L722" s="4" t="s">
        <v>512</v>
      </c>
      <c r="M722" s="86" t="str">
        <f>VLOOKUP(G722,[1]Hoja1!$A:$O,15,0)</f>
        <v>WITT GERARDO</v>
      </c>
      <c r="N722" s="2" t="str">
        <f t="shared" si="135"/>
        <v>5°5°5525IFTLP5ma</v>
      </c>
      <c r="O722" s="2"/>
      <c r="P722" s="2" t="str">
        <f>VLOOKUP(G722,[1]Hoja1!$A:$P,16,0)</f>
        <v xml:space="preserve"> </v>
      </c>
      <c r="Q722" s="2"/>
      <c r="S722">
        <f>VLOOKUP(G722,[1]Hoja1!$A:$O,5,0)</f>
        <v>2680576</v>
      </c>
      <c r="U722" s="45" t="s">
        <v>2751</v>
      </c>
      <c r="V722" s="46">
        <f t="shared" si="130"/>
        <v>2680576</v>
      </c>
      <c r="W722" s="47" t="s">
        <v>1519</v>
      </c>
      <c r="X722" s="46" t="str">
        <f t="shared" si="143"/>
        <v>1</v>
      </c>
      <c r="Y722" s="47" t="s">
        <v>1518</v>
      </c>
      <c r="Z722" s="46" t="str">
        <f t="shared" si="131"/>
        <v>M</v>
      </c>
      <c r="AA722" s="47" t="s">
        <v>2752</v>
      </c>
      <c r="AB722" s="46" t="str">
        <f t="shared" si="144"/>
        <v>MARTES</v>
      </c>
      <c r="AC722" s="47" t="s">
        <v>2753</v>
      </c>
      <c r="AD722" t="str">
        <f t="shared" si="132"/>
        <v>CONTRATURNO</v>
      </c>
      <c r="AE722" s="47" t="s">
        <v>2754</v>
      </c>
      <c r="AH722" t="str">
        <f t="shared" si="133"/>
        <v>INSERT INTO horario_curso_materia (horario_curso_materia.FK_CUR_mat,horario_curso_materia.FK_HOR,horario_curso_materia.DIA,horario_curso_materia.tipo_turno) VALUES (  (SELECT curso_materia.ID_CUR_MAT FROM curso_materia WHERE curso_materia.CUPOF='2680576' ) ,
    (SELECT horario.ID_HOR FROM horario WHERE horario.modulo='1 ' and horario.turno='M ' ),'MARTES ' , 'CONTRATURNO ' );</v>
      </c>
    </row>
    <row r="723" spans="1:34" ht="15" hidden="1" customHeight="1" x14ac:dyDescent="0.3">
      <c r="A723" s="1" t="str">
        <f t="shared" si="134"/>
        <v>5°5°</v>
      </c>
      <c r="B723" s="54" t="str">
        <f t="shared" si="140"/>
        <v>5°5°1JUTARDE552</v>
      </c>
      <c r="C723" s="62">
        <f>VLOOKUP(G723,[1]Hoja1!$A:$O,3,0)</f>
        <v>552</v>
      </c>
      <c r="D723" s="2" t="str">
        <f t="shared" si="141"/>
        <v>1JUT30</v>
      </c>
      <c r="E723" s="62" t="s">
        <v>43</v>
      </c>
      <c r="F723" s="62" t="s">
        <v>10</v>
      </c>
      <c r="G723" s="62" t="s">
        <v>1347</v>
      </c>
      <c r="H723" s="8" t="str">
        <f>VLOOKUP(G723,[1]Hoja1!$A:$O,6,0)</f>
        <v>LAB DE SIST OPERATIVOS</v>
      </c>
      <c r="I723" s="4">
        <v>30</v>
      </c>
      <c r="J723" s="4"/>
      <c r="K723" s="80" t="str">
        <f t="shared" si="142"/>
        <v>JU</v>
      </c>
      <c r="L723" s="4" t="s">
        <v>512</v>
      </c>
      <c r="M723" s="86" t="str">
        <f>VLOOKUP(G723,[1]Hoja1!$A:$O,15,0)</f>
        <v>BERTOSSI MAXIMILIANO H</v>
      </c>
      <c r="N723" s="2" t="str">
        <f t="shared" si="135"/>
        <v>5°5°5525IFTLS5JU</v>
      </c>
      <c r="O723" s="2"/>
      <c r="P723" s="2" t="str">
        <f>VLOOKUP(G723,[1]Hoja1!$A:$P,16,0)</f>
        <v xml:space="preserve"> </v>
      </c>
      <c r="Q723" s="2"/>
      <c r="S723">
        <f>VLOOKUP(G723,[1]Hoja1!$A:$O,5,0)</f>
        <v>2680578</v>
      </c>
      <c r="U723" s="45" t="s">
        <v>2751</v>
      </c>
      <c r="V723" s="46">
        <f t="shared" si="130"/>
        <v>2680578</v>
      </c>
      <c r="W723" s="47" t="s">
        <v>1519</v>
      </c>
      <c r="X723" s="46" t="str">
        <f t="shared" si="143"/>
        <v>1</v>
      </c>
      <c r="Y723" s="47" t="s">
        <v>1518</v>
      </c>
      <c r="Z723" s="46" t="str">
        <f t="shared" si="131"/>
        <v>T</v>
      </c>
      <c r="AA723" s="47" t="s">
        <v>2752</v>
      </c>
      <c r="AB723" s="46" t="str">
        <f t="shared" si="144"/>
        <v>JUEVES</v>
      </c>
      <c r="AC723" s="47" t="s">
        <v>2753</v>
      </c>
      <c r="AD723" t="str">
        <f t="shared" si="132"/>
        <v>CONTRATURNO</v>
      </c>
      <c r="AE723" s="47" t="s">
        <v>2754</v>
      </c>
      <c r="AH723" t="str">
        <f t="shared" si="133"/>
        <v>INSERT INTO horario_curso_materia (horario_curso_materia.FK_CUR_mat,horario_curso_materia.FK_HOR,horario_curso_materia.DIA,horario_curso_materia.tipo_turno) VALUES (  (SELECT curso_materia.ID_CUR_MAT FROM curso_materia WHERE curso_materia.CUPOF='2680578' ) ,
    (SELECT horario.ID_HOR FROM horario WHERE horario.modulo='1 ' and horario.turno='T ' ),'JUEVES ' , 'CONTRATURNO ' );</v>
      </c>
    </row>
    <row r="724" spans="1:34" ht="15" hidden="1" customHeight="1" x14ac:dyDescent="0.3">
      <c r="A724" s="1" t="str">
        <f t="shared" si="134"/>
        <v>5°5°</v>
      </c>
      <c r="B724" s="54" t="str">
        <f t="shared" si="140"/>
        <v>5°5°1JUVESPERTINO0</v>
      </c>
      <c r="C724" s="62">
        <f>VLOOKUP(G724,[1]Hoja1!$A:$O,3,0)</f>
        <v>0</v>
      </c>
      <c r="D724" s="2" t="str">
        <f t="shared" si="141"/>
        <v>1JUV</v>
      </c>
      <c r="E724" s="62" t="s">
        <v>43</v>
      </c>
      <c r="F724" s="62" t="s">
        <v>125</v>
      </c>
      <c r="G724" s="62" t="s">
        <v>1365</v>
      </c>
      <c r="H724" s="8" t="str">
        <f>VLOOKUP(G724,[1]Hoja1!$A:$O,6,0)</f>
        <v>ANALISIS MATEMATICO</v>
      </c>
      <c r="I724" s="4"/>
      <c r="J724" s="4"/>
      <c r="K724" s="80" t="str">
        <f t="shared" si="142"/>
        <v>JU</v>
      </c>
      <c r="L724" s="4"/>
      <c r="M724" s="86" t="str">
        <f>VLOOKUP(G724,[1]Hoja1!$A:$O,15,0)</f>
        <v>GARCIA CLAUDIA</v>
      </c>
      <c r="N724" s="2" t="str">
        <f t="shared" si="135"/>
        <v>5°5°5IANMATJU</v>
      </c>
      <c r="O724" s="2"/>
      <c r="P724" s="2" t="str">
        <f>VLOOKUP(G724,[1]Hoja1!$A:$P,16,0)</f>
        <v xml:space="preserve"> </v>
      </c>
      <c r="Q724" s="2"/>
      <c r="S724">
        <f>VLOOKUP(G724,[1]Hoja1!$A:$O,5,0)</f>
        <v>733651</v>
      </c>
      <c r="U724" s="45" t="s">
        <v>2751</v>
      </c>
      <c r="V724" s="46">
        <f t="shared" si="130"/>
        <v>733651</v>
      </c>
      <c r="W724" s="47" t="s">
        <v>1519</v>
      </c>
      <c r="X724" s="46" t="str">
        <f t="shared" si="143"/>
        <v>1</v>
      </c>
      <c r="Y724" s="47" t="s">
        <v>1518</v>
      </c>
      <c r="Z724" s="46" t="str">
        <f t="shared" si="131"/>
        <v>V</v>
      </c>
      <c r="AA724" s="47" t="s">
        <v>2752</v>
      </c>
      <c r="AB724" s="46" t="str">
        <f t="shared" si="144"/>
        <v>JUEVES</v>
      </c>
      <c r="AC724" s="47" t="s">
        <v>2753</v>
      </c>
      <c r="AD724">
        <f t="shared" si="132"/>
        <v>0</v>
      </c>
      <c r="AE724" s="47" t="s">
        <v>2754</v>
      </c>
      <c r="AH724" t="str">
        <f t="shared" si="133"/>
        <v>INSERT INTO horario_curso_materia (horario_curso_materia.FK_CUR_mat,horario_curso_materia.FK_HOR,horario_curso_materia.DIA,horario_curso_materia.tipo_turno) VALUES (  (SELECT curso_materia.ID_CUR_MAT FROM curso_materia WHERE curso_materia.CUPOF='733651' ) ,
    (SELECT horario.ID_HOR FROM horario WHERE horario.modulo='1 ' and horario.turno='V ' ),'JUEVES ' , '0 ' );</v>
      </c>
    </row>
    <row r="725" spans="1:34" ht="15" hidden="1" customHeight="1" x14ac:dyDescent="0.3">
      <c r="A725" s="1" t="str">
        <f t="shared" si="134"/>
        <v>5°5°</v>
      </c>
      <c r="B725" s="54" t="str">
        <f t="shared" si="140"/>
        <v>5°5°1LUTARDE551</v>
      </c>
      <c r="C725" s="62">
        <f>VLOOKUP(G725,[1]Hoja1!$A:$O,3,0)</f>
        <v>551</v>
      </c>
      <c r="D725" s="2" t="str">
        <f t="shared" si="141"/>
        <v>1LUT30</v>
      </c>
      <c r="E725" s="62" t="s">
        <v>9</v>
      </c>
      <c r="F725" s="62" t="s">
        <v>10</v>
      </c>
      <c r="G725" s="62" t="s">
        <v>1352</v>
      </c>
      <c r="H725" s="8" t="str">
        <f>VLOOKUP(G725,[1]Hoja1!$A:$O,6,0)</f>
        <v>LAB DE SIST OPERATIVOS</v>
      </c>
      <c r="I725" s="4">
        <v>30</v>
      </c>
      <c r="J725" s="4"/>
      <c r="K725" s="80" t="str">
        <f t="shared" si="142"/>
        <v>LU</v>
      </c>
      <c r="L725" s="4" t="s">
        <v>512</v>
      </c>
      <c r="M725" s="86" t="str">
        <f>VLOOKUP(G725,[1]Hoja1!$A:$O,15,0)</f>
        <v>WITT  GERARDO</v>
      </c>
      <c r="N725" s="2" t="str">
        <f t="shared" si="135"/>
        <v>5°5°5515IFTLS5LU</v>
      </c>
      <c r="O725" s="2"/>
      <c r="P725" s="2" t="str">
        <f>VLOOKUP(G725,[1]Hoja1!$A:$P,16,0)</f>
        <v xml:space="preserve"> </v>
      </c>
      <c r="Q725" s="2"/>
      <c r="S725">
        <f>VLOOKUP(G725,[1]Hoja1!$A:$O,5,0)</f>
        <v>2680574</v>
      </c>
      <c r="U725" s="45" t="s">
        <v>2751</v>
      </c>
      <c r="V725" s="46">
        <f t="shared" si="130"/>
        <v>2680574</v>
      </c>
      <c r="W725" s="47" t="s">
        <v>1519</v>
      </c>
      <c r="X725" s="46" t="str">
        <f t="shared" si="143"/>
        <v>1</v>
      </c>
      <c r="Y725" s="47" t="s">
        <v>1518</v>
      </c>
      <c r="Z725" s="46" t="str">
        <f t="shared" si="131"/>
        <v>T</v>
      </c>
      <c r="AA725" s="47" t="s">
        <v>2752</v>
      </c>
      <c r="AB725" s="46" t="str">
        <f t="shared" si="144"/>
        <v>LUNES</v>
      </c>
      <c r="AC725" s="47" t="s">
        <v>2753</v>
      </c>
      <c r="AD725" t="str">
        <f t="shared" si="132"/>
        <v>CONTRATURNO</v>
      </c>
      <c r="AE725" s="47" t="s">
        <v>2754</v>
      </c>
      <c r="AH725" t="str">
        <f t="shared" si="133"/>
        <v>INSERT INTO horario_curso_materia (horario_curso_materia.FK_CUR_mat,horario_curso_materia.FK_HOR,horario_curso_materia.DIA,horario_curso_materia.tipo_turno) VALUES (  (SELECT curso_materia.ID_CUR_MAT FROM curso_materia WHERE curso_materia.CUPOF='2680574' ) ,
    (SELECT horario.ID_HOR FROM horario WHERE horario.modulo='1 ' and horario.turno='T ' ),'LUNES ' , 'CONTRATURNO ' );</v>
      </c>
    </row>
    <row r="726" spans="1:34" ht="15" hidden="1" customHeight="1" x14ac:dyDescent="0.3">
      <c r="A726" s="1" t="str">
        <f t="shared" si="134"/>
        <v>5°5°</v>
      </c>
      <c r="B726" s="54" t="str">
        <f t="shared" si="140"/>
        <v>5°5°1LUTARDE552</v>
      </c>
      <c r="C726" s="62">
        <f>VLOOKUP(G726,[1]Hoja1!$A:$O,3,0)</f>
        <v>552</v>
      </c>
      <c r="D726" s="2" t="str">
        <f t="shared" si="141"/>
        <v>1LUT40</v>
      </c>
      <c r="E726" s="62" t="s">
        <v>9</v>
      </c>
      <c r="F726" s="62" t="s">
        <v>10</v>
      </c>
      <c r="G726" s="62" t="s">
        <v>1340</v>
      </c>
      <c r="H726" s="8" t="str">
        <f>VLOOKUP(G726,[1]Hoja1!$A:$O,6,0)</f>
        <v xml:space="preserve">LAB DE HARDWARE </v>
      </c>
      <c r="I726" s="4">
        <v>40</v>
      </c>
      <c r="J726" s="4"/>
      <c r="K726" s="80" t="str">
        <f t="shared" si="142"/>
        <v>LU</v>
      </c>
      <c r="L726" s="4" t="s">
        <v>512</v>
      </c>
      <c r="M726" s="86" t="str">
        <f>VLOOKUP(G726,[1]Hoja1!$A:$O,15,0)</f>
        <v xml:space="preserve">FISTER (Serv.Prov)         </v>
      </c>
      <c r="N726" s="2" t="str">
        <f t="shared" si="135"/>
        <v>5°5°5525IFTLH5LU</v>
      </c>
      <c r="O726" s="2"/>
      <c r="P726" s="2" t="str">
        <f>VLOOKUP(G726,[1]Hoja1!$A:$P,16,0)</f>
        <v xml:space="preserve"> </v>
      </c>
      <c r="Q726" s="2"/>
      <c r="S726">
        <f>VLOOKUP(G726,[1]Hoja1!$A:$O,5,0)</f>
        <v>2680577</v>
      </c>
      <c r="U726" s="45" t="s">
        <v>2751</v>
      </c>
      <c r="V726" s="46">
        <f t="shared" si="130"/>
        <v>2680577</v>
      </c>
      <c r="W726" s="47" t="s">
        <v>1519</v>
      </c>
      <c r="X726" s="46" t="str">
        <f t="shared" si="143"/>
        <v>1</v>
      </c>
      <c r="Y726" s="47" t="s">
        <v>1518</v>
      </c>
      <c r="Z726" s="46" t="str">
        <f t="shared" si="131"/>
        <v>T</v>
      </c>
      <c r="AA726" s="47" t="s">
        <v>2752</v>
      </c>
      <c r="AB726" s="46" t="str">
        <f t="shared" si="144"/>
        <v>LUNES</v>
      </c>
      <c r="AC726" s="47" t="s">
        <v>2753</v>
      </c>
      <c r="AD726" t="str">
        <f t="shared" si="132"/>
        <v>CONTRATURNO</v>
      </c>
      <c r="AE726" s="47" t="s">
        <v>2754</v>
      </c>
      <c r="AH726" t="str">
        <f t="shared" si="133"/>
        <v>INSERT INTO horario_curso_materia (horario_curso_materia.FK_CUR_mat,horario_curso_materia.FK_HOR,horario_curso_materia.DIA,horario_curso_materia.tipo_turno) VALUES (  (SELECT curso_materia.ID_CUR_MAT FROM curso_materia WHERE curso_materia.CUPOF='2680577' ) ,
    (SELECT horario.ID_HOR FROM horario WHERE horario.modulo='1 ' and horario.turno='T ' ),'LUNES ' , 'CONTRATURNO ' );</v>
      </c>
    </row>
    <row r="727" spans="1:34" ht="15" hidden="1" customHeight="1" x14ac:dyDescent="0.3">
      <c r="A727" s="1" t="str">
        <f t="shared" si="134"/>
        <v>5°5°</v>
      </c>
      <c r="B727" s="54" t="str">
        <f t="shared" si="139"/>
        <v>5°5°1LUVESPERTINO0</v>
      </c>
      <c r="C727" s="62">
        <f>VLOOKUP(G727,[1]Hoja1!$A:$O,3,0)</f>
        <v>0</v>
      </c>
      <c r="D727" s="2" t="str">
        <f t="shared" si="124"/>
        <v>1LUV</v>
      </c>
      <c r="E727" s="62" t="s">
        <v>9</v>
      </c>
      <c r="F727" s="62" t="s">
        <v>125</v>
      </c>
      <c r="G727" s="62" t="s">
        <v>1365</v>
      </c>
      <c r="H727" s="8" t="str">
        <f>VLOOKUP(G727,[1]Hoja1!$A:$O,6,0)</f>
        <v>ANALISIS MATEMATICO</v>
      </c>
      <c r="I727" s="4"/>
      <c r="J727" s="4"/>
      <c r="K727" s="80" t="str">
        <f t="shared" si="138"/>
        <v>LU</v>
      </c>
      <c r="L727" s="4"/>
      <c r="M727" s="86" t="str">
        <f>VLOOKUP(G727,[1]Hoja1!$A:$O,15,0)</f>
        <v>GARCIA CLAUDIA</v>
      </c>
      <c r="N727" s="2" t="str">
        <f t="shared" si="135"/>
        <v>5°5°5IANMATLU</v>
      </c>
      <c r="O727" s="2"/>
      <c r="P727" s="2" t="str">
        <f>VLOOKUP(G727,[1]Hoja1!$A:$P,16,0)</f>
        <v xml:space="preserve"> </v>
      </c>
      <c r="Q727" s="2"/>
      <c r="S727">
        <f>VLOOKUP(G727,[1]Hoja1!$A:$O,5,0)</f>
        <v>733651</v>
      </c>
      <c r="U727" s="45" t="s">
        <v>2751</v>
      </c>
      <c r="V727" s="46">
        <f t="shared" si="130"/>
        <v>733651</v>
      </c>
      <c r="W727" s="47" t="s">
        <v>1519</v>
      </c>
      <c r="X727" s="46" t="str">
        <f t="shared" si="136"/>
        <v>1</v>
      </c>
      <c r="Y727" s="47" t="s">
        <v>1518</v>
      </c>
      <c r="Z727" s="46" t="str">
        <f t="shared" si="131"/>
        <v>V</v>
      </c>
      <c r="AA727" s="47" t="s">
        <v>2752</v>
      </c>
      <c r="AB727" s="46" t="str">
        <f t="shared" si="137"/>
        <v>LUNES</v>
      </c>
      <c r="AC727" s="47" t="s">
        <v>2753</v>
      </c>
      <c r="AD727">
        <f t="shared" si="132"/>
        <v>0</v>
      </c>
      <c r="AE727" s="47" t="s">
        <v>2754</v>
      </c>
      <c r="AH727" t="str">
        <f t="shared" si="133"/>
        <v>INSERT INTO horario_curso_materia (horario_curso_materia.FK_CUR_mat,horario_curso_materia.FK_HOR,horario_curso_materia.DIA,horario_curso_materia.tipo_turno) VALUES (  (SELECT curso_materia.ID_CUR_MAT FROM curso_materia WHERE curso_materia.CUPOF='733651' ) ,
    (SELECT horario.ID_HOR FROM horario WHERE horario.modulo='1 ' and horario.turno='V ' ),'LUNES ' , '0 ' );</v>
      </c>
    </row>
    <row r="728" spans="1:34" ht="15" hidden="1" customHeight="1" x14ac:dyDescent="0.3">
      <c r="A728" s="1" t="str">
        <f t="shared" si="134"/>
        <v>5°5°</v>
      </c>
      <c r="B728" s="54" t="str">
        <f t="shared" si="139"/>
        <v>5°5°5MIMAÑANA551</v>
      </c>
      <c r="C728" s="62">
        <f>VLOOKUP(G728,[1]Hoja1!$A:$O,3,0)</f>
        <v>551</v>
      </c>
      <c r="D728" s="2" t="str">
        <f t="shared" si="124"/>
        <v>5MIM40</v>
      </c>
      <c r="E728" s="62" t="s">
        <v>275</v>
      </c>
      <c r="F728" s="62" t="s">
        <v>27</v>
      </c>
      <c r="G728" s="62" t="s">
        <v>1341</v>
      </c>
      <c r="H728" s="8" t="str">
        <f>VLOOKUP(G728,[1]Hoja1!$A:$O,6,0)</f>
        <v xml:space="preserve">LAB DE PROGRAM </v>
      </c>
      <c r="I728" s="4">
        <v>40</v>
      </c>
      <c r="J728" s="4"/>
      <c r="K728" s="80" t="str">
        <f t="shared" si="138"/>
        <v>MI</v>
      </c>
      <c r="L728" s="4" t="s">
        <v>512</v>
      </c>
      <c r="M728" s="86" t="str">
        <f>VLOOKUP(G728,[1]Hoja1!$A:$O,15,0)</f>
        <v>WITT  GERARDO</v>
      </c>
      <c r="N728" s="2" t="str">
        <f t="shared" si="135"/>
        <v>5°5°5515IFTLP5MI</v>
      </c>
      <c r="O728" s="2"/>
      <c r="P728" s="2" t="str">
        <f>VLOOKUP(G728,[1]Hoja1!$A:$P,16,0)</f>
        <v xml:space="preserve"> </v>
      </c>
      <c r="Q728" s="2"/>
      <c r="S728">
        <f>VLOOKUP(G728,[1]Hoja1!$A:$O,5,0)</f>
        <v>2680572</v>
      </c>
      <c r="U728" s="45" t="s">
        <v>2751</v>
      </c>
      <c r="V728" s="46">
        <f t="shared" si="130"/>
        <v>2680572</v>
      </c>
      <c r="W728" s="47" t="s">
        <v>1519</v>
      </c>
      <c r="X728" s="46" t="str">
        <f t="shared" si="136"/>
        <v>5</v>
      </c>
      <c r="Y728" s="47" t="s">
        <v>1518</v>
      </c>
      <c r="Z728" s="46" t="str">
        <f t="shared" si="131"/>
        <v>M</v>
      </c>
      <c r="AA728" s="47" t="s">
        <v>2752</v>
      </c>
      <c r="AB728" s="46" t="str">
        <f t="shared" si="137"/>
        <v>MIERCOLES</v>
      </c>
      <c r="AC728" s="47" t="s">
        <v>2753</v>
      </c>
      <c r="AD728" t="str">
        <f t="shared" si="132"/>
        <v>CONTRATURNO</v>
      </c>
      <c r="AE728" s="47" t="s">
        <v>2754</v>
      </c>
      <c r="AH728" t="str">
        <f t="shared" si="133"/>
        <v>INSERT INTO horario_curso_materia (horario_curso_materia.FK_CUR_mat,horario_curso_materia.FK_HOR,horario_curso_materia.DIA,horario_curso_materia.tipo_turno) VALUES (  (SELECT curso_materia.ID_CUR_MAT FROM curso_materia WHERE curso_materia.CUPOF='2680572' ) ,
    (SELECT horario.ID_HOR FROM horario WHERE horario.modulo='5 ' and horario.turno='M ' ),'MIERCOLES ' , 'CONTRATURNO ' );</v>
      </c>
    </row>
    <row r="729" spans="1:34" ht="15" hidden="1" customHeight="1" x14ac:dyDescent="0.3">
      <c r="A729" s="1" t="str">
        <f t="shared" si="134"/>
        <v>5°5°</v>
      </c>
      <c r="B729" s="54" t="str">
        <f t="shared" si="139"/>
        <v>5°5°1MATARDE0</v>
      </c>
      <c r="C729" s="62">
        <f>VLOOKUP(G729,[1]Hoja1!$A:$O,3,0)</f>
        <v>0</v>
      </c>
      <c r="D729" s="2" t="str">
        <f t="shared" si="124"/>
        <v>1MATPATIO</v>
      </c>
      <c r="E729" s="62" t="s">
        <v>17</v>
      </c>
      <c r="F729" s="62" t="s">
        <v>10</v>
      </c>
      <c r="G729" s="62" t="s">
        <v>1338</v>
      </c>
      <c r="H729" s="8" t="str">
        <f>VLOOKUP(G729,[1]Hoja1!$A:$O,6,0)</f>
        <v>EDUCACIÓN FISICA</v>
      </c>
      <c r="I729" s="4" t="s">
        <v>241</v>
      </c>
      <c r="J729" s="4"/>
      <c r="K729" s="80" t="str">
        <f t="shared" si="138"/>
        <v>MA</v>
      </c>
      <c r="L729" s="4" t="s">
        <v>512</v>
      </c>
      <c r="M729" s="86" t="str">
        <f>VLOOKUP(G729,[1]Hoja1!$A:$O,15,0)</f>
        <v>LUDUEÑA NELSON</v>
      </c>
      <c r="N729" s="2" t="str">
        <f t="shared" si="135"/>
        <v>5°5°5IEFISMA</v>
      </c>
      <c r="O729" s="2"/>
      <c r="P729" s="2" t="str">
        <f>VLOOKUP(G729,[1]Hoja1!$A:$P,16,0)</f>
        <v xml:space="preserve"> </v>
      </c>
      <c r="Q729" s="2"/>
      <c r="S729">
        <f>VLOOKUP(G729,[1]Hoja1!$A:$O,5,0)</f>
        <v>733402</v>
      </c>
      <c r="U729" s="45" t="s">
        <v>2751</v>
      </c>
      <c r="V729" s="46">
        <f t="shared" si="130"/>
        <v>733402</v>
      </c>
      <c r="W729" s="47" t="s">
        <v>1519</v>
      </c>
      <c r="X729" s="46" t="str">
        <f t="shared" si="136"/>
        <v>1</v>
      </c>
      <c r="Y729" s="47" t="s">
        <v>1518</v>
      </c>
      <c r="Z729" s="46" t="str">
        <f t="shared" si="131"/>
        <v>T</v>
      </c>
      <c r="AA729" s="47" t="s">
        <v>2752</v>
      </c>
      <c r="AB729" s="46" t="str">
        <f t="shared" si="137"/>
        <v>MARTES</v>
      </c>
      <c r="AC729" s="47" t="s">
        <v>2753</v>
      </c>
      <c r="AD729" t="str">
        <f t="shared" si="132"/>
        <v>CONTRATURNO</v>
      </c>
      <c r="AE729" s="47" t="s">
        <v>2754</v>
      </c>
      <c r="AH729" t="str">
        <f t="shared" si="133"/>
        <v>INSERT INTO horario_curso_materia (horario_curso_materia.FK_CUR_mat,horario_curso_materia.FK_HOR,horario_curso_materia.DIA,horario_curso_materia.tipo_turno) VALUES (  (SELECT curso_materia.ID_CUR_MAT FROM curso_materia WHERE curso_materia.CUPOF='733402' ) ,
    (SELECT horario.ID_HOR FROM horario WHERE horario.modulo='1 ' and horario.turno='T ' ),'MARTES ' , 'CONTRATURNO ' );</v>
      </c>
    </row>
    <row r="730" spans="1:34" ht="15" hidden="1" customHeight="1" x14ac:dyDescent="0.3">
      <c r="A730" s="1" t="str">
        <f t="shared" si="134"/>
        <v>5°5°</v>
      </c>
      <c r="B730" s="54" t="str">
        <f t="shared" si="139"/>
        <v>5°5°1MAVESPERTINO0</v>
      </c>
      <c r="C730" s="62">
        <f>VLOOKUP(G730,[1]Hoja1!$A:$O,3,0)</f>
        <v>0</v>
      </c>
      <c r="D730" s="2" t="str">
        <f t="shared" si="124"/>
        <v>1MAV</v>
      </c>
      <c r="E730" s="62" t="s">
        <v>17</v>
      </c>
      <c r="F730" s="62" t="s">
        <v>125</v>
      </c>
      <c r="G730" s="62" t="s">
        <v>1369</v>
      </c>
      <c r="H730" s="8" t="str">
        <f>VLOOKUP(G730,[1]Hoja1!$A:$O,6,0)</f>
        <v>INGLÉS</v>
      </c>
      <c r="I730" s="4"/>
      <c r="J730" s="4"/>
      <c r="K730" s="80" t="str">
        <f t="shared" si="138"/>
        <v>MA</v>
      </c>
      <c r="L730" s="4"/>
      <c r="M730" s="86" t="str">
        <f>VLOOKUP(G730,[1]Hoja1!$A:$O,15,0)</f>
        <v>BARBIERI MARIA 27361711800</v>
      </c>
      <c r="N730" s="2" t="str">
        <f t="shared" si="135"/>
        <v>5°5°5IINGSMA</v>
      </c>
      <c r="O730" s="2"/>
      <c r="P730" s="2" t="str">
        <f>VLOOKUP(G730,[1]Hoja1!$A:$P,16,0)</f>
        <v xml:space="preserve"> </v>
      </c>
      <c r="Q730" s="2"/>
      <c r="S730">
        <f>VLOOKUP(G730,[1]Hoja1!$A:$O,5,0)</f>
        <v>733672</v>
      </c>
      <c r="U730" s="45" t="s">
        <v>2751</v>
      </c>
      <c r="V730" s="46">
        <f t="shared" si="130"/>
        <v>733672</v>
      </c>
      <c r="W730" s="47" t="s">
        <v>1519</v>
      </c>
      <c r="X730" s="46" t="str">
        <f t="shared" si="136"/>
        <v>1</v>
      </c>
      <c r="Y730" s="47" t="s">
        <v>1518</v>
      </c>
      <c r="Z730" s="46" t="str">
        <f t="shared" si="131"/>
        <v>V</v>
      </c>
      <c r="AA730" s="47" t="s">
        <v>2752</v>
      </c>
      <c r="AB730" s="46" t="str">
        <f t="shared" si="137"/>
        <v>MARTES</v>
      </c>
      <c r="AC730" s="47" t="s">
        <v>2753</v>
      </c>
      <c r="AD730">
        <f t="shared" si="132"/>
        <v>0</v>
      </c>
      <c r="AE730" s="47" t="s">
        <v>2754</v>
      </c>
      <c r="AH730" t="str">
        <f t="shared" si="133"/>
        <v>INSERT INTO horario_curso_materia (horario_curso_materia.FK_CUR_mat,horario_curso_materia.FK_HOR,horario_curso_materia.DIA,horario_curso_materia.tipo_turno) VALUES (  (SELECT curso_materia.ID_CUR_MAT FROM curso_materia WHERE curso_materia.CUPOF='733672' ) ,
    (SELECT horario.ID_HOR FROM horario WHERE horario.modulo='1 ' and horario.turno='V ' ),'MARTES ' , '0 ' );</v>
      </c>
    </row>
    <row r="731" spans="1:34" ht="15" hidden="1" customHeight="1" x14ac:dyDescent="0.3">
      <c r="A731" s="1" t="str">
        <f t="shared" si="134"/>
        <v>5°5°</v>
      </c>
      <c r="B731" s="54" t="str">
        <f t="shared" si="139"/>
        <v>5°5°1MITARDE551</v>
      </c>
      <c r="C731" s="62">
        <f>VLOOKUP(G731,[1]Hoja1!$A:$O,3,0)</f>
        <v>551</v>
      </c>
      <c r="D731" s="2" t="str">
        <f t="shared" si="124"/>
        <v>1MIT40</v>
      </c>
      <c r="E731" s="62" t="s">
        <v>24</v>
      </c>
      <c r="F731" s="62" t="s">
        <v>10</v>
      </c>
      <c r="G731" s="62" t="s">
        <v>1342</v>
      </c>
      <c r="H731" s="8" t="str">
        <f>VLOOKUP(G731,[1]Hoja1!$A:$O,6,0)</f>
        <v xml:space="preserve">LAB DE APLICACIONES </v>
      </c>
      <c r="I731" s="4">
        <v>40</v>
      </c>
      <c r="J731" s="4"/>
      <c r="K731" s="80" t="str">
        <f t="shared" si="138"/>
        <v>MI</v>
      </c>
      <c r="L731" s="4" t="s">
        <v>512</v>
      </c>
      <c r="M731" s="86" t="str">
        <f>VLOOKUP(G731,[1]Hoja1!$A:$O,15,0)</f>
        <v xml:space="preserve"> HERRERA STELLA MARIS</v>
      </c>
      <c r="N731" s="2" t="str">
        <f t="shared" si="135"/>
        <v>5°5°5515IFTLA5MI</v>
      </c>
      <c r="O731" s="2"/>
      <c r="P731" s="2" t="str">
        <f>VLOOKUP(G731,[1]Hoja1!$A:$P,16,0)</f>
        <v xml:space="preserve"> </v>
      </c>
      <c r="Q731" s="2"/>
      <c r="S731">
        <f>VLOOKUP(G731,[1]Hoja1!$A:$O,5,0)</f>
        <v>2680575</v>
      </c>
      <c r="U731" s="45" t="s">
        <v>2751</v>
      </c>
      <c r="V731" s="46">
        <f t="shared" si="130"/>
        <v>2680575</v>
      </c>
      <c r="W731" s="47" t="s">
        <v>1519</v>
      </c>
      <c r="X731" s="46" t="str">
        <f t="shared" si="136"/>
        <v>1</v>
      </c>
      <c r="Y731" s="47" t="s">
        <v>1518</v>
      </c>
      <c r="Z731" s="46" t="str">
        <f t="shared" si="131"/>
        <v>T</v>
      </c>
      <c r="AA731" s="47" t="s">
        <v>2752</v>
      </c>
      <c r="AB731" s="46" t="str">
        <f t="shared" si="137"/>
        <v>MIERCOLES</v>
      </c>
      <c r="AC731" s="47" t="s">
        <v>2753</v>
      </c>
      <c r="AD731" t="str">
        <f t="shared" si="132"/>
        <v>CONTRATURNO</v>
      </c>
      <c r="AE731" s="47" t="s">
        <v>2754</v>
      </c>
      <c r="AH731" t="str">
        <f t="shared" si="133"/>
        <v>INSERT INTO horario_curso_materia (horario_curso_materia.FK_CUR_mat,horario_curso_materia.FK_HOR,horario_curso_materia.DIA,horario_curso_materia.tipo_turno) VALUES (  (SELECT curso_materia.ID_CUR_MAT FROM curso_materia WHERE curso_materia.CUPOF='2680575' ) ,
    (SELECT horario.ID_HOR FROM horario WHERE horario.modulo='1 ' and horario.turno='T ' ),'MIERCOLES ' , 'CONTRATURNO ' );</v>
      </c>
    </row>
    <row r="732" spans="1:34" ht="15" hidden="1" customHeight="1" x14ac:dyDescent="0.3">
      <c r="A732" s="1" t="str">
        <f t="shared" si="134"/>
        <v>5°5°</v>
      </c>
      <c r="B732" s="54" t="str">
        <f t="shared" si="139"/>
        <v>5°5°1MIVESPERTINO0</v>
      </c>
      <c r="C732" s="62">
        <f>VLOOKUP(G732,[1]Hoja1!$A:$O,3,0)</f>
        <v>0</v>
      </c>
      <c r="D732" s="2" t="str">
        <f t="shared" si="124"/>
        <v>1MIV</v>
      </c>
      <c r="E732" s="62" t="s">
        <v>24</v>
      </c>
      <c r="F732" s="62" t="s">
        <v>125</v>
      </c>
      <c r="G732" s="62" t="s">
        <v>1367</v>
      </c>
      <c r="H732" s="8" t="str">
        <f>VLOOKUP(G732,[1]Hoja1!$A:$O,6,0)</f>
        <v>GEOGRAFIA</v>
      </c>
      <c r="I732" s="4"/>
      <c r="J732" s="4"/>
      <c r="K732" s="80" t="str">
        <f t="shared" si="138"/>
        <v>MI</v>
      </c>
      <c r="L732" s="4"/>
      <c r="M732" s="86" t="str">
        <f>VLOOKUP(G732,[1]Hoja1!$A:$O,15,0)</f>
        <v xml:space="preserve"> ROJAS SOLEDAD</v>
      </c>
      <c r="N732" s="2" t="str">
        <f t="shared" si="135"/>
        <v>5°5°5IGEOS5MI</v>
      </c>
      <c r="O732" s="2"/>
      <c r="P732" s="2" t="str">
        <f>VLOOKUP(G732,[1]Hoja1!$A:$P,16,0)</f>
        <v xml:space="preserve"> </v>
      </c>
      <c r="Q732" s="2"/>
      <c r="S732">
        <f>VLOOKUP(G732,[1]Hoja1!$A:$O,5,0)</f>
        <v>733650</v>
      </c>
      <c r="U732" s="45" t="s">
        <v>2751</v>
      </c>
      <c r="V732" s="46">
        <f t="shared" si="130"/>
        <v>733650</v>
      </c>
      <c r="W732" s="47" t="s">
        <v>1519</v>
      </c>
      <c r="X732" s="46" t="str">
        <f t="shared" si="136"/>
        <v>1</v>
      </c>
      <c r="Y732" s="47" t="s">
        <v>1518</v>
      </c>
      <c r="Z732" s="46" t="str">
        <f t="shared" si="131"/>
        <v>V</v>
      </c>
      <c r="AA732" s="47" t="s">
        <v>2752</v>
      </c>
      <c r="AB732" s="46" t="str">
        <f t="shared" si="137"/>
        <v>MIERCOLES</v>
      </c>
      <c r="AC732" s="47" t="s">
        <v>2753</v>
      </c>
      <c r="AD732">
        <f t="shared" si="132"/>
        <v>0</v>
      </c>
      <c r="AE732" s="47" t="s">
        <v>2754</v>
      </c>
      <c r="AH732" t="str">
        <f t="shared" si="133"/>
        <v>INSERT INTO horario_curso_materia (horario_curso_materia.FK_CUR_mat,horario_curso_materia.FK_HOR,horario_curso_materia.DIA,horario_curso_materia.tipo_turno) VALUES (  (SELECT curso_materia.ID_CUR_MAT FROM curso_materia WHERE curso_materia.CUPOF='733650' ) ,
    (SELECT horario.ID_HOR FROM horario WHERE horario.modulo='1 ' and horario.turno='V ' ),'MIERCOLES ' , '0 ' );</v>
      </c>
    </row>
    <row r="733" spans="1:34" ht="15" hidden="1" customHeight="1" x14ac:dyDescent="0.3">
      <c r="A733" s="1" t="str">
        <f t="shared" si="134"/>
        <v>5°5°</v>
      </c>
      <c r="B733" s="54" t="str">
        <f t="shared" si="139"/>
        <v>5°5°1VIVESPERTINO0</v>
      </c>
      <c r="C733" s="62">
        <f>VLOOKUP(G733,[1]Hoja1!$A:$O,3,0)</f>
        <v>0</v>
      </c>
      <c r="D733" s="2" t="str">
        <f t="shared" ref="D733:D796" si="145">CONCATENATE(E733,LEFT(F733,1),I733)</f>
        <v>1VIV</v>
      </c>
      <c r="E733" s="62" t="s">
        <v>57</v>
      </c>
      <c r="F733" s="62" t="s">
        <v>125</v>
      </c>
      <c r="G733" s="62" t="s">
        <v>1372</v>
      </c>
      <c r="H733" s="8" t="str">
        <f>VLOOKUP(G733,[1]Hoja1!$A:$O,6,0)</f>
        <v>HISTORIA</v>
      </c>
      <c r="I733" s="4"/>
      <c r="J733" s="4"/>
      <c r="K733" s="80" t="str">
        <f t="shared" si="138"/>
        <v>VI</v>
      </c>
      <c r="L733" s="4"/>
      <c r="M733" s="86" t="str">
        <f>VLOOKUP(G733,[1]Hoja1!$A:$O,15,0)</f>
        <v xml:space="preserve">GERSTER MYRIAN   INT206           </v>
      </c>
      <c r="N733" s="2" t="str">
        <f t="shared" si="135"/>
        <v>5°5°5IHIS5VI</v>
      </c>
      <c r="O733" s="2"/>
      <c r="P733" s="2" t="str">
        <f>VLOOKUP(G733,[1]Hoja1!$A:$P,16,0)</f>
        <v xml:space="preserve"> </v>
      </c>
      <c r="Q733" s="2"/>
      <c r="S733">
        <f>VLOOKUP(G733,[1]Hoja1!$A:$O,5,0)</f>
        <v>1643750</v>
      </c>
      <c r="U733" s="45" t="s">
        <v>2751</v>
      </c>
      <c r="V733" s="46">
        <f t="shared" si="130"/>
        <v>1643750</v>
      </c>
      <c r="W733" s="47" t="s">
        <v>1519</v>
      </c>
      <c r="X733" s="46" t="str">
        <f t="shared" si="136"/>
        <v>1</v>
      </c>
      <c r="Y733" s="47" t="s">
        <v>1518</v>
      </c>
      <c r="Z733" s="46" t="str">
        <f t="shared" si="131"/>
        <v>V</v>
      </c>
      <c r="AA733" s="47" t="s">
        <v>2752</v>
      </c>
      <c r="AB733" s="46" t="str">
        <f t="shared" si="137"/>
        <v>VIERNES</v>
      </c>
      <c r="AC733" s="47" t="s">
        <v>2753</v>
      </c>
      <c r="AD733">
        <f t="shared" si="132"/>
        <v>0</v>
      </c>
      <c r="AE733" s="47" t="s">
        <v>2754</v>
      </c>
      <c r="AH733" t="str">
        <f t="shared" si="133"/>
        <v>INSERT INTO horario_curso_materia (horario_curso_materia.FK_CUR_mat,horario_curso_materia.FK_HOR,horario_curso_materia.DIA,horario_curso_materia.tipo_turno) VALUES (  (SELECT curso_materia.ID_CUR_MAT FROM curso_materia WHERE curso_materia.CUPOF='1643750' ) ,
    (SELECT horario.ID_HOR FROM horario WHERE horario.modulo='1 ' and horario.turno='V ' ),'VIERNES ' , '0 ' );</v>
      </c>
    </row>
    <row r="734" spans="1:34" ht="15" hidden="1" customHeight="1" x14ac:dyDescent="0.3">
      <c r="A734" s="1" t="str">
        <f t="shared" si="134"/>
        <v>5°5°</v>
      </c>
      <c r="B734" s="54" t="str">
        <f t="shared" si="139"/>
        <v>5°5°2maMAÑANA552</v>
      </c>
      <c r="C734" s="62">
        <f>VLOOKUP(G734,[1]Hoja1!$A:$O,3,0)</f>
        <v>552</v>
      </c>
      <c r="D734" s="2" t="str">
        <f t="shared" si="145"/>
        <v>2maM30</v>
      </c>
      <c r="E734" s="62" t="s">
        <v>90</v>
      </c>
      <c r="F734" s="62" t="s">
        <v>27</v>
      </c>
      <c r="G734" s="62" t="s">
        <v>1345</v>
      </c>
      <c r="H734" s="8" t="str">
        <f>VLOOKUP(G734,[1]Hoja1!$A:$O,6,0)</f>
        <v xml:space="preserve">LAB DE PROGRAM </v>
      </c>
      <c r="I734" s="4">
        <v>30</v>
      </c>
      <c r="J734" s="4"/>
      <c r="K734" s="80" t="str">
        <f t="shared" si="138"/>
        <v>ma</v>
      </c>
      <c r="L734" s="4" t="s">
        <v>512</v>
      </c>
      <c r="M734" s="86" t="str">
        <f>VLOOKUP(G734,[1]Hoja1!$A:$O,15,0)</f>
        <v>WITT GERARDO</v>
      </c>
      <c r="N734" s="2" t="str">
        <f t="shared" si="135"/>
        <v>5°5°5525IFTLP5ma</v>
      </c>
      <c r="O734" s="2"/>
      <c r="P734" s="2" t="str">
        <f>VLOOKUP(G734,[1]Hoja1!$A:$P,16,0)</f>
        <v xml:space="preserve"> </v>
      </c>
      <c r="Q734" s="2"/>
      <c r="S734">
        <f>VLOOKUP(G734,[1]Hoja1!$A:$O,5,0)</f>
        <v>2680576</v>
      </c>
      <c r="U734" s="45" t="s">
        <v>2751</v>
      </c>
      <c r="V734" s="46">
        <f t="shared" si="130"/>
        <v>2680576</v>
      </c>
      <c r="W734" s="47" t="s">
        <v>1519</v>
      </c>
      <c r="X734" s="46" t="str">
        <f t="shared" si="136"/>
        <v>2</v>
      </c>
      <c r="Y734" s="47" t="s">
        <v>1518</v>
      </c>
      <c r="Z734" s="46" t="str">
        <f t="shared" si="131"/>
        <v>M</v>
      </c>
      <c r="AA734" s="47" t="s">
        <v>2752</v>
      </c>
      <c r="AB734" s="46" t="str">
        <f t="shared" si="137"/>
        <v>MARTES</v>
      </c>
      <c r="AC734" s="47" t="s">
        <v>2753</v>
      </c>
      <c r="AD734" t="str">
        <f t="shared" si="132"/>
        <v>CONTRATURNO</v>
      </c>
      <c r="AE734" s="47" t="s">
        <v>2754</v>
      </c>
      <c r="AH734" t="str">
        <f t="shared" si="133"/>
        <v>INSERT INTO horario_curso_materia (horario_curso_materia.FK_CUR_mat,horario_curso_materia.FK_HOR,horario_curso_materia.DIA,horario_curso_materia.tipo_turno) VALUES (  (SELECT curso_materia.ID_CUR_MAT FROM curso_materia WHERE curso_materia.CUPOF='2680576' ) ,
    (SELECT horario.ID_HOR FROM horario WHERE horario.modulo='2 ' and horario.turno='M ' ),'MARTES ' , 'CONTRATURNO ' );</v>
      </c>
    </row>
    <row r="735" spans="1:34" ht="15" hidden="1" customHeight="1" x14ac:dyDescent="0.3">
      <c r="A735" s="1" t="str">
        <f t="shared" si="134"/>
        <v>5°5°</v>
      </c>
      <c r="B735" s="54" t="str">
        <f t="shared" si="139"/>
        <v>5°5°2JUTARDE552</v>
      </c>
      <c r="C735" s="62">
        <f>VLOOKUP(G735,[1]Hoja1!$A:$O,3,0)</f>
        <v>552</v>
      </c>
      <c r="D735" s="2" t="str">
        <f t="shared" si="145"/>
        <v>2JUT30</v>
      </c>
      <c r="E735" s="62" t="s">
        <v>45</v>
      </c>
      <c r="F735" s="62" t="s">
        <v>10</v>
      </c>
      <c r="G735" s="62" t="s">
        <v>1347</v>
      </c>
      <c r="H735" s="8" t="str">
        <f>VLOOKUP(G735,[1]Hoja1!$A:$O,6,0)</f>
        <v>LAB DE SIST OPERATIVOS</v>
      </c>
      <c r="I735" s="4">
        <v>30</v>
      </c>
      <c r="J735" s="4"/>
      <c r="K735" s="80" t="str">
        <f t="shared" si="138"/>
        <v>JU</v>
      </c>
      <c r="L735" s="4" t="s">
        <v>512</v>
      </c>
      <c r="M735" s="86" t="str">
        <f>VLOOKUP(G735,[1]Hoja1!$A:$O,15,0)</f>
        <v>BERTOSSI MAXIMILIANO H</v>
      </c>
      <c r="N735" s="2" t="str">
        <f t="shared" si="135"/>
        <v>5°5°5525IFTLS5JU</v>
      </c>
      <c r="O735" s="2"/>
      <c r="P735" s="2" t="str">
        <f>VLOOKUP(G735,[1]Hoja1!$A:$P,16,0)</f>
        <v xml:space="preserve"> </v>
      </c>
      <c r="Q735" s="2"/>
      <c r="S735">
        <f>VLOOKUP(G735,[1]Hoja1!$A:$O,5,0)</f>
        <v>2680578</v>
      </c>
      <c r="U735" s="45" t="s">
        <v>2751</v>
      </c>
      <c r="V735" s="46">
        <f t="shared" si="130"/>
        <v>2680578</v>
      </c>
      <c r="W735" s="47" t="s">
        <v>1519</v>
      </c>
      <c r="X735" s="46" t="str">
        <f t="shared" si="136"/>
        <v>2</v>
      </c>
      <c r="Y735" s="47" t="s">
        <v>1518</v>
      </c>
      <c r="Z735" s="46" t="str">
        <f t="shared" si="131"/>
        <v>T</v>
      </c>
      <c r="AA735" s="47" t="s">
        <v>2752</v>
      </c>
      <c r="AB735" s="46" t="str">
        <f t="shared" si="137"/>
        <v>JUEVES</v>
      </c>
      <c r="AC735" s="47" t="s">
        <v>2753</v>
      </c>
      <c r="AD735" t="str">
        <f t="shared" si="132"/>
        <v>CONTRATURNO</v>
      </c>
      <c r="AE735" s="47" t="s">
        <v>2754</v>
      </c>
      <c r="AH735" t="str">
        <f t="shared" si="133"/>
        <v>INSERT INTO horario_curso_materia (horario_curso_materia.FK_CUR_mat,horario_curso_materia.FK_HOR,horario_curso_materia.DIA,horario_curso_materia.tipo_turno) VALUES (  (SELECT curso_materia.ID_CUR_MAT FROM curso_materia WHERE curso_materia.CUPOF='2680578' ) ,
    (SELECT horario.ID_HOR FROM horario WHERE horario.modulo='2 ' and horario.turno='T ' ),'JUEVES ' , 'CONTRATURNO ' );</v>
      </c>
    </row>
    <row r="736" spans="1:34" ht="15" hidden="1" customHeight="1" x14ac:dyDescent="0.3">
      <c r="A736" s="1" t="str">
        <f t="shared" si="134"/>
        <v>5°5°</v>
      </c>
      <c r="B736" s="54" t="str">
        <f t="shared" si="139"/>
        <v>5°5°2JUVESPERTINO0</v>
      </c>
      <c r="C736" s="62">
        <f>VLOOKUP(G736,[1]Hoja1!$A:$O,3,0)</f>
        <v>0</v>
      </c>
      <c r="D736" s="2" t="str">
        <f t="shared" si="145"/>
        <v>2JUV</v>
      </c>
      <c r="E736" s="62" t="s">
        <v>45</v>
      </c>
      <c r="F736" s="62" t="s">
        <v>125</v>
      </c>
      <c r="G736" s="62" t="s">
        <v>1365</v>
      </c>
      <c r="H736" s="8" t="str">
        <f>VLOOKUP(G736,[1]Hoja1!$A:$O,6,0)</f>
        <v>ANALISIS MATEMATICO</v>
      </c>
      <c r="I736" s="4"/>
      <c r="J736" s="4"/>
      <c r="K736" s="80" t="str">
        <f t="shared" si="138"/>
        <v>JU</v>
      </c>
      <c r="L736" s="4"/>
      <c r="M736" s="86" t="str">
        <f>VLOOKUP(G736,[1]Hoja1!$A:$O,15,0)</f>
        <v>GARCIA CLAUDIA</v>
      </c>
      <c r="N736" s="2" t="str">
        <f t="shared" si="135"/>
        <v>5°5°5IANMATJU</v>
      </c>
      <c r="O736" s="2"/>
      <c r="P736" s="2" t="str">
        <f>VLOOKUP(G736,[1]Hoja1!$A:$P,16,0)</f>
        <v xml:space="preserve"> </v>
      </c>
      <c r="Q736" s="2"/>
      <c r="S736">
        <f>VLOOKUP(G736,[1]Hoja1!$A:$O,5,0)</f>
        <v>733651</v>
      </c>
      <c r="U736" s="45" t="s">
        <v>2751</v>
      </c>
      <c r="V736" s="46">
        <f t="shared" si="130"/>
        <v>733651</v>
      </c>
      <c r="W736" s="47" t="s">
        <v>1519</v>
      </c>
      <c r="X736" s="46" t="str">
        <f t="shared" si="136"/>
        <v>2</v>
      </c>
      <c r="Y736" s="47" t="s">
        <v>1518</v>
      </c>
      <c r="Z736" s="46" t="str">
        <f t="shared" si="131"/>
        <v>V</v>
      </c>
      <c r="AA736" s="47" t="s">
        <v>2752</v>
      </c>
      <c r="AB736" s="46" t="str">
        <f t="shared" si="137"/>
        <v>JUEVES</v>
      </c>
      <c r="AC736" s="47" t="s">
        <v>2753</v>
      </c>
      <c r="AD736">
        <f t="shared" si="132"/>
        <v>0</v>
      </c>
      <c r="AE736" s="47" t="s">
        <v>2754</v>
      </c>
      <c r="AH736" t="str">
        <f t="shared" si="133"/>
        <v>INSERT INTO horario_curso_materia (horario_curso_materia.FK_CUR_mat,horario_curso_materia.FK_HOR,horario_curso_materia.DIA,horario_curso_materia.tipo_turno) VALUES (  (SELECT curso_materia.ID_CUR_MAT FROM curso_materia WHERE curso_materia.CUPOF='733651' ) ,
    (SELECT horario.ID_HOR FROM horario WHERE horario.modulo='2 ' and horario.turno='V ' ),'JUEVES ' , '0 ' );</v>
      </c>
    </row>
    <row r="737" spans="1:34" ht="15" hidden="1" customHeight="1" x14ac:dyDescent="0.3">
      <c r="A737" s="1" t="str">
        <f t="shared" si="134"/>
        <v>5°5°</v>
      </c>
      <c r="B737" s="54" t="str">
        <f t="shared" si="139"/>
        <v>5°5°2LUTARDE551</v>
      </c>
      <c r="C737" s="62">
        <f>VLOOKUP(G737,[1]Hoja1!$A:$O,3,0)</f>
        <v>551</v>
      </c>
      <c r="D737" s="2" t="str">
        <f t="shared" si="145"/>
        <v>2LUT30</v>
      </c>
      <c r="E737" s="62" t="s">
        <v>12</v>
      </c>
      <c r="F737" s="62" t="s">
        <v>10</v>
      </c>
      <c r="G737" s="62" t="s">
        <v>1352</v>
      </c>
      <c r="H737" s="8" t="str">
        <f>VLOOKUP(G737,[1]Hoja1!$A:$O,6,0)</f>
        <v>LAB DE SIST OPERATIVOS</v>
      </c>
      <c r="I737" s="4">
        <v>30</v>
      </c>
      <c r="J737" s="4"/>
      <c r="K737" s="80" t="str">
        <f t="shared" si="138"/>
        <v>LU</v>
      </c>
      <c r="L737" s="4" t="s">
        <v>512</v>
      </c>
      <c r="M737" s="86" t="str">
        <f>VLOOKUP(G737,[1]Hoja1!$A:$O,15,0)</f>
        <v>WITT  GERARDO</v>
      </c>
      <c r="N737" s="2" t="str">
        <f t="shared" si="135"/>
        <v>5°5°5515IFTLS5LU</v>
      </c>
      <c r="O737" s="2"/>
      <c r="P737" s="2" t="str">
        <f>VLOOKUP(G737,[1]Hoja1!$A:$P,16,0)</f>
        <v xml:space="preserve"> </v>
      </c>
      <c r="Q737" s="2"/>
      <c r="S737">
        <f>VLOOKUP(G737,[1]Hoja1!$A:$O,5,0)</f>
        <v>2680574</v>
      </c>
      <c r="U737" s="45" t="s">
        <v>2751</v>
      </c>
      <c r="V737" s="46">
        <f t="shared" si="130"/>
        <v>2680574</v>
      </c>
      <c r="W737" s="47" t="s">
        <v>1519</v>
      </c>
      <c r="X737" s="46" t="str">
        <f t="shared" si="136"/>
        <v>2</v>
      </c>
      <c r="Y737" s="47" t="s">
        <v>1518</v>
      </c>
      <c r="Z737" s="46" t="str">
        <f t="shared" si="131"/>
        <v>T</v>
      </c>
      <c r="AA737" s="47" t="s">
        <v>2752</v>
      </c>
      <c r="AB737" s="46" t="str">
        <f t="shared" si="137"/>
        <v>LUNES</v>
      </c>
      <c r="AC737" s="47" t="s">
        <v>2753</v>
      </c>
      <c r="AD737" t="str">
        <f t="shared" si="132"/>
        <v>CONTRATURNO</v>
      </c>
      <c r="AE737" s="47" t="s">
        <v>2754</v>
      </c>
      <c r="AH737" t="str">
        <f t="shared" si="133"/>
        <v>INSERT INTO horario_curso_materia (horario_curso_materia.FK_CUR_mat,horario_curso_materia.FK_HOR,horario_curso_materia.DIA,horario_curso_materia.tipo_turno) VALUES (  (SELECT curso_materia.ID_CUR_MAT FROM curso_materia WHERE curso_materia.CUPOF='2680574' ) ,
    (SELECT horario.ID_HOR FROM horario WHERE horario.modulo='2 ' and horario.turno='T ' ),'LUNES ' , 'CONTRATURNO ' );</v>
      </c>
    </row>
    <row r="738" spans="1:34" ht="15" hidden="1" customHeight="1" x14ac:dyDescent="0.3">
      <c r="A738" s="1" t="str">
        <f t="shared" si="134"/>
        <v>5°5°</v>
      </c>
      <c r="B738" s="54" t="str">
        <f t="shared" si="139"/>
        <v>5°5°2LUTARDE552</v>
      </c>
      <c r="C738" s="62">
        <f>VLOOKUP(G738,[1]Hoja1!$A:$O,3,0)</f>
        <v>552</v>
      </c>
      <c r="D738" s="2" t="str">
        <f t="shared" si="145"/>
        <v>2LUT40</v>
      </c>
      <c r="E738" s="62" t="s">
        <v>12</v>
      </c>
      <c r="F738" s="62" t="s">
        <v>10</v>
      </c>
      <c r="G738" s="62" t="s">
        <v>1340</v>
      </c>
      <c r="H738" s="8" t="str">
        <f>VLOOKUP(G738,[1]Hoja1!$A:$O,6,0)</f>
        <v xml:space="preserve">LAB DE HARDWARE </v>
      </c>
      <c r="I738" s="4">
        <v>40</v>
      </c>
      <c r="J738" s="4"/>
      <c r="K738" s="80" t="str">
        <f t="shared" si="138"/>
        <v>LU</v>
      </c>
      <c r="L738" s="4" t="s">
        <v>512</v>
      </c>
      <c r="M738" s="86" t="str">
        <f>VLOOKUP(G738,[1]Hoja1!$A:$O,15,0)</f>
        <v xml:space="preserve">FISTER (Serv.Prov)         </v>
      </c>
      <c r="N738" s="2" t="str">
        <f t="shared" si="135"/>
        <v>5°5°5525IFTLH5LU</v>
      </c>
      <c r="O738" s="2"/>
      <c r="P738" s="2" t="str">
        <f>VLOOKUP(G738,[1]Hoja1!$A:$P,16,0)</f>
        <v xml:space="preserve"> </v>
      </c>
      <c r="Q738" s="2"/>
      <c r="S738">
        <f>VLOOKUP(G738,[1]Hoja1!$A:$O,5,0)</f>
        <v>2680577</v>
      </c>
      <c r="U738" s="45" t="s">
        <v>2751</v>
      </c>
      <c r="V738" s="46">
        <f t="shared" si="130"/>
        <v>2680577</v>
      </c>
      <c r="W738" s="47" t="s">
        <v>1519</v>
      </c>
      <c r="X738" s="46" t="str">
        <f t="shared" si="136"/>
        <v>2</v>
      </c>
      <c r="Y738" s="47" t="s">
        <v>1518</v>
      </c>
      <c r="Z738" s="46" t="str">
        <f t="shared" si="131"/>
        <v>T</v>
      </c>
      <c r="AA738" s="47" t="s">
        <v>2752</v>
      </c>
      <c r="AB738" s="46" t="str">
        <f t="shared" si="137"/>
        <v>LUNES</v>
      </c>
      <c r="AC738" s="47" t="s">
        <v>2753</v>
      </c>
      <c r="AD738" t="str">
        <f t="shared" si="132"/>
        <v>CONTRATURNO</v>
      </c>
      <c r="AE738" s="47" t="s">
        <v>2754</v>
      </c>
      <c r="AH738" t="str">
        <f t="shared" si="133"/>
        <v>INSERT INTO horario_curso_materia (horario_curso_materia.FK_CUR_mat,horario_curso_materia.FK_HOR,horario_curso_materia.DIA,horario_curso_materia.tipo_turno) VALUES (  (SELECT curso_materia.ID_CUR_MAT FROM curso_materia WHERE curso_materia.CUPOF='2680577' ) ,
    (SELECT horario.ID_HOR FROM horario WHERE horario.modulo='2 ' and horario.turno='T ' ),'LUNES ' , 'CONTRATURNO ' );</v>
      </c>
    </row>
    <row r="739" spans="1:34" ht="15" hidden="1" customHeight="1" x14ac:dyDescent="0.3">
      <c r="A739" s="1" t="str">
        <f t="shared" si="134"/>
        <v>5°5°</v>
      </c>
      <c r="B739" s="54" t="str">
        <f t="shared" si="139"/>
        <v>5°5°2LUVESPERTINO0</v>
      </c>
      <c r="C739" s="62">
        <f>VLOOKUP(G739,[1]Hoja1!$A:$O,3,0)</f>
        <v>0</v>
      </c>
      <c r="D739" s="2" t="str">
        <f t="shared" si="145"/>
        <v>2LUV</v>
      </c>
      <c r="E739" s="62" t="s">
        <v>12</v>
      </c>
      <c r="F739" s="62" t="s">
        <v>125</v>
      </c>
      <c r="G739" s="62" t="s">
        <v>1365</v>
      </c>
      <c r="H739" s="8" t="str">
        <f>VLOOKUP(G739,[1]Hoja1!$A:$O,6,0)</f>
        <v>ANALISIS MATEMATICO</v>
      </c>
      <c r="I739" s="4"/>
      <c r="J739" s="4"/>
      <c r="K739" s="80" t="str">
        <f t="shared" si="138"/>
        <v>LU</v>
      </c>
      <c r="L739" s="4"/>
      <c r="M739" s="86" t="str">
        <f>VLOOKUP(G739,[1]Hoja1!$A:$O,15,0)</f>
        <v>GARCIA CLAUDIA</v>
      </c>
      <c r="N739" s="2" t="str">
        <f t="shared" si="135"/>
        <v>5°5°5IANMATLU</v>
      </c>
      <c r="O739" s="2"/>
      <c r="P739" s="2" t="str">
        <f>VLOOKUP(G739,[1]Hoja1!$A:$P,16,0)</f>
        <v xml:space="preserve"> </v>
      </c>
      <c r="Q739" s="2"/>
      <c r="S739">
        <f>VLOOKUP(G739,[1]Hoja1!$A:$O,5,0)</f>
        <v>733651</v>
      </c>
      <c r="U739" s="45" t="s">
        <v>2751</v>
      </c>
      <c r="V739" s="46">
        <f t="shared" si="130"/>
        <v>733651</v>
      </c>
      <c r="W739" s="47" t="s">
        <v>1519</v>
      </c>
      <c r="X739" s="46" t="str">
        <f t="shared" si="136"/>
        <v>2</v>
      </c>
      <c r="Y739" s="47" t="s">
        <v>1518</v>
      </c>
      <c r="Z739" s="46" t="str">
        <f t="shared" si="131"/>
        <v>V</v>
      </c>
      <c r="AA739" s="47" t="s">
        <v>2752</v>
      </c>
      <c r="AB739" s="46" t="str">
        <f t="shared" si="137"/>
        <v>LUNES</v>
      </c>
      <c r="AC739" s="47" t="s">
        <v>2753</v>
      </c>
      <c r="AD739">
        <f t="shared" si="132"/>
        <v>0</v>
      </c>
      <c r="AE739" s="47" t="s">
        <v>2754</v>
      </c>
      <c r="AH739" t="str">
        <f t="shared" si="133"/>
        <v>INSERT INTO horario_curso_materia (horario_curso_materia.FK_CUR_mat,horario_curso_materia.FK_HOR,horario_curso_materia.DIA,horario_curso_materia.tipo_turno) VALUES (  (SELECT curso_materia.ID_CUR_MAT FROM curso_materia WHERE curso_materia.CUPOF='733651' ) ,
    (SELECT horario.ID_HOR FROM horario WHERE horario.modulo='2 ' and horario.turno='V ' ),'LUNES ' , '0 ' );</v>
      </c>
    </row>
    <row r="740" spans="1:34" ht="15" hidden="1" customHeight="1" x14ac:dyDescent="0.3">
      <c r="A740" s="1" t="str">
        <f t="shared" si="134"/>
        <v>5°5°</v>
      </c>
      <c r="B740" s="54" t="str">
        <f t="shared" si="139"/>
        <v>5°5°4MIMAÑANA551</v>
      </c>
      <c r="C740" s="62">
        <f>VLOOKUP(G740,[1]Hoja1!$A:$O,3,0)</f>
        <v>551</v>
      </c>
      <c r="D740" s="2" t="str">
        <f t="shared" si="145"/>
        <v>4MIM40</v>
      </c>
      <c r="E740" s="62" t="s">
        <v>52</v>
      </c>
      <c r="F740" s="62" t="s">
        <v>27</v>
      </c>
      <c r="G740" s="62" t="s">
        <v>1341</v>
      </c>
      <c r="H740" s="8" t="str">
        <f>VLOOKUP(G740,[1]Hoja1!$A:$O,6,0)</f>
        <v xml:space="preserve">LAB DE PROGRAM </v>
      </c>
      <c r="I740" s="4">
        <v>40</v>
      </c>
      <c r="J740" s="4"/>
      <c r="K740" s="80" t="str">
        <f t="shared" si="138"/>
        <v>MI</v>
      </c>
      <c r="L740" s="4" t="s">
        <v>512</v>
      </c>
      <c r="M740" s="86" t="str">
        <f>VLOOKUP(G740,[1]Hoja1!$A:$O,15,0)</f>
        <v>WITT  GERARDO</v>
      </c>
      <c r="N740" s="2" t="str">
        <f t="shared" si="135"/>
        <v>5°5°5515IFTLP5MI</v>
      </c>
      <c r="O740" s="2"/>
      <c r="P740" s="2" t="str">
        <f>VLOOKUP(G740,[1]Hoja1!$A:$P,16,0)</f>
        <v xml:space="preserve"> </v>
      </c>
      <c r="Q740" s="2"/>
      <c r="S740">
        <f>VLOOKUP(G740,[1]Hoja1!$A:$O,5,0)</f>
        <v>2680572</v>
      </c>
      <c r="U740" s="45" t="s">
        <v>2751</v>
      </c>
      <c r="V740" s="46">
        <f t="shared" si="130"/>
        <v>2680572</v>
      </c>
      <c r="W740" s="47" t="s">
        <v>1519</v>
      </c>
      <c r="X740" s="46" t="str">
        <f t="shared" si="136"/>
        <v>4</v>
      </c>
      <c r="Y740" s="47" t="s">
        <v>1518</v>
      </c>
      <c r="Z740" s="46" t="str">
        <f t="shared" si="131"/>
        <v>M</v>
      </c>
      <c r="AA740" s="47" t="s">
        <v>2752</v>
      </c>
      <c r="AB740" s="46" t="str">
        <f t="shared" si="137"/>
        <v>MIERCOLES</v>
      </c>
      <c r="AC740" s="47" t="s">
        <v>2753</v>
      </c>
      <c r="AD740" t="str">
        <f t="shared" si="132"/>
        <v>CONTRATURNO</v>
      </c>
      <c r="AE740" s="47" t="s">
        <v>2754</v>
      </c>
      <c r="AH740" t="str">
        <f t="shared" si="133"/>
        <v>INSERT INTO horario_curso_materia (horario_curso_materia.FK_CUR_mat,horario_curso_materia.FK_HOR,horario_curso_materia.DIA,horario_curso_materia.tipo_turno) VALUES (  (SELECT curso_materia.ID_CUR_MAT FROM curso_materia WHERE curso_materia.CUPOF='2680572' ) ,
    (SELECT horario.ID_HOR FROM horario WHERE horario.modulo='4 ' and horario.turno='M ' ),'MIERCOLES ' , 'CONTRATURNO ' );</v>
      </c>
    </row>
    <row r="741" spans="1:34" ht="15" hidden="1" customHeight="1" x14ac:dyDescent="0.3">
      <c r="A741" s="1" t="str">
        <f t="shared" si="134"/>
        <v>5°5°</v>
      </c>
      <c r="B741" s="54" t="str">
        <f t="shared" si="139"/>
        <v>5°5°2MATARDE0</v>
      </c>
      <c r="C741" s="62">
        <f>VLOOKUP(G741,[1]Hoja1!$A:$O,3,0)</f>
        <v>0</v>
      </c>
      <c r="D741" s="2" t="str">
        <f t="shared" si="145"/>
        <v>2MATPATIO</v>
      </c>
      <c r="E741" s="62" t="s">
        <v>19</v>
      </c>
      <c r="F741" s="62" t="s">
        <v>10</v>
      </c>
      <c r="G741" s="62" t="s">
        <v>1338</v>
      </c>
      <c r="H741" s="8" t="str">
        <f>VLOOKUP(G741,[1]Hoja1!$A:$O,6,0)</f>
        <v>EDUCACIÓN FISICA</v>
      </c>
      <c r="I741" s="4" t="s">
        <v>241</v>
      </c>
      <c r="J741" s="4"/>
      <c r="K741" s="80" t="str">
        <f t="shared" si="138"/>
        <v>MA</v>
      </c>
      <c r="L741" s="4" t="s">
        <v>512</v>
      </c>
      <c r="M741" s="86" t="str">
        <f>VLOOKUP(G741,[1]Hoja1!$A:$O,15,0)</f>
        <v>LUDUEÑA NELSON</v>
      </c>
      <c r="N741" s="2" t="str">
        <f t="shared" si="135"/>
        <v>5°5°5IEFISMA</v>
      </c>
      <c r="O741" s="2"/>
      <c r="P741" s="2" t="str">
        <f>VLOOKUP(G741,[1]Hoja1!$A:$P,16,0)</f>
        <v xml:space="preserve"> </v>
      </c>
      <c r="Q741" s="2"/>
      <c r="S741">
        <f>VLOOKUP(G741,[1]Hoja1!$A:$O,5,0)</f>
        <v>733402</v>
      </c>
      <c r="U741" s="45" t="s">
        <v>2751</v>
      </c>
      <c r="V741" s="46">
        <f t="shared" si="130"/>
        <v>733402</v>
      </c>
      <c r="W741" s="47" t="s">
        <v>1519</v>
      </c>
      <c r="X741" s="46" t="str">
        <f t="shared" si="136"/>
        <v>2</v>
      </c>
      <c r="Y741" s="47" t="s">
        <v>1518</v>
      </c>
      <c r="Z741" s="46" t="str">
        <f t="shared" si="131"/>
        <v>T</v>
      </c>
      <c r="AA741" s="47" t="s">
        <v>2752</v>
      </c>
      <c r="AB741" s="46" t="str">
        <f t="shared" si="137"/>
        <v>MARTES</v>
      </c>
      <c r="AC741" s="47" t="s">
        <v>2753</v>
      </c>
      <c r="AD741" t="str">
        <f t="shared" si="132"/>
        <v>CONTRATURNO</v>
      </c>
      <c r="AE741" s="47" t="s">
        <v>2754</v>
      </c>
      <c r="AH741" t="str">
        <f t="shared" si="133"/>
        <v>INSERT INTO horario_curso_materia (horario_curso_materia.FK_CUR_mat,horario_curso_materia.FK_HOR,horario_curso_materia.DIA,horario_curso_materia.tipo_turno) VALUES (  (SELECT curso_materia.ID_CUR_MAT FROM curso_materia WHERE curso_materia.CUPOF='733402' ) ,
    (SELECT horario.ID_HOR FROM horario WHERE horario.modulo='2 ' and horario.turno='T ' ),'MARTES ' , 'CONTRATURNO ' );</v>
      </c>
    </row>
    <row r="742" spans="1:34" ht="15" hidden="1" customHeight="1" x14ac:dyDescent="0.3">
      <c r="A742" s="1" t="str">
        <f t="shared" si="134"/>
        <v>5°5°</v>
      </c>
      <c r="B742" s="54" t="str">
        <f t="shared" si="139"/>
        <v>5°5°2MAVESPERTINO0</v>
      </c>
      <c r="C742" s="62">
        <f>VLOOKUP(G742,[1]Hoja1!$A:$O,3,0)</f>
        <v>0</v>
      </c>
      <c r="D742" s="2" t="str">
        <f t="shared" si="145"/>
        <v>2MAV</v>
      </c>
      <c r="E742" s="62" t="s">
        <v>19</v>
      </c>
      <c r="F742" s="62" t="s">
        <v>125</v>
      </c>
      <c r="G742" s="62" t="s">
        <v>1369</v>
      </c>
      <c r="H742" s="8" t="str">
        <f>VLOOKUP(G742,[1]Hoja1!$A:$O,6,0)</f>
        <v>INGLÉS</v>
      </c>
      <c r="I742" s="4"/>
      <c r="J742" s="4"/>
      <c r="K742" s="80" t="str">
        <f t="shared" si="138"/>
        <v>MA</v>
      </c>
      <c r="L742" s="4"/>
      <c r="M742" s="86" t="str">
        <f>VLOOKUP(G742,[1]Hoja1!$A:$O,15,0)</f>
        <v>BARBIERI MARIA 27361711800</v>
      </c>
      <c r="N742" s="2" t="str">
        <f t="shared" si="135"/>
        <v>5°5°5IINGSMA</v>
      </c>
      <c r="O742" s="2"/>
      <c r="P742" s="2" t="str">
        <f>VLOOKUP(G742,[1]Hoja1!$A:$P,16,0)</f>
        <v xml:space="preserve"> </v>
      </c>
      <c r="Q742" s="2"/>
      <c r="S742">
        <f>VLOOKUP(G742,[1]Hoja1!$A:$O,5,0)</f>
        <v>733672</v>
      </c>
      <c r="U742" s="45" t="s">
        <v>2751</v>
      </c>
      <c r="V742" s="46">
        <f t="shared" si="130"/>
        <v>733672</v>
      </c>
      <c r="W742" s="47" t="s">
        <v>1519</v>
      </c>
      <c r="X742" s="46" t="str">
        <f t="shared" si="136"/>
        <v>2</v>
      </c>
      <c r="Y742" s="47" t="s">
        <v>1518</v>
      </c>
      <c r="Z742" s="46" t="str">
        <f t="shared" si="131"/>
        <v>V</v>
      </c>
      <c r="AA742" s="47" t="s">
        <v>2752</v>
      </c>
      <c r="AB742" s="46" t="str">
        <f t="shared" si="137"/>
        <v>MARTES</v>
      </c>
      <c r="AC742" s="47" t="s">
        <v>2753</v>
      </c>
      <c r="AD742">
        <f t="shared" si="132"/>
        <v>0</v>
      </c>
      <c r="AE742" s="47" t="s">
        <v>2754</v>
      </c>
      <c r="AH742" t="str">
        <f t="shared" si="133"/>
        <v>INSERT INTO horario_curso_materia (horario_curso_materia.FK_CUR_mat,horario_curso_materia.FK_HOR,horario_curso_materia.DIA,horario_curso_materia.tipo_turno) VALUES (  (SELECT curso_materia.ID_CUR_MAT FROM curso_materia WHERE curso_materia.CUPOF='733672' ) ,
    (SELECT horario.ID_HOR FROM horario WHERE horario.modulo='2 ' and horario.turno='V ' ),'MARTES ' , '0 ' );</v>
      </c>
    </row>
    <row r="743" spans="1:34" ht="15" hidden="1" customHeight="1" x14ac:dyDescent="0.3">
      <c r="A743" s="1" t="str">
        <f t="shared" si="134"/>
        <v>5°5°</v>
      </c>
      <c r="B743" s="54" t="str">
        <f t="shared" si="139"/>
        <v>5°5°2MITARDE551</v>
      </c>
      <c r="C743" s="62">
        <f>VLOOKUP(G743,[1]Hoja1!$A:$O,3,0)</f>
        <v>551</v>
      </c>
      <c r="D743" s="2" t="str">
        <f t="shared" si="145"/>
        <v>2MIT40</v>
      </c>
      <c r="E743" s="62" t="s">
        <v>26</v>
      </c>
      <c r="F743" s="62" t="s">
        <v>10</v>
      </c>
      <c r="G743" s="62" t="s">
        <v>1342</v>
      </c>
      <c r="H743" s="8" t="str">
        <f>VLOOKUP(G743,[1]Hoja1!$A:$O,6,0)</f>
        <v xml:space="preserve">LAB DE APLICACIONES </v>
      </c>
      <c r="I743" s="4">
        <v>40</v>
      </c>
      <c r="J743" s="4"/>
      <c r="K743" s="80" t="str">
        <f t="shared" si="138"/>
        <v>MI</v>
      </c>
      <c r="L743" s="4" t="s">
        <v>512</v>
      </c>
      <c r="M743" s="86" t="str">
        <f>VLOOKUP(G743,[1]Hoja1!$A:$O,15,0)</f>
        <v xml:space="preserve"> HERRERA STELLA MARIS</v>
      </c>
      <c r="N743" s="2" t="str">
        <f t="shared" si="135"/>
        <v>5°5°5515IFTLA5MI</v>
      </c>
      <c r="O743" s="2"/>
      <c r="P743" s="2" t="str">
        <f>VLOOKUP(G743,[1]Hoja1!$A:$P,16,0)</f>
        <v xml:space="preserve"> </v>
      </c>
      <c r="Q743" s="2"/>
      <c r="S743">
        <f>VLOOKUP(G743,[1]Hoja1!$A:$O,5,0)</f>
        <v>2680575</v>
      </c>
      <c r="U743" s="45" t="s">
        <v>2751</v>
      </c>
      <c r="V743" s="46">
        <f t="shared" si="130"/>
        <v>2680575</v>
      </c>
      <c r="W743" s="47" t="s">
        <v>1519</v>
      </c>
      <c r="X743" s="46" t="str">
        <f t="shared" si="136"/>
        <v>2</v>
      </c>
      <c r="Y743" s="47" t="s">
        <v>1518</v>
      </c>
      <c r="Z743" s="46" t="str">
        <f t="shared" si="131"/>
        <v>T</v>
      </c>
      <c r="AA743" s="47" t="s">
        <v>2752</v>
      </c>
      <c r="AB743" s="46" t="str">
        <f t="shared" si="137"/>
        <v>MIERCOLES</v>
      </c>
      <c r="AC743" s="47" t="s">
        <v>2753</v>
      </c>
      <c r="AD743" t="str">
        <f t="shared" si="132"/>
        <v>CONTRATURNO</v>
      </c>
      <c r="AE743" s="47" t="s">
        <v>2754</v>
      </c>
      <c r="AH743" t="str">
        <f t="shared" si="133"/>
        <v>INSERT INTO horario_curso_materia (horario_curso_materia.FK_CUR_mat,horario_curso_materia.FK_HOR,horario_curso_materia.DIA,horario_curso_materia.tipo_turno) VALUES (  (SELECT curso_materia.ID_CUR_MAT FROM curso_materia WHERE curso_materia.CUPOF='2680575' ) ,
    (SELECT horario.ID_HOR FROM horario WHERE horario.modulo='2 ' and horario.turno='T ' ),'MIERCOLES ' , 'CONTRATURNO ' );</v>
      </c>
    </row>
    <row r="744" spans="1:34" ht="15" hidden="1" customHeight="1" x14ac:dyDescent="0.3">
      <c r="A744" s="1" t="str">
        <f t="shared" si="134"/>
        <v>5°5°</v>
      </c>
      <c r="B744" s="54" t="str">
        <f t="shared" si="139"/>
        <v>5°5°2MIVESPERTINO0</v>
      </c>
      <c r="C744" s="62">
        <f>VLOOKUP(G744,[1]Hoja1!$A:$O,3,0)</f>
        <v>0</v>
      </c>
      <c r="D744" s="2" t="str">
        <f t="shared" si="145"/>
        <v>2MIV</v>
      </c>
      <c r="E744" s="62" t="s">
        <v>26</v>
      </c>
      <c r="F744" s="62" t="s">
        <v>125</v>
      </c>
      <c r="G744" s="62" t="s">
        <v>1367</v>
      </c>
      <c r="H744" s="8" t="str">
        <f>VLOOKUP(G744,[1]Hoja1!$A:$O,6,0)</f>
        <v>GEOGRAFIA</v>
      </c>
      <c r="I744" s="4"/>
      <c r="J744" s="4"/>
      <c r="K744" s="80" t="str">
        <f t="shared" si="138"/>
        <v>MI</v>
      </c>
      <c r="L744" s="4"/>
      <c r="M744" s="86" t="str">
        <f>VLOOKUP(G744,[1]Hoja1!$A:$O,15,0)</f>
        <v xml:space="preserve"> ROJAS SOLEDAD</v>
      </c>
      <c r="N744" s="2" t="str">
        <f t="shared" si="135"/>
        <v>5°5°5IGEOS5MI</v>
      </c>
      <c r="O744" s="2"/>
      <c r="P744" s="2" t="str">
        <f>VLOOKUP(G744,[1]Hoja1!$A:$P,16,0)</f>
        <v xml:space="preserve"> </v>
      </c>
      <c r="Q744" s="2"/>
      <c r="S744">
        <f>VLOOKUP(G744,[1]Hoja1!$A:$O,5,0)</f>
        <v>733650</v>
      </c>
      <c r="U744" s="45" t="s">
        <v>2751</v>
      </c>
      <c r="V744" s="46">
        <f t="shared" si="130"/>
        <v>733650</v>
      </c>
      <c r="W744" s="47" t="s">
        <v>1519</v>
      </c>
      <c r="X744" s="46" t="str">
        <f t="shared" si="136"/>
        <v>2</v>
      </c>
      <c r="Y744" s="47" t="s">
        <v>1518</v>
      </c>
      <c r="Z744" s="46" t="str">
        <f t="shared" si="131"/>
        <v>V</v>
      </c>
      <c r="AA744" s="47" t="s">
        <v>2752</v>
      </c>
      <c r="AB744" s="46" t="str">
        <f t="shared" si="137"/>
        <v>MIERCOLES</v>
      </c>
      <c r="AC744" s="47" t="s">
        <v>2753</v>
      </c>
      <c r="AD744">
        <f t="shared" si="132"/>
        <v>0</v>
      </c>
      <c r="AE744" s="47" t="s">
        <v>2754</v>
      </c>
      <c r="AH744" t="str">
        <f t="shared" si="133"/>
        <v>INSERT INTO horario_curso_materia (horario_curso_materia.FK_CUR_mat,horario_curso_materia.FK_HOR,horario_curso_materia.DIA,horario_curso_materia.tipo_turno) VALUES (  (SELECT curso_materia.ID_CUR_MAT FROM curso_materia WHERE curso_materia.CUPOF='733650' ) ,
    (SELECT horario.ID_HOR FROM horario WHERE horario.modulo='2 ' and horario.turno='V ' ),'MIERCOLES ' , '0 ' );</v>
      </c>
    </row>
    <row r="745" spans="1:34" ht="15" hidden="1" customHeight="1" x14ac:dyDescent="0.3">
      <c r="A745" s="1" t="str">
        <f t="shared" si="134"/>
        <v>5°5°</v>
      </c>
      <c r="B745" s="54" t="str">
        <f t="shared" si="139"/>
        <v>5°5°2VIVESPERTINO0</v>
      </c>
      <c r="C745" s="62">
        <f>VLOOKUP(G745,[1]Hoja1!$A:$O,3,0)</f>
        <v>0</v>
      </c>
      <c r="D745" s="2" t="str">
        <f t="shared" si="145"/>
        <v>2VIV</v>
      </c>
      <c r="E745" s="62" t="s">
        <v>59</v>
      </c>
      <c r="F745" s="62" t="s">
        <v>125</v>
      </c>
      <c r="G745" s="62" t="s">
        <v>1368</v>
      </c>
      <c r="H745" s="8" t="str">
        <f>VLOOKUP(G745,[1]Hoja1!$A:$O,6,0)</f>
        <v>SISTEMA DIGITAL</v>
      </c>
      <c r="I745" s="4"/>
      <c r="J745" s="4"/>
      <c r="K745" s="80" t="str">
        <f t="shared" si="138"/>
        <v>VI</v>
      </c>
      <c r="L745" s="4"/>
      <c r="M745" s="86" t="str">
        <f>VLOOKUP(G745,[1]Hoja1!$A:$O,15,0)</f>
        <v xml:space="preserve">HERNER, CRISTIAN </v>
      </c>
      <c r="N745" s="2" t="str">
        <f t="shared" si="135"/>
        <v>5°5°5ISIDI4VI</v>
      </c>
      <c r="O745" s="2"/>
      <c r="P745" s="2" t="str">
        <f>VLOOKUP(G745,[1]Hoja1!$A:$P,16,0)</f>
        <v xml:space="preserve"> </v>
      </c>
      <c r="Q745" s="2"/>
      <c r="S745">
        <f>VLOOKUP(G745,[1]Hoja1!$A:$O,5,0)</f>
        <v>733570</v>
      </c>
      <c r="U745" s="45" t="s">
        <v>2751</v>
      </c>
      <c r="V745" s="46">
        <f t="shared" si="130"/>
        <v>733570</v>
      </c>
      <c r="W745" s="47" t="s">
        <v>1519</v>
      </c>
      <c r="X745" s="46" t="str">
        <f t="shared" si="136"/>
        <v>2</v>
      </c>
      <c r="Y745" s="47" t="s">
        <v>1518</v>
      </c>
      <c r="Z745" s="46" t="str">
        <f t="shared" si="131"/>
        <v>V</v>
      </c>
      <c r="AA745" s="47" t="s">
        <v>2752</v>
      </c>
      <c r="AB745" s="46" t="str">
        <f t="shared" si="137"/>
        <v>VIERNES</v>
      </c>
      <c r="AC745" s="47" t="s">
        <v>2753</v>
      </c>
      <c r="AD745">
        <f t="shared" si="132"/>
        <v>0</v>
      </c>
      <c r="AE745" s="47" t="s">
        <v>2754</v>
      </c>
      <c r="AH745" t="str">
        <f t="shared" si="133"/>
        <v>INSERT INTO horario_curso_materia (horario_curso_materia.FK_CUR_mat,horario_curso_materia.FK_HOR,horario_curso_materia.DIA,horario_curso_materia.tipo_turno) VALUES (  (SELECT curso_materia.ID_CUR_MAT FROM curso_materia WHERE curso_materia.CUPOF='733570' ) ,
    (SELECT horario.ID_HOR FROM horario WHERE horario.modulo='2 ' and horario.turno='V ' ),'VIERNES ' , '0 ' );</v>
      </c>
    </row>
    <row r="746" spans="1:34" ht="15" hidden="1" customHeight="1" x14ac:dyDescent="0.3">
      <c r="A746" s="1" t="str">
        <f t="shared" si="134"/>
        <v>5°5°</v>
      </c>
      <c r="B746" s="54" t="str">
        <f t="shared" si="139"/>
        <v>5°5°3JUTARDE552</v>
      </c>
      <c r="C746" s="62">
        <f>VLOOKUP(G746,[1]Hoja1!$A:$O,3,0)</f>
        <v>552</v>
      </c>
      <c r="D746" s="2" t="str">
        <f t="shared" si="145"/>
        <v>3JUT30</v>
      </c>
      <c r="E746" s="62" t="s">
        <v>46</v>
      </c>
      <c r="F746" s="62" t="s">
        <v>10</v>
      </c>
      <c r="G746" s="62" t="s">
        <v>1347</v>
      </c>
      <c r="H746" s="8" t="str">
        <f>VLOOKUP(G746,[1]Hoja1!$A:$O,6,0)</f>
        <v>LAB DE SIST OPERATIVOS</v>
      </c>
      <c r="I746" s="4">
        <v>30</v>
      </c>
      <c r="J746" s="4"/>
      <c r="K746" s="80" t="str">
        <f t="shared" si="138"/>
        <v>JU</v>
      </c>
      <c r="L746" s="4" t="s">
        <v>512</v>
      </c>
      <c r="M746" s="86" t="str">
        <f>VLOOKUP(G746,[1]Hoja1!$A:$O,15,0)</f>
        <v>BERTOSSI MAXIMILIANO H</v>
      </c>
      <c r="N746" s="2" t="str">
        <f t="shared" si="135"/>
        <v>5°5°5525IFTLS5JU</v>
      </c>
      <c r="O746" s="2"/>
      <c r="P746" s="2" t="str">
        <f>VLOOKUP(G746,[1]Hoja1!$A:$P,16,0)</f>
        <v xml:space="preserve"> </v>
      </c>
      <c r="Q746" s="2"/>
      <c r="S746">
        <f>VLOOKUP(G746,[1]Hoja1!$A:$O,5,0)</f>
        <v>2680578</v>
      </c>
      <c r="U746" s="45" t="s">
        <v>2751</v>
      </c>
      <c r="V746" s="46">
        <f t="shared" si="130"/>
        <v>2680578</v>
      </c>
      <c r="W746" s="47" t="s">
        <v>1519</v>
      </c>
      <c r="X746" s="46" t="str">
        <f t="shared" si="136"/>
        <v>3</v>
      </c>
      <c r="Y746" s="47" t="s">
        <v>1518</v>
      </c>
      <c r="Z746" s="46" t="str">
        <f t="shared" si="131"/>
        <v>T</v>
      </c>
      <c r="AA746" s="47" t="s">
        <v>2752</v>
      </c>
      <c r="AB746" s="46" t="str">
        <f t="shared" si="137"/>
        <v>JUEVES</v>
      </c>
      <c r="AC746" s="47" t="s">
        <v>2753</v>
      </c>
      <c r="AD746" t="str">
        <f t="shared" si="132"/>
        <v>CONTRATURNO</v>
      </c>
      <c r="AE746" s="47" t="s">
        <v>2754</v>
      </c>
      <c r="AH746" t="str">
        <f t="shared" si="133"/>
        <v>INSERT INTO horario_curso_materia (horario_curso_materia.FK_CUR_mat,horario_curso_materia.FK_HOR,horario_curso_materia.DIA,horario_curso_materia.tipo_turno) VALUES (  (SELECT curso_materia.ID_CUR_MAT FROM curso_materia WHERE curso_materia.CUPOF='2680578' ) ,
    (SELECT horario.ID_HOR FROM horario WHERE horario.modulo='3 ' and horario.turno='T ' ),'JUEVES ' , 'CONTRATURNO ' );</v>
      </c>
    </row>
    <row r="747" spans="1:34" ht="15" hidden="1" customHeight="1" x14ac:dyDescent="0.3">
      <c r="A747" s="1" t="str">
        <f t="shared" si="134"/>
        <v>5°5°</v>
      </c>
      <c r="B747" s="54" t="str">
        <f t="shared" si="139"/>
        <v>5°5°3JUVESPERTINO0</v>
      </c>
      <c r="C747" s="62">
        <f>VLOOKUP(G747,[1]Hoja1!$A:$O,3,0)</f>
        <v>0</v>
      </c>
      <c r="D747" s="2" t="str">
        <f t="shared" si="145"/>
        <v>3JUV</v>
      </c>
      <c r="E747" s="62" t="s">
        <v>46</v>
      </c>
      <c r="F747" s="62" t="s">
        <v>125</v>
      </c>
      <c r="G747" s="62" t="s">
        <v>1371</v>
      </c>
      <c r="H747" s="8" t="str">
        <f>VLOOKUP(G747,[1]Hoja1!$A:$O,6,0)</f>
        <v>POLITICA Y CIUDADANIA</v>
      </c>
      <c r="I747" s="4"/>
      <c r="J747" s="4"/>
      <c r="K747" s="80" t="str">
        <f t="shared" si="138"/>
        <v>JU</v>
      </c>
      <c r="L747" s="4"/>
      <c r="M747" s="86" t="str">
        <f>VLOOKUP(G747,[1]Hoja1!$A:$O,15,0)</f>
        <v xml:space="preserve">ANTONIO VALLE, INEES </v>
      </c>
      <c r="N747" s="2" t="str">
        <f t="shared" si="135"/>
        <v>5°5°5IPYCSJU</v>
      </c>
      <c r="O747" s="2"/>
      <c r="P747" s="2" t="str">
        <f>VLOOKUP(G747,[1]Hoja1!$A:$P,16,0)</f>
        <v xml:space="preserve"> </v>
      </c>
      <c r="Q747" s="2"/>
      <c r="S747">
        <f>VLOOKUP(G747,[1]Hoja1!$A:$O,5,0)</f>
        <v>1643741</v>
      </c>
      <c r="U747" s="45" t="s">
        <v>2751</v>
      </c>
      <c r="V747" s="46">
        <f t="shared" si="130"/>
        <v>1643741</v>
      </c>
      <c r="W747" s="47" t="s">
        <v>1519</v>
      </c>
      <c r="X747" s="46" t="str">
        <f t="shared" si="136"/>
        <v>3</v>
      </c>
      <c r="Y747" s="47" t="s">
        <v>1518</v>
      </c>
      <c r="Z747" s="46" t="str">
        <f t="shared" si="131"/>
        <v>V</v>
      </c>
      <c r="AA747" s="47" t="s">
        <v>2752</v>
      </c>
      <c r="AB747" s="46" t="str">
        <f t="shared" si="137"/>
        <v>JUEVES</v>
      </c>
      <c r="AC747" s="47" t="s">
        <v>2753</v>
      </c>
      <c r="AD747">
        <f t="shared" si="132"/>
        <v>0</v>
      </c>
      <c r="AE747" s="47" t="s">
        <v>2754</v>
      </c>
      <c r="AH747" t="str">
        <f t="shared" si="133"/>
        <v>INSERT INTO horario_curso_materia (horario_curso_materia.FK_CUR_mat,horario_curso_materia.FK_HOR,horario_curso_materia.DIA,horario_curso_materia.tipo_turno) VALUES (  (SELECT curso_materia.ID_CUR_MAT FROM curso_materia WHERE curso_materia.CUPOF='1643741' ) ,
    (SELECT horario.ID_HOR FROM horario WHERE horario.modulo='3 ' and horario.turno='V ' ),'JUEVES ' , '0 ' );</v>
      </c>
    </row>
    <row r="748" spans="1:34" ht="15" hidden="1" customHeight="1" x14ac:dyDescent="0.3">
      <c r="A748" s="1" t="str">
        <f t="shared" si="134"/>
        <v>5°5°</v>
      </c>
      <c r="B748" s="54" t="str">
        <f t="shared" si="139"/>
        <v>5°5°3LUTARDE551</v>
      </c>
      <c r="C748" s="62">
        <f>VLOOKUP(G748,[1]Hoja1!$A:$O,3,0)</f>
        <v>551</v>
      </c>
      <c r="D748" s="2" t="str">
        <f t="shared" si="145"/>
        <v>3LUT30</v>
      </c>
      <c r="E748" s="62" t="s">
        <v>29</v>
      </c>
      <c r="F748" s="62" t="s">
        <v>10</v>
      </c>
      <c r="G748" s="62" t="s">
        <v>1352</v>
      </c>
      <c r="H748" s="8" t="str">
        <f>VLOOKUP(G748,[1]Hoja1!$A:$O,6,0)</f>
        <v>LAB DE SIST OPERATIVOS</v>
      </c>
      <c r="I748" s="4">
        <v>30</v>
      </c>
      <c r="J748" s="4"/>
      <c r="K748" s="80" t="str">
        <f t="shared" si="138"/>
        <v>LU</v>
      </c>
      <c r="L748" s="4" t="s">
        <v>512</v>
      </c>
      <c r="M748" s="86" t="str">
        <f>VLOOKUP(G748,[1]Hoja1!$A:$O,15,0)</f>
        <v>WITT  GERARDO</v>
      </c>
      <c r="N748" s="2" t="str">
        <f t="shared" si="135"/>
        <v>5°5°5515IFTLS5LU</v>
      </c>
      <c r="O748" s="2"/>
      <c r="P748" s="2" t="str">
        <f>VLOOKUP(G748,[1]Hoja1!$A:$P,16,0)</f>
        <v xml:space="preserve"> </v>
      </c>
      <c r="Q748" s="2"/>
      <c r="S748">
        <f>VLOOKUP(G748,[1]Hoja1!$A:$O,5,0)</f>
        <v>2680574</v>
      </c>
      <c r="U748" s="45" t="s">
        <v>2751</v>
      </c>
      <c r="V748" s="46">
        <f t="shared" si="130"/>
        <v>2680574</v>
      </c>
      <c r="W748" s="47" t="s">
        <v>1519</v>
      </c>
      <c r="X748" s="46" t="str">
        <f t="shared" si="136"/>
        <v>3</v>
      </c>
      <c r="Y748" s="47" t="s">
        <v>1518</v>
      </c>
      <c r="Z748" s="46" t="str">
        <f t="shared" si="131"/>
        <v>T</v>
      </c>
      <c r="AA748" s="47" t="s">
        <v>2752</v>
      </c>
      <c r="AB748" s="46" t="str">
        <f t="shared" si="137"/>
        <v>LUNES</v>
      </c>
      <c r="AC748" s="47" t="s">
        <v>2753</v>
      </c>
      <c r="AD748" t="str">
        <f t="shared" si="132"/>
        <v>CONTRATURNO</v>
      </c>
      <c r="AE748" s="47" t="s">
        <v>2754</v>
      </c>
      <c r="AH748" t="str">
        <f t="shared" si="133"/>
        <v>INSERT INTO horario_curso_materia (horario_curso_materia.FK_CUR_mat,horario_curso_materia.FK_HOR,horario_curso_materia.DIA,horario_curso_materia.tipo_turno) VALUES (  (SELECT curso_materia.ID_CUR_MAT FROM curso_materia WHERE curso_materia.CUPOF='2680574' ) ,
    (SELECT horario.ID_HOR FROM horario WHERE horario.modulo='3 ' and horario.turno='T ' ),'LUNES ' , 'CONTRATURNO ' );</v>
      </c>
    </row>
    <row r="749" spans="1:34" ht="15" hidden="1" customHeight="1" x14ac:dyDescent="0.3">
      <c r="A749" s="1" t="str">
        <f t="shared" si="134"/>
        <v>5°5°</v>
      </c>
      <c r="B749" s="54" t="str">
        <f t="shared" si="139"/>
        <v>5°5°3LUTARDE552</v>
      </c>
      <c r="C749" s="62">
        <f>VLOOKUP(G749,[1]Hoja1!$A:$O,3,0)</f>
        <v>552</v>
      </c>
      <c r="D749" s="2" t="str">
        <f t="shared" si="145"/>
        <v>3LUT40</v>
      </c>
      <c r="E749" s="62" t="s">
        <v>29</v>
      </c>
      <c r="F749" s="62" t="s">
        <v>10</v>
      </c>
      <c r="G749" s="62" t="s">
        <v>1340</v>
      </c>
      <c r="H749" s="8" t="str">
        <f>VLOOKUP(G749,[1]Hoja1!$A:$O,6,0)</f>
        <v xml:space="preserve">LAB DE HARDWARE </v>
      </c>
      <c r="I749" s="4">
        <v>40</v>
      </c>
      <c r="J749" s="4"/>
      <c r="K749" s="80" t="str">
        <f t="shared" si="138"/>
        <v>LU</v>
      </c>
      <c r="L749" s="4" t="s">
        <v>512</v>
      </c>
      <c r="M749" s="86" t="str">
        <f>VLOOKUP(G749,[1]Hoja1!$A:$O,15,0)</f>
        <v xml:space="preserve">FISTER (Serv.Prov)         </v>
      </c>
      <c r="N749" s="2" t="str">
        <f t="shared" si="135"/>
        <v>5°5°5525IFTLH5LU</v>
      </c>
      <c r="O749" s="2"/>
      <c r="P749" s="2" t="str">
        <f>VLOOKUP(G749,[1]Hoja1!$A:$P,16,0)</f>
        <v xml:space="preserve"> </v>
      </c>
      <c r="Q749" s="2"/>
      <c r="S749">
        <f>VLOOKUP(G749,[1]Hoja1!$A:$O,5,0)</f>
        <v>2680577</v>
      </c>
      <c r="U749" s="45" t="s">
        <v>2751</v>
      </c>
      <c r="V749" s="46">
        <f t="shared" ref="V749:V812" si="146">S749</f>
        <v>2680577</v>
      </c>
      <c r="W749" s="47" t="s">
        <v>1519</v>
      </c>
      <c r="X749" s="46" t="str">
        <f t="shared" ref="X749:X812" si="147">IF(LEFT(E749,1)="p","prehora",LEFT(E749,1))</f>
        <v>3</v>
      </c>
      <c r="Y749" s="47" t="s">
        <v>1518</v>
      </c>
      <c r="Z749" s="46" t="str">
        <f t="shared" ref="Z749:Z812" si="148">LEFT(F749,1)</f>
        <v>T</v>
      </c>
      <c r="AA749" s="47" t="s">
        <v>2752</v>
      </c>
      <c r="AB749" s="46" t="str">
        <f t="shared" ref="AB749:AB812" si="149">IF(IF(LEFT(E749,1)="p",MID(E749,8,2),MID(E749,2,2))="lu","LUNES",IF(IF(LEFT(E749,1)="p",MID(E749,8,2),MID(E749,2,2))="ma","MARTES",IF(IF(LEFT(E749,1)="p",MID(E749,8,2),MID(E749,2,2))="MI","MIERCOLES",IF(IF(LEFT(E749,1)="p",MID(E749,8,2),MID(E749,2,2))="JU","JUEVES",IF(IF(LEFT(E749,1)="p",MID(E749,8,2),MID(E749,2,2))="vi","VIERNES","")))))</f>
        <v>LUNES</v>
      </c>
      <c r="AC749" s="47" t="s">
        <v>2753</v>
      </c>
      <c r="AD749" t="str">
        <f t="shared" ref="AD749:AD812" si="150">L749</f>
        <v>CONTRATURNO</v>
      </c>
      <c r="AE749" s="47" t="s">
        <v>2754</v>
      </c>
      <c r="AH749" t="str">
        <f t="shared" ref="AH749:AH812" si="151">U749&amp;V749&amp;W749&amp;X749&amp;Y749&amp;Z749&amp;AA749&amp;AB749&amp;AC749&amp;AD749&amp;AE749</f>
        <v>INSERT INTO horario_curso_materia (horario_curso_materia.FK_CUR_mat,horario_curso_materia.FK_HOR,horario_curso_materia.DIA,horario_curso_materia.tipo_turno) VALUES (  (SELECT curso_materia.ID_CUR_MAT FROM curso_materia WHERE curso_materia.CUPOF='2680577' ) ,
    (SELECT horario.ID_HOR FROM horario WHERE horario.modulo='3 ' and horario.turno='T ' ),'LUNES ' , 'CONTRATURNO ' );</v>
      </c>
    </row>
    <row r="750" spans="1:34" ht="15" hidden="1" customHeight="1" x14ac:dyDescent="0.3">
      <c r="A750" s="1" t="str">
        <f t="shared" si="134"/>
        <v>5°5°</v>
      </c>
      <c r="B750" s="54" t="str">
        <f t="shared" si="139"/>
        <v>5°5°3LUVESPERTINO0</v>
      </c>
      <c r="C750" s="62">
        <f>VLOOKUP(G750,[1]Hoja1!$A:$O,3,0)</f>
        <v>0</v>
      </c>
      <c r="D750" s="2" t="str">
        <f t="shared" si="145"/>
        <v>3LUV</v>
      </c>
      <c r="E750" s="62" t="s">
        <v>29</v>
      </c>
      <c r="F750" s="62" t="s">
        <v>125</v>
      </c>
      <c r="G750" s="62" t="s">
        <v>1366</v>
      </c>
      <c r="H750" s="8" t="str">
        <f>VLOOKUP(G750,[1]Hoja1!$A:$O,6,0)</f>
        <v>LITERATURA</v>
      </c>
      <c r="I750" s="4"/>
      <c r="J750" s="4"/>
      <c r="K750" s="80" t="str">
        <f t="shared" si="138"/>
        <v>LU</v>
      </c>
      <c r="L750" s="4"/>
      <c r="M750" s="86" t="str">
        <f>VLOOKUP(G750,[1]Hoja1!$A:$O,15,0)</f>
        <v>NEGRETE, DANIELA</v>
      </c>
      <c r="N750" s="2" t="str">
        <f t="shared" si="135"/>
        <v>5°5°5ILITSLU</v>
      </c>
      <c r="O750" s="2"/>
      <c r="P750" s="2" t="str">
        <f>VLOOKUP(G750,[1]Hoja1!$A:$P,16,0)</f>
        <v xml:space="preserve"> </v>
      </c>
      <c r="Q750" s="2"/>
      <c r="S750">
        <f>VLOOKUP(G750,[1]Hoja1!$A:$O,5,0)</f>
        <v>733603</v>
      </c>
      <c r="U750" s="45" t="s">
        <v>2751</v>
      </c>
      <c r="V750" s="46">
        <f t="shared" si="146"/>
        <v>733603</v>
      </c>
      <c r="W750" s="47" t="s">
        <v>1519</v>
      </c>
      <c r="X750" s="46" t="str">
        <f t="shared" si="147"/>
        <v>3</v>
      </c>
      <c r="Y750" s="47" t="s">
        <v>1518</v>
      </c>
      <c r="Z750" s="46" t="str">
        <f t="shared" si="148"/>
        <v>V</v>
      </c>
      <c r="AA750" s="47" t="s">
        <v>2752</v>
      </c>
      <c r="AB750" s="46" t="str">
        <f t="shared" si="149"/>
        <v>LUNES</v>
      </c>
      <c r="AC750" s="47" t="s">
        <v>2753</v>
      </c>
      <c r="AD750">
        <f t="shared" si="150"/>
        <v>0</v>
      </c>
      <c r="AE750" s="47" t="s">
        <v>2754</v>
      </c>
      <c r="AH750" t="str">
        <f t="shared" si="151"/>
        <v>INSERT INTO horario_curso_materia (horario_curso_materia.FK_CUR_mat,horario_curso_materia.FK_HOR,horario_curso_materia.DIA,horario_curso_materia.tipo_turno) VALUES (  (SELECT curso_materia.ID_CUR_MAT FROM curso_materia WHERE curso_materia.CUPOF='733603' ) ,
    (SELECT horario.ID_HOR FROM horario WHERE horario.modulo='3 ' and horario.turno='V ' ),'LUNES ' , '0 ' );</v>
      </c>
    </row>
    <row r="751" spans="1:34" ht="15" hidden="1" customHeight="1" x14ac:dyDescent="0.3">
      <c r="A751" s="1" t="str">
        <f t="shared" si="134"/>
        <v>5°5°</v>
      </c>
      <c r="B751" s="54" t="str">
        <f t="shared" si="139"/>
        <v>5°5°3MATARDE551</v>
      </c>
      <c r="C751" s="62">
        <f>VLOOKUP(G751,[1]Hoja1!$A:$O,3,0)</f>
        <v>551</v>
      </c>
      <c r="D751" s="2" t="str">
        <f t="shared" si="145"/>
        <v>3MAT40</v>
      </c>
      <c r="E751" s="62" t="s">
        <v>13</v>
      </c>
      <c r="F751" s="62" t="s">
        <v>10</v>
      </c>
      <c r="G751" s="62" t="s">
        <v>1339</v>
      </c>
      <c r="H751" s="8" t="str">
        <f>VLOOKUP(G751,[1]Hoja1!$A:$O,6,0)</f>
        <v xml:space="preserve">LAB DE HARDWARE </v>
      </c>
      <c r="I751" s="4">
        <v>40</v>
      </c>
      <c r="J751" s="4"/>
      <c r="K751" s="80" t="str">
        <f t="shared" si="138"/>
        <v>MA</v>
      </c>
      <c r="L751" s="4" t="s">
        <v>512</v>
      </c>
      <c r="M751" s="86" t="str">
        <f>VLOOKUP(G751,[1]Hoja1!$A:$O,15,0)</f>
        <v>HERRERA, STELLA</v>
      </c>
      <c r="N751" s="2" t="str">
        <f t="shared" si="135"/>
        <v>5°5°5515IFTLH5MA</v>
      </c>
      <c r="O751" s="2"/>
      <c r="P751" s="2" t="str">
        <f>VLOOKUP(G751,[1]Hoja1!$A:$P,16,0)</f>
        <v xml:space="preserve"> </v>
      </c>
      <c r="Q751" s="2"/>
      <c r="S751">
        <f>VLOOKUP(G751,[1]Hoja1!$A:$O,5,0)</f>
        <v>2680573</v>
      </c>
      <c r="U751" s="45" t="s">
        <v>2751</v>
      </c>
      <c r="V751" s="46">
        <f t="shared" si="146"/>
        <v>2680573</v>
      </c>
      <c r="W751" s="47" t="s">
        <v>1519</v>
      </c>
      <c r="X751" s="46" t="str">
        <f t="shared" si="147"/>
        <v>3</v>
      </c>
      <c r="Y751" s="47" t="s">
        <v>1518</v>
      </c>
      <c r="Z751" s="46" t="str">
        <f t="shared" si="148"/>
        <v>T</v>
      </c>
      <c r="AA751" s="47" t="s">
        <v>2752</v>
      </c>
      <c r="AB751" s="46" t="str">
        <f t="shared" si="149"/>
        <v>MARTES</v>
      </c>
      <c r="AC751" s="47" t="s">
        <v>2753</v>
      </c>
      <c r="AD751" t="str">
        <f t="shared" si="150"/>
        <v>CONTRATURNO</v>
      </c>
      <c r="AE751" s="47" t="s">
        <v>2754</v>
      </c>
      <c r="AH751" t="str">
        <f t="shared" si="151"/>
        <v>INSERT INTO horario_curso_materia (horario_curso_materia.FK_CUR_mat,horario_curso_materia.FK_HOR,horario_curso_materia.DIA,horario_curso_materia.tipo_turno) VALUES (  (SELECT curso_materia.ID_CUR_MAT FROM curso_materia WHERE curso_materia.CUPOF='2680573' ) ,
    (SELECT horario.ID_HOR FROM horario WHERE horario.modulo='3 ' and horario.turno='T ' ),'MARTES ' , 'CONTRATURNO ' );</v>
      </c>
    </row>
    <row r="752" spans="1:34" ht="15" hidden="1" customHeight="1" x14ac:dyDescent="0.3">
      <c r="A752" s="1" t="str">
        <f t="shared" ref="A752:A815" si="152">LEFT(B752,4)</f>
        <v>5°5°</v>
      </c>
      <c r="B752" s="54" t="str">
        <f t="shared" si="139"/>
        <v>5°5°3MAVESPERTINO0</v>
      </c>
      <c r="C752" s="62">
        <f>VLOOKUP(G752,[1]Hoja1!$A:$O,3,0)</f>
        <v>0</v>
      </c>
      <c r="D752" s="2" t="str">
        <f t="shared" si="145"/>
        <v>3MAV</v>
      </c>
      <c r="E752" s="62" t="s">
        <v>13</v>
      </c>
      <c r="F752" s="62" t="s">
        <v>125</v>
      </c>
      <c r="G752" s="62" t="s">
        <v>1368</v>
      </c>
      <c r="H752" s="8" t="str">
        <f>VLOOKUP(G752,[1]Hoja1!$A:$O,6,0)</f>
        <v>SISTEMA DIGITAL</v>
      </c>
      <c r="I752" s="4"/>
      <c r="J752" s="4"/>
      <c r="K752" s="80" t="str">
        <f t="shared" si="138"/>
        <v>MA</v>
      </c>
      <c r="L752" s="4"/>
      <c r="M752" s="86" t="str">
        <f>VLOOKUP(G752,[1]Hoja1!$A:$O,15,0)</f>
        <v xml:space="preserve">HERNER, CRISTIAN </v>
      </c>
      <c r="N752" s="2" t="str">
        <f t="shared" ref="N752:N815" si="153">CONCATENATE(G752,LEFT(K752,2))</f>
        <v>5°5°5ISIDI4MA</v>
      </c>
      <c r="O752" s="2"/>
      <c r="P752" s="2" t="str">
        <f>VLOOKUP(G752,[1]Hoja1!$A:$P,16,0)</f>
        <v xml:space="preserve"> </v>
      </c>
      <c r="Q752" s="2"/>
      <c r="S752">
        <f>VLOOKUP(G752,[1]Hoja1!$A:$O,5,0)</f>
        <v>733570</v>
      </c>
      <c r="U752" s="45" t="s">
        <v>2751</v>
      </c>
      <c r="V752" s="46">
        <f t="shared" si="146"/>
        <v>733570</v>
      </c>
      <c r="W752" s="47" t="s">
        <v>1519</v>
      </c>
      <c r="X752" s="46" t="str">
        <f t="shared" si="147"/>
        <v>3</v>
      </c>
      <c r="Y752" s="47" t="s">
        <v>1518</v>
      </c>
      <c r="Z752" s="46" t="str">
        <f t="shared" si="148"/>
        <v>V</v>
      </c>
      <c r="AA752" s="47" t="s">
        <v>2752</v>
      </c>
      <c r="AB752" s="46" t="str">
        <f t="shared" si="149"/>
        <v>MARTES</v>
      </c>
      <c r="AC752" s="47" t="s">
        <v>2753</v>
      </c>
      <c r="AD752">
        <f t="shared" si="150"/>
        <v>0</v>
      </c>
      <c r="AE752" s="47" t="s">
        <v>2754</v>
      </c>
      <c r="AH752" t="str">
        <f t="shared" si="151"/>
        <v>INSERT INTO horario_curso_materia (horario_curso_materia.FK_CUR_mat,horario_curso_materia.FK_HOR,horario_curso_materia.DIA,horario_curso_materia.tipo_turno) VALUES (  (SELECT curso_materia.ID_CUR_MAT FROM curso_materia WHERE curso_materia.CUPOF='733570' ) ,
    (SELECT horario.ID_HOR FROM horario WHERE horario.modulo='3 ' and horario.turno='V ' ),'MARTES ' , '0 ' );</v>
      </c>
    </row>
    <row r="753" spans="1:34" ht="15" hidden="1" customHeight="1" x14ac:dyDescent="0.3">
      <c r="A753" s="1" t="str">
        <f t="shared" si="152"/>
        <v>5°5°</v>
      </c>
      <c r="B753" s="54" t="str">
        <f t="shared" si="139"/>
        <v>5°5°3MITARDE551</v>
      </c>
      <c r="C753" s="62">
        <f>VLOOKUP(G753,[1]Hoja1!$A:$O,3,0)</f>
        <v>551</v>
      </c>
      <c r="D753" s="2" t="str">
        <f t="shared" si="145"/>
        <v>3MITHARDWARE</v>
      </c>
      <c r="E753" s="62" t="s">
        <v>50</v>
      </c>
      <c r="F753" s="62" t="s">
        <v>10</v>
      </c>
      <c r="G753" s="62" t="s">
        <v>1339</v>
      </c>
      <c r="H753" s="8" t="str">
        <f>VLOOKUP(G753,[1]Hoja1!$A:$O,6,0)</f>
        <v xml:space="preserve">LAB DE HARDWARE </v>
      </c>
      <c r="I753" s="4" t="s">
        <v>38</v>
      </c>
      <c r="J753" s="4"/>
      <c r="K753" s="80" t="str">
        <f t="shared" si="138"/>
        <v>MI</v>
      </c>
      <c r="L753" s="4" t="s">
        <v>512</v>
      </c>
      <c r="M753" s="86" t="str">
        <f>VLOOKUP(G753,[1]Hoja1!$A:$O,15,0)</f>
        <v>HERRERA, STELLA</v>
      </c>
      <c r="N753" s="2" t="str">
        <f t="shared" si="153"/>
        <v>5°5°5515IFTLH5MI</v>
      </c>
      <c r="O753" s="2"/>
      <c r="P753" s="2" t="str">
        <f>VLOOKUP(G753,[1]Hoja1!$A:$P,16,0)</f>
        <v xml:space="preserve"> </v>
      </c>
      <c r="Q753" s="2"/>
      <c r="S753">
        <f>VLOOKUP(G753,[1]Hoja1!$A:$O,5,0)</f>
        <v>2680573</v>
      </c>
      <c r="U753" s="45" t="s">
        <v>2751</v>
      </c>
      <c r="V753" s="46">
        <f t="shared" si="146"/>
        <v>2680573</v>
      </c>
      <c r="W753" s="47" t="s">
        <v>1519</v>
      </c>
      <c r="X753" s="46" t="str">
        <f t="shared" si="147"/>
        <v>3</v>
      </c>
      <c r="Y753" s="47" t="s">
        <v>1518</v>
      </c>
      <c r="Z753" s="46" t="str">
        <f t="shared" si="148"/>
        <v>T</v>
      </c>
      <c r="AA753" s="47" t="s">
        <v>2752</v>
      </c>
      <c r="AB753" s="46" t="str">
        <f t="shared" si="149"/>
        <v>MIERCOLES</v>
      </c>
      <c r="AC753" s="47" t="s">
        <v>2753</v>
      </c>
      <c r="AD753" t="str">
        <f t="shared" si="150"/>
        <v>CONTRATURNO</v>
      </c>
      <c r="AE753" s="47" t="s">
        <v>2754</v>
      </c>
      <c r="AH753" t="str">
        <f t="shared" si="151"/>
        <v>INSERT INTO horario_curso_materia (horario_curso_materia.FK_CUR_mat,horario_curso_materia.FK_HOR,horario_curso_materia.DIA,horario_curso_materia.tipo_turno) VALUES (  (SELECT curso_materia.ID_CUR_MAT FROM curso_materia WHERE curso_materia.CUPOF='2680573' ) ,
    (SELECT horario.ID_HOR FROM horario WHERE horario.modulo='3 ' and horario.turno='T ' ),'MIERCOLES ' , 'CONTRATURNO ' );</v>
      </c>
    </row>
    <row r="754" spans="1:34" ht="15" hidden="1" customHeight="1" x14ac:dyDescent="0.3">
      <c r="A754" s="1" t="str">
        <f t="shared" si="152"/>
        <v>5°5°</v>
      </c>
      <c r="B754" s="54" t="str">
        <f t="shared" si="139"/>
        <v>5°5°3MITARDE552</v>
      </c>
      <c r="C754" s="62">
        <f>VLOOKUP(G754,[1]Hoja1!$A:$O,3,0)</f>
        <v>552</v>
      </c>
      <c r="D754" s="2" t="str">
        <f t="shared" si="145"/>
        <v>3MIT30</v>
      </c>
      <c r="E754" s="62" t="s">
        <v>50</v>
      </c>
      <c r="F754" s="62" t="s">
        <v>10</v>
      </c>
      <c r="G754" s="62" t="s">
        <v>1346</v>
      </c>
      <c r="H754" s="8" t="str">
        <f>VLOOKUP(G754,[1]Hoja1!$A:$O,6,0)</f>
        <v xml:space="preserve">LAB DE APLICACIONES </v>
      </c>
      <c r="I754" s="4">
        <v>30</v>
      </c>
      <c r="J754" s="4"/>
      <c r="K754" s="80" t="str">
        <f t="shared" si="138"/>
        <v>MI</v>
      </c>
      <c r="L754" s="4" t="s">
        <v>512</v>
      </c>
      <c r="M754" s="86" t="str">
        <f>VLOOKUP(G754,[1]Hoja1!$A:$O,15,0)</f>
        <v xml:space="preserve">BARCENILLA, JAVIER </v>
      </c>
      <c r="N754" s="2" t="str">
        <f t="shared" si="153"/>
        <v>5°5°5525IFTLA5MI</v>
      </c>
      <c r="O754" s="2"/>
      <c r="P754" s="2" t="str">
        <f>VLOOKUP(G754,[1]Hoja1!$A:$P,16,0)</f>
        <v xml:space="preserve"> </v>
      </c>
      <c r="Q754" s="2"/>
      <c r="S754">
        <f>VLOOKUP(G754,[1]Hoja1!$A:$O,5,0)</f>
        <v>2680581</v>
      </c>
      <c r="U754" s="45" t="s">
        <v>2751</v>
      </c>
      <c r="V754" s="46">
        <f t="shared" si="146"/>
        <v>2680581</v>
      </c>
      <c r="W754" s="47" t="s">
        <v>1519</v>
      </c>
      <c r="X754" s="46" t="str">
        <f t="shared" si="147"/>
        <v>3</v>
      </c>
      <c r="Y754" s="47" t="s">
        <v>1518</v>
      </c>
      <c r="Z754" s="46" t="str">
        <f t="shared" si="148"/>
        <v>T</v>
      </c>
      <c r="AA754" s="47" t="s">
        <v>2752</v>
      </c>
      <c r="AB754" s="46" t="str">
        <f t="shared" si="149"/>
        <v>MIERCOLES</v>
      </c>
      <c r="AC754" s="47" t="s">
        <v>2753</v>
      </c>
      <c r="AD754" t="str">
        <f t="shared" si="150"/>
        <v>CONTRATURNO</v>
      </c>
      <c r="AE754" s="47" t="s">
        <v>2754</v>
      </c>
      <c r="AH754" t="str">
        <f t="shared" si="151"/>
        <v>INSERT INTO horario_curso_materia (horario_curso_materia.FK_CUR_mat,horario_curso_materia.FK_HOR,horario_curso_materia.DIA,horario_curso_materia.tipo_turno) VALUES (  (SELECT curso_materia.ID_CUR_MAT FROM curso_materia WHERE curso_materia.CUPOF='2680581' ) ,
    (SELECT horario.ID_HOR FROM horario WHERE horario.modulo='3 ' and horario.turno='T ' ),'MIERCOLES ' , 'CONTRATURNO ' );</v>
      </c>
    </row>
    <row r="755" spans="1:34" ht="15" hidden="1" customHeight="1" x14ac:dyDescent="0.3">
      <c r="A755" s="1" t="str">
        <f t="shared" si="152"/>
        <v>5°5°</v>
      </c>
      <c r="B755" s="54" t="str">
        <f t="shared" si="139"/>
        <v>5°5°3MIVESPERTINO0</v>
      </c>
      <c r="C755" s="62">
        <f>VLOOKUP(G755,[1]Hoja1!$A:$O,3,0)</f>
        <v>0</v>
      </c>
      <c r="D755" s="2" t="str">
        <f t="shared" si="145"/>
        <v>3MIV</v>
      </c>
      <c r="E755" s="62" t="s">
        <v>50</v>
      </c>
      <c r="F755" s="62" t="s">
        <v>125</v>
      </c>
      <c r="G755" s="62" t="s">
        <v>1370</v>
      </c>
      <c r="H755" s="8" t="str">
        <f>VLOOKUP(G755,[1]Hoja1!$A:$O,6,0)</f>
        <v>TELEINFORMATICA</v>
      </c>
      <c r="I755" s="4"/>
      <c r="J755" s="4"/>
      <c r="K755" s="80" t="str">
        <f t="shared" si="138"/>
        <v>MI</v>
      </c>
      <c r="L755" s="4"/>
      <c r="M755" s="86" t="str">
        <f>VLOOKUP(G755,[1]Hoja1!$A:$O,15,0)</f>
        <v xml:space="preserve">GONANO, GERMAN </v>
      </c>
      <c r="N755" s="2" t="str">
        <f t="shared" si="153"/>
        <v>5°5°5ITELEIMI</v>
      </c>
      <c r="O755" s="2"/>
      <c r="P755" s="2" t="str">
        <f>VLOOKUP(G755,[1]Hoja1!$A:$P,16,0)</f>
        <v xml:space="preserve"> </v>
      </c>
      <c r="Q755" s="2"/>
      <c r="S755">
        <f>VLOOKUP(G755,[1]Hoja1!$A:$O,5,0)</f>
        <v>1643761</v>
      </c>
      <c r="U755" s="45" t="s">
        <v>2751</v>
      </c>
      <c r="V755" s="46">
        <f t="shared" si="146"/>
        <v>1643761</v>
      </c>
      <c r="W755" s="47" t="s">
        <v>1519</v>
      </c>
      <c r="X755" s="46" t="str">
        <f t="shared" si="147"/>
        <v>3</v>
      </c>
      <c r="Y755" s="47" t="s">
        <v>1518</v>
      </c>
      <c r="Z755" s="46" t="str">
        <f t="shared" si="148"/>
        <v>V</v>
      </c>
      <c r="AA755" s="47" t="s">
        <v>2752</v>
      </c>
      <c r="AB755" s="46" t="str">
        <f t="shared" si="149"/>
        <v>MIERCOLES</v>
      </c>
      <c r="AC755" s="47" t="s">
        <v>2753</v>
      </c>
      <c r="AD755">
        <f t="shared" si="150"/>
        <v>0</v>
      </c>
      <c r="AE755" s="47" t="s">
        <v>2754</v>
      </c>
      <c r="AH755" t="str">
        <f t="shared" si="151"/>
        <v>INSERT INTO horario_curso_materia (horario_curso_materia.FK_CUR_mat,horario_curso_materia.FK_HOR,horario_curso_materia.DIA,horario_curso_materia.tipo_turno) VALUES (  (SELECT curso_materia.ID_CUR_MAT FROM curso_materia WHERE curso_materia.CUPOF='1643761' ) ,
    (SELECT horario.ID_HOR FROM horario WHERE horario.modulo='3 ' and horario.turno='V ' ),'MIERCOLES ' , '0 ' );</v>
      </c>
    </row>
    <row r="756" spans="1:34" ht="15" hidden="1" customHeight="1" x14ac:dyDescent="0.3">
      <c r="A756" s="1" t="str">
        <f t="shared" si="152"/>
        <v>5°5°</v>
      </c>
      <c r="B756" s="54" t="str">
        <f t="shared" si="139"/>
        <v>5°5°3VIVESPERTINO0</v>
      </c>
      <c r="C756" s="62">
        <f>VLOOKUP(G756,[1]Hoja1!$A:$O,3,0)</f>
        <v>0</v>
      </c>
      <c r="D756" s="2" t="str">
        <f t="shared" si="145"/>
        <v>3VIV</v>
      </c>
      <c r="E756" s="62" t="s">
        <v>35</v>
      </c>
      <c r="F756" s="62" t="s">
        <v>125</v>
      </c>
      <c r="G756" s="62" t="s">
        <v>1370</v>
      </c>
      <c r="H756" s="8" t="str">
        <f>VLOOKUP(G756,[1]Hoja1!$A:$O,6,0)</f>
        <v>TELEINFORMATICA</v>
      </c>
      <c r="I756" s="4"/>
      <c r="J756" s="4"/>
      <c r="K756" s="80" t="str">
        <f t="shared" si="138"/>
        <v>VI</v>
      </c>
      <c r="L756" s="4"/>
      <c r="M756" s="86" t="str">
        <f>VLOOKUP(G756,[1]Hoja1!$A:$O,15,0)</f>
        <v xml:space="preserve">GONANO, GERMAN </v>
      </c>
      <c r="N756" s="2" t="str">
        <f t="shared" si="153"/>
        <v>5°5°5ITELEIVI</v>
      </c>
      <c r="O756" s="2"/>
      <c r="P756" s="2" t="str">
        <f>VLOOKUP(G756,[1]Hoja1!$A:$P,16,0)</f>
        <v xml:space="preserve"> </v>
      </c>
      <c r="Q756" s="2"/>
      <c r="S756">
        <f>VLOOKUP(G756,[1]Hoja1!$A:$O,5,0)</f>
        <v>1643761</v>
      </c>
      <c r="U756" s="45" t="s">
        <v>2751</v>
      </c>
      <c r="V756" s="46">
        <f t="shared" si="146"/>
        <v>1643761</v>
      </c>
      <c r="W756" s="47" t="s">
        <v>1519</v>
      </c>
      <c r="X756" s="46" t="str">
        <f t="shared" si="147"/>
        <v>3</v>
      </c>
      <c r="Y756" s="47" t="s">
        <v>1518</v>
      </c>
      <c r="Z756" s="46" t="str">
        <f t="shared" si="148"/>
        <v>V</v>
      </c>
      <c r="AA756" s="47" t="s">
        <v>2752</v>
      </c>
      <c r="AB756" s="46" t="str">
        <f t="shared" si="149"/>
        <v>VIERNES</v>
      </c>
      <c r="AC756" s="47" t="s">
        <v>2753</v>
      </c>
      <c r="AD756">
        <f t="shared" si="150"/>
        <v>0</v>
      </c>
      <c r="AE756" s="47" t="s">
        <v>2754</v>
      </c>
      <c r="AH756" t="str">
        <f t="shared" si="151"/>
        <v>INSERT INTO horario_curso_materia (horario_curso_materia.FK_CUR_mat,horario_curso_materia.FK_HOR,horario_curso_materia.DIA,horario_curso_materia.tipo_turno) VALUES (  (SELECT curso_materia.ID_CUR_MAT FROM curso_materia WHERE curso_materia.CUPOF='1643761' ) ,
    (SELECT horario.ID_HOR FROM horario WHERE horario.modulo='3 ' and horario.turno='V ' ),'VIERNES ' , '0 ' );</v>
      </c>
    </row>
    <row r="757" spans="1:34" ht="15" hidden="1" customHeight="1" x14ac:dyDescent="0.3">
      <c r="A757" s="1" t="str">
        <f t="shared" si="152"/>
        <v>5°5°</v>
      </c>
      <c r="B757" s="54" t="str">
        <f t="shared" si="139"/>
        <v>5°5°4JUTARDE552</v>
      </c>
      <c r="C757" s="62">
        <f>VLOOKUP(G757,[1]Hoja1!$A:$O,3,0)</f>
        <v>552</v>
      </c>
      <c r="D757" s="2" t="str">
        <f t="shared" si="145"/>
        <v>4JUT30</v>
      </c>
      <c r="E757" s="62" t="s">
        <v>48</v>
      </c>
      <c r="F757" s="62" t="s">
        <v>10</v>
      </c>
      <c r="G757" s="62" t="s">
        <v>1347</v>
      </c>
      <c r="H757" s="8" t="str">
        <f>VLOOKUP(G757,[1]Hoja1!$A:$O,6,0)</f>
        <v>LAB DE SIST OPERATIVOS</v>
      </c>
      <c r="I757" s="4">
        <v>30</v>
      </c>
      <c r="J757" s="4"/>
      <c r="K757" s="80" t="str">
        <f t="shared" si="138"/>
        <v>JU</v>
      </c>
      <c r="L757" s="4" t="s">
        <v>512</v>
      </c>
      <c r="M757" s="86" t="str">
        <f>VLOOKUP(G757,[1]Hoja1!$A:$O,15,0)</f>
        <v>BERTOSSI MAXIMILIANO H</v>
      </c>
      <c r="N757" s="2" t="str">
        <f t="shared" si="153"/>
        <v>5°5°5525IFTLS5JU</v>
      </c>
      <c r="O757" s="2"/>
      <c r="P757" s="2" t="str">
        <f>VLOOKUP(G757,[1]Hoja1!$A:$P,16,0)</f>
        <v xml:space="preserve"> </v>
      </c>
      <c r="Q757" s="2"/>
      <c r="S757">
        <f>VLOOKUP(G757,[1]Hoja1!$A:$O,5,0)</f>
        <v>2680578</v>
      </c>
      <c r="U757" s="45" t="s">
        <v>2751</v>
      </c>
      <c r="V757" s="46">
        <f t="shared" si="146"/>
        <v>2680578</v>
      </c>
      <c r="W757" s="47" t="s">
        <v>1519</v>
      </c>
      <c r="X757" s="46" t="str">
        <f t="shared" si="147"/>
        <v>4</v>
      </c>
      <c r="Y757" s="47" t="s">
        <v>1518</v>
      </c>
      <c r="Z757" s="46" t="str">
        <f t="shared" si="148"/>
        <v>T</v>
      </c>
      <c r="AA757" s="47" t="s">
        <v>2752</v>
      </c>
      <c r="AB757" s="46" t="str">
        <f t="shared" si="149"/>
        <v>JUEVES</v>
      </c>
      <c r="AC757" s="47" t="s">
        <v>2753</v>
      </c>
      <c r="AD757" t="str">
        <f t="shared" si="150"/>
        <v>CONTRATURNO</v>
      </c>
      <c r="AE757" s="47" t="s">
        <v>2754</v>
      </c>
      <c r="AH757" t="str">
        <f t="shared" si="151"/>
        <v>INSERT INTO horario_curso_materia (horario_curso_materia.FK_CUR_mat,horario_curso_materia.FK_HOR,horario_curso_materia.DIA,horario_curso_materia.tipo_turno) VALUES (  (SELECT curso_materia.ID_CUR_MAT FROM curso_materia WHERE curso_materia.CUPOF='2680578' ) ,
    (SELECT horario.ID_HOR FROM horario WHERE horario.modulo='4 ' and horario.turno='T ' ),'JUEVES ' , 'CONTRATURNO ' );</v>
      </c>
    </row>
    <row r="758" spans="1:34" ht="15" hidden="1" customHeight="1" x14ac:dyDescent="0.3">
      <c r="A758" s="1" t="str">
        <f t="shared" si="152"/>
        <v>5°5°</v>
      </c>
      <c r="B758" s="54" t="str">
        <f t="shared" si="139"/>
        <v>5°5°4JUVESPERTINO0</v>
      </c>
      <c r="C758" s="62">
        <f>VLOOKUP(G758,[1]Hoja1!$A:$O,3,0)</f>
        <v>0</v>
      </c>
      <c r="D758" s="2" t="str">
        <f t="shared" si="145"/>
        <v>4JUV</v>
      </c>
      <c r="E758" s="62" t="s">
        <v>48</v>
      </c>
      <c r="F758" s="62" t="s">
        <v>125</v>
      </c>
      <c r="G758" s="62" t="s">
        <v>1371</v>
      </c>
      <c r="H758" s="8" t="str">
        <f>VLOOKUP(G758,[1]Hoja1!$A:$O,6,0)</f>
        <v>POLITICA Y CIUDADANIA</v>
      </c>
      <c r="I758" s="4"/>
      <c r="J758" s="4"/>
      <c r="K758" s="80" t="str">
        <f t="shared" si="138"/>
        <v>JU</v>
      </c>
      <c r="L758" s="4"/>
      <c r="M758" s="86" t="str">
        <f>VLOOKUP(G758,[1]Hoja1!$A:$O,15,0)</f>
        <v xml:space="preserve">ANTONIO VALLE, INEES </v>
      </c>
      <c r="N758" s="2" t="str">
        <f t="shared" si="153"/>
        <v>5°5°5IPYCSJU</v>
      </c>
      <c r="O758" s="2"/>
      <c r="P758" s="2" t="str">
        <f>VLOOKUP(G758,[1]Hoja1!$A:$P,16,0)</f>
        <v xml:space="preserve"> </v>
      </c>
      <c r="Q758" s="2"/>
      <c r="S758">
        <f>VLOOKUP(G758,[1]Hoja1!$A:$O,5,0)</f>
        <v>1643741</v>
      </c>
      <c r="U758" s="45" t="s">
        <v>2751</v>
      </c>
      <c r="V758" s="46">
        <f t="shared" si="146"/>
        <v>1643741</v>
      </c>
      <c r="W758" s="47" t="s">
        <v>1519</v>
      </c>
      <c r="X758" s="46" t="str">
        <f t="shared" si="147"/>
        <v>4</v>
      </c>
      <c r="Y758" s="47" t="s">
        <v>1518</v>
      </c>
      <c r="Z758" s="46" t="str">
        <f t="shared" si="148"/>
        <v>V</v>
      </c>
      <c r="AA758" s="47" t="s">
        <v>2752</v>
      </c>
      <c r="AB758" s="46" t="str">
        <f t="shared" si="149"/>
        <v>JUEVES</v>
      </c>
      <c r="AC758" s="47" t="s">
        <v>2753</v>
      </c>
      <c r="AD758">
        <f t="shared" si="150"/>
        <v>0</v>
      </c>
      <c r="AE758" s="47" t="s">
        <v>2754</v>
      </c>
      <c r="AH758" t="str">
        <f t="shared" si="151"/>
        <v>INSERT INTO horario_curso_materia (horario_curso_materia.FK_CUR_mat,horario_curso_materia.FK_HOR,horario_curso_materia.DIA,horario_curso_materia.tipo_turno) VALUES (  (SELECT curso_materia.ID_CUR_MAT FROM curso_materia WHERE curso_materia.CUPOF='1643741' ) ,
    (SELECT horario.ID_HOR FROM horario WHERE horario.modulo='4 ' and horario.turno='V ' ),'JUEVES ' , '0 ' );</v>
      </c>
    </row>
    <row r="759" spans="1:34" ht="15" hidden="1" customHeight="1" x14ac:dyDescent="0.3">
      <c r="A759" s="1" t="str">
        <f t="shared" si="152"/>
        <v>5°5°</v>
      </c>
      <c r="B759" s="54" t="str">
        <f t="shared" si="139"/>
        <v>5°5°4LUTARDE551</v>
      </c>
      <c r="C759" s="62">
        <f>VLOOKUP(G759,[1]Hoja1!$A:$O,3,0)</f>
        <v>551</v>
      </c>
      <c r="D759" s="2" t="str">
        <f t="shared" si="145"/>
        <v>4LUT30</v>
      </c>
      <c r="E759" s="62" t="s">
        <v>31</v>
      </c>
      <c r="F759" s="62" t="s">
        <v>10</v>
      </c>
      <c r="G759" s="62" t="s">
        <v>1352</v>
      </c>
      <c r="H759" s="8" t="str">
        <f>VLOOKUP(G759,[1]Hoja1!$A:$O,6,0)</f>
        <v>LAB DE SIST OPERATIVOS</v>
      </c>
      <c r="I759" s="4">
        <v>30</v>
      </c>
      <c r="J759" s="4"/>
      <c r="K759" s="80" t="str">
        <f t="shared" si="138"/>
        <v>LU</v>
      </c>
      <c r="L759" s="4" t="s">
        <v>512</v>
      </c>
      <c r="M759" s="86" t="str">
        <f>VLOOKUP(G759,[1]Hoja1!$A:$O,15,0)</f>
        <v>WITT  GERARDO</v>
      </c>
      <c r="N759" s="2" t="str">
        <f t="shared" si="153"/>
        <v>5°5°5515IFTLS5LU</v>
      </c>
      <c r="O759" s="2"/>
      <c r="P759" s="2" t="str">
        <f>VLOOKUP(G759,[1]Hoja1!$A:$P,16,0)</f>
        <v xml:space="preserve"> </v>
      </c>
      <c r="Q759" s="2"/>
      <c r="S759">
        <f>VLOOKUP(G759,[1]Hoja1!$A:$O,5,0)</f>
        <v>2680574</v>
      </c>
      <c r="U759" s="45" t="s">
        <v>2751</v>
      </c>
      <c r="V759" s="46">
        <f t="shared" si="146"/>
        <v>2680574</v>
      </c>
      <c r="W759" s="47" t="s">
        <v>1519</v>
      </c>
      <c r="X759" s="46" t="str">
        <f t="shared" si="147"/>
        <v>4</v>
      </c>
      <c r="Y759" s="47" t="s">
        <v>1518</v>
      </c>
      <c r="Z759" s="46" t="str">
        <f t="shared" si="148"/>
        <v>T</v>
      </c>
      <c r="AA759" s="47" t="s">
        <v>2752</v>
      </c>
      <c r="AB759" s="46" t="str">
        <f t="shared" si="149"/>
        <v>LUNES</v>
      </c>
      <c r="AC759" s="47" t="s">
        <v>2753</v>
      </c>
      <c r="AD759" t="str">
        <f t="shared" si="150"/>
        <v>CONTRATURNO</v>
      </c>
      <c r="AE759" s="47" t="s">
        <v>2754</v>
      </c>
      <c r="AH759" t="str">
        <f t="shared" si="151"/>
        <v>INSERT INTO horario_curso_materia (horario_curso_materia.FK_CUR_mat,horario_curso_materia.FK_HOR,horario_curso_materia.DIA,horario_curso_materia.tipo_turno) VALUES (  (SELECT curso_materia.ID_CUR_MAT FROM curso_materia WHERE curso_materia.CUPOF='2680574' ) ,
    (SELECT horario.ID_HOR FROM horario WHERE horario.modulo='4 ' and horario.turno='T ' ),'LUNES ' , 'CONTRATURNO ' );</v>
      </c>
    </row>
    <row r="760" spans="1:34" ht="15" hidden="1" customHeight="1" x14ac:dyDescent="0.3">
      <c r="A760" s="1" t="str">
        <f t="shared" si="152"/>
        <v>5°5°</v>
      </c>
      <c r="B760" s="54" t="str">
        <f t="shared" si="139"/>
        <v>5°5°4LUTARDE552</v>
      </c>
      <c r="C760" s="62">
        <f>VLOOKUP(G760,[1]Hoja1!$A:$O,3,0)</f>
        <v>552</v>
      </c>
      <c r="D760" s="2" t="str">
        <f t="shared" si="145"/>
        <v>4LUT40</v>
      </c>
      <c r="E760" s="62" t="s">
        <v>31</v>
      </c>
      <c r="F760" s="62" t="s">
        <v>10</v>
      </c>
      <c r="G760" s="62" t="s">
        <v>1340</v>
      </c>
      <c r="H760" s="8" t="str">
        <f>VLOOKUP(G760,[1]Hoja1!$A:$O,6,0)</f>
        <v xml:space="preserve">LAB DE HARDWARE </v>
      </c>
      <c r="I760" s="4">
        <v>40</v>
      </c>
      <c r="J760" s="4"/>
      <c r="K760" s="80" t="str">
        <f t="shared" si="138"/>
        <v>LU</v>
      </c>
      <c r="L760" s="4" t="s">
        <v>512</v>
      </c>
      <c r="M760" s="86" t="str">
        <f>VLOOKUP(G760,[1]Hoja1!$A:$O,15,0)</f>
        <v xml:space="preserve">FISTER (Serv.Prov)         </v>
      </c>
      <c r="N760" s="2" t="str">
        <f t="shared" si="153"/>
        <v>5°5°5525IFTLH5LU</v>
      </c>
      <c r="O760" s="2"/>
      <c r="P760" s="2" t="str">
        <f>VLOOKUP(G760,[1]Hoja1!$A:$P,16,0)</f>
        <v xml:space="preserve"> </v>
      </c>
      <c r="Q760" s="2"/>
      <c r="S760">
        <f>VLOOKUP(G760,[1]Hoja1!$A:$O,5,0)</f>
        <v>2680577</v>
      </c>
      <c r="U760" s="45" t="s">
        <v>2751</v>
      </c>
      <c r="V760" s="46">
        <f t="shared" si="146"/>
        <v>2680577</v>
      </c>
      <c r="W760" s="47" t="s">
        <v>1519</v>
      </c>
      <c r="X760" s="46" t="str">
        <f t="shared" si="147"/>
        <v>4</v>
      </c>
      <c r="Y760" s="47" t="s">
        <v>1518</v>
      </c>
      <c r="Z760" s="46" t="str">
        <f t="shared" si="148"/>
        <v>T</v>
      </c>
      <c r="AA760" s="47" t="s">
        <v>2752</v>
      </c>
      <c r="AB760" s="46" t="str">
        <f t="shared" si="149"/>
        <v>LUNES</v>
      </c>
      <c r="AC760" s="47" t="s">
        <v>2753</v>
      </c>
      <c r="AD760" t="str">
        <f t="shared" si="150"/>
        <v>CONTRATURNO</v>
      </c>
      <c r="AE760" s="47" t="s">
        <v>2754</v>
      </c>
      <c r="AH760" t="str">
        <f t="shared" si="151"/>
        <v>INSERT INTO horario_curso_materia (horario_curso_materia.FK_CUR_mat,horario_curso_materia.FK_HOR,horario_curso_materia.DIA,horario_curso_materia.tipo_turno) VALUES (  (SELECT curso_materia.ID_CUR_MAT FROM curso_materia WHERE curso_materia.CUPOF='2680577' ) ,
    (SELECT horario.ID_HOR FROM horario WHERE horario.modulo='4 ' and horario.turno='T ' ),'LUNES ' , 'CONTRATURNO ' );</v>
      </c>
    </row>
    <row r="761" spans="1:34" ht="15" hidden="1" customHeight="1" x14ac:dyDescent="0.3">
      <c r="A761" s="1" t="str">
        <f t="shared" si="152"/>
        <v>5°5°</v>
      </c>
      <c r="B761" s="54" t="str">
        <f t="shared" si="139"/>
        <v>5°5°4LUVESPERTINO0</v>
      </c>
      <c r="C761" s="62">
        <f>VLOOKUP(G761,[1]Hoja1!$A:$O,3,0)</f>
        <v>0</v>
      </c>
      <c r="D761" s="2" t="str">
        <f t="shared" si="145"/>
        <v>4LUV</v>
      </c>
      <c r="E761" s="62" t="s">
        <v>31</v>
      </c>
      <c r="F761" s="62" t="s">
        <v>125</v>
      </c>
      <c r="G761" s="62" t="s">
        <v>1366</v>
      </c>
      <c r="H761" s="8" t="str">
        <f>VLOOKUP(G761,[1]Hoja1!$A:$O,6,0)</f>
        <v>LITERATURA</v>
      </c>
      <c r="I761" s="4"/>
      <c r="J761" s="4"/>
      <c r="K761" s="80" t="str">
        <f t="shared" si="138"/>
        <v>LU</v>
      </c>
      <c r="L761" s="4"/>
      <c r="M761" s="86" t="str">
        <f>VLOOKUP(G761,[1]Hoja1!$A:$O,15,0)</f>
        <v>NEGRETE, DANIELA</v>
      </c>
      <c r="N761" s="2" t="str">
        <f t="shared" si="153"/>
        <v>5°5°5ILITSLU</v>
      </c>
      <c r="O761" s="2"/>
      <c r="P761" s="2" t="str">
        <f>VLOOKUP(G761,[1]Hoja1!$A:$P,16,0)</f>
        <v xml:space="preserve"> </v>
      </c>
      <c r="Q761" s="2"/>
      <c r="S761">
        <f>VLOOKUP(G761,[1]Hoja1!$A:$O,5,0)</f>
        <v>733603</v>
      </c>
      <c r="U761" s="45" t="s">
        <v>2751</v>
      </c>
      <c r="V761" s="46">
        <f t="shared" si="146"/>
        <v>733603</v>
      </c>
      <c r="W761" s="47" t="s">
        <v>1519</v>
      </c>
      <c r="X761" s="46" t="str">
        <f t="shared" si="147"/>
        <v>4</v>
      </c>
      <c r="Y761" s="47" t="s">
        <v>1518</v>
      </c>
      <c r="Z761" s="46" t="str">
        <f t="shared" si="148"/>
        <v>V</v>
      </c>
      <c r="AA761" s="47" t="s">
        <v>2752</v>
      </c>
      <c r="AB761" s="46" t="str">
        <f t="shared" si="149"/>
        <v>LUNES</v>
      </c>
      <c r="AC761" s="47" t="s">
        <v>2753</v>
      </c>
      <c r="AD761">
        <f t="shared" si="150"/>
        <v>0</v>
      </c>
      <c r="AE761" s="47" t="s">
        <v>2754</v>
      </c>
      <c r="AH761" t="str">
        <f t="shared" si="151"/>
        <v>INSERT INTO horario_curso_materia (horario_curso_materia.FK_CUR_mat,horario_curso_materia.FK_HOR,horario_curso_materia.DIA,horario_curso_materia.tipo_turno) VALUES (  (SELECT curso_materia.ID_CUR_MAT FROM curso_materia WHERE curso_materia.CUPOF='733603' ) ,
    (SELECT horario.ID_HOR FROM horario WHERE horario.modulo='4 ' and horario.turno='V ' ),'LUNES ' , '0 ' );</v>
      </c>
    </row>
    <row r="762" spans="1:34" ht="15" hidden="1" customHeight="1" x14ac:dyDescent="0.3">
      <c r="A762" s="1" t="str">
        <f t="shared" si="152"/>
        <v>5°5°</v>
      </c>
      <c r="B762" s="54" t="str">
        <f t="shared" si="139"/>
        <v>5°5°4MATARDE551</v>
      </c>
      <c r="C762" s="62">
        <f>VLOOKUP(G762,[1]Hoja1!$A:$O,3,0)</f>
        <v>551</v>
      </c>
      <c r="D762" s="2" t="str">
        <f t="shared" si="145"/>
        <v>4MAT40</v>
      </c>
      <c r="E762" s="62" t="s">
        <v>16</v>
      </c>
      <c r="F762" s="62" t="s">
        <v>10</v>
      </c>
      <c r="G762" s="62" t="s">
        <v>1339</v>
      </c>
      <c r="H762" s="8" t="str">
        <f>VLOOKUP(G762,[1]Hoja1!$A:$O,6,0)</f>
        <v xml:space="preserve">LAB DE HARDWARE </v>
      </c>
      <c r="I762" s="4">
        <v>40</v>
      </c>
      <c r="J762" s="4"/>
      <c r="K762" s="80" t="str">
        <f t="shared" si="138"/>
        <v>MA</v>
      </c>
      <c r="L762" s="4" t="s">
        <v>512</v>
      </c>
      <c r="M762" s="86" t="str">
        <f>VLOOKUP(G762,[1]Hoja1!$A:$O,15,0)</f>
        <v>HERRERA, STELLA</v>
      </c>
      <c r="N762" s="2" t="str">
        <f t="shared" si="153"/>
        <v>5°5°5515IFTLH5MA</v>
      </c>
      <c r="O762" s="2"/>
      <c r="P762" s="2" t="str">
        <f>VLOOKUP(G762,[1]Hoja1!$A:$P,16,0)</f>
        <v xml:space="preserve"> </v>
      </c>
      <c r="Q762" s="2"/>
      <c r="S762">
        <f>VLOOKUP(G762,[1]Hoja1!$A:$O,5,0)</f>
        <v>2680573</v>
      </c>
      <c r="U762" s="45" t="s">
        <v>2751</v>
      </c>
      <c r="V762" s="46">
        <f t="shared" si="146"/>
        <v>2680573</v>
      </c>
      <c r="W762" s="47" t="s">
        <v>1519</v>
      </c>
      <c r="X762" s="46" t="str">
        <f t="shared" si="147"/>
        <v>4</v>
      </c>
      <c r="Y762" s="47" t="s">
        <v>1518</v>
      </c>
      <c r="Z762" s="46" t="str">
        <f t="shared" si="148"/>
        <v>T</v>
      </c>
      <c r="AA762" s="47" t="s">
        <v>2752</v>
      </c>
      <c r="AB762" s="46" t="str">
        <f t="shared" si="149"/>
        <v>MARTES</v>
      </c>
      <c r="AC762" s="47" t="s">
        <v>2753</v>
      </c>
      <c r="AD762" t="str">
        <f t="shared" si="150"/>
        <v>CONTRATURNO</v>
      </c>
      <c r="AE762" s="47" t="s">
        <v>2754</v>
      </c>
      <c r="AH762" t="str">
        <f t="shared" si="151"/>
        <v>INSERT INTO horario_curso_materia (horario_curso_materia.FK_CUR_mat,horario_curso_materia.FK_HOR,horario_curso_materia.DIA,horario_curso_materia.tipo_turno) VALUES (  (SELECT curso_materia.ID_CUR_MAT FROM curso_materia WHERE curso_materia.CUPOF='2680573' ) ,
    (SELECT horario.ID_HOR FROM horario WHERE horario.modulo='4 ' and horario.turno='T ' ),'MARTES ' , 'CONTRATURNO ' );</v>
      </c>
    </row>
    <row r="763" spans="1:34" ht="15" hidden="1" customHeight="1" x14ac:dyDescent="0.3">
      <c r="A763" s="1" t="str">
        <f t="shared" si="152"/>
        <v>5°5°</v>
      </c>
      <c r="B763" s="54" t="str">
        <f t="shared" si="139"/>
        <v>5°5°4MAVESPERTINO0</v>
      </c>
      <c r="C763" s="62">
        <f>VLOOKUP(G763,[1]Hoja1!$A:$O,3,0)</f>
        <v>0</v>
      </c>
      <c r="D763" s="2" t="str">
        <f t="shared" si="145"/>
        <v>4MAV</v>
      </c>
      <c r="E763" s="62" t="s">
        <v>16</v>
      </c>
      <c r="F763" s="62" t="s">
        <v>125</v>
      </c>
      <c r="G763" s="62" t="s">
        <v>1368</v>
      </c>
      <c r="H763" s="8" t="str">
        <f>VLOOKUP(G763,[1]Hoja1!$A:$O,6,0)</f>
        <v>SISTEMA DIGITAL</v>
      </c>
      <c r="I763" s="4"/>
      <c r="J763" s="4"/>
      <c r="K763" s="80" t="str">
        <f t="shared" ref="K763:K826" si="154">RIGHT(E763,2)</f>
        <v>MA</v>
      </c>
      <c r="L763" s="4"/>
      <c r="M763" s="86" t="str">
        <f>VLOOKUP(G763,[1]Hoja1!$A:$O,15,0)</f>
        <v xml:space="preserve">HERNER, CRISTIAN </v>
      </c>
      <c r="N763" s="2" t="str">
        <f t="shared" si="153"/>
        <v>5°5°5ISIDI4MA</v>
      </c>
      <c r="O763" s="2"/>
      <c r="P763" s="2" t="str">
        <f>VLOOKUP(G763,[1]Hoja1!$A:$P,16,0)</f>
        <v xml:space="preserve"> </v>
      </c>
      <c r="Q763" s="2"/>
      <c r="S763">
        <f>VLOOKUP(G763,[1]Hoja1!$A:$O,5,0)</f>
        <v>733570</v>
      </c>
      <c r="U763" s="45" t="s">
        <v>2751</v>
      </c>
      <c r="V763" s="46">
        <f t="shared" si="146"/>
        <v>733570</v>
      </c>
      <c r="W763" s="47" t="s">
        <v>1519</v>
      </c>
      <c r="X763" s="46" t="str">
        <f t="shared" si="147"/>
        <v>4</v>
      </c>
      <c r="Y763" s="47" t="s">
        <v>1518</v>
      </c>
      <c r="Z763" s="46" t="str">
        <f t="shared" si="148"/>
        <v>V</v>
      </c>
      <c r="AA763" s="47" t="s">
        <v>2752</v>
      </c>
      <c r="AB763" s="46" t="str">
        <f t="shared" si="149"/>
        <v>MARTES</v>
      </c>
      <c r="AC763" s="47" t="s">
        <v>2753</v>
      </c>
      <c r="AD763">
        <f t="shared" si="150"/>
        <v>0</v>
      </c>
      <c r="AE763" s="47" t="s">
        <v>2754</v>
      </c>
      <c r="AH763" t="str">
        <f t="shared" si="151"/>
        <v>INSERT INTO horario_curso_materia (horario_curso_materia.FK_CUR_mat,horario_curso_materia.FK_HOR,horario_curso_materia.DIA,horario_curso_materia.tipo_turno) VALUES (  (SELECT curso_materia.ID_CUR_MAT FROM curso_materia WHERE curso_materia.CUPOF='733570' ) ,
    (SELECT horario.ID_HOR FROM horario WHERE horario.modulo='4 ' and horario.turno='V ' ),'MARTES ' , '0 ' );</v>
      </c>
    </row>
    <row r="764" spans="1:34" ht="15" hidden="1" customHeight="1" x14ac:dyDescent="0.3">
      <c r="A764" s="1" t="str">
        <f t="shared" si="152"/>
        <v>5°5°</v>
      </c>
      <c r="B764" s="54" t="str">
        <f t="shared" si="139"/>
        <v>5°5°4MITARDE551</v>
      </c>
      <c r="C764" s="62">
        <f>VLOOKUP(G764,[1]Hoja1!$A:$O,3,0)</f>
        <v>551</v>
      </c>
      <c r="D764" s="2" t="str">
        <f t="shared" si="145"/>
        <v>4MITHARDWARE</v>
      </c>
      <c r="E764" s="62" t="s">
        <v>52</v>
      </c>
      <c r="F764" s="62" t="s">
        <v>10</v>
      </c>
      <c r="G764" s="62" t="s">
        <v>1339</v>
      </c>
      <c r="H764" s="8" t="str">
        <f>VLOOKUP(G764,[1]Hoja1!$A:$O,6,0)</f>
        <v xml:space="preserve">LAB DE HARDWARE </v>
      </c>
      <c r="I764" s="4" t="s">
        <v>38</v>
      </c>
      <c r="J764" s="4"/>
      <c r="K764" s="80" t="str">
        <f t="shared" si="154"/>
        <v>MI</v>
      </c>
      <c r="L764" s="4" t="s">
        <v>512</v>
      </c>
      <c r="M764" s="86" t="str">
        <f>VLOOKUP(G764,[1]Hoja1!$A:$O,15,0)</f>
        <v>HERRERA, STELLA</v>
      </c>
      <c r="N764" s="2" t="str">
        <f t="shared" si="153"/>
        <v>5°5°5515IFTLH5MI</v>
      </c>
      <c r="O764" s="2"/>
      <c r="P764" s="2" t="str">
        <f>VLOOKUP(G764,[1]Hoja1!$A:$P,16,0)</f>
        <v xml:space="preserve"> </v>
      </c>
      <c r="Q764" s="2"/>
      <c r="S764">
        <f>VLOOKUP(G764,[1]Hoja1!$A:$O,5,0)</f>
        <v>2680573</v>
      </c>
      <c r="U764" s="45" t="s">
        <v>2751</v>
      </c>
      <c r="V764" s="46">
        <f t="shared" si="146"/>
        <v>2680573</v>
      </c>
      <c r="W764" s="47" t="s">
        <v>1519</v>
      </c>
      <c r="X764" s="46" t="str">
        <f t="shared" si="147"/>
        <v>4</v>
      </c>
      <c r="Y764" s="47" t="s">
        <v>1518</v>
      </c>
      <c r="Z764" s="46" t="str">
        <f t="shared" si="148"/>
        <v>T</v>
      </c>
      <c r="AA764" s="47" t="s">
        <v>2752</v>
      </c>
      <c r="AB764" s="46" t="str">
        <f t="shared" si="149"/>
        <v>MIERCOLES</v>
      </c>
      <c r="AC764" s="47" t="s">
        <v>2753</v>
      </c>
      <c r="AD764" t="str">
        <f t="shared" si="150"/>
        <v>CONTRATURNO</v>
      </c>
      <c r="AE764" s="47" t="s">
        <v>2754</v>
      </c>
      <c r="AH764" t="str">
        <f t="shared" si="151"/>
        <v>INSERT INTO horario_curso_materia (horario_curso_materia.FK_CUR_mat,horario_curso_materia.FK_HOR,horario_curso_materia.DIA,horario_curso_materia.tipo_turno) VALUES (  (SELECT curso_materia.ID_CUR_MAT FROM curso_materia WHERE curso_materia.CUPOF='2680573' ) ,
    (SELECT horario.ID_HOR FROM horario WHERE horario.modulo='4 ' and horario.turno='T ' ),'MIERCOLES ' , 'CONTRATURNO ' );</v>
      </c>
    </row>
    <row r="765" spans="1:34" ht="15" hidden="1" customHeight="1" x14ac:dyDescent="0.3">
      <c r="A765" s="1" t="str">
        <f t="shared" si="152"/>
        <v>5°5°</v>
      </c>
      <c r="B765" s="54" t="str">
        <f t="shared" si="139"/>
        <v>5°5°4MITARDE552</v>
      </c>
      <c r="C765" s="62">
        <f>VLOOKUP(G765,[1]Hoja1!$A:$O,3,0)</f>
        <v>552</v>
      </c>
      <c r="D765" s="2" t="str">
        <f t="shared" si="145"/>
        <v>4MIT30</v>
      </c>
      <c r="E765" s="62" t="s">
        <v>52</v>
      </c>
      <c r="F765" s="62" t="s">
        <v>10</v>
      </c>
      <c r="G765" s="62" t="s">
        <v>1346</v>
      </c>
      <c r="H765" s="8" t="str">
        <f>VLOOKUP(G765,[1]Hoja1!$A:$O,6,0)</f>
        <v xml:space="preserve">LAB DE APLICACIONES </v>
      </c>
      <c r="I765" s="4">
        <v>30</v>
      </c>
      <c r="J765" s="4"/>
      <c r="K765" s="80" t="str">
        <f t="shared" si="154"/>
        <v>MI</v>
      </c>
      <c r="L765" s="4" t="s">
        <v>512</v>
      </c>
      <c r="M765" s="86" t="str">
        <f>VLOOKUP(G765,[1]Hoja1!$A:$O,15,0)</f>
        <v xml:space="preserve">BARCENILLA, JAVIER </v>
      </c>
      <c r="N765" s="2" t="str">
        <f t="shared" si="153"/>
        <v>5°5°5525IFTLA5MI</v>
      </c>
      <c r="O765" s="2"/>
      <c r="P765" s="2" t="str">
        <f>VLOOKUP(G765,[1]Hoja1!$A:$P,16,0)</f>
        <v xml:space="preserve"> </v>
      </c>
      <c r="Q765" s="2"/>
      <c r="S765">
        <f>VLOOKUP(G765,[1]Hoja1!$A:$O,5,0)</f>
        <v>2680581</v>
      </c>
      <c r="U765" s="45" t="s">
        <v>2751</v>
      </c>
      <c r="V765" s="46">
        <f t="shared" si="146"/>
        <v>2680581</v>
      </c>
      <c r="W765" s="47" t="s">
        <v>1519</v>
      </c>
      <c r="X765" s="46" t="str">
        <f t="shared" si="147"/>
        <v>4</v>
      </c>
      <c r="Y765" s="47" t="s">
        <v>1518</v>
      </c>
      <c r="Z765" s="46" t="str">
        <f t="shared" si="148"/>
        <v>T</v>
      </c>
      <c r="AA765" s="47" t="s">
        <v>2752</v>
      </c>
      <c r="AB765" s="46" t="str">
        <f t="shared" si="149"/>
        <v>MIERCOLES</v>
      </c>
      <c r="AC765" s="47" t="s">
        <v>2753</v>
      </c>
      <c r="AD765" t="str">
        <f t="shared" si="150"/>
        <v>CONTRATURNO</v>
      </c>
      <c r="AE765" s="47" t="s">
        <v>2754</v>
      </c>
      <c r="AH765" t="str">
        <f t="shared" si="151"/>
        <v>INSERT INTO horario_curso_materia (horario_curso_materia.FK_CUR_mat,horario_curso_materia.FK_HOR,horario_curso_materia.DIA,horario_curso_materia.tipo_turno) VALUES (  (SELECT curso_materia.ID_CUR_MAT FROM curso_materia WHERE curso_materia.CUPOF='2680581' ) ,
    (SELECT horario.ID_HOR FROM horario WHERE horario.modulo='4 ' and horario.turno='T ' ),'MIERCOLES ' , 'CONTRATURNO ' );</v>
      </c>
    </row>
    <row r="766" spans="1:34" ht="15" hidden="1" customHeight="1" x14ac:dyDescent="0.3">
      <c r="A766" s="1" t="str">
        <f t="shared" si="152"/>
        <v>5°5°</v>
      </c>
      <c r="B766" s="54" t="str">
        <f t="shared" si="139"/>
        <v>5°5°4MIVESPERTINO0</v>
      </c>
      <c r="C766" s="62">
        <f>VLOOKUP(G766,[1]Hoja1!$A:$O,3,0)</f>
        <v>0</v>
      </c>
      <c r="D766" s="2" t="str">
        <f t="shared" si="145"/>
        <v>4MIV</v>
      </c>
      <c r="E766" s="62" t="s">
        <v>52</v>
      </c>
      <c r="F766" s="62" t="s">
        <v>125</v>
      </c>
      <c r="G766" s="62" t="s">
        <v>1370</v>
      </c>
      <c r="H766" s="8" t="str">
        <f>VLOOKUP(G766,[1]Hoja1!$A:$O,6,0)</f>
        <v>TELEINFORMATICA</v>
      </c>
      <c r="I766" s="4"/>
      <c r="J766" s="4"/>
      <c r="K766" s="80" t="str">
        <f t="shared" si="154"/>
        <v>MI</v>
      </c>
      <c r="L766" s="4"/>
      <c r="M766" s="86" t="str">
        <f>VLOOKUP(G766,[1]Hoja1!$A:$O,15,0)</f>
        <v xml:space="preserve">GONANO, GERMAN </v>
      </c>
      <c r="N766" s="2" t="str">
        <f t="shared" si="153"/>
        <v>5°5°5ITELEIMI</v>
      </c>
      <c r="O766" s="2"/>
      <c r="P766" s="2" t="str">
        <f>VLOOKUP(G766,[1]Hoja1!$A:$P,16,0)</f>
        <v xml:space="preserve"> </v>
      </c>
      <c r="Q766" s="2"/>
      <c r="S766">
        <f>VLOOKUP(G766,[1]Hoja1!$A:$O,5,0)</f>
        <v>1643761</v>
      </c>
      <c r="U766" s="45" t="s">
        <v>2751</v>
      </c>
      <c r="V766" s="46">
        <f t="shared" si="146"/>
        <v>1643761</v>
      </c>
      <c r="W766" s="47" t="s">
        <v>1519</v>
      </c>
      <c r="X766" s="46" t="str">
        <f t="shared" si="147"/>
        <v>4</v>
      </c>
      <c r="Y766" s="47" t="s">
        <v>1518</v>
      </c>
      <c r="Z766" s="46" t="str">
        <f t="shared" si="148"/>
        <v>V</v>
      </c>
      <c r="AA766" s="47" t="s">
        <v>2752</v>
      </c>
      <c r="AB766" s="46" t="str">
        <f t="shared" si="149"/>
        <v>MIERCOLES</v>
      </c>
      <c r="AC766" s="47" t="s">
        <v>2753</v>
      </c>
      <c r="AD766">
        <f t="shared" si="150"/>
        <v>0</v>
      </c>
      <c r="AE766" s="47" t="s">
        <v>2754</v>
      </c>
      <c r="AH766" t="str">
        <f t="shared" si="151"/>
        <v>INSERT INTO horario_curso_materia (horario_curso_materia.FK_CUR_mat,horario_curso_materia.FK_HOR,horario_curso_materia.DIA,horario_curso_materia.tipo_turno) VALUES (  (SELECT curso_materia.ID_CUR_MAT FROM curso_materia WHERE curso_materia.CUPOF='1643761' ) ,
    (SELECT horario.ID_HOR FROM horario WHERE horario.modulo='4 ' and horario.turno='V ' ),'MIERCOLES ' , '0 ' );</v>
      </c>
    </row>
    <row r="767" spans="1:34" ht="15" hidden="1" customHeight="1" x14ac:dyDescent="0.3">
      <c r="A767" s="1" t="str">
        <f t="shared" si="152"/>
        <v>5°5°</v>
      </c>
      <c r="B767" s="54" t="str">
        <f t="shared" si="139"/>
        <v>5°5°4VIVESPERTINO0</v>
      </c>
      <c r="C767" s="62">
        <f>VLOOKUP(G767,[1]Hoja1!$A:$O,3,0)</f>
        <v>0</v>
      </c>
      <c r="D767" s="2" t="str">
        <f t="shared" si="145"/>
        <v>4VIV</v>
      </c>
      <c r="E767" s="62" t="s">
        <v>36</v>
      </c>
      <c r="F767" s="62" t="s">
        <v>125</v>
      </c>
      <c r="G767" s="62" t="s">
        <v>1370</v>
      </c>
      <c r="H767" s="8" t="str">
        <f>VLOOKUP(G767,[1]Hoja1!$A:$O,6,0)</f>
        <v>TELEINFORMATICA</v>
      </c>
      <c r="I767" s="4"/>
      <c r="J767" s="4"/>
      <c r="K767" s="80" t="str">
        <f t="shared" si="154"/>
        <v>VI</v>
      </c>
      <c r="L767" s="4"/>
      <c r="M767" s="86" t="str">
        <f>VLOOKUP(G767,[1]Hoja1!$A:$O,15,0)</f>
        <v xml:space="preserve">GONANO, GERMAN </v>
      </c>
      <c r="N767" s="2" t="str">
        <f t="shared" si="153"/>
        <v>5°5°5ITELEIVI</v>
      </c>
      <c r="O767" s="2"/>
      <c r="P767" s="2" t="str">
        <f>VLOOKUP(G767,[1]Hoja1!$A:$P,16,0)</f>
        <v xml:space="preserve"> </v>
      </c>
      <c r="Q767" s="2"/>
      <c r="S767">
        <f>VLOOKUP(G767,[1]Hoja1!$A:$O,5,0)</f>
        <v>1643761</v>
      </c>
      <c r="U767" s="45" t="s">
        <v>2751</v>
      </c>
      <c r="V767" s="46">
        <f t="shared" si="146"/>
        <v>1643761</v>
      </c>
      <c r="W767" s="47" t="s">
        <v>1519</v>
      </c>
      <c r="X767" s="46" t="str">
        <f t="shared" si="147"/>
        <v>4</v>
      </c>
      <c r="Y767" s="47" t="s">
        <v>1518</v>
      </c>
      <c r="Z767" s="46" t="str">
        <f t="shared" si="148"/>
        <v>V</v>
      </c>
      <c r="AA767" s="47" t="s">
        <v>2752</v>
      </c>
      <c r="AB767" s="46" t="str">
        <f t="shared" si="149"/>
        <v>VIERNES</v>
      </c>
      <c r="AC767" s="47" t="s">
        <v>2753</v>
      </c>
      <c r="AD767">
        <f t="shared" si="150"/>
        <v>0</v>
      </c>
      <c r="AE767" s="47" t="s">
        <v>2754</v>
      </c>
      <c r="AH767" t="str">
        <f t="shared" si="151"/>
        <v>INSERT INTO horario_curso_materia (horario_curso_materia.FK_CUR_mat,horario_curso_materia.FK_HOR,horario_curso_materia.DIA,horario_curso_materia.tipo_turno) VALUES (  (SELECT curso_materia.ID_CUR_MAT FROM curso_materia WHERE curso_materia.CUPOF='1643761' ) ,
    (SELECT horario.ID_HOR FROM horario WHERE horario.modulo='4 ' and horario.turno='V ' ),'VIERNES ' , '0 ' );</v>
      </c>
    </row>
    <row r="768" spans="1:34" ht="15" hidden="1" customHeight="1" x14ac:dyDescent="0.3">
      <c r="A768" s="1" t="str">
        <f t="shared" si="152"/>
        <v>5°5°</v>
      </c>
      <c r="B768" s="54" t="str">
        <f t="shared" si="139"/>
        <v>5°5°PREHORAVIVESPERTINO0</v>
      </c>
      <c r="C768" s="62">
        <f>VLOOKUP(G768,[1]Hoja1!$A:$O,3,0)</f>
        <v>0</v>
      </c>
      <c r="D768" s="2" t="str">
        <f t="shared" si="145"/>
        <v>PREHORAVIV</v>
      </c>
      <c r="E768" s="62" t="s">
        <v>67</v>
      </c>
      <c r="F768" s="62" t="s">
        <v>125</v>
      </c>
      <c r="G768" s="62" t="s">
        <v>1372</v>
      </c>
      <c r="H768" s="8" t="str">
        <f>VLOOKUP(G768,[1]Hoja1!$A:$O,6,0)</f>
        <v>HISTORIA</v>
      </c>
      <c r="I768" s="4"/>
      <c r="J768" s="4"/>
      <c r="K768" s="80" t="str">
        <f t="shared" si="154"/>
        <v>VI</v>
      </c>
      <c r="L768" s="4"/>
      <c r="M768" s="86" t="str">
        <f>VLOOKUP(G768,[1]Hoja1!$A:$O,15,0)</f>
        <v xml:space="preserve">GERSTER MYRIAN   INT206           </v>
      </c>
      <c r="N768" s="2" t="str">
        <f t="shared" si="153"/>
        <v>5°5°5IHIS5VI</v>
      </c>
      <c r="O768" s="2"/>
      <c r="P768" s="2" t="str">
        <f>VLOOKUP(G768,[1]Hoja1!$A:$P,16,0)</f>
        <v xml:space="preserve"> </v>
      </c>
      <c r="Q768" s="2"/>
      <c r="S768">
        <f>VLOOKUP(G768,[1]Hoja1!$A:$O,5,0)</f>
        <v>1643750</v>
      </c>
      <c r="U768" s="45" t="s">
        <v>2751</v>
      </c>
      <c r="V768" s="46">
        <f t="shared" si="146"/>
        <v>1643750</v>
      </c>
      <c r="W768" s="47" t="s">
        <v>1519</v>
      </c>
      <c r="X768" s="46" t="str">
        <f t="shared" si="147"/>
        <v>prehora</v>
      </c>
      <c r="Y768" s="47" t="s">
        <v>1518</v>
      </c>
      <c r="Z768" s="46" t="str">
        <f t="shared" si="148"/>
        <v>V</v>
      </c>
      <c r="AA768" s="47" t="s">
        <v>2752</v>
      </c>
      <c r="AB768" s="46" t="str">
        <f t="shared" si="149"/>
        <v>VIERNES</v>
      </c>
      <c r="AC768" s="47" t="s">
        <v>2753</v>
      </c>
      <c r="AD768">
        <f t="shared" si="150"/>
        <v>0</v>
      </c>
      <c r="AE768" s="47" t="s">
        <v>2754</v>
      </c>
      <c r="AH768" t="str">
        <f t="shared" si="151"/>
        <v>INSERT INTO horario_curso_materia (horario_curso_materia.FK_CUR_mat,horario_curso_materia.FK_HOR,horario_curso_materia.DIA,horario_curso_materia.tipo_turno) VALUES (  (SELECT curso_materia.ID_CUR_MAT FROM curso_materia WHERE curso_materia.CUPOF='1643750' ) ,
    (SELECT horario.ID_HOR FROM horario WHERE horario.modulo='prehora ' and horario.turno='V ' ),'VIERNES ' , '0 ' );</v>
      </c>
    </row>
    <row r="769" spans="1:34" ht="14.25" hidden="1" customHeight="1" x14ac:dyDescent="0.3">
      <c r="A769" s="1" t="str">
        <f t="shared" si="152"/>
        <v>5°3°</v>
      </c>
      <c r="B769" s="54" t="str">
        <f t="shared" si="139"/>
        <v>5°3°1JUMAÑANA531</v>
      </c>
      <c r="C769" s="62">
        <f>VLOOKUP(G769,[1]Hoja1!$A:$O,3,0)</f>
        <v>531</v>
      </c>
      <c r="D769" s="2" t="str">
        <f t="shared" si="145"/>
        <v>1JUM45</v>
      </c>
      <c r="E769" s="62" t="s">
        <v>43</v>
      </c>
      <c r="F769" s="62" t="s">
        <v>27</v>
      </c>
      <c r="G769" s="62" t="s">
        <v>182</v>
      </c>
      <c r="H769" s="8" t="str">
        <f>VLOOKUP(G769,[1]Hoja1!$A:$O,6,0)</f>
        <v>APLIC ELECTR DIGITAL</v>
      </c>
      <c r="I769" s="4">
        <v>45</v>
      </c>
      <c r="J769" s="4"/>
      <c r="K769" s="80" t="str">
        <f t="shared" si="154"/>
        <v>JU</v>
      </c>
      <c r="L769" s="4" t="s">
        <v>512</v>
      </c>
      <c r="M769" s="86" t="str">
        <f>VLOOKUP(G769,[1]Hoja1!$A:$O,15,0)</f>
        <v>SERENO, LEONEL</v>
      </c>
      <c r="N769" s="2" t="str">
        <f t="shared" si="153"/>
        <v>5°3°5315EFTED5JU</v>
      </c>
      <c r="O769" s="2"/>
      <c r="P769" s="2" t="str">
        <f>VLOOKUP(G769,[1]Hoja1!$A:$P,16,0)</f>
        <v xml:space="preserve"> </v>
      </c>
      <c r="Q769" s="2"/>
      <c r="S769">
        <f>VLOOKUP(G769,[1]Hoja1!$A:$O,5,0)</f>
        <v>2355564</v>
      </c>
      <c r="U769" s="45" t="s">
        <v>2751</v>
      </c>
      <c r="V769" s="46">
        <f t="shared" si="146"/>
        <v>2355564</v>
      </c>
      <c r="W769" s="47" t="s">
        <v>1519</v>
      </c>
      <c r="X769" s="46" t="str">
        <f t="shared" si="147"/>
        <v>1</v>
      </c>
      <c r="Y769" s="47" t="s">
        <v>1518</v>
      </c>
      <c r="Z769" s="46" t="str">
        <f t="shared" si="148"/>
        <v>M</v>
      </c>
      <c r="AA769" s="47" t="s">
        <v>2752</v>
      </c>
      <c r="AB769" s="46" t="str">
        <f t="shared" si="149"/>
        <v>JUEVES</v>
      </c>
      <c r="AC769" s="47" t="s">
        <v>2753</v>
      </c>
      <c r="AD769" t="str">
        <f t="shared" si="150"/>
        <v>CONTRATURNO</v>
      </c>
      <c r="AE769" s="47" t="s">
        <v>2754</v>
      </c>
      <c r="AH769" t="str">
        <f t="shared" si="151"/>
        <v>INSERT INTO horario_curso_materia (horario_curso_materia.FK_CUR_mat,horario_curso_materia.FK_HOR,horario_curso_materia.DIA,horario_curso_materia.tipo_turno) VALUES (  (SELECT curso_materia.ID_CUR_MAT FROM curso_materia WHERE curso_materia.CUPOF='2355564' ) ,
    (SELECT horario.ID_HOR FROM horario WHERE horario.modulo='1 ' and horario.turno='M ' ),'JUEVES ' , 'CONTRATURNO ' );</v>
      </c>
    </row>
    <row r="770" spans="1:34" ht="14.25" hidden="1" customHeight="1" x14ac:dyDescent="0.3">
      <c r="A770" s="1" t="str">
        <f t="shared" si="152"/>
        <v>5°3°</v>
      </c>
      <c r="B770" s="54" t="str">
        <f t="shared" ref="B770:B833" si="155">CONCATENATE(LEFT(G770,4),E770,F770,C770)</f>
        <v>5°3°1JUMAÑANA532</v>
      </c>
      <c r="C770" s="62">
        <f>VLOOKUP(G770,[1]Hoja1!$A:$O,3,0)</f>
        <v>532</v>
      </c>
      <c r="D770" s="2" t="str">
        <f t="shared" si="145"/>
        <v>1JUM46</v>
      </c>
      <c r="E770" s="62" t="s">
        <v>43</v>
      </c>
      <c r="F770" s="62" t="s">
        <v>27</v>
      </c>
      <c r="G770" s="62" t="s">
        <v>183</v>
      </c>
      <c r="H770" s="8" t="str">
        <f>VLOOKUP(G770,[1]Hoja1!$A:$O,6,0)</f>
        <v>APLIC ELECTR DIGITAL</v>
      </c>
      <c r="I770" s="4">
        <v>46</v>
      </c>
      <c r="J770" s="4"/>
      <c r="K770" s="80" t="str">
        <f t="shared" si="154"/>
        <v>JU</v>
      </c>
      <c r="L770" s="4" t="s">
        <v>512</v>
      </c>
      <c r="M770" s="86" t="str">
        <f>VLOOKUP(G770,[1]Hoja1!$A:$O,15,0)</f>
        <v xml:space="preserve">FISTER VICTOR </v>
      </c>
      <c r="N770" s="2" t="str">
        <f t="shared" si="153"/>
        <v>5°3°5325EFTED5JU</v>
      </c>
      <c r="O770" s="2"/>
      <c r="P770" s="2" t="str">
        <f>VLOOKUP(G770,[1]Hoja1!$A:$P,16,0)</f>
        <v xml:space="preserve"> </v>
      </c>
      <c r="Q770" s="2"/>
      <c r="S770">
        <f>VLOOKUP(G770,[1]Hoja1!$A:$O,5,0)</f>
        <v>2355572</v>
      </c>
      <c r="U770" s="45" t="s">
        <v>2751</v>
      </c>
      <c r="V770" s="46">
        <f t="shared" si="146"/>
        <v>2355572</v>
      </c>
      <c r="W770" s="47" t="s">
        <v>1519</v>
      </c>
      <c r="X770" s="46" t="str">
        <f t="shared" si="147"/>
        <v>1</v>
      </c>
      <c r="Y770" s="47" t="s">
        <v>1518</v>
      </c>
      <c r="Z770" s="46" t="str">
        <f t="shared" si="148"/>
        <v>M</v>
      </c>
      <c r="AA770" s="47" t="s">
        <v>2752</v>
      </c>
      <c r="AB770" s="46" t="str">
        <f t="shared" si="149"/>
        <v>JUEVES</v>
      </c>
      <c r="AC770" s="47" t="s">
        <v>2753</v>
      </c>
      <c r="AD770" t="str">
        <f t="shared" si="150"/>
        <v>CONTRATURNO</v>
      </c>
      <c r="AE770" s="47" t="s">
        <v>2754</v>
      </c>
      <c r="AH770" t="str">
        <f t="shared" si="151"/>
        <v>INSERT INTO horario_curso_materia (horario_curso_materia.FK_CUR_mat,horario_curso_materia.FK_HOR,horario_curso_materia.DIA,horario_curso_materia.tipo_turno) VALUES (  (SELECT curso_materia.ID_CUR_MAT FROM curso_materia WHERE curso_materia.CUPOF='2355572' ) ,
    (SELECT horario.ID_HOR FROM horario WHERE horario.modulo='1 ' and horario.turno='M ' ),'JUEVES ' , 'CONTRATURNO ' );</v>
      </c>
    </row>
    <row r="771" spans="1:34" s="16" customFormat="1" ht="15" hidden="1" customHeight="1" x14ac:dyDescent="0.3">
      <c r="A771" s="1" t="str">
        <f t="shared" si="152"/>
        <v>5°3°</v>
      </c>
      <c r="B771" s="54" t="str">
        <f t="shared" si="155"/>
        <v>5°3°1MIVESPERTINO0</v>
      </c>
      <c r="C771" s="62">
        <f>VLOOKUP(G771,[1]Hoja1!$A:$O,3,0)</f>
        <v>0</v>
      </c>
      <c r="D771" s="2" t="str">
        <f t="shared" si="145"/>
        <v>1MIV</v>
      </c>
      <c r="E771" s="63" t="s">
        <v>24</v>
      </c>
      <c r="F771" s="62" t="s">
        <v>125</v>
      </c>
      <c r="G771" s="62" t="s">
        <v>249</v>
      </c>
      <c r="H771" s="8" t="str">
        <f>VLOOKUP(G771,[1]Hoja1!$A:$O,6,0)</f>
        <v>ANALISIS DE LOS MODELOS CIRCUITALES</v>
      </c>
      <c r="I771" s="4"/>
      <c r="J771" s="4"/>
      <c r="K771" s="80" t="str">
        <f t="shared" si="154"/>
        <v>MI</v>
      </c>
      <c r="L771" s="4"/>
      <c r="M771" s="86" t="str">
        <f>VLOOKUP(G771,[1]Hoja1!$A:$O,15,0)</f>
        <v xml:space="preserve">ATAMAÑUK, FLORENCIA </v>
      </c>
      <c r="N771" s="2" t="str">
        <f t="shared" si="153"/>
        <v>5°3°5EAMCMI</v>
      </c>
      <c r="O771" s="2"/>
      <c r="P771" s="2" t="str">
        <f>VLOOKUP(G771,[1]Hoja1!$A:$P,16,0)</f>
        <v xml:space="preserve"> </v>
      </c>
      <c r="Q771" s="2"/>
      <c r="R771" s="7"/>
      <c r="S771">
        <f>VLOOKUP(G771,[1]Hoja1!$A:$O,5,0)</f>
        <v>2355546</v>
      </c>
      <c r="T771"/>
      <c r="U771" s="45" t="s">
        <v>2751</v>
      </c>
      <c r="V771" s="46">
        <f t="shared" si="146"/>
        <v>2355546</v>
      </c>
      <c r="W771" s="47" t="s">
        <v>1519</v>
      </c>
      <c r="X771" s="46" t="str">
        <f t="shared" si="147"/>
        <v>1</v>
      </c>
      <c r="Y771" s="47" t="s">
        <v>1518</v>
      </c>
      <c r="Z771" s="46" t="str">
        <f t="shared" si="148"/>
        <v>V</v>
      </c>
      <c r="AA771" s="47" t="s">
        <v>2752</v>
      </c>
      <c r="AB771" s="46" t="str">
        <f t="shared" si="149"/>
        <v>MIERCOLES</v>
      </c>
      <c r="AC771" s="47" t="s">
        <v>2753</v>
      </c>
      <c r="AD771">
        <f t="shared" si="150"/>
        <v>0</v>
      </c>
      <c r="AE771" s="47" t="s">
        <v>2754</v>
      </c>
      <c r="AF771"/>
      <c r="AG771"/>
      <c r="AH771" t="str">
        <f t="shared" si="151"/>
        <v>INSERT INTO horario_curso_materia (horario_curso_materia.FK_CUR_mat,horario_curso_materia.FK_HOR,horario_curso_materia.DIA,horario_curso_materia.tipo_turno) VALUES (  (SELECT curso_materia.ID_CUR_MAT FROM curso_materia WHERE curso_materia.CUPOF='2355546' ) ,
    (SELECT horario.ID_HOR FROM horario WHERE horario.modulo='1 ' and horario.turno='V ' ),'MIERCOLES ' , '0 ' );</v>
      </c>
    </row>
    <row r="772" spans="1:34" ht="15" hidden="1" customHeight="1" x14ac:dyDescent="0.3">
      <c r="A772" s="1" t="str">
        <f t="shared" si="152"/>
        <v>5°3°</v>
      </c>
      <c r="B772" s="54" t="str">
        <f t="shared" si="155"/>
        <v>5°3°1LUVESPERTINO0</v>
      </c>
      <c r="C772" s="62">
        <f>VLOOKUP(G772,[1]Hoja1!$A:$O,3,0)</f>
        <v>0</v>
      </c>
      <c r="D772" s="2" t="str">
        <f t="shared" si="145"/>
        <v>1LUV</v>
      </c>
      <c r="E772" s="62" t="s">
        <v>9</v>
      </c>
      <c r="F772" s="62" t="s">
        <v>125</v>
      </c>
      <c r="G772" s="62" t="s">
        <v>243</v>
      </c>
      <c r="H772" s="8" t="str">
        <f>VLOOKUP(G772,[1]Hoja1!$A:$O,6,0)</f>
        <v>LENGUAJES ELECTRONICOS</v>
      </c>
      <c r="I772" s="4"/>
      <c r="J772" s="4"/>
      <c r="K772" s="80" t="str">
        <f t="shared" si="154"/>
        <v>LU</v>
      </c>
      <c r="L772" s="4"/>
      <c r="M772" s="86" t="str">
        <f>VLOOKUP(G772,[1]Hoja1!$A:$O,15,0)</f>
        <v>BARBOZA, SILVIO</v>
      </c>
      <c r="N772" s="2" t="str">
        <f t="shared" si="153"/>
        <v>5°3°5ELENELU</v>
      </c>
      <c r="O772" s="2"/>
      <c r="P772" s="2" t="str">
        <f>VLOOKUP(G772,[1]Hoja1!$A:$P,16,0)</f>
        <v xml:space="preserve"> </v>
      </c>
      <c r="Q772" s="2"/>
      <c r="S772">
        <f>VLOOKUP(G772,[1]Hoja1!$A:$O,5,0)</f>
        <v>2355548</v>
      </c>
      <c r="U772" s="45" t="s">
        <v>2751</v>
      </c>
      <c r="V772" s="46">
        <f t="shared" si="146"/>
        <v>2355548</v>
      </c>
      <c r="W772" s="47" t="s">
        <v>1519</v>
      </c>
      <c r="X772" s="46" t="str">
        <f t="shared" si="147"/>
        <v>1</v>
      </c>
      <c r="Y772" s="47" t="s">
        <v>1518</v>
      </c>
      <c r="Z772" s="46" t="str">
        <f t="shared" si="148"/>
        <v>V</v>
      </c>
      <c r="AA772" s="47" t="s">
        <v>2752</v>
      </c>
      <c r="AB772" s="46" t="str">
        <f t="shared" si="149"/>
        <v>LUNES</v>
      </c>
      <c r="AC772" s="47" t="s">
        <v>2753</v>
      </c>
      <c r="AD772">
        <f t="shared" si="150"/>
        <v>0</v>
      </c>
      <c r="AE772" s="47" t="s">
        <v>2754</v>
      </c>
      <c r="AH772" t="str">
        <f t="shared" si="151"/>
        <v>INSERT INTO horario_curso_materia (horario_curso_materia.FK_CUR_mat,horario_curso_materia.FK_HOR,horario_curso_materia.DIA,horario_curso_materia.tipo_turno) VALUES (  (SELECT curso_materia.ID_CUR_MAT FROM curso_materia WHERE curso_materia.CUPOF='2355548' ) ,
    (SELECT horario.ID_HOR FROM horario WHERE horario.modulo='1 ' and horario.turno='V ' ),'LUNES ' , '0 ' );</v>
      </c>
    </row>
    <row r="773" spans="1:34" ht="15" hidden="1" customHeight="1" x14ac:dyDescent="0.3">
      <c r="A773" s="1" t="str">
        <f t="shared" si="152"/>
        <v>5°3°</v>
      </c>
      <c r="B773" s="54" t="str">
        <f t="shared" si="155"/>
        <v>5°3°1MAMAÑANA531</v>
      </c>
      <c r="C773" s="62">
        <f>VLOOKUP(G773,[1]Hoja1!$A:$O,3,0)</f>
        <v>531</v>
      </c>
      <c r="D773" s="2" t="str">
        <f t="shared" si="145"/>
        <v>1MAM52</v>
      </c>
      <c r="E773" s="62" t="s">
        <v>17</v>
      </c>
      <c r="F773" s="62" t="s">
        <v>27</v>
      </c>
      <c r="G773" s="62" t="s">
        <v>179</v>
      </c>
      <c r="H773" s="8" t="str">
        <f>VLOOKUP(G773,[1]Hoja1!$A:$O,6,0)</f>
        <v xml:space="preserve">MONTAJE DE PROYECTO ELECTRONICOS </v>
      </c>
      <c r="I773" s="4">
        <v>52</v>
      </c>
      <c r="J773" s="4"/>
      <c r="K773" s="80" t="str">
        <f t="shared" si="154"/>
        <v>MA</v>
      </c>
      <c r="L773" s="4" t="s">
        <v>512</v>
      </c>
      <c r="M773" s="86" t="str">
        <f>VLOOKUP(G773,[1]Hoja1!$A:$O,15,0)</f>
        <v>SCHROEDER MATÍAS</v>
      </c>
      <c r="N773" s="2" t="str">
        <f t="shared" si="153"/>
        <v>5°3°5315EFTMP5MA</v>
      </c>
      <c r="O773" s="2"/>
      <c r="P773" s="2" t="str">
        <f>VLOOKUP(G773,[1]Hoja1!$A:$P,16,0)</f>
        <v xml:space="preserve"> </v>
      </c>
      <c r="Q773" s="2"/>
      <c r="S773">
        <f>VLOOKUP(G773,[1]Hoja1!$A:$O,5,0)</f>
        <v>2355566</v>
      </c>
      <c r="U773" s="45" t="s">
        <v>2751</v>
      </c>
      <c r="V773" s="46">
        <f t="shared" si="146"/>
        <v>2355566</v>
      </c>
      <c r="W773" s="47" t="s">
        <v>1519</v>
      </c>
      <c r="X773" s="46" t="str">
        <f t="shared" si="147"/>
        <v>1</v>
      </c>
      <c r="Y773" s="47" t="s">
        <v>1518</v>
      </c>
      <c r="Z773" s="46" t="str">
        <f t="shared" si="148"/>
        <v>M</v>
      </c>
      <c r="AA773" s="47" t="s">
        <v>2752</v>
      </c>
      <c r="AB773" s="46" t="str">
        <f t="shared" si="149"/>
        <v>MARTES</v>
      </c>
      <c r="AC773" s="47" t="s">
        <v>2753</v>
      </c>
      <c r="AD773" t="str">
        <f t="shared" si="150"/>
        <v>CONTRATURNO</v>
      </c>
      <c r="AE773" s="47" t="s">
        <v>2754</v>
      </c>
      <c r="AH773" t="str">
        <f t="shared" si="151"/>
        <v>INSERT INTO horario_curso_materia (horario_curso_materia.FK_CUR_mat,horario_curso_materia.FK_HOR,horario_curso_materia.DIA,horario_curso_materia.tipo_turno) VALUES (  (SELECT curso_materia.ID_CUR_MAT FROM curso_materia WHERE curso_materia.CUPOF='2355566' ) ,
    (SELECT horario.ID_HOR FROM horario WHERE horario.modulo='1 ' and horario.turno='M ' ),'MARTES ' , 'CONTRATURNO ' );</v>
      </c>
    </row>
    <row r="774" spans="1:34" ht="15" hidden="1" customHeight="1" x14ac:dyDescent="0.3">
      <c r="A774" s="1" t="str">
        <f t="shared" si="152"/>
        <v>5°3°</v>
      </c>
      <c r="B774" s="54" t="str">
        <f t="shared" si="155"/>
        <v>5°3°1MAMAÑANA532</v>
      </c>
      <c r="C774" s="62">
        <f>VLOOKUP(G774,[1]Hoja1!$A:$O,3,0)</f>
        <v>532</v>
      </c>
      <c r="D774" s="2" t="str">
        <f t="shared" si="145"/>
        <v>1MAM46</v>
      </c>
      <c r="E774" s="62" t="s">
        <v>17</v>
      </c>
      <c r="F774" s="62" t="s">
        <v>27</v>
      </c>
      <c r="G774" s="62" t="s">
        <v>180</v>
      </c>
      <c r="H774" s="8" t="str">
        <f>VLOOKUP(G774,[1]Hoja1!$A:$O,6,0)</f>
        <v xml:space="preserve">APLIC ELECT ANALOG </v>
      </c>
      <c r="I774" s="4">
        <v>46</v>
      </c>
      <c r="J774" s="4"/>
      <c r="K774" s="80" t="str">
        <f t="shared" si="154"/>
        <v>MA</v>
      </c>
      <c r="L774" s="4" t="s">
        <v>512</v>
      </c>
      <c r="M774" s="86" t="str">
        <f>VLOOKUP(G774,[1]Hoja1!$A:$O,15,0)</f>
        <v xml:space="preserve">ESCALADA ARNALDO     </v>
      </c>
      <c r="N774" s="2" t="str">
        <f t="shared" si="153"/>
        <v>5°3°5325EFTAE5MA</v>
      </c>
      <c r="O774" s="2"/>
      <c r="P774" s="2" t="str">
        <f>VLOOKUP(G774,[1]Hoja1!$A:$P,16,0)</f>
        <v xml:space="preserve"> </v>
      </c>
      <c r="Q774" s="2"/>
      <c r="S774">
        <f>VLOOKUP(G774,[1]Hoja1!$A:$O,5,0)</f>
        <v>2355569</v>
      </c>
      <c r="U774" s="45" t="s">
        <v>2751</v>
      </c>
      <c r="V774" s="46">
        <f t="shared" si="146"/>
        <v>2355569</v>
      </c>
      <c r="W774" s="47" t="s">
        <v>1519</v>
      </c>
      <c r="X774" s="46" t="str">
        <f t="shared" si="147"/>
        <v>1</v>
      </c>
      <c r="Y774" s="47" t="s">
        <v>1518</v>
      </c>
      <c r="Z774" s="46" t="str">
        <f t="shared" si="148"/>
        <v>M</v>
      </c>
      <c r="AA774" s="47" t="s">
        <v>2752</v>
      </c>
      <c r="AB774" s="46" t="str">
        <f t="shared" si="149"/>
        <v>MARTES</v>
      </c>
      <c r="AC774" s="47" t="s">
        <v>2753</v>
      </c>
      <c r="AD774" t="str">
        <f t="shared" si="150"/>
        <v>CONTRATURNO</v>
      </c>
      <c r="AE774" s="47" t="s">
        <v>2754</v>
      </c>
      <c r="AH774" t="str">
        <f t="shared" si="151"/>
        <v>INSERT INTO horario_curso_materia (horario_curso_materia.FK_CUR_mat,horario_curso_materia.FK_HOR,horario_curso_materia.DIA,horario_curso_materia.tipo_turno) VALUES (  (SELECT curso_materia.ID_CUR_MAT FROM curso_materia WHERE curso_materia.CUPOF='2355569' ) ,
    (SELECT horario.ID_HOR FROM horario WHERE horario.modulo='1 ' and horario.turno='M ' ),'MARTES ' , 'CONTRATURNO ' );</v>
      </c>
    </row>
    <row r="775" spans="1:34" ht="15" hidden="1" customHeight="1" x14ac:dyDescent="0.3">
      <c r="A775" s="1" t="str">
        <f t="shared" si="152"/>
        <v>5°3°</v>
      </c>
      <c r="B775" s="54" t="str">
        <f t="shared" si="155"/>
        <v>5°3°3VIVESPERTINO0</v>
      </c>
      <c r="C775" s="62">
        <f>VLOOKUP(G775,[1]Hoja1!$A:$O,3,0)</f>
        <v>0</v>
      </c>
      <c r="D775" s="2" t="str">
        <f t="shared" si="145"/>
        <v>3VIV</v>
      </c>
      <c r="E775" s="62" t="s">
        <v>35</v>
      </c>
      <c r="F775" s="62" t="s">
        <v>125</v>
      </c>
      <c r="G775" s="62" t="s">
        <v>248</v>
      </c>
      <c r="H775" s="8" t="str">
        <f>VLOOKUP(G775,[1]Hoja1!$A:$O,6,0)</f>
        <v>POLITICA Y CIUDADANIA</v>
      </c>
      <c r="I775" s="4"/>
      <c r="J775" s="4"/>
      <c r="K775" s="80" t="str">
        <f t="shared" si="154"/>
        <v>VI</v>
      </c>
      <c r="L775" s="4"/>
      <c r="M775" s="86" t="str">
        <f>VLOOKUP(G775,[1]Hoja1!$A:$O,15,0)</f>
        <v xml:space="preserve">PALACIOS GUSTAVO </v>
      </c>
      <c r="N775" s="2" t="str">
        <f t="shared" si="153"/>
        <v>5°3°5EPYCSVI</v>
      </c>
      <c r="O775" s="2" t="s">
        <v>558</v>
      </c>
      <c r="P775" s="2" t="str">
        <f>VLOOKUP(G775,[1]Hoja1!$A:$P,16,0)</f>
        <v xml:space="preserve"> </v>
      </c>
      <c r="Q775" s="2"/>
      <c r="S775">
        <f>VLOOKUP(G775,[1]Hoja1!$A:$O,5,0)</f>
        <v>2355532</v>
      </c>
      <c r="U775" s="45" t="s">
        <v>2751</v>
      </c>
      <c r="V775" s="46">
        <f t="shared" si="146"/>
        <v>2355532</v>
      </c>
      <c r="W775" s="47" t="s">
        <v>1519</v>
      </c>
      <c r="X775" s="46" t="str">
        <f t="shared" si="147"/>
        <v>3</v>
      </c>
      <c r="Y775" s="47" t="s">
        <v>1518</v>
      </c>
      <c r="Z775" s="46" t="str">
        <f t="shared" si="148"/>
        <v>V</v>
      </c>
      <c r="AA775" s="47" t="s">
        <v>2752</v>
      </c>
      <c r="AB775" s="46" t="str">
        <f t="shared" si="149"/>
        <v>VIERNES</v>
      </c>
      <c r="AC775" s="47" t="s">
        <v>2753</v>
      </c>
      <c r="AD775">
        <f t="shared" si="150"/>
        <v>0</v>
      </c>
      <c r="AE775" s="47" t="s">
        <v>2754</v>
      </c>
      <c r="AH775" t="str">
        <f t="shared" si="151"/>
        <v>INSERT INTO horario_curso_materia (horario_curso_materia.FK_CUR_mat,horario_curso_materia.FK_HOR,horario_curso_materia.DIA,horario_curso_materia.tipo_turno) VALUES (  (SELECT curso_materia.ID_CUR_MAT FROM curso_materia WHERE curso_materia.CUPOF='2355532' ) ,
    (SELECT horario.ID_HOR FROM horario WHERE horario.modulo='3 ' and horario.turno='V ' ),'VIERNES ' , '0 ' );</v>
      </c>
    </row>
    <row r="776" spans="1:34" ht="15" hidden="1" customHeight="1" x14ac:dyDescent="0.3">
      <c r="A776" s="1" t="str">
        <f t="shared" si="152"/>
        <v>5°3°</v>
      </c>
      <c r="B776" s="54" t="str">
        <f t="shared" si="155"/>
        <v>5°3°1MIMAÑANA532</v>
      </c>
      <c r="C776" s="62">
        <f>VLOOKUP(G776,[1]Hoja1!$A:$O,3,0)</f>
        <v>532</v>
      </c>
      <c r="D776" s="2" t="str">
        <f t="shared" si="145"/>
        <v>1MIM44</v>
      </c>
      <c r="E776" s="62" t="s">
        <v>24</v>
      </c>
      <c r="F776" s="62" t="s">
        <v>27</v>
      </c>
      <c r="G776" s="62" t="s">
        <v>181</v>
      </c>
      <c r="H776" s="8" t="str">
        <f>VLOOKUP(G776,[1]Hoja1!$A:$O,6,0)</f>
        <v xml:space="preserve">MONTAJE DE PROYECTO ELECTRONICOS </v>
      </c>
      <c r="I776" s="4">
        <v>44</v>
      </c>
      <c r="J776" s="4"/>
      <c r="K776" s="80" t="str">
        <f t="shared" si="154"/>
        <v>MI</v>
      </c>
      <c r="L776" s="4" t="s">
        <v>512</v>
      </c>
      <c r="M776" s="86" t="str">
        <f>VLOOKUP(G776,[1]Hoja1!$A:$O,15,0)</f>
        <v>SERENO, LEONEL</v>
      </c>
      <c r="N776" s="2" t="str">
        <f t="shared" si="153"/>
        <v>5°3°5325EFTMP5MI</v>
      </c>
      <c r="O776" s="2"/>
      <c r="P776" s="2" t="str">
        <f>VLOOKUP(G776,[1]Hoja1!$A:$P,16,0)</f>
        <v xml:space="preserve"> </v>
      </c>
      <c r="Q776" s="2"/>
      <c r="S776">
        <f>VLOOKUP(G776,[1]Hoja1!$A:$O,5,0)</f>
        <v>2355579</v>
      </c>
      <c r="U776" s="45" t="s">
        <v>2751</v>
      </c>
      <c r="V776" s="46">
        <f t="shared" si="146"/>
        <v>2355579</v>
      </c>
      <c r="W776" s="47" t="s">
        <v>1519</v>
      </c>
      <c r="X776" s="46" t="str">
        <f t="shared" si="147"/>
        <v>1</v>
      </c>
      <c r="Y776" s="47" t="s">
        <v>1518</v>
      </c>
      <c r="Z776" s="46" t="str">
        <f t="shared" si="148"/>
        <v>M</v>
      </c>
      <c r="AA776" s="47" t="s">
        <v>2752</v>
      </c>
      <c r="AB776" s="46" t="str">
        <f t="shared" si="149"/>
        <v>MIERCOLES</v>
      </c>
      <c r="AC776" s="47" t="s">
        <v>2753</v>
      </c>
      <c r="AD776" t="str">
        <f t="shared" si="150"/>
        <v>CONTRATURNO</v>
      </c>
      <c r="AE776" s="47" t="s">
        <v>2754</v>
      </c>
      <c r="AH776" t="str">
        <f t="shared" si="151"/>
        <v>INSERT INTO horario_curso_materia (horario_curso_materia.FK_CUR_mat,horario_curso_materia.FK_HOR,horario_curso_materia.DIA,horario_curso_materia.tipo_turno) VALUES (  (SELECT curso_materia.ID_CUR_MAT FROM curso_materia WHERE curso_materia.CUPOF='2355579' ) ,
    (SELECT horario.ID_HOR FROM horario WHERE horario.modulo='1 ' and horario.turno='M ' ),'MIERCOLES ' , 'CONTRATURNO ' );</v>
      </c>
    </row>
    <row r="777" spans="1:34" ht="15" hidden="1" customHeight="1" x14ac:dyDescent="0.3">
      <c r="A777" s="1" t="str">
        <f t="shared" si="152"/>
        <v>5°3°</v>
      </c>
      <c r="B777" s="54" t="str">
        <f t="shared" si="155"/>
        <v>5°3°1JUVESPERTINO0</v>
      </c>
      <c r="C777" s="62">
        <f>VLOOKUP(G777,[1]Hoja1!$A:$O,3,0)</f>
        <v>0</v>
      </c>
      <c r="D777" s="2" t="str">
        <f t="shared" si="145"/>
        <v>1JUV</v>
      </c>
      <c r="E777" s="62" t="s">
        <v>43</v>
      </c>
      <c r="F777" s="62" t="s">
        <v>125</v>
      </c>
      <c r="G777" s="62" t="s">
        <v>245</v>
      </c>
      <c r="H777" s="8" t="str">
        <f>VLOOKUP(G777,[1]Hoja1!$A:$O,6,0)</f>
        <v>ANALISIS MATEMATICO</v>
      </c>
      <c r="I777" s="4"/>
      <c r="J777" s="4"/>
      <c r="K777" s="80" t="str">
        <f t="shared" si="154"/>
        <v>JU</v>
      </c>
      <c r="L777" s="4"/>
      <c r="M777" s="86" t="str">
        <f>VLOOKUP(G777,[1]Hoja1!$A:$O,15,0)</f>
        <v>MAZU LEILA</v>
      </c>
      <c r="N777" s="2" t="str">
        <f t="shared" si="153"/>
        <v>5°3°5EANMATJU</v>
      </c>
      <c r="O777" s="2"/>
      <c r="P777" s="2" t="str">
        <f>VLOOKUP(G777,[1]Hoja1!$A:$P,16,0)</f>
        <v xml:space="preserve"> </v>
      </c>
      <c r="Q777" s="2"/>
      <c r="S777">
        <f>VLOOKUP(G777,[1]Hoja1!$A:$O,5,0)</f>
        <v>2355542</v>
      </c>
      <c r="U777" s="45" t="s">
        <v>2751</v>
      </c>
      <c r="V777" s="46">
        <f t="shared" si="146"/>
        <v>2355542</v>
      </c>
      <c r="W777" s="47" t="s">
        <v>1519</v>
      </c>
      <c r="X777" s="46" t="str">
        <f t="shared" si="147"/>
        <v>1</v>
      </c>
      <c r="Y777" s="47" t="s">
        <v>1518</v>
      </c>
      <c r="Z777" s="46" t="str">
        <f t="shared" si="148"/>
        <v>V</v>
      </c>
      <c r="AA777" s="47" t="s">
        <v>2752</v>
      </c>
      <c r="AB777" s="46" t="str">
        <f t="shared" si="149"/>
        <v>JUEVES</v>
      </c>
      <c r="AC777" s="47" t="s">
        <v>2753</v>
      </c>
      <c r="AD777">
        <f t="shared" si="150"/>
        <v>0</v>
      </c>
      <c r="AE777" s="47" t="s">
        <v>2754</v>
      </c>
      <c r="AH777" t="str">
        <f t="shared" si="151"/>
        <v>INSERT INTO horario_curso_materia (horario_curso_materia.FK_CUR_mat,horario_curso_materia.FK_HOR,horario_curso_materia.DIA,horario_curso_materia.tipo_turno) VALUES (  (SELECT curso_materia.ID_CUR_MAT FROM curso_materia WHERE curso_materia.CUPOF='2355542' ) ,
    (SELECT horario.ID_HOR FROM horario WHERE horario.modulo='1 ' and horario.turno='V ' ),'JUEVES ' , '0 ' );</v>
      </c>
    </row>
    <row r="778" spans="1:34" ht="15" hidden="1" customHeight="1" x14ac:dyDescent="0.3">
      <c r="A778" s="1" t="str">
        <f t="shared" si="152"/>
        <v>5°3°</v>
      </c>
      <c r="B778" s="54" t="str">
        <f t="shared" si="155"/>
        <v>5°3°1VIMAÑANA531</v>
      </c>
      <c r="C778" s="62">
        <f>VLOOKUP(G778,[1]Hoja1!$A:$O,3,0)</f>
        <v>531</v>
      </c>
      <c r="D778" s="2" t="str">
        <f t="shared" si="145"/>
        <v>1VIM45</v>
      </c>
      <c r="E778" s="62" t="s">
        <v>57</v>
      </c>
      <c r="F778" s="62" t="s">
        <v>27</v>
      </c>
      <c r="G778" s="62" t="s">
        <v>184</v>
      </c>
      <c r="H778" s="8" t="str">
        <f>VLOOKUP(G778,[1]Hoja1!$A:$O,6,0)</f>
        <v xml:space="preserve">APLIC ELECT ANALOG </v>
      </c>
      <c r="I778" s="4">
        <v>45</v>
      </c>
      <c r="J778" s="4"/>
      <c r="K778" s="80" t="str">
        <f t="shared" si="154"/>
        <v>VI</v>
      </c>
      <c r="L778" s="4" t="s">
        <v>512</v>
      </c>
      <c r="M778" s="86" t="str">
        <f>VLOOKUP(G778,[1]Hoja1!$A:$O,15,0)</f>
        <v>MARTINEZ, SILVIO</v>
      </c>
      <c r="N778" s="2" t="str">
        <f t="shared" si="153"/>
        <v>5°3°5315EFTAE5VI</v>
      </c>
      <c r="O778" s="2"/>
      <c r="P778" s="2" t="str">
        <f>VLOOKUP(G778,[1]Hoja1!$A:$P,16,0)</f>
        <v xml:space="preserve"> </v>
      </c>
      <c r="Q778" s="2"/>
      <c r="S778">
        <f>VLOOKUP(G778,[1]Hoja1!$A:$O,5,0)</f>
        <v>2355560</v>
      </c>
      <c r="U778" s="45" t="s">
        <v>2751</v>
      </c>
      <c r="V778" s="46">
        <f t="shared" si="146"/>
        <v>2355560</v>
      </c>
      <c r="W778" s="47" t="s">
        <v>1519</v>
      </c>
      <c r="X778" s="46" t="str">
        <f t="shared" si="147"/>
        <v>1</v>
      </c>
      <c r="Y778" s="47" t="s">
        <v>1518</v>
      </c>
      <c r="Z778" s="46" t="str">
        <f t="shared" si="148"/>
        <v>M</v>
      </c>
      <c r="AA778" s="47" t="s">
        <v>2752</v>
      </c>
      <c r="AB778" s="46" t="str">
        <f t="shared" si="149"/>
        <v>VIERNES</v>
      </c>
      <c r="AC778" s="47" t="s">
        <v>2753</v>
      </c>
      <c r="AD778" t="str">
        <f t="shared" si="150"/>
        <v>CONTRATURNO</v>
      </c>
      <c r="AE778" s="47" t="s">
        <v>2754</v>
      </c>
      <c r="AH778" t="str">
        <f t="shared" si="151"/>
        <v>INSERT INTO horario_curso_materia (horario_curso_materia.FK_CUR_mat,horario_curso_materia.FK_HOR,horario_curso_materia.DIA,horario_curso_materia.tipo_turno) VALUES (  (SELECT curso_materia.ID_CUR_MAT FROM curso_materia WHERE curso_materia.CUPOF='2355560' ) ,
    (SELECT horario.ID_HOR FROM horario WHERE horario.modulo='1 ' and horario.turno='M ' ),'VIERNES ' , 'CONTRATURNO ' );</v>
      </c>
    </row>
    <row r="779" spans="1:34" ht="15" hidden="1" customHeight="1" x14ac:dyDescent="0.3">
      <c r="A779" s="1" t="str">
        <f t="shared" si="152"/>
        <v>5°3°</v>
      </c>
      <c r="B779" s="54" t="str">
        <f t="shared" si="155"/>
        <v>5°3°1viMAÑANA532</v>
      </c>
      <c r="C779" s="62">
        <f>VLOOKUP(G779,[1]Hoja1!$A:$O,3,0)</f>
        <v>532</v>
      </c>
      <c r="D779" s="2" t="str">
        <f t="shared" si="145"/>
        <v>1viMrobotica</v>
      </c>
      <c r="E779" s="62" t="s">
        <v>1375</v>
      </c>
      <c r="F779" s="62" t="s">
        <v>27</v>
      </c>
      <c r="G779" s="62" t="s">
        <v>185</v>
      </c>
      <c r="H779" s="8" t="str">
        <f>VLOOKUP(G779,[1]Hoja1!$A:$O,6,0)</f>
        <v xml:space="preserve">DISEÑO ASIST Y SIMUL ELECT </v>
      </c>
      <c r="I779" s="76" t="s">
        <v>2757</v>
      </c>
      <c r="J779" s="4"/>
      <c r="K779" s="80" t="str">
        <f t="shared" si="154"/>
        <v>vi</v>
      </c>
      <c r="L779" s="4" t="s">
        <v>512</v>
      </c>
      <c r="M779" s="86" t="str">
        <f>VLOOKUP(G779,[1]Hoja1!$A:$O,15,0)</f>
        <v>ESCALADA ARNALDO</v>
      </c>
      <c r="N779" s="2" t="str">
        <f t="shared" si="153"/>
        <v>5°3°5325EDASEvi</v>
      </c>
      <c r="O779" s="2"/>
      <c r="P779" s="2" t="str">
        <f>VLOOKUP(G779,[1]Hoja1!$A:$P,16,0)</f>
        <v xml:space="preserve"> </v>
      </c>
      <c r="Q779" s="2"/>
      <c r="S779">
        <f>VLOOKUP(G779,[1]Hoja1!$A:$O,5,0)</f>
        <v>2355568</v>
      </c>
      <c r="U779" s="45" t="s">
        <v>2751</v>
      </c>
      <c r="V779" s="46">
        <f t="shared" si="146"/>
        <v>2355568</v>
      </c>
      <c r="W779" s="47" t="s">
        <v>1519</v>
      </c>
      <c r="X779" s="46" t="str">
        <f t="shared" si="147"/>
        <v>1</v>
      </c>
      <c r="Y779" s="47" t="s">
        <v>1518</v>
      </c>
      <c r="Z779" s="46" t="str">
        <f t="shared" si="148"/>
        <v>M</v>
      </c>
      <c r="AA779" s="47" t="s">
        <v>2752</v>
      </c>
      <c r="AB779" s="46" t="str">
        <f t="shared" si="149"/>
        <v>VIERNES</v>
      </c>
      <c r="AC779" s="47" t="s">
        <v>2753</v>
      </c>
      <c r="AD779" t="str">
        <f t="shared" si="150"/>
        <v>CONTRATURNO</v>
      </c>
      <c r="AE779" s="47" t="s">
        <v>2754</v>
      </c>
      <c r="AH779" t="str">
        <f t="shared" si="151"/>
        <v>INSERT INTO horario_curso_materia (horario_curso_materia.FK_CUR_mat,horario_curso_materia.FK_HOR,horario_curso_materia.DIA,horario_curso_materia.tipo_turno) VALUES (  (SELECT curso_materia.ID_CUR_MAT FROM curso_materia WHERE curso_materia.CUPOF='2355568' ) ,
    (SELECT horario.ID_HOR FROM horario WHERE horario.modulo='1 ' and horario.turno='M ' ),'VIERNES ' , 'CONTRATURNO ' );</v>
      </c>
    </row>
    <row r="780" spans="1:34" ht="15" hidden="1" customHeight="1" x14ac:dyDescent="0.3">
      <c r="A780" s="1" t="str">
        <f t="shared" si="152"/>
        <v>5°3°</v>
      </c>
      <c r="B780" s="54" t="str">
        <f t="shared" si="155"/>
        <v>5°3°1VIVESPERTINO0</v>
      </c>
      <c r="C780" s="62">
        <f>VLOOKUP(G780,[1]Hoja1!$A:$O,3,0)</f>
        <v>0</v>
      </c>
      <c r="D780" s="2" t="str">
        <f t="shared" si="145"/>
        <v>1VIV</v>
      </c>
      <c r="E780" s="62" t="s">
        <v>57</v>
      </c>
      <c r="F780" s="62" t="s">
        <v>125</v>
      </c>
      <c r="G780" s="62" t="s">
        <v>250</v>
      </c>
      <c r="H780" s="8" t="str">
        <f>VLOOKUP(G780,[1]Hoja1!$A:$O,6,0)</f>
        <v>INGLÉS</v>
      </c>
      <c r="I780" s="4"/>
      <c r="J780" s="4"/>
      <c r="K780" s="80" t="str">
        <f t="shared" si="154"/>
        <v>VI</v>
      </c>
      <c r="L780" s="4"/>
      <c r="M780" s="86" t="str">
        <f>VLOOKUP(G780,[1]Hoja1!$A:$O,15,0)</f>
        <v xml:space="preserve">BAIMA KUNTZ MARCELA PAOLA  </v>
      </c>
      <c r="N780" s="2" t="str">
        <f t="shared" si="153"/>
        <v>5°3°5EINGSVI</v>
      </c>
      <c r="O780" s="2"/>
      <c r="P780" s="2" t="str">
        <f>VLOOKUP(G780,[1]Hoja1!$A:$P,16,0)</f>
        <v xml:space="preserve"> </v>
      </c>
      <c r="Q780" s="2"/>
      <c r="S780">
        <f>VLOOKUP(G780,[1]Hoja1!$A:$O,5,0)</f>
        <v>2355524</v>
      </c>
      <c r="U780" s="45" t="s">
        <v>2751</v>
      </c>
      <c r="V780" s="46">
        <f t="shared" si="146"/>
        <v>2355524</v>
      </c>
      <c r="W780" s="47" t="s">
        <v>1519</v>
      </c>
      <c r="X780" s="46" t="str">
        <f t="shared" si="147"/>
        <v>1</v>
      </c>
      <c r="Y780" s="47" t="s">
        <v>1518</v>
      </c>
      <c r="Z780" s="46" t="str">
        <f t="shared" si="148"/>
        <v>V</v>
      </c>
      <c r="AA780" s="47" t="s">
        <v>2752</v>
      </c>
      <c r="AB780" s="46" t="str">
        <f t="shared" si="149"/>
        <v>VIERNES</v>
      </c>
      <c r="AC780" s="47" t="s">
        <v>2753</v>
      </c>
      <c r="AD780">
        <f t="shared" si="150"/>
        <v>0</v>
      </c>
      <c r="AE780" s="47" t="s">
        <v>2754</v>
      </c>
      <c r="AH780" t="str">
        <f t="shared" si="151"/>
        <v>INSERT INTO horario_curso_materia (horario_curso_materia.FK_CUR_mat,horario_curso_materia.FK_HOR,horario_curso_materia.DIA,horario_curso_materia.tipo_turno) VALUES (  (SELECT curso_materia.ID_CUR_MAT FROM curso_materia WHERE curso_materia.CUPOF='2355524' ) ,
    (SELECT horario.ID_HOR FROM horario WHERE horario.modulo='1 ' and horario.turno='V ' ),'VIERNES ' , '0 ' );</v>
      </c>
    </row>
    <row r="781" spans="1:34" ht="14.25" hidden="1" customHeight="1" x14ac:dyDescent="0.3">
      <c r="A781" s="1" t="str">
        <f t="shared" si="152"/>
        <v>5°3°</v>
      </c>
      <c r="B781" s="54" t="str">
        <f t="shared" si="155"/>
        <v>5°3°2JUMAÑANA531</v>
      </c>
      <c r="C781" s="62">
        <f>VLOOKUP(G781,[1]Hoja1!$A:$O,3,0)</f>
        <v>531</v>
      </c>
      <c r="D781" s="2" t="str">
        <f t="shared" si="145"/>
        <v>2JUM45</v>
      </c>
      <c r="E781" s="62" t="s">
        <v>45</v>
      </c>
      <c r="F781" s="62" t="s">
        <v>27</v>
      </c>
      <c r="G781" s="62" t="s">
        <v>182</v>
      </c>
      <c r="H781" s="8" t="str">
        <f>VLOOKUP(G781,[1]Hoja1!$A:$O,6,0)</f>
        <v>APLIC ELECTR DIGITAL</v>
      </c>
      <c r="I781" s="4">
        <v>45</v>
      </c>
      <c r="J781" s="4"/>
      <c r="K781" s="80" t="str">
        <f t="shared" si="154"/>
        <v>JU</v>
      </c>
      <c r="L781" s="4" t="s">
        <v>512</v>
      </c>
      <c r="M781" s="86" t="str">
        <f>VLOOKUP(G781,[1]Hoja1!$A:$O,15,0)</f>
        <v>SERENO, LEONEL</v>
      </c>
      <c r="N781" s="2" t="str">
        <f t="shared" si="153"/>
        <v>5°3°5315EFTED5JU</v>
      </c>
      <c r="O781" s="2"/>
      <c r="P781" s="2" t="str">
        <f>VLOOKUP(G781,[1]Hoja1!$A:$P,16,0)</f>
        <v xml:space="preserve"> </v>
      </c>
      <c r="Q781" s="2"/>
      <c r="S781">
        <f>VLOOKUP(G781,[1]Hoja1!$A:$O,5,0)</f>
        <v>2355564</v>
      </c>
      <c r="U781" s="45" t="s">
        <v>2751</v>
      </c>
      <c r="V781" s="46">
        <f t="shared" si="146"/>
        <v>2355564</v>
      </c>
      <c r="W781" s="47" t="s">
        <v>1519</v>
      </c>
      <c r="X781" s="46" t="str">
        <f t="shared" si="147"/>
        <v>2</v>
      </c>
      <c r="Y781" s="47" t="s">
        <v>1518</v>
      </c>
      <c r="Z781" s="46" t="str">
        <f t="shared" si="148"/>
        <v>M</v>
      </c>
      <c r="AA781" s="47" t="s">
        <v>2752</v>
      </c>
      <c r="AB781" s="46" t="str">
        <f t="shared" si="149"/>
        <v>JUEVES</v>
      </c>
      <c r="AC781" s="47" t="s">
        <v>2753</v>
      </c>
      <c r="AD781" t="str">
        <f t="shared" si="150"/>
        <v>CONTRATURNO</v>
      </c>
      <c r="AE781" s="47" t="s">
        <v>2754</v>
      </c>
      <c r="AH781" t="str">
        <f t="shared" si="151"/>
        <v>INSERT INTO horario_curso_materia (horario_curso_materia.FK_CUR_mat,horario_curso_materia.FK_HOR,horario_curso_materia.DIA,horario_curso_materia.tipo_turno) VALUES (  (SELECT curso_materia.ID_CUR_MAT FROM curso_materia WHERE curso_materia.CUPOF='2355564' ) ,
    (SELECT horario.ID_HOR FROM horario WHERE horario.modulo='2 ' and horario.turno='M ' ),'JUEVES ' , 'CONTRATURNO ' );</v>
      </c>
    </row>
    <row r="782" spans="1:34" ht="14.25" hidden="1" customHeight="1" x14ac:dyDescent="0.3">
      <c r="A782" s="1" t="str">
        <f t="shared" si="152"/>
        <v>5°3°</v>
      </c>
      <c r="B782" s="54" t="str">
        <f t="shared" si="155"/>
        <v>5°3°2JUMAÑANA532</v>
      </c>
      <c r="C782" s="62">
        <f>VLOOKUP(G782,[1]Hoja1!$A:$O,3,0)</f>
        <v>532</v>
      </c>
      <c r="D782" s="2" t="str">
        <f t="shared" si="145"/>
        <v>2JUM46</v>
      </c>
      <c r="E782" s="62" t="s">
        <v>45</v>
      </c>
      <c r="F782" s="62" t="s">
        <v>27</v>
      </c>
      <c r="G782" s="62" t="s">
        <v>183</v>
      </c>
      <c r="H782" s="8" t="str">
        <f>VLOOKUP(G782,[1]Hoja1!$A:$O,6,0)</f>
        <v>APLIC ELECTR DIGITAL</v>
      </c>
      <c r="I782" s="4">
        <v>46</v>
      </c>
      <c r="J782" s="4"/>
      <c r="K782" s="80" t="str">
        <f t="shared" si="154"/>
        <v>JU</v>
      </c>
      <c r="L782" s="4" t="s">
        <v>512</v>
      </c>
      <c r="M782" s="86" t="str">
        <f>VLOOKUP(G782,[1]Hoja1!$A:$O,15,0)</f>
        <v xml:space="preserve">FISTER VICTOR </v>
      </c>
      <c r="N782" s="2" t="str">
        <f t="shared" si="153"/>
        <v>5°3°5325EFTED5JU</v>
      </c>
      <c r="O782" s="2"/>
      <c r="P782" s="2" t="str">
        <f>VLOOKUP(G782,[1]Hoja1!$A:$P,16,0)</f>
        <v xml:space="preserve"> </v>
      </c>
      <c r="Q782" s="2"/>
      <c r="S782">
        <f>VLOOKUP(G782,[1]Hoja1!$A:$O,5,0)</f>
        <v>2355572</v>
      </c>
      <c r="U782" s="45" t="s">
        <v>2751</v>
      </c>
      <c r="V782" s="46">
        <f t="shared" si="146"/>
        <v>2355572</v>
      </c>
      <c r="W782" s="47" t="s">
        <v>1519</v>
      </c>
      <c r="X782" s="46" t="str">
        <f t="shared" si="147"/>
        <v>2</v>
      </c>
      <c r="Y782" s="47" t="s">
        <v>1518</v>
      </c>
      <c r="Z782" s="46" t="str">
        <f t="shared" si="148"/>
        <v>M</v>
      </c>
      <c r="AA782" s="47" t="s">
        <v>2752</v>
      </c>
      <c r="AB782" s="46" t="str">
        <f t="shared" si="149"/>
        <v>JUEVES</v>
      </c>
      <c r="AC782" s="47" t="s">
        <v>2753</v>
      </c>
      <c r="AD782" t="str">
        <f t="shared" si="150"/>
        <v>CONTRATURNO</v>
      </c>
      <c r="AE782" s="47" t="s">
        <v>2754</v>
      </c>
      <c r="AH782" t="str">
        <f t="shared" si="151"/>
        <v>INSERT INTO horario_curso_materia (horario_curso_materia.FK_CUR_mat,horario_curso_materia.FK_HOR,horario_curso_materia.DIA,horario_curso_materia.tipo_turno) VALUES (  (SELECT curso_materia.ID_CUR_MAT FROM curso_materia WHERE curso_materia.CUPOF='2355572' ) ,
    (SELECT horario.ID_HOR FROM horario WHERE horario.modulo='2 ' and horario.turno='M ' ),'JUEVES ' , 'CONTRATURNO ' );</v>
      </c>
    </row>
    <row r="783" spans="1:34" ht="15" hidden="1" customHeight="1" x14ac:dyDescent="0.3">
      <c r="A783" s="1" t="str">
        <f t="shared" si="152"/>
        <v>5°3°</v>
      </c>
      <c r="B783" s="54" t="str">
        <f t="shared" si="155"/>
        <v>5°3°2MIVESPERTINO0</v>
      </c>
      <c r="C783" s="62">
        <f>VLOOKUP(G783,[1]Hoja1!$A:$O,3,0)</f>
        <v>0</v>
      </c>
      <c r="D783" s="2" t="str">
        <f t="shared" si="145"/>
        <v>2MIV</v>
      </c>
      <c r="E783" s="63" t="s">
        <v>26</v>
      </c>
      <c r="F783" s="62" t="s">
        <v>125</v>
      </c>
      <c r="G783" s="62" t="s">
        <v>249</v>
      </c>
      <c r="H783" s="8" t="str">
        <f>VLOOKUP(G783,[1]Hoja1!$A:$O,6,0)</f>
        <v>ANALISIS DE LOS MODELOS CIRCUITALES</v>
      </c>
      <c r="I783" s="4"/>
      <c r="J783" s="4"/>
      <c r="K783" s="80" t="str">
        <f t="shared" si="154"/>
        <v>MI</v>
      </c>
      <c r="L783" s="4"/>
      <c r="M783" s="86" t="str">
        <f>VLOOKUP(G783,[1]Hoja1!$A:$O,15,0)</f>
        <v xml:space="preserve">ATAMAÑUK, FLORENCIA </v>
      </c>
      <c r="N783" s="2" t="str">
        <f t="shared" si="153"/>
        <v>5°3°5EAMCMI</v>
      </c>
      <c r="O783" s="2"/>
      <c r="P783" s="2" t="str">
        <f>VLOOKUP(G783,[1]Hoja1!$A:$P,16,0)</f>
        <v xml:space="preserve"> </v>
      </c>
      <c r="Q783" s="2"/>
      <c r="S783">
        <f>VLOOKUP(G783,[1]Hoja1!$A:$O,5,0)</f>
        <v>2355546</v>
      </c>
      <c r="U783" s="45" t="s">
        <v>2751</v>
      </c>
      <c r="V783" s="46">
        <f t="shared" si="146"/>
        <v>2355546</v>
      </c>
      <c r="W783" s="47" t="s">
        <v>1519</v>
      </c>
      <c r="X783" s="46" t="str">
        <f t="shared" si="147"/>
        <v>2</v>
      </c>
      <c r="Y783" s="47" t="s">
        <v>1518</v>
      </c>
      <c r="Z783" s="46" t="str">
        <f t="shared" si="148"/>
        <v>V</v>
      </c>
      <c r="AA783" s="47" t="s">
        <v>2752</v>
      </c>
      <c r="AB783" s="46" t="str">
        <f t="shared" si="149"/>
        <v>MIERCOLES</v>
      </c>
      <c r="AC783" s="47" t="s">
        <v>2753</v>
      </c>
      <c r="AD783">
        <f t="shared" si="150"/>
        <v>0</v>
      </c>
      <c r="AE783" s="47" t="s">
        <v>2754</v>
      </c>
      <c r="AH783" t="str">
        <f t="shared" si="151"/>
        <v>INSERT INTO horario_curso_materia (horario_curso_materia.FK_CUR_mat,horario_curso_materia.FK_HOR,horario_curso_materia.DIA,horario_curso_materia.tipo_turno) VALUES (  (SELECT curso_materia.ID_CUR_MAT FROM curso_materia WHERE curso_materia.CUPOF='2355546' ) ,
    (SELECT horario.ID_HOR FROM horario WHERE horario.modulo='2 ' and horario.turno='V ' ),'MIERCOLES ' , '0 ' );</v>
      </c>
    </row>
    <row r="784" spans="1:34" ht="15" hidden="1" customHeight="1" x14ac:dyDescent="0.3">
      <c r="A784" s="1" t="str">
        <f t="shared" si="152"/>
        <v>5°3°</v>
      </c>
      <c r="B784" s="54" t="str">
        <f t="shared" si="155"/>
        <v>5°3°2LUVESPERTINO0</v>
      </c>
      <c r="C784" s="62">
        <f>VLOOKUP(G784,[1]Hoja1!$A:$O,3,0)</f>
        <v>0</v>
      </c>
      <c r="D784" s="2" t="str">
        <f t="shared" si="145"/>
        <v>2LUV</v>
      </c>
      <c r="E784" s="62" t="s">
        <v>12</v>
      </c>
      <c r="F784" s="62" t="s">
        <v>125</v>
      </c>
      <c r="G784" s="62" t="s">
        <v>243</v>
      </c>
      <c r="H784" s="8" t="str">
        <f>VLOOKUP(G784,[1]Hoja1!$A:$O,6,0)</f>
        <v>LENGUAJES ELECTRONICOS</v>
      </c>
      <c r="I784" s="4"/>
      <c r="J784" s="4"/>
      <c r="K784" s="80" t="str">
        <f t="shared" si="154"/>
        <v>LU</v>
      </c>
      <c r="L784" s="4"/>
      <c r="M784" s="86" t="str">
        <f>VLOOKUP(G784,[1]Hoja1!$A:$O,15,0)</f>
        <v>BARBOZA, SILVIO</v>
      </c>
      <c r="N784" s="2" t="str">
        <f t="shared" si="153"/>
        <v>5°3°5ELENELU</v>
      </c>
      <c r="O784" s="2"/>
      <c r="P784" s="2" t="str">
        <f>VLOOKUP(G784,[1]Hoja1!$A:$P,16,0)</f>
        <v xml:space="preserve"> </v>
      </c>
      <c r="Q784" s="2"/>
      <c r="S784">
        <f>VLOOKUP(G784,[1]Hoja1!$A:$O,5,0)</f>
        <v>2355548</v>
      </c>
      <c r="U784" s="45" t="s">
        <v>2751</v>
      </c>
      <c r="V784" s="46">
        <f t="shared" si="146"/>
        <v>2355548</v>
      </c>
      <c r="W784" s="47" t="s">
        <v>1519</v>
      </c>
      <c r="X784" s="46" t="str">
        <f t="shared" si="147"/>
        <v>2</v>
      </c>
      <c r="Y784" s="47" t="s">
        <v>1518</v>
      </c>
      <c r="Z784" s="46" t="str">
        <f t="shared" si="148"/>
        <v>V</v>
      </c>
      <c r="AA784" s="47" t="s">
        <v>2752</v>
      </c>
      <c r="AB784" s="46" t="str">
        <f t="shared" si="149"/>
        <v>LUNES</v>
      </c>
      <c r="AC784" s="47" t="s">
        <v>2753</v>
      </c>
      <c r="AD784">
        <f t="shared" si="150"/>
        <v>0</v>
      </c>
      <c r="AE784" s="47" t="s">
        <v>2754</v>
      </c>
      <c r="AH784" t="str">
        <f t="shared" si="151"/>
        <v>INSERT INTO horario_curso_materia (horario_curso_materia.FK_CUR_mat,horario_curso_materia.FK_HOR,horario_curso_materia.DIA,horario_curso_materia.tipo_turno) VALUES (  (SELECT curso_materia.ID_CUR_MAT FROM curso_materia WHERE curso_materia.CUPOF='2355548' ) ,
    (SELECT horario.ID_HOR FROM horario WHERE horario.modulo='2 ' and horario.turno='V ' ),'LUNES ' , '0 ' );</v>
      </c>
    </row>
    <row r="785" spans="1:34" ht="15" hidden="1" customHeight="1" x14ac:dyDescent="0.3">
      <c r="A785" s="1" t="str">
        <f t="shared" si="152"/>
        <v>5°3°</v>
      </c>
      <c r="B785" s="54" t="str">
        <f t="shared" si="155"/>
        <v>5°3°2MAMAÑANA531</v>
      </c>
      <c r="C785" s="62">
        <f>VLOOKUP(G785,[1]Hoja1!$A:$O,3,0)</f>
        <v>531</v>
      </c>
      <c r="D785" s="2" t="str">
        <f t="shared" si="145"/>
        <v>2MAM52</v>
      </c>
      <c r="E785" s="62" t="s">
        <v>19</v>
      </c>
      <c r="F785" s="62" t="s">
        <v>27</v>
      </c>
      <c r="G785" s="62" t="s">
        <v>179</v>
      </c>
      <c r="H785" s="8" t="str">
        <f>VLOOKUP(G785,[1]Hoja1!$A:$O,6,0)</f>
        <v xml:space="preserve">MONTAJE DE PROYECTO ELECTRONICOS </v>
      </c>
      <c r="I785" s="4">
        <v>52</v>
      </c>
      <c r="J785" s="4"/>
      <c r="K785" s="80" t="str">
        <f t="shared" si="154"/>
        <v>MA</v>
      </c>
      <c r="L785" s="4" t="s">
        <v>512</v>
      </c>
      <c r="M785" s="86" t="str">
        <f>VLOOKUP(G785,[1]Hoja1!$A:$O,15,0)</f>
        <v>SCHROEDER MATÍAS</v>
      </c>
      <c r="N785" s="2" t="str">
        <f t="shared" si="153"/>
        <v>5°3°5315EFTMP5MA</v>
      </c>
      <c r="O785" s="2"/>
      <c r="P785" s="2" t="str">
        <f>VLOOKUP(G785,[1]Hoja1!$A:$P,16,0)</f>
        <v xml:space="preserve"> </v>
      </c>
      <c r="Q785" s="2"/>
      <c r="S785">
        <f>VLOOKUP(G785,[1]Hoja1!$A:$O,5,0)</f>
        <v>2355566</v>
      </c>
      <c r="U785" s="45" t="s">
        <v>2751</v>
      </c>
      <c r="V785" s="46">
        <f t="shared" si="146"/>
        <v>2355566</v>
      </c>
      <c r="W785" s="47" t="s">
        <v>1519</v>
      </c>
      <c r="X785" s="46" t="str">
        <f t="shared" si="147"/>
        <v>2</v>
      </c>
      <c r="Y785" s="47" t="s">
        <v>1518</v>
      </c>
      <c r="Z785" s="46" t="str">
        <f t="shared" si="148"/>
        <v>M</v>
      </c>
      <c r="AA785" s="47" t="s">
        <v>2752</v>
      </c>
      <c r="AB785" s="46" t="str">
        <f t="shared" si="149"/>
        <v>MARTES</v>
      </c>
      <c r="AC785" s="47" t="s">
        <v>2753</v>
      </c>
      <c r="AD785" t="str">
        <f t="shared" si="150"/>
        <v>CONTRATURNO</v>
      </c>
      <c r="AE785" s="47" t="s">
        <v>2754</v>
      </c>
      <c r="AH785" t="str">
        <f t="shared" si="151"/>
        <v>INSERT INTO horario_curso_materia (horario_curso_materia.FK_CUR_mat,horario_curso_materia.FK_HOR,horario_curso_materia.DIA,horario_curso_materia.tipo_turno) VALUES (  (SELECT curso_materia.ID_CUR_MAT FROM curso_materia WHERE curso_materia.CUPOF='2355566' ) ,
    (SELECT horario.ID_HOR FROM horario WHERE horario.modulo='2 ' and horario.turno='M ' ),'MARTES ' , 'CONTRATURNO ' );</v>
      </c>
    </row>
    <row r="786" spans="1:34" ht="15" hidden="1" customHeight="1" x14ac:dyDescent="0.3">
      <c r="A786" s="1" t="str">
        <f t="shared" si="152"/>
        <v>5°3°</v>
      </c>
      <c r="B786" s="54" t="str">
        <f t="shared" si="155"/>
        <v>5°3°2MAMAÑANA532</v>
      </c>
      <c r="C786" s="62">
        <f>VLOOKUP(G786,[1]Hoja1!$A:$O,3,0)</f>
        <v>532</v>
      </c>
      <c r="D786" s="2" t="str">
        <f t="shared" si="145"/>
        <v>2MAM46</v>
      </c>
      <c r="E786" s="62" t="s">
        <v>19</v>
      </c>
      <c r="F786" s="62" t="s">
        <v>27</v>
      </c>
      <c r="G786" s="62" t="s">
        <v>180</v>
      </c>
      <c r="H786" s="8" t="str">
        <f>VLOOKUP(G786,[1]Hoja1!$A:$O,6,0)</f>
        <v xml:space="preserve">APLIC ELECT ANALOG </v>
      </c>
      <c r="I786" s="4">
        <v>46</v>
      </c>
      <c r="J786" s="4"/>
      <c r="K786" s="80" t="str">
        <f t="shared" si="154"/>
        <v>MA</v>
      </c>
      <c r="L786" s="4" t="s">
        <v>512</v>
      </c>
      <c r="M786" s="86" t="str">
        <f>VLOOKUP(G786,[1]Hoja1!$A:$O,15,0)</f>
        <v xml:space="preserve">ESCALADA ARNALDO     </v>
      </c>
      <c r="N786" s="2" t="str">
        <f t="shared" si="153"/>
        <v>5°3°5325EFTAE5MA</v>
      </c>
      <c r="O786" s="2"/>
      <c r="P786" s="2" t="str">
        <f>VLOOKUP(G786,[1]Hoja1!$A:$P,16,0)</f>
        <v xml:space="preserve"> </v>
      </c>
      <c r="Q786" s="2"/>
      <c r="S786">
        <f>VLOOKUP(G786,[1]Hoja1!$A:$O,5,0)</f>
        <v>2355569</v>
      </c>
      <c r="U786" s="45" t="s">
        <v>2751</v>
      </c>
      <c r="V786" s="46">
        <f t="shared" si="146"/>
        <v>2355569</v>
      </c>
      <c r="W786" s="47" t="s">
        <v>1519</v>
      </c>
      <c r="X786" s="46" t="str">
        <f t="shared" si="147"/>
        <v>2</v>
      </c>
      <c r="Y786" s="47" t="s">
        <v>1518</v>
      </c>
      <c r="Z786" s="46" t="str">
        <f t="shared" si="148"/>
        <v>M</v>
      </c>
      <c r="AA786" s="47" t="s">
        <v>2752</v>
      </c>
      <c r="AB786" s="46" t="str">
        <f t="shared" si="149"/>
        <v>MARTES</v>
      </c>
      <c r="AC786" s="47" t="s">
        <v>2753</v>
      </c>
      <c r="AD786" t="str">
        <f t="shared" si="150"/>
        <v>CONTRATURNO</v>
      </c>
      <c r="AE786" s="47" t="s">
        <v>2754</v>
      </c>
      <c r="AH786" t="str">
        <f t="shared" si="151"/>
        <v>INSERT INTO horario_curso_materia (horario_curso_materia.FK_CUR_mat,horario_curso_materia.FK_HOR,horario_curso_materia.DIA,horario_curso_materia.tipo_turno) VALUES (  (SELECT curso_materia.ID_CUR_MAT FROM curso_materia WHERE curso_materia.CUPOF='2355569' ) ,
    (SELECT horario.ID_HOR FROM horario WHERE horario.modulo='2 ' and horario.turno='M ' ),'MARTES ' , 'CONTRATURNO ' );</v>
      </c>
    </row>
    <row r="787" spans="1:34" ht="15" hidden="1" customHeight="1" x14ac:dyDescent="0.3">
      <c r="A787" s="3" t="str">
        <f t="shared" si="152"/>
        <v>5°3°</v>
      </c>
      <c r="B787" s="54" t="str">
        <f t="shared" si="155"/>
        <v>5°3°2MATARDE0</v>
      </c>
      <c r="C787" s="63">
        <f>VLOOKUP(G787,[1]Hoja1!$A:$O,3,0)</f>
        <v>0</v>
      </c>
      <c r="D787" s="2" t="str">
        <f t="shared" si="145"/>
        <v>2MATPATIO2</v>
      </c>
      <c r="E787" s="63" t="s">
        <v>19</v>
      </c>
      <c r="F787" s="63" t="s">
        <v>10</v>
      </c>
      <c r="G787" s="63" t="s">
        <v>251</v>
      </c>
      <c r="H787" s="3" t="str">
        <f>VLOOKUP(G787,[1]Hoja1!$A:$O,6,0)</f>
        <v>EDUCACIÓN FISICA</v>
      </c>
      <c r="I787" s="17" t="s">
        <v>295</v>
      </c>
      <c r="J787" s="17"/>
      <c r="K787" s="81" t="str">
        <f t="shared" si="154"/>
        <v>MA</v>
      </c>
      <c r="L787" s="17" t="s">
        <v>512</v>
      </c>
      <c r="M787" s="87" t="str">
        <f>VLOOKUP(G787,[1]Hoja1!$A:$O,15,0)</f>
        <v>SANCHEZ CARLOS</v>
      </c>
      <c r="N787" s="23" t="str">
        <f t="shared" si="153"/>
        <v>5°3°5EEFISMA</v>
      </c>
      <c r="O787" s="23" t="s">
        <v>1363</v>
      </c>
      <c r="P787" s="2" t="str">
        <f>VLOOKUP(G787,[1]Hoja1!$A:$P,16,0)</f>
        <v xml:space="preserve"> </v>
      </c>
      <c r="Q787" s="2"/>
      <c r="S787">
        <f>VLOOKUP(G787,[1]Hoja1!$A:$O,5,0)</f>
        <v>2355527</v>
      </c>
      <c r="U787" s="45" t="s">
        <v>2751</v>
      </c>
      <c r="V787" s="46">
        <f t="shared" si="146"/>
        <v>2355527</v>
      </c>
      <c r="W787" s="47" t="s">
        <v>1519</v>
      </c>
      <c r="X787" s="46" t="str">
        <f t="shared" si="147"/>
        <v>2</v>
      </c>
      <c r="Y787" s="47" t="s">
        <v>1518</v>
      </c>
      <c r="Z787" s="46" t="str">
        <f t="shared" si="148"/>
        <v>T</v>
      </c>
      <c r="AA787" s="47" t="s">
        <v>2752</v>
      </c>
      <c r="AB787" s="46" t="str">
        <f t="shared" si="149"/>
        <v>MARTES</v>
      </c>
      <c r="AC787" s="47" t="s">
        <v>2753</v>
      </c>
      <c r="AD787" t="str">
        <f t="shared" si="150"/>
        <v>CONTRATURNO</v>
      </c>
      <c r="AE787" s="47" t="s">
        <v>2754</v>
      </c>
      <c r="AH787" t="str">
        <f t="shared" si="151"/>
        <v>INSERT INTO horario_curso_materia (horario_curso_materia.FK_CUR_mat,horario_curso_materia.FK_HOR,horario_curso_materia.DIA,horario_curso_materia.tipo_turno) VALUES (  (SELECT curso_materia.ID_CUR_MAT FROM curso_materia WHERE curso_materia.CUPOF='2355527' ) ,
    (SELECT horario.ID_HOR FROM horario WHERE horario.modulo='2 ' and horario.turno='T ' ),'MARTES ' , 'CONTRATURNO ' );</v>
      </c>
    </row>
    <row r="788" spans="1:34" ht="15" hidden="1" customHeight="1" x14ac:dyDescent="0.3">
      <c r="A788" s="1" t="str">
        <f t="shared" si="152"/>
        <v>5°3°</v>
      </c>
      <c r="B788" s="54" t="str">
        <f t="shared" si="155"/>
        <v>5°3°4VIVESPERTINO0</v>
      </c>
      <c r="C788" s="62">
        <f>VLOOKUP(G788,[1]Hoja1!$A:$O,3,0)</f>
        <v>0</v>
      </c>
      <c r="D788" s="2" t="str">
        <f t="shared" si="145"/>
        <v>4VIV</v>
      </c>
      <c r="E788" s="62" t="s">
        <v>36</v>
      </c>
      <c r="F788" s="62" t="s">
        <v>125</v>
      </c>
      <c r="G788" s="62" t="s">
        <v>248</v>
      </c>
      <c r="H788" s="8" t="str">
        <f>VLOOKUP(G788,[1]Hoja1!$A:$O,6,0)</f>
        <v>POLITICA Y CIUDADANIA</v>
      </c>
      <c r="I788" s="4"/>
      <c r="J788" s="4"/>
      <c r="K788" s="80" t="str">
        <f t="shared" si="154"/>
        <v>VI</v>
      </c>
      <c r="L788" s="4"/>
      <c r="M788" s="86" t="str">
        <f>VLOOKUP(G788,[1]Hoja1!$A:$O,15,0)</f>
        <v xml:space="preserve">PALACIOS GUSTAVO </v>
      </c>
      <c r="N788" s="2" t="str">
        <f t="shared" si="153"/>
        <v>5°3°5EPYCSVI</v>
      </c>
      <c r="O788" s="2" t="s">
        <v>558</v>
      </c>
      <c r="P788" s="2" t="str">
        <f>VLOOKUP(G788,[1]Hoja1!$A:$P,16,0)</f>
        <v xml:space="preserve"> </v>
      </c>
      <c r="Q788" s="2"/>
      <c r="S788">
        <f>VLOOKUP(G788,[1]Hoja1!$A:$O,5,0)</f>
        <v>2355532</v>
      </c>
      <c r="U788" s="45" t="s">
        <v>2751</v>
      </c>
      <c r="V788" s="46">
        <f t="shared" si="146"/>
        <v>2355532</v>
      </c>
      <c r="W788" s="47" t="s">
        <v>1519</v>
      </c>
      <c r="X788" s="46" t="str">
        <f t="shared" si="147"/>
        <v>4</v>
      </c>
      <c r="Y788" s="47" t="s">
        <v>1518</v>
      </c>
      <c r="Z788" s="46" t="str">
        <f t="shared" si="148"/>
        <v>V</v>
      </c>
      <c r="AA788" s="47" t="s">
        <v>2752</v>
      </c>
      <c r="AB788" s="46" t="str">
        <f t="shared" si="149"/>
        <v>VIERNES</v>
      </c>
      <c r="AC788" s="47" t="s">
        <v>2753</v>
      </c>
      <c r="AD788">
        <f t="shared" si="150"/>
        <v>0</v>
      </c>
      <c r="AE788" s="47" t="s">
        <v>2754</v>
      </c>
      <c r="AH788" t="str">
        <f t="shared" si="151"/>
        <v>INSERT INTO horario_curso_materia (horario_curso_materia.FK_CUR_mat,horario_curso_materia.FK_HOR,horario_curso_materia.DIA,horario_curso_materia.tipo_turno) VALUES (  (SELECT curso_materia.ID_CUR_MAT FROM curso_materia WHERE curso_materia.CUPOF='2355532' ) ,
    (SELECT horario.ID_HOR FROM horario WHERE horario.modulo='4 ' and horario.turno='V ' ),'VIERNES ' , '0 ' );</v>
      </c>
    </row>
    <row r="789" spans="1:34" ht="15" hidden="1" customHeight="1" x14ac:dyDescent="0.3">
      <c r="A789" s="1" t="str">
        <f t="shared" si="152"/>
        <v>5°3°</v>
      </c>
      <c r="B789" s="54" t="str">
        <f t="shared" si="155"/>
        <v>5°3°2MIMAÑANA532</v>
      </c>
      <c r="C789" s="62">
        <f>VLOOKUP(G789,[1]Hoja1!$A:$O,3,0)</f>
        <v>532</v>
      </c>
      <c r="D789" s="2" t="str">
        <f t="shared" si="145"/>
        <v>2MIM44</v>
      </c>
      <c r="E789" s="62" t="s">
        <v>26</v>
      </c>
      <c r="F789" s="62" t="s">
        <v>27</v>
      </c>
      <c r="G789" s="62" t="s">
        <v>181</v>
      </c>
      <c r="H789" s="8" t="str">
        <f>VLOOKUP(G789,[1]Hoja1!$A:$O,6,0)</f>
        <v xml:space="preserve">MONTAJE DE PROYECTO ELECTRONICOS </v>
      </c>
      <c r="I789" s="4">
        <v>44</v>
      </c>
      <c r="J789" s="4"/>
      <c r="K789" s="80" t="str">
        <f t="shared" si="154"/>
        <v>MI</v>
      </c>
      <c r="L789" s="4" t="s">
        <v>512</v>
      </c>
      <c r="M789" s="86" t="str">
        <f>VLOOKUP(G789,[1]Hoja1!$A:$O,15,0)</f>
        <v>SERENO, LEONEL</v>
      </c>
      <c r="N789" s="2" t="str">
        <f t="shared" si="153"/>
        <v>5°3°5325EFTMP5MI</v>
      </c>
      <c r="O789" s="2"/>
      <c r="P789" s="2" t="str">
        <f>VLOOKUP(G789,[1]Hoja1!$A:$P,16,0)</f>
        <v xml:space="preserve"> </v>
      </c>
      <c r="Q789" s="2"/>
      <c r="S789">
        <f>VLOOKUP(G789,[1]Hoja1!$A:$O,5,0)</f>
        <v>2355579</v>
      </c>
      <c r="U789" s="45" t="s">
        <v>2751</v>
      </c>
      <c r="V789" s="46">
        <f t="shared" si="146"/>
        <v>2355579</v>
      </c>
      <c r="W789" s="47" t="s">
        <v>1519</v>
      </c>
      <c r="X789" s="46" t="str">
        <f t="shared" si="147"/>
        <v>2</v>
      </c>
      <c r="Y789" s="47" t="s">
        <v>1518</v>
      </c>
      <c r="Z789" s="46" t="str">
        <f t="shared" si="148"/>
        <v>M</v>
      </c>
      <c r="AA789" s="47" t="s">
        <v>2752</v>
      </c>
      <c r="AB789" s="46" t="str">
        <f t="shared" si="149"/>
        <v>MIERCOLES</v>
      </c>
      <c r="AC789" s="47" t="s">
        <v>2753</v>
      </c>
      <c r="AD789" t="str">
        <f t="shared" si="150"/>
        <v>CONTRATURNO</v>
      </c>
      <c r="AE789" s="47" t="s">
        <v>2754</v>
      </c>
      <c r="AH789" t="str">
        <f t="shared" si="151"/>
        <v>INSERT INTO horario_curso_materia (horario_curso_materia.FK_CUR_mat,horario_curso_materia.FK_HOR,horario_curso_materia.DIA,horario_curso_materia.tipo_turno) VALUES (  (SELECT curso_materia.ID_CUR_MAT FROM curso_materia WHERE curso_materia.CUPOF='2355579' ) ,
    (SELECT horario.ID_HOR FROM horario WHERE horario.modulo='2 ' and horario.turno='M ' ),'MIERCOLES ' , 'CONTRATURNO ' );</v>
      </c>
    </row>
    <row r="790" spans="1:34" ht="15" hidden="1" customHeight="1" x14ac:dyDescent="0.3">
      <c r="A790" s="1" t="str">
        <f t="shared" si="152"/>
        <v>5°3°</v>
      </c>
      <c r="B790" s="54" t="str">
        <f t="shared" si="155"/>
        <v>5°3°2JUVESPERTINO0</v>
      </c>
      <c r="C790" s="62">
        <f>VLOOKUP(G790,[1]Hoja1!$A:$O,3,0)</f>
        <v>0</v>
      </c>
      <c r="D790" s="2" t="str">
        <f t="shared" si="145"/>
        <v>2JUV</v>
      </c>
      <c r="E790" s="62" t="s">
        <v>45</v>
      </c>
      <c r="F790" s="62" t="s">
        <v>125</v>
      </c>
      <c r="G790" s="62" t="s">
        <v>245</v>
      </c>
      <c r="H790" s="8" t="str">
        <f>VLOOKUP(G790,[1]Hoja1!$A:$O,6,0)</f>
        <v>ANALISIS MATEMATICO</v>
      </c>
      <c r="I790" s="4"/>
      <c r="J790" s="4"/>
      <c r="K790" s="80" t="str">
        <f t="shared" si="154"/>
        <v>JU</v>
      </c>
      <c r="L790" s="4"/>
      <c r="M790" s="86" t="str">
        <f>VLOOKUP(G790,[1]Hoja1!$A:$O,15,0)</f>
        <v>MAZU LEILA</v>
      </c>
      <c r="N790" s="2" t="str">
        <f t="shared" si="153"/>
        <v>5°3°5EANMATJU</v>
      </c>
      <c r="O790" s="2"/>
      <c r="P790" s="2" t="str">
        <f>VLOOKUP(G790,[1]Hoja1!$A:$P,16,0)</f>
        <v xml:space="preserve"> </v>
      </c>
      <c r="Q790" s="2"/>
      <c r="S790">
        <f>VLOOKUP(G790,[1]Hoja1!$A:$O,5,0)</f>
        <v>2355542</v>
      </c>
      <c r="U790" s="45" t="s">
        <v>2751</v>
      </c>
      <c r="V790" s="46">
        <f t="shared" si="146"/>
        <v>2355542</v>
      </c>
      <c r="W790" s="47" t="s">
        <v>1519</v>
      </c>
      <c r="X790" s="46" t="str">
        <f t="shared" si="147"/>
        <v>2</v>
      </c>
      <c r="Y790" s="47" t="s">
        <v>1518</v>
      </c>
      <c r="Z790" s="46" t="str">
        <f t="shared" si="148"/>
        <v>V</v>
      </c>
      <c r="AA790" s="47" t="s">
        <v>2752</v>
      </c>
      <c r="AB790" s="46" t="str">
        <f t="shared" si="149"/>
        <v>JUEVES</v>
      </c>
      <c r="AC790" s="47" t="s">
        <v>2753</v>
      </c>
      <c r="AD790">
        <f t="shared" si="150"/>
        <v>0</v>
      </c>
      <c r="AE790" s="47" t="s">
        <v>2754</v>
      </c>
      <c r="AH790" t="str">
        <f t="shared" si="151"/>
        <v>INSERT INTO horario_curso_materia (horario_curso_materia.FK_CUR_mat,horario_curso_materia.FK_HOR,horario_curso_materia.DIA,horario_curso_materia.tipo_turno) VALUES (  (SELECT curso_materia.ID_CUR_MAT FROM curso_materia WHERE curso_materia.CUPOF='2355542' ) ,
    (SELECT horario.ID_HOR FROM horario WHERE horario.modulo='2 ' and horario.turno='V ' ),'JUEVES ' , '0 ' );</v>
      </c>
    </row>
    <row r="791" spans="1:34" ht="15" hidden="1" customHeight="1" x14ac:dyDescent="0.3">
      <c r="A791" s="1" t="str">
        <f t="shared" si="152"/>
        <v>5°3°</v>
      </c>
      <c r="B791" s="54" t="str">
        <f t="shared" si="155"/>
        <v>5°3°2VIMAÑANA531</v>
      </c>
      <c r="C791" s="62">
        <f>VLOOKUP(G791,[1]Hoja1!$A:$O,3,0)</f>
        <v>531</v>
      </c>
      <c r="D791" s="2" t="str">
        <f t="shared" si="145"/>
        <v>2VIM45</v>
      </c>
      <c r="E791" s="62" t="s">
        <v>59</v>
      </c>
      <c r="F791" s="62" t="s">
        <v>27</v>
      </c>
      <c r="G791" s="62" t="s">
        <v>184</v>
      </c>
      <c r="H791" s="8" t="str">
        <f>VLOOKUP(G791,[1]Hoja1!$A:$O,6,0)</f>
        <v xml:space="preserve">APLIC ELECT ANALOG </v>
      </c>
      <c r="I791" s="4">
        <v>45</v>
      </c>
      <c r="J791" s="4"/>
      <c r="K791" s="80" t="str">
        <f t="shared" si="154"/>
        <v>VI</v>
      </c>
      <c r="L791" s="4" t="s">
        <v>512</v>
      </c>
      <c r="M791" s="86" t="str">
        <f>VLOOKUP(G791,[1]Hoja1!$A:$O,15,0)</f>
        <v>MARTINEZ, SILVIO</v>
      </c>
      <c r="N791" s="2" t="str">
        <f t="shared" si="153"/>
        <v>5°3°5315EFTAE5VI</v>
      </c>
      <c r="O791" s="2"/>
      <c r="P791" s="2" t="str">
        <f>VLOOKUP(G791,[1]Hoja1!$A:$P,16,0)</f>
        <v xml:space="preserve"> </v>
      </c>
      <c r="Q791" s="2"/>
      <c r="S791">
        <f>VLOOKUP(G791,[1]Hoja1!$A:$O,5,0)</f>
        <v>2355560</v>
      </c>
      <c r="U791" s="45" t="s">
        <v>2751</v>
      </c>
      <c r="V791" s="46">
        <f t="shared" si="146"/>
        <v>2355560</v>
      </c>
      <c r="W791" s="47" t="s">
        <v>1519</v>
      </c>
      <c r="X791" s="46" t="str">
        <f t="shared" si="147"/>
        <v>2</v>
      </c>
      <c r="Y791" s="47" t="s">
        <v>1518</v>
      </c>
      <c r="Z791" s="46" t="str">
        <f t="shared" si="148"/>
        <v>M</v>
      </c>
      <c r="AA791" s="47" t="s">
        <v>2752</v>
      </c>
      <c r="AB791" s="46" t="str">
        <f t="shared" si="149"/>
        <v>VIERNES</v>
      </c>
      <c r="AC791" s="47" t="s">
        <v>2753</v>
      </c>
      <c r="AD791" t="str">
        <f t="shared" si="150"/>
        <v>CONTRATURNO</v>
      </c>
      <c r="AE791" s="47" t="s">
        <v>2754</v>
      </c>
      <c r="AH791" t="str">
        <f t="shared" si="151"/>
        <v>INSERT INTO horario_curso_materia (horario_curso_materia.FK_CUR_mat,horario_curso_materia.FK_HOR,horario_curso_materia.DIA,horario_curso_materia.tipo_turno) VALUES (  (SELECT curso_materia.ID_CUR_MAT FROM curso_materia WHERE curso_materia.CUPOF='2355560' ) ,
    (SELECT horario.ID_HOR FROM horario WHERE horario.modulo='2 ' and horario.turno='M ' ),'VIERNES ' , 'CONTRATURNO ' );</v>
      </c>
    </row>
    <row r="792" spans="1:34" ht="15" hidden="1" customHeight="1" x14ac:dyDescent="0.3">
      <c r="A792" s="1" t="str">
        <f t="shared" si="152"/>
        <v>5°3°</v>
      </c>
      <c r="B792" s="54" t="str">
        <f t="shared" si="155"/>
        <v>5°3°2viMAÑANA532</v>
      </c>
      <c r="C792" s="62">
        <f>VLOOKUP(G792,[1]Hoja1!$A:$O,3,0)</f>
        <v>532</v>
      </c>
      <c r="D792" s="2" t="str">
        <f t="shared" si="145"/>
        <v>2viMrobotica</v>
      </c>
      <c r="E792" s="62" t="s">
        <v>1377</v>
      </c>
      <c r="F792" s="62" t="s">
        <v>27</v>
      </c>
      <c r="G792" s="62" t="s">
        <v>185</v>
      </c>
      <c r="H792" s="8" t="str">
        <f>VLOOKUP(G792,[1]Hoja1!$A:$O,6,0)</f>
        <v xml:space="preserve">DISEÑO ASIST Y SIMUL ELECT </v>
      </c>
      <c r="I792" s="76" t="s">
        <v>2757</v>
      </c>
      <c r="J792" s="4"/>
      <c r="K792" s="80" t="str">
        <f t="shared" si="154"/>
        <v>vi</v>
      </c>
      <c r="L792" s="4" t="s">
        <v>512</v>
      </c>
      <c r="M792" s="86" t="str">
        <f>VLOOKUP(G792,[1]Hoja1!$A:$O,15,0)</f>
        <v>ESCALADA ARNALDO</v>
      </c>
      <c r="N792" s="2" t="str">
        <f t="shared" si="153"/>
        <v>5°3°5325EDASEvi</v>
      </c>
      <c r="O792" s="2"/>
      <c r="P792" s="2" t="str">
        <f>VLOOKUP(G792,[1]Hoja1!$A:$P,16,0)</f>
        <v xml:space="preserve"> </v>
      </c>
      <c r="Q792" s="2"/>
      <c r="S792">
        <f>VLOOKUP(G792,[1]Hoja1!$A:$O,5,0)</f>
        <v>2355568</v>
      </c>
      <c r="U792" s="45" t="s">
        <v>2751</v>
      </c>
      <c r="V792" s="46">
        <f t="shared" si="146"/>
        <v>2355568</v>
      </c>
      <c r="W792" s="47" t="s">
        <v>1519</v>
      </c>
      <c r="X792" s="46" t="str">
        <f t="shared" si="147"/>
        <v>2</v>
      </c>
      <c r="Y792" s="47" t="s">
        <v>1518</v>
      </c>
      <c r="Z792" s="46" t="str">
        <f t="shared" si="148"/>
        <v>M</v>
      </c>
      <c r="AA792" s="47" t="s">
        <v>2752</v>
      </c>
      <c r="AB792" s="46" t="str">
        <f t="shared" si="149"/>
        <v>VIERNES</v>
      </c>
      <c r="AC792" s="47" t="s">
        <v>2753</v>
      </c>
      <c r="AD792" t="str">
        <f t="shared" si="150"/>
        <v>CONTRATURNO</v>
      </c>
      <c r="AE792" s="47" t="s">
        <v>2754</v>
      </c>
      <c r="AH792" t="str">
        <f t="shared" si="151"/>
        <v>INSERT INTO horario_curso_materia (horario_curso_materia.FK_CUR_mat,horario_curso_materia.FK_HOR,horario_curso_materia.DIA,horario_curso_materia.tipo_turno) VALUES (  (SELECT curso_materia.ID_CUR_MAT FROM curso_materia WHERE curso_materia.CUPOF='2355568' ) ,
    (SELECT horario.ID_HOR FROM horario WHERE horario.modulo='2 ' and horario.turno='M ' ),'VIERNES ' , 'CONTRATURNO ' );</v>
      </c>
    </row>
    <row r="793" spans="1:34" ht="15" hidden="1" customHeight="1" x14ac:dyDescent="0.3">
      <c r="A793" s="1" t="str">
        <f t="shared" si="152"/>
        <v>5°3°</v>
      </c>
      <c r="B793" s="54" t="str">
        <f t="shared" si="155"/>
        <v>5°3°2VIVESPERTINO0</v>
      </c>
      <c r="C793" s="62">
        <f>VLOOKUP(G793,[1]Hoja1!$A:$O,3,0)</f>
        <v>0</v>
      </c>
      <c r="D793" s="2" t="str">
        <f t="shared" si="145"/>
        <v>2VIV</v>
      </c>
      <c r="E793" s="62" t="s">
        <v>59</v>
      </c>
      <c r="F793" s="62" t="s">
        <v>125</v>
      </c>
      <c r="G793" s="62" t="s">
        <v>250</v>
      </c>
      <c r="H793" s="8" t="str">
        <f>VLOOKUP(G793,[1]Hoja1!$A:$O,6,0)</f>
        <v>INGLÉS</v>
      </c>
      <c r="I793" s="4"/>
      <c r="J793" s="4"/>
      <c r="K793" s="80" t="str">
        <f t="shared" si="154"/>
        <v>VI</v>
      </c>
      <c r="L793" s="4"/>
      <c r="M793" s="86" t="str">
        <f>VLOOKUP(G793,[1]Hoja1!$A:$O,15,0)</f>
        <v xml:space="preserve">BAIMA KUNTZ MARCELA PAOLA  </v>
      </c>
      <c r="N793" s="2" t="str">
        <f t="shared" si="153"/>
        <v>5°3°5EINGSVI</v>
      </c>
      <c r="O793" s="2"/>
      <c r="P793" s="2" t="str">
        <f>VLOOKUP(G793,[1]Hoja1!$A:$P,16,0)</f>
        <v xml:space="preserve"> </v>
      </c>
      <c r="Q793" s="2"/>
      <c r="S793">
        <f>VLOOKUP(G793,[1]Hoja1!$A:$O,5,0)</f>
        <v>2355524</v>
      </c>
      <c r="U793" s="45" t="s">
        <v>2751</v>
      </c>
      <c r="V793" s="46">
        <f t="shared" si="146"/>
        <v>2355524</v>
      </c>
      <c r="W793" s="47" t="s">
        <v>1519</v>
      </c>
      <c r="X793" s="46" t="str">
        <f t="shared" si="147"/>
        <v>2</v>
      </c>
      <c r="Y793" s="47" t="s">
        <v>1518</v>
      </c>
      <c r="Z793" s="46" t="str">
        <f t="shared" si="148"/>
        <v>V</v>
      </c>
      <c r="AA793" s="47" t="s">
        <v>2752</v>
      </c>
      <c r="AB793" s="46" t="str">
        <f t="shared" si="149"/>
        <v>VIERNES</v>
      </c>
      <c r="AC793" s="47" t="s">
        <v>2753</v>
      </c>
      <c r="AD793">
        <f t="shared" si="150"/>
        <v>0</v>
      </c>
      <c r="AE793" s="47" t="s">
        <v>2754</v>
      </c>
      <c r="AH793" t="str">
        <f t="shared" si="151"/>
        <v>INSERT INTO horario_curso_materia (horario_curso_materia.FK_CUR_mat,horario_curso_materia.FK_HOR,horario_curso_materia.DIA,horario_curso_materia.tipo_turno) VALUES (  (SELECT curso_materia.ID_CUR_MAT FROM curso_materia WHERE curso_materia.CUPOF='2355524' ) ,
    (SELECT horario.ID_HOR FROM horario WHERE horario.modulo='2 ' and horario.turno='V ' ),'VIERNES ' , '0 ' );</v>
      </c>
    </row>
    <row r="794" spans="1:34" ht="14.25" hidden="1" customHeight="1" x14ac:dyDescent="0.3">
      <c r="A794" s="1" t="str">
        <f t="shared" si="152"/>
        <v>5°3°</v>
      </c>
      <c r="B794" s="54" t="str">
        <f t="shared" si="155"/>
        <v>5°3°3JUMAÑANA531</v>
      </c>
      <c r="C794" s="62">
        <f>VLOOKUP(G794,[1]Hoja1!$A:$O,3,0)</f>
        <v>531</v>
      </c>
      <c r="D794" s="2" t="str">
        <f t="shared" si="145"/>
        <v>3JUM45</v>
      </c>
      <c r="E794" s="62" t="s">
        <v>46</v>
      </c>
      <c r="F794" s="62" t="s">
        <v>27</v>
      </c>
      <c r="G794" s="62" t="s">
        <v>182</v>
      </c>
      <c r="H794" s="8" t="str">
        <f>VLOOKUP(G794,[1]Hoja1!$A:$O,6,0)</f>
        <v>APLIC ELECTR DIGITAL</v>
      </c>
      <c r="I794" s="4">
        <v>45</v>
      </c>
      <c r="J794" s="4"/>
      <c r="K794" s="80" t="str">
        <f t="shared" si="154"/>
        <v>JU</v>
      </c>
      <c r="L794" s="4" t="s">
        <v>512</v>
      </c>
      <c r="M794" s="86" t="str">
        <f>VLOOKUP(G794,[1]Hoja1!$A:$O,15,0)</f>
        <v>SERENO, LEONEL</v>
      </c>
      <c r="N794" s="2" t="str">
        <f t="shared" si="153"/>
        <v>5°3°5315EFTED5JU</v>
      </c>
      <c r="O794" s="2"/>
      <c r="P794" s="2" t="str">
        <f>VLOOKUP(G794,[1]Hoja1!$A:$P,16,0)</f>
        <v xml:space="preserve"> </v>
      </c>
      <c r="Q794" s="2"/>
      <c r="S794">
        <f>VLOOKUP(G794,[1]Hoja1!$A:$O,5,0)</f>
        <v>2355564</v>
      </c>
      <c r="U794" s="45" t="s">
        <v>2751</v>
      </c>
      <c r="V794" s="46">
        <f t="shared" si="146"/>
        <v>2355564</v>
      </c>
      <c r="W794" s="47" t="s">
        <v>1519</v>
      </c>
      <c r="X794" s="46" t="str">
        <f t="shared" si="147"/>
        <v>3</v>
      </c>
      <c r="Y794" s="47" t="s">
        <v>1518</v>
      </c>
      <c r="Z794" s="46" t="str">
        <f t="shared" si="148"/>
        <v>M</v>
      </c>
      <c r="AA794" s="47" t="s">
        <v>2752</v>
      </c>
      <c r="AB794" s="46" t="str">
        <f t="shared" si="149"/>
        <v>JUEVES</v>
      </c>
      <c r="AC794" s="47" t="s">
        <v>2753</v>
      </c>
      <c r="AD794" t="str">
        <f t="shared" si="150"/>
        <v>CONTRATURNO</v>
      </c>
      <c r="AE794" s="47" t="s">
        <v>2754</v>
      </c>
      <c r="AH794" t="str">
        <f t="shared" si="151"/>
        <v>INSERT INTO horario_curso_materia (horario_curso_materia.FK_CUR_mat,horario_curso_materia.FK_HOR,horario_curso_materia.DIA,horario_curso_materia.tipo_turno) VALUES (  (SELECT curso_materia.ID_CUR_MAT FROM curso_materia WHERE curso_materia.CUPOF='2355564' ) ,
    (SELECT horario.ID_HOR FROM horario WHERE horario.modulo='3 ' and horario.turno='M ' ),'JUEVES ' , 'CONTRATURNO ' );</v>
      </c>
    </row>
    <row r="795" spans="1:34" ht="14.25" hidden="1" customHeight="1" x14ac:dyDescent="0.3">
      <c r="A795" s="1" t="str">
        <f t="shared" si="152"/>
        <v>5°3°</v>
      </c>
      <c r="B795" s="54" t="str">
        <f t="shared" si="155"/>
        <v>5°3°3JUMAÑANA532</v>
      </c>
      <c r="C795" s="62">
        <f>VLOOKUP(G795,[1]Hoja1!$A:$O,3,0)</f>
        <v>532</v>
      </c>
      <c r="D795" s="2" t="str">
        <f t="shared" si="145"/>
        <v>3JUM46</v>
      </c>
      <c r="E795" s="62" t="s">
        <v>46</v>
      </c>
      <c r="F795" s="62" t="s">
        <v>27</v>
      </c>
      <c r="G795" s="62" t="s">
        <v>183</v>
      </c>
      <c r="H795" s="8" t="str">
        <f>VLOOKUP(G795,[1]Hoja1!$A:$O,6,0)</f>
        <v>APLIC ELECTR DIGITAL</v>
      </c>
      <c r="I795" s="4">
        <v>46</v>
      </c>
      <c r="J795" s="4"/>
      <c r="K795" s="80" t="str">
        <f t="shared" si="154"/>
        <v>JU</v>
      </c>
      <c r="L795" s="4" t="s">
        <v>512</v>
      </c>
      <c r="M795" s="86" t="str">
        <f>VLOOKUP(G795,[1]Hoja1!$A:$O,15,0)</f>
        <v xml:space="preserve">FISTER VICTOR </v>
      </c>
      <c r="N795" s="2" t="str">
        <f t="shared" si="153"/>
        <v>5°3°5325EFTED5JU</v>
      </c>
      <c r="O795" s="2"/>
      <c r="P795" s="2" t="str">
        <f>VLOOKUP(G795,[1]Hoja1!$A:$P,16,0)</f>
        <v xml:space="preserve"> </v>
      </c>
      <c r="Q795" s="2"/>
      <c r="S795">
        <f>VLOOKUP(G795,[1]Hoja1!$A:$O,5,0)</f>
        <v>2355572</v>
      </c>
      <c r="U795" s="45" t="s">
        <v>2751</v>
      </c>
      <c r="V795" s="46">
        <f t="shared" si="146"/>
        <v>2355572</v>
      </c>
      <c r="W795" s="47" t="s">
        <v>1519</v>
      </c>
      <c r="X795" s="46" t="str">
        <f t="shared" si="147"/>
        <v>3</v>
      </c>
      <c r="Y795" s="47" t="s">
        <v>1518</v>
      </c>
      <c r="Z795" s="46" t="str">
        <f t="shared" si="148"/>
        <v>M</v>
      </c>
      <c r="AA795" s="47" t="s">
        <v>2752</v>
      </c>
      <c r="AB795" s="46" t="str">
        <f t="shared" si="149"/>
        <v>JUEVES</v>
      </c>
      <c r="AC795" s="47" t="s">
        <v>2753</v>
      </c>
      <c r="AD795" t="str">
        <f t="shared" si="150"/>
        <v>CONTRATURNO</v>
      </c>
      <c r="AE795" s="47" t="s">
        <v>2754</v>
      </c>
      <c r="AH795" t="str">
        <f t="shared" si="151"/>
        <v>INSERT INTO horario_curso_materia (horario_curso_materia.FK_CUR_mat,horario_curso_materia.FK_HOR,horario_curso_materia.DIA,horario_curso_materia.tipo_turno) VALUES (  (SELECT curso_materia.ID_CUR_MAT FROM curso_materia WHERE curso_materia.CUPOF='2355572' ) ,
    (SELECT horario.ID_HOR FROM horario WHERE horario.modulo='3 ' and horario.turno='M ' ),'JUEVES ' , 'CONTRATURNO ' );</v>
      </c>
    </row>
    <row r="796" spans="1:34" ht="15" hidden="1" customHeight="1" x14ac:dyDescent="0.3">
      <c r="A796" s="1" t="str">
        <f t="shared" si="152"/>
        <v>5°3°</v>
      </c>
      <c r="B796" s="54" t="str">
        <f t="shared" si="155"/>
        <v>5°3°3JUVESPERTINO0</v>
      </c>
      <c r="C796" s="62">
        <f>VLOOKUP(G796,[1]Hoja1!$A:$O,3,0)</f>
        <v>0</v>
      </c>
      <c r="D796" s="2" t="str">
        <f t="shared" si="145"/>
        <v>3JUV</v>
      </c>
      <c r="E796" s="62" t="s">
        <v>46</v>
      </c>
      <c r="F796" s="62" t="s">
        <v>125</v>
      </c>
      <c r="G796" s="62" t="s">
        <v>249</v>
      </c>
      <c r="H796" s="8" t="str">
        <f>VLOOKUP(G796,[1]Hoja1!$A:$O,6,0)</f>
        <v>ANALISIS DE LOS MODELOS CIRCUITALES</v>
      </c>
      <c r="I796" s="4"/>
      <c r="J796" s="4"/>
      <c r="K796" s="80" t="str">
        <f t="shared" si="154"/>
        <v>JU</v>
      </c>
      <c r="L796" s="4"/>
      <c r="M796" s="86" t="str">
        <f>VLOOKUP(G796,[1]Hoja1!$A:$O,15,0)</f>
        <v xml:space="preserve">ATAMAÑUK, FLORENCIA </v>
      </c>
      <c r="N796" s="2" t="str">
        <f t="shared" si="153"/>
        <v>5°3°5EAMCJU</v>
      </c>
      <c r="O796" s="2"/>
      <c r="P796" s="2" t="str">
        <f>VLOOKUP(G796,[1]Hoja1!$A:$P,16,0)</f>
        <v xml:space="preserve"> </v>
      </c>
      <c r="Q796" s="2"/>
      <c r="S796">
        <f>VLOOKUP(G796,[1]Hoja1!$A:$O,5,0)</f>
        <v>2355546</v>
      </c>
      <c r="U796" s="45" t="s">
        <v>2751</v>
      </c>
      <c r="V796" s="46">
        <f t="shared" si="146"/>
        <v>2355546</v>
      </c>
      <c r="W796" s="47" t="s">
        <v>1519</v>
      </c>
      <c r="X796" s="46" t="str">
        <f t="shared" si="147"/>
        <v>3</v>
      </c>
      <c r="Y796" s="47" t="s">
        <v>1518</v>
      </c>
      <c r="Z796" s="46" t="str">
        <f t="shared" si="148"/>
        <v>V</v>
      </c>
      <c r="AA796" s="47" t="s">
        <v>2752</v>
      </c>
      <c r="AB796" s="46" t="str">
        <f t="shared" si="149"/>
        <v>JUEVES</v>
      </c>
      <c r="AC796" s="47" t="s">
        <v>2753</v>
      </c>
      <c r="AD796">
        <f t="shared" si="150"/>
        <v>0</v>
      </c>
      <c r="AE796" s="47" t="s">
        <v>2754</v>
      </c>
      <c r="AH796" t="str">
        <f t="shared" si="151"/>
        <v>INSERT INTO horario_curso_materia (horario_curso_materia.FK_CUR_mat,horario_curso_materia.FK_HOR,horario_curso_materia.DIA,horario_curso_materia.tipo_turno) VALUES (  (SELECT curso_materia.ID_CUR_MAT FROM curso_materia WHERE curso_materia.CUPOF='2355546' ) ,
    (SELECT horario.ID_HOR FROM horario WHERE horario.modulo='3 ' and horario.turno='V ' ),'JUEVES ' , '0 ' );</v>
      </c>
    </row>
    <row r="797" spans="1:34" ht="15" hidden="1" customHeight="1" x14ac:dyDescent="0.3">
      <c r="A797" s="1" t="str">
        <f t="shared" si="152"/>
        <v>5°3°</v>
      </c>
      <c r="B797" s="54" t="str">
        <f t="shared" si="155"/>
        <v>5°3°3LUMAÑANA531</v>
      </c>
      <c r="C797" s="62">
        <f>VLOOKUP(G797,[1]Hoja1!$A:$O,3,0)</f>
        <v>531</v>
      </c>
      <c r="D797" s="2" t="str">
        <f t="shared" ref="D797:D860" si="156">CONCATENATE(E797,LEFT(F797,1),I797)</f>
        <v>3LUMrobotica</v>
      </c>
      <c r="E797" s="62" t="s">
        <v>29</v>
      </c>
      <c r="F797" s="62" t="s">
        <v>27</v>
      </c>
      <c r="G797" s="62" t="s">
        <v>178</v>
      </c>
      <c r="H797" s="8" t="str">
        <f>VLOOKUP(G797,[1]Hoja1!$A:$O,6,0)</f>
        <v xml:space="preserve">DISEÑO ASIST Y SIMUL ELECT </v>
      </c>
      <c r="I797" s="4" t="s">
        <v>2757</v>
      </c>
      <c r="J797" s="4"/>
      <c r="K797" s="80" t="str">
        <f t="shared" si="154"/>
        <v>LU</v>
      </c>
      <c r="L797" s="4" t="s">
        <v>512</v>
      </c>
      <c r="M797" s="86" t="str">
        <f>VLOOKUP(G797,[1]Hoja1!$A:$O,15,0)</f>
        <v>GUTIERREZ NICOLAS</v>
      </c>
      <c r="N797" s="2" t="str">
        <f t="shared" si="153"/>
        <v>5°3°5315EDASELU</v>
      </c>
      <c r="O797" s="2" t="s">
        <v>1503</v>
      </c>
      <c r="P797" s="2" t="str">
        <f>VLOOKUP(G797,[1]Hoja1!$A:$P,16,0)</f>
        <v xml:space="preserve"> </v>
      </c>
      <c r="Q797" s="2"/>
      <c r="S797">
        <f>VLOOKUP(G797,[1]Hoja1!$A:$O,5,0)</f>
        <v>2355556</v>
      </c>
      <c r="U797" s="45" t="s">
        <v>2751</v>
      </c>
      <c r="V797" s="46">
        <f t="shared" si="146"/>
        <v>2355556</v>
      </c>
      <c r="W797" s="47" t="s">
        <v>1519</v>
      </c>
      <c r="X797" s="46" t="str">
        <f t="shared" si="147"/>
        <v>3</v>
      </c>
      <c r="Y797" s="47" t="s">
        <v>1518</v>
      </c>
      <c r="Z797" s="46" t="str">
        <f t="shared" si="148"/>
        <v>M</v>
      </c>
      <c r="AA797" s="47" t="s">
        <v>2752</v>
      </c>
      <c r="AB797" s="46" t="str">
        <f t="shared" si="149"/>
        <v>LUNES</v>
      </c>
      <c r="AC797" s="47" t="s">
        <v>2753</v>
      </c>
      <c r="AD797" t="str">
        <f t="shared" si="150"/>
        <v>CONTRATURNO</v>
      </c>
      <c r="AE797" s="47" t="s">
        <v>2754</v>
      </c>
      <c r="AH797" t="str">
        <f t="shared" si="151"/>
        <v>INSERT INTO horario_curso_materia (horario_curso_materia.FK_CUR_mat,horario_curso_materia.FK_HOR,horario_curso_materia.DIA,horario_curso_materia.tipo_turno) VALUES (  (SELECT curso_materia.ID_CUR_MAT FROM curso_materia WHERE curso_materia.CUPOF='2355556' ) ,
    (SELECT horario.ID_HOR FROM horario WHERE horario.modulo='3 ' and horario.turno='M ' ),'LUNES ' , 'CONTRATURNO ' );</v>
      </c>
    </row>
    <row r="798" spans="1:34" ht="15" hidden="1" customHeight="1" x14ac:dyDescent="0.3">
      <c r="A798" s="1" t="str">
        <f t="shared" si="152"/>
        <v>5°3°</v>
      </c>
      <c r="B798" s="54" t="str">
        <f t="shared" si="155"/>
        <v>5°3°3LUVESPERTINO0</v>
      </c>
      <c r="C798" s="62">
        <f>VLOOKUP(G798,[1]Hoja1!$A:$O,3,0)</f>
        <v>0</v>
      </c>
      <c r="D798" s="2" t="str">
        <f t="shared" si="156"/>
        <v>3LUV</v>
      </c>
      <c r="E798" s="62" t="s">
        <v>29</v>
      </c>
      <c r="F798" s="62" t="s">
        <v>125</v>
      </c>
      <c r="G798" s="62" t="s">
        <v>244</v>
      </c>
      <c r="H798" s="8" t="str">
        <f>VLOOKUP(G798,[1]Hoja1!$A:$O,6,0)</f>
        <v>HISTORIA</v>
      </c>
      <c r="I798" s="4"/>
      <c r="J798" s="4"/>
      <c r="K798" s="80" t="str">
        <f t="shared" si="154"/>
        <v>LU</v>
      </c>
      <c r="L798" s="4"/>
      <c r="M798" s="86" t="str">
        <f>VLOOKUP(G798,[1]Hoja1!$A:$O,15,0)</f>
        <v>JUAREZ NORMA</v>
      </c>
      <c r="N798" s="2" t="str">
        <f t="shared" si="153"/>
        <v>5°3°5EHIS5LU</v>
      </c>
      <c r="O798" s="2"/>
      <c r="P798" s="2" t="str">
        <f>VLOOKUP(G798,[1]Hoja1!$A:$P,16,0)</f>
        <v xml:space="preserve"> </v>
      </c>
      <c r="Q798" s="2"/>
      <c r="S798">
        <f>VLOOKUP(G798,[1]Hoja1!$A:$O,5,0)</f>
        <v>2355535</v>
      </c>
      <c r="U798" s="45" t="s">
        <v>2751</v>
      </c>
      <c r="V798" s="46">
        <f t="shared" si="146"/>
        <v>2355535</v>
      </c>
      <c r="W798" s="47" t="s">
        <v>1519</v>
      </c>
      <c r="X798" s="46" t="str">
        <f t="shared" si="147"/>
        <v>3</v>
      </c>
      <c r="Y798" s="47" t="s">
        <v>1518</v>
      </c>
      <c r="Z798" s="46" t="str">
        <f t="shared" si="148"/>
        <v>V</v>
      </c>
      <c r="AA798" s="47" t="s">
        <v>2752</v>
      </c>
      <c r="AB798" s="46" t="str">
        <f t="shared" si="149"/>
        <v>LUNES</v>
      </c>
      <c r="AC798" s="47" t="s">
        <v>2753</v>
      </c>
      <c r="AD798">
        <f t="shared" si="150"/>
        <v>0</v>
      </c>
      <c r="AE798" s="47" t="s">
        <v>2754</v>
      </c>
      <c r="AH798" t="str">
        <f t="shared" si="151"/>
        <v>INSERT INTO horario_curso_materia (horario_curso_materia.FK_CUR_mat,horario_curso_materia.FK_HOR,horario_curso_materia.DIA,horario_curso_materia.tipo_turno) VALUES (  (SELECT curso_materia.ID_CUR_MAT FROM curso_materia WHERE curso_materia.CUPOF='2355535' ) ,
    (SELECT horario.ID_HOR FROM horario WHERE horario.modulo='3 ' and horario.turno='V ' ),'LUNES ' , '0 ' );</v>
      </c>
    </row>
    <row r="799" spans="1:34" ht="15" hidden="1" customHeight="1" x14ac:dyDescent="0.3">
      <c r="A799" s="1" t="str">
        <f t="shared" si="152"/>
        <v>5°3°</v>
      </c>
      <c r="B799" s="54" t="str">
        <f t="shared" si="155"/>
        <v>5°3°3MAMAÑANA531</v>
      </c>
      <c r="C799" s="62">
        <f>VLOOKUP(G799,[1]Hoja1!$A:$O,3,0)</f>
        <v>531</v>
      </c>
      <c r="D799" s="2" t="str">
        <f t="shared" si="156"/>
        <v>3MAM52</v>
      </c>
      <c r="E799" s="62" t="s">
        <v>13</v>
      </c>
      <c r="F799" s="62" t="s">
        <v>27</v>
      </c>
      <c r="G799" s="62" t="s">
        <v>179</v>
      </c>
      <c r="H799" s="8" t="str">
        <f>VLOOKUP(G799,[1]Hoja1!$A:$O,6,0)</f>
        <v xml:space="preserve">MONTAJE DE PROYECTO ELECTRONICOS </v>
      </c>
      <c r="I799" s="4">
        <v>52</v>
      </c>
      <c r="J799" s="4"/>
      <c r="K799" s="80" t="str">
        <f t="shared" si="154"/>
        <v>MA</v>
      </c>
      <c r="L799" s="4" t="s">
        <v>512</v>
      </c>
      <c r="M799" s="86" t="str">
        <f>VLOOKUP(G799,[1]Hoja1!$A:$O,15,0)</f>
        <v>SCHROEDER MATÍAS</v>
      </c>
      <c r="N799" s="2" t="str">
        <f t="shared" si="153"/>
        <v>5°3°5315EFTMP5MA</v>
      </c>
      <c r="O799" s="2"/>
      <c r="P799" s="2" t="str">
        <f>VLOOKUP(G799,[1]Hoja1!$A:$P,16,0)</f>
        <v xml:space="preserve"> </v>
      </c>
      <c r="Q799" s="2"/>
      <c r="S799">
        <f>VLOOKUP(G799,[1]Hoja1!$A:$O,5,0)</f>
        <v>2355566</v>
      </c>
      <c r="U799" s="45" t="s">
        <v>2751</v>
      </c>
      <c r="V799" s="46">
        <f t="shared" si="146"/>
        <v>2355566</v>
      </c>
      <c r="W799" s="47" t="s">
        <v>1519</v>
      </c>
      <c r="X799" s="46" t="str">
        <f t="shared" si="147"/>
        <v>3</v>
      </c>
      <c r="Y799" s="47" t="s">
        <v>1518</v>
      </c>
      <c r="Z799" s="46" t="str">
        <f t="shared" si="148"/>
        <v>M</v>
      </c>
      <c r="AA799" s="47" t="s">
        <v>2752</v>
      </c>
      <c r="AB799" s="46" t="str">
        <f t="shared" si="149"/>
        <v>MARTES</v>
      </c>
      <c r="AC799" s="47" t="s">
        <v>2753</v>
      </c>
      <c r="AD799" t="str">
        <f t="shared" si="150"/>
        <v>CONTRATURNO</v>
      </c>
      <c r="AE799" s="47" t="s">
        <v>2754</v>
      </c>
      <c r="AH799" t="str">
        <f t="shared" si="151"/>
        <v>INSERT INTO horario_curso_materia (horario_curso_materia.FK_CUR_mat,horario_curso_materia.FK_HOR,horario_curso_materia.DIA,horario_curso_materia.tipo_turno) VALUES (  (SELECT curso_materia.ID_CUR_MAT FROM curso_materia WHERE curso_materia.CUPOF='2355566' ) ,
    (SELECT horario.ID_HOR FROM horario WHERE horario.modulo='3 ' and horario.turno='M ' ),'MARTES ' , 'CONTRATURNO ' );</v>
      </c>
    </row>
    <row r="800" spans="1:34" ht="15" hidden="1" customHeight="1" x14ac:dyDescent="0.3">
      <c r="A800" s="1" t="str">
        <f t="shared" si="152"/>
        <v>5°3°</v>
      </c>
      <c r="B800" s="54" t="str">
        <f t="shared" si="155"/>
        <v>5°3°3MAMAÑANA532</v>
      </c>
      <c r="C800" s="62">
        <f>VLOOKUP(G800,[1]Hoja1!$A:$O,3,0)</f>
        <v>532</v>
      </c>
      <c r="D800" s="2" t="str">
        <f t="shared" si="156"/>
        <v>3MAM46</v>
      </c>
      <c r="E800" s="62" t="s">
        <v>13</v>
      </c>
      <c r="F800" s="62" t="s">
        <v>27</v>
      </c>
      <c r="G800" s="62" t="s">
        <v>180</v>
      </c>
      <c r="H800" s="8" t="str">
        <f>VLOOKUP(G800,[1]Hoja1!$A:$O,6,0)</f>
        <v xml:space="preserve">APLIC ELECT ANALOG </v>
      </c>
      <c r="I800" s="4">
        <v>46</v>
      </c>
      <c r="J800" s="4"/>
      <c r="K800" s="80" t="str">
        <f t="shared" si="154"/>
        <v>MA</v>
      </c>
      <c r="L800" s="4" t="s">
        <v>512</v>
      </c>
      <c r="M800" s="86" t="str">
        <f>VLOOKUP(G800,[1]Hoja1!$A:$O,15,0)</f>
        <v xml:space="preserve">ESCALADA ARNALDO     </v>
      </c>
      <c r="N800" s="2" t="str">
        <f t="shared" si="153"/>
        <v>5°3°5325EFTAE5MA</v>
      </c>
      <c r="O800" s="2"/>
      <c r="P800" s="2" t="str">
        <f>VLOOKUP(G800,[1]Hoja1!$A:$P,16,0)</f>
        <v xml:space="preserve"> </v>
      </c>
      <c r="Q800" s="2"/>
      <c r="S800">
        <f>VLOOKUP(G800,[1]Hoja1!$A:$O,5,0)</f>
        <v>2355569</v>
      </c>
      <c r="U800" s="45" t="s">
        <v>2751</v>
      </c>
      <c r="V800" s="46">
        <f t="shared" si="146"/>
        <v>2355569</v>
      </c>
      <c r="W800" s="47" t="s">
        <v>1519</v>
      </c>
      <c r="X800" s="46" t="str">
        <f t="shared" si="147"/>
        <v>3</v>
      </c>
      <c r="Y800" s="47" t="s">
        <v>1518</v>
      </c>
      <c r="Z800" s="46" t="str">
        <f t="shared" si="148"/>
        <v>M</v>
      </c>
      <c r="AA800" s="47" t="s">
        <v>2752</v>
      </c>
      <c r="AB800" s="46" t="str">
        <f t="shared" si="149"/>
        <v>MARTES</v>
      </c>
      <c r="AC800" s="47" t="s">
        <v>2753</v>
      </c>
      <c r="AD800" t="str">
        <f t="shared" si="150"/>
        <v>CONTRATURNO</v>
      </c>
      <c r="AE800" s="47" t="s">
        <v>2754</v>
      </c>
      <c r="AH800" t="str">
        <f t="shared" si="151"/>
        <v>INSERT INTO horario_curso_materia (horario_curso_materia.FK_CUR_mat,horario_curso_materia.FK_HOR,horario_curso_materia.DIA,horario_curso_materia.tipo_turno) VALUES (  (SELECT curso_materia.ID_CUR_MAT FROM curso_materia WHERE curso_materia.CUPOF='2355569' ) ,
    (SELECT horario.ID_HOR FROM horario WHERE horario.modulo='3 ' and horario.turno='M ' ),'MARTES ' , 'CONTRATURNO ' );</v>
      </c>
    </row>
    <row r="801" spans="1:34" ht="15" hidden="1" customHeight="1" x14ac:dyDescent="0.3">
      <c r="A801" s="3" t="str">
        <f t="shared" si="152"/>
        <v>5°3°</v>
      </c>
      <c r="B801" s="54" t="str">
        <f t="shared" si="155"/>
        <v>5°3°3MATARDE0</v>
      </c>
      <c r="C801" s="63">
        <f>VLOOKUP(G801,[1]Hoja1!$A:$O,3,0)</f>
        <v>0</v>
      </c>
      <c r="D801" s="2" t="str">
        <f t="shared" si="156"/>
        <v>3MATPATIO2</v>
      </c>
      <c r="E801" s="63" t="s">
        <v>13</v>
      </c>
      <c r="F801" s="63" t="s">
        <v>10</v>
      </c>
      <c r="G801" s="63" t="s">
        <v>251</v>
      </c>
      <c r="H801" s="3" t="str">
        <f>VLOOKUP(G801,[1]Hoja1!$A:$O,6,0)</f>
        <v>EDUCACIÓN FISICA</v>
      </c>
      <c r="I801" s="17" t="s">
        <v>295</v>
      </c>
      <c r="J801" s="17"/>
      <c r="K801" s="81" t="str">
        <f t="shared" si="154"/>
        <v>MA</v>
      </c>
      <c r="L801" s="17" t="s">
        <v>512</v>
      </c>
      <c r="M801" s="87" t="str">
        <f>VLOOKUP(G801,[1]Hoja1!$A:$O,15,0)</f>
        <v>SANCHEZ CARLOS</v>
      </c>
      <c r="N801" s="23" t="str">
        <f t="shared" si="153"/>
        <v>5°3°5EEFISMA</v>
      </c>
      <c r="O801" s="23" t="s">
        <v>1364</v>
      </c>
      <c r="P801" s="2" t="str">
        <f>VLOOKUP(G801,[1]Hoja1!$A:$P,16,0)</f>
        <v xml:space="preserve"> </v>
      </c>
      <c r="Q801" s="2"/>
      <c r="S801">
        <f>VLOOKUP(G801,[1]Hoja1!$A:$O,5,0)</f>
        <v>2355527</v>
      </c>
      <c r="U801" s="45" t="s">
        <v>2751</v>
      </c>
      <c r="V801" s="46">
        <f t="shared" si="146"/>
        <v>2355527</v>
      </c>
      <c r="W801" s="47" t="s">
        <v>1519</v>
      </c>
      <c r="X801" s="46" t="str">
        <f t="shared" si="147"/>
        <v>3</v>
      </c>
      <c r="Y801" s="47" t="s">
        <v>1518</v>
      </c>
      <c r="Z801" s="46" t="str">
        <f t="shared" si="148"/>
        <v>T</v>
      </c>
      <c r="AA801" s="47" t="s">
        <v>2752</v>
      </c>
      <c r="AB801" s="46" t="str">
        <f t="shared" si="149"/>
        <v>MARTES</v>
      </c>
      <c r="AC801" s="47" t="s">
        <v>2753</v>
      </c>
      <c r="AD801" t="str">
        <f t="shared" si="150"/>
        <v>CONTRATURNO</v>
      </c>
      <c r="AE801" s="47" t="s">
        <v>2754</v>
      </c>
      <c r="AH801" t="str">
        <f t="shared" si="151"/>
        <v>INSERT INTO horario_curso_materia (horario_curso_materia.FK_CUR_mat,horario_curso_materia.FK_HOR,horario_curso_materia.DIA,horario_curso_materia.tipo_turno) VALUES (  (SELECT curso_materia.ID_CUR_MAT FROM curso_materia WHERE curso_materia.CUPOF='2355527' ) ,
    (SELECT horario.ID_HOR FROM horario WHERE horario.modulo='3 ' and horario.turno='T ' ),'MARTES ' , 'CONTRATURNO ' );</v>
      </c>
    </row>
    <row r="802" spans="1:34" ht="15" hidden="1" customHeight="1" x14ac:dyDescent="0.3">
      <c r="A802" s="1" t="str">
        <f t="shared" si="152"/>
        <v>5°3°</v>
      </c>
      <c r="B802" s="54" t="str">
        <f t="shared" si="155"/>
        <v>5°3°3MAVESPERTINO0</v>
      </c>
      <c r="C802" s="62">
        <f>VLOOKUP(G802,[1]Hoja1!$A:$O,3,0)</f>
        <v>0</v>
      </c>
      <c r="D802" s="2" t="str">
        <f t="shared" si="156"/>
        <v>3MAV</v>
      </c>
      <c r="E802" s="62" t="s">
        <v>13</v>
      </c>
      <c r="F802" s="62" t="s">
        <v>125</v>
      </c>
      <c r="G802" s="62" t="s">
        <v>246</v>
      </c>
      <c r="H802" s="8" t="str">
        <f>VLOOKUP(G802,[1]Hoja1!$A:$O,6,0)</f>
        <v>LITERATURA</v>
      </c>
      <c r="I802" s="4"/>
      <c r="J802" s="4"/>
      <c r="K802" s="80" t="str">
        <f t="shared" si="154"/>
        <v>MA</v>
      </c>
      <c r="L802" s="4"/>
      <c r="M802" s="86" t="str">
        <f>VLOOKUP(G802,[1]Hoja1!$A:$O,15,0)</f>
        <v>SORIA, HERNAN MAXIMILIANO</v>
      </c>
      <c r="N802" s="2" t="str">
        <f t="shared" si="153"/>
        <v>5°3°5ELITSMA</v>
      </c>
      <c r="O802" s="2"/>
      <c r="P802" s="2" t="str">
        <f>VLOOKUP(G802,[1]Hoja1!$A:$P,16,0)</f>
        <v xml:space="preserve"> </v>
      </c>
      <c r="Q802" s="2"/>
      <c r="S802">
        <f>VLOOKUP(G802,[1]Hoja1!$A:$O,5,0)</f>
        <v>2355520</v>
      </c>
      <c r="U802" s="45" t="s">
        <v>2751</v>
      </c>
      <c r="V802" s="46">
        <f t="shared" si="146"/>
        <v>2355520</v>
      </c>
      <c r="W802" s="47" t="s">
        <v>1519</v>
      </c>
      <c r="X802" s="46" t="str">
        <f t="shared" si="147"/>
        <v>3</v>
      </c>
      <c r="Y802" s="47" t="s">
        <v>1518</v>
      </c>
      <c r="Z802" s="46" t="str">
        <f t="shared" si="148"/>
        <v>V</v>
      </c>
      <c r="AA802" s="47" t="s">
        <v>2752</v>
      </c>
      <c r="AB802" s="46" t="str">
        <f t="shared" si="149"/>
        <v>MARTES</v>
      </c>
      <c r="AC802" s="47" t="s">
        <v>2753</v>
      </c>
      <c r="AD802">
        <f t="shared" si="150"/>
        <v>0</v>
      </c>
      <c r="AE802" s="47" t="s">
        <v>2754</v>
      </c>
      <c r="AH802" t="str">
        <f t="shared" si="151"/>
        <v>INSERT INTO horario_curso_materia (horario_curso_materia.FK_CUR_mat,horario_curso_materia.FK_HOR,horario_curso_materia.DIA,horario_curso_materia.tipo_turno) VALUES (  (SELECT curso_materia.ID_CUR_MAT FROM curso_materia WHERE curso_materia.CUPOF='2355520' ) ,
    (SELECT horario.ID_HOR FROM horario WHERE horario.modulo='3 ' and horario.turno='V ' ),'MARTES ' , '0 ' );</v>
      </c>
    </row>
    <row r="803" spans="1:34" ht="15" hidden="1" customHeight="1" x14ac:dyDescent="0.3">
      <c r="A803" s="1" t="str">
        <f t="shared" si="152"/>
        <v>5°3°</v>
      </c>
      <c r="B803" s="54" t="str">
        <f t="shared" si="155"/>
        <v>5°3°3MIMAÑANA532</v>
      </c>
      <c r="C803" s="62">
        <f>VLOOKUP(G803,[1]Hoja1!$A:$O,3,0)</f>
        <v>532</v>
      </c>
      <c r="D803" s="2" t="str">
        <f t="shared" si="156"/>
        <v>3MIM44</v>
      </c>
      <c r="E803" s="62" t="s">
        <v>50</v>
      </c>
      <c r="F803" s="62" t="s">
        <v>27</v>
      </c>
      <c r="G803" s="62" t="s">
        <v>181</v>
      </c>
      <c r="H803" s="8" t="str">
        <f>VLOOKUP(G803,[1]Hoja1!$A:$O,6,0)</f>
        <v xml:space="preserve">MONTAJE DE PROYECTO ELECTRONICOS </v>
      </c>
      <c r="I803" s="4">
        <v>44</v>
      </c>
      <c r="J803" s="4"/>
      <c r="K803" s="80" t="str">
        <f t="shared" si="154"/>
        <v>MI</v>
      </c>
      <c r="L803" s="4" t="s">
        <v>512</v>
      </c>
      <c r="M803" s="86" t="str">
        <f>VLOOKUP(G803,[1]Hoja1!$A:$O,15,0)</f>
        <v>SERENO, LEONEL</v>
      </c>
      <c r="N803" s="2" t="str">
        <f t="shared" si="153"/>
        <v>5°3°5325EFTMP5MI</v>
      </c>
      <c r="O803" s="2"/>
      <c r="P803" s="2" t="str">
        <f>VLOOKUP(G803,[1]Hoja1!$A:$P,16,0)</f>
        <v xml:space="preserve"> </v>
      </c>
      <c r="Q803" s="2"/>
      <c r="S803">
        <f>VLOOKUP(G803,[1]Hoja1!$A:$O,5,0)</f>
        <v>2355579</v>
      </c>
      <c r="U803" s="45" t="s">
        <v>2751</v>
      </c>
      <c r="V803" s="46">
        <f t="shared" si="146"/>
        <v>2355579</v>
      </c>
      <c r="W803" s="47" t="s">
        <v>1519</v>
      </c>
      <c r="X803" s="46" t="str">
        <f t="shared" si="147"/>
        <v>3</v>
      </c>
      <c r="Y803" s="47" t="s">
        <v>1518</v>
      </c>
      <c r="Z803" s="46" t="str">
        <f t="shared" si="148"/>
        <v>M</v>
      </c>
      <c r="AA803" s="47" t="s">
        <v>2752</v>
      </c>
      <c r="AB803" s="46" t="str">
        <f t="shared" si="149"/>
        <v>MIERCOLES</v>
      </c>
      <c r="AC803" s="47" t="s">
        <v>2753</v>
      </c>
      <c r="AD803" t="str">
        <f t="shared" si="150"/>
        <v>CONTRATURNO</v>
      </c>
      <c r="AE803" s="47" t="s">
        <v>2754</v>
      </c>
      <c r="AH803" t="str">
        <f t="shared" si="151"/>
        <v>INSERT INTO horario_curso_materia (horario_curso_materia.FK_CUR_mat,horario_curso_materia.FK_HOR,horario_curso_materia.DIA,horario_curso_materia.tipo_turno) VALUES (  (SELECT curso_materia.ID_CUR_MAT FROM curso_materia WHERE curso_materia.CUPOF='2355579' ) ,
    (SELECT horario.ID_HOR FROM horario WHERE horario.modulo='3 ' and horario.turno='M ' ),'MIERCOLES ' , 'CONTRATURNO ' );</v>
      </c>
    </row>
    <row r="804" spans="1:34" ht="15" hidden="1" customHeight="1" x14ac:dyDescent="0.3">
      <c r="A804" s="1" t="str">
        <f t="shared" si="152"/>
        <v>5°3°</v>
      </c>
      <c r="B804" s="54" t="str">
        <f t="shared" si="155"/>
        <v>5°3°3MIVESPERTINO0</v>
      </c>
      <c r="C804" s="62">
        <f>VLOOKUP(G804,[1]Hoja1!$A:$O,3,0)</f>
        <v>0</v>
      </c>
      <c r="D804" s="2" t="str">
        <f t="shared" si="156"/>
        <v>3MIV</v>
      </c>
      <c r="E804" s="62" t="s">
        <v>50</v>
      </c>
      <c r="F804" s="62" t="s">
        <v>125</v>
      </c>
      <c r="G804" s="62" t="s">
        <v>247</v>
      </c>
      <c r="H804" s="8" t="str">
        <f>VLOOKUP(G804,[1]Hoja1!$A:$O,6,0)</f>
        <v>GEOGRAFIA</v>
      </c>
      <c r="I804" s="4"/>
      <c r="J804" s="4"/>
      <c r="K804" s="80" t="str">
        <f t="shared" si="154"/>
        <v>MI</v>
      </c>
      <c r="L804" s="4"/>
      <c r="M804" s="86" t="str">
        <f>VLOOKUP(G804,[1]Hoja1!$A:$O,15,0)</f>
        <v xml:space="preserve"> DIAZ MARCOS</v>
      </c>
      <c r="N804" s="2" t="str">
        <f t="shared" si="153"/>
        <v>5°3°5EGEOS5MI</v>
      </c>
      <c r="O804" s="2"/>
      <c r="P804" s="2" t="str">
        <f>VLOOKUP(G804,[1]Hoja1!$A:$P,16,0)</f>
        <v xml:space="preserve"> </v>
      </c>
      <c r="Q804" s="2"/>
      <c r="S804">
        <f>VLOOKUP(G804,[1]Hoja1!$A:$O,5,0)</f>
        <v>2355540</v>
      </c>
      <c r="U804" s="45" t="s">
        <v>2751</v>
      </c>
      <c r="V804" s="46">
        <f t="shared" si="146"/>
        <v>2355540</v>
      </c>
      <c r="W804" s="47" t="s">
        <v>1519</v>
      </c>
      <c r="X804" s="46" t="str">
        <f t="shared" si="147"/>
        <v>3</v>
      </c>
      <c r="Y804" s="47" t="s">
        <v>1518</v>
      </c>
      <c r="Z804" s="46" t="str">
        <f t="shared" si="148"/>
        <v>V</v>
      </c>
      <c r="AA804" s="47" t="s">
        <v>2752</v>
      </c>
      <c r="AB804" s="46" t="str">
        <f t="shared" si="149"/>
        <v>MIERCOLES</v>
      </c>
      <c r="AC804" s="47" t="s">
        <v>2753</v>
      </c>
      <c r="AD804">
        <f t="shared" si="150"/>
        <v>0</v>
      </c>
      <c r="AE804" s="47" t="s">
        <v>2754</v>
      </c>
      <c r="AH804" t="str">
        <f t="shared" si="151"/>
        <v>INSERT INTO horario_curso_materia (horario_curso_materia.FK_CUR_mat,horario_curso_materia.FK_HOR,horario_curso_materia.DIA,horario_curso_materia.tipo_turno) VALUES (  (SELECT curso_materia.ID_CUR_MAT FROM curso_materia WHERE curso_materia.CUPOF='2355540' ) ,
    (SELECT horario.ID_HOR FROM horario WHERE horario.modulo='3 ' and horario.turno='V ' ),'MIERCOLES ' , '0 ' );</v>
      </c>
    </row>
    <row r="805" spans="1:34" ht="15" hidden="1" customHeight="1" x14ac:dyDescent="0.3">
      <c r="A805" s="1" t="str">
        <f t="shared" si="152"/>
        <v>5°3°</v>
      </c>
      <c r="B805" s="54" t="str">
        <f t="shared" si="155"/>
        <v>5°3°3VIMAÑANA531</v>
      </c>
      <c r="C805" s="62">
        <f>VLOOKUP(G805,[1]Hoja1!$A:$O,3,0)</f>
        <v>531</v>
      </c>
      <c r="D805" s="2" t="str">
        <f t="shared" si="156"/>
        <v>3VIM45</v>
      </c>
      <c r="E805" s="62" t="s">
        <v>35</v>
      </c>
      <c r="F805" s="62" t="s">
        <v>27</v>
      </c>
      <c r="G805" s="62" t="s">
        <v>184</v>
      </c>
      <c r="H805" s="8" t="str">
        <f>VLOOKUP(G805,[1]Hoja1!$A:$O,6,0)</f>
        <v xml:space="preserve">APLIC ELECT ANALOG </v>
      </c>
      <c r="I805" s="4">
        <v>45</v>
      </c>
      <c r="J805" s="4"/>
      <c r="K805" s="80" t="str">
        <f t="shared" si="154"/>
        <v>VI</v>
      </c>
      <c r="L805" s="4" t="s">
        <v>512</v>
      </c>
      <c r="M805" s="86" t="str">
        <f>VLOOKUP(G805,[1]Hoja1!$A:$O,15,0)</f>
        <v>MARTINEZ, SILVIO</v>
      </c>
      <c r="N805" s="2" t="str">
        <f t="shared" si="153"/>
        <v>5°3°5315EFTAE5VI</v>
      </c>
      <c r="O805" s="2"/>
      <c r="P805" s="2" t="str">
        <f>VLOOKUP(G805,[1]Hoja1!$A:$P,16,0)</f>
        <v xml:space="preserve"> </v>
      </c>
      <c r="Q805" s="2"/>
      <c r="S805">
        <f>VLOOKUP(G805,[1]Hoja1!$A:$O,5,0)</f>
        <v>2355560</v>
      </c>
      <c r="U805" s="45" t="s">
        <v>2751</v>
      </c>
      <c r="V805" s="46">
        <f t="shared" si="146"/>
        <v>2355560</v>
      </c>
      <c r="W805" s="47" t="s">
        <v>1519</v>
      </c>
      <c r="X805" s="46" t="str">
        <f t="shared" si="147"/>
        <v>3</v>
      </c>
      <c r="Y805" s="47" t="s">
        <v>1518</v>
      </c>
      <c r="Z805" s="46" t="str">
        <f t="shared" si="148"/>
        <v>M</v>
      </c>
      <c r="AA805" s="47" t="s">
        <v>2752</v>
      </c>
      <c r="AB805" s="46" t="str">
        <f t="shared" si="149"/>
        <v>VIERNES</v>
      </c>
      <c r="AC805" s="47" t="s">
        <v>2753</v>
      </c>
      <c r="AD805" t="str">
        <f t="shared" si="150"/>
        <v>CONTRATURNO</v>
      </c>
      <c r="AE805" s="47" t="s">
        <v>2754</v>
      </c>
      <c r="AH805" t="str">
        <f t="shared" si="151"/>
        <v>INSERT INTO horario_curso_materia (horario_curso_materia.FK_CUR_mat,horario_curso_materia.FK_HOR,horario_curso_materia.DIA,horario_curso_materia.tipo_turno) VALUES (  (SELECT curso_materia.ID_CUR_MAT FROM curso_materia WHERE curso_materia.CUPOF='2355560' ) ,
    (SELECT horario.ID_HOR FROM horario WHERE horario.modulo='3 ' and horario.turno='M ' ),'VIERNES ' , 'CONTRATURNO ' );</v>
      </c>
    </row>
    <row r="806" spans="1:34" ht="15" hidden="1" customHeight="1" x14ac:dyDescent="0.3">
      <c r="A806" s="1" t="str">
        <f t="shared" si="152"/>
        <v>5°3°</v>
      </c>
      <c r="B806" s="54" t="str">
        <f t="shared" si="155"/>
        <v>5°3°1MAVESPERTINO0</v>
      </c>
      <c r="C806" s="62">
        <f>VLOOKUP(G806,[1]Hoja1!$A:$O,3,0)</f>
        <v>0</v>
      </c>
      <c r="D806" s="2" t="str">
        <f t="shared" si="156"/>
        <v>1MAV</v>
      </c>
      <c r="E806" s="63" t="s">
        <v>17</v>
      </c>
      <c r="F806" s="62" t="s">
        <v>125</v>
      </c>
      <c r="G806" s="62" t="s">
        <v>245</v>
      </c>
      <c r="H806" s="8" t="str">
        <f>VLOOKUP(G806,[1]Hoja1!$A:$O,6,0)</f>
        <v>ANALISIS MATEMATICO</v>
      </c>
      <c r="I806" s="4"/>
      <c r="J806" s="4"/>
      <c r="K806" s="80" t="str">
        <f t="shared" si="154"/>
        <v>MA</v>
      </c>
      <c r="L806" s="4"/>
      <c r="M806" s="86" t="str">
        <f>VLOOKUP(G806,[1]Hoja1!$A:$O,15,0)</f>
        <v>MAZU LEILA</v>
      </c>
      <c r="N806" s="2" t="str">
        <f t="shared" si="153"/>
        <v>5°3°5EANMATMA</v>
      </c>
      <c r="O806" s="2" t="s">
        <v>559</v>
      </c>
      <c r="P806" s="2" t="str">
        <f>VLOOKUP(G806,[1]Hoja1!$A:$P,16,0)</f>
        <v xml:space="preserve"> </v>
      </c>
      <c r="Q806" s="2"/>
      <c r="S806">
        <f>VLOOKUP(G806,[1]Hoja1!$A:$O,5,0)</f>
        <v>2355542</v>
      </c>
      <c r="U806" s="45" t="s">
        <v>2751</v>
      </c>
      <c r="V806" s="46">
        <f t="shared" si="146"/>
        <v>2355542</v>
      </c>
      <c r="W806" s="47" t="s">
        <v>1519</v>
      </c>
      <c r="X806" s="46" t="str">
        <f t="shared" si="147"/>
        <v>1</v>
      </c>
      <c r="Y806" s="47" t="s">
        <v>1518</v>
      </c>
      <c r="Z806" s="46" t="str">
        <f t="shared" si="148"/>
        <v>V</v>
      </c>
      <c r="AA806" s="47" t="s">
        <v>2752</v>
      </c>
      <c r="AB806" s="46" t="str">
        <f t="shared" si="149"/>
        <v>MARTES</v>
      </c>
      <c r="AC806" s="47" t="s">
        <v>2753</v>
      </c>
      <c r="AD806">
        <f t="shared" si="150"/>
        <v>0</v>
      </c>
      <c r="AE806" s="47" t="s">
        <v>2754</v>
      </c>
      <c r="AH806" t="str">
        <f t="shared" si="151"/>
        <v>INSERT INTO horario_curso_materia (horario_curso_materia.FK_CUR_mat,horario_curso_materia.FK_HOR,horario_curso_materia.DIA,horario_curso_materia.tipo_turno) VALUES (  (SELECT curso_materia.ID_CUR_MAT FROM curso_materia WHERE curso_materia.CUPOF='2355542' ) ,
    (SELECT horario.ID_HOR FROM horario WHERE horario.modulo='1 ' and horario.turno='V ' ),'MARTES ' , '0 ' );</v>
      </c>
    </row>
    <row r="807" spans="1:34" ht="14.25" hidden="1" customHeight="1" thickBot="1" x14ac:dyDescent="0.35">
      <c r="A807" s="1" t="str">
        <f t="shared" si="152"/>
        <v>5°3°</v>
      </c>
      <c r="B807" s="54" t="str">
        <f t="shared" si="155"/>
        <v>5°3°4JUMAÑANA531</v>
      </c>
      <c r="C807" s="62">
        <f>VLOOKUP(G807,[1]Hoja1!$A:$O,3,0)</f>
        <v>531</v>
      </c>
      <c r="D807" s="2" t="str">
        <f t="shared" si="156"/>
        <v>4JUM45</v>
      </c>
      <c r="E807" s="62" t="s">
        <v>48</v>
      </c>
      <c r="F807" s="62" t="s">
        <v>27</v>
      </c>
      <c r="G807" s="62" t="s">
        <v>182</v>
      </c>
      <c r="H807" s="8" t="str">
        <f>VLOOKUP(G807,[1]Hoja1!$A:$O,6,0)</f>
        <v>APLIC ELECTR DIGITAL</v>
      </c>
      <c r="I807" s="77">
        <v>45</v>
      </c>
      <c r="J807" s="4"/>
      <c r="K807" s="80" t="str">
        <f t="shared" si="154"/>
        <v>JU</v>
      </c>
      <c r="L807" s="4" t="s">
        <v>512</v>
      </c>
      <c r="M807" s="86" t="str">
        <f>VLOOKUP(G807,[1]Hoja1!$A:$O,15,0)</f>
        <v>SERENO, LEONEL</v>
      </c>
      <c r="N807" s="2" t="str">
        <f t="shared" si="153"/>
        <v>5°3°5315EFTED5JU</v>
      </c>
      <c r="O807" s="2"/>
      <c r="P807" s="2" t="str">
        <f>VLOOKUP(G807,[1]Hoja1!$A:$P,16,0)</f>
        <v xml:space="preserve"> </v>
      </c>
      <c r="Q807" s="2"/>
      <c r="S807">
        <f>VLOOKUP(G807,[1]Hoja1!$A:$O,5,0)</f>
        <v>2355564</v>
      </c>
      <c r="U807" s="45" t="s">
        <v>2751</v>
      </c>
      <c r="V807" s="46">
        <f t="shared" si="146"/>
        <v>2355564</v>
      </c>
      <c r="W807" s="47" t="s">
        <v>1519</v>
      </c>
      <c r="X807" s="46" t="str">
        <f t="shared" si="147"/>
        <v>4</v>
      </c>
      <c r="Y807" s="47" t="s">
        <v>1518</v>
      </c>
      <c r="Z807" s="46" t="str">
        <f t="shared" si="148"/>
        <v>M</v>
      </c>
      <c r="AA807" s="47" t="s">
        <v>2752</v>
      </c>
      <c r="AB807" s="46" t="str">
        <f t="shared" si="149"/>
        <v>JUEVES</v>
      </c>
      <c r="AC807" s="47" t="s">
        <v>2753</v>
      </c>
      <c r="AD807" t="str">
        <f t="shared" si="150"/>
        <v>CONTRATURNO</v>
      </c>
      <c r="AE807" s="47" t="s">
        <v>2754</v>
      </c>
      <c r="AH807" t="str">
        <f t="shared" si="151"/>
        <v>INSERT INTO horario_curso_materia (horario_curso_materia.FK_CUR_mat,horario_curso_materia.FK_HOR,horario_curso_materia.DIA,horario_curso_materia.tipo_turno) VALUES (  (SELECT curso_materia.ID_CUR_MAT FROM curso_materia WHERE curso_materia.CUPOF='2355564' ) ,
    (SELECT horario.ID_HOR FROM horario WHERE horario.modulo='4 ' and horario.turno='M ' ),'JUEVES ' , 'CONTRATURNO ' );</v>
      </c>
    </row>
    <row r="808" spans="1:34" ht="14.25" hidden="1" customHeight="1" x14ac:dyDescent="0.3">
      <c r="A808" s="1" t="str">
        <f t="shared" si="152"/>
        <v>5°3°</v>
      </c>
      <c r="B808" s="54" t="str">
        <f t="shared" si="155"/>
        <v>5°3°4JUMAÑANA532</v>
      </c>
      <c r="C808" s="62">
        <f>VLOOKUP(G808,[1]Hoja1!$A:$O,3,0)</f>
        <v>532</v>
      </c>
      <c r="D808" s="2" t="str">
        <f t="shared" si="156"/>
        <v>4JUM46</v>
      </c>
      <c r="E808" s="62" t="s">
        <v>48</v>
      </c>
      <c r="F808" s="62" t="s">
        <v>27</v>
      </c>
      <c r="G808" s="62" t="s">
        <v>183</v>
      </c>
      <c r="H808" s="8" t="str">
        <f>VLOOKUP(G808,[1]Hoja1!$A:$O,6,0)</f>
        <v>APLIC ELECTR DIGITAL</v>
      </c>
      <c r="I808" s="4">
        <v>46</v>
      </c>
      <c r="J808" s="4"/>
      <c r="K808" s="80" t="str">
        <f t="shared" si="154"/>
        <v>JU</v>
      </c>
      <c r="L808" s="4" t="s">
        <v>512</v>
      </c>
      <c r="M808" s="86" t="str">
        <f>VLOOKUP(G808,[1]Hoja1!$A:$O,15,0)</f>
        <v xml:space="preserve">FISTER VICTOR </v>
      </c>
      <c r="N808" s="2" t="str">
        <f t="shared" si="153"/>
        <v>5°3°5325EFTED5JU</v>
      </c>
      <c r="O808" s="2"/>
      <c r="P808" s="2" t="str">
        <f>VLOOKUP(G808,[1]Hoja1!$A:$P,16,0)</f>
        <v xml:space="preserve"> </v>
      </c>
      <c r="Q808" s="2"/>
      <c r="S808">
        <f>VLOOKUP(G808,[1]Hoja1!$A:$O,5,0)</f>
        <v>2355572</v>
      </c>
      <c r="U808" s="45" t="s">
        <v>2751</v>
      </c>
      <c r="V808" s="46">
        <f t="shared" si="146"/>
        <v>2355572</v>
      </c>
      <c r="W808" s="47" t="s">
        <v>1519</v>
      </c>
      <c r="X808" s="46" t="str">
        <f t="shared" si="147"/>
        <v>4</v>
      </c>
      <c r="Y808" s="47" t="s">
        <v>1518</v>
      </c>
      <c r="Z808" s="46" t="str">
        <f t="shared" si="148"/>
        <v>M</v>
      </c>
      <c r="AA808" s="47" t="s">
        <v>2752</v>
      </c>
      <c r="AB808" s="46" t="str">
        <f t="shared" si="149"/>
        <v>JUEVES</v>
      </c>
      <c r="AC808" s="47" t="s">
        <v>2753</v>
      </c>
      <c r="AD808" t="str">
        <f t="shared" si="150"/>
        <v>CONTRATURNO</v>
      </c>
      <c r="AE808" s="47" t="s">
        <v>2754</v>
      </c>
      <c r="AH808" t="str">
        <f t="shared" si="151"/>
        <v>INSERT INTO horario_curso_materia (horario_curso_materia.FK_CUR_mat,horario_curso_materia.FK_HOR,horario_curso_materia.DIA,horario_curso_materia.tipo_turno) VALUES (  (SELECT curso_materia.ID_CUR_MAT FROM curso_materia WHERE curso_materia.CUPOF='2355572' ) ,
    (SELECT horario.ID_HOR FROM horario WHERE horario.modulo='4 ' and horario.turno='M ' ),'JUEVES ' , 'CONTRATURNO ' );</v>
      </c>
    </row>
    <row r="809" spans="1:34" ht="15" hidden="1" customHeight="1" x14ac:dyDescent="0.3">
      <c r="A809" s="1" t="str">
        <f t="shared" si="152"/>
        <v>5°3°</v>
      </c>
      <c r="B809" s="54" t="str">
        <f t="shared" si="155"/>
        <v>5°3°4LUMAÑANA531</v>
      </c>
      <c r="C809" s="62">
        <f>VLOOKUP(G809,[1]Hoja1!$A:$O,3,0)</f>
        <v>531</v>
      </c>
      <c r="D809" s="2" t="str">
        <f t="shared" si="156"/>
        <v>4LUMrobotica</v>
      </c>
      <c r="E809" s="62" t="s">
        <v>31</v>
      </c>
      <c r="F809" s="62" t="s">
        <v>27</v>
      </c>
      <c r="G809" s="62" t="s">
        <v>178</v>
      </c>
      <c r="H809" s="8" t="str">
        <f>VLOOKUP(G809,[1]Hoja1!$A:$O,6,0)</f>
        <v xml:space="preserve">DISEÑO ASIST Y SIMUL ELECT </v>
      </c>
      <c r="I809" s="4" t="s">
        <v>2757</v>
      </c>
      <c r="J809" s="4"/>
      <c r="K809" s="80" t="str">
        <f t="shared" si="154"/>
        <v>LU</v>
      </c>
      <c r="L809" s="4" t="s">
        <v>512</v>
      </c>
      <c r="M809" s="86" t="str">
        <f>VLOOKUP(G809,[1]Hoja1!$A:$O,15,0)</f>
        <v>GUTIERREZ NICOLAS</v>
      </c>
      <c r="N809" s="2" t="str">
        <f t="shared" si="153"/>
        <v>5°3°5315EDASELU</v>
      </c>
      <c r="O809" s="2" t="s">
        <v>1502</v>
      </c>
      <c r="P809" s="2" t="str">
        <f>VLOOKUP(G809,[1]Hoja1!$A:$P,16,0)</f>
        <v xml:space="preserve"> </v>
      </c>
      <c r="Q809" s="2"/>
      <c r="S809">
        <f>VLOOKUP(G809,[1]Hoja1!$A:$O,5,0)</f>
        <v>2355556</v>
      </c>
      <c r="U809" s="45" t="s">
        <v>2751</v>
      </c>
      <c r="V809" s="46">
        <f t="shared" si="146"/>
        <v>2355556</v>
      </c>
      <c r="W809" s="47" t="s">
        <v>1519</v>
      </c>
      <c r="X809" s="46" t="str">
        <f t="shared" si="147"/>
        <v>4</v>
      </c>
      <c r="Y809" s="47" t="s">
        <v>1518</v>
      </c>
      <c r="Z809" s="46" t="str">
        <f t="shared" si="148"/>
        <v>M</v>
      </c>
      <c r="AA809" s="47" t="s">
        <v>2752</v>
      </c>
      <c r="AB809" s="46" t="str">
        <f t="shared" si="149"/>
        <v>LUNES</v>
      </c>
      <c r="AC809" s="47" t="s">
        <v>2753</v>
      </c>
      <c r="AD809" t="str">
        <f t="shared" si="150"/>
        <v>CONTRATURNO</v>
      </c>
      <c r="AE809" s="47" t="s">
        <v>2754</v>
      </c>
      <c r="AH809" t="str">
        <f t="shared" si="151"/>
        <v>INSERT INTO horario_curso_materia (horario_curso_materia.FK_CUR_mat,horario_curso_materia.FK_HOR,horario_curso_materia.DIA,horario_curso_materia.tipo_turno) VALUES (  (SELECT curso_materia.ID_CUR_MAT FROM curso_materia WHERE curso_materia.CUPOF='2355556' ) ,
    (SELECT horario.ID_HOR FROM horario WHERE horario.modulo='4 ' and horario.turno='M ' ),'LUNES ' , 'CONTRATURNO ' );</v>
      </c>
    </row>
    <row r="810" spans="1:34" ht="15" hidden="1" customHeight="1" x14ac:dyDescent="0.3">
      <c r="A810" s="1" t="str">
        <f t="shared" si="152"/>
        <v>5°3°</v>
      </c>
      <c r="B810" s="54" t="str">
        <f t="shared" si="155"/>
        <v>5°3°4LUVESPERTINO0</v>
      </c>
      <c r="C810" s="62">
        <f>VLOOKUP(G810,[1]Hoja1!$A:$O,3,0)</f>
        <v>0</v>
      </c>
      <c r="D810" s="2" t="str">
        <f t="shared" si="156"/>
        <v>4LUV</v>
      </c>
      <c r="E810" s="62" t="s">
        <v>31</v>
      </c>
      <c r="F810" s="62" t="s">
        <v>125</v>
      </c>
      <c r="G810" s="62" t="s">
        <v>244</v>
      </c>
      <c r="H810" s="8" t="str">
        <f>VLOOKUP(G810,[1]Hoja1!$A:$O,6,0)</f>
        <v>HISTORIA</v>
      </c>
      <c r="I810" s="4"/>
      <c r="J810" s="4"/>
      <c r="K810" s="80" t="str">
        <f t="shared" si="154"/>
        <v>LU</v>
      </c>
      <c r="L810" s="4"/>
      <c r="M810" s="86" t="str">
        <f>VLOOKUP(G810,[1]Hoja1!$A:$O,15,0)</f>
        <v>JUAREZ NORMA</v>
      </c>
      <c r="N810" s="2" t="str">
        <f t="shared" si="153"/>
        <v>5°3°5EHIS5LU</v>
      </c>
      <c r="O810" s="2"/>
      <c r="P810" s="2" t="str">
        <f>VLOOKUP(G810,[1]Hoja1!$A:$P,16,0)</f>
        <v xml:space="preserve"> </v>
      </c>
      <c r="Q810" s="2"/>
      <c r="S810">
        <f>VLOOKUP(G810,[1]Hoja1!$A:$O,5,0)</f>
        <v>2355535</v>
      </c>
      <c r="U810" s="45" t="s">
        <v>2751</v>
      </c>
      <c r="V810" s="46">
        <f t="shared" si="146"/>
        <v>2355535</v>
      </c>
      <c r="W810" s="47" t="s">
        <v>1519</v>
      </c>
      <c r="X810" s="46" t="str">
        <f t="shared" si="147"/>
        <v>4</v>
      </c>
      <c r="Y810" s="47" t="s">
        <v>1518</v>
      </c>
      <c r="Z810" s="46" t="str">
        <f t="shared" si="148"/>
        <v>V</v>
      </c>
      <c r="AA810" s="47" t="s">
        <v>2752</v>
      </c>
      <c r="AB810" s="46" t="str">
        <f t="shared" si="149"/>
        <v>LUNES</v>
      </c>
      <c r="AC810" s="47" t="s">
        <v>2753</v>
      </c>
      <c r="AD810">
        <f t="shared" si="150"/>
        <v>0</v>
      </c>
      <c r="AE810" s="47" t="s">
        <v>2754</v>
      </c>
      <c r="AH810" t="str">
        <f t="shared" si="151"/>
        <v>INSERT INTO horario_curso_materia (horario_curso_materia.FK_CUR_mat,horario_curso_materia.FK_HOR,horario_curso_materia.DIA,horario_curso_materia.tipo_turno) VALUES (  (SELECT curso_materia.ID_CUR_MAT FROM curso_materia WHERE curso_materia.CUPOF='2355535' ) ,
    (SELECT horario.ID_HOR FROM horario WHERE horario.modulo='4 ' and horario.turno='V ' ),'LUNES ' , '0 ' );</v>
      </c>
    </row>
    <row r="811" spans="1:34" ht="15" hidden="1" customHeight="1" x14ac:dyDescent="0.3">
      <c r="A811" s="1" t="str">
        <f t="shared" si="152"/>
        <v>5°3°</v>
      </c>
      <c r="B811" s="54" t="str">
        <f t="shared" si="155"/>
        <v>5°3°4MAMAÑANA531</v>
      </c>
      <c r="C811" s="62">
        <f>VLOOKUP(G811,[1]Hoja1!$A:$O,3,0)</f>
        <v>531</v>
      </c>
      <c r="D811" s="2" t="str">
        <f t="shared" si="156"/>
        <v>4MAM52</v>
      </c>
      <c r="E811" s="62" t="s">
        <v>16</v>
      </c>
      <c r="F811" s="62" t="s">
        <v>27</v>
      </c>
      <c r="G811" s="62" t="s">
        <v>179</v>
      </c>
      <c r="H811" s="8" t="str">
        <f>VLOOKUP(G811,[1]Hoja1!$A:$O,6,0)</f>
        <v xml:space="preserve">MONTAJE DE PROYECTO ELECTRONICOS </v>
      </c>
      <c r="I811" s="4">
        <v>52</v>
      </c>
      <c r="J811" s="4"/>
      <c r="K811" s="80" t="str">
        <f t="shared" si="154"/>
        <v>MA</v>
      </c>
      <c r="L811" s="4" t="s">
        <v>512</v>
      </c>
      <c r="M811" s="86" t="str">
        <f>VLOOKUP(G811,[1]Hoja1!$A:$O,15,0)</f>
        <v>SCHROEDER MATÍAS</v>
      </c>
      <c r="N811" s="2" t="str">
        <f t="shared" si="153"/>
        <v>5°3°5315EFTMP5MA</v>
      </c>
      <c r="O811" s="2"/>
      <c r="P811" s="2" t="str">
        <f>VLOOKUP(G811,[1]Hoja1!$A:$P,16,0)</f>
        <v xml:space="preserve"> </v>
      </c>
      <c r="Q811" s="2"/>
      <c r="S811">
        <f>VLOOKUP(G811,[1]Hoja1!$A:$O,5,0)</f>
        <v>2355566</v>
      </c>
      <c r="U811" s="45" t="s">
        <v>2751</v>
      </c>
      <c r="V811" s="46">
        <f t="shared" si="146"/>
        <v>2355566</v>
      </c>
      <c r="W811" s="47" t="s">
        <v>1519</v>
      </c>
      <c r="X811" s="46" t="str">
        <f t="shared" si="147"/>
        <v>4</v>
      </c>
      <c r="Y811" s="47" t="s">
        <v>1518</v>
      </c>
      <c r="Z811" s="46" t="str">
        <f t="shared" si="148"/>
        <v>M</v>
      </c>
      <c r="AA811" s="47" t="s">
        <v>2752</v>
      </c>
      <c r="AB811" s="46" t="str">
        <f t="shared" si="149"/>
        <v>MARTES</v>
      </c>
      <c r="AC811" s="47" t="s">
        <v>2753</v>
      </c>
      <c r="AD811" t="str">
        <f t="shared" si="150"/>
        <v>CONTRATURNO</v>
      </c>
      <c r="AE811" s="47" t="s">
        <v>2754</v>
      </c>
      <c r="AH811" t="str">
        <f t="shared" si="151"/>
        <v>INSERT INTO horario_curso_materia (horario_curso_materia.FK_CUR_mat,horario_curso_materia.FK_HOR,horario_curso_materia.DIA,horario_curso_materia.tipo_turno) VALUES (  (SELECT curso_materia.ID_CUR_MAT FROM curso_materia WHERE curso_materia.CUPOF='2355566' ) ,
    (SELECT horario.ID_HOR FROM horario WHERE horario.modulo='4 ' and horario.turno='M ' ),'MARTES ' , 'CONTRATURNO ' );</v>
      </c>
    </row>
    <row r="812" spans="1:34" ht="15" hidden="1" customHeight="1" x14ac:dyDescent="0.3">
      <c r="A812" s="1" t="str">
        <f t="shared" si="152"/>
        <v>5°3°</v>
      </c>
      <c r="B812" s="54" t="str">
        <f t="shared" si="155"/>
        <v>5°3°4MAMAÑANA532</v>
      </c>
      <c r="C812" s="62">
        <f>VLOOKUP(G812,[1]Hoja1!$A:$O,3,0)</f>
        <v>532</v>
      </c>
      <c r="D812" s="2" t="str">
        <f t="shared" si="156"/>
        <v>4MAM46</v>
      </c>
      <c r="E812" s="62" t="s">
        <v>16</v>
      </c>
      <c r="F812" s="62" t="s">
        <v>27</v>
      </c>
      <c r="G812" s="62" t="s">
        <v>180</v>
      </c>
      <c r="H812" s="8" t="str">
        <f>VLOOKUP(G812,[1]Hoja1!$A:$O,6,0)</f>
        <v xml:space="preserve">APLIC ELECT ANALOG </v>
      </c>
      <c r="I812" s="4">
        <v>46</v>
      </c>
      <c r="J812" s="4"/>
      <c r="K812" s="80" t="str">
        <f t="shared" si="154"/>
        <v>MA</v>
      </c>
      <c r="L812" s="4" t="s">
        <v>512</v>
      </c>
      <c r="M812" s="86" t="str">
        <f>VLOOKUP(G812,[1]Hoja1!$A:$O,15,0)</f>
        <v xml:space="preserve">ESCALADA ARNALDO     </v>
      </c>
      <c r="N812" s="2" t="str">
        <f t="shared" si="153"/>
        <v>5°3°5325EFTAE5MA</v>
      </c>
      <c r="O812" s="2"/>
      <c r="P812" s="2" t="str">
        <f>VLOOKUP(G812,[1]Hoja1!$A:$P,16,0)</f>
        <v xml:space="preserve"> </v>
      </c>
      <c r="Q812" s="2"/>
      <c r="S812">
        <f>VLOOKUP(G812,[1]Hoja1!$A:$O,5,0)</f>
        <v>2355569</v>
      </c>
      <c r="U812" s="45" t="s">
        <v>2751</v>
      </c>
      <c r="V812" s="46">
        <f t="shared" si="146"/>
        <v>2355569</v>
      </c>
      <c r="W812" s="47" t="s">
        <v>1519</v>
      </c>
      <c r="X812" s="46" t="str">
        <f t="shared" si="147"/>
        <v>4</v>
      </c>
      <c r="Y812" s="47" t="s">
        <v>1518</v>
      </c>
      <c r="Z812" s="46" t="str">
        <f t="shared" si="148"/>
        <v>M</v>
      </c>
      <c r="AA812" s="47" t="s">
        <v>2752</v>
      </c>
      <c r="AB812" s="46" t="str">
        <f t="shared" si="149"/>
        <v>MARTES</v>
      </c>
      <c r="AC812" s="47" t="s">
        <v>2753</v>
      </c>
      <c r="AD812" t="str">
        <f t="shared" si="150"/>
        <v>CONTRATURNO</v>
      </c>
      <c r="AE812" s="47" t="s">
        <v>2754</v>
      </c>
      <c r="AH812" t="str">
        <f t="shared" si="151"/>
        <v>INSERT INTO horario_curso_materia (horario_curso_materia.FK_CUR_mat,horario_curso_materia.FK_HOR,horario_curso_materia.DIA,horario_curso_materia.tipo_turno) VALUES (  (SELECT curso_materia.ID_CUR_MAT FROM curso_materia WHERE curso_materia.CUPOF='2355569' ) ,
    (SELECT horario.ID_HOR FROM horario WHERE horario.modulo='4 ' and horario.turno='M ' ),'MARTES ' , 'CONTRATURNO ' );</v>
      </c>
    </row>
    <row r="813" spans="1:34" ht="15" hidden="1" customHeight="1" x14ac:dyDescent="0.3">
      <c r="A813" s="1" t="str">
        <f t="shared" si="152"/>
        <v>5°3°</v>
      </c>
      <c r="B813" s="54" t="str">
        <f t="shared" si="155"/>
        <v>5°3°4MAVESPERTINO0</v>
      </c>
      <c r="C813" s="62">
        <f>VLOOKUP(G813,[1]Hoja1!$A:$O,3,0)</f>
        <v>0</v>
      </c>
      <c r="D813" s="2" t="str">
        <f t="shared" si="156"/>
        <v>4MAV</v>
      </c>
      <c r="E813" s="62" t="s">
        <v>16</v>
      </c>
      <c r="F813" s="62" t="s">
        <v>125</v>
      </c>
      <c r="G813" s="62" t="s">
        <v>246</v>
      </c>
      <c r="H813" s="8" t="str">
        <f>VLOOKUP(G813,[1]Hoja1!$A:$O,6,0)</f>
        <v>LITERATURA</v>
      </c>
      <c r="I813" s="4"/>
      <c r="J813" s="4"/>
      <c r="K813" s="80" t="str">
        <f t="shared" si="154"/>
        <v>MA</v>
      </c>
      <c r="L813" s="4"/>
      <c r="M813" s="86" t="str">
        <f>VLOOKUP(G813,[1]Hoja1!$A:$O,15,0)</f>
        <v>SORIA, HERNAN MAXIMILIANO</v>
      </c>
      <c r="N813" s="2" t="str">
        <f t="shared" si="153"/>
        <v>5°3°5ELITSMA</v>
      </c>
      <c r="O813" s="2"/>
      <c r="P813" s="2" t="str">
        <f>VLOOKUP(G813,[1]Hoja1!$A:$P,16,0)</f>
        <v xml:space="preserve"> </v>
      </c>
      <c r="Q813" s="2"/>
      <c r="S813">
        <f>VLOOKUP(G813,[1]Hoja1!$A:$O,5,0)</f>
        <v>2355520</v>
      </c>
      <c r="U813" s="45" t="s">
        <v>2751</v>
      </c>
      <c r="V813" s="46">
        <f t="shared" ref="V813:V876" si="157">S813</f>
        <v>2355520</v>
      </c>
      <c r="W813" s="47" t="s">
        <v>1519</v>
      </c>
      <c r="X813" s="46" t="str">
        <f t="shared" ref="X813:X876" si="158">IF(LEFT(E813,1)="p","prehora",LEFT(E813,1))</f>
        <v>4</v>
      </c>
      <c r="Y813" s="47" t="s">
        <v>1518</v>
      </c>
      <c r="Z813" s="46" t="str">
        <f t="shared" ref="Z813:Z876" si="159">LEFT(F813,1)</f>
        <v>V</v>
      </c>
      <c r="AA813" s="47" t="s">
        <v>2752</v>
      </c>
      <c r="AB813" s="46" t="str">
        <f t="shared" ref="AB813:AB876" si="160">IF(IF(LEFT(E813,1)="p",MID(E813,8,2),MID(E813,2,2))="lu","LUNES",IF(IF(LEFT(E813,1)="p",MID(E813,8,2),MID(E813,2,2))="ma","MARTES",IF(IF(LEFT(E813,1)="p",MID(E813,8,2),MID(E813,2,2))="MI","MIERCOLES",IF(IF(LEFT(E813,1)="p",MID(E813,8,2),MID(E813,2,2))="JU","JUEVES",IF(IF(LEFT(E813,1)="p",MID(E813,8,2),MID(E813,2,2))="vi","VIERNES","")))))</f>
        <v>MARTES</v>
      </c>
      <c r="AC813" s="47" t="s">
        <v>2753</v>
      </c>
      <c r="AD813">
        <f t="shared" ref="AD813:AD876" si="161">L813</f>
        <v>0</v>
      </c>
      <c r="AE813" s="47" t="s">
        <v>2754</v>
      </c>
      <c r="AH813" t="str">
        <f t="shared" ref="AH813:AH876" si="162">U813&amp;V813&amp;W813&amp;X813&amp;Y813&amp;Z813&amp;AA813&amp;AB813&amp;AC813&amp;AD813&amp;AE813</f>
        <v>INSERT INTO horario_curso_materia (horario_curso_materia.FK_CUR_mat,horario_curso_materia.FK_HOR,horario_curso_materia.DIA,horario_curso_materia.tipo_turno) VALUES (  (SELECT curso_materia.ID_CUR_MAT FROM curso_materia WHERE curso_materia.CUPOF='2355520' ) ,
    (SELECT horario.ID_HOR FROM horario WHERE horario.modulo='4 ' and horario.turno='V ' ),'MARTES ' , '0 ' );</v>
      </c>
    </row>
    <row r="814" spans="1:34" ht="15" hidden="1" customHeight="1" x14ac:dyDescent="0.3">
      <c r="A814" s="1" t="str">
        <f t="shared" si="152"/>
        <v>5°3°</v>
      </c>
      <c r="B814" s="54" t="str">
        <f t="shared" si="155"/>
        <v>5°3°4MIMAÑANA532</v>
      </c>
      <c r="C814" s="62">
        <f>VLOOKUP(G814,[1]Hoja1!$A:$O,3,0)</f>
        <v>532</v>
      </c>
      <c r="D814" s="2" t="str">
        <f t="shared" si="156"/>
        <v>4MIM44</v>
      </c>
      <c r="E814" s="62" t="s">
        <v>52</v>
      </c>
      <c r="F814" s="62" t="s">
        <v>27</v>
      </c>
      <c r="G814" s="62" t="s">
        <v>181</v>
      </c>
      <c r="H814" s="8" t="str">
        <f>VLOOKUP(G814,[1]Hoja1!$A:$O,6,0)</f>
        <v xml:space="preserve">MONTAJE DE PROYECTO ELECTRONICOS </v>
      </c>
      <c r="I814" s="4">
        <v>44</v>
      </c>
      <c r="J814" s="4"/>
      <c r="K814" s="80" t="str">
        <f t="shared" si="154"/>
        <v>MI</v>
      </c>
      <c r="L814" s="4" t="s">
        <v>512</v>
      </c>
      <c r="M814" s="86" t="str">
        <f>VLOOKUP(G814,[1]Hoja1!$A:$O,15,0)</f>
        <v>SERENO, LEONEL</v>
      </c>
      <c r="N814" s="2" t="str">
        <f t="shared" si="153"/>
        <v>5°3°5325EFTMP5MI</v>
      </c>
      <c r="O814" s="2"/>
      <c r="P814" s="2" t="str">
        <f>VLOOKUP(G814,[1]Hoja1!$A:$P,16,0)</f>
        <v xml:space="preserve"> </v>
      </c>
      <c r="Q814" s="2"/>
      <c r="S814">
        <f>VLOOKUP(G814,[1]Hoja1!$A:$O,5,0)</f>
        <v>2355579</v>
      </c>
      <c r="U814" s="45" t="s">
        <v>2751</v>
      </c>
      <c r="V814" s="46">
        <f t="shared" si="157"/>
        <v>2355579</v>
      </c>
      <c r="W814" s="47" t="s">
        <v>1519</v>
      </c>
      <c r="X814" s="46" t="str">
        <f t="shared" si="158"/>
        <v>4</v>
      </c>
      <c r="Y814" s="47" t="s">
        <v>1518</v>
      </c>
      <c r="Z814" s="46" t="str">
        <f t="shared" si="159"/>
        <v>M</v>
      </c>
      <c r="AA814" s="47" t="s">
        <v>2752</v>
      </c>
      <c r="AB814" s="46" t="str">
        <f t="shared" si="160"/>
        <v>MIERCOLES</v>
      </c>
      <c r="AC814" s="47" t="s">
        <v>2753</v>
      </c>
      <c r="AD814" t="str">
        <f t="shared" si="161"/>
        <v>CONTRATURNO</v>
      </c>
      <c r="AE814" s="47" t="s">
        <v>2754</v>
      </c>
      <c r="AH814" t="str">
        <f t="shared" si="162"/>
        <v>INSERT INTO horario_curso_materia (horario_curso_materia.FK_CUR_mat,horario_curso_materia.FK_HOR,horario_curso_materia.DIA,horario_curso_materia.tipo_turno) VALUES (  (SELECT curso_materia.ID_CUR_MAT FROM curso_materia WHERE curso_materia.CUPOF='2355579' ) ,
    (SELECT horario.ID_HOR FROM horario WHERE horario.modulo='4 ' and horario.turno='M ' ),'MIERCOLES ' , 'CONTRATURNO ' );</v>
      </c>
    </row>
    <row r="815" spans="1:34" ht="15" hidden="1" customHeight="1" x14ac:dyDescent="0.3">
      <c r="A815" s="1" t="str">
        <f t="shared" si="152"/>
        <v>5°3°</v>
      </c>
      <c r="B815" s="54" t="str">
        <f t="shared" si="155"/>
        <v>5°3°4MIVESPERTINO0</v>
      </c>
      <c r="C815" s="62">
        <f>VLOOKUP(G815,[1]Hoja1!$A:$O,3,0)</f>
        <v>0</v>
      </c>
      <c r="D815" s="2" t="str">
        <f t="shared" si="156"/>
        <v>4MIV</v>
      </c>
      <c r="E815" s="62" t="s">
        <v>52</v>
      </c>
      <c r="F815" s="62" t="s">
        <v>125</v>
      </c>
      <c r="G815" s="62" t="s">
        <v>247</v>
      </c>
      <c r="H815" s="8" t="str">
        <f>VLOOKUP(G815,[1]Hoja1!$A:$O,6,0)</f>
        <v>GEOGRAFIA</v>
      </c>
      <c r="I815" s="4"/>
      <c r="J815" s="4"/>
      <c r="K815" s="80" t="str">
        <f t="shared" si="154"/>
        <v>MI</v>
      </c>
      <c r="L815" s="4"/>
      <c r="M815" s="86" t="str">
        <f>VLOOKUP(G815,[1]Hoja1!$A:$O,15,0)</f>
        <v xml:space="preserve"> DIAZ MARCOS</v>
      </c>
      <c r="N815" s="2" t="str">
        <f t="shared" si="153"/>
        <v>5°3°5EGEOS5MI</v>
      </c>
      <c r="O815" s="2"/>
      <c r="P815" s="2" t="str">
        <f>VLOOKUP(G815,[1]Hoja1!$A:$P,16,0)</f>
        <v xml:space="preserve"> </v>
      </c>
      <c r="Q815" s="2"/>
      <c r="S815">
        <f>VLOOKUP(G815,[1]Hoja1!$A:$O,5,0)</f>
        <v>2355540</v>
      </c>
      <c r="U815" s="45" t="s">
        <v>2751</v>
      </c>
      <c r="V815" s="46">
        <f t="shared" si="157"/>
        <v>2355540</v>
      </c>
      <c r="W815" s="47" t="s">
        <v>1519</v>
      </c>
      <c r="X815" s="46" t="str">
        <f t="shared" si="158"/>
        <v>4</v>
      </c>
      <c r="Y815" s="47" t="s">
        <v>1518</v>
      </c>
      <c r="Z815" s="46" t="str">
        <f t="shared" si="159"/>
        <v>V</v>
      </c>
      <c r="AA815" s="47" t="s">
        <v>2752</v>
      </c>
      <c r="AB815" s="46" t="str">
        <f t="shared" si="160"/>
        <v>MIERCOLES</v>
      </c>
      <c r="AC815" s="47" t="s">
        <v>2753</v>
      </c>
      <c r="AD815">
        <f t="shared" si="161"/>
        <v>0</v>
      </c>
      <c r="AE815" s="47" t="s">
        <v>2754</v>
      </c>
      <c r="AH815" t="str">
        <f t="shared" si="162"/>
        <v>INSERT INTO horario_curso_materia (horario_curso_materia.FK_CUR_mat,horario_curso_materia.FK_HOR,horario_curso_materia.DIA,horario_curso_materia.tipo_turno) VALUES (  (SELECT curso_materia.ID_CUR_MAT FROM curso_materia WHERE curso_materia.CUPOF='2355540' ) ,
    (SELECT horario.ID_HOR FROM horario WHERE horario.modulo='4 ' and horario.turno='V ' ),'MIERCOLES ' , '0 ' );</v>
      </c>
    </row>
    <row r="816" spans="1:34" ht="15" hidden="1" customHeight="1" x14ac:dyDescent="0.3">
      <c r="A816" s="1" t="str">
        <f t="shared" ref="A816:A879" si="163">LEFT(B816,4)</f>
        <v>5°3°</v>
      </c>
      <c r="B816" s="54" t="str">
        <f t="shared" si="155"/>
        <v>5°3°4VIMAÑANA531</v>
      </c>
      <c r="C816" s="62">
        <f>VLOOKUP(G816,[1]Hoja1!$A:$O,3,0)</f>
        <v>531</v>
      </c>
      <c r="D816" s="2" t="str">
        <f t="shared" si="156"/>
        <v>4VIM45</v>
      </c>
      <c r="E816" s="62" t="s">
        <v>36</v>
      </c>
      <c r="F816" s="62" t="s">
        <v>27</v>
      </c>
      <c r="G816" s="62" t="s">
        <v>184</v>
      </c>
      <c r="H816" s="8" t="str">
        <f>VLOOKUP(G816,[1]Hoja1!$A:$O,6,0)</f>
        <v xml:space="preserve">APLIC ELECT ANALOG </v>
      </c>
      <c r="I816" s="4">
        <v>45</v>
      </c>
      <c r="J816" s="4"/>
      <c r="K816" s="80" t="str">
        <f t="shared" si="154"/>
        <v>VI</v>
      </c>
      <c r="L816" s="4" t="s">
        <v>512</v>
      </c>
      <c r="M816" s="86" t="str">
        <f>VLOOKUP(G816,[1]Hoja1!$A:$O,15,0)</f>
        <v>MARTINEZ, SILVIO</v>
      </c>
      <c r="N816" s="2" t="str">
        <f t="shared" ref="N816:N879" si="164">CONCATENATE(G816,LEFT(K816,2))</f>
        <v>5°3°5315EFTAE5VI</v>
      </c>
      <c r="O816" s="2"/>
      <c r="P816" s="2" t="str">
        <f>VLOOKUP(G816,[1]Hoja1!$A:$P,16,0)</f>
        <v xml:space="preserve"> </v>
      </c>
      <c r="Q816" s="2"/>
      <c r="S816">
        <f>VLOOKUP(G816,[1]Hoja1!$A:$O,5,0)</f>
        <v>2355560</v>
      </c>
      <c r="U816" s="45" t="s">
        <v>2751</v>
      </c>
      <c r="V816" s="46">
        <f t="shared" si="157"/>
        <v>2355560</v>
      </c>
      <c r="W816" s="47" t="s">
        <v>1519</v>
      </c>
      <c r="X816" s="46" t="str">
        <f t="shared" si="158"/>
        <v>4</v>
      </c>
      <c r="Y816" s="47" t="s">
        <v>1518</v>
      </c>
      <c r="Z816" s="46" t="str">
        <f t="shared" si="159"/>
        <v>M</v>
      </c>
      <c r="AA816" s="47" t="s">
        <v>2752</v>
      </c>
      <c r="AB816" s="46" t="str">
        <f t="shared" si="160"/>
        <v>VIERNES</v>
      </c>
      <c r="AC816" s="47" t="s">
        <v>2753</v>
      </c>
      <c r="AD816" t="str">
        <f t="shared" si="161"/>
        <v>CONTRATURNO</v>
      </c>
      <c r="AE816" s="47" t="s">
        <v>2754</v>
      </c>
      <c r="AH816" t="str">
        <f t="shared" si="162"/>
        <v>INSERT INTO horario_curso_materia (horario_curso_materia.FK_CUR_mat,horario_curso_materia.FK_HOR,horario_curso_materia.DIA,horario_curso_materia.tipo_turno) VALUES (  (SELECT curso_materia.ID_CUR_MAT FROM curso_materia WHERE curso_materia.CUPOF='2355560' ) ,
    (SELECT horario.ID_HOR FROM horario WHERE horario.modulo='4 ' and horario.turno='M ' ),'VIERNES ' , 'CONTRATURNO ' );</v>
      </c>
    </row>
    <row r="817" spans="1:34" ht="15" hidden="1" customHeight="1" x14ac:dyDescent="0.3">
      <c r="A817" s="1" t="str">
        <f t="shared" si="163"/>
        <v>5°3°</v>
      </c>
      <c r="B817" s="54" t="str">
        <f t="shared" si="155"/>
        <v>5°3°2MAVESPERTINO0</v>
      </c>
      <c r="C817" s="62">
        <f>VLOOKUP(G817,[1]Hoja1!$A:$O,3,0)</f>
        <v>0</v>
      </c>
      <c r="D817" s="2" t="str">
        <f t="shared" si="156"/>
        <v>2MAV</v>
      </c>
      <c r="E817" s="63" t="s">
        <v>19</v>
      </c>
      <c r="F817" s="62" t="s">
        <v>125</v>
      </c>
      <c r="G817" s="62" t="s">
        <v>245</v>
      </c>
      <c r="H817" s="8" t="str">
        <f>VLOOKUP(G817,[1]Hoja1!$A:$O,6,0)</f>
        <v>ANALISIS MATEMATICO</v>
      </c>
      <c r="I817" s="4"/>
      <c r="J817" s="4"/>
      <c r="K817" s="80" t="str">
        <f t="shared" si="154"/>
        <v>MA</v>
      </c>
      <c r="L817" s="4"/>
      <c r="M817" s="86" t="str">
        <f>VLOOKUP(G817,[1]Hoja1!$A:$O,15,0)</f>
        <v>MAZU LEILA</v>
      </c>
      <c r="N817" s="2" t="str">
        <f t="shared" si="164"/>
        <v>5°3°5EANMATMA</v>
      </c>
      <c r="O817" s="2" t="s">
        <v>559</v>
      </c>
      <c r="P817" s="2" t="str">
        <f>VLOOKUP(G817,[1]Hoja1!$A:$P,16,0)</f>
        <v xml:space="preserve"> </v>
      </c>
      <c r="Q817" s="2"/>
      <c r="S817">
        <f>VLOOKUP(G817,[1]Hoja1!$A:$O,5,0)</f>
        <v>2355542</v>
      </c>
      <c r="U817" s="45" t="s">
        <v>2751</v>
      </c>
      <c r="V817" s="46">
        <f t="shared" si="157"/>
        <v>2355542</v>
      </c>
      <c r="W817" s="47" t="s">
        <v>1519</v>
      </c>
      <c r="X817" s="46" t="str">
        <f t="shared" si="158"/>
        <v>2</v>
      </c>
      <c r="Y817" s="47" t="s">
        <v>1518</v>
      </c>
      <c r="Z817" s="46" t="str">
        <f t="shared" si="159"/>
        <v>V</v>
      </c>
      <c r="AA817" s="47" t="s">
        <v>2752</v>
      </c>
      <c r="AB817" s="46" t="str">
        <f t="shared" si="160"/>
        <v>MARTES</v>
      </c>
      <c r="AC817" s="47" t="s">
        <v>2753</v>
      </c>
      <c r="AD817">
        <f t="shared" si="161"/>
        <v>0</v>
      </c>
      <c r="AE817" s="47" t="s">
        <v>2754</v>
      </c>
      <c r="AH817" t="str">
        <f t="shared" si="162"/>
        <v>INSERT INTO horario_curso_materia (horario_curso_materia.FK_CUR_mat,horario_curso_materia.FK_HOR,horario_curso_materia.DIA,horario_curso_materia.tipo_turno) VALUES (  (SELECT curso_materia.ID_CUR_MAT FROM curso_materia WHERE curso_materia.CUPOF='2355542' ) ,
    (SELECT horario.ID_HOR FROM horario WHERE horario.modulo='2 ' and horario.turno='V ' ),'MARTES ' , '0 ' );</v>
      </c>
    </row>
    <row r="818" spans="1:34" ht="15" hidden="1" customHeight="1" x14ac:dyDescent="0.3">
      <c r="A818" s="1" t="str">
        <f t="shared" si="163"/>
        <v>5°4°</v>
      </c>
      <c r="B818" s="54" t="str">
        <f t="shared" si="155"/>
        <v>5°4°1JUTARDE0</v>
      </c>
      <c r="C818" s="62">
        <f>VLOOKUP(G818,[1]Hoja1!$A:$O,3,0)</f>
        <v>0</v>
      </c>
      <c r="D818" s="2" t="str">
        <f t="shared" si="156"/>
        <v>1JUT</v>
      </c>
      <c r="E818" s="62" t="s">
        <v>43</v>
      </c>
      <c r="F818" s="62" t="s">
        <v>10</v>
      </c>
      <c r="G818" s="62" t="s">
        <v>259</v>
      </c>
      <c r="H818" s="8" t="str">
        <f>VLOOKUP(G818,[1]Hoja1!$A:$O,6,0)</f>
        <v>LITERATURA</v>
      </c>
      <c r="I818" s="4"/>
      <c r="J818" s="4"/>
      <c r="K818" s="80" t="str">
        <f t="shared" si="154"/>
        <v>JU</v>
      </c>
      <c r="L818" s="4"/>
      <c r="M818" s="86" t="str">
        <f>VLOOKUP(G818,[1]Hoja1!$A:$O,15,0)</f>
        <v>ALONSO, MARIA</v>
      </c>
      <c r="N818" s="2" t="str">
        <f t="shared" si="164"/>
        <v>5°4°5ELITSJU</v>
      </c>
      <c r="O818" s="2"/>
      <c r="P818" s="2" t="str">
        <f>VLOOKUP(G818,[1]Hoja1!$A:$P,16,0)</f>
        <v xml:space="preserve"> </v>
      </c>
      <c r="Q818" s="2"/>
      <c r="S818">
        <f>VLOOKUP(G818,[1]Hoja1!$A:$O,5,0)</f>
        <v>2680751</v>
      </c>
      <c r="U818" s="45" t="s">
        <v>2751</v>
      </c>
      <c r="V818" s="46">
        <f t="shared" si="157"/>
        <v>2680751</v>
      </c>
      <c r="W818" s="47" t="s">
        <v>1519</v>
      </c>
      <c r="X818" s="46" t="str">
        <f t="shared" si="158"/>
        <v>1</v>
      </c>
      <c r="Y818" s="47" t="s">
        <v>1518</v>
      </c>
      <c r="Z818" s="46" t="str">
        <f t="shared" si="159"/>
        <v>T</v>
      </c>
      <c r="AA818" s="47" t="s">
        <v>2752</v>
      </c>
      <c r="AB818" s="46" t="str">
        <f t="shared" si="160"/>
        <v>JUEVES</v>
      </c>
      <c r="AC818" s="47" t="s">
        <v>2753</v>
      </c>
      <c r="AD818">
        <f t="shared" si="161"/>
        <v>0</v>
      </c>
      <c r="AE818" s="47" t="s">
        <v>2754</v>
      </c>
      <c r="AH818" t="str">
        <f t="shared" si="162"/>
        <v>INSERT INTO horario_curso_materia (horario_curso_materia.FK_CUR_mat,horario_curso_materia.FK_HOR,horario_curso_materia.DIA,horario_curso_materia.tipo_turno) VALUES (  (SELECT curso_materia.ID_CUR_MAT FROM curso_materia WHERE curso_materia.CUPOF='2680751' ) ,
    (SELECT horario.ID_HOR FROM horario WHERE horario.modulo='1 ' and horario.turno='T ' ),'JUEVES ' , '0 ' );</v>
      </c>
    </row>
    <row r="819" spans="1:34" ht="15" hidden="1" customHeight="1" thickBot="1" x14ac:dyDescent="0.35">
      <c r="A819" s="1" t="str">
        <f t="shared" si="163"/>
        <v>5°4°</v>
      </c>
      <c r="B819" s="54" t="str">
        <f t="shared" si="155"/>
        <v>5°4°1JUVESPERTINO541</v>
      </c>
      <c r="C819" s="62">
        <f>VLOOKUP(G819,[1]Hoja1!$A:$O,3,0)</f>
        <v>541</v>
      </c>
      <c r="D819" s="2" t="str">
        <f t="shared" si="156"/>
        <v>1JUV46</v>
      </c>
      <c r="E819" s="62" t="s">
        <v>43</v>
      </c>
      <c r="F819" s="62" t="s">
        <v>125</v>
      </c>
      <c r="G819" s="62" t="s">
        <v>191</v>
      </c>
      <c r="H819" s="8" t="str">
        <f>VLOOKUP(G819,[1]Hoja1!$A:$O,6,0)</f>
        <v xml:space="preserve">APLIC ELECT ANALOG </v>
      </c>
      <c r="I819" s="77">
        <v>46</v>
      </c>
      <c r="J819" s="4"/>
      <c r="K819" s="80" t="str">
        <f t="shared" si="154"/>
        <v>JU</v>
      </c>
      <c r="L819" s="4" t="s">
        <v>512</v>
      </c>
      <c r="M819" s="86" t="str">
        <f>VLOOKUP(G819,[1]Hoja1!$A:$O,15,0)</f>
        <v>BARONI ROBERTO</v>
      </c>
      <c r="N819" s="2" t="str">
        <f t="shared" si="164"/>
        <v>5°4°5415EFTAE5JU</v>
      </c>
      <c r="O819" s="2"/>
      <c r="P819" s="2" t="str">
        <f>VLOOKUP(G819,[1]Hoja1!$A:$P,16,0)</f>
        <v xml:space="preserve"> </v>
      </c>
      <c r="Q819" s="2"/>
      <c r="S819">
        <f>VLOOKUP(G819,[1]Hoja1!$A:$O,5,0)</f>
        <v>2680766</v>
      </c>
      <c r="U819" s="45" t="s">
        <v>2751</v>
      </c>
      <c r="V819" s="46">
        <f t="shared" si="157"/>
        <v>2680766</v>
      </c>
      <c r="W819" s="47" t="s">
        <v>1519</v>
      </c>
      <c r="X819" s="46" t="str">
        <f t="shared" si="158"/>
        <v>1</v>
      </c>
      <c r="Y819" s="47" t="s">
        <v>1518</v>
      </c>
      <c r="Z819" s="46" t="str">
        <f t="shared" si="159"/>
        <v>V</v>
      </c>
      <c r="AA819" s="47" t="s">
        <v>2752</v>
      </c>
      <c r="AB819" s="46" t="str">
        <f t="shared" si="160"/>
        <v>JUEVES</v>
      </c>
      <c r="AC819" s="47" t="s">
        <v>2753</v>
      </c>
      <c r="AD819" t="str">
        <f t="shared" si="161"/>
        <v>CONTRATURNO</v>
      </c>
      <c r="AE819" s="47" t="s">
        <v>2754</v>
      </c>
      <c r="AH819" t="str">
        <f t="shared" si="162"/>
        <v>INSERT INTO horario_curso_materia (horario_curso_materia.FK_CUR_mat,horario_curso_materia.FK_HOR,horario_curso_materia.DIA,horario_curso_materia.tipo_turno) VALUES (  (SELECT curso_materia.ID_CUR_MAT FROM curso_materia WHERE curso_materia.CUPOF='2680766' ) ,
    (SELECT horario.ID_HOR FROM horario WHERE horario.modulo='1 ' and horario.turno='V ' ),'JUEVES ' , 'CONTRATURNO ' );</v>
      </c>
    </row>
    <row r="820" spans="1:34" ht="15" hidden="1" customHeight="1" x14ac:dyDescent="0.3">
      <c r="A820" s="1" t="str">
        <f t="shared" si="163"/>
        <v>5°4°</v>
      </c>
      <c r="B820" s="54" t="str">
        <f t="shared" si="155"/>
        <v>5°4°1JUVESPERTINO542</v>
      </c>
      <c r="C820" s="62">
        <f>VLOOKUP(G820,[1]Hoja1!$A:$O,3,0)</f>
        <v>542</v>
      </c>
      <c r="D820" s="2" t="str">
        <f t="shared" si="156"/>
        <v>1JUV44</v>
      </c>
      <c r="E820" s="62" t="s">
        <v>43</v>
      </c>
      <c r="F820" s="62" t="s">
        <v>125</v>
      </c>
      <c r="G820" s="62" t="s">
        <v>192</v>
      </c>
      <c r="H820" s="8" t="str">
        <f>VLOOKUP(G820,[1]Hoja1!$A:$O,6,0)</f>
        <v xml:space="preserve">MONTAJE DE PROYECTO ELECTRONICOS </v>
      </c>
      <c r="I820" s="4">
        <v>44</v>
      </c>
      <c r="J820" s="4"/>
      <c r="K820" s="80" t="str">
        <f t="shared" si="154"/>
        <v>JU</v>
      </c>
      <c r="L820" s="4" t="s">
        <v>512</v>
      </c>
      <c r="M820" s="86" t="str">
        <f>VLOOKUP(G820,[1]Hoja1!$A:$O,15,0)</f>
        <v>SAUCEDO GUSTAVO</v>
      </c>
      <c r="N820" s="2" t="str">
        <f t="shared" si="164"/>
        <v>5°4°5425EFTMP5JU</v>
      </c>
      <c r="O820" s="2"/>
      <c r="P820" s="2" t="str">
        <f>VLOOKUP(G820,[1]Hoja1!$A:$P,16,0)</f>
        <v xml:space="preserve"> </v>
      </c>
      <c r="Q820" s="2"/>
      <c r="S820">
        <f>VLOOKUP(G820,[1]Hoja1!$A:$O,5,0)</f>
        <v>2680773</v>
      </c>
      <c r="U820" s="45" t="s">
        <v>2751</v>
      </c>
      <c r="V820" s="46">
        <f t="shared" si="157"/>
        <v>2680773</v>
      </c>
      <c r="W820" s="47" t="s">
        <v>1519</v>
      </c>
      <c r="X820" s="46" t="str">
        <f t="shared" si="158"/>
        <v>1</v>
      </c>
      <c r="Y820" s="47" t="s">
        <v>1518</v>
      </c>
      <c r="Z820" s="46" t="str">
        <f t="shared" si="159"/>
        <v>V</v>
      </c>
      <c r="AA820" s="47" t="s">
        <v>2752</v>
      </c>
      <c r="AB820" s="46" t="str">
        <f t="shared" si="160"/>
        <v>JUEVES</v>
      </c>
      <c r="AC820" s="47" t="s">
        <v>2753</v>
      </c>
      <c r="AD820" t="str">
        <f t="shared" si="161"/>
        <v>CONTRATURNO</v>
      </c>
      <c r="AE820" s="47" t="s">
        <v>2754</v>
      </c>
      <c r="AH820" t="str">
        <f t="shared" si="162"/>
        <v>INSERT INTO horario_curso_materia (horario_curso_materia.FK_CUR_mat,horario_curso_materia.FK_HOR,horario_curso_materia.DIA,horario_curso_materia.tipo_turno) VALUES (  (SELECT curso_materia.ID_CUR_MAT FROM curso_materia WHERE curso_materia.CUPOF='2680773' ) ,
    (SELECT horario.ID_HOR FROM horario WHERE horario.modulo='1 ' and horario.turno='V ' ),'JUEVES ' , 'CONTRATURNO ' );</v>
      </c>
    </row>
    <row r="821" spans="1:34" ht="15" hidden="1" customHeight="1" x14ac:dyDescent="0.3">
      <c r="A821" s="1" t="str">
        <f t="shared" si="163"/>
        <v>5°4°</v>
      </c>
      <c r="B821" s="54" t="str">
        <f t="shared" si="155"/>
        <v>5°4°1LUTARDE0</v>
      </c>
      <c r="C821" s="62">
        <f>VLOOKUP(G821,[1]Hoja1!$A:$O,3,0)</f>
        <v>0</v>
      </c>
      <c r="D821" s="2" t="str">
        <f t="shared" si="156"/>
        <v>1LUT</v>
      </c>
      <c r="E821" s="62" t="s">
        <v>9</v>
      </c>
      <c r="F821" s="62" t="s">
        <v>10</v>
      </c>
      <c r="G821" s="62" t="s">
        <v>253</v>
      </c>
      <c r="H821" s="8" t="str">
        <f>VLOOKUP(G821,[1]Hoja1!$A:$O,6,0)</f>
        <v>POLITICA Y CIUDADANIA</v>
      </c>
      <c r="I821" s="4"/>
      <c r="J821" s="4"/>
      <c r="K821" s="80" t="str">
        <f t="shared" si="154"/>
        <v>LU</v>
      </c>
      <c r="L821" s="4"/>
      <c r="M821" s="86" t="str">
        <f>VLOOKUP(G821,[1]Hoja1!$A:$O,15,0)</f>
        <v xml:space="preserve">GAUTO, ALICIA </v>
      </c>
      <c r="N821" s="2" t="str">
        <f t="shared" si="164"/>
        <v>5°4°5EPYCSLU</v>
      </c>
      <c r="O821" s="2"/>
      <c r="P821" s="2" t="str">
        <f>VLOOKUP(G821,[1]Hoja1!$A:$P,16,0)</f>
        <v xml:space="preserve"> </v>
      </c>
      <c r="Q821" s="2"/>
      <c r="S821">
        <f>VLOOKUP(G821,[1]Hoja1!$A:$O,5,0)</f>
        <v>2680756</v>
      </c>
      <c r="U821" s="45" t="s">
        <v>2751</v>
      </c>
      <c r="V821" s="46">
        <f t="shared" si="157"/>
        <v>2680756</v>
      </c>
      <c r="W821" s="47" t="s">
        <v>1519</v>
      </c>
      <c r="X821" s="46" t="str">
        <f t="shared" si="158"/>
        <v>1</v>
      </c>
      <c r="Y821" s="47" t="s">
        <v>1518</v>
      </c>
      <c r="Z821" s="46" t="str">
        <f t="shared" si="159"/>
        <v>T</v>
      </c>
      <c r="AA821" s="47" t="s">
        <v>2752</v>
      </c>
      <c r="AB821" s="46" t="str">
        <f t="shared" si="160"/>
        <v>LUNES</v>
      </c>
      <c r="AC821" s="47" t="s">
        <v>2753</v>
      </c>
      <c r="AD821">
        <f t="shared" si="161"/>
        <v>0</v>
      </c>
      <c r="AE821" s="47" t="s">
        <v>2754</v>
      </c>
      <c r="AH821" t="str">
        <f t="shared" si="162"/>
        <v>INSERT INTO horario_curso_materia (horario_curso_materia.FK_CUR_mat,horario_curso_materia.FK_HOR,horario_curso_materia.DIA,horario_curso_materia.tipo_turno) VALUES (  (SELECT curso_materia.ID_CUR_MAT FROM curso_materia WHERE curso_materia.CUPOF='2680756' ) ,
    (SELECT horario.ID_HOR FROM horario WHERE horario.modulo='1 ' and horario.turno='T ' ),'LUNES ' , '0 ' );</v>
      </c>
    </row>
    <row r="822" spans="1:34" ht="15" hidden="1" customHeight="1" x14ac:dyDescent="0.3">
      <c r="A822" s="1" t="str">
        <f t="shared" si="163"/>
        <v>5°4°</v>
      </c>
      <c r="B822" s="54" t="str">
        <f t="shared" si="155"/>
        <v>5°4°1VIVESPERTINO542</v>
      </c>
      <c r="C822" s="62">
        <f>VLOOKUP(G822,[1]Hoja1!$A:$O,3,0)</f>
        <v>542</v>
      </c>
      <c r="D822" s="2" t="str">
        <f t="shared" si="156"/>
        <v>1VIVHERRERIA</v>
      </c>
      <c r="E822" s="68" t="s">
        <v>57</v>
      </c>
      <c r="F822" s="62" t="s">
        <v>125</v>
      </c>
      <c r="G822" s="62" t="s">
        <v>186</v>
      </c>
      <c r="H822" s="8" t="str">
        <f>VLOOKUP(G822,[1]Hoja1!$A:$O,6,0)</f>
        <v xml:space="preserve">APLIC ELECT ANALOG </v>
      </c>
      <c r="I822" s="4" t="s">
        <v>21</v>
      </c>
      <c r="J822" s="4"/>
      <c r="K822" s="80" t="str">
        <f t="shared" si="154"/>
        <v>VI</v>
      </c>
      <c r="L822" s="4" t="s">
        <v>512</v>
      </c>
      <c r="M822" s="86" t="str">
        <f>VLOOKUP(G822,[1]Hoja1!$A:$O,15,0)</f>
        <v>FISTER VICTOR</v>
      </c>
      <c r="N822" s="2" t="str">
        <f t="shared" si="164"/>
        <v>5°4°5425EFTAE5VI</v>
      </c>
      <c r="O822" s="2"/>
      <c r="P822" s="2" t="str">
        <f>VLOOKUP(G822,[1]Hoja1!$A:$P,16,0)</f>
        <v xml:space="preserve"> </v>
      </c>
      <c r="Q822" s="2"/>
      <c r="S822">
        <f>VLOOKUP(G822,[1]Hoja1!$A:$O,5,0)</f>
        <v>2680771</v>
      </c>
      <c r="U822" s="45" t="s">
        <v>2751</v>
      </c>
      <c r="V822" s="46">
        <f t="shared" si="157"/>
        <v>2680771</v>
      </c>
      <c r="W822" s="47" t="s">
        <v>1519</v>
      </c>
      <c r="X822" s="46" t="str">
        <f t="shared" si="158"/>
        <v>1</v>
      </c>
      <c r="Y822" s="47" t="s">
        <v>1518</v>
      </c>
      <c r="Z822" s="46" t="str">
        <f t="shared" si="159"/>
        <v>V</v>
      </c>
      <c r="AA822" s="47" t="s">
        <v>2752</v>
      </c>
      <c r="AB822" s="46" t="str">
        <f t="shared" si="160"/>
        <v>VIERNES</v>
      </c>
      <c r="AC822" s="47" t="s">
        <v>2753</v>
      </c>
      <c r="AD822" t="str">
        <f t="shared" si="161"/>
        <v>CONTRATURNO</v>
      </c>
      <c r="AE822" s="47" t="s">
        <v>2754</v>
      </c>
      <c r="AH822" t="str">
        <f t="shared" si="162"/>
        <v>INSERT INTO horario_curso_materia (horario_curso_materia.FK_CUR_mat,horario_curso_materia.FK_HOR,horario_curso_materia.DIA,horario_curso_materia.tipo_turno) VALUES (  (SELECT curso_materia.ID_CUR_MAT FROM curso_materia WHERE curso_materia.CUPOF='2680771' ) ,
    (SELECT horario.ID_HOR FROM horario WHERE horario.modulo='1 ' and horario.turno='V ' ),'VIERNES ' , 'CONTRATURNO ' );</v>
      </c>
    </row>
    <row r="823" spans="1:34" ht="15" hidden="1" customHeight="1" x14ac:dyDescent="0.3">
      <c r="A823" s="1" t="str">
        <f t="shared" si="163"/>
        <v>5°4°</v>
      </c>
      <c r="B823" s="54" t="str">
        <f t="shared" si="155"/>
        <v>5°4°1MAMAÑANA541</v>
      </c>
      <c r="C823" s="62">
        <f>VLOOKUP(G823,[1]Hoja1!$A:$O,3,0)</f>
        <v>541</v>
      </c>
      <c r="D823" s="2" t="str">
        <f t="shared" si="156"/>
        <v>1MAM44</v>
      </c>
      <c r="E823" s="62" t="s">
        <v>17</v>
      </c>
      <c r="F823" s="62" t="s">
        <v>27</v>
      </c>
      <c r="G823" s="62" t="s">
        <v>189</v>
      </c>
      <c r="H823" s="8" t="str">
        <f>VLOOKUP(G823,[1]Hoja1!$A:$O,6,0)</f>
        <v xml:space="preserve">MONTAJE DE PROYECTO ELECTRONICOS </v>
      </c>
      <c r="I823" s="4">
        <v>44</v>
      </c>
      <c r="J823" s="4"/>
      <c r="K823" s="80" t="str">
        <f t="shared" si="154"/>
        <v>MA</v>
      </c>
      <c r="L823" s="4" t="s">
        <v>512</v>
      </c>
      <c r="M823" s="86" t="str">
        <f>VLOOKUP(G823,[1]Hoja1!$A:$O,15,0)</f>
        <v xml:space="preserve">SAUCEDO GUSTAVO </v>
      </c>
      <c r="N823" s="2" t="str">
        <f t="shared" si="164"/>
        <v>5°4°5415EFTMP5MA</v>
      </c>
      <c r="O823" s="2"/>
      <c r="P823" s="2" t="str">
        <f>VLOOKUP(G823,[1]Hoja1!$A:$P,16,0)</f>
        <v xml:space="preserve"> </v>
      </c>
      <c r="Q823" s="2"/>
      <c r="S823">
        <f>VLOOKUP(G823,[1]Hoja1!$A:$O,5,0)</f>
        <v>2680769</v>
      </c>
      <c r="U823" s="45" t="s">
        <v>2751</v>
      </c>
      <c r="V823" s="46">
        <f t="shared" si="157"/>
        <v>2680769</v>
      </c>
      <c r="W823" s="47" t="s">
        <v>1519</v>
      </c>
      <c r="X823" s="46" t="str">
        <f t="shared" si="158"/>
        <v>1</v>
      </c>
      <c r="Y823" s="47" t="s">
        <v>1518</v>
      </c>
      <c r="Z823" s="46" t="str">
        <f t="shared" si="159"/>
        <v>M</v>
      </c>
      <c r="AA823" s="47" t="s">
        <v>2752</v>
      </c>
      <c r="AB823" s="46" t="str">
        <f t="shared" si="160"/>
        <v>MARTES</v>
      </c>
      <c r="AC823" s="47" t="s">
        <v>2753</v>
      </c>
      <c r="AD823" t="str">
        <f t="shared" si="161"/>
        <v>CONTRATURNO</v>
      </c>
      <c r="AE823" s="47" t="s">
        <v>2754</v>
      </c>
      <c r="AH823" t="str">
        <f t="shared" si="162"/>
        <v>INSERT INTO horario_curso_materia (horario_curso_materia.FK_CUR_mat,horario_curso_materia.FK_HOR,horario_curso_materia.DIA,horario_curso_materia.tipo_turno) VALUES (  (SELECT curso_materia.ID_CUR_MAT FROM curso_materia WHERE curso_materia.CUPOF='2680769' ) ,
    (SELECT horario.ID_HOR FROM horario WHERE horario.modulo='1 ' and horario.turno='M ' ),'MARTES ' , 'CONTRATURNO ' );</v>
      </c>
    </row>
    <row r="824" spans="1:34" ht="15" hidden="1" customHeight="1" x14ac:dyDescent="0.3">
      <c r="A824" s="1" t="str">
        <f t="shared" si="163"/>
        <v>5°4°</v>
      </c>
      <c r="B824" s="54" t="str">
        <f t="shared" si="155"/>
        <v>5°4°1MATARDE0</v>
      </c>
      <c r="C824" s="62">
        <f>VLOOKUP(G824,[1]Hoja1!$A:$O,3,0)</f>
        <v>0</v>
      </c>
      <c r="D824" s="2" t="str">
        <f t="shared" si="156"/>
        <v>1MAT</v>
      </c>
      <c r="E824" s="62" t="s">
        <v>17</v>
      </c>
      <c r="F824" s="62" t="s">
        <v>10</v>
      </c>
      <c r="G824" s="62" t="s">
        <v>260</v>
      </c>
      <c r="H824" s="8" t="str">
        <f>VLOOKUP(G824,[1]Hoja1!$A:$O,6,0)</f>
        <v>INGLÉS</v>
      </c>
      <c r="I824" s="4"/>
      <c r="J824" s="4"/>
      <c r="K824" s="80" t="str">
        <f t="shared" si="154"/>
        <v>MA</v>
      </c>
      <c r="L824" s="4"/>
      <c r="M824" s="86" t="str">
        <f>VLOOKUP(G824,[1]Hoja1!$A:$O,15,0)</f>
        <v xml:space="preserve">ARCE KARINA </v>
      </c>
      <c r="N824" s="2" t="str">
        <f t="shared" si="164"/>
        <v>5°4°5EINGSMA</v>
      </c>
      <c r="O824" s="2" t="s">
        <v>561</v>
      </c>
      <c r="P824" s="2" t="str">
        <f>VLOOKUP(G824,[1]Hoja1!$A:$P,16,0)</f>
        <v xml:space="preserve"> </v>
      </c>
      <c r="Q824" s="2"/>
      <c r="S824">
        <f>VLOOKUP(G824,[1]Hoja1!$A:$O,5,0)</f>
        <v>2680752</v>
      </c>
      <c r="U824" s="45" t="s">
        <v>2751</v>
      </c>
      <c r="V824" s="46">
        <f t="shared" si="157"/>
        <v>2680752</v>
      </c>
      <c r="W824" s="47" t="s">
        <v>1519</v>
      </c>
      <c r="X824" s="46" t="str">
        <f t="shared" si="158"/>
        <v>1</v>
      </c>
      <c r="Y824" s="47" t="s">
        <v>1518</v>
      </c>
      <c r="Z824" s="46" t="str">
        <f t="shared" si="159"/>
        <v>T</v>
      </c>
      <c r="AA824" s="47" t="s">
        <v>2752</v>
      </c>
      <c r="AB824" s="46" t="str">
        <f t="shared" si="160"/>
        <v>MARTES</v>
      </c>
      <c r="AC824" s="47" t="s">
        <v>2753</v>
      </c>
      <c r="AD824">
        <f t="shared" si="161"/>
        <v>0</v>
      </c>
      <c r="AE824" s="47" t="s">
        <v>2754</v>
      </c>
      <c r="AH824" t="str">
        <f t="shared" si="162"/>
        <v>INSERT INTO horario_curso_materia (horario_curso_materia.FK_CUR_mat,horario_curso_materia.FK_HOR,horario_curso_materia.DIA,horario_curso_materia.tipo_turno) VALUES (  (SELECT curso_materia.ID_CUR_MAT FROM curso_materia WHERE curso_materia.CUPOF='2680752' ) ,
    (SELECT horario.ID_HOR FROM horario WHERE horario.modulo='1 ' and horario.turno='T ' ),'MARTES ' , '0 ' );</v>
      </c>
    </row>
    <row r="825" spans="1:34" ht="15" hidden="1" customHeight="1" x14ac:dyDescent="0.3">
      <c r="A825" s="1" t="str">
        <f t="shared" si="163"/>
        <v>5°4°</v>
      </c>
      <c r="B825" s="54" t="str">
        <f t="shared" si="155"/>
        <v>5°4°1MITARDE0</v>
      </c>
      <c r="C825" s="62">
        <f>VLOOKUP(G825,[1]Hoja1!$A:$O,3,0)</f>
        <v>0</v>
      </c>
      <c r="D825" s="2" t="str">
        <f t="shared" si="156"/>
        <v>1MIT</v>
      </c>
      <c r="E825" s="62" t="s">
        <v>24</v>
      </c>
      <c r="F825" s="62" t="s">
        <v>10</v>
      </c>
      <c r="G825" s="62" t="s">
        <v>256</v>
      </c>
      <c r="H825" s="8" t="str">
        <f>VLOOKUP(G825,[1]Hoja1!$A:$O,6,0)</f>
        <v>ANALISIS MATEMATICO</v>
      </c>
      <c r="I825" s="4"/>
      <c r="J825" s="4"/>
      <c r="K825" s="80" t="str">
        <f t="shared" si="154"/>
        <v>MI</v>
      </c>
      <c r="L825" s="4"/>
      <c r="M825" s="86" t="str">
        <f>VLOOKUP(G825,[1]Hoja1!$A:$O,15,0)</f>
        <v xml:space="preserve"> KEMPER, NATALIA</v>
      </c>
      <c r="N825" s="2" t="str">
        <f t="shared" si="164"/>
        <v>5°4°5EANMATMI</v>
      </c>
      <c r="O825" s="2"/>
      <c r="P825" s="2" t="str">
        <f>VLOOKUP(G825,[1]Hoja1!$A:$P,16,0)</f>
        <v xml:space="preserve"> </v>
      </c>
      <c r="Q825" s="2"/>
      <c r="S825">
        <f>VLOOKUP(G825,[1]Hoja1!$A:$O,5,0)</f>
        <v>2680761</v>
      </c>
      <c r="U825" s="45" t="s">
        <v>2751</v>
      </c>
      <c r="V825" s="46">
        <f t="shared" si="157"/>
        <v>2680761</v>
      </c>
      <c r="W825" s="47" t="s">
        <v>1519</v>
      </c>
      <c r="X825" s="46" t="str">
        <f t="shared" si="158"/>
        <v>1</v>
      </c>
      <c r="Y825" s="47" t="s">
        <v>1518</v>
      </c>
      <c r="Z825" s="46" t="str">
        <f t="shared" si="159"/>
        <v>T</v>
      </c>
      <c r="AA825" s="47" t="s">
        <v>2752</v>
      </c>
      <c r="AB825" s="46" t="str">
        <f t="shared" si="160"/>
        <v>MIERCOLES</v>
      </c>
      <c r="AC825" s="47" t="s">
        <v>2753</v>
      </c>
      <c r="AD825">
        <f t="shared" si="161"/>
        <v>0</v>
      </c>
      <c r="AE825" s="47" t="s">
        <v>2754</v>
      </c>
      <c r="AH825" t="str">
        <f t="shared" si="162"/>
        <v>INSERT INTO horario_curso_materia (horario_curso_materia.FK_CUR_mat,horario_curso_materia.FK_HOR,horario_curso_materia.DIA,horario_curso_materia.tipo_turno) VALUES (  (SELECT curso_materia.ID_CUR_MAT FROM curso_materia WHERE curso_materia.CUPOF='2680761' ) ,
    (SELECT horario.ID_HOR FROM horario WHERE horario.modulo='1 ' and horario.turno='T ' ),'MIERCOLES ' , '0 ' );</v>
      </c>
    </row>
    <row r="826" spans="1:34" ht="15" hidden="1" customHeight="1" x14ac:dyDescent="0.3">
      <c r="A826" s="1" t="str">
        <f t="shared" si="163"/>
        <v>5°4°</v>
      </c>
      <c r="B826" s="54" t="str">
        <f t="shared" si="155"/>
        <v>5°4°1MAVESPERTINO541</v>
      </c>
      <c r="C826" s="62">
        <f>VLOOKUP(G826,[1]Hoja1!$A:$O,3,0)</f>
        <v>541</v>
      </c>
      <c r="D826" s="2" t="str">
        <f t="shared" si="156"/>
        <v>1MAV46</v>
      </c>
      <c r="E826" s="62" t="s">
        <v>17</v>
      </c>
      <c r="F826" s="62" t="s">
        <v>125</v>
      </c>
      <c r="G826" s="62" t="s">
        <v>187</v>
      </c>
      <c r="H826" s="8" t="str">
        <f>VLOOKUP(G826,[1]Hoja1!$A:$O,6,0)</f>
        <v xml:space="preserve">DISEÑO ASIST Y SIMUL ELECT </v>
      </c>
      <c r="I826" s="4">
        <v>46</v>
      </c>
      <c r="J826" s="4"/>
      <c r="K826" s="80" t="str">
        <f t="shared" si="154"/>
        <v>MA</v>
      </c>
      <c r="L826" s="4" t="s">
        <v>512</v>
      </c>
      <c r="M826" s="86" t="str">
        <f>VLOOKUP(G826,[1]Hoja1!$A:$O,15,0)</f>
        <v>GAUNA FEDERICO</v>
      </c>
      <c r="N826" s="2" t="str">
        <f t="shared" si="164"/>
        <v>5°4°5415EDASEMA</v>
      </c>
      <c r="O826" s="2" t="s">
        <v>1354</v>
      </c>
      <c r="P826" s="2" t="str">
        <f>VLOOKUP(G826,[1]Hoja1!$A:$P,16,0)</f>
        <v xml:space="preserve"> </v>
      </c>
      <c r="Q826" s="2"/>
      <c r="S826">
        <f>VLOOKUP(G826,[1]Hoja1!$A:$O,5,0)</f>
        <v>2680765</v>
      </c>
      <c r="U826" s="45" t="s">
        <v>2751</v>
      </c>
      <c r="V826" s="46">
        <f t="shared" si="157"/>
        <v>2680765</v>
      </c>
      <c r="W826" s="47" t="s">
        <v>1519</v>
      </c>
      <c r="X826" s="46" t="str">
        <f t="shared" si="158"/>
        <v>1</v>
      </c>
      <c r="Y826" s="47" t="s">
        <v>1518</v>
      </c>
      <c r="Z826" s="46" t="str">
        <f t="shared" si="159"/>
        <v>V</v>
      </c>
      <c r="AA826" s="47" t="s">
        <v>2752</v>
      </c>
      <c r="AB826" s="46" t="str">
        <f t="shared" si="160"/>
        <v>MARTES</v>
      </c>
      <c r="AC826" s="47" t="s">
        <v>2753</v>
      </c>
      <c r="AD826" t="str">
        <f t="shared" si="161"/>
        <v>CONTRATURNO</v>
      </c>
      <c r="AE826" s="47" t="s">
        <v>2754</v>
      </c>
      <c r="AH826" t="str">
        <f t="shared" si="162"/>
        <v>INSERT INTO horario_curso_materia (horario_curso_materia.FK_CUR_mat,horario_curso_materia.FK_HOR,horario_curso_materia.DIA,horario_curso_materia.tipo_turno) VALUES (  (SELECT curso_materia.ID_CUR_MAT FROM curso_materia WHERE curso_materia.CUPOF='2680765' ) ,
    (SELECT horario.ID_HOR FROM horario WHERE horario.modulo='1 ' and horario.turno='V ' ),'MARTES ' , 'CONTRATURNO ' );</v>
      </c>
    </row>
    <row r="827" spans="1:34" ht="14.25" hidden="1" customHeight="1" x14ac:dyDescent="0.3">
      <c r="A827" s="1" t="str">
        <f t="shared" si="163"/>
        <v>5°4°</v>
      </c>
      <c r="B827" s="54" t="str">
        <f t="shared" si="155"/>
        <v>5°4°1MIVESPERTINO542</v>
      </c>
      <c r="C827" s="62">
        <f>VLOOKUP(G827,[1]Hoja1!$A:$O,3,0)</f>
        <v>542</v>
      </c>
      <c r="D827" s="2" t="str">
        <f t="shared" si="156"/>
        <v>1MIV44</v>
      </c>
      <c r="E827" s="62" t="s">
        <v>24</v>
      </c>
      <c r="F827" s="62" t="s">
        <v>125</v>
      </c>
      <c r="G827" s="62" t="s">
        <v>190</v>
      </c>
      <c r="H827" s="8" t="str">
        <f>VLOOKUP(G827,[1]Hoja1!$A:$O,6,0)</f>
        <v>APLIC ELECTR DIGITAL</v>
      </c>
      <c r="I827" s="4">
        <v>44</v>
      </c>
      <c r="J827" s="4"/>
      <c r="K827" s="80" t="str">
        <f t="shared" ref="K827:K890" si="165">RIGHT(E827,2)</f>
        <v>MI</v>
      </c>
      <c r="L827" s="4" t="s">
        <v>512</v>
      </c>
      <c r="M827" s="86" t="str">
        <f>VLOOKUP(G827,[1]Hoja1!$A:$O,15,0)</f>
        <v>SERENO, LEONEL</v>
      </c>
      <c r="N827" s="2" t="str">
        <f t="shared" si="164"/>
        <v>5°4°5425EFTED5MI</v>
      </c>
      <c r="O827" s="2"/>
      <c r="P827" s="2" t="str">
        <f>VLOOKUP(G827,[1]Hoja1!$A:$P,16,0)</f>
        <v xml:space="preserve"> </v>
      </c>
      <c r="Q827" s="2"/>
      <c r="S827">
        <f>VLOOKUP(G827,[1]Hoja1!$A:$O,5,0)</f>
        <v>2680772</v>
      </c>
      <c r="U827" s="45" t="s">
        <v>2751</v>
      </c>
      <c r="V827" s="46">
        <f t="shared" si="157"/>
        <v>2680772</v>
      </c>
      <c r="W827" s="47" t="s">
        <v>1519</v>
      </c>
      <c r="X827" s="46" t="str">
        <f t="shared" si="158"/>
        <v>1</v>
      </c>
      <c r="Y827" s="47" t="s">
        <v>1518</v>
      </c>
      <c r="Z827" s="46" t="str">
        <f t="shared" si="159"/>
        <v>V</v>
      </c>
      <c r="AA827" s="47" t="s">
        <v>2752</v>
      </c>
      <c r="AB827" s="46" t="str">
        <f t="shared" si="160"/>
        <v>MIERCOLES</v>
      </c>
      <c r="AC827" s="47" t="s">
        <v>2753</v>
      </c>
      <c r="AD827" t="str">
        <f t="shared" si="161"/>
        <v>CONTRATURNO</v>
      </c>
      <c r="AE827" s="47" t="s">
        <v>2754</v>
      </c>
      <c r="AH827" t="str">
        <f t="shared" si="162"/>
        <v>INSERT INTO horario_curso_materia (horario_curso_materia.FK_CUR_mat,horario_curso_materia.FK_HOR,horario_curso_materia.DIA,horario_curso_materia.tipo_turno) VALUES (  (SELECT curso_materia.ID_CUR_MAT FROM curso_materia WHERE curso_materia.CUPOF='2680772' ) ,
    (SELECT horario.ID_HOR FROM horario WHERE horario.modulo='1 ' and horario.turno='V ' ),'MIERCOLES ' , 'CONTRATURNO ' );</v>
      </c>
    </row>
    <row r="828" spans="1:34" ht="15" hidden="1" customHeight="1" x14ac:dyDescent="0.3">
      <c r="A828" s="1" t="str">
        <f t="shared" si="163"/>
        <v>5°4°</v>
      </c>
      <c r="B828" s="54" t="str">
        <f t="shared" si="155"/>
        <v>5°4°1VIMAÑANA0</v>
      </c>
      <c r="C828" s="62">
        <f>VLOOKUP(G828,[1]Hoja1!$A:$O,3,0)</f>
        <v>0</v>
      </c>
      <c r="D828" s="2" t="str">
        <f t="shared" si="156"/>
        <v>1VIMPATIO</v>
      </c>
      <c r="E828" s="62" t="s">
        <v>57</v>
      </c>
      <c r="F828" s="62" t="s">
        <v>27</v>
      </c>
      <c r="G828" s="62" t="s">
        <v>261</v>
      </c>
      <c r="H828" s="8" t="str">
        <f>VLOOKUP(G828,[1]Hoja1!$A:$O,6,0)</f>
        <v>EDUCACIÓN FISICA</v>
      </c>
      <c r="I828" s="4" t="s">
        <v>241</v>
      </c>
      <c r="J828" s="4"/>
      <c r="K828" s="80" t="str">
        <f t="shared" si="165"/>
        <v>VI</v>
      </c>
      <c r="L828" s="4" t="s">
        <v>512</v>
      </c>
      <c r="M828" s="86" t="str">
        <f>VLOOKUP(G828,[1]Hoja1!$A:$O,15,0)</f>
        <v>FERNANDEZ MARCELO</v>
      </c>
      <c r="N828" s="2" t="str">
        <f t="shared" si="164"/>
        <v>5°4°5EEFISVI</v>
      </c>
      <c r="O828" s="2" t="s">
        <v>562</v>
      </c>
      <c r="P828" s="2" t="str">
        <f>VLOOKUP(G828,[1]Hoja1!$A:$P,16,0)</f>
        <v xml:space="preserve"> </v>
      </c>
      <c r="Q828" s="2"/>
      <c r="S828">
        <f>VLOOKUP(G828,[1]Hoja1!$A:$O,5,0)</f>
        <v>2680754</v>
      </c>
      <c r="U828" s="45" t="s">
        <v>2751</v>
      </c>
      <c r="V828" s="46">
        <f t="shared" si="157"/>
        <v>2680754</v>
      </c>
      <c r="W828" s="47" t="s">
        <v>1519</v>
      </c>
      <c r="X828" s="46" t="str">
        <f t="shared" si="158"/>
        <v>1</v>
      </c>
      <c r="Y828" s="47" t="s">
        <v>1518</v>
      </c>
      <c r="Z828" s="46" t="str">
        <f t="shared" si="159"/>
        <v>M</v>
      </c>
      <c r="AA828" s="47" t="s">
        <v>2752</v>
      </c>
      <c r="AB828" s="46" t="str">
        <f t="shared" si="160"/>
        <v>VIERNES</v>
      </c>
      <c r="AC828" s="47" t="s">
        <v>2753</v>
      </c>
      <c r="AD828" t="str">
        <f t="shared" si="161"/>
        <v>CONTRATURNO</v>
      </c>
      <c r="AE828" s="47" t="s">
        <v>2754</v>
      </c>
      <c r="AH828" t="str">
        <f t="shared" si="162"/>
        <v>INSERT INTO horario_curso_materia (horario_curso_materia.FK_CUR_mat,horario_curso_materia.FK_HOR,horario_curso_materia.DIA,horario_curso_materia.tipo_turno) VALUES (  (SELECT curso_materia.ID_CUR_MAT FROM curso_materia WHERE curso_materia.CUPOF='2680754' ) ,
    (SELECT horario.ID_HOR FROM horario WHERE horario.modulo='1 ' and horario.turno='M ' ),'VIERNES ' , 'CONTRATURNO ' );</v>
      </c>
    </row>
    <row r="829" spans="1:34" ht="14.25" hidden="1" customHeight="1" x14ac:dyDescent="0.3">
      <c r="A829" s="1" t="str">
        <f t="shared" si="163"/>
        <v>5°4°</v>
      </c>
      <c r="B829" s="54" t="str">
        <f t="shared" si="155"/>
        <v>5°4°1VIVESPERTINO541</v>
      </c>
      <c r="C829" s="62">
        <f>VLOOKUP(G829,[1]Hoja1!$A:$O,3,0)</f>
        <v>541</v>
      </c>
      <c r="D829" s="2" t="str">
        <f t="shared" si="156"/>
        <v>1VIV45</v>
      </c>
      <c r="E829" s="62" t="s">
        <v>57</v>
      </c>
      <c r="F829" s="62" t="s">
        <v>125</v>
      </c>
      <c r="G829" s="62" t="s">
        <v>193</v>
      </c>
      <c r="H829" s="8" t="str">
        <f>VLOOKUP(G829,[1]Hoja1!$A:$O,6,0)</f>
        <v>APLIC ELECTR DIGITAL</v>
      </c>
      <c r="I829" s="4">
        <v>45</v>
      </c>
      <c r="J829" s="4"/>
      <c r="K829" s="80" t="str">
        <f t="shared" si="165"/>
        <v>VI</v>
      </c>
      <c r="L829" s="4" t="s">
        <v>512</v>
      </c>
      <c r="M829" s="86" t="str">
        <f>VLOOKUP(G829,[1]Hoja1!$A:$O,15,0)</f>
        <v xml:space="preserve">MARTINEZ, SILVIO </v>
      </c>
      <c r="N829" s="2" t="str">
        <f t="shared" si="164"/>
        <v>5°4°5415EFTED5VI</v>
      </c>
      <c r="O829" s="2"/>
      <c r="P829" s="2" t="str">
        <f>VLOOKUP(G829,[1]Hoja1!$A:$P,16,0)</f>
        <v xml:space="preserve"> </v>
      </c>
      <c r="Q829" s="2"/>
      <c r="S829">
        <f>VLOOKUP(G829,[1]Hoja1!$A:$O,5,0)</f>
        <v>2680767</v>
      </c>
      <c r="U829" s="45" t="s">
        <v>2751</v>
      </c>
      <c r="V829" s="46">
        <f t="shared" si="157"/>
        <v>2680767</v>
      </c>
      <c r="W829" s="47" t="s">
        <v>1519</v>
      </c>
      <c r="X829" s="46" t="str">
        <f t="shared" si="158"/>
        <v>1</v>
      </c>
      <c r="Y829" s="47" t="s">
        <v>1518</v>
      </c>
      <c r="Z829" s="46" t="str">
        <f t="shared" si="159"/>
        <v>V</v>
      </c>
      <c r="AA829" s="47" t="s">
        <v>2752</v>
      </c>
      <c r="AB829" s="46" t="str">
        <f t="shared" si="160"/>
        <v>VIERNES</v>
      </c>
      <c r="AC829" s="47" t="s">
        <v>2753</v>
      </c>
      <c r="AD829" t="str">
        <f t="shared" si="161"/>
        <v>CONTRATURNO</v>
      </c>
      <c r="AE829" s="47" t="s">
        <v>2754</v>
      </c>
      <c r="AH829" t="str">
        <f t="shared" si="162"/>
        <v>INSERT INTO horario_curso_materia (horario_curso_materia.FK_CUR_mat,horario_curso_materia.FK_HOR,horario_curso_materia.DIA,horario_curso_materia.tipo_turno) VALUES (  (SELECT curso_materia.ID_CUR_MAT FROM curso_materia WHERE curso_materia.CUPOF='2680767' ) ,
    (SELECT horario.ID_HOR FROM horario WHERE horario.modulo='1 ' and horario.turno='V ' ),'VIERNES ' , 'CONTRATURNO ' );</v>
      </c>
    </row>
    <row r="830" spans="1:34" ht="15" hidden="1" customHeight="1" x14ac:dyDescent="0.3">
      <c r="A830" s="1" t="str">
        <f t="shared" si="163"/>
        <v>5°4°</v>
      </c>
      <c r="B830" s="54" t="str">
        <f t="shared" si="155"/>
        <v>5°4°2JUTARDE0</v>
      </c>
      <c r="C830" s="62">
        <f>VLOOKUP(G830,[1]Hoja1!$A:$O,3,0)</f>
        <v>0</v>
      </c>
      <c r="D830" s="2" t="str">
        <f t="shared" si="156"/>
        <v>2JUT</v>
      </c>
      <c r="E830" s="62" t="s">
        <v>45</v>
      </c>
      <c r="F830" s="62" t="s">
        <v>10</v>
      </c>
      <c r="G830" s="62" t="s">
        <v>259</v>
      </c>
      <c r="H830" s="8" t="str">
        <f>VLOOKUP(G830,[1]Hoja1!$A:$O,6,0)</f>
        <v>LITERATURA</v>
      </c>
      <c r="I830" s="4"/>
      <c r="J830" s="4"/>
      <c r="K830" s="80" t="str">
        <f t="shared" si="165"/>
        <v>JU</v>
      </c>
      <c r="L830" s="4"/>
      <c r="M830" s="86" t="str">
        <f>VLOOKUP(G830,[1]Hoja1!$A:$O,15,0)</f>
        <v>ALONSO, MARIA</v>
      </c>
      <c r="N830" s="2" t="str">
        <f t="shared" si="164"/>
        <v>5°4°5ELITSJU</v>
      </c>
      <c r="O830" s="2"/>
      <c r="P830" s="2" t="str">
        <f>VLOOKUP(G830,[1]Hoja1!$A:$P,16,0)</f>
        <v xml:space="preserve"> </v>
      </c>
      <c r="Q830" s="2"/>
      <c r="S830">
        <f>VLOOKUP(G830,[1]Hoja1!$A:$O,5,0)</f>
        <v>2680751</v>
      </c>
      <c r="U830" s="45" t="s">
        <v>2751</v>
      </c>
      <c r="V830" s="46">
        <f t="shared" si="157"/>
        <v>2680751</v>
      </c>
      <c r="W830" s="47" t="s">
        <v>1519</v>
      </c>
      <c r="X830" s="46" t="str">
        <f t="shared" si="158"/>
        <v>2</v>
      </c>
      <c r="Y830" s="47" t="s">
        <v>1518</v>
      </c>
      <c r="Z830" s="46" t="str">
        <f t="shared" si="159"/>
        <v>T</v>
      </c>
      <c r="AA830" s="47" t="s">
        <v>2752</v>
      </c>
      <c r="AB830" s="46" t="str">
        <f t="shared" si="160"/>
        <v>JUEVES</v>
      </c>
      <c r="AC830" s="47" t="s">
        <v>2753</v>
      </c>
      <c r="AD830">
        <f t="shared" si="161"/>
        <v>0</v>
      </c>
      <c r="AE830" s="47" t="s">
        <v>2754</v>
      </c>
      <c r="AH830" t="str">
        <f t="shared" si="162"/>
        <v>INSERT INTO horario_curso_materia (horario_curso_materia.FK_CUR_mat,horario_curso_materia.FK_HOR,horario_curso_materia.DIA,horario_curso_materia.tipo_turno) VALUES (  (SELECT curso_materia.ID_CUR_MAT FROM curso_materia WHERE curso_materia.CUPOF='2680751' ) ,
    (SELECT horario.ID_HOR FROM horario WHERE horario.modulo='2 ' and horario.turno='T ' ),'JUEVES ' , '0 ' );</v>
      </c>
    </row>
    <row r="831" spans="1:34" ht="15" hidden="1" customHeight="1" x14ac:dyDescent="0.3">
      <c r="A831" s="1" t="str">
        <f t="shared" si="163"/>
        <v>5°4°</v>
      </c>
      <c r="B831" s="54" t="str">
        <f t="shared" si="155"/>
        <v>5°4°2JUVESPERTINO541</v>
      </c>
      <c r="C831" s="62">
        <f>VLOOKUP(G831,[1]Hoja1!$A:$O,3,0)</f>
        <v>541</v>
      </c>
      <c r="D831" s="2" t="str">
        <f t="shared" si="156"/>
        <v>2JUV46</v>
      </c>
      <c r="E831" s="62" t="s">
        <v>45</v>
      </c>
      <c r="F831" s="62" t="s">
        <v>125</v>
      </c>
      <c r="G831" s="62" t="s">
        <v>191</v>
      </c>
      <c r="H831" s="8" t="str">
        <f>VLOOKUP(G831,[1]Hoja1!$A:$O,6,0)</f>
        <v xml:space="preserve">APLIC ELECT ANALOG </v>
      </c>
      <c r="I831" s="4">
        <v>46</v>
      </c>
      <c r="J831" s="4"/>
      <c r="K831" s="80" t="str">
        <f t="shared" si="165"/>
        <v>JU</v>
      </c>
      <c r="L831" s="4" t="s">
        <v>512</v>
      </c>
      <c r="M831" s="86" t="str">
        <f>VLOOKUP(G831,[1]Hoja1!$A:$O,15,0)</f>
        <v>BARONI ROBERTO</v>
      </c>
      <c r="N831" s="2" t="str">
        <f t="shared" si="164"/>
        <v>5°4°5415EFTAE5JU</v>
      </c>
      <c r="O831" s="2"/>
      <c r="P831" s="2" t="str">
        <f>VLOOKUP(G831,[1]Hoja1!$A:$P,16,0)</f>
        <v xml:space="preserve"> </v>
      </c>
      <c r="Q831" s="2"/>
      <c r="S831">
        <f>VLOOKUP(G831,[1]Hoja1!$A:$O,5,0)</f>
        <v>2680766</v>
      </c>
      <c r="U831" s="45" t="s">
        <v>2751</v>
      </c>
      <c r="V831" s="46">
        <f t="shared" si="157"/>
        <v>2680766</v>
      </c>
      <c r="W831" s="47" t="s">
        <v>1519</v>
      </c>
      <c r="X831" s="46" t="str">
        <f t="shared" si="158"/>
        <v>2</v>
      </c>
      <c r="Y831" s="47" t="s">
        <v>1518</v>
      </c>
      <c r="Z831" s="46" t="str">
        <f t="shared" si="159"/>
        <v>V</v>
      </c>
      <c r="AA831" s="47" t="s">
        <v>2752</v>
      </c>
      <c r="AB831" s="46" t="str">
        <f t="shared" si="160"/>
        <v>JUEVES</v>
      </c>
      <c r="AC831" s="47" t="s">
        <v>2753</v>
      </c>
      <c r="AD831" t="str">
        <f t="shared" si="161"/>
        <v>CONTRATURNO</v>
      </c>
      <c r="AE831" s="47" t="s">
        <v>2754</v>
      </c>
      <c r="AH831" t="str">
        <f t="shared" si="162"/>
        <v>INSERT INTO horario_curso_materia (horario_curso_materia.FK_CUR_mat,horario_curso_materia.FK_HOR,horario_curso_materia.DIA,horario_curso_materia.tipo_turno) VALUES (  (SELECT curso_materia.ID_CUR_MAT FROM curso_materia WHERE curso_materia.CUPOF='2680766' ) ,
    (SELECT horario.ID_HOR FROM horario WHERE horario.modulo='2 ' and horario.turno='V ' ),'JUEVES ' , 'CONTRATURNO ' );</v>
      </c>
    </row>
    <row r="832" spans="1:34" ht="15" hidden="1" customHeight="1" x14ac:dyDescent="0.3">
      <c r="A832" s="1" t="str">
        <f t="shared" si="163"/>
        <v>5°4°</v>
      </c>
      <c r="B832" s="54" t="str">
        <f t="shared" si="155"/>
        <v>5°4°2JUVESPERTINO542</v>
      </c>
      <c r="C832" s="62">
        <f>VLOOKUP(G832,[1]Hoja1!$A:$O,3,0)</f>
        <v>542</v>
      </c>
      <c r="D832" s="2" t="str">
        <f t="shared" si="156"/>
        <v>2JUV44</v>
      </c>
      <c r="E832" s="62" t="s">
        <v>45</v>
      </c>
      <c r="F832" s="62" t="s">
        <v>125</v>
      </c>
      <c r="G832" s="62" t="s">
        <v>192</v>
      </c>
      <c r="H832" s="8" t="str">
        <f>VLOOKUP(G832,[1]Hoja1!$A:$O,6,0)</f>
        <v xml:space="preserve">MONTAJE DE PROYECTO ELECTRONICOS </v>
      </c>
      <c r="I832" s="4">
        <v>44</v>
      </c>
      <c r="J832" s="4"/>
      <c r="K832" s="80" t="str">
        <f t="shared" si="165"/>
        <v>JU</v>
      </c>
      <c r="L832" s="4" t="s">
        <v>512</v>
      </c>
      <c r="M832" s="86" t="str">
        <f>VLOOKUP(G832,[1]Hoja1!$A:$O,15,0)</f>
        <v>SAUCEDO GUSTAVO</v>
      </c>
      <c r="N832" s="2" t="str">
        <f t="shared" si="164"/>
        <v>5°4°5425EFTMP5JU</v>
      </c>
      <c r="O832" s="2"/>
      <c r="P832" s="2" t="str">
        <f>VLOOKUP(G832,[1]Hoja1!$A:$P,16,0)</f>
        <v xml:space="preserve"> </v>
      </c>
      <c r="Q832" s="2"/>
      <c r="S832">
        <f>VLOOKUP(G832,[1]Hoja1!$A:$O,5,0)</f>
        <v>2680773</v>
      </c>
      <c r="U832" s="45" t="s">
        <v>2751</v>
      </c>
      <c r="V832" s="46">
        <f t="shared" si="157"/>
        <v>2680773</v>
      </c>
      <c r="W832" s="47" t="s">
        <v>1519</v>
      </c>
      <c r="X832" s="46" t="str">
        <f t="shared" si="158"/>
        <v>2</v>
      </c>
      <c r="Y832" s="47" t="s">
        <v>1518</v>
      </c>
      <c r="Z832" s="46" t="str">
        <f t="shared" si="159"/>
        <v>V</v>
      </c>
      <c r="AA832" s="47" t="s">
        <v>2752</v>
      </c>
      <c r="AB832" s="46" t="str">
        <f t="shared" si="160"/>
        <v>JUEVES</v>
      </c>
      <c r="AC832" s="47" t="s">
        <v>2753</v>
      </c>
      <c r="AD832" t="str">
        <f t="shared" si="161"/>
        <v>CONTRATURNO</v>
      </c>
      <c r="AE832" s="47" t="s">
        <v>2754</v>
      </c>
      <c r="AH832" t="str">
        <f t="shared" si="162"/>
        <v>INSERT INTO horario_curso_materia (horario_curso_materia.FK_CUR_mat,horario_curso_materia.FK_HOR,horario_curso_materia.DIA,horario_curso_materia.tipo_turno) VALUES (  (SELECT curso_materia.ID_CUR_MAT FROM curso_materia WHERE curso_materia.CUPOF='2680773' ) ,
    (SELECT horario.ID_HOR FROM horario WHERE horario.modulo='2 ' and horario.turno='V ' ),'JUEVES ' , 'CONTRATURNO ' );</v>
      </c>
    </row>
    <row r="833" spans="1:34" ht="15" hidden="1" customHeight="1" x14ac:dyDescent="0.3">
      <c r="A833" s="1" t="str">
        <f t="shared" si="163"/>
        <v>5°4°</v>
      </c>
      <c r="B833" s="54" t="str">
        <f t="shared" si="155"/>
        <v>5°4°2LUTARDE0</v>
      </c>
      <c r="C833" s="62">
        <f>VLOOKUP(G833,[1]Hoja1!$A:$O,3,0)</f>
        <v>0</v>
      </c>
      <c r="D833" s="2" t="str">
        <f t="shared" si="156"/>
        <v>2LUT</v>
      </c>
      <c r="E833" s="62" t="s">
        <v>12</v>
      </c>
      <c r="F833" s="62" t="s">
        <v>10</v>
      </c>
      <c r="G833" s="62" t="s">
        <v>253</v>
      </c>
      <c r="H833" s="8" t="str">
        <f>VLOOKUP(G833,[1]Hoja1!$A:$O,6,0)</f>
        <v>POLITICA Y CIUDADANIA</v>
      </c>
      <c r="I833" s="4"/>
      <c r="J833" s="4"/>
      <c r="K833" s="80" t="str">
        <f t="shared" si="165"/>
        <v>LU</v>
      </c>
      <c r="L833" s="4"/>
      <c r="M833" s="86" t="str">
        <f>VLOOKUP(G833,[1]Hoja1!$A:$O,15,0)</f>
        <v xml:space="preserve">GAUTO, ALICIA </v>
      </c>
      <c r="N833" s="2" t="str">
        <f t="shared" si="164"/>
        <v>5°4°5EPYCSLU</v>
      </c>
      <c r="O833" s="2"/>
      <c r="P833" s="2" t="str">
        <f>VLOOKUP(G833,[1]Hoja1!$A:$P,16,0)</f>
        <v xml:space="preserve"> </v>
      </c>
      <c r="Q833" s="2"/>
      <c r="S833">
        <f>VLOOKUP(G833,[1]Hoja1!$A:$O,5,0)</f>
        <v>2680756</v>
      </c>
      <c r="U833" s="45" t="s">
        <v>2751</v>
      </c>
      <c r="V833" s="46">
        <f t="shared" si="157"/>
        <v>2680756</v>
      </c>
      <c r="W833" s="47" t="s">
        <v>1519</v>
      </c>
      <c r="X833" s="46" t="str">
        <f t="shared" si="158"/>
        <v>2</v>
      </c>
      <c r="Y833" s="47" t="s">
        <v>1518</v>
      </c>
      <c r="Z833" s="46" t="str">
        <f t="shared" si="159"/>
        <v>T</v>
      </c>
      <c r="AA833" s="47" t="s">
        <v>2752</v>
      </c>
      <c r="AB833" s="46" t="str">
        <f t="shared" si="160"/>
        <v>LUNES</v>
      </c>
      <c r="AC833" s="47" t="s">
        <v>2753</v>
      </c>
      <c r="AD833">
        <f t="shared" si="161"/>
        <v>0</v>
      </c>
      <c r="AE833" s="47" t="s">
        <v>2754</v>
      </c>
      <c r="AH833" t="str">
        <f t="shared" si="162"/>
        <v>INSERT INTO horario_curso_materia (horario_curso_materia.FK_CUR_mat,horario_curso_materia.FK_HOR,horario_curso_materia.DIA,horario_curso_materia.tipo_turno) VALUES (  (SELECT curso_materia.ID_CUR_MAT FROM curso_materia WHERE curso_materia.CUPOF='2680756' ) ,
    (SELECT horario.ID_HOR FROM horario WHERE horario.modulo='2 ' and horario.turno='T ' ),'LUNES ' , '0 ' );</v>
      </c>
    </row>
    <row r="834" spans="1:34" ht="15" hidden="1" customHeight="1" x14ac:dyDescent="0.3">
      <c r="A834" s="1" t="str">
        <f t="shared" si="163"/>
        <v>5°4°</v>
      </c>
      <c r="B834" s="54" t="str">
        <f t="shared" ref="B834:B897" si="166">CONCATENATE(LEFT(G834,4),E834,F834,C834)</f>
        <v>5°4°2VIVESPERTINO542</v>
      </c>
      <c r="C834" s="62">
        <f>VLOOKUP(G834,[1]Hoja1!$A:$O,3,0)</f>
        <v>542</v>
      </c>
      <c r="D834" s="2" t="str">
        <f t="shared" si="156"/>
        <v>2VIVHERRERIA</v>
      </c>
      <c r="E834" s="62" t="s">
        <v>59</v>
      </c>
      <c r="F834" s="62" t="s">
        <v>125</v>
      </c>
      <c r="G834" s="62" t="s">
        <v>186</v>
      </c>
      <c r="H834" s="8" t="str">
        <f>VLOOKUP(G834,[1]Hoja1!$A:$O,6,0)</f>
        <v xml:space="preserve">APLIC ELECT ANALOG </v>
      </c>
      <c r="I834" s="4" t="s">
        <v>21</v>
      </c>
      <c r="J834" s="4"/>
      <c r="K834" s="80" t="str">
        <f t="shared" si="165"/>
        <v>VI</v>
      </c>
      <c r="L834" s="4" t="s">
        <v>512</v>
      </c>
      <c r="M834" s="86" t="str">
        <f>VLOOKUP(G834,[1]Hoja1!$A:$O,15,0)</f>
        <v>FISTER VICTOR</v>
      </c>
      <c r="N834" s="2" t="str">
        <f t="shared" si="164"/>
        <v>5°4°5425EFTAE5VI</v>
      </c>
      <c r="O834" s="2"/>
      <c r="P834" s="2" t="str">
        <f>VLOOKUP(G834,[1]Hoja1!$A:$P,16,0)</f>
        <v xml:space="preserve"> </v>
      </c>
      <c r="Q834" s="2"/>
      <c r="S834">
        <f>VLOOKUP(G834,[1]Hoja1!$A:$O,5,0)</f>
        <v>2680771</v>
      </c>
      <c r="U834" s="45" t="s">
        <v>2751</v>
      </c>
      <c r="V834" s="46">
        <f t="shared" si="157"/>
        <v>2680771</v>
      </c>
      <c r="W834" s="47" t="s">
        <v>1519</v>
      </c>
      <c r="X834" s="46" t="str">
        <f t="shared" si="158"/>
        <v>2</v>
      </c>
      <c r="Y834" s="47" t="s">
        <v>1518</v>
      </c>
      <c r="Z834" s="46" t="str">
        <f t="shared" si="159"/>
        <v>V</v>
      </c>
      <c r="AA834" s="47" t="s">
        <v>2752</v>
      </c>
      <c r="AB834" s="46" t="str">
        <f t="shared" si="160"/>
        <v>VIERNES</v>
      </c>
      <c r="AC834" s="47" t="s">
        <v>2753</v>
      </c>
      <c r="AD834" t="str">
        <f t="shared" si="161"/>
        <v>CONTRATURNO</v>
      </c>
      <c r="AE834" s="47" t="s">
        <v>2754</v>
      </c>
      <c r="AH834" t="str">
        <f t="shared" si="162"/>
        <v>INSERT INTO horario_curso_materia (horario_curso_materia.FK_CUR_mat,horario_curso_materia.FK_HOR,horario_curso_materia.DIA,horario_curso_materia.tipo_turno) VALUES (  (SELECT curso_materia.ID_CUR_MAT FROM curso_materia WHERE curso_materia.CUPOF='2680771' ) ,
    (SELECT horario.ID_HOR FROM horario WHERE horario.modulo='2 ' and horario.turno='V ' ),'VIERNES ' , 'CONTRATURNO ' );</v>
      </c>
    </row>
    <row r="835" spans="1:34" ht="15" hidden="1" customHeight="1" x14ac:dyDescent="0.3">
      <c r="A835" s="1" t="str">
        <f t="shared" si="163"/>
        <v>5°4°</v>
      </c>
      <c r="B835" s="54" t="str">
        <f t="shared" si="166"/>
        <v>5°4°2MAMAÑANA541</v>
      </c>
      <c r="C835" s="62">
        <f>VLOOKUP(G835,[1]Hoja1!$A:$O,3,0)</f>
        <v>541</v>
      </c>
      <c r="D835" s="2" t="str">
        <f t="shared" si="156"/>
        <v>2MAM44</v>
      </c>
      <c r="E835" s="62" t="s">
        <v>19</v>
      </c>
      <c r="F835" s="62" t="s">
        <v>27</v>
      </c>
      <c r="G835" s="62" t="s">
        <v>189</v>
      </c>
      <c r="H835" s="8" t="str">
        <f>VLOOKUP(G835,[1]Hoja1!$A:$O,6,0)</f>
        <v xml:space="preserve">MONTAJE DE PROYECTO ELECTRONICOS </v>
      </c>
      <c r="I835" s="4">
        <v>44</v>
      </c>
      <c r="J835" s="4"/>
      <c r="K835" s="80" t="str">
        <f t="shared" si="165"/>
        <v>MA</v>
      </c>
      <c r="L835" s="4" t="s">
        <v>512</v>
      </c>
      <c r="M835" s="86" t="str">
        <f>VLOOKUP(G835,[1]Hoja1!$A:$O,15,0)</f>
        <v xml:space="preserve">SAUCEDO GUSTAVO </v>
      </c>
      <c r="N835" s="2" t="str">
        <f t="shared" si="164"/>
        <v>5°4°5415EFTMP5MA</v>
      </c>
      <c r="O835" s="2"/>
      <c r="P835" s="2" t="str">
        <f>VLOOKUP(G835,[1]Hoja1!$A:$P,16,0)</f>
        <v xml:space="preserve"> </v>
      </c>
      <c r="Q835" s="2"/>
      <c r="S835">
        <f>VLOOKUP(G835,[1]Hoja1!$A:$O,5,0)</f>
        <v>2680769</v>
      </c>
      <c r="U835" s="45" t="s">
        <v>2751</v>
      </c>
      <c r="V835" s="46">
        <f t="shared" si="157"/>
        <v>2680769</v>
      </c>
      <c r="W835" s="47" t="s">
        <v>1519</v>
      </c>
      <c r="X835" s="46" t="str">
        <f t="shared" si="158"/>
        <v>2</v>
      </c>
      <c r="Y835" s="47" t="s">
        <v>1518</v>
      </c>
      <c r="Z835" s="46" t="str">
        <f t="shared" si="159"/>
        <v>M</v>
      </c>
      <c r="AA835" s="47" t="s">
        <v>2752</v>
      </c>
      <c r="AB835" s="46" t="str">
        <f t="shared" si="160"/>
        <v>MARTES</v>
      </c>
      <c r="AC835" s="47" t="s">
        <v>2753</v>
      </c>
      <c r="AD835" t="str">
        <f t="shared" si="161"/>
        <v>CONTRATURNO</v>
      </c>
      <c r="AE835" s="47" t="s">
        <v>2754</v>
      </c>
      <c r="AH835" t="str">
        <f t="shared" si="162"/>
        <v>INSERT INTO horario_curso_materia (horario_curso_materia.FK_CUR_mat,horario_curso_materia.FK_HOR,horario_curso_materia.DIA,horario_curso_materia.tipo_turno) VALUES (  (SELECT curso_materia.ID_CUR_MAT FROM curso_materia WHERE curso_materia.CUPOF='2680769' ) ,
    (SELECT horario.ID_HOR FROM horario WHERE horario.modulo='2 ' and horario.turno='M ' ),'MARTES ' , 'CONTRATURNO ' );</v>
      </c>
    </row>
    <row r="836" spans="1:34" ht="15" hidden="1" customHeight="1" x14ac:dyDescent="0.3">
      <c r="A836" s="1" t="str">
        <f t="shared" si="163"/>
        <v>5°4°</v>
      </c>
      <c r="B836" s="54" t="str">
        <f t="shared" si="166"/>
        <v>5°4°2MATARDE0</v>
      </c>
      <c r="C836" s="62">
        <f>VLOOKUP(G836,[1]Hoja1!$A:$O,3,0)</f>
        <v>0</v>
      </c>
      <c r="D836" s="2" t="str">
        <f t="shared" si="156"/>
        <v>2MAT</v>
      </c>
      <c r="E836" s="62" t="s">
        <v>19</v>
      </c>
      <c r="F836" s="62" t="s">
        <v>10</v>
      </c>
      <c r="G836" s="62" t="s">
        <v>260</v>
      </c>
      <c r="H836" s="8" t="str">
        <f>VLOOKUP(G836,[1]Hoja1!$A:$O,6,0)</f>
        <v>INGLÉS</v>
      </c>
      <c r="I836" s="4"/>
      <c r="J836" s="4"/>
      <c r="K836" s="80" t="str">
        <f t="shared" si="165"/>
        <v>MA</v>
      </c>
      <c r="L836" s="4"/>
      <c r="M836" s="86" t="str">
        <f>VLOOKUP(G836,[1]Hoja1!$A:$O,15,0)</f>
        <v xml:space="preserve">ARCE KARINA </v>
      </c>
      <c r="N836" s="2" t="str">
        <f t="shared" si="164"/>
        <v>5°4°5EINGSMA</v>
      </c>
      <c r="O836" s="2" t="s">
        <v>561</v>
      </c>
      <c r="P836" s="2" t="str">
        <f>VLOOKUP(G836,[1]Hoja1!$A:$P,16,0)</f>
        <v xml:space="preserve"> </v>
      </c>
      <c r="Q836" s="2"/>
      <c r="S836">
        <f>VLOOKUP(G836,[1]Hoja1!$A:$O,5,0)</f>
        <v>2680752</v>
      </c>
      <c r="U836" s="45" t="s">
        <v>2751</v>
      </c>
      <c r="V836" s="46">
        <f t="shared" si="157"/>
        <v>2680752</v>
      </c>
      <c r="W836" s="47" t="s">
        <v>1519</v>
      </c>
      <c r="X836" s="46" t="str">
        <f t="shared" si="158"/>
        <v>2</v>
      </c>
      <c r="Y836" s="47" t="s">
        <v>1518</v>
      </c>
      <c r="Z836" s="46" t="str">
        <f t="shared" si="159"/>
        <v>T</v>
      </c>
      <c r="AA836" s="47" t="s">
        <v>2752</v>
      </c>
      <c r="AB836" s="46" t="str">
        <f t="shared" si="160"/>
        <v>MARTES</v>
      </c>
      <c r="AC836" s="47" t="s">
        <v>2753</v>
      </c>
      <c r="AD836">
        <f t="shared" si="161"/>
        <v>0</v>
      </c>
      <c r="AE836" s="47" t="s">
        <v>2754</v>
      </c>
      <c r="AH836" t="str">
        <f t="shared" si="162"/>
        <v>INSERT INTO horario_curso_materia (horario_curso_materia.FK_CUR_mat,horario_curso_materia.FK_HOR,horario_curso_materia.DIA,horario_curso_materia.tipo_turno) VALUES (  (SELECT curso_materia.ID_CUR_MAT FROM curso_materia WHERE curso_materia.CUPOF='2680752' ) ,
    (SELECT horario.ID_HOR FROM horario WHERE horario.modulo='2 ' and horario.turno='T ' ),'MARTES ' , '0 ' );</v>
      </c>
    </row>
    <row r="837" spans="1:34" ht="15" hidden="1" customHeight="1" x14ac:dyDescent="0.3">
      <c r="A837" s="1" t="str">
        <f t="shared" si="163"/>
        <v>5°4°</v>
      </c>
      <c r="B837" s="54" t="str">
        <f t="shared" si="166"/>
        <v>5°4°2MAVESPERTINO542</v>
      </c>
      <c r="C837" s="62">
        <f>VLOOKUP(G837,[1]Hoja1!$A:$O,3,0)</f>
        <v>542</v>
      </c>
      <c r="D837" s="2" t="str">
        <f t="shared" si="156"/>
        <v>2MAV45</v>
      </c>
      <c r="E837" s="62" t="s">
        <v>19</v>
      </c>
      <c r="F837" s="62" t="s">
        <v>125</v>
      </c>
      <c r="G837" s="62" t="s">
        <v>188</v>
      </c>
      <c r="H837" s="8" t="str">
        <f>VLOOKUP(G837,[1]Hoja1!$A:$O,6,0)</f>
        <v xml:space="preserve">DISEÑO ASIST Y SIMUL ELECT </v>
      </c>
      <c r="I837" s="4">
        <v>45</v>
      </c>
      <c r="J837" s="4"/>
      <c r="K837" s="80" t="str">
        <f t="shared" si="165"/>
        <v>MA</v>
      </c>
      <c r="L837" s="4" t="s">
        <v>512</v>
      </c>
      <c r="M837" s="86" t="str">
        <f>VLOOKUP(G837,[1]Hoja1!$A:$O,15,0)</f>
        <v xml:space="preserve">MARTINEZ, SILVIO </v>
      </c>
      <c r="N837" s="2" t="str">
        <f t="shared" si="164"/>
        <v>5°4°5425EDASEMA</v>
      </c>
      <c r="O837" s="2"/>
      <c r="P837" s="2" t="str">
        <f>VLOOKUP(G837,[1]Hoja1!$A:$P,16,0)</f>
        <v xml:space="preserve"> </v>
      </c>
      <c r="Q837" s="2"/>
      <c r="S837">
        <f>VLOOKUP(G837,[1]Hoja1!$A:$O,5,0)</f>
        <v>2680770</v>
      </c>
      <c r="U837" s="45" t="s">
        <v>2751</v>
      </c>
      <c r="V837" s="46">
        <f t="shared" si="157"/>
        <v>2680770</v>
      </c>
      <c r="W837" s="47" t="s">
        <v>1519</v>
      </c>
      <c r="X837" s="46" t="str">
        <f t="shared" si="158"/>
        <v>2</v>
      </c>
      <c r="Y837" s="47" t="s">
        <v>1518</v>
      </c>
      <c r="Z837" s="46" t="str">
        <f t="shared" si="159"/>
        <v>V</v>
      </c>
      <c r="AA837" s="47" t="s">
        <v>2752</v>
      </c>
      <c r="AB837" s="46" t="str">
        <f t="shared" si="160"/>
        <v>MARTES</v>
      </c>
      <c r="AC837" s="47" t="s">
        <v>2753</v>
      </c>
      <c r="AD837" t="str">
        <f t="shared" si="161"/>
        <v>CONTRATURNO</v>
      </c>
      <c r="AE837" s="47" t="s">
        <v>2754</v>
      </c>
      <c r="AH837" t="str">
        <f t="shared" si="162"/>
        <v>INSERT INTO horario_curso_materia (horario_curso_materia.FK_CUR_mat,horario_curso_materia.FK_HOR,horario_curso_materia.DIA,horario_curso_materia.tipo_turno) VALUES (  (SELECT curso_materia.ID_CUR_MAT FROM curso_materia WHERE curso_materia.CUPOF='2680770' ) ,
    (SELECT horario.ID_HOR FROM horario WHERE horario.modulo='2 ' and horario.turno='V ' ),'MARTES ' , 'CONTRATURNO ' );</v>
      </c>
    </row>
    <row r="838" spans="1:34" ht="15" hidden="1" customHeight="1" x14ac:dyDescent="0.3">
      <c r="A838" s="1" t="str">
        <f t="shared" si="163"/>
        <v>5°4°</v>
      </c>
      <c r="B838" s="54" t="str">
        <f t="shared" si="166"/>
        <v>5°4°2MITARDE0</v>
      </c>
      <c r="C838" s="62">
        <f>VLOOKUP(G838,[1]Hoja1!$A:$O,3,0)</f>
        <v>0</v>
      </c>
      <c r="D838" s="2" t="str">
        <f t="shared" si="156"/>
        <v>2MIT</v>
      </c>
      <c r="E838" s="62" t="s">
        <v>26</v>
      </c>
      <c r="F838" s="62" t="s">
        <v>10</v>
      </c>
      <c r="G838" s="62" t="s">
        <v>256</v>
      </c>
      <c r="H838" s="8" t="str">
        <f>VLOOKUP(G838,[1]Hoja1!$A:$O,6,0)</f>
        <v>ANALISIS MATEMATICO</v>
      </c>
      <c r="I838" s="4"/>
      <c r="J838" s="4"/>
      <c r="K838" s="80" t="str">
        <f t="shared" si="165"/>
        <v>MI</v>
      </c>
      <c r="L838" s="4"/>
      <c r="M838" s="86" t="str">
        <f>VLOOKUP(G838,[1]Hoja1!$A:$O,15,0)</f>
        <v xml:space="preserve"> KEMPER, NATALIA</v>
      </c>
      <c r="N838" s="2" t="str">
        <f t="shared" si="164"/>
        <v>5°4°5EANMATMI</v>
      </c>
      <c r="O838" s="2"/>
      <c r="P838" s="2" t="str">
        <f>VLOOKUP(G838,[1]Hoja1!$A:$P,16,0)</f>
        <v xml:space="preserve"> </v>
      </c>
      <c r="Q838" s="2"/>
      <c r="S838">
        <f>VLOOKUP(G838,[1]Hoja1!$A:$O,5,0)</f>
        <v>2680761</v>
      </c>
      <c r="U838" s="45" t="s">
        <v>2751</v>
      </c>
      <c r="V838" s="46">
        <f t="shared" si="157"/>
        <v>2680761</v>
      </c>
      <c r="W838" s="47" t="s">
        <v>1519</v>
      </c>
      <c r="X838" s="46" t="str">
        <f t="shared" si="158"/>
        <v>2</v>
      </c>
      <c r="Y838" s="47" t="s">
        <v>1518</v>
      </c>
      <c r="Z838" s="46" t="str">
        <f t="shared" si="159"/>
        <v>T</v>
      </c>
      <c r="AA838" s="47" t="s">
        <v>2752</v>
      </c>
      <c r="AB838" s="46" t="str">
        <f t="shared" si="160"/>
        <v>MIERCOLES</v>
      </c>
      <c r="AC838" s="47" t="s">
        <v>2753</v>
      </c>
      <c r="AD838">
        <f t="shared" si="161"/>
        <v>0</v>
      </c>
      <c r="AE838" s="47" t="s">
        <v>2754</v>
      </c>
      <c r="AH838" t="str">
        <f t="shared" si="162"/>
        <v>INSERT INTO horario_curso_materia (horario_curso_materia.FK_CUR_mat,horario_curso_materia.FK_HOR,horario_curso_materia.DIA,horario_curso_materia.tipo_turno) VALUES (  (SELECT curso_materia.ID_CUR_MAT FROM curso_materia WHERE curso_materia.CUPOF='2680761' ) ,
    (SELECT horario.ID_HOR FROM horario WHERE horario.modulo='2 ' and horario.turno='T ' ),'MIERCOLES ' , '0 ' );</v>
      </c>
    </row>
    <row r="839" spans="1:34" ht="15" hidden="1" customHeight="1" x14ac:dyDescent="0.3">
      <c r="A839" s="1" t="str">
        <f t="shared" si="163"/>
        <v>5°4°</v>
      </c>
      <c r="B839" s="54" t="str">
        <f t="shared" si="166"/>
        <v>5°4°2MAVESPERTINO541</v>
      </c>
      <c r="C839" s="62">
        <f>VLOOKUP(G839,[1]Hoja1!$A:$O,3,0)</f>
        <v>541</v>
      </c>
      <c r="D839" s="2" t="str">
        <f t="shared" si="156"/>
        <v>2MAV46</v>
      </c>
      <c r="E839" s="62" t="s">
        <v>19</v>
      </c>
      <c r="F839" s="62" t="s">
        <v>125</v>
      </c>
      <c r="G839" s="62" t="s">
        <v>187</v>
      </c>
      <c r="H839" s="8" t="str">
        <f>VLOOKUP(G839,[1]Hoja1!$A:$O,6,0)</f>
        <v xml:space="preserve">DISEÑO ASIST Y SIMUL ELECT </v>
      </c>
      <c r="I839" s="4">
        <v>46</v>
      </c>
      <c r="J839" s="4"/>
      <c r="K839" s="80" t="str">
        <f t="shared" si="165"/>
        <v>MA</v>
      </c>
      <c r="L839" s="4" t="s">
        <v>512</v>
      </c>
      <c r="M839" s="86" t="str">
        <f>VLOOKUP(G839,[1]Hoja1!$A:$O,15,0)</f>
        <v>GAUNA FEDERICO</v>
      </c>
      <c r="N839" s="2" t="str">
        <f t="shared" si="164"/>
        <v>5°4°5415EDASEMA</v>
      </c>
      <c r="O839" s="2" t="s">
        <v>1354</v>
      </c>
      <c r="P839" s="2" t="str">
        <f>VLOOKUP(G839,[1]Hoja1!$A:$P,16,0)</f>
        <v xml:space="preserve"> </v>
      </c>
      <c r="Q839" s="2"/>
      <c r="S839">
        <f>VLOOKUP(G839,[1]Hoja1!$A:$O,5,0)</f>
        <v>2680765</v>
      </c>
      <c r="U839" s="45" t="s">
        <v>2751</v>
      </c>
      <c r="V839" s="46">
        <f t="shared" si="157"/>
        <v>2680765</v>
      </c>
      <c r="W839" s="47" t="s">
        <v>1519</v>
      </c>
      <c r="X839" s="46" t="str">
        <f t="shared" si="158"/>
        <v>2</v>
      </c>
      <c r="Y839" s="47" t="s">
        <v>1518</v>
      </c>
      <c r="Z839" s="46" t="str">
        <f t="shared" si="159"/>
        <v>V</v>
      </c>
      <c r="AA839" s="47" t="s">
        <v>2752</v>
      </c>
      <c r="AB839" s="46" t="str">
        <f t="shared" si="160"/>
        <v>MARTES</v>
      </c>
      <c r="AC839" s="47" t="s">
        <v>2753</v>
      </c>
      <c r="AD839" t="str">
        <f t="shared" si="161"/>
        <v>CONTRATURNO</v>
      </c>
      <c r="AE839" s="47" t="s">
        <v>2754</v>
      </c>
      <c r="AH839" t="str">
        <f t="shared" si="162"/>
        <v>INSERT INTO horario_curso_materia (horario_curso_materia.FK_CUR_mat,horario_curso_materia.FK_HOR,horario_curso_materia.DIA,horario_curso_materia.tipo_turno) VALUES (  (SELECT curso_materia.ID_CUR_MAT FROM curso_materia WHERE curso_materia.CUPOF='2680765' ) ,
    (SELECT horario.ID_HOR FROM horario WHERE horario.modulo='2 ' and horario.turno='V ' ),'MARTES ' , 'CONTRATURNO ' );</v>
      </c>
    </row>
    <row r="840" spans="1:34" ht="14.25" hidden="1" customHeight="1" x14ac:dyDescent="0.3">
      <c r="A840" s="1" t="str">
        <f t="shared" si="163"/>
        <v>5°4°</v>
      </c>
      <c r="B840" s="54" t="str">
        <f t="shared" si="166"/>
        <v>5°4°2MIVESPERTINO542</v>
      </c>
      <c r="C840" s="62">
        <f>VLOOKUP(G840,[1]Hoja1!$A:$O,3,0)</f>
        <v>542</v>
      </c>
      <c r="D840" s="2" t="str">
        <f t="shared" si="156"/>
        <v>2MIV44</v>
      </c>
      <c r="E840" s="62" t="s">
        <v>26</v>
      </c>
      <c r="F840" s="62" t="s">
        <v>125</v>
      </c>
      <c r="G840" s="62" t="s">
        <v>190</v>
      </c>
      <c r="H840" s="8" t="str">
        <f>VLOOKUP(G840,[1]Hoja1!$A:$O,6,0)</f>
        <v>APLIC ELECTR DIGITAL</v>
      </c>
      <c r="I840" s="4">
        <v>44</v>
      </c>
      <c r="J840" s="4"/>
      <c r="K840" s="80" t="str">
        <f t="shared" si="165"/>
        <v>MI</v>
      </c>
      <c r="L840" s="4" t="s">
        <v>512</v>
      </c>
      <c r="M840" s="86" t="str">
        <f>VLOOKUP(G840,[1]Hoja1!$A:$O,15,0)</f>
        <v>SERENO, LEONEL</v>
      </c>
      <c r="N840" s="2" t="str">
        <f t="shared" si="164"/>
        <v>5°4°5425EFTED5MI</v>
      </c>
      <c r="O840" s="2"/>
      <c r="P840" s="2" t="str">
        <f>VLOOKUP(G840,[1]Hoja1!$A:$P,16,0)</f>
        <v xml:space="preserve"> </v>
      </c>
      <c r="Q840" s="2"/>
      <c r="S840">
        <f>VLOOKUP(G840,[1]Hoja1!$A:$O,5,0)</f>
        <v>2680772</v>
      </c>
      <c r="U840" s="45" t="s">
        <v>2751</v>
      </c>
      <c r="V840" s="46">
        <f t="shared" si="157"/>
        <v>2680772</v>
      </c>
      <c r="W840" s="47" t="s">
        <v>1519</v>
      </c>
      <c r="X840" s="46" t="str">
        <f t="shared" si="158"/>
        <v>2</v>
      </c>
      <c r="Y840" s="47" t="s">
        <v>1518</v>
      </c>
      <c r="Z840" s="46" t="str">
        <f t="shared" si="159"/>
        <v>V</v>
      </c>
      <c r="AA840" s="47" t="s">
        <v>2752</v>
      </c>
      <c r="AB840" s="46" t="str">
        <f t="shared" si="160"/>
        <v>MIERCOLES</v>
      </c>
      <c r="AC840" s="47" t="s">
        <v>2753</v>
      </c>
      <c r="AD840" t="str">
        <f t="shared" si="161"/>
        <v>CONTRATURNO</v>
      </c>
      <c r="AE840" s="47" t="s">
        <v>2754</v>
      </c>
      <c r="AH840" t="str">
        <f t="shared" si="162"/>
        <v>INSERT INTO horario_curso_materia (horario_curso_materia.FK_CUR_mat,horario_curso_materia.FK_HOR,horario_curso_materia.DIA,horario_curso_materia.tipo_turno) VALUES (  (SELECT curso_materia.ID_CUR_MAT FROM curso_materia WHERE curso_materia.CUPOF='2680772' ) ,
    (SELECT horario.ID_HOR FROM horario WHERE horario.modulo='2 ' and horario.turno='V ' ),'MIERCOLES ' , 'CONTRATURNO ' );</v>
      </c>
    </row>
    <row r="841" spans="1:34" ht="15" hidden="1" customHeight="1" x14ac:dyDescent="0.3">
      <c r="A841" s="1" t="str">
        <f t="shared" si="163"/>
        <v>5°4°</v>
      </c>
      <c r="B841" s="54" t="str">
        <f t="shared" si="166"/>
        <v>5°4°2VIMAÑANA0</v>
      </c>
      <c r="C841" s="62">
        <f>VLOOKUP(G841,[1]Hoja1!$A:$O,3,0)</f>
        <v>0</v>
      </c>
      <c r="D841" s="2" t="str">
        <f t="shared" si="156"/>
        <v>2VIMPATIO</v>
      </c>
      <c r="E841" s="62" t="s">
        <v>59</v>
      </c>
      <c r="F841" s="62" t="s">
        <v>27</v>
      </c>
      <c r="G841" s="62" t="s">
        <v>261</v>
      </c>
      <c r="H841" s="8" t="str">
        <f>VLOOKUP(G841,[1]Hoja1!$A:$O,6,0)</f>
        <v>EDUCACIÓN FISICA</v>
      </c>
      <c r="I841" s="4" t="s">
        <v>241</v>
      </c>
      <c r="J841" s="4"/>
      <c r="K841" s="80" t="str">
        <f t="shared" si="165"/>
        <v>VI</v>
      </c>
      <c r="L841" s="4" t="s">
        <v>512</v>
      </c>
      <c r="M841" s="86" t="str">
        <f>VLOOKUP(G841,[1]Hoja1!$A:$O,15,0)</f>
        <v>FERNANDEZ MARCELO</v>
      </c>
      <c r="N841" s="2" t="str">
        <f t="shared" si="164"/>
        <v>5°4°5EEFISVI</v>
      </c>
      <c r="O841" s="2"/>
      <c r="P841" s="2" t="str">
        <f>VLOOKUP(G841,[1]Hoja1!$A:$P,16,0)</f>
        <v xml:space="preserve"> </v>
      </c>
      <c r="Q841" s="2"/>
      <c r="S841">
        <f>VLOOKUP(G841,[1]Hoja1!$A:$O,5,0)</f>
        <v>2680754</v>
      </c>
      <c r="U841" s="45" t="s">
        <v>2751</v>
      </c>
      <c r="V841" s="46">
        <f t="shared" si="157"/>
        <v>2680754</v>
      </c>
      <c r="W841" s="47" t="s">
        <v>1519</v>
      </c>
      <c r="X841" s="46" t="str">
        <f t="shared" si="158"/>
        <v>2</v>
      </c>
      <c r="Y841" s="47" t="s">
        <v>1518</v>
      </c>
      <c r="Z841" s="46" t="str">
        <f t="shared" si="159"/>
        <v>M</v>
      </c>
      <c r="AA841" s="47" t="s">
        <v>2752</v>
      </c>
      <c r="AB841" s="46" t="str">
        <f t="shared" si="160"/>
        <v>VIERNES</v>
      </c>
      <c r="AC841" s="47" t="s">
        <v>2753</v>
      </c>
      <c r="AD841" t="str">
        <f t="shared" si="161"/>
        <v>CONTRATURNO</v>
      </c>
      <c r="AE841" s="47" t="s">
        <v>2754</v>
      </c>
      <c r="AH841" t="str">
        <f t="shared" si="162"/>
        <v>INSERT INTO horario_curso_materia (horario_curso_materia.FK_CUR_mat,horario_curso_materia.FK_HOR,horario_curso_materia.DIA,horario_curso_materia.tipo_turno) VALUES (  (SELECT curso_materia.ID_CUR_MAT FROM curso_materia WHERE curso_materia.CUPOF='2680754' ) ,
    (SELECT horario.ID_HOR FROM horario WHERE horario.modulo='2 ' and horario.turno='M ' ),'VIERNES ' , 'CONTRATURNO ' );</v>
      </c>
    </row>
    <row r="842" spans="1:34" ht="14.25" hidden="1" customHeight="1" x14ac:dyDescent="0.3">
      <c r="A842" s="1" t="str">
        <f t="shared" si="163"/>
        <v>5°4°</v>
      </c>
      <c r="B842" s="54" t="str">
        <f t="shared" si="166"/>
        <v>5°4°2VIVESPERTINO541</v>
      </c>
      <c r="C842" s="62">
        <f>VLOOKUP(G842,[1]Hoja1!$A:$O,3,0)</f>
        <v>541</v>
      </c>
      <c r="D842" s="2" t="str">
        <f t="shared" si="156"/>
        <v>2VIV45</v>
      </c>
      <c r="E842" s="62" t="s">
        <v>59</v>
      </c>
      <c r="F842" s="62" t="s">
        <v>125</v>
      </c>
      <c r="G842" s="62" t="s">
        <v>193</v>
      </c>
      <c r="H842" s="8" t="str">
        <f>VLOOKUP(G842,[1]Hoja1!$A:$O,6,0)</f>
        <v>APLIC ELECTR DIGITAL</v>
      </c>
      <c r="I842" s="4">
        <v>45</v>
      </c>
      <c r="J842" s="4"/>
      <c r="K842" s="80" t="str">
        <f t="shared" si="165"/>
        <v>VI</v>
      </c>
      <c r="L842" s="4" t="s">
        <v>512</v>
      </c>
      <c r="M842" s="86" t="str">
        <f>VLOOKUP(G842,[1]Hoja1!$A:$O,15,0)</f>
        <v xml:space="preserve">MARTINEZ, SILVIO </v>
      </c>
      <c r="N842" s="2" t="str">
        <f t="shared" si="164"/>
        <v>5°4°5415EFTED5VI</v>
      </c>
      <c r="O842" s="2"/>
      <c r="P842" s="2" t="str">
        <f>VLOOKUP(G842,[1]Hoja1!$A:$P,16,0)</f>
        <v xml:space="preserve"> </v>
      </c>
      <c r="Q842" s="2"/>
      <c r="S842">
        <f>VLOOKUP(G842,[1]Hoja1!$A:$O,5,0)</f>
        <v>2680767</v>
      </c>
      <c r="U842" s="45" t="s">
        <v>2751</v>
      </c>
      <c r="V842" s="46">
        <f t="shared" si="157"/>
        <v>2680767</v>
      </c>
      <c r="W842" s="47" t="s">
        <v>1519</v>
      </c>
      <c r="X842" s="46" t="str">
        <f t="shared" si="158"/>
        <v>2</v>
      </c>
      <c r="Y842" s="47" t="s">
        <v>1518</v>
      </c>
      <c r="Z842" s="46" t="str">
        <f t="shared" si="159"/>
        <v>V</v>
      </c>
      <c r="AA842" s="47" t="s">
        <v>2752</v>
      </c>
      <c r="AB842" s="46" t="str">
        <f t="shared" si="160"/>
        <v>VIERNES</v>
      </c>
      <c r="AC842" s="47" t="s">
        <v>2753</v>
      </c>
      <c r="AD842" t="str">
        <f t="shared" si="161"/>
        <v>CONTRATURNO</v>
      </c>
      <c r="AE842" s="47" t="s">
        <v>2754</v>
      </c>
      <c r="AH842" t="str">
        <f t="shared" si="162"/>
        <v>INSERT INTO horario_curso_materia (horario_curso_materia.FK_CUR_mat,horario_curso_materia.FK_HOR,horario_curso_materia.DIA,horario_curso_materia.tipo_turno) VALUES (  (SELECT curso_materia.ID_CUR_MAT FROM curso_materia WHERE curso_materia.CUPOF='2680767' ) ,
    (SELECT horario.ID_HOR FROM horario WHERE horario.modulo='2 ' and horario.turno='V ' ),'VIERNES ' , 'CONTRATURNO ' );</v>
      </c>
    </row>
    <row r="843" spans="1:34" ht="15" hidden="1" customHeight="1" x14ac:dyDescent="0.3">
      <c r="A843" s="1" t="str">
        <f t="shared" si="163"/>
        <v>5°4°</v>
      </c>
      <c r="B843" s="54" t="str">
        <f t="shared" si="166"/>
        <v>5°4°3JUTARDE0</v>
      </c>
      <c r="C843" s="62">
        <f>VLOOKUP(G843,[1]Hoja1!$A:$O,3,0)</f>
        <v>0</v>
      </c>
      <c r="D843" s="2" t="str">
        <f t="shared" si="156"/>
        <v>3JUT</v>
      </c>
      <c r="E843" s="62" t="s">
        <v>46</v>
      </c>
      <c r="F843" s="62" t="s">
        <v>10</v>
      </c>
      <c r="G843" s="62" t="s">
        <v>258</v>
      </c>
      <c r="H843" s="8" t="str">
        <f>VLOOKUP(G843,[1]Hoja1!$A:$O,6,0)</f>
        <v>HISTORIA</v>
      </c>
      <c r="I843" s="4"/>
      <c r="J843" s="4"/>
      <c r="K843" s="80" t="str">
        <f t="shared" si="165"/>
        <v>JU</v>
      </c>
      <c r="L843" s="4"/>
      <c r="M843" s="86" t="str">
        <f>VLOOKUP(G843,[1]Hoja1!$A:$O,15,0)</f>
        <v xml:space="preserve">TORRES LUIS                    </v>
      </c>
      <c r="N843" s="2" t="str">
        <f t="shared" si="164"/>
        <v>5°4°5EHIS5JU</v>
      </c>
      <c r="O843" s="2"/>
      <c r="P843" s="2" t="str">
        <f>VLOOKUP(G843,[1]Hoja1!$A:$P,16,0)</f>
        <v xml:space="preserve"> </v>
      </c>
      <c r="Q843" s="2"/>
      <c r="S843">
        <f>VLOOKUP(G843,[1]Hoja1!$A:$O,5,0)</f>
        <v>2680758</v>
      </c>
      <c r="U843" s="45" t="s">
        <v>2751</v>
      </c>
      <c r="V843" s="46">
        <f t="shared" si="157"/>
        <v>2680758</v>
      </c>
      <c r="W843" s="47" t="s">
        <v>1519</v>
      </c>
      <c r="X843" s="46" t="str">
        <f t="shared" si="158"/>
        <v>3</v>
      </c>
      <c r="Y843" s="47" t="s">
        <v>1518</v>
      </c>
      <c r="Z843" s="46" t="str">
        <f t="shared" si="159"/>
        <v>T</v>
      </c>
      <c r="AA843" s="47" t="s">
        <v>2752</v>
      </c>
      <c r="AB843" s="46" t="str">
        <f t="shared" si="160"/>
        <v>JUEVES</v>
      </c>
      <c r="AC843" s="47" t="s">
        <v>2753</v>
      </c>
      <c r="AD843">
        <f t="shared" si="161"/>
        <v>0</v>
      </c>
      <c r="AE843" s="47" t="s">
        <v>2754</v>
      </c>
      <c r="AH843" t="str">
        <f t="shared" si="162"/>
        <v>INSERT INTO horario_curso_materia (horario_curso_materia.FK_CUR_mat,horario_curso_materia.FK_HOR,horario_curso_materia.DIA,horario_curso_materia.tipo_turno) VALUES (  (SELECT curso_materia.ID_CUR_MAT FROM curso_materia WHERE curso_materia.CUPOF='2680758' ) ,
    (SELECT horario.ID_HOR FROM horario WHERE horario.modulo='3 ' and horario.turno='T ' ),'JUEVES ' , '0 ' );</v>
      </c>
    </row>
    <row r="844" spans="1:34" ht="15" hidden="1" customHeight="1" x14ac:dyDescent="0.3">
      <c r="A844" s="1" t="str">
        <f t="shared" si="163"/>
        <v>5°4°</v>
      </c>
      <c r="B844" s="54" t="str">
        <f t="shared" si="166"/>
        <v>5°4°3JUVESPERTINO541</v>
      </c>
      <c r="C844" s="62">
        <f>VLOOKUP(G844,[1]Hoja1!$A:$O,3,0)</f>
        <v>541</v>
      </c>
      <c r="D844" s="2" t="str">
        <f t="shared" si="156"/>
        <v>3JUV46</v>
      </c>
      <c r="E844" s="62" t="s">
        <v>46</v>
      </c>
      <c r="F844" s="62" t="s">
        <v>125</v>
      </c>
      <c r="G844" s="62" t="s">
        <v>191</v>
      </c>
      <c r="H844" s="8" t="str">
        <f>VLOOKUP(G844,[1]Hoja1!$A:$O,6,0)</f>
        <v xml:space="preserve">APLIC ELECT ANALOG </v>
      </c>
      <c r="I844" s="4">
        <v>46</v>
      </c>
      <c r="J844" s="4"/>
      <c r="K844" s="80" t="str">
        <f t="shared" si="165"/>
        <v>JU</v>
      </c>
      <c r="L844" s="4" t="s">
        <v>512</v>
      </c>
      <c r="M844" s="86" t="str">
        <f>VLOOKUP(G844,[1]Hoja1!$A:$O,15,0)</f>
        <v>BARONI ROBERTO</v>
      </c>
      <c r="N844" s="2" t="str">
        <f t="shared" si="164"/>
        <v>5°4°5415EFTAE5JU</v>
      </c>
      <c r="O844" s="2"/>
      <c r="P844" s="2" t="str">
        <f>VLOOKUP(G844,[1]Hoja1!$A:$P,16,0)</f>
        <v xml:space="preserve"> </v>
      </c>
      <c r="Q844" s="2"/>
      <c r="S844">
        <f>VLOOKUP(G844,[1]Hoja1!$A:$O,5,0)</f>
        <v>2680766</v>
      </c>
      <c r="U844" s="45" t="s">
        <v>2751</v>
      </c>
      <c r="V844" s="46">
        <f t="shared" si="157"/>
        <v>2680766</v>
      </c>
      <c r="W844" s="47" t="s">
        <v>1519</v>
      </c>
      <c r="X844" s="46" t="str">
        <f t="shared" si="158"/>
        <v>3</v>
      </c>
      <c r="Y844" s="47" t="s">
        <v>1518</v>
      </c>
      <c r="Z844" s="46" t="str">
        <f t="shared" si="159"/>
        <v>V</v>
      </c>
      <c r="AA844" s="47" t="s">
        <v>2752</v>
      </c>
      <c r="AB844" s="46" t="str">
        <f t="shared" si="160"/>
        <v>JUEVES</v>
      </c>
      <c r="AC844" s="47" t="s">
        <v>2753</v>
      </c>
      <c r="AD844" t="str">
        <f t="shared" si="161"/>
        <v>CONTRATURNO</v>
      </c>
      <c r="AE844" s="47" t="s">
        <v>2754</v>
      </c>
      <c r="AH844" t="str">
        <f t="shared" si="162"/>
        <v>INSERT INTO horario_curso_materia (horario_curso_materia.FK_CUR_mat,horario_curso_materia.FK_HOR,horario_curso_materia.DIA,horario_curso_materia.tipo_turno) VALUES (  (SELECT curso_materia.ID_CUR_MAT FROM curso_materia WHERE curso_materia.CUPOF='2680766' ) ,
    (SELECT horario.ID_HOR FROM horario WHERE horario.modulo='3 ' and horario.turno='V ' ),'JUEVES ' , 'CONTRATURNO ' );</v>
      </c>
    </row>
    <row r="845" spans="1:34" ht="15" hidden="1" customHeight="1" x14ac:dyDescent="0.3">
      <c r="A845" s="1" t="str">
        <f t="shared" si="163"/>
        <v>5°4°</v>
      </c>
      <c r="B845" s="54" t="str">
        <f t="shared" si="166"/>
        <v>5°4°3JUVESPERTINO542</v>
      </c>
      <c r="C845" s="62">
        <f>VLOOKUP(G845,[1]Hoja1!$A:$O,3,0)</f>
        <v>542</v>
      </c>
      <c r="D845" s="2" t="str">
        <f t="shared" si="156"/>
        <v>3JUV44</v>
      </c>
      <c r="E845" s="62" t="s">
        <v>46</v>
      </c>
      <c r="F845" s="62" t="s">
        <v>125</v>
      </c>
      <c r="G845" s="62" t="s">
        <v>192</v>
      </c>
      <c r="H845" s="8" t="str">
        <f>VLOOKUP(G845,[1]Hoja1!$A:$O,6,0)</f>
        <v xml:space="preserve">MONTAJE DE PROYECTO ELECTRONICOS </v>
      </c>
      <c r="I845" s="4">
        <v>44</v>
      </c>
      <c r="J845" s="4"/>
      <c r="K845" s="80" t="str">
        <f t="shared" si="165"/>
        <v>JU</v>
      </c>
      <c r="L845" s="4" t="s">
        <v>512</v>
      </c>
      <c r="M845" s="86" t="str">
        <f>VLOOKUP(G845,[1]Hoja1!$A:$O,15,0)</f>
        <v>SAUCEDO GUSTAVO</v>
      </c>
      <c r="N845" s="2" t="str">
        <f t="shared" si="164"/>
        <v>5°4°5425EFTMP5JU</v>
      </c>
      <c r="O845" s="2"/>
      <c r="P845" s="2" t="str">
        <f>VLOOKUP(G845,[1]Hoja1!$A:$P,16,0)</f>
        <v xml:space="preserve"> </v>
      </c>
      <c r="Q845" s="2"/>
      <c r="S845">
        <f>VLOOKUP(G845,[1]Hoja1!$A:$O,5,0)</f>
        <v>2680773</v>
      </c>
      <c r="U845" s="45" t="s">
        <v>2751</v>
      </c>
      <c r="V845" s="46">
        <f t="shared" si="157"/>
        <v>2680773</v>
      </c>
      <c r="W845" s="47" t="s">
        <v>1519</v>
      </c>
      <c r="X845" s="46" t="str">
        <f t="shared" si="158"/>
        <v>3</v>
      </c>
      <c r="Y845" s="47" t="s">
        <v>1518</v>
      </c>
      <c r="Z845" s="46" t="str">
        <f t="shared" si="159"/>
        <v>V</v>
      </c>
      <c r="AA845" s="47" t="s">
        <v>2752</v>
      </c>
      <c r="AB845" s="46" t="str">
        <f t="shared" si="160"/>
        <v>JUEVES</v>
      </c>
      <c r="AC845" s="47" t="s">
        <v>2753</v>
      </c>
      <c r="AD845" t="str">
        <f t="shared" si="161"/>
        <v>CONTRATURNO</v>
      </c>
      <c r="AE845" s="47" t="s">
        <v>2754</v>
      </c>
      <c r="AH845" t="str">
        <f t="shared" si="162"/>
        <v>INSERT INTO horario_curso_materia (horario_curso_materia.FK_CUR_mat,horario_curso_materia.FK_HOR,horario_curso_materia.DIA,horario_curso_materia.tipo_turno) VALUES (  (SELECT curso_materia.ID_CUR_MAT FROM curso_materia WHERE curso_materia.CUPOF='2680773' ) ,
    (SELECT horario.ID_HOR FROM horario WHERE horario.modulo='3 ' and horario.turno='V ' ),'JUEVES ' , 'CONTRATURNO ' );</v>
      </c>
    </row>
    <row r="846" spans="1:34" ht="15" hidden="1" customHeight="1" x14ac:dyDescent="0.3">
      <c r="A846" s="1" t="str">
        <f t="shared" si="163"/>
        <v>5°4°</v>
      </c>
      <c r="B846" s="54" t="str">
        <f t="shared" si="166"/>
        <v>5°4°3LUTARDE0</v>
      </c>
      <c r="C846" s="62">
        <f>VLOOKUP(G846,[1]Hoja1!$A:$O,3,0)</f>
        <v>0</v>
      </c>
      <c r="D846" s="2" t="str">
        <f t="shared" si="156"/>
        <v>3LUT</v>
      </c>
      <c r="E846" s="62" t="s">
        <v>29</v>
      </c>
      <c r="F846" s="62" t="s">
        <v>10</v>
      </c>
      <c r="G846" s="62" t="s">
        <v>254</v>
      </c>
      <c r="H846" s="8" t="str">
        <f>VLOOKUP(G846,[1]Hoja1!$A:$O,6,0)</f>
        <v>GEOGRAFIA</v>
      </c>
      <c r="I846" s="4"/>
      <c r="J846" s="4"/>
      <c r="K846" s="80" t="str">
        <f t="shared" si="165"/>
        <v>LU</v>
      </c>
      <c r="L846" s="4"/>
      <c r="M846" s="86" t="str">
        <f>VLOOKUP(G846,[1]Hoja1!$A:$O,15,0)</f>
        <v xml:space="preserve">SPERONI, ADRIAN </v>
      </c>
      <c r="N846" s="2" t="str">
        <f t="shared" si="164"/>
        <v>5°4°5EGEOS5LU</v>
      </c>
      <c r="O846" s="2"/>
      <c r="P846" s="2" t="str">
        <f>VLOOKUP(G846,[1]Hoja1!$A:$P,16,0)</f>
        <v xml:space="preserve"> </v>
      </c>
      <c r="Q846" s="2"/>
      <c r="S846">
        <f>VLOOKUP(G846,[1]Hoja1!$A:$O,5,0)</f>
        <v>2680760</v>
      </c>
      <c r="U846" s="45" t="s">
        <v>2751</v>
      </c>
      <c r="V846" s="46">
        <f t="shared" si="157"/>
        <v>2680760</v>
      </c>
      <c r="W846" s="47" t="s">
        <v>1519</v>
      </c>
      <c r="X846" s="46" t="str">
        <f t="shared" si="158"/>
        <v>3</v>
      </c>
      <c r="Y846" s="47" t="s">
        <v>1518</v>
      </c>
      <c r="Z846" s="46" t="str">
        <f t="shared" si="159"/>
        <v>T</v>
      </c>
      <c r="AA846" s="47" t="s">
        <v>2752</v>
      </c>
      <c r="AB846" s="46" t="str">
        <f t="shared" si="160"/>
        <v>LUNES</v>
      </c>
      <c r="AC846" s="47" t="s">
        <v>2753</v>
      </c>
      <c r="AD846">
        <f t="shared" si="161"/>
        <v>0</v>
      </c>
      <c r="AE846" s="47" t="s">
        <v>2754</v>
      </c>
      <c r="AH846" t="str">
        <f t="shared" si="162"/>
        <v>INSERT INTO horario_curso_materia (horario_curso_materia.FK_CUR_mat,horario_curso_materia.FK_HOR,horario_curso_materia.DIA,horario_curso_materia.tipo_turno) VALUES (  (SELECT curso_materia.ID_CUR_MAT FROM curso_materia WHERE curso_materia.CUPOF='2680760' ) ,
    (SELECT horario.ID_HOR FROM horario WHERE horario.modulo='3 ' and horario.turno='T ' ),'LUNES ' , '0 ' );</v>
      </c>
    </row>
    <row r="847" spans="1:34" ht="15" hidden="1" customHeight="1" x14ac:dyDescent="0.3">
      <c r="A847" s="1" t="str">
        <f t="shared" si="163"/>
        <v>5°4°</v>
      </c>
      <c r="B847" s="54" t="str">
        <f t="shared" si="166"/>
        <v>5°4°3VIVESPERTINO542</v>
      </c>
      <c r="C847" s="62">
        <f>VLOOKUP(G847,[1]Hoja1!$A:$O,3,0)</f>
        <v>542</v>
      </c>
      <c r="D847" s="2" t="str">
        <f t="shared" si="156"/>
        <v>3VIVHERRERIA</v>
      </c>
      <c r="E847" s="62" t="s">
        <v>35</v>
      </c>
      <c r="F847" s="62" t="s">
        <v>125</v>
      </c>
      <c r="G847" s="62" t="s">
        <v>186</v>
      </c>
      <c r="H847" s="8" t="str">
        <f>VLOOKUP(G847,[1]Hoja1!$A:$O,6,0)</f>
        <v xml:space="preserve">APLIC ELECT ANALOG </v>
      </c>
      <c r="I847" s="4" t="s">
        <v>21</v>
      </c>
      <c r="J847" s="4"/>
      <c r="K847" s="80" t="str">
        <f t="shared" si="165"/>
        <v>VI</v>
      </c>
      <c r="L847" s="4" t="s">
        <v>512</v>
      </c>
      <c r="M847" s="86" t="str">
        <f>VLOOKUP(G847,[1]Hoja1!$A:$O,15,0)</f>
        <v>FISTER VICTOR</v>
      </c>
      <c r="N847" s="2" t="str">
        <f t="shared" si="164"/>
        <v>5°4°5425EFTAE5VI</v>
      </c>
      <c r="O847" s="2"/>
      <c r="P847" s="2" t="str">
        <f>VLOOKUP(G847,[1]Hoja1!$A:$P,16,0)</f>
        <v xml:space="preserve"> </v>
      </c>
      <c r="Q847" s="2"/>
      <c r="S847">
        <f>VLOOKUP(G847,[1]Hoja1!$A:$O,5,0)</f>
        <v>2680771</v>
      </c>
      <c r="U847" s="45" t="s">
        <v>2751</v>
      </c>
      <c r="V847" s="46">
        <f t="shared" si="157"/>
        <v>2680771</v>
      </c>
      <c r="W847" s="47" t="s">
        <v>1519</v>
      </c>
      <c r="X847" s="46" t="str">
        <f t="shared" si="158"/>
        <v>3</v>
      </c>
      <c r="Y847" s="47" t="s">
        <v>1518</v>
      </c>
      <c r="Z847" s="46" t="str">
        <f t="shared" si="159"/>
        <v>V</v>
      </c>
      <c r="AA847" s="47" t="s">
        <v>2752</v>
      </c>
      <c r="AB847" s="46" t="str">
        <f t="shared" si="160"/>
        <v>VIERNES</v>
      </c>
      <c r="AC847" s="47" t="s">
        <v>2753</v>
      </c>
      <c r="AD847" t="str">
        <f t="shared" si="161"/>
        <v>CONTRATURNO</v>
      </c>
      <c r="AE847" s="47" t="s">
        <v>2754</v>
      </c>
      <c r="AH847" t="str">
        <f t="shared" si="162"/>
        <v>INSERT INTO horario_curso_materia (horario_curso_materia.FK_CUR_mat,horario_curso_materia.FK_HOR,horario_curso_materia.DIA,horario_curso_materia.tipo_turno) VALUES (  (SELECT curso_materia.ID_CUR_MAT FROM curso_materia WHERE curso_materia.CUPOF='2680771' ) ,
    (SELECT horario.ID_HOR FROM horario WHERE horario.modulo='3 ' and horario.turno='V ' ),'VIERNES ' , 'CONTRATURNO ' );</v>
      </c>
    </row>
    <row r="848" spans="1:34" ht="15" hidden="1" customHeight="1" x14ac:dyDescent="0.3">
      <c r="A848" s="1" t="str">
        <f t="shared" si="163"/>
        <v>5°4°</v>
      </c>
      <c r="B848" s="54" t="str">
        <f t="shared" si="166"/>
        <v>5°4°3MAMAÑANA541</v>
      </c>
      <c r="C848" s="62">
        <f>VLOOKUP(G848,[1]Hoja1!$A:$O,3,0)</f>
        <v>541</v>
      </c>
      <c r="D848" s="2" t="str">
        <f t="shared" si="156"/>
        <v>3MAM44</v>
      </c>
      <c r="E848" s="62" t="s">
        <v>13</v>
      </c>
      <c r="F848" s="62" t="s">
        <v>27</v>
      </c>
      <c r="G848" s="62" t="s">
        <v>189</v>
      </c>
      <c r="H848" s="8" t="str">
        <f>VLOOKUP(G848,[1]Hoja1!$A:$O,6,0)</f>
        <v xml:space="preserve">MONTAJE DE PROYECTO ELECTRONICOS </v>
      </c>
      <c r="I848" s="4">
        <v>44</v>
      </c>
      <c r="J848" s="4"/>
      <c r="K848" s="80" t="str">
        <f t="shared" si="165"/>
        <v>MA</v>
      </c>
      <c r="L848" s="4" t="s">
        <v>512</v>
      </c>
      <c r="M848" s="86" t="str">
        <f>VLOOKUP(G848,[1]Hoja1!$A:$O,15,0)</f>
        <v xml:space="preserve">SAUCEDO GUSTAVO </v>
      </c>
      <c r="N848" s="2" t="str">
        <f t="shared" si="164"/>
        <v>5°4°5415EFTMP5MA</v>
      </c>
      <c r="O848" s="2"/>
      <c r="P848" s="39" t="str">
        <f>VLOOKUP(G848,[1]Hoja1!$A:$P,16,0)</f>
        <v xml:space="preserve"> </v>
      </c>
      <c r="Q848" s="39"/>
      <c r="S848">
        <f>VLOOKUP(G848,[1]Hoja1!$A:$O,5,0)</f>
        <v>2680769</v>
      </c>
      <c r="U848" s="45" t="s">
        <v>2751</v>
      </c>
      <c r="V848" s="46">
        <f t="shared" si="157"/>
        <v>2680769</v>
      </c>
      <c r="W848" s="47" t="s">
        <v>1519</v>
      </c>
      <c r="X848" s="46" t="str">
        <f t="shared" si="158"/>
        <v>3</v>
      </c>
      <c r="Y848" s="47" t="s">
        <v>1518</v>
      </c>
      <c r="Z848" s="46" t="str">
        <f t="shared" si="159"/>
        <v>M</v>
      </c>
      <c r="AA848" s="47" t="s">
        <v>2752</v>
      </c>
      <c r="AB848" s="46" t="str">
        <f t="shared" si="160"/>
        <v>MARTES</v>
      </c>
      <c r="AC848" s="47" t="s">
        <v>2753</v>
      </c>
      <c r="AD848" t="str">
        <f t="shared" si="161"/>
        <v>CONTRATURNO</v>
      </c>
      <c r="AE848" s="47" t="s">
        <v>2754</v>
      </c>
      <c r="AH848" t="str">
        <f t="shared" si="162"/>
        <v>INSERT INTO horario_curso_materia (horario_curso_materia.FK_CUR_mat,horario_curso_materia.FK_HOR,horario_curso_materia.DIA,horario_curso_materia.tipo_turno) VALUES (  (SELECT curso_materia.ID_CUR_MAT FROM curso_materia WHERE curso_materia.CUPOF='2680769' ) ,
    (SELECT horario.ID_HOR FROM horario WHERE horario.modulo='3 ' and horario.turno='M ' ),'MARTES ' , 'CONTRATURNO ' );</v>
      </c>
    </row>
    <row r="849" spans="1:34" ht="15" hidden="1" customHeight="1" x14ac:dyDescent="0.3">
      <c r="A849" s="1" t="str">
        <f t="shared" si="163"/>
        <v>5°4°</v>
      </c>
      <c r="B849" s="54" t="str">
        <f t="shared" si="166"/>
        <v>5°4°3MATARDE0</v>
      </c>
      <c r="C849" s="62">
        <f>VLOOKUP(G849,[1]Hoja1!$A:$O,3,0)</f>
        <v>0</v>
      </c>
      <c r="D849" s="2" t="str">
        <f t="shared" si="156"/>
        <v>3MAT</v>
      </c>
      <c r="E849" s="62" t="s">
        <v>13</v>
      </c>
      <c r="F849" s="62" t="s">
        <v>10</v>
      </c>
      <c r="G849" s="62" t="s">
        <v>256</v>
      </c>
      <c r="H849" s="8" t="str">
        <f>VLOOKUP(G849,[1]Hoja1!$A:$O,6,0)</f>
        <v>ANALISIS MATEMATICO</v>
      </c>
      <c r="I849" s="4"/>
      <c r="J849" s="4"/>
      <c r="K849" s="80" t="str">
        <f t="shared" si="165"/>
        <v>MA</v>
      </c>
      <c r="L849" s="4"/>
      <c r="M849" s="86" t="str">
        <f>VLOOKUP(G849,[1]Hoja1!$A:$O,15,0)</f>
        <v xml:space="preserve"> KEMPER, NATALIA</v>
      </c>
      <c r="N849" s="2" t="str">
        <f t="shared" si="164"/>
        <v>5°4°5EANMATMA</v>
      </c>
      <c r="O849" s="2"/>
      <c r="P849" s="2" t="str">
        <f>VLOOKUP(G849,[1]Hoja1!$A:$P,16,0)</f>
        <v xml:space="preserve"> </v>
      </c>
      <c r="Q849" s="2"/>
      <c r="S849">
        <f>VLOOKUP(G849,[1]Hoja1!$A:$O,5,0)</f>
        <v>2680761</v>
      </c>
      <c r="U849" s="45" t="s">
        <v>2751</v>
      </c>
      <c r="V849" s="46">
        <f t="shared" si="157"/>
        <v>2680761</v>
      </c>
      <c r="W849" s="47" t="s">
        <v>1519</v>
      </c>
      <c r="X849" s="46" t="str">
        <f t="shared" si="158"/>
        <v>3</v>
      </c>
      <c r="Y849" s="47" t="s">
        <v>1518</v>
      </c>
      <c r="Z849" s="46" t="str">
        <f t="shared" si="159"/>
        <v>T</v>
      </c>
      <c r="AA849" s="47" t="s">
        <v>2752</v>
      </c>
      <c r="AB849" s="46" t="str">
        <f t="shared" si="160"/>
        <v>MARTES</v>
      </c>
      <c r="AC849" s="47" t="s">
        <v>2753</v>
      </c>
      <c r="AD849">
        <f t="shared" si="161"/>
        <v>0</v>
      </c>
      <c r="AE849" s="47" t="s">
        <v>2754</v>
      </c>
      <c r="AH849" t="str">
        <f t="shared" si="162"/>
        <v>INSERT INTO horario_curso_materia (horario_curso_materia.FK_CUR_mat,horario_curso_materia.FK_HOR,horario_curso_materia.DIA,horario_curso_materia.tipo_turno) VALUES (  (SELECT curso_materia.ID_CUR_MAT FROM curso_materia WHERE curso_materia.CUPOF='2680761' ) ,
    (SELECT horario.ID_HOR FROM horario WHERE horario.modulo='3 ' and horario.turno='T ' ),'MARTES ' , '0 ' );</v>
      </c>
    </row>
    <row r="850" spans="1:34" ht="15" hidden="1" customHeight="1" x14ac:dyDescent="0.3">
      <c r="A850" s="1" t="str">
        <f t="shared" si="163"/>
        <v>5°4°</v>
      </c>
      <c r="B850" s="54" t="str">
        <f t="shared" si="166"/>
        <v>5°4°3MAVESPERTINO542</v>
      </c>
      <c r="C850" s="62">
        <f>VLOOKUP(G850,[1]Hoja1!$A:$O,3,0)</f>
        <v>542</v>
      </c>
      <c r="D850" s="2" t="str">
        <f t="shared" si="156"/>
        <v>3MAV45</v>
      </c>
      <c r="E850" s="62" t="s">
        <v>13</v>
      </c>
      <c r="F850" s="62" t="s">
        <v>125</v>
      </c>
      <c r="G850" s="62" t="s">
        <v>188</v>
      </c>
      <c r="H850" s="8" t="str">
        <f>VLOOKUP(G850,[1]Hoja1!$A:$O,6,0)</f>
        <v xml:space="preserve">DISEÑO ASIST Y SIMUL ELECT </v>
      </c>
      <c r="I850" s="4">
        <v>45</v>
      </c>
      <c r="J850" s="4"/>
      <c r="K850" s="80" t="str">
        <f t="shared" si="165"/>
        <v>MA</v>
      </c>
      <c r="L850" s="4" t="s">
        <v>512</v>
      </c>
      <c r="M850" s="86" t="str">
        <f>VLOOKUP(G850,[1]Hoja1!$A:$O,15,0)</f>
        <v xml:space="preserve">MARTINEZ, SILVIO </v>
      </c>
      <c r="N850" s="2" t="str">
        <f t="shared" si="164"/>
        <v>5°4°5425EDASEMA</v>
      </c>
      <c r="O850" s="2"/>
      <c r="P850" s="2" t="str">
        <f>VLOOKUP(G850,[1]Hoja1!$A:$P,16,0)</f>
        <v xml:space="preserve"> </v>
      </c>
      <c r="Q850" s="2"/>
      <c r="S850">
        <f>VLOOKUP(G850,[1]Hoja1!$A:$O,5,0)</f>
        <v>2680770</v>
      </c>
      <c r="U850" s="45" t="s">
        <v>2751</v>
      </c>
      <c r="V850" s="46">
        <f t="shared" si="157"/>
        <v>2680770</v>
      </c>
      <c r="W850" s="47" t="s">
        <v>1519</v>
      </c>
      <c r="X850" s="46" t="str">
        <f t="shared" si="158"/>
        <v>3</v>
      </c>
      <c r="Y850" s="47" t="s">
        <v>1518</v>
      </c>
      <c r="Z850" s="46" t="str">
        <f t="shared" si="159"/>
        <v>V</v>
      </c>
      <c r="AA850" s="47" t="s">
        <v>2752</v>
      </c>
      <c r="AB850" s="46" t="str">
        <f t="shared" si="160"/>
        <v>MARTES</v>
      </c>
      <c r="AC850" s="47" t="s">
        <v>2753</v>
      </c>
      <c r="AD850" t="str">
        <f t="shared" si="161"/>
        <v>CONTRATURNO</v>
      </c>
      <c r="AE850" s="47" t="s">
        <v>2754</v>
      </c>
      <c r="AH850" t="str">
        <f t="shared" si="162"/>
        <v>INSERT INTO horario_curso_materia (horario_curso_materia.FK_CUR_mat,horario_curso_materia.FK_HOR,horario_curso_materia.DIA,horario_curso_materia.tipo_turno) VALUES (  (SELECT curso_materia.ID_CUR_MAT FROM curso_materia WHERE curso_materia.CUPOF='2680770' ) ,
    (SELECT horario.ID_HOR FROM horario WHERE horario.modulo='3 ' and horario.turno='V ' ),'MARTES ' , 'CONTRATURNO ' );</v>
      </c>
    </row>
    <row r="851" spans="1:34" ht="15" hidden="1" customHeight="1" x14ac:dyDescent="0.3">
      <c r="A851" s="1" t="str">
        <f t="shared" si="163"/>
        <v>5°4°</v>
      </c>
      <c r="B851" s="54" t="str">
        <f t="shared" si="166"/>
        <v>5°4°3MITARDE0</v>
      </c>
      <c r="C851" s="62">
        <f>VLOOKUP(G851,[1]Hoja1!$A:$O,3,0)</f>
        <v>0</v>
      </c>
      <c r="D851" s="2" t="str">
        <f t="shared" si="156"/>
        <v>3MIT</v>
      </c>
      <c r="E851" s="62" t="s">
        <v>50</v>
      </c>
      <c r="F851" s="62" t="s">
        <v>10</v>
      </c>
      <c r="G851" s="62" t="s">
        <v>257</v>
      </c>
      <c r="H851" s="8" t="str">
        <f>VLOOKUP(G851,[1]Hoja1!$A:$O,6,0)</f>
        <v>ANALISIS DE LOS MODELOS CIRCUITALES</v>
      </c>
      <c r="I851" s="4"/>
      <c r="J851" s="4"/>
      <c r="K851" s="80" t="str">
        <f t="shared" si="165"/>
        <v>MI</v>
      </c>
      <c r="L851" s="4"/>
      <c r="M851" s="86" t="str">
        <f>VLOOKUP(G851,[1]Hoja1!$A:$O,15,0)</f>
        <v>GUTIERREZ NICOLAS</v>
      </c>
      <c r="N851" s="2" t="str">
        <f t="shared" si="164"/>
        <v>5°4°5EAMCMI</v>
      </c>
      <c r="O851" s="2"/>
      <c r="P851" s="2" t="str">
        <f>VLOOKUP(G851,[1]Hoja1!$A:$P,16,0)</f>
        <v xml:space="preserve"> </v>
      </c>
      <c r="Q851" s="2"/>
      <c r="S851">
        <f>VLOOKUP(G851,[1]Hoja1!$A:$O,5,0)</f>
        <v>2680762</v>
      </c>
      <c r="U851" s="45" t="s">
        <v>2751</v>
      </c>
      <c r="V851" s="46">
        <f t="shared" si="157"/>
        <v>2680762</v>
      </c>
      <c r="W851" s="47" t="s">
        <v>1519</v>
      </c>
      <c r="X851" s="46" t="str">
        <f t="shared" si="158"/>
        <v>3</v>
      </c>
      <c r="Y851" s="47" t="s">
        <v>1518</v>
      </c>
      <c r="Z851" s="46" t="str">
        <f t="shared" si="159"/>
        <v>T</v>
      </c>
      <c r="AA851" s="47" t="s">
        <v>2752</v>
      </c>
      <c r="AB851" s="46" t="str">
        <f t="shared" si="160"/>
        <v>MIERCOLES</v>
      </c>
      <c r="AC851" s="47" t="s">
        <v>2753</v>
      </c>
      <c r="AD851">
        <f t="shared" si="161"/>
        <v>0</v>
      </c>
      <c r="AE851" s="47" t="s">
        <v>2754</v>
      </c>
      <c r="AH851" t="str">
        <f t="shared" si="162"/>
        <v>INSERT INTO horario_curso_materia (horario_curso_materia.FK_CUR_mat,horario_curso_materia.FK_HOR,horario_curso_materia.DIA,horario_curso_materia.tipo_turno) VALUES (  (SELECT curso_materia.ID_CUR_MAT FROM curso_materia WHERE curso_materia.CUPOF='2680762' ) ,
    (SELECT horario.ID_HOR FROM horario WHERE horario.modulo='3 ' and horario.turno='T ' ),'MIERCOLES ' , '0 ' );</v>
      </c>
    </row>
    <row r="852" spans="1:34" ht="14.25" hidden="1" customHeight="1" x14ac:dyDescent="0.3">
      <c r="A852" s="1" t="str">
        <f t="shared" si="163"/>
        <v>5°4°</v>
      </c>
      <c r="B852" s="54" t="str">
        <f t="shared" si="166"/>
        <v>5°4°3MIVESPERTINO542</v>
      </c>
      <c r="C852" s="62">
        <f>VLOOKUP(G852,[1]Hoja1!$A:$O,3,0)</f>
        <v>542</v>
      </c>
      <c r="D852" s="2" t="str">
        <f t="shared" si="156"/>
        <v>3MIV44</v>
      </c>
      <c r="E852" s="62" t="s">
        <v>50</v>
      </c>
      <c r="F852" s="62" t="s">
        <v>125</v>
      </c>
      <c r="G852" s="62" t="s">
        <v>190</v>
      </c>
      <c r="H852" s="8" t="str">
        <f>VLOOKUP(G852,[1]Hoja1!$A:$O,6,0)</f>
        <v>APLIC ELECTR DIGITAL</v>
      </c>
      <c r="I852" s="4">
        <v>44</v>
      </c>
      <c r="J852" s="4"/>
      <c r="K852" s="80" t="str">
        <f t="shared" si="165"/>
        <v>MI</v>
      </c>
      <c r="L852" s="4" t="s">
        <v>512</v>
      </c>
      <c r="M852" s="86" t="str">
        <f>VLOOKUP(G852,[1]Hoja1!$A:$O,15,0)</f>
        <v>SERENO, LEONEL</v>
      </c>
      <c r="N852" s="2" t="str">
        <f t="shared" si="164"/>
        <v>5°4°5425EFTED5MI</v>
      </c>
      <c r="O852" s="2"/>
      <c r="P852" s="2" t="str">
        <f>VLOOKUP(G852,[1]Hoja1!$A:$P,16,0)</f>
        <v xml:space="preserve"> </v>
      </c>
      <c r="Q852" s="2"/>
      <c r="S852">
        <f>VLOOKUP(G852,[1]Hoja1!$A:$O,5,0)</f>
        <v>2680772</v>
      </c>
      <c r="U852" s="45" t="s">
        <v>2751</v>
      </c>
      <c r="V852" s="46">
        <f t="shared" si="157"/>
        <v>2680772</v>
      </c>
      <c r="W852" s="47" t="s">
        <v>1519</v>
      </c>
      <c r="X852" s="46" t="str">
        <f t="shared" si="158"/>
        <v>3</v>
      </c>
      <c r="Y852" s="47" t="s">
        <v>1518</v>
      </c>
      <c r="Z852" s="46" t="str">
        <f t="shared" si="159"/>
        <v>V</v>
      </c>
      <c r="AA852" s="47" t="s">
        <v>2752</v>
      </c>
      <c r="AB852" s="46" t="str">
        <f t="shared" si="160"/>
        <v>MIERCOLES</v>
      </c>
      <c r="AC852" s="47" t="s">
        <v>2753</v>
      </c>
      <c r="AD852" t="str">
        <f t="shared" si="161"/>
        <v>CONTRATURNO</v>
      </c>
      <c r="AE852" s="47" t="s">
        <v>2754</v>
      </c>
      <c r="AH852" t="str">
        <f t="shared" si="162"/>
        <v>INSERT INTO horario_curso_materia (horario_curso_materia.FK_CUR_mat,horario_curso_materia.FK_HOR,horario_curso_materia.DIA,horario_curso_materia.tipo_turno) VALUES (  (SELECT curso_materia.ID_CUR_MAT FROM curso_materia WHERE curso_materia.CUPOF='2680772' ) ,
    (SELECT horario.ID_HOR FROM horario WHERE horario.modulo='3 ' and horario.turno='V ' ),'MIERCOLES ' , 'CONTRATURNO ' );</v>
      </c>
    </row>
    <row r="853" spans="1:34" ht="15" hidden="1" customHeight="1" x14ac:dyDescent="0.3">
      <c r="A853" s="1" t="str">
        <f t="shared" si="163"/>
        <v>5°4°</v>
      </c>
      <c r="B853" s="54" t="str">
        <f t="shared" si="166"/>
        <v>5°4°3VITARDE0</v>
      </c>
      <c r="C853" s="62">
        <f>VLOOKUP(G853,[1]Hoja1!$A:$O,3,0)</f>
        <v>0</v>
      </c>
      <c r="D853" s="2" t="str">
        <f t="shared" si="156"/>
        <v>3VIT</v>
      </c>
      <c r="E853" s="62" t="s">
        <v>35</v>
      </c>
      <c r="F853" s="62" t="s">
        <v>10</v>
      </c>
      <c r="G853" s="62" t="s">
        <v>255</v>
      </c>
      <c r="H853" s="8" t="str">
        <f>VLOOKUP(G853,[1]Hoja1!$A:$O,6,0)</f>
        <v>LENGUAJES ELECTRONICOS</v>
      </c>
      <c r="I853" s="4"/>
      <c r="J853" s="4"/>
      <c r="K853" s="80" t="str">
        <f t="shared" si="165"/>
        <v>VI</v>
      </c>
      <c r="L853" s="4"/>
      <c r="M853" s="86" t="str">
        <f>VLOOKUP(G853,[1]Hoja1!$A:$O,15,0)</f>
        <v>PROCHOR JUAN</v>
      </c>
      <c r="N853" s="2" t="str">
        <f t="shared" si="164"/>
        <v>5°4°5ELENEVI</v>
      </c>
      <c r="O853" s="2" t="s">
        <v>560</v>
      </c>
      <c r="P853" s="2" t="str">
        <f>VLOOKUP(G853,[1]Hoja1!$A:$P,16,0)</f>
        <v xml:space="preserve"> </v>
      </c>
      <c r="Q853" s="2"/>
      <c r="S853">
        <f>VLOOKUP(G853,[1]Hoja1!$A:$O,5,0)</f>
        <v>2680764</v>
      </c>
      <c r="U853" s="45" t="s">
        <v>2751</v>
      </c>
      <c r="V853" s="46">
        <f t="shared" si="157"/>
        <v>2680764</v>
      </c>
      <c r="W853" s="47" t="s">
        <v>1519</v>
      </c>
      <c r="X853" s="46" t="str">
        <f t="shared" si="158"/>
        <v>3</v>
      </c>
      <c r="Y853" s="47" t="s">
        <v>1518</v>
      </c>
      <c r="Z853" s="46" t="str">
        <f t="shared" si="159"/>
        <v>T</v>
      </c>
      <c r="AA853" s="47" t="s">
        <v>2752</v>
      </c>
      <c r="AB853" s="46" t="str">
        <f t="shared" si="160"/>
        <v>VIERNES</v>
      </c>
      <c r="AC853" s="47" t="s">
        <v>2753</v>
      </c>
      <c r="AD853">
        <f t="shared" si="161"/>
        <v>0</v>
      </c>
      <c r="AE853" s="47" t="s">
        <v>2754</v>
      </c>
      <c r="AH853" t="str">
        <f t="shared" si="162"/>
        <v>INSERT INTO horario_curso_materia (horario_curso_materia.FK_CUR_mat,horario_curso_materia.FK_HOR,horario_curso_materia.DIA,horario_curso_materia.tipo_turno) VALUES (  (SELECT curso_materia.ID_CUR_MAT FROM curso_materia WHERE curso_materia.CUPOF='2680764' ) ,
    (SELECT horario.ID_HOR FROM horario WHERE horario.modulo='3 ' and horario.turno='T ' ),'VIERNES ' , '0 ' );</v>
      </c>
    </row>
    <row r="854" spans="1:34" ht="14.25" hidden="1" customHeight="1" x14ac:dyDescent="0.3">
      <c r="A854" s="1" t="str">
        <f t="shared" si="163"/>
        <v>5°4°</v>
      </c>
      <c r="B854" s="54" t="str">
        <f t="shared" si="166"/>
        <v>5°4°3VIVESPERTINO541</v>
      </c>
      <c r="C854" s="62">
        <f>VLOOKUP(G854,[1]Hoja1!$A:$O,3,0)</f>
        <v>541</v>
      </c>
      <c r="D854" s="2" t="str">
        <f t="shared" si="156"/>
        <v>3VIV45</v>
      </c>
      <c r="E854" s="62" t="s">
        <v>35</v>
      </c>
      <c r="F854" s="62" t="s">
        <v>125</v>
      </c>
      <c r="G854" s="62" t="s">
        <v>193</v>
      </c>
      <c r="H854" s="8" t="str">
        <f>VLOOKUP(G854,[1]Hoja1!$A:$O,6,0)</f>
        <v>APLIC ELECTR DIGITAL</v>
      </c>
      <c r="I854" s="4">
        <v>45</v>
      </c>
      <c r="J854" s="4"/>
      <c r="K854" s="80" t="str">
        <f t="shared" si="165"/>
        <v>VI</v>
      </c>
      <c r="L854" s="4" t="s">
        <v>512</v>
      </c>
      <c r="M854" s="86" t="str">
        <f>VLOOKUP(G854,[1]Hoja1!$A:$O,15,0)</f>
        <v xml:space="preserve">MARTINEZ, SILVIO </v>
      </c>
      <c r="N854" s="2" t="str">
        <f t="shared" si="164"/>
        <v>5°4°5415EFTED5VI</v>
      </c>
      <c r="O854" s="2"/>
      <c r="P854" s="2" t="str">
        <f>VLOOKUP(G854,[1]Hoja1!$A:$P,16,0)</f>
        <v xml:space="preserve"> </v>
      </c>
      <c r="Q854" s="2"/>
      <c r="S854">
        <f>VLOOKUP(G854,[1]Hoja1!$A:$O,5,0)</f>
        <v>2680767</v>
      </c>
      <c r="U854" s="45" t="s">
        <v>2751</v>
      </c>
      <c r="V854" s="46">
        <f t="shared" si="157"/>
        <v>2680767</v>
      </c>
      <c r="W854" s="47" t="s">
        <v>1519</v>
      </c>
      <c r="X854" s="46" t="str">
        <f t="shared" si="158"/>
        <v>3</v>
      </c>
      <c r="Y854" s="47" t="s">
        <v>1518</v>
      </c>
      <c r="Z854" s="46" t="str">
        <f t="shared" si="159"/>
        <v>V</v>
      </c>
      <c r="AA854" s="47" t="s">
        <v>2752</v>
      </c>
      <c r="AB854" s="46" t="str">
        <f t="shared" si="160"/>
        <v>VIERNES</v>
      </c>
      <c r="AC854" s="47" t="s">
        <v>2753</v>
      </c>
      <c r="AD854" t="str">
        <f t="shared" si="161"/>
        <v>CONTRATURNO</v>
      </c>
      <c r="AE854" s="47" t="s">
        <v>2754</v>
      </c>
      <c r="AH854" t="str">
        <f t="shared" si="162"/>
        <v>INSERT INTO horario_curso_materia (horario_curso_materia.FK_CUR_mat,horario_curso_materia.FK_HOR,horario_curso_materia.DIA,horario_curso_materia.tipo_turno) VALUES (  (SELECT curso_materia.ID_CUR_MAT FROM curso_materia WHERE curso_materia.CUPOF='2680767' ) ,
    (SELECT horario.ID_HOR FROM horario WHERE horario.modulo='3 ' and horario.turno='V ' ),'VIERNES ' , 'CONTRATURNO ' );</v>
      </c>
    </row>
    <row r="855" spans="1:34" ht="15" hidden="1" customHeight="1" x14ac:dyDescent="0.3">
      <c r="A855" s="1" t="str">
        <f t="shared" si="163"/>
        <v>5°4°</v>
      </c>
      <c r="B855" s="54" t="str">
        <f t="shared" si="166"/>
        <v>5°4°4JUTARDE0</v>
      </c>
      <c r="C855" s="62">
        <f>VLOOKUP(G855,[1]Hoja1!$A:$O,3,0)</f>
        <v>0</v>
      </c>
      <c r="D855" s="2" t="str">
        <f t="shared" si="156"/>
        <v>4JUT</v>
      </c>
      <c r="E855" s="62" t="s">
        <v>48</v>
      </c>
      <c r="F855" s="62" t="s">
        <v>10</v>
      </c>
      <c r="G855" s="62" t="s">
        <v>258</v>
      </c>
      <c r="H855" s="8" t="str">
        <f>VLOOKUP(G855,[1]Hoja1!$A:$O,6,0)</f>
        <v>HISTORIA</v>
      </c>
      <c r="I855" s="4"/>
      <c r="J855" s="4"/>
      <c r="K855" s="80" t="str">
        <f t="shared" si="165"/>
        <v>JU</v>
      </c>
      <c r="L855" s="4"/>
      <c r="M855" s="86" t="str">
        <f>VLOOKUP(G855,[1]Hoja1!$A:$O,15,0)</f>
        <v xml:space="preserve">TORRES LUIS                    </v>
      </c>
      <c r="N855" s="2" t="str">
        <f t="shared" si="164"/>
        <v>5°4°5EHIS5JU</v>
      </c>
      <c r="O855" s="2"/>
      <c r="P855" s="2" t="str">
        <f>VLOOKUP(G855,[1]Hoja1!$A:$P,16,0)</f>
        <v xml:space="preserve"> </v>
      </c>
      <c r="Q855" s="2"/>
      <c r="S855">
        <f>VLOOKUP(G855,[1]Hoja1!$A:$O,5,0)</f>
        <v>2680758</v>
      </c>
      <c r="U855" s="45" t="s">
        <v>2751</v>
      </c>
      <c r="V855" s="46">
        <f t="shared" si="157"/>
        <v>2680758</v>
      </c>
      <c r="W855" s="47" t="s">
        <v>1519</v>
      </c>
      <c r="X855" s="46" t="str">
        <f t="shared" si="158"/>
        <v>4</v>
      </c>
      <c r="Y855" s="47" t="s">
        <v>1518</v>
      </c>
      <c r="Z855" s="46" t="str">
        <f t="shared" si="159"/>
        <v>T</v>
      </c>
      <c r="AA855" s="47" t="s">
        <v>2752</v>
      </c>
      <c r="AB855" s="46" t="str">
        <f t="shared" si="160"/>
        <v>JUEVES</v>
      </c>
      <c r="AC855" s="47" t="s">
        <v>2753</v>
      </c>
      <c r="AD855">
        <f t="shared" si="161"/>
        <v>0</v>
      </c>
      <c r="AE855" s="47" t="s">
        <v>2754</v>
      </c>
      <c r="AH855" t="str">
        <f t="shared" si="162"/>
        <v>INSERT INTO horario_curso_materia (horario_curso_materia.FK_CUR_mat,horario_curso_materia.FK_HOR,horario_curso_materia.DIA,horario_curso_materia.tipo_turno) VALUES (  (SELECT curso_materia.ID_CUR_MAT FROM curso_materia WHERE curso_materia.CUPOF='2680758' ) ,
    (SELECT horario.ID_HOR FROM horario WHERE horario.modulo='4 ' and horario.turno='T ' ),'JUEVES ' , '0 ' );</v>
      </c>
    </row>
    <row r="856" spans="1:34" ht="15" hidden="1" customHeight="1" x14ac:dyDescent="0.3">
      <c r="A856" s="1" t="str">
        <f t="shared" si="163"/>
        <v>5°4°</v>
      </c>
      <c r="B856" s="54" t="str">
        <f t="shared" si="166"/>
        <v>5°4°4JUVESPERTINO541</v>
      </c>
      <c r="C856" s="62">
        <f>VLOOKUP(G856,[1]Hoja1!$A:$O,3,0)</f>
        <v>541</v>
      </c>
      <c r="D856" s="2" t="str">
        <f t="shared" si="156"/>
        <v>4JUV46</v>
      </c>
      <c r="E856" s="62" t="s">
        <v>48</v>
      </c>
      <c r="F856" s="62" t="s">
        <v>125</v>
      </c>
      <c r="G856" s="62" t="s">
        <v>191</v>
      </c>
      <c r="H856" s="8" t="str">
        <f>VLOOKUP(G856,[1]Hoja1!$A:$O,6,0)</f>
        <v xml:space="preserve">APLIC ELECT ANALOG </v>
      </c>
      <c r="I856" s="4">
        <v>46</v>
      </c>
      <c r="J856" s="4"/>
      <c r="K856" s="80" t="str">
        <f t="shared" si="165"/>
        <v>JU</v>
      </c>
      <c r="L856" s="4" t="s">
        <v>512</v>
      </c>
      <c r="M856" s="86" t="str">
        <f>VLOOKUP(G856,[1]Hoja1!$A:$O,15,0)</f>
        <v>BARONI ROBERTO</v>
      </c>
      <c r="N856" s="2" t="str">
        <f t="shared" si="164"/>
        <v>5°4°5415EFTAE5JU</v>
      </c>
      <c r="O856" s="2"/>
      <c r="P856" s="2" t="str">
        <f>VLOOKUP(G856,[1]Hoja1!$A:$P,16,0)</f>
        <v xml:space="preserve"> </v>
      </c>
      <c r="Q856" s="2"/>
      <c r="S856">
        <f>VLOOKUP(G856,[1]Hoja1!$A:$O,5,0)</f>
        <v>2680766</v>
      </c>
      <c r="U856" s="45" t="s">
        <v>2751</v>
      </c>
      <c r="V856" s="46">
        <f t="shared" si="157"/>
        <v>2680766</v>
      </c>
      <c r="W856" s="47" t="s">
        <v>1519</v>
      </c>
      <c r="X856" s="46" t="str">
        <f t="shared" si="158"/>
        <v>4</v>
      </c>
      <c r="Y856" s="47" t="s">
        <v>1518</v>
      </c>
      <c r="Z856" s="46" t="str">
        <f t="shared" si="159"/>
        <v>V</v>
      </c>
      <c r="AA856" s="47" t="s">
        <v>2752</v>
      </c>
      <c r="AB856" s="46" t="str">
        <f t="shared" si="160"/>
        <v>JUEVES</v>
      </c>
      <c r="AC856" s="47" t="s">
        <v>2753</v>
      </c>
      <c r="AD856" t="str">
        <f t="shared" si="161"/>
        <v>CONTRATURNO</v>
      </c>
      <c r="AE856" s="47" t="s">
        <v>2754</v>
      </c>
      <c r="AH856" t="str">
        <f t="shared" si="162"/>
        <v>INSERT INTO horario_curso_materia (horario_curso_materia.FK_CUR_mat,horario_curso_materia.FK_HOR,horario_curso_materia.DIA,horario_curso_materia.tipo_turno) VALUES (  (SELECT curso_materia.ID_CUR_MAT FROM curso_materia WHERE curso_materia.CUPOF='2680766' ) ,
    (SELECT horario.ID_HOR FROM horario WHERE horario.modulo='4 ' and horario.turno='V ' ),'JUEVES ' , 'CONTRATURNO ' );</v>
      </c>
    </row>
    <row r="857" spans="1:34" ht="15" hidden="1" customHeight="1" x14ac:dyDescent="0.3">
      <c r="A857" s="1" t="str">
        <f t="shared" si="163"/>
        <v>5°4°</v>
      </c>
      <c r="B857" s="54" t="str">
        <f t="shared" si="166"/>
        <v>5°4°4JUVESPERTINO542</v>
      </c>
      <c r="C857" s="62">
        <f>VLOOKUP(G857,[1]Hoja1!$A:$O,3,0)</f>
        <v>542</v>
      </c>
      <c r="D857" s="2" t="str">
        <f t="shared" si="156"/>
        <v>4JUV44</v>
      </c>
      <c r="E857" s="62" t="s">
        <v>48</v>
      </c>
      <c r="F857" s="62" t="s">
        <v>125</v>
      </c>
      <c r="G857" s="62" t="s">
        <v>192</v>
      </c>
      <c r="H857" s="8" t="str">
        <f>VLOOKUP(G857,[1]Hoja1!$A:$O,6,0)</f>
        <v xml:space="preserve">MONTAJE DE PROYECTO ELECTRONICOS </v>
      </c>
      <c r="I857" s="4">
        <v>44</v>
      </c>
      <c r="J857" s="4"/>
      <c r="K857" s="80" t="str">
        <f t="shared" si="165"/>
        <v>JU</v>
      </c>
      <c r="L857" s="4" t="s">
        <v>512</v>
      </c>
      <c r="M857" s="86" t="str">
        <f>VLOOKUP(G857,[1]Hoja1!$A:$O,15,0)</f>
        <v>SAUCEDO GUSTAVO</v>
      </c>
      <c r="N857" s="2" t="str">
        <f t="shared" si="164"/>
        <v>5°4°5425EFTMP5JU</v>
      </c>
      <c r="O857" s="2"/>
      <c r="P857" s="2" t="str">
        <f>VLOOKUP(G857,[1]Hoja1!$A:$P,16,0)</f>
        <v xml:space="preserve"> </v>
      </c>
      <c r="Q857" s="2"/>
      <c r="S857">
        <f>VLOOKUP(G857,[1]Hoja1!$A:$O,5,0)</f>
        <v>2680773</v>
      </c>
      <c r="U857" s="45" t="s">
        <v>2751</v>
      </c>
      <c r="V857" s="46">
        <f t="shared" si="157"/>
        <v>2680773</v>
      </c>
      <c r="W857" s="47" t="s">
        <v>1519</v>
      </c>
      <c r="X857" s="46" t="str">
        <f t="shared" si="158"/>
        <v>4</v>
      </c>
      <c r="Y857" s="47" t="s">
        <v>1518</v>
      </c>
      <c r="Z857" s="46" t="str">
        <f t="shared" si="159"/>
        <v>V</v>
      </c>
      <c r="AA857" s="47" t="s">
        <v>2752</v>
      </c>
      <c r="AB857" s="46" t="str">
        <f t="shared" si="160"/>
        <v>JUEVES</v>
      </c>
      <c r="AC857" s="47" t="s">
        <v>2753</v>
      </c>
      <c r="AD857" t="str">
        <f t="shared" si="161"/>
        <v>CONTRATURNO</v>
      </c>
      <c r="AE857" s="47" t="s">
        <v>2754</v>
      </c>
      <c r="AH857" t="str">
        <f t="shared" si="162"/>
        <v>INSERT INTO horario_curso_materia (horario_curso_materia.FK_CUR_mat,horario_curso_materia.FK_HOR,horario_curso_materia.DIA,horario_curso_materia.tipo_turno) VALUES (  (SELECT curso_materia.ID_CUR_MAT FROM curso_materia WHERE curso_materia.CUPOF='2680773' ) ,
    (SELECT horario.ID_HOR FROM horario WHERE horario.modulo='4 ' and horario.turno='V ' ),'JUEVES ' , 'CONTRATURNO ' );</v>
      </c>
    </row>
    <row r="858" spans="1:34" ht="15" hidden="1" customHeight="1" x14ac:dyDescent="0.3">
      <c r="A858" s="1" t="str">
        <f t="shared" si="163"/>
        <v>5°4°</v>
      </c>
      <c r="B858" s="54" t="str">
        <f t="shared" si="166"/>
        <v>5°4°4LUTARDE0</v>
      </c>
      <c r="C858" s="62">
        <f>VLOOKUP(G858,[1]Hoja1!$A:$O,3,0)</f>
        <v>0</v>
      </c>
      <c r="D858" s="2" t="str">
        <f t="shared" si="156"/>
        <v>4LUT</v>
      </c>
      <c r="E858" s="62" t="s">
        <v>31</v>
      </c>
      <c r="F858" s="62" t="s">
        <v>10</v>
      </c>
      <c r="G858" s="62" t="s">
        <v>254</v>
      </c>
      <c r="H858" s="8" t="str">
        <f>VLOOKUP(G858,[1]Hoja1!$A:$O,6,0)</f>
        <v>GEOGRAFIA</v>
      </c>
      <c r="I858" s="4"/>
      <c r="J858" s="4"/>
      <c r="K858" s="80" t="str">
        <f t="shared" si="165"/>
        <v>LU</v>
      </c>
      <c r="L858" s="4"/>
      <c r="M858" s="86" t="str">
        <f>VLOOKUP(G858,[1]Hoja1!$A:$O,15,0)</f>
        <v xml:space="preserve">SPERONI, ADRIAN </v>
      </c>
      <c r="N858" s="2" t="str">
        <f t="shared" si="164"/>
        <v>5°4°5EGEOS5LU</v>
      </c>
      <c r="O858" s="2"/>
      <c r="P858" s="2" t="str">
        <f>VLOOKUP(G858,[1]Hoja1!$A:$P,16,0)</f>
        <v xml:space="preserve"> </v>
      </c>
      <c r="Q858" s="2"/>
      <c r="S858">
        <f>VLOOKUP(G858,[1]Hoja1!$A:$O,5,0)</f>
        <v>2680760</v>
      </c>
      <c r="U858" s="45" t="s">
        <v>2751</v>
      </c>
      <c r="V858" s="46">
        <f t="shared" si="157"/>
        <v>2680760</v>
      </c>
      <c r="W858" s="47" t="s">
        <v>1519</v>
      </c>
      <c r="X858" s="46" t="str">
        <f t="shared" si="158"/>
        <v>4</v>
      </c>
      <c r="Y858" s="47" t="s">
        <v>1518</v>
      </c>
      <c r="Z858" s="46" t="str">
        <f t="shared" si="159"/>
        <v>T</v>
      </c>
      <c r="AA858" s="47" t="s">
        <v>2752</v>
      </c>
      <c r="AB858" s="46" t="str">
        <f t="shared" si="160"/>
        <v>LUNES</v>
      </c>
      <c r="AC858" s="47" t="s">
        <v>2753</v>
      </c>
      <c r="AD858">
        <f t="shared" si="161"/>
        <v>0</v>
      </c>
      <c r="AE858" s="47" t="s">
        <v>2754</v>
      </c>
      <c r="AH858" t="str">
        <f t="shared" si="162"/>
        <v>INSERT INTO horario_curso_materia (horario_curso_materia.FK_CUR_mat,horario_curso_materia.FK_HOR,horario_curso_materia.DIA,horario_curso_materia.tipo_turno) VALUES (  (SELECT curso_materia.ID_CUR_MAT FROM curso_materia WHERE curso_materia.CUPOF='2680760' ) ,
    (SELECT horario.ID_HOR FROM horario WHERE horario.modulo='4 ' and horario.turno='T ' ),'LUNES ' , '0 ' );</v>
      </c>
    </row>
    <row r="859" spans="1:34" ht="15" hidden="1" customHeight="1" x14ac:dyDescent="0.3">
      <c r="A859" s="1" t="str">
        <f t="shared" si="163"/>
        <v>5°4°</v>
      </c>
      <c r="B859" s="54" t="str">
        <f t="shared" si="166"/>
        <v>5°4°4VIVESPERTINO542</v>
      </c>
      <c r="C859" s="62">
        <f>VLOOKUP(G859,[1]Hoja1!$A:$O,3,0)</f>
        <v>542</v>
      </c>
      <c r="D859" s="2" t="str">
        <f t="shared" si="156"/>
        <v>4VIVHERRERIA</v>
      </c>
      <c r="E859" s="62" t="s">
        <v>36</v>
      </c>
      <c r="F859" s="62" t="s">
        <v>125</v>
      </c>
      <c r="G859" s="62" t="s">
        <v>186</v>
      </c>
      <c r="H859" s="8" t="str">
        <f>VLOOKUP(G859,[1]Hoja1!$A:$O,6,0)</f>
        <v xml:space="preserve">APLIC ELECT ANALOG </v>
      </c>
      <c r="I859" s="4" t="s">
        <v>21</v>
      </c>
      <c r="J859" s="4"/>
      <c r="K859" s="80" t="str">
        <f t="shared" si="165"/>
        <v>VI</v>
      </c>
      <c r="L859" s="4" t="s">
        <v>512</v>
      </c>
      <c r="M859" s="86" t="str">
        <f>VLOOKUP(G859,[1]Hoja1!$A:$O,15,0)</f>
        <v>FISTER VICTOR</v>
      </c>
      <c r="N859" s="2" t="str">
        <f t="shared" si="164"/>
        <v>5°4°5425EFTAE5VI</v>
      </c>
      <c r="O859" s="2"/>
      <c r="P859" s="2" t="str">
        <f>VLOOKUP(G859,[1]Hoja1!$A:$P,16,0)</f>
        <v xml:space="preserve"> </v>
      </c>
      <c r="Q859" s="2"/>
      <c r="S859">
        <f>VLOOKUP(G859,[1]Hoja1!$A:$O,5,0)</f>
        <v>2680771</v>
      </c>
      <c r="U859" s="45" t="s">
        <v>2751</v>
      </c>
      <c r="V859" s="46">
        <f t="shared" si="157"/>
        <v>2680771</v>
      </c>
      <c r="W859" s="47" t="s">
        <v>1519</v>
      </c>
      <c r="X859" s="46" t="str">
        <f t="shared" si="158"/>
        <v>4</v>
      </c>
      <c r="Y859" s="47" t="s">
        <v>1518</v>
      </c>
      <c r="Z859" s="46" t="str">
        <f t="shared" si="159"/>
        <v>V</v>
      </c>
      <c r="AA859" s="47" t="s">
        <v>2752</v>
      </c>
      <c r="AB859" s="46" t="str">
        <f t="shared" si="160"/>
        <v>VIERNES</v>
      </c>
      <c r="AC859" s="47" t="s">
        <v>2753</v>
      </c>
      <c r="AD859" t="str">
        <f t="shared" si="161"/>
        <v>CONTRATURNO</v>
      </c>
      <c r="AE859" s="47" t="s">
        <v>2754</v>
      </c>
      <c r="AH859" t="str">
        <f t="shared" si="162"/>
        <v>INSERT INTO horario_curso_materia (horario_curso_materia.FK_CUR_mat,horario_curso_materia.FK_HOR,horario_curso_materia.DIA,horario_curso_materia.tipo_turno) VALUES (  (SELECT curso_materia.ID_CUR_MAT FROM curso_materia WHERE curso_materia.CUPOF='2680771' ) ,
    (SELECT horario.ID_HOR FROM horario WHERE horario.modulo='4 ' and horario.turno='V ' ),'VIERNES ' , 'CONTRATURNO ' );</v>
      </c>
    </row>
    <row r="860" spans="1:34" ht="15" hidden="1" customHeight="1" x14ac:dyDescent="0.3">
      <c r="A860" s="1" t="str">
        <f t="shared" si="163"/>
        <v>5°4°</v>
      </c>
      <c r="B860" s="54" t="str">
        <f t="shared" si="166"/>
        <v>5°4°4MAMAÑANA541</v>
      </c>
      <c r="C860" s="62">
        <f>VLOOKUP(G860,[1]Hoja1!$A:$O,3,0)</f>
        <v>541</v>
      </c>
      <c r="D860" s="2" t="str">
        <f t="shared" si="156"/>
        <v>4MAM44</v>
      </c>
      <c r="E860" s="62" t="s">
        <v>16</v>
      </c>
      <c r="F860" s="62" t="s">
        <v>27</v>
      </c>
      <c r="G860" s="62" t="s">
        <v>189</v>
      </c>
      <c r="H860" s="8" t="str">
        <f>VLOOKUP(G860,[1]Hoja1!$A:$O,6,0)</f>
        <v xml:space="preserve">MONTAJE DE PROYECTO ELECTRONICOS </v>
      </c>
      <c r="I860" s="4">
        <v>44</v>
      </c>
      <c r="J860" s="4"/>
      <c r="K860" s="80" t="str">
        <f t="shared" si="165"/>
        <v>MA</v>
      </c>
      <c r="L860" s="4" t="s">
        <v>512</v>
      </c>
      <c r="M860" s="86" t="str">
        <f>VLOOKUP(G860,[1]Hoja1!$A:$O,15,0)</f>
        <v xml:space="preserve">SAUCEDO GUSTAVO </v>
      </c>
      <c r="N860" s="2" t="str">
        <f t="shared" si="164"/>
        <v>5°4°5415EFTMP5MA</v>
      </c>
      <c r="O860" s="2"/>
      <c r="P860" s="2" t="str">
        <f>VLOOKUP(G860,[1]Hoja1!$A:$P,16,0)</f>
        <v xml:space="preserve"> </v>
      </c>
      <c r="Q860" s="2"/>
      <c r="S860">
        <f>VLOOKUP(G860,[1]Hoja1!$A:$O,5,0)</f>
        <v>2680769</v>
      </c>
      <c r="U860" s="45" t="s">
        <v>2751</v>
      </c>
      <c r="V860" s="46">
        <f t="shared" si="157"/>
        <v>2680769</v>
      </c>
      <c r="W860" s="47" t="s">
        <v>1519</v>
      </c>
      <c r="X860" s="46" t="str">
        <f t="shared" si="158"/>
        <v>4</v>
      </c>
      <c r="Y860" s="47" t="s">
        <v>1518</v>
      </c>
      <c r="Z860" s="46" t="str">
        <f t="shared" si="159"/>
        <v>M</v>
      </c>
      <c r="AA860" s="47" t="s">
        <v>2752</v>
      </c>
      <c r="AB860" s="46" t="str">
        <f t="shared" si="160"/>
        <v>MARTES</v>
      </c>
      <c r="AC860" s="47" t="s">
        <v>2753</v>
      </c>
      <c r="AD860" t="str">
        <f t="shared" si="161"/>
        <v>CONTRATURNO</v>
      </c>
      <c r="AE860" s="47" t="s">
        <v>2754</v>
      </c>
      <c r="AH860" t="str">
        <f t="shared" si="162"/>
        <v>INSERT INTO horario_curso_materia (horario_curso_materia.FK_CUR_mat,horario_curso_materia.FK_HOR,horario_curso_materia.DIA,horario_curso_materia.tipo_turno) VALUES (  (SELECT curso_materia.ID_CUR_MAT FROM curso_materia WHERE curso_materia.CUPOF='2680769' ) ,
    (SELECT horario.ID_HOR FROM horario WHERE horario.modulo='4 ' and horario.turno='M ' ),'MARTES ' , 'CONTRATURNO ' );</v>
      </c>
    </row>
    <row r="861" spans="1:34" ht="15" hidden="1" customHeight="1" x14ac:dyDescent="0.3">
      <c r="A861" s="1" t="str">
        <f t="shared" si="163"/>
        <v>5°4°</v>
      </c>
      <c r="B861" s="54" t="str">
        <f t="shared" si="166"/>
        <v>5°4°4MATARDE0</v>
      </c>
      <c r="C861" s="62">
        <f>VLOOKUP(G861,[1]Hoja1!$A:$O,3,0)</f>
        <v>0</v>
      </c>
      <c r="D861" s="2" t="str">
        <f t="shared" ref="D861:D924" si="167">CONCATENATE(E861,LEFT(F861,1),I861)</f>
        <v>4MAT</v>
      </c>
      <c r="E861" s="62" t="s">
        <v>16</v>
      </c>
      <c r="F861" s="62" t="s">
        <v>10</v>
      </c>
      <c r="G861" s="62" t="s">
        <v>256</v>
      </c>
      <c r="H861" s="8" t="str">
        <f>VLOOKUP(G861,[1]Hoja1!$A:$O,6,0)</f>
        <v>ANALISIS MATEMATICO</v>
      </c>
      <c r="I861" s="4"/>
      <c r="J861" s="4"/>
      <c r="K861" s="80" t="str">
        <f t="shared" si="165"/>
        <v>MA</v>
      </c>
      <c r="L861" s="4"/>
      <c r="M861" s="86" t="str">
        <f>VLOOKUP(G861,[1]Hoja1!$A:$O,15,0)</f>
        <v xml:space="preserve"> KEMPER, NATALIA</v>
      </c>
      <c r="N861" s="2" t="str">
        <f t="shared" si="164"/>
        <v>5°4°5EANMATMA</v>
      </c>
      <c r="O861" s="2"/>
      <c r="P861" s="2" t="str">
        <f>VLOOKUP(G861,[1]Hoja1!$A:$P,16,0)</f>
        <v xml:space="preserve"> </v>
      </c>
      <c r="Q861" s="2"/>
      <c r="S861">
        <f>VLOOKUP(G861,[1]Hoja1!$A:$O,5,0)</f>
        <v>2680761</v>
      </c>
      <c r="U861" s="45" t="s">
        <v>2751</v>
      </c>
      <c r="V861" s="46">
        <f t="shared" si="157"/>
        <v>2680761</v>
      </c>
      <c r="W861" s="47" t="s">
        <v>1519</v>
      </c>
      <c r="X861" s="46" t="str">
        <f t="shared" si="158"/>
        <v>4</v>
      </c>
      <c r="Y861" s="47" t="s">
        <v>1518</v>
      </c>
      <c r="Z861" s="46" t="str">
        <f t="shared" si="159"/>
        <v>T</v>
      </c>
      <c r="AA861" s="47" t="s">
        <v>2752</v>
      </c>
      <c r="AB861" s="46" t="str">
        <f t="shared" si="160"/>
        <v>MARTES</v>
      </c>
      <c r="AC861" s="47" t="s">
        <v>2753</v>
      </c>
      <c r="AD861">
        <f t="shared" si="161"/>
        <v>0</v>
      </c>
      <c r="AE861" s="47" t="s">
        <v>2754</v>
      </c>
      <c r="AH861" t="str">
        <f t="shared" si="162"/>
        <v>INSERT INTO horario_curso_materia (horario_curso_materia.FK_CUR_mat,horario_curso_materia.FK_HOR,horario_curso_materia.DIA,horario_curso_materia.tipo_turno) VALUES (  (SELECT curso_materia.ID_CUR_MAT FROM curso_materia WHERE curso_materia.CUPOF='2680761' ) ,
    (SELECT horario.ID_HOR FROM horario WHERE horario.modulo='4 ' and horario.turno='T ' ),'MARTES ' , '0 ' );</v>
      </c>
    </row>
    <row r="862" spans="1:34" ht="15" hidden="1" customHeight="1" x14ac:dyDescent="0.3">
      <c r="A862" s="1" t="str">
        <f t="shared" si="163"/>
        <v>5°4°</v>
      </c>
      <c r="B862" s="54" t="str">
        <f t="shared" si="166"/>
        <v>5°4°4MITARDE0</v>
      </c>
      <c r="C862" s="62">
        <f>VLOOKUP(G862,[1]Hoja1!$A:$O,3,0)</f>
        <v>0</v>
      </c>
      <c r="D862" s="2" t="str">
        <f t="shared" si="167"/>
        <v>4MIT</v>
      </c>
      <c r="E862" s="62" t="s">
        <v>52</v>
      </c>
      <c r="F862" s="62" t="s">
        <v>10</v>
      </c>
      <c r="G862" s="62" t="s">
        <v>257</v>
      </c>
      <c r="H862" s="8" t="str">
        <f>VLOOKUP(G862,[1]Hoja1!$A:$O,6,0)</f>
        <v>ANALISIS DE LOS MODELOS CIRCUITALES</v>
      </c>
      <c r="I862" s="4"/>
      <c r="J862" s="4"/>
      <c r="K862" s="80" t="str">
        <f t="shared" si="165"/>
        <v>MI</v>
      </c>
      <c r="L862" s="4"/>
      <c r="M862" s="86" t="str">
        <f>VLOOKUP(G862,[1]Hoja1!$A:$O,15,0)</f>
        <v>GUTIERREZ NICOLAS</v>
      </c>
      <c r="N862" s="2" t="str">
        <f t="shared" si="164"/>
        <v>5°4°5EAMCMI</v>
      </c>
      <c r="O862" s="2"/>
      <c r="P862" s="2" t="str">
        <f>VLOOKUP(G862,[1]Hoja1!$A:$P,16,0)</f>
        <v xml:space="preserve"> </v>
      </c>
      <c r="Q862" s="2"/>
      <c r="S862">
        <f>VLOOKUP(G862,[1]Hoja1!$A:$O,5,0)</f>
        <v>2680762</v>
      </c>
      <c r="U862" s="45" t="s">
        <v>2751</v>
      </c>
      <c r="V862" s="46">
        <f t="shared" si="157"/>
        <v>2680762</v>
      </c>
      <c r="W862" s="47" t="s">
        <v>1519</v>
      </c>
      <c r="X862" s="46" t="str">
        <f t="shared" si="158"/>
        <v>4</v>
      </c>
      <c r="Y862" s="47" t="s">
        <v>1518</v>
      </c>
      <c r="Z862" s="46" t="str">
        <f t="shared" si="159"/>
        <v>T</v>
      </c>
      <c r="AA862" s="47" t="s">
        <v>2752</v>
      </c>
      <c r="AB862" s="46" t="str">
        <f t="shared" si="160"/>
        <v>MIERCOLES</v>
      </c>
      <c r="AC862" s="47" t="s">
        <v>2753</v>
      </c>
      <c r="AD862">
        <f t="shared" si="161"/>
        <v>0</v>
      </c>
      <c r="AE862" s="47" t="s">
        <v>2754</v>
      </c>
      <c r="AH862" t="str">
        <f t="shared" si="162"/>
        <v>INSERT INTO horario_curso_materia (horario_curso_materia.FK_CUR_mat,horario_curso_materia.FK_HOR,horario_curso_materia.DIA,horario_curso_materia.tipo_turno) VALUES (  (SELECT curso_materia.ID_CUR_MAT FROM curso_materia WHERE curso_materia.CUPOF='2680762' ) ,
    (SELECT horario.ID_HOR FROM horario WHERE horario.modulo='4 ' and horario.turno='T ' ),'MIERCOLES ' , '0 ' );</v>
      </c>
    </row>
    <row r="863" spans="1:34" ht="14.25" hidden="1" customHeight="1" x14ac:dyDescent="0.3">
      <c r="A863" s="1" t="str">
        <f t="shared" si="163"/>
        <v>5°4°</v>
      </c>
      <c r="B863" s="54" t="str">
        <f t="shared" si="166"/>
        <v>5°4°4MIVESPERTINO542</v>
      </c>
      <c r="C863" s="62">
        <f>VLOOKUP(G863,[1]Hoja1!$A:$O,3,0)</f>
        <v>542</v>
      </c>
      <c r="D863" s="2" t="str">
        <f t="shared" si="167"/>
        <v>4MIV44</v>
      </c>
      <c r="E863" s="62" t="s">
        <v>52</v>
      </c>
      <c r="F863" s="62" t="s">
        <v>125</v>
      </c>
      <c r="G863" s="62" t="s">
        <v>190</v>
      </c>
      <c r="H863" s="8" t="str">
        <f>VLOOKUP(G863,[1]Hoja1!$A:$O,6,0)</f>
        <v>APLIC ELECTR DIGITAL</v>
      </c>
      <c r="I863" s="4">
        <v>44</v>
      </c>
      <c r="J863" s="4"/>
      <c r="K863" s="80" t="str">
        <f t="shared" si="165"/>
        <v>MI</v>
      </c>
      <c r="L863" s="4" t="s">
        <v>512</v>
      </c>
      <c r="M863" s="86" t="str">
        <f>VLOOKUP(G863,[1]Hoja1!$A:$O,15,0)</f>
        <v>SERENO, LEONEL</v>
      </c>
      <c r="N863" s="2" t="str">
        <f t="shared" si="164"/>
        <v>5°4°5425EFTED5MI</v>
      </c>
      <c r="O863" s="2"/>
      <c r="P863" s="2" t="str">
        <f>VLOOKUP(G863,[1]Hoja1!$A:$P,16,0)</f>
        <v xml:space="preserve"> </v>
      </c>
      <c r="Q863" s="2"/>
      <c r="S863">
        <f>VLOOKUP(G863,[1]Hoja1!$A:$O,5,0)</f>
        <v>2680772</v>
      </c>
      <c r="U863" s="45" t="s">
        <v>2751</v>
      </c>
      <c r="V863" s="46">
        <f t="shared" si="157"/>
        <v>2680772</v>
      </c>
      <c r="W863" s="47" t="s">
        <v>1519</v>
      </c>
      <c r="X863" s="46" t="str">
        <f t="shared" si="158"/>
        <v>4</v>
      </c>
      <c r="Y863" s="47" t="s">
        <v>1518</v>
      </c>
      <c r="Z863" s="46" t="str">
        <f t="shared" si="159"/>
        <v>V</v>
      </c>
      <c r="AA863" s="47" t="s">
        <v>2752</v>
      </c>
      <c r="AB863" s="46" t="str">
        <f t="shared" si="160"/>
        <v>MIERCOLES</v>
      </c>
      <c r="AC863" s="47" t="s">
        <v>2753</v>
      </c>
      <c r="AD863" t="str">
        <f t="shared" si="161"/>
        <v>CONTRATURNO</v>
      </c>
      <c r="AE863" s="47" t="s">
        <v>2754</v>
      </c>
      <c r="AH863" t="str">
        <f t="shared" si="162"/>
        <v>INSERT INTO horario_curso_materia (horario_curso_materia.FK_CUR_mat,horario_curso_materia.FK_HOR,horario_curso_materia.DIA,horario_curso_materia.tipo_turno) VALUES (  (SELECT curso_materia.ID_CUR_MAT FROM curso_materia WHERE curso_materia.CUPOF='2680772' ) ,
    (SELECT horario.ID_HOR FROM horario WHERE horario.modulo='4 ' and horario.turno='V ' ),'MIERCOLES ' , 'CONTRATURNO ' );</v>
      </c>
    </row>
    <row r="864" spans="1:34" ht="15" hidden="1" customHeight="1" x14ac:dyDescent="0.3">
      <c r="A864" s="1" t="str">
        <f t="shared" si="163"/>
        <v>5°4°</v>
      </c>
      <c r="B864" s="54" t="str">
        <f t="shared" si="166"/>
        <v>5°4°4VITARDE0</v>
      </c>
      <c r="C864" s="62">
        <f>VLOOKUP(G864,[1]Hoja1!$A:$O,3,0)</f>
        <v>0</v>
      </c>
      <c r="D864" s="2" t="str">
        <f t="shared" si="167"/>
        <v>4VIT</v>
      </c>
      <c r="E864" s="62" t="s">
        <v>36</v>
      </c>
      <c r="F864" s="62" t="s">
        <v>10</v>
      </c>
      <c r="G864" s="62" t="s">
        <v>255</v>
      </c>
      <c r="H864" s="8" t="str">
        <f>VLOOKUP(G864,[1]Hoja1!$A:$O,6,0)</f>
        <v>LENGUAJES ELECTRONICOS</v>
      </c>
      <c r="I864" s="4"/>
      <c r="J864" s="4"/>
      <c r="K864" s="80" t="str">
        <f t="shared" si="165"/>
        <v>VI</v>
      </c>
      <c r="L864" s="4"/>
      <c r="M864" s="86" t="str">
        <f>VLOOKUP(G864,[1]Hoja1!$A:$O,15,0)</f>
        <v>PROCHOR JUAN</v>
      </c>
      <c r="N864" s="2" t="str">
        <f t="shared" si="164"/>
        <v>5°4°5ELENEVI</v>
      </c>
      <c r="O864" s="2" t="s">
        <v>560</v>
      </c>
      <c r="P864" s="2" t="str">
        <f>VLOOKUP(G864,[1]Hoja1!$A:$P,16,0)</f>
        <v xml:space="preserve"> </v>
      </c>
      <c r="Q864" s="2"/>
      <c r="S864">
        <f>VLOOKUP(G864,[1]Hoja1!$A:$O,5,0)</f>
        <v>2680764</v>
      </c>
      <c r="U864" s="45" t="s">
        <v>2751</v>
      </c>
      <c r="V864" s="46">
        <f t="shared" si="157"/>
        <v>2680764</v>
      </c>
      <c r="W864" s="47" t="s">
        <v>1519</v>
      </c>
      <c r="X864" s="46" t="str">
        <f t="shared" si="158"/>
        <v>4</v>
      </c>
      <c r="Y864" s="47" t="s">
        <v>1518</v>
      </c>
      <c r="Z864" s="46" t="str">
        <f t="shared" si="159"/>
        <v>T</v>
      </c>
      <c r="AA864" s="47" t="s">
        <v>2752</v>
      </c>
      <c r="AB864" s="46" t="str">
        <f t="shared" si="160"/>
        <v>VIERNES</v>
      </c>
      <c r="AC864" s="47" t="s">
        <v>2753</v>
      </c>
      <c r="AD864">
        <f t="shared" si="161"/>
        <v>0</v>
      </c>
      <c r="AE864" s="47" t="s">
        <v>2754</v>
      </c>
      <c r="AH864" t="str">
        <f t="shared" si="162"/>
        <v>INSERT INTO horario_curso_materia (horario_curso_materia.FK_CUR_mat,horario_curso_materia.FK_HOR,horario_curso_materia.DIA,horario_curso_materia.tipo_turno) VALUES (  (SELECT curso_materia.ID_CUR_MAT FROM curso_materia WHERE curso_materia.CUPOF='2680764' ) ,
    (SELECT horario.ID_HOR FROM horario WHERE horario.modulo='4 ' and horario.turno='T ' ),'VIERNES ' , '0 ' );</v>
      </c>
    </row>
    <row r="865" spans="1:34" ht="14.25" hidden="1" customHeight="1" x14ac:dyDescent="0.3">
      <c r="A865" s="1" t="str">
        <f t="shared" si="163"/>
        <v>5°4°</v>
      </c>
      <c r="B865" s="54" t="str">
        <f t="shared" si="166"/>
        <v>5°4°4VIVESPERTINO541</v>
      </c>
      <c r="C865" s="62">
        <f>VLOOKUP(G865,[1]Hoja1!$A:$O,3,0)</f>
        <v>541</v>
      </c>
      <c r="D865" s="2" t="str">
        <f t="shared" si="167"/>
        <v>4VIV45</v>
      </c>
      <c r="E865" s="62" t="s">
        <v>36</v>
      </c>
      <c r="F865" s="62" t="s">
        <v>125</v>
      </c>
      <c r="G865" s="62" t="s">
        <v>193</v>
      </c>
      <c r="H865" s="8" t="str">
        <f>VLOOKUP(G865,[1]Hoja1!$A:$O,6,0)</f>
        <v>APLIC ELECTR DIGITAL</v>
      </c>
      <c r="I865" s="4">
        <v>45</v>
      </c>
      <c r="J865" s="4"/>
      <c r="K865" s="80" t="str">
        <f t="shared" si="165"/>
        <v>VI</v>
      </c>
      <c r="L865" s="4" t="s">
        <v>512</v>
      </c>
      <c r="M865" s="86" t="str">
        <f>VLOOKUP(G865,[1]Hoja1!$A:$O,15,0)</f>
        <v xml:space="preserve">MARTINEZ, SILVIO </v>
      </c>
      <c r="N865" s="2" t="str">
        <f t="shared" si="164"/>
        <v>5°4°5415EFTED5VI</v>
      </c>
      <c r="O865" s="2"/>
      <c r="P865" s="2" t="str">
        <f>VLOOKUP(G865,[1]Hoja1!$A:$P,16,0)</f>
        <v xml:space="preserve"> </v>
      </c>
      <c r="Q865" s="2"/>
      <c r="S865">
        <f>VLOOKUP(G865,[1]Hoja1!$A:$O,5,0)</f>
        <v>2680767</v>
      </c>
      <c r="U865" s="45" t="s">
        <v>2751</v>
      </c>
      <c r="V865" s="46">
        <f t="shared" si="157"/>
        <v>2680767</v>
      </c>
      <c r="W865" s="47" t="s">
        <v>1519</v>
      </c>
      <c r="X865" s="46" t="str">
        <f t="shared" si="158"/>
        <v>4</v>
      </c>
      <c r="Y865" s="47" t="s">
        <v>1518</v>
      </c>
      <c r="Z865" s="46" t="str">
        <f t="shared" si="159"/>
        <v>V</v>
      </c>
      <c r="AA865" s="47" t="s">
        <v>2752</v>
      </c>
      <c r="AB865" s="46" t="str">
        <f t="shared" si="160"/>
        <v>VIERNES</v>
      </c>
      <c r="AC865" s="47" t="s">
        <v>2753</v>
      </c>
      <c r="AD865" t="str">
        <f t="shared" si="161"/>
        <v>CONTRATURNO</v>
      </c>
      <c r="AE865" s="47" t="s">
        <v>2754</v>
      </c>
      <c r="AH865" t="str">
        <f t="shared" si="162"/>
        <v>INSERT INTO horario_curso_materia (horario_curso_materia.FK_CUR_mat,horario_curso_materia.FK_HOR,horario_curso_materia.DIA,horario_curso_materia.tipo_turno) VALUES (  (SELECT curso_materia.ID_CUR_MAT FROM curso_materia WHERE curso_materia.CUPOF='2680767' ) ,
    (SELECT horario.ID_HOR FROM horario WHERE horario.modulo='4 ' and horario.turno='V ' ),'VIERNES ' , 'CONTRATURNO ' );</v>
      </c>
    </row>
    <row r="866" spans="1:34" ht="15" hidden="1" customHeight="1" x14ac:dyDescent="0.3">
      <c r="A866" s="1" t="str">
        <f t="shared" si="163"/>
        <v>5°4°</v>
      </c>
      <c r="B866" s="54" t="str">
        <f t="shared" si="166"/>
        <v>5°4°PREHORAMITARDE0</v>
      </c>
      <c r="C866" s="62">
        <f>VLOOKUP(G866,[1]Hoja1!$A:$O,3,0)</f>
        <v>0</v>
      </c>
      <c r="D866" s="2" t="str">
        <f t="shared" si="167"/>
        <v>PREHORAMIT</v>
      </c>
      <c r="E866" s="62" t="s">
        <v>448</v>
      </c>
      <c r="F866" s="62" t="s">
        <v>10</v>
      </c>
      <c r="G866" s="62" t="s">
        <v>257</v>
      </c>
      <c r="H866" s="8" t="str">
        <f>VLOOKUP(G866,[1]Hoja1!$A:$O,6,0)</f>
        <v>ANALISIS DE LOS MODELOS CIRCUITALES</v>
      </c>
      <c r="I866" s="4"/>
      <c r="J866" s="4"/>
      <c r="K866" s="80" t="str">
        <f t="shared" si="165"/>
        <v>MI</v>
      </c>
      <c r="L866" s="4"/>
      <c r="M866" s="86" t="str">
        <f>VLOOKUP(G866,[1]Hoja1!$A:$O,15,0)</f>
        <v>GUTIERREZ NICOLAS</v>
      </c>
      <c r="N866" s="2" t="str">
        <f t="shared" si="164"/>
        <v>5°4°5EAMCMI</v>
      </c>
      <c r="O866" s="2" t="s">
        <v>1456</v>
      </c>
      <c r="P866" s="2" t="str">
        <f>VLOOKUP(G866,[1]Hoja1!$A:$P,16,0)</f>
        <v xml:space="preserve"> </v>
      </c>
      <c r="Q866" s="2"/>
      <c r="S866">
        <f>VLOOKUP(G866,[1]Hoja1!$A:$O,5,0)</f>
        <v>2680762</v>
      </c>
      <c r="U866" s="45" t="s">
        <v>2751</v>
      </c>
      <c r="V866" s="46">
        <f t="shared" si="157"/>
        <v>2680762</v>
      </c>
      <c r="W866" s="47" t="s">
        <v>1519</v>
      </c>
      <c r="X866" s="46" t="str">
        <f t="shared" si="158"/>
        <v>prehora</v>
      </c>
      <c r="Y866" s="47" t="s">
        <v>1518</v>
      </c>
      <c r="Z866" s="46" t="str">
        <f t="shared" si="159"/>
        <v>T</v>
      </c>
      <c r="AA866" s="47" t="s">
        <v>2752</v>
      </c>
      <c r="AB866" s="46" t="str">
        <f t="shared" si="160"/>
        <v>MIERCOLES</v>
      </c>
      <c r="AC866" s="47" t="s">
        <v>2753</v>
      </c>
      <c r="AD866">
        <f t="shared" si="161"/>
        <v>0</v>
      </c>
      <c r="AE866" s="47" t="s">
        <v>2754</v>
      </c>
      <c r="AH866" t="str">
        <f t="shared" si="162"/>
        <v>INSERT INTO horario_curso_materia (horario_curso_materia.FK_CUR_mat,horario_curso_materia.FK_HOR,horario_curso_materia.DIA,horario_curso_materia.tipo_turno) VALUES (  (SELECT curso_materia.ID_CUR_MAT FROM curso_materia WHERE curso_materia.CUPOF='2680762' ) ,
    (SELECT horario.ID_HOR FROM horario WHERE horario.modulo='prehora ' and horario.turno='T ' ),'MIERCOLES ' , '0 ' );</v>
      </c>
    </row>
    <row r="867" spans="1:34" ht="15" hidden="1" customHeight="1" x14ac:dyDescent="0.3">
      <c r="A867" s="1" t="str">
        <f t="shared" si="163"/>
        <v>5°1°</v>
      </c>
      <c r="B867" s="54" t="str">
        <f t="shared" si="166"/>
        <v>5°1°1JUMAÑANA0</v>
      </c>
      <c r="C867" s="62">
        <f>VLOOKUP(G867,[1]Hoja1!$A:$O,3,0)</f>
        <v>0</v>
      </c>
      <c r="D867" s="2" t="str">
        <f t="shared" si="167"/>
        <v>1JUM</v>
      </c>
      <c r="E867" s="4" t="s">
        <v>43</v>
      </c>
      <c r="F867" s="62" t="s">
        <v>27</v>
      </c>
      <c r="G867" s="72" t="s">
        <v>232</v>
      </c>
      <c r="H867" s="8" t="str">
        <f>VLOOKUP(G867,[1]Hoja1!$A:$O,6,0)</f>
        <v>ANALISIS MATEMATICO</v>
      </c>
      <c r="I867" s="4"/>
      <c r="J867" s="4"/>
      <c r="K867" s="80" t="str">
        <f t="shared" si="165"/>
        <v>JU</v>
      </c>
      <c r="L867" s="4"/>
      <c r="M867" s="86" t="str">
        <f>VLOOKUP(G867,[1]Hoja1!$A:$O,15,0)</f>
        <v>CENTURION SILVIA</v>
      </c>
      <c r="N867" s="2" t="str">
        <f t="shared" si="164"/>
        <v>5°1°5IANMATJU</v>
      </c>
      <c r="O867" s="2"/>
      <c r="P867" s="2" t="str">
        <f>VLOOKUP(G867,[1]Hoja1!$A:$P,16,0)</f>
        <v xml:space="preserve"> </v>
      </c>
      <c r="Q867" s="2" t="s">
        <v>2778</v>
      </c>
      <c r="S867">
        <f>VLOOKUP(G867,[1]Hoja1!$A:$O,5,0)</f>
        <v>2543652</v>
      </c>
      <c r="U867" s="45" t="s">
        <v>2751</v>
      </c>
      <c r="V867" s="46">
        <f t="shared" si="157"/>
        <v>2543652</v>
      </c>
      <c r="W867" s="47" t="s">
        <v>1519</v>
      </c>
      <c r="X867" s="46" t="str">
        <f t="shared" si="158"/>
        <v>1</v>
      </c>
      <c r="Y867" s="47" t="s">
        <v>1518</v>
      </c>
      <c r="Z867" s="46" t="str">
        <f t="shared" si="159"/>
        <v>M</v>
      </c>
      <c r="AA867" s="47" t="s">
        <v>2752</v>
      </c>
      <c r="AB867" s="46" t="str">
        <f t="shared" si="160"/>
        <v>JUEVES</v>
      </c>
      <c r="AC867" s="47" t="s">
        <v>2753</v>
      </c>
      <c r="AD867">
        <f t="shared" si="161"/>
        <v>0</v>
      </c>
      <c r="AE867" s="47" t="s">
        <v>2754</v>
      </c>
      <c r="AH867" t="str">
        <f t="shared" si="162"/>
        <v>INSERT INTO horario_curso_materia (horario_curso_materia.FK_CUR_mat,horario_curso_materia.FK_HOR,horario_curso_materia.DIA,horario_curso_materia.tipo_turno) VALUES (  (SELECT curso_materia.ID_CUR_MAT FROM curso_materia WHERE curso_materia.CUPOF='2543652' ) ,
    (SELECT horario.ID_HOR FROM horario WHERE horario.modulo='1 ' and horario.turno='M ' ),'JUEVES ' , '0 ' );</v>
      </c>
    </row>
    <row r="868" spans="1:34" ht="15" hidden="1" customHeight="1" x14ac:dyDescent="0.3">
      <c r="A868" s="1" t="str">
        <f t="shared" si="163"/>
        <v>5°1°</v>
      </c>
      <c r="B868" s="54" t="str">
        <f t="shared" si="166"/>
        <v>5°1°1juVESPERTINO511</v>
      </c>
      <c r="C868" s="62">
        <v>511</v>
      </c>
      <c r="D868" s="2" t="str">
        <f t="shared" si="167"/>
        <v>1juV31</v>
      </c>
      <c r="E868" s="62" t="s">
        <v>1348</v>
      </c>
      <c r="F868" s="62" t="s">
        <v>125</v>
      </c>
      <c r="G868" s="62" t="s">
        <v>164</v>
      </c>
      <c r="H868" s="8" t="str">
        <f>VLOOKUP(G868,[1]Hoja1!$A:$O,6,0)</f>
        <v xml:space="preserve">LAB DE HARDWARE </v>
      </c>
      <c r="I868" s="4">
        <v>31</v>
      </c>
      <c r="J868" s="4"/>
      <c r="K868" s="80" t="str">
        <f t="shared" si="165"/>
        <v>ju</v>
      </c>
      <c r="L868" s="4" t="s">
        <v>512</v>
      </c>
      <c r="M868" s="86" t="str">
        <f>VLOOKUP(G868,[1]Hoja1!$A:$O,15,0)</f>
        <v>DELGADO ARIEL</v>
      </c>
      <c r="N868" s="2" t="str">
        <f t="shared" si="164"/>
        <v>5°1°5115IFTLH5ju</v>
      </c>
      <c r="O868" s="2"/>
      <c r="P868" s="2" t="str">
        <f>VLOOKUP(G868,[1]Hoja1!$A:$P,16,0)</f>
        <v xml:space="preserve"> </v>
      </c>
      <c r="Q868" s="2" t="s">
        <v>2778</v>
      </c>
      <c r="S868">
        <f>VLOOKUP(G868,[1]Hoja1!$A:$O,5,0)</f>
        <v>2543655</v>
      </c>
      <c r="U868" s="45" t="s">
        <v>2751</v>
      </c>
      <c r="V868" s="46">
        <f t="shared" si="157"/>
        <v>2543655</v>
      </c>
      <c r="W868" s="47" t="s">
        <v>1519</v>
      </c>
      <c r="X868" s="46" t="str">
        <f t="shared" si="158"/>
        <v>1</v>
      </c>
      <c r="Y868" s="47" t="s">
        <v>1518</v>
      </c>
      <c r="Z868" s="46" t="str">
        <f t="shared" si="159"/>
        <v>V</v>
      </c>
      <c r="AA868" s="47" t="s">
        <v>2752</v>
      </c>
      <c r="AB868" s="46" t="str">
        <f t="shared" si="160"/>
        <v>JUEVES</v>
      </c>
      <c r="AC868" s="47" t="s">
        <v>2753</v>
      </c>
      <c r="AD868" t="str">
        <f t="shared" si="161"/>
        <v>CONTRATURNO</v>
      </c>
      <c r="AE868" s="47" t="s">
        <v>2754</v>
      </c>
      <c r="AH868" t="str">
        <f t="shared" si="162"/>
        <v>INSERT INTO horario_curso_materia (horario_curso_materia.FK_CUR_mat,horario_curso_materia.FK_HOR,horario_curso_materia.DIA,horario_curso_materia.tipo_turno) VALUES (  (SELECT curso_materia.ID_CUR_MAT FROM curso_materia WHERE curso_materia.CUPOF='2543655' ) ,
    (SELECT horario.ID_HOR FROM horario WHERE horario.modulo='1 ' and horario.turno='V ' ),'JUEVES ' , 'CONTRATURNO ' );</v>
      </c>
    </row>
    <row r="869" spans="1:34" ht="15" hidden="1" customHeight="1" x14ac:dyDescent="0.3">
      <c r="A869" s="1" t="str">
        <f t="shared" si="163"/>
        <v>5°1°</v>
      </c>
      <c r="B869" s="54" t="str">
        <f t="shared" si="166"/>
        <v>5°1°1LUMAÑANA0</v>
      </c>
      <c r="C869" s="62">
        <f>VLOOKUP(G869,[1]Hoja1!$A:$O,3,0)</f>
        <v>0</v>
      </c>
      <c r="D869" s="2" t="str">
        <f t="shared" si="167"/>
        <v>1LUM</v>
      </c>
      <c r="E869" s="62" t="s">
        <v>9</v>
      </c>
      <c r="F869" s="62" t="s">
        <v>27</v>
      </c>
      <c r="G869" s="72" t="s">
        <v>232</v>
      </c>
      <c r="H869" s="8" t="str">
        <f>VLOOKUP(G869,[1]Hoja1!$A:$O,6,0)</f>
        <v>ANALISIS MATEMATICO</v>
      </c>
      <c r="I869" s="4"/>
      <c r="J869" s="4"/>
      <c r="K869" s="80" t="str">
        <f t="shared" si="165"/>
        <v>LU</v>
      </c>
      <c r="L869" s="4"/>
      <c r="M869" s="86" t="str">
        <f>VLOOKUP(G869,[1]Hoja1!$A:$O,15,0)</f>
        <v>CENTURION SILVIA</v>
      </c>
      <c r="N869" s="2" t="str">
        <f t="shared" si="164"/>
        <v>5°1°5IANMATLU</v>
      </c>
      <c r="O869" s="2"/>
      <c r="P869" s="2" t="str">
        <f>VLOOKUP(G869,[1]Hoja1!$A:$P,16,0)</f>
        <v xml:space="preserve"> </v>
      </c>
      <c r="Q869" s="2" t="s">
        <v>2778</v>
      </c>
      <c r="S869">
        <f>VLOOKUP(G869,[1]Hoja1!$A:$O,5,0)</f>
        <v>2543652</v>
      </c>
      <c r="U869" s="45" t="s">
        <v>2751</v>
      </c>
      <c r="V869" s="46">
        <f t="shared" si="157"/>
        <v>2543652</v>
      </c>
      <c r="W869" s="47" t="s">
        <v>1519</v>
      </c>
      <c r="X869" s="46" t="str">
        <f t="shared" si="158"/>
        <v>1</v>
      </c>
      <c r="Y869" s="47" t="s">
        <v>1518</v>
      </c>
      <c r="Z869" s="46" t="str">
        <f t="shared" si="159"/>
        <v>M</v>
      </c>
      <c r="AA869" s="47" t="s">
        <v>2752</v>
      </c>
      <c r="AB869" s="46" t="str">
        <f t="shared" si="160"/>
        <v>LUNES</v>
      </c>
      <c r="AC869" s="47" t="s">
        <v>2753</v>
      </c>
      <c r="AD869">
        <f t="shared" si="161"/>
        <v>0</v>
      </c>
      <c r="AE869" s="47" t="s">
        <v>2754</v>
      </c>
      <c r="AH869" t="str">
        <f t="shared" si="162"/>
        <v>INSERT INTO horario_curso_materia (horario_curso_materia.FK_CUR_mat,horario_curso_materia.FK_HOR,horario_curso_materia.DIA,horario_curso_materia.tipo_turno) VALUES (  (SELECT curso_materia.ID_CUR_MAT FROM curso_materia WHERE curso_materia.CUPOF='2543652' ) ,
    (SELECT horario.ID_HOR FROM horario WHERE horario.modulo='1 ' and horario.turno='M ' ),'LUNES ' , '0 ' );</v>
      </c>
    </row>
    <row r="870" spans="1:34" ht="15" hidden="1" customHeight="1" x14ac:dyDescent="0.3">
      <c r="A870" s="1" t="str">
        <f t="shared" si="163"/>
        <v>5°1°</v>
      </c>
      <c r="B870" s="54" t="str">
        <f t="shared" si="166"/>
        <v>5°1°1LUVESPERTINO511</v>
      </c>
      <c r="C870" s="62">
        <f>VLOOKUP(G870,[1]Hoja1!$A:$O,3,0)</f>
        <v>511</v>
      </c>
      <c r="D870" s="2" t="str">
        <f t="shared" si="167"/>
        <v>1LUV41</v>
      </c>
      <c r="E870" s="62" t="s">
        <v>9</v>
      </c>
      <c r="F870" s="62" t="s">
        <v>125</v>
      </c>
      <c r="G870" s="4" t="s">
        <v>167</v>
      </c>
      <c r="H870" s="8" t="str">
        <f>VLOOKUP(G870,[1]Hoja1!$A:$O,6,0)</f>
        <v>LAB DE SIST OPERATIVOS</v>
      </c>
      <c r="I870" s="4">
        <v>41</v>
      </c>
      <c r="J870" s="4"/>
      <c r="K870" s="80" t="str">
        <f t="shared" si="165"/>
        <v>LU</v>
      </c>
      <c r="L870" s="4" t="s">
        <v>512</v>
      </c>
      <c r="M870" s="86" t="str">
        <f>VLOOKUP(G870,[1]Hoja1!$A:$O,15,0)</f>
        <v>FERREYRA JESICA</v>
      </c>
      <c r="N870" s="2" t="str">
        <f t="shared" si="164"/>
        <v>5°1°5115IFTLS5LU</v>
      </c>
      <c r="O870" s="2"/>
      <c r="P870" s="2" t="str">
        <f>VLOOKUP(G870,[1]Hoja1!$A:$P,16,0)</f>
        <v xml:space="preserve"> </v>
      </c>
      <c r="Q870" s="2" t="s">
        <v>2778</v>
      </c>
      <c r="S870">
        <f>VLOOKUP(G870,[1]Hoja1!$A:$O,5,0)</f>
        <v>2543656</v>
      </c>
      <c r="U870" s="45" t="s">
        <v>2751</v>
      </c>
      <c r="V870" s="46">
        <f t="shared" si="157"/>
        <v>2543656</v>
      </c>
      <c r="W870" s="47" t="s">
        <v>1519</v>
      </c>
      <c r="X870" s="46" t="str">
        <f t="shared" si="158"/>
        <v>1</v>
      </c>
      <c r="Y870" s="47" t="s">
        <v>1518</v>
      </c>
      <c r="Z870" s="46" t="str">
        <f t="shared" si="159"/>
        <v>V</v>
      </c>
      <c r="AA870" s="47" t="s">
        <v>2752</v>
      </c>
      <c r="AB870" s="46" t="str">
        <f t="shared" si="160"/>
        <v>LUNES</v>
      </c>
      <c r="AC870" s="47" t="s">
        <v>2753</v>
      </c>
      <c r="AD870" t="str">
        <f t="shared" si="161"/>
        <v>CONTRATURNO</v>
      </c>
      <c r="AE870" s="47" t="s">
        <v>2754</v>
      </c>
      <c r="AH870" t="str">
        <f t="shared" si="162"/>
        <v>INSERT INTO horario_curso_materia (horario_curso_materia.FK_CUR_mat,horario_curso_materia.FK_HOR,horario_curso_materia.DIA,horario_curso_materia.tipo_turno) VALUES (  (SELECT curso_materia.ID_CUR_MAT FROM curso_materia WHERE curso_materia.CUPOF='2543656' ) ,
    (SELECT horario.ID_HOR FROM horario WHERE horario.modulo='1 ' and horario.turno='V ' ),'LUNES ' , 'CONTRATURNO ' );</v>
      </c>
    </row>
    <row r="871" spans="1:34" ht="15" hidden="1" customHeight="1" x14ac:dyDescent="0.3">
      <c r="A871" s="1" t="str">
        <f t="shared" si="163"/>
        <v>5°1°</v>
      </c>
      <c r="B871" s="54" t="str">
        <f t="shared" si="166"/>
        <v>5°1°1LUVESPERTINO512</v>
      </c>
      <c r="C871" s="62">
        <v>512</v>
      </c>
      <c r="D871" s="2" t="str">
        <f t="shared" si="167"/>
        <v>1LUV42</v>
      </c>
      <c r="E871" s="62" t="s">
        <v>9</v>
      </c>
      <c r="F871" s="62" t="s">
        <v>125</v>
      </c>
      <c r="G871" s="62" t="s">
        <v>163</v>
      </c>
      <c r="H871" s="8" t="str">
        <f>VLOOKUP(G871,[1]Hoja1!$A:$O,6,0)</f>
        <v xml:space="preserve">LAB DE HARDWARE </v>
      </c>
      <c r="I871" s="4">
        <v>42</v>
      </c>
      <c r="J871" s="4"/>
      <c r="K871" s="80" t="str">
        <f t="shared" si="165"/>
        <v>LU</v>
      </c>
      <c r="L871" s="4" t="s">
        <v>512</v>
      </c>
      <c r="M871" s="86" t="str">
        <f>VLOOKUP(G871,[1]Hoja1!$A:$O,15,0)</f>
        <v xml:space="preserve">FISTER (Serv.Prov)         </v>
      </c>
      <c r="N871" s="2" t="str">
        <f t="shared" si="164"/>
        <v>5°1°5125IFTLH5LU</v>
      </c>
      <c r="O871" s="2"/>
      <c r="P871" s="2" t="str">
        <f>VLOOKUP(G871,[1]Hoja1!$A:$P,16,0)</f>
        <v xml:space="preserve"> </v>
      </c>
      <c r="Q871" s="2" t="s">
        <v>2778</v>
      </c>
      <c r="S871">
        <f>VLOOKUP(G871,[1]Hoja1!$A:$O,5,0)</f>
        <v>2543661</v>
      </c>
      <c r="U871" s="45" t="s">
        <v>2751</v>
      </c>
      <c r="V871" s="46">
        <f t="shared" si="157"/>
        <v>2543661</v>
      </c>
      <c r="W871" s="47" t="s">
        <v>1519</v>
      </c>
      <c r="X871" s="46" t="str">
        <f t="shared" si="158"/>
        <v>1</v>
      </c>
      <c r="Y871" s="47" t="s">
        <v>1518</v>
      </c>
      <c r="Z871" s="46" t="str">
        <f t="shared" si="159"/>
        <v>V</v>
      </c>
      <c r="AA871" s="47" t="s">
        <v>2752</v>
      </c>
      <c r="AB871" s="46" t="str">
        <f t="shared" si="160"/>
        <v>LUNES</v>
      </c>
      <c r="AC871" s="47" t="s">
        <v>2753</v>
      </c>
      <c r="AD871" t="str">
        <f t="shared" si="161"/>
        <v>CONTRATURNO</v>
      </c>
      <c r="AE871" s="47" t="s">
        <v>2754</v>
      </c>
      <c r="AH871" t="str">
        <f t="shared" si="162"/>
        <v>INSERT INTO horario_curso_materia (horario_curso_materia.FK_CUR_mat,horario_curso_materia.FK_HOR,horario_curso_materia.DIA,horario_curso_materia.tipo_turno) VALUES (  (SELECT curso_materia.ID_CUR_MAT FROM curso_materia WHERE curso_materia.CUPOF='2543661' ) ,
    (SELECT horario.ID_HOR FROM horario WHERE horario.modulo='1 ' and horario.turno='V ' ),'LUNES ' , 'CONTRATURNO ' );</v>
      </c>
    </row>
    <row r="872" spans="1:34" ht="15" hidden="1" customHeight="1" x14ac:dyDescent="0.3">
      <c r="A872" s="1" t="str">
        <f t="shared" si="163"/>
        <v>5°1°</v>
      </c>
      <c r="B872" s="54" t="str">
        <f t="shared" si="166"/>
        <v>5°1°1maMAÑANA0</v>
      </c>
      <c r="C872" s="62">
        <f>VLOOKUP(G872,[1]Hoja1!$A:$O,3,0)</f>
        <v>0</v>
      </c>
      <c r="D872" s="2" t="str">
        <f t="shared" si="167"/>
        <v>1maM</v>
      </c>
      <c r="E872" s="62" t="s">
        <v>88</v>
      </c>
      <c r="F872" s="62" t="s">
        <v>27</v>
      </c>
      <c r="G872" s="72" t="s">
        <v>239</v>
      </c>
      <c r="H872" s="8" t="str">
        <f>VLOOKUP(G872,[1]Hoja1!$A:$O,6,0)</f>
        <v>HISTORIA</v>
      </c>
      <c r="I872" s="4"/>
      <c r="J872" s="4"/>
      <c r="K872" s="80" t="str">
        <f t="shared" si="165"/>
        <v>ma</v>
      </c>
      <c r="L872" s="4"/>
      <c r="M872" s="86" t="str">
        <f>VLOOKUP(G872,[1]Hoja1!$A:$O,15,0)</f>
        <v>PALACIOS GUSTAVO</v>
      </c>
      <c r="N872" s="2" t="str">
        <f t="shared" si="164"/>
        <v>5°1°5IHIS5ma</v>
      </c>
      <c r="O872" s="2" t="s">
        <v>1496</v>
      </c>
      <c r="P872" s="2" t="str">
        <f>VLOOKUP(G872,[1]Hoja1!$A:$P,16,0)</f>
        <v xml:space="preserve"> </v>
      </c>
      <c r="Q872" s="2" t="s">
        <v>2778</v>
      </c>
      <c r="S872">
        <f>VLOOKUP(G872,[1]Hoja1!$A:$O,5,0)</f>
        <v>2543649</v>
      </c>
      <c r="U872" s="45" t="s">
        <v>2751</v>
      </c>
      <c r="V872" s="46">
        <f t="shared" si="157"/>
        <v>2543649</v>
      </c>
      <c r="W872" s="47" t="s">
        <v>1519</v>
      </c>
      <c r="X872" s="46" t="str">
        <f t="shared" si="158"/>
        <v>1</v>
      </c>
      <c r="Y872" s="47" t="s">
        <v>1518</v>
      </c>
      <c r="Z872" s="46" t="str">
        <f t="shared" si="159"/>
        <v>M</v>
      </c>
      <c r="AA872" s="47" t="s">
        <v>2752</v>
      </c>
      <c r="AB872" s="46" t="str">
        <f t="shared" si="160"/>
        <v>MARTES</v>
      </c>
      <c r="AC872" s="47" t="s">
        <v>2753</v>
      </c>
      <c r="AD872">
        <f t="shared" si="161"/>
        <v>0</v>
      </c>
      <c r="AE872" s="47" t="s">
        <v>2754</v>
      </c>
      <c r="AH872" t="str">
        <f t="shared" si="162"/>
        <v>INSERT INTO horario_curso_materia (horario_curso_materia.FK_CUR_mat,horario_curso_materia.FK_HOR,horario_curso_materia.DIA,horario_curso_materia.tipo_turno) VALUES (  (SELECT curso_materia.ID_CUR_MAT FROM curso_materia WHERE curso_materia.CUPOF='2543649' ) ,
    (SELECT horario.ID_HOR FROM horario WHERE horario.modulo='1 ' and horario.turno='M ' ),'MARTES ' , '0 ' );</v>
      </c>
    </row>
    <row r="873" spans="1:34" ht="15" hidden="1" customHeight="1" x14ac:dyDescent="0.3">
      <c r="A873" s="1" t="str">
        <f t="shared" si="163"/>
        <v>5°1°</v>
      </c>
      <c r="B873" s="54" t="str">
        <f t="shared" si="166"/>
        <v>5°1°1viVESPERTINO512</v>
      </c>
      <c r="C873" s="62">
        <f>VLOOKUP(G873,[1]Hoja1!$A:$O,3,0)</f>
        <v>512</v>
      </c>
      <c r="D873" s="2" t="str">
        <f t="shared" si="167"/>
        <v>1viV52</v>
      </c>
      <c r="E873" s="62" t="s">
        <v>1375</v>
      </c>
      <c r="F873" s="62" t="s">
        <v>125</v>
      </c>
      <c r="G873" s="4" t="s">
        <v>168</v>
      </c>
      <c r="H873" s="8" t="str">
        <f>VLOOKUP(G873,[1]Hoja1!$A:$O,6,0)</f>
        <v>LAB DE SIST OPERATIVOS</v>
      </c>
      <c r="I873" s="4">
        <v>52</v>
      </c>
      <c r="J873" s="4"/>
      <c r="K873" s="80" t="str">
        <f t="shared" si="165"/>
        <v>vi</v>
      </c>
      <c r="L873" s="4" t="s">
        <v>512</v>
      </c>
      <c r="M873" s="86" t="str">
        <f>VLOOKUP(G873,[1]Hoja1!$A:$O,15,0)</f>
        <v>RIVERA MARCELO</v>
      </c>
      <c r="N873" s="2" t="str">
        <f t="shared" si="164"/>
        <v>5°1°5125IFTLS5vi</v>
      </c>
      <c r="O873" s="2"/>
      <c r="P873" s="2" t="str">
        <f>VLOOKUP(G873,[1]Hoja1!$A:$P,16,0)</f>
        <v xml:space="preserve"> </v>
      </c>
      <c r="Q873" s="2" t="s">
        <v>2778</v>
      </c>
      <c r="S873">
        <f>VLOOKUP(G873,[1]Hoja1!$A:$O,5,0)</f>
        <v>2543664</v>
      </c>
      <c r="U873" s="45" t="s">
        <v>2751</v>
      </c>
      <c r="V873" s="46">
        <f t="shared" si="157"/>
        <v>2543664</v>
      </c>
      <c r="W873" s="47" t="s">
        <v>1519</v>
      </c>
      <c r="X873" s="46" t="str">
        <f t="shared" si="158"/>
        <v>1</v>
      </c>
      <c r="Y873" s="47" t="s">
        <v>1518</v>
      </c>
      <c r="Z873" s="46" t="str">
        <f t="shared" si="159"/>
        <v>V</v>
      </c>
      <c r="AA873" s="47" t="s">
        <v>2752</v>
      </c>
      <c r="AB873" s="46" t="str">
        <f t="shared" si="160"/>
        <v>VIERNES</v>
      </c>
      <c r="AC873" s="47" t="s">
        <v>2753</v>
      </c>
      <c r="AD873" t="str">
        <f t="shared" si="161"/>
        <v>CONTRATURNO</v>
      </c>
      <c r="AE873" s="47" t="s">
        <v>2754</v>
      </c>
      <c r="AH873" t="str">
        <f t="shared" si="162"/>
        <v>INSERT INTO horario_curso_materia (horario_curso_materia.FK_CUR_mat,horario_curso_materia.FK_HOR,horario_curso_materia.DIA,horario_curso_materia.tipo_turno) VALUES (  (SELECT curso_materia.ID_CUR_MAT FROM curso_materia WHERE curso_materia.CUPOF='2543664' ) ,
    (SELECT horario.ID_HOR FROM horario WHERE horario.modulo='1 ' and horario.turno='V ' ),'VIERNES ' , 'CONTRATURNO ' );</v>
      </c>
    </row>
    <row r="874" spans="1:34" ht="15" hidden="1" customHeight="1" x14ac:dyDescent="0.3">
      <c r="A874" s="1" t="str">
        <f t="shared" si="163"/>
        <v>5°1°</v>
      </c>
      <c r="B874" s="54" t="str">
        <f t="shared" si="166"/>
        <v>5°1°1MiMAÑANA0</v>
      </c>
      <c r="C874" s="62">
        <f>VLOOKUP(G874,[1]Hoja1!$A:$O,3,0)</f>
        <v>0</v>
      </c>
      <c r="D874" s="2" t="str">
        <f t="shared" si="167"/>
        <v>1MiM</v>
      </c>
      <c r="E874" s="62" t="s">
        <v>1493</v>
      </c>
      <c r="F874" s="62" t="s">
        <v>27</v>
      </c>
      <c r="G874" s="4" t="s">
        <v>236</v>
      </c>
      <c r="H874" s="8" t="str">
        <f>VLOOKUP(G874,[1]Hoja1!$A:$O,6,0)</f>
        <v>GEOGRAFIA</v>
      </c>
      <c r="I874" s="4"/>
      <c r="J874" s="4"/>
      <c r="K874" s="80" t="str">
        <f t="shared" si="165"/>
        <v>Mi</v>
      </c>
      <c r="L874" s="4"/>
      <c r="M874" s="86" t="str">
        <f>VLOOKUP(G874,[1]Hoja1!$A:$O,15,0)</f>
        <v xml:space="preserve">SPERONI, ADRIAN </v>
      </c>
      <c r="N874" s="2" t="str">
        <f t="shared" si="164"/>
        <v>5°1°5IGEOS5Mi</v>
      </c>
      <c r="O874" s="2" t="s">
        <v>1492</v>
      </c>
      <c r="P874" s="2" t="str">
        <f>VLOOKUP(G874,[1]Hoja1!$A:$P,16,0)</f>
        <v xml:space="preserve"> </v>
      </c>
      <c r="Q874" s="2" t="s">
        <v>2778</v>
      </c>
      <c r="S874">
        <f>VLOOKUP(G874,[1]Hoja1!$A:$O,5,0)</f>
        <v>2543650</v>
      </c>
      <c r="U874" s="45" t="s">
        <v>2751</v>
      </c>
      <c r="V874" s="46">
        <f t="shared" si="157"/>
        <v>2543650</v>
      </c>
      <c r="W874" s="47" t="s">
        <v>1519</v>
      </c>
      <c r="X874" s="46" t="str">
        <f t="shared" si="158"/>
        <v>1</v>
      </c>
      <c r="Y874" s="47" t="s">
        <v>1518</v>
      </c>
      <c r="Z874" s="46" t="str">
        <f t="shared" si="159"/>
        <v>M</v>
      </c>
      <c r="AA874" s="47" t="s">
        <v>2752</v>
      </c>
      <c r="AB874" s="46" t="str">
        <f t="shared" si="160"/>
        <v>MIERCOLES</v>
      </c>
      <c r="AC874" s="47" t="s">
        <v>2753</v>
      </c>
      <c r="AD874">
        <f t="shared" si="161"/>
        <v>0</v>
      </c>
      <c r="AE874" s="47" t="s">
        <v>2754</v>
      </c>
      <c r="AH874" t="str">
        <f t="shared" si="162"/>
        <v>INSERT INTO horario_curso_materia (horario_curso_materia.FK_CUR_mat,horario_curso_materia.FK_HOR,horario_curso_materia.DIA,horario_curso_materia.tipo_turno) VALUES (  (SELECT curso_materia.ID_CUR_MAT FROM curso_materia WHERE curso_materia.CUPOF='2543650' ) ,
    (SELECT horario.ID_HOR FROM horario WHERE horario.modulo='1 ' and horario.turno='M ' ),'MIERCOLES ' , '0 ' );</v>
      </c>
    </row>
    <row r="875" spans="1:34" ht="15" hidden="1" customHeight="1" x14ac:dyDescent="0.3">
      <c r="A875" s="3" t="str">
        <f t="shared" si="163"/>
        <v>5°1°</v>
      </c>
      <c r="B875" s="54" t="str">
        <f t="shared" si="166"/>
        <v>5°1°1miTARDE511</v>
      </c>
      <c r="C875" s="63">
        <f>VLOOKUP(G875,[1]Hoja1!$A:$O,3,0)</f>
        <v>511</v>
      </c>
      <c r="D875" s="23" t="str">
        <f t="shared" si="167"/>
        <v>1miT30</v>
      </c>
      <c r="E875" s="63" t="s">
        <v>55</v>
      </c>
      <c r="F875" s="63" t="s">
        <v>10</v>
      </c>
      <c r="G875" s="73" t="s">
        <v>165</v>
      </c>
      <c r="H875" s="3" t="str">
        <f>VLOOKUP(G875,[1]Hoja1!$A:$O,6,0)</f>
        <v xml:space="preserve">LAB DE APLICACIONES </v>
      </c>
      <c r="I875" s="4">
        <v>30</v>
      </c>
      <c r="J875" s="17"/>
      <c r="K875" s="81" t="str">
        <f t="shared" si="165"/>
        <v>mi</v>
      </c>
      <c r="L875" s="17" t="s">
        <v>512</v>
      </c>
      <c r="M875" s="87" t="str">
        <f>VLOOKUP(G875,[1]Hoja1!$A:$O,15,0)</f>
        <v xml:space="preserve">BARCENILLA, JAVIER </v>
      </c>
      <c r="N875" s="2" t="str">
        <f t="shared" si="164"/>
        <v>5°1°5115IFTLA5mi</v>
      </c>
      <c r="O875" s="2"/>
      <c r="P875" s="2" t="str">
        <f>VLOOKUP(G875,[1]Hoja1!$A:$P,16,0)</f>
        <v xml:space="preserve"> </v>
      </c>
      <c r="Q875" s="2" t="s">
        <v>2778</v>
      </c>
      <c r="S875">
        <f>VLOOKUP(G875,[1]Hoja1!$A:$O,5,0)</f>
        <v>2543658</v>
      </c>
      <c r="U875" s="45" t="s">
        <v>2751</v>
      </c>
      <c r="V875" s="46">
        <f t="shared" si="157"/>
        <v>2543658</v>
      </c>
      <c r="W875" s="47" t="s">
        <v>1519</v>
      </c>
      <c r="X875" s="46" t="str">
        <f t="shared" si="158"/>
        <v>1</v>
      </c>
      <c r="Y875" s="47" t="s">
        <v>1518</v>
      </c>
      <c r="Z875" s="46" t="str">
        <f t="shared" si="159"/>
        <v>T</v>
      </c>
      <c r="AA875" s="47" t="s">
        <v>2752</v>
      </c>
      <c r="AB875" s="46" t="str">
        <f t="shared" si="160"/>
        <v>MIERCOLES</v>
      </c>
      <c r="AC875" s="47" t="s">
        <v>2753</v>
      </c>
      <c r="AD875" t="str">
        <f t="shared" si="161"/>
        <v>CONTRATURNO</v>
      </c>
      <c r="AE875" s="47" t="s">
        <v>2754</v>
      </c>
      <c r="AH875" t="str">
        <f t="shared" si="162"/>
        <v>INSERT INTO horario_curso_materia (horario_curso_materia.FK_CUR_mat,horario_curso_materia.FK_HOR,horario_curso_materia.DIA,horario_curso_materia.tipo_turno) VALUES (  (SELECT curso_materia.ID_CUR_MAT FROM curso_materia WHERE curso_materia.CUPOF='2543658' ) ,
    (SELECT horario.ID_HOR FROM horario WHERE horario.modulo='1 ' and horario.turno='T ' ),'MIERCOLES ' , 'CONTRATURNO ' );</v>
      </c>
    </row>
    <row r="876" spans="1:34" ht="15" hidden="1" customHeight="1" x14ac:dyDescent="0.3">
      <c r="A876" s="1" t="str">
        <f t="shared" si="163"/>
        <v>5°1°</v>
      </c>
      <c r="B876" s="54" t="str">
        <f t="shared" si="166"/>
        <v>5°1°1MIVESPERTINO512</v>
      </c>
      <c r="C876" s="62">
        <f>VLOOKUP(G876,[1]Hoja1!$A:$O,3,0)</f>
        <v>512</v>
      </c>
      <c r="D876" s="2" t="str">
        <f t="shared" si="167"/>
        <v>1MIV41</v>
      </c>
      <c r="E876" s="62" t="s">
        <v>24</v>
      </c>
      <c r="F876" s="62" t="s">
        <v>125</v>
      </c>
      <c r="G876" s="72" t="s">
        <v>166</v>
      </c>
      <c r="H876" s="8" t="str">
        <f>VLOOKUP(G876,[1]Hoja1!$A:$O,6,0)</f>
        <v xml:space="preserve">LAB DE APLICACIONES </v>
      </c>
      <c r="I876" s="4">
        <v>41</v>
      </c>
      <c r="J876" s="4"/>
      <c r="K876" s="80" t="str">
        <f t="shared" si="165"/>
        <v>MI</v>
      </c>
      <c r="L876" s="4" t="s">
        <v>512</v>
      </c>
      <c r="M876" s="86" t="str">
        <f>VLOOKUP(G876,[1]Hoja1!$A:$O,15,0)</f>
        <v>WITT GERARDO</v>
      </c>
      <c r="N876" s="2" t="str">
        <f t="shared" si="164"/>
        <v>5°1°5125IFTLA5MI</v>
      </c>
      <c r="O876" s="2"/>
      <c r="P876" s="2" t="str">
        <f>VLOOKUP(G876,[1]Hoja1!$A:$P,16,0)</f>
        <v xml:space="preserve"> </v>
      </c>
      <c r="Q876" s="2" t="s">
        <v>2778</v>
      </c>
      <c r="S876">
        <f>VLOOKUP(G876,[1]Hoja1!$A:$O,5,0)</f>
        <v>2543665</v>
      </c>
      <c r="U876" s="45" t="s">
        <v>2751</v>
      </c>
      <c r="V876" s="46">
        <f t="shared" si="157"/>
        <v>2543665</v>
      </c>
      <c r="W876" s="47" t="s">
        <v>1519</v>
      </c>
      <c r="X876" s="46" t="str">
        <f t="shared" si="158"/>
        <v>1</v>
      </c>
      <c r="Y876" s="47" t="s">
        <v>1518</v>
      </c>
      <c r="Z876" s="46" t="str">
        <f t="shared" si="159"/>
        <v>V</v>
      </c>
      <c r="AA876" s="47" t="s">
        <v>2752</v>
      </c>
      <c r="AB876" s="46" t="str">
        <f t="shared" si="160"/>
        <v>MIERCOLES</v>
      </c>
      <c r="AC876" s="47" t="s">
        <v>2753</v>
      </c>
      <c r="AD876" t="str">
        <f t="shared" si="161"/>
        <v>CONTRATURNO</v>
      </c>
      <c r="AE876" s="47" t="s">
        <v>2754</v>
      </c>
      <c r="AH876" t="str">
        <f t="shared" si="162"/>
        <v>INSERT INTO horario_curso_materia (horario_curso_materia.FK_CUR_mat,horario_curso_materia.FK_HOR,horario_curso_materia.DIA,horario_curso_materia.tipo_turno) VALUES (  (SELECT curso_materia.ID_CUR_MAT FROM curso_materia WHERE curso_materia.CUPOF='2543665' ) ,
    (SELECT horario.ID_HOR FROM horario WHERE horario.modulo='1 ' and horario.turno='V ' ),'MIERCOLES ' , 'CONTRATURNO ' );</v>
      </c>
    </row>
    <row r="877" spans="1:34" ht="15" hidden="1" customHeight="1" x14ac:dyDescent="0.3">
      <c r="A877" s="1" t="str">
        <f t="shared" si="163"/>
        <v>5°1°</v>
      </c>
      <c r="B877" s="54" t="str">
        <f t="shared" si="166"/>
        <v>5°1°1viMAÑANA0</v>
      </c>
      <c r="C877" s="62">
        <f>VLOOKUP(G877,[1]Hoja1!$A:$O,3,0)</f>
        <v>0</v>
      </c>
      <c r="D877" s="2" t="str">
        <f t="shared" si="167"/>
        <v>1viM</v>
      </c>
      <c r="E877" s="62" t="s">
        <v>1375</v>
      </c>
      <c r="F877" s="62" t="s">
        <v>27</v>
      </c>
      <c r="G877" s="4" t="s">
        <v>234</v>
      </c>
      <c r="H877" s="8" t="str">
        <f>VLOOKUP(G877,[1]Hoja1!$A:$O,6,0)</f>
        <v>INGLÉS</v>
      </c>
      <c r="I877" s="4"/>
      <c r="J877" s="4"/>
      <c r="K877" s="80" t="str">
        <f t="shared" si="165"/>
        <v>vi</v>
      </c>
      <c r="L877" s="4"/>
      <c r="M877" s="86" t="str">
        <f>VLOOKUP(G877,[1]Hoja1!$A:$O,15,0)</f>
        <v xml:space="preserve">ARCE KARINA </v>
      </c>
      <c r="N877" s="2" t="str">
        <f t="shared" si="164"/>
        <v>5°1°5IINGSvi</v>
      </c>
      <c r="O877" s="2" t="s">
        <v>1495</v>
      </c>
      <c r="P877" s="2" t="str">
        <f>VLOOKUP(G877,[1]Hoja1!$A:$P,16,0)</f>
        <v xml:space="preserve"> </v>
      </c>
      <c r="Q877" s="2" t="s">
        <v>2778</v>
      </c>
      <c r="S877">
        <f>VLOOKUP(G877,[1]Hoja1!$A:$O,5,0)</f>
        <v>2543620</v>
      </c>
      <c r="U877" s="45" t="s">
        <v>2751</v>
      </c>
      <c r="V877" s="46">
        <f t="shared" ref="V877:V940" si="168">S877</f>
        <v>2543620</v>
      </c>
      <c r="W877" s="47" t="s">
        <v>1519</v>
      </c>
      <c r="X877" s="46" t="str">
        <f t="shared" ref="X877:X940" si="169">IF(LEFT(E877,1)="p","prehora",LEFT(E877,1))</f>
        <v>1</v>
      </c>
      <c r="Y877" s="47" t="s">
        <v>1518</v>
      </c>
      <c r="Z877" s="46" t="str">
        <f t="shared" ref="Z877:Z940" si="170">LEFT(F877,1)</f>
        <v>M</v>
      </c>
      <c r="AA877" s="47" t="s">
        <v>2752</v>
      </c>
      <c r="AB877" s="46" t="str">
        <f t="shared" ref="AB877:AB940" si="171">IF(IF(LEFT(E877,1)="p",MID(E877,8,2),MID(E877,2,2))="lu","LUNES",IF(IF(LEFT(E877,1)="p",MID(E877,8,2),MID(E877,2,2))="ma","MARTES",IF(IF(LEFT(E877,1)="p",MID(E877,8,2),MID(E877,2,2))="MI","MIERCOLES",IF(IF(LEFT(E877,1)="p",MID(E877,8,2),MID(E877,2,2))="JU","JUEVES",IF(IF(LEFT(E877,1)="p",MID(E877,8,2),MID(E877,2,2))="vi","VIERNES","")))))</f>
        <v>VIERNES</v>
      </c>
      <c r="AC877" s="47" t="s">
        <v>2753</v>
      </c>
      <c r="AD877">
        <f t="shared" ref="AD877:AD940" si="172">L877</f>
        <v>0</v>
      </c>
      <c r="AE877" s="47" t="s">
        <v>2754</v>
      </c>
      <c r="AH877" t="str">
        <f t="shared" ref="AH877:AH940" si="173">U877&amp;V877&amp;W877&amp;X877&amp;Y877&amp;Z877&amp;AA877&amp;AB877&amp;AC877&amp;AD877&amp;AE877</f>
        <v>INSERT INTO horario_curso_materia (horario_curso_materia.FK_CUR_mat,horario_curso_materia.FK_HOR,horario_curso_materia.DIA,horario_curso_materia.tipo_turno) VALUES (  (SELECT curso_materia.ID_CUR_MAT FROM curso_materia WHERE curso_materia.CUPOF='2543620' ) ,
    (SELECT horario.ID_HOR FROM horario WHERE horario.modulo='1 ' and horario.turno='M ' ),'VIERNES ' , '0 ' );</v>
      </c>
    </row>
    <row r="878" spans="1:34" ht="15" hidden="1" customHeight="1" x14ac:dyDescent="0.3">
      <c r="A878" s="1" t="str">
        <f t="shared" si="163"/>
        <v>5°1°</v>
      </c>
      <c r="B878" s="54" t="str">
        <f t="shared" si="166"/>
        <v>5°1°2JUMAÑANA0</v>
      </c>
      <c r="C878" s="62">
        <f>VLOOKUP(G878,[1]Hoja1!$A:$O,3,0)</f>
        <v>0</v>
      </c>
      <c r="D878" s="2" t="str">
        <f t="shared" si="167"/>
        <v>2JUM</v>
      </c>
      <c r="E878" s="62" t="s">
        <v>45</v>
      </c>
      <c r="F878" s="62" t="s">
        <v>27</v>
      </c>
      <c r="G878" s="72" t="s">
        <v>232</v>
      </c>
      <c r="H878" s="8" t="str">
        <f>VLOOKUP(G878,[1]Hoja1!$A:$O,6,0)</f>
        <v>ANALISIS MATEMATICO</v>
      </c>
      <c r="I878" s="4"/>
      <c r="J878" s="4"/>
      <c r="K878" s="80" t="str">
        <f t="shared" si="165"/>
        <v>JU</v>
      </c>
      <c r="L878" s="4"/>
      <c r="M878" s="86" t="str">
        <f>VLOOKUP(G878,[1]Hoja1!$A:$O,15,0)</f>
        <v>CENTURION SILVIA</v>
      </c>
      <c r="N878" s="2" t="str">
        <f t="shared" si="164"/>
        <v>5°1°5IANMATJU</v>
      </c>
      <c r="O878" s="2"/>
      <c r="P878" s="2" t="str">
        <f>VLOOKUP(G878,[1]Hoja1!$A:$P,16,0)</f>
        <v xml:space="preserve"> </v>
      </c>
      <c r="Q878" s="2" t="s">
        <v>2778</v>
      </c>
      <c r="S878">
        <f>VLOOKUP(G878,[1]Hoja1!$A:$O,5,0)</f>
        <v>2543652</v>
      </c>
      <c r="U878" s="45" t="s">
        <v>2751</v>
      </c>
      <c r="V878" s="46">
        <f t="shared" si="168"/>
        <v>2543652</v>
      </c>
      <c r="W878" s="47" t="s">
        <v>1519</v>
      </c>
      <c r="X878" s="46" t="str">
        <f t="shared" si="169"/>
        <v>2</v>
      </c>
      <c r="Y878" s="47" t="s">
        <v>1518</v>
      </c>
      <c r="Z878" s="46" t="str">
        <f t="shared" si="170"/>
        <v>M</v>
      </c>
      <c r="AA878" s="47" t="s">
        <v>2752</v>
      </c>
      <c r="AB878" s="46" t="str">
        <f t="shared" si="171"/>
        <v>JUEVES</v>
      </c>
      <c r="AC878" s="47" t="s">
        <v>2753</v>
      </c>
      <c r="AD878">
        <f t="shared" si="172"/>
        <v>0</v>
      </c>
      <c r="AE878" s="47" t="s">
        <v>2754</v>
      </c>
      <c r="AH878" t="str">
        <f t="shared" si="173"/>
        <v>INSERT INTO horario_curso_materia (horario_curso_materia.FK_CUR_mat,horario_curso_materia.FK_HOR,horario_curso_materia.DIA,horario_curso_materia.tipo_turno) VALUES (  (SELECT curso_materia.ID_CUR_MAT FROM curso_materia WHERE curso_materia.CUPOF='2543652' ) ,
    (SELECT horario.ID_HOR FROM horario WHERE horario.modulo='2 ' and horario.turno='M ' ),'JUEVES ' , '0 ' );</v>
      </c>
    </row>
    <row r="879" spans="1:34" ht="15" hidden="1" customHeight="1" x14ac:dyDescent="0.3">
      <c r="A879" s="1" t="str">
        <f t="shared" si="163"/>
        <v>5°1°</v>
      </c>
      <c r="B879" s="54" t="str">
        <f t="shared" si="166"/>
        <v>5°1°2juVESPERTINO511</v>
      </c>
      <c r="C879" s="62">
        <v>511</v>
      </c>
      <c r="D879" s="2" t="str">
        <f t="shared" si="167"/>
        <v>2juV31</v>
      </c>
      <c r="E879" s="62" t="s">
        <v>1349</v>
      </c>
      <c r="F879" s="62" t="s">
        <v>125</v>
      </c>
      <c r="G879" s="62" t="s">
        <v>164</v>
      </c>
      <c r="H879" s="8" t="str">
        <f>VLOOKUP(G879,[1]Hoja1!$A:$O,6,0)</f>
        <v xml:space="preserve">LAB DE HARDWARE </v>
      </c>
      <c r="I879" s="4">
        <v>31</v>
      </c>
      <c r="J879" s="4"/>
      <c r="K879" s="80" t="str">
        <f t="shared" si="165"/>
        <v>ju</v>
      </c>
      <c r="L879" s="4" t="s">
        <v>512</v>
      </c>
      <c r="M879" s="86" t="str">
        <f>VLOOKUP(G879,[1]Hoja1!$A:$O,15,0)</f>
        <v>DELGADO ARIEL</v>
      </c>
      <c r="N879" s="2" t="str">
        <f t="shared" si="164"/>
        <v>5°1°5115IFTLH5ju</v>
      </c>
      <c r="O879" s="2"/>
      <c r="P879" s="2" t="str">
        <f>VLOOKUP(G879,[1]Hoja1!$A:$P,16,0)</f>
        <v xml:space="preserve"> </v>
      </c>
      <c r="Q879" s="2" t="s">
        <v>2778</v>
      </c>
      <c r="S879">
        <f>VLOOKUP(G879,[1]Hoja1!$A:$O,5,0)</f>
        <v>2543655</v>
      </c>
      <c r="U879" s="45" t="s">
        <v>2751</v>
      </c>
      <c r="V879" s="46">
        <f t="shared" si="168"/>
        <v>2543655</v>
      </c>
      <c r="W879" s="47" t="s">
        <v>1519</v>
      </c>
      <c r="X879" s="46" t="str">
        <f t="shared" si="169"/>
        <v>2</v>
      </c>
      <c r="Y879" s="47" t="s">
        <v>1518</v>
      </c>
      <c r="Z879" s="46" t="str">
        <f t="shared" si="170"/>
        <v>V</v>
      </c>
      <c r="AA879" s="47" t="s">
        <v>2752</v>
      </c>
      <c r="AB879" s="46" t="str">
        <f t="shared" si="171"/>
        <v>JUEVES</v>
      </c>
      <c r="AC879" s="47" t="s">
        <v>2753</v>
      </c>
      <c r="AD879" t="str">
        <f t="shared" si="172"/>
        <v>CONTRATURNO</v>
      </c>
      <c r="AE879" s="47" t="s">
        <v>2754</v>
      </c>
      <c r="AH879" t="str">
        <f t="shared" si="173"/>
        <v>INSERT INTO horario_curso_materia (horario_curso_materia.FK_CUR_mat,horario_curso_materia.FK_HOR,horario_curso_materia.DIA,horario_curso_materia.tipo_turno) VALUES (  (SELECT curso_materia.ID_CUR_MAT FROM curso_materia WHERE curso_materia.CUPOF='2543655' ) ,
    (SELECT horario.ID_HOR FROM horario WHERE horario.modulo='2 ' and horario.turno='V ' ),'JUEVES ' , 'CONTRATURNO ' );</v>
      </c>
    </row>
    <row r="880" spans="1:34" ht="15" hidden="1" customHeight="1" x14ac:dyDescent="0.3">
      <c r="A880" s="1" t="str">
        <f t="shared" ref="A880:A943" si="174">LEFT(B880,4)</f>
        <v>5°1°</v>
      </c>
      <c r="B880" s="54" t="str">
        <f t="shared" si="166"/>
        <v>5°1°2LUMAÑANA0</v>
      </c>
      <c r="C880" s="62">
        <f>VLOOKUP(G880,[1]Hoja1!$A:$O,3,0)</f>
        <v>0</v>
      </c>
      <c r="D880" s="2" t="str">
        <f t="shared" si="167"/>
        <v>2LUM</v>
      </c>
      <c r="E880" s="62" t="s">
        <v>12</v>
      </c>
      <c r="F880" s="62" t="s">
        <v>27</v>
      </c>
      <c r="G880" s="72" t="s">
        <v>232</v>
      </c>
      <c r="H880" s="8" t="str">
        <f>VLOOKUP(G880,[1]Hoja1!$A:$O,6,0)</f>
        <v>ANALISIS MATEMATICO</v>
      </c>
      <c r="I880" s="4"/>
      <c r="J880" s="4"/>
      <c r="K880" s="80" t="str">
        <f t="shared" si="165"/>
        <v>LU</v>
      </c>
      <c r="L880" s="4"/>
      <c r="M880" s="86" t="str">
        <f>VLOOKUP(G880,[1]Hoja1!$A:$O,15,0)</f>
        <v>CENTURION SILVIA</v>
      </c>
      <c r="N880" s="2" t="str">
        <f t="shared" ref="N880:N943" si="175">CONCATENATE(G880,LEFT(K880,2))</f>
        <v>5°1°5IANMATLU</v>
      </c>
      <c r="O880" s="2"/>
      <c r="P880" s="2" t="str">
        <f>VLOOKUP(G880,[1]Hoja1!$A:$P,16,0)</f>
        <v xml:space="preserve"> </v>
      </c>
      <c r="Q880" s="2" t="s">
        <v>2778</v>
      </c>
      <c r="S880">
        <f>VLOOKUP(G880,[1]Hoja1!$A:$O,5,0)</f>
        <v>2543652</v>
      </c>
      <c r="U880" s="45" t="s">
        <v>2751</v>
      </c>
      <c r="V880" s="46">
        <f t="shared" si="168"/>
        <v>2543652</v>
      </c>
      <c r="W880" s="47" t="s">
        <v>1519</v>
      </c>
      <c r="X880" s="46" t="str">
        <f t="shared" si="169"/>
        <v>2</v>
      </c>
      <c r="Y880" s="47" t="s">
        <v>1518</v>
      </c>
      <c r="Z880" s="46" t="str">
        <f t="shared" si="170"/>
        <v>M</v>
      </c>
      <c r="AA880" s="47" t="s">
        <v>2752</v>
      </c>
      <c r="AB880" s="46" t="str">
        <f t="shared" si="171"/>
        <v>LUNES</v>
      </c>
      <c r="AC880" s="47" t="s">
        <v>2753</v>
      </c>
      <c r="AD880">
        <f t="shared" si="172"/>
        <v>0</v>
      </c>
      <c r="AE880" s="47" t="s">
        <v>2754</v>
      </c>
      <c r="AH880" t="str">
        <f t="shared" si="173"/>
        <v>INSERT INTO horario_curso_materia (horario_curso_materia.FK_CUR_mat,horario_curso_materia.FK_HOR,horario_curso_materia.DIA,horario_curso_materia.tipo_turno) VALUES (  (SELECT curso_materia.ID_CUR_MAT FROM curso_materia WHERE curso_materia.CUPOF='2543652' ) ,
    (SELECT horario.ID_HOR FROM horario WHERE horario.modulo='2 ' and horario.turno='M ' ),'LUNES ' , '0 ' );</v>
      </c>
    </row>
    <row r="881" spans="1:34" ht="15" hidden="1" customHeight="1" x14ac:dyDescent="0.3">
      <c r="A881" s="1" t="str">
        <f t="shared" si="174"/>
        <v>5°1°</v>
      </c>
      <c r="B881" s="54" t="str">
        <f t="shared" si="166"/>
        <v>5°1°2luVESPERTINO511</v>
      </c>
      <c r="C881" s="62">
        <f>VLOOKUP(G881,[1]Hoja1!$A:$O,3,0)</f>
        <v>511</v>
      </c>
      <c r="D881" s="2" t="str">
        <f t="shared" si="167"/>
        <v>2luV41</v>
      </c>
      <c r="E881" s="62" t="s">
        <v>1445</v>
      </c>
      <c r="F881" s="62" t="s">
        <v>125</v>
      </c>
      <c r="G881" s="4" t="s">
        <v>167</v>
      </c>
      <c r="H881" s="8" t="str">
        <f>VLOOKUP(G881,[1]Hoja1!$A:$O,6,0)</f>
        <v>LAB DE SIST OPERATIVOS</v>
      </c>
      <c r="I881" s="4">
        <v>41</v>
      </c>
      <c r="J881" s="4"/>
      <c r="K881" s="80" t="str">
        <f t="shared" si="165"/>
        <v>lu</v>
      </c>
      <c r="L881" s="4" t="s">
        <v>512</v>
      </c>
      <c r="M881" s="86" t="str">
        <f>VLOOKUP(G881,[1]Hoja1!$A:$O,15,0)</f>
        <v>FERREYRA JESICA</v>
      </c>
      <c r="N881" s="2" t="str">
        <f t="shared" si="175"/>
        <v>5°1°5115IFTLS5lu</v>
      </c>
      <c r="O881" s="2"/>
      <c r="P881" s="2" t="str">
        <f>VLOOKUP(G881,[1]Hoja1!$A:$P,16,0)</f>
        <v xml:space="preserve"> </v>
      </c>
      <c r="Q881" s="2" t="s">
        <v>2778</v>
      </c>
      <c r="S881">
        <f>VLOOKUP(G881,[1]Hoja1!$A:$O,5,0)</f>
        <v>2543656</v>
      </c>
      <c r="U881" s="45" t="s">
        <v>2751</v>
      </c>
      <c r="V881" s="46">
        <f t="shared" si="168"/>
        <v>2543656</v>
      </c>
      <c r="W881" s="47" t="s">
        <v>1519</v>
      </c>
      <c r="X881" s="46" t="str">
        <f t="shared" si="169"/>
        <v>2</v>
      </c>
      <c r="Y881" s="47" t="s">
        <v>1518</v>
      </c>
      <c r="Z881" s="46" t="str">
        <f t="shared" si="170"/>
        <v>V</v>
      </c>
      <c r="AA881" s="47" t="s">
        <v>2752</v>
      </c>
      <c r="AB881" s="46" t="str">
        <f t="shared" si="171"/>
        <v>LUNES</v>
      </c>
      <c r="AC881" s="47" t="s">
        <v>2753</v>
      </c>
      <c r="AD881" t="str">
        <f t="shared" si="172"/>
        <v>CONTRATURNO</v>
      </c>
      <c r="AE881" s="47" t="s">
        <v>2754</v>
      </c>
      <c r="AH881" t="str">
        <f t="shared" si="173"/>
        <v>INSERT INTO horario_curso_materia (horario_curso_materia.FK_CUR_mat,horario_curso_materia.FK_HOR,horario_curso_materia.DIA,horario_curso_materia.tipo_turno) VALUES (  (SELECT curso_materia.ID_CUR_MAT FROM curso_materia WHERE curso_materia.CUPOF='2543656' ) ,
    (SELECT horario.ID_HOR FROM horario WHERE horario.modulo='2 ' and horario.turno='V ' ),'LUNES ' , 'CONTRATURNO ' );</v>
      </c>
    </row>
    <row r="882" spans="1:34" ht="15" hidden="1" customHeight="1" x14ac:dyDescent="0.3">
      <c r="A882" s="1" t="str">
        <f t="shared" si="174"/>
        <v>5°1°</v>
      </c>
      <c r="B882" s="54" t="str">
        <f t="shared" si="166"/>
        <v>5°1°2LUVESPERTINO512</v>
      </c>
      <c r="C882" s="62">
        <v>512</v>
      </c>
      <c r="D882" s="2" t="str">
        <f t="shared" si="167"/>
        <v>2LUV42</v>
      </c>
      <c r="E882" s="62" t="s">
        <v>12</v>
      </c>
      <c r="F882" s="62" t="s">
        <v>125</v>
      </c>
      <c r="G882" s="62" t="s">
        <v>163</v>
      </c>
      <c r="H882" s="8" t="str">
        <f>VLOOKUP(G882,[1]Hoja1!$A:$O,6,0)</f>
        <v xml:space="preserve">LAB DE HARDWARE </v>
      </c>
      <c r="I882" s="4">
        <v>42</v>
      </c>
      <c r="J882" s="4"/>
      <c r="K882" s="80" t="str">
        <f t="shared" si="165"/>
        <v>LU</v>
      </c>
      <c r="L882" s="4" t="s">
        <v>512</v>
      </c>
      <c r="M882" s="86" t="str">
        <f>VLOOKUP(G882,[1]Hoja1!$A:$O,15,0)</f>
        <v xml:space="preserve">FISTER (Serv.Prov)         </v>
      </c>
      <c r="N882" s="2" t="str">
        <f t="shared" si="175"/>
        <v>5°1°5125IFTLH5LU</v>
      </c>
      <c r="O882" s="2"/>
      <c r="P882" s="2" t="str">
        <f>VLOOKUP(G882,[1]Hoja1!$A:$P,16,0)</f>
        <v xml:space="preserve"> </v>
      </c>
      <c r="Q882" s="2" t="s">
        <v>2778</v>
      </c>
      <c r="S882">
        <f>VLOOKUP(G882,[1]Hoja1!$A:$O,5,0)</f>
        <v>2543661</v>
      </c>
      <c r="U882" s="45" t="s">
        <v>2751</v>
      </c>
      <c r="V882" s="46">
        <f t="shared" si="168"/>
        <v>2543661</v>
      </c>
      <c r="W882" s="47" t="s">
        <v>1519</v>
      </c>
      <c r="X882" s="46" t="str">
        <f t="shared" si="169"/>
        <v>2</v>
      </c>
      <c r="Y882" s="47" t="s">
        <v>1518</v>
      </c>
      <c r="Z882" s="46" t="str">
        <f t="shared" si="170"/>
        <v>V</v>
      </c>
      <c r="AA882" s="47" t="s">
        <v>2752</v>
      </c>
      <c r="AB882" s="46" t="str">
        <f t="shared" si="171"/>
        <v>LUNES</v>
      </c>
      <c r="AC882" s="47" t="s">
        <v>2753</v>
      </c>
      <c r="AD882" t="str">
        <f t="shared" si="172"/>
        <v>CONTRATURNO</v>
      </c>
      <c r="AE882" s="47" t="s">
        <v>2754</v>
      </c>
      <c r="AH882" t="str">
        <f t="shared" si="173"/>
        <v>INSERT INTO horario_curso_materia (horario_curso_materia.FK_CUR_mat,horario_curso_materia.FK_HOR,horario_curso_materia.DIA,horario_curso_materia.tipo_turno) VALUES (  (SELECT curso_materia.ID_CUR_MAT FROM curso_materia WHERE curso_materia.CUPOF='2543661' ) ,
    (SELECT horario.ID_HOR FROM horario WHERE horario.modulo='2 ' and horario.turno='V ' ),'LUNES ' , 'CONTRATURNO ' );</v>
      </c>
    </row>
    <row r="883" spans="1:34" ht="15" hidden="1" customHeight="1" x14ac:dyDescent="0.3">
      <c r="A883" s="1" t="str">
        <f t="shared" si="174"/>
        <v>5°1°</v>
      </c>
      <c r="B883" s="54" t="str">
        <f t="shared" si="166"/>
        <v>5°1°2maMAÑANA0</v>
      </c>
      <c r="C883" s="62">
        <f>VLOOKUP(G883,[1]Hoja1!$A:$O,3,0)</f>
        <v>0</v>
      </c>
      <c r="D883" s="2" t="str">
        <f t="shared" si="167"/>
        <v>2maM</v>
      </c>
      <c r="E883" s="62" t="s">
        <v>90</v>
      </c>
      <c r="F883" s="62" t="s">
        <v>27</v>
      </c>
      <c r="G883" s="74" t="s">
        <v>239</v>
      </c>
      <c r="H883" s="8" t="str">
        <f>VLOOKUP(G883,[1]Hoja1!$A:$O,6,0)</f>
        <v>HISTORIA</v>
      </c>
      <c r="I883" s="4"/>
      <c r="J883" s="4"/>
      <c r="K883" s="80" t="str">
        <f t="shared" si="165"/>
        <v>ma</v>
      </c>
      <c r="L883" s="4"/>
      <c r="M883" s="86" t="str">
        <f>VLOOKUP(G883,[1]Hoja1!$A:$O,15,0)</f>
        <v>PALACIOS GUSTAVO</v>
      </c>
      <c r="N883" s="2" t="str">
        <f t="shared" si="175"/>
        <v>5°1°5IHIS5ma</v>
      </c>
      <c r="O883" s="2" t="s">
        <v>1496</v>
      </c>
      <c r="P883" s="2" t="str">
        <f>VLOOKUP(G883,[1]Hoja1!$A:$P,16,0)</f>
        <v xml:space="preserve"> </v>
      </c>
      <c r="Q883" s="2" t="s">
        <v>2778</v>
      </c>
      <c r="S883">
        <f>VLOOKUP(G883,[1]Hoja1!$A:$O,5,0)</f>
        <v>2543649</v>
      </c>
      <c r="U883" s="45" t="s">
        <v>2751</v>
      </c>
      <c r="V883" s="46">
        <f t="shared" si="168"/>
        <v>2543649</v>
      </c>
      <c r="W883" s="47" t="s">
        <v>1519</v>
      </c>
      <c r="X883" s="46" t="str">
        <f t="shared" si="169"/>
        <v>2</v>
      </c>
      <c r="Y883" s="47" t="s">
        <v>1518</v>
      </c>
      <c r="Z883" s="46" t="str">
        <f t="shared" si="170"/>
        <v>M</v>
      </c>
      <c r="AA883" s="47" t="s">
        <v>2752</v>
      </c>
      <c r="AB883" s="46" t="str">
        <f t="shared" si="171"/>
        <v>MARTES</v>
      </c>
      <c r="AC883" s="47" t="s">
        <v>2753</v>
      </c>
      <c r="AD883">
        <f t="shared" si="172"/>
        <v>0</v>
      </c>
      <c r="AE883" s="47" t="s">
        <v>2754</v>
      </c>
      <c r="AH883" t="str">
        <f t="shared" si="173"/>
        <v>INSERT INTO horario_curso_materia (horario_curso_materia.FK_CUR_mat,horario_curso_materia.FK_HOR,horario_curso_materia.DIA,horario_curso_materia.tipo_turno) VALUES (  (SELECT curso_materia.ID_CUR_MAT FROM curso_materia WHERE curso_materia.CUPOF='2543649' ) ,
    (SELECT horario.ID_HOR FROM horario WHERE horario.modulo='2 ' and horario.turno='M ' ),'MARTES ' , '0 ' );</v>
      </c>
    </row>
    <row r="884" spans="1:34" ht="15" hidden="1" customHeight="1" x14ac:dyDescent="0.3">
      <c r="A884" s="1" t="str">
        <f t="shared" si="174"/>
        <v>5°1°</v>
      </c>
      <c r="B884" s="54" t="str">
        <f t="shared" si="166"/>
        <v>5°1°2viVESPERTINO512</v>
      </c>
      <c r="C884" s="62">
        <f>VLOOKUP(G884,[1]Hoja1!$A:$O,3,0)</f>
        <v>512</v>
      </c>
      <c r="D884" s="2" t="str">
        <f t="shared" si="167"/>
        <v>2viV52</v>
      </c>
      <c r="E884" s="62" t="s">
        <v>1377</v>
      </c>
      <c r="F884" s="62" t="s">
        <v>125</v>
      </c>
      <c r="G884" s="4" t="s">
        <v>168</v>
      </c>
      <c r="H884" s="8" t="str">
        <f>VLOOKUP(G884,[1]Hoja1!$A:$O,6,0)</f>
        <v>LAB DE SIST OPERATIVOS</v>
      </c>
      <c r="I884" s="4">
        <v>52</v>
      </c>
      <c r="J884" s="4"/>
      <c r="K884" s="80" t="str">
        <f t="shared" si="165"/>
        <v>vi</v>
      </c>
      <c r="L884" s="4" t="s">
        <v>512</v>
      </c>
      <c r="M884" s="86" t="str">
        <f>VLOOKUP(G884,[1]Hoja1!$A:$O,15,0)</f>
        <v>RIVERA MARCELO</v>
      </c>
      <c r="N884" s="2" t="str">
        <f t="shared" si="175"/>
        <v>5°1°5125IFTLS5vi</v>
      </c>
      <c r="O884" s="2"/>
      <c r="P884" s="2" t="str">
        <f>VLOOKUP(G884,[1]Hoja1!$A:$P,16,0)</f>
        <v xml:space="preserve"> </v>
      </c>
      <c r="Q884" s="2" t="s">
        <v>2778</v>
      </c>
      <c r="S884">
        <f>VLOOKUP(G884,[1]Hoja1!$A:$O,5,0)</f>
        <v>2543664</v>
      </c>
      <c r="U884" s="45" t="s">
        <v>2751</v>
      </c>
      <c r="V884" s="46">
        <f t="shared" si="168"/>
        <v>2543664</v>
      </c>
      <c r="W884" s="47" t="s">
        <v>1519</v>
      </c>
      <c r="X884" s="46" t="str">
        <f t="shared" si="169"/>
        <v>2</v>
      </c>
      <c r="Y884" s="47" t="s">
        <v>1518</v>
      </c>
      <c r="Z884" s="46" t="str">
        <f t="shared" si="170"/>
        <v>V</v>
      </c>
      <c r="AA884" s="47" t="s">
        <v>2752</v>
      </c>
      <c r="AB884" s="46" t="str">
        <f t="shared" si="171"/>
        <v>VIERNES</v>
      </c>
      <c r="AC884" s="47" t="s">
        <v>2753</v>
      </c>
      <c r="AD884" t="str">
        <f t="shared" si="172"/>
        <v>CONTRATURNO</v>
      </c>
      <c r="AE884" s="47" t="s">
        <v>2754</v>
      </c>
      <c r="AH884" t="str">
        <f t="shared" si="173"/>
        <v>INSERT INTO horario_curso_materia (horario_curso_materia.FK_CUR_mat,horario_curso_materia.FK_HOR,horario_curso_materia.DIA,horario_curso_materia.tipo_turno) VALUES (  (SELECT curso_materia.ID_CUR_MAT FROM curso_materia WHERE curso_materia.CUPOF='2543664' ) ,
    (SELECT horario.ID_HOR FROM horario WHERE horario.modulo='2 ' and horario.turno='V ' ),'VIERNES ' , 'CONTRATURNO ' );</v>
      </c>
    </row>
    <row r="885" spans="1:34" ht="15" hidden="1" customHeight="1" x14ac:dyDescent="0.3">
      <c r="A885" s="1" t="str">
        <f t="shared" si="174"/>
        <v>5°1°</v>
      </c>
      <c r="B885" s="54" t="str">
        <f t="shared" si="166"/>
        <v>5°1°2MiMAÑANA0</v>
      </c>
      <c r="C885" s="62">
        <f>VLOOKUP(G885,[1]Hoja1!$A:$O,3,0)</f>
        <v>0</v>
      </c>
      <c r="D885" s="2" t="str">
        <f t="shared" si="167"/>
        <v>2MiM</v>
      </c>
      <c r="E885" s="62" t="s">
        <v>1494</v>
      </c>
      <c r="F885" s="62" t="s">
        <v>27</v>
      </c>
      <c r="G885" s="4" t="s">
        <v>236</v>
      </c>
      <c r="H885" s="8" t="str">
        <f>VLOOKUP(G885,[1]Hoja1!$A:$O,6,0)</f>
        <v>GEOGRAFIA</v>
      </c>
      <c r="I885" s="4"/>
      <c r="J885" s="4"/>
      <c r="K885" s="80" t="str">
        <f t="shared" si="165"/>
        <v>Mi</v>
      </c>
      <c r="L885" s="4"/>
      <c r="M885" s="86" t="str">
        <f>VLOOKUP(G885,[1]Hoja1!$A:$O,15,0)</f>
        <v xml:space="preserve">SPERONI, ADRIAN </v>
      </c>
      <c r="N885" s="2" t="str">
        <f t="shared" si="175"/>
        <v>5°1°5IGEOS5Mi</v>
      </c>
      <c r="O885" s="2" t="s">
        <v>1492</v>
      </c>
      <c r="P885" s="2" t="str">
        <f>VLOOKUP(G885,[1]Hoja1!$A:$P,16,0)</f>
        <v xml:space="preserve"> </v>
      </c>
      <c r="Q885" s="2" t="s">
        <v>2778</v>
      </c>
      <c r="S885">
        <f>VLOOKUP(G885,[1]Hoja1!$A:$O,5,0)</f>
        <v>2543650</v>
      </c>
      <c r="U885" s="45" t="s">
        <v>2751</v>
      </c>
      <c r="V885" s="46">
        <f t="shared" si="168"/>
        <v>2543650</v>
      </c>
      <c r="W885" s="47" t="s">
        <v>1519</v>
      </c>
      <c r="X885" s="46" t="str">
        <f t="shared" si="169"/>
        <v>2</v>
      </c>
      <c r="Y885" s="47" t="s">
        <v>1518</v>
      </c>
      <c r="Z885" s="46" t="str">
        <f t="shared" si="170"/>
        <v>M</v>
      </c>
      <c r="AA885" s="47" t="s">
        <v>2752</v>
      </c>
      <c r="AB885" s="46" t="str">
        <f t="shared" si="171"/>
        <v>MIERCOLES</v>
      </c>
      <c r="AC885" s="47" t="s">
        <v>2753</v>
      </c>
      <c r="AD885">
        <f t="shared" si="172"/>
        <v>0</v>
      </c>
      <c r="AE885" s="47" t="s">
        <v>2754</v>
      </c>
      <c r="AH885" t="str">
        <f t="shared" si="173"/>
        <v>INSERT INTO horario_curso_materia (horario_curso_materia.FK_CUR_mat,horario_curso_materia.FK_HOR,horario_curso_materia.DIA,horario_curso_materia.tipo_turno) VALUES (  (SELECT curso_materia.ID_CUR_MAT FROM curso_materia WHERE curso_materia.CUPOF='2543650' ) ,
    (SELECT horario.ID_HOR FROM horario WHERE horario.modulo='2 ' and horario.turno='M ' ),'MIERCOLES ' , '0 ' );</v>
      </c>
    </row>
    <row r="886" spans="1:34" ht="15" hidden="1" customHeight="1" x14ac:dyDescent="0.3">
      <c r="A886" s="3" t="str">
        <f t="shared" si="174"/>
        <v>5°1°</v>
      </c>
      <c r="B886" s="54" t="str">
        <f t="shared" si="166"/>
        <v>5°1°2miTARDE511</v>
      </c>
      <c r="C886" s="63">
        <f>VLOOKUP(G886,[1]Hoja1!$A:$O,3,0)</f>
        <v>511</v>
      </c>
      <c r="D886" s="23" t="str">
        <f t="shared" si="167"/>
        <v>2miT30</v>
      </c>
      <c r="E886" s="63" t="s">
        <v>1343</v>
      </c>
      <c r="F886" s="63" t="s">
        <v>10</v>
      </c>
      <c r="G886" s="73" t="s">
        <v>165</v>
      </c>
      <c r="H886" s="3" t="str">
        <f>VLOOKUP(G886,[1]Hoja1!$A:$O,6,0)</f>
        <v xml:space="preserve">LAB DE APLICACIONES </v>
      </c>
      <c r="I886" s="4">
        <v>30</v>
      </c>
      <c r="J886" s="17"/>
      <c r="K886" s="81" t="str">
        <f t="shared" si="165"/>
        <v>mi</v>
      </c>
      <c r="L886" s="17" t="s">
        <v>512</v>
      </c>
      <c r="M886" s="87" t="str">
        <f>VLOOKUP(G886,[1]Hoja1!$A:$O,15,0)</f>
        <v xml:space="preserve">BARCENILLA, JAVIER </v>
      </c>
      <c r="N886" s="2" t="str">
        <f t="shared" si="175"/>
        <v>5°1°5115IFTLA5mi</v>
      </c>
      <c r="O886" s="2"/>
      <c r="P886" s="2" t="str">
        <f>VLOOKUP(G886,[1]Hoja1!$A:$P,16,0)</f>
        <v xml:space="preserve"> </v>
      </c>
      <c r="Q886" s="2" t="s">
        <v>2778</v>
      </c>
      <c r="S886">
        <f>VLOOKUP(G886,[1]Hoja1!$A:$O,5,0)</f>
        <v>2543658</v>
      </c>
      <c r="U886" s="45" t="s">
        <v>2751</v>
      </c>
      <c r="V886" s="46">
        <f t="shared" si="168"/>
        <v>2543658</v>
      </c>
      <c r="W886" s="47" t="s">
        <v>1519</v>
      </c>
      <c r="X886" s="46" t="str">
        <f t="shared" si="169"/>
        <v>2</v>
      </c>
      <c r="Y886" s="47" t="s">
        <v>1518</v>
      </c>
      <c r="Z886" s="46" t="str">
        <f t="shared" si="170"/>
        <v>T</v>
      </c>
      <c r="AA886" s="47" t="s">
        <v>2752</v>
      </c>
      <c r="AB886" s="46" t="str">
        <f t="shared" si="171"/>
        <v>MIERCOLES</v>
      </c>
      <c r="AC886" s="47" t="s">
        <v>2753</v>
      </c>
      <c r="AD886" t="str">
        <f t="shared" si="172"/>
        <v>CONTRATURNO</v>
      </c>
      <c r="AE886" s="47" t="s">
        <v>2754</v>
      </c>
      <c r="AH886" t="str">
        <f t="shared" si="173"/>
        <v>INSERT INTO horario_curso_materia (horario_curso_materia.FK_CUR_mat,horario_curso_materia.FK_HOR,horario_curso_materia.DIA,horario_curso_materia.tipo_turno) VALUES (  (SELECT curso_materia.ID_CUR_MAT FROM curso_materia WHERE curso_materia.CUPOF='2543658' ) ,
    (SELECT horario.ID_HOR FROM horario WHERE horario.modulo='2 ' and horario.turno='T ' ),'MIERCOLES ' , 'CONTRATURNO ' );</v>
      </c>
    </row>
    <row r="887" spans="1:34" ht="15" hidden="1" customHeight="1" x14ac:dyDescent="0.3">
      <c r="A887" s="1" t="str">
        <f t="shared" si="174"/>
        <v>5°1°</v>
      </c>
      <c r="B887" s="54" t="str">
        <f t="shared" si="166"/>
        <v>5°1°2MIVESPERTINO512</v>
      </c>
      <c r="C887" s="62">
        <f>VLOOKUP(G887,[1]Hoja1!$A:$O,3,0)</f>
        <v>512</v>
      </c>
      <c r="D887" s="2" t="str">
        <f t="shared" si="167"/>
        <v>2MIV41</v>
      </c>
      <c r="E887" s="62" t="s">
        <v>26</v>
      </c>
      <c r="F887" s="62" t="s">
        <v>125</v>
      </c>
      <c r="G887" s="72" t="s">
        <v>166</v>
      </c>
      <c r="H887" s="8" t="str">
        <f>VLOOKUP(G887,[1]Hoja1!$A:$O,6,0)</f>
        <v xml:space="preserve">LAB DE APLICACIONES </v>
      </c>
      <c r="I887" s="4">
        <v>41</v>
      </c>
      <c r="J887" s="4"/>
      <c r="K887" s="80" t="str">
        <f t="shared" si="165"/>
        <v>MI</v>
      </c>
      <c r="L887" s="4" t="s">
        <v>512</v>
      </c>
      <c r="M887" s="86" t="str">
        <f>VLOOKUP(G887,[1]Hoja1!$A:$O,15,0)</f>
        <v>WITT GERARDO</v>
      </c>
      <c r="N887" s="2" t="str">
        <f t="shared" si="175"/>
        <v>5°1°5125IFTLA5MI</v>
      </c>
      <c r="O887" s="2"/>
      <c r="P887" s="2" t="str">
        <f>VLOOKUP(G887,[1]Hoja1!$A:$P,16,0)</f>
        <v xml:space="preserve"> </v>
      </c>
      <c r="Q887" s="2" t="s">
        <v>2778</v>
      </c>
      <c r="S887">
        <f>VLOOKUP(G887,[1]Hoja1!$A:$O,5,0)</f>
        <v>2543665</v>
      </c>
      <c r="U887" s="45" t="s">
        <v>2751</v>
      </c>
      <c r="V887" s="46">
        <f t="shared" si="168"/>
        <v>2543665</v>
      </c>
      <c r="W887" s="47" t="s">
        <v>1519</v>
      </c>
      <c r="X887" s="46" t="str">
        <f t="shared" si="169"/>
        <v>2</v>
      </c>
      <c r="Y887" s="47" t="s">
        <v>1518</v>
      </c>
      <c r="Z887" s="46" t="str">
        <f t="shared" si="170"/>
        <v>V</v>
      </c>
      <c r="AA887" s="47" t="s">
        <v>2752</v>
      </c>
      <c r="AB887" s="46" t="str">
        <f t="shared" si="171"/>
        <v>MIERCOLES</v>
      </c>
      <c r="AC887" s="47" t="s">
        <v>2753</v>
      </c>
      <c r="AD887" t="str">
        <f t="shared" si="172"/>
        <v>CONTRATURNO</v>
      </c>
      <c r="AE887" s="47" t="s">
        <v>2754</v>
      </c>
      <c r="AH887" t="str">
        <f t="shared" si="173"/>
        <v>INSERT INTO horario_curso_materia (horario_curso_materia.FK_CUR_mat,horario_curso_materia.FK_HOR,horario_curso_materia.DIA,horario_curso_materia.tipo_turno) VALUES (  (SELECT curso_materia.ID_CUR_MAT FROM curso_materia WHERE curso_materia.CUPOF='2543665' ) ,
    (SELECT horario.ID_HOR FROM horario WHERE horario.modulo='2 ' and horario.turno='V ' ),'MIERCOLES ' , 'CONTRATURNO ' );</v>
      </c>
    </row>
    <row r="888" spans="1:34" ht="15" hidden="1" customHeight="1" x14ac:dyDescent="0.3">
      <c r="A888" s="1" t="str">
        <f t="shared" si="174"/>
        <v>5°1°</v>
      </c>
      <c r="B888" s="54" t="str">
        <f t="shared" si="166"/>
        <v>5°1°2viMAÑANA0</v>
      </c>
      <c r="C888" s="62">
        <f>VLOOKUP(G888,[1]Hoja1!$A:$O,3,0)</f>
        <v>0</v>
      </c>
      <c r="D888" s="2" t="str">
        <f t="shared" si="167"/>
        <v>2viM</v>
      </c>
      <c r="E888" s="62" t="s">
        <v>1377</v>
      </c>
      <c r="F888" s="62" t="s">
        <v>27</v>
      </c>
      <c r="G888" s="4" t="s">
        <v>234</v>
      </c>
      <c r="H888" s="8" t="str">
        <f>VLOOKUP(G888,[1]Hoja1!$A:$O,6,0)</f>
        <v>INGLÉS</v>
      </c>
      <c r="I888" s="4"/>
      <c r="J888" s="4"/>
      <c r="K888" s="80" t="str">
        <f t="shared" si="165"/>
        <v>vi</v>
      </c>
      <c r="L888" s="4"/>
      <c r="M888" s="86" t="str">
        <f>VLOOKUP(G888,[1]Hoja1!$A:$O,15,0)</f>
        <v xml:space="preserve">ARCE KARINA </v>
      </c>
      <c r="N888" s="2" t="str">
        <f t="shared" si="175"/>
        <v>5°1°5IINGSvi</v>
      </c>
      <c r="O888" s="2" t="s">
        <v>1495</v>
      </c>
      <c r="P888" s="2" t="str">
        <f>VLOOKUP(G888,[1]Hoja1!$A:$P,16,0)</f>
        <v xml:space="preserve"> </v>
      </c>
      <c r="Q888" s="2" t="s">
        <v>2778</v>
      </c>
      <c r="S888">
        <f>VLOOKUP(G888,[1]Hoja1!$A:$O,5,0)</f>
        <v>2543620</v>
      </c>
      <c r="U888" s="45" t="s">
        <v>2751</v>
      </c>
      <c r="V888" s="46">
        <f t="shared" si="168"/>
        <v>2543620</v>
      </c>
      <c r="W888" s="47" t="s">
        <v>1519</v>
      </c>
      <c r="X888" s="46" t="str">
        <f t="shared" si="169"/>
        <v>2</v>
      </c>
      <c r="Y888" s="47" t="s">
        <v>1518</v>
      </c>
      <c r="Z888" s="46" t="str">
        <f t="shared" si="170"/>
        <v>M</v>
      </c>
      <c r="AA888" s="47" t="s">
        <v>2752</v>
      </c>
      <c r="AB888" s="46" t="str">
        <f t="shared" si="171"/>
        <v>VIERNES</v>
      </c>
      <c r="AC888" s="47" t="s">
        <v>2753</v>
      </c>
      <c r="AD888">
        <f t="shared" si="172"/>
        <v>0</v>
      </c>
      <c r="AE888" s="47" t="s">
        <v>2754</v>
      </c>
      <c r="AH888" t="str">
        <f t="shared" si="173"/>
        <v>INSERT INTO horario_curso_materia (horario_curso_materia.FK_CUR_mat,horario_curso_materia.FK_HOR,horario_curso_materia.DIA,horario_curso_materia.tipo_turno) VALUES (  (SELECT curso_materia.ID_CUR_MAT FROM curso_materia WHERE curso_materia.CUPOF='2543620' ) ,
    (SELECT horario.ID_HOR FROM horario WHERE horario.modulo='2 ' and horario.turno='M ' ),'VIERNES ' , '0 ' );</v>
      </c>
    </row>
    <row r="889" spans="1:34" ht="15" hidden="1" customHeight="1" x14ac:dyDescent="0.3">
      <c r="A889" s="1" t="str">
        <f t="shared" si="174"/>
        <v>5°1°</v>
      </c>
      <c r="B889" s="54" t="str">
        <f t="shared" si="166"/>
        <v>5°1°3JUMAÑANA0</v>
      </c>
      <c r="C889" s="62">
        <f>VLOOKUP(G889,[1]Hoja1!$A:$O,3,0)</f>
        <v>0</v>
      </c>
      <c r="D889" s="2" t="str">
        <f t="shared" si="167"/>
        <v>3JUM</v>
      </c>
      <c r="E889" s="62" t="s">
        <v>46</v>
      </c>
      <c r="F889" s="62" t="s">
        <v>27</v>
      </c>
      <c r="G889" s="4" t="s">
        <v>238</v>
      </c>
      <c r="H889" s="8" t="str">
        <f>VLOOKUP(G889,[1]Hoja1!$A:$O,6,0)</f>
        <v>POLITICA Y CIUDADANIA</v>
      </c>
      <c r="I889" s="4"/>
      <c r="J889" s="4"/>
      <c r="K889" s="80" t="str">
        <f t="shared" si="165"/>
        <v>JU</v>
      </c>
      <c r="L889" s="4"/>
      <c r="M889" s="86" t="str">
        <f>VLOOKUP(G889,[1]Hoja1!$A:$O,15,0)</f>
        <v xml:space="preserve">GONZALEZ GONZALEZ ROMINA </v>
      </c>
      <c r="N889" s="2" t="str">
        <f t="shared" si="175"/>
        <v>5°1°5IPYCSJU</v>
      </c>
      <c r="O889" s="2"/>
      <c r="P889" s="2" t="str">
        <f>VLOOKUP(G889,[1]Hoja1!$A:$P,16,0)</f>
        <v xml:space="preserve"> </v>
      </c>
      <c r="Q889" s="2" t="s">
        <v>2778</v>
      </c>
      <c r="S889">
        <f>VLOOKUP(G889,[1]Hoja1!$A:$O,5,0)</f>
        <v>2543648</v>
      </c>
      <c r="U889" s="45" t="s">
        <v>2751</v>
      </c>
      <c r="V889" s="46">
        <f t="shared" si="168"/>
        <v>2543648</v>
      </c>
      <c r="W889" s="47" t="s">
        <v>1519</v>
      </c>
      <c r="X889" s="46" t="str">
        <f t="shared" si="169"/>
        <v>3</v>
      </c>
      <c r="Y889" s="47" t="s">
        <v>1518</v>
      </c>
      <c r="Z889" s="46" t="str">
        <f t="shared" si="170"/>
        <v>M</v>
      </c>
      <c r="AA889" s="47" t="s">
        <v>2752</v>
      </c>
      <c r="AB889" s="46" t="str">
        <f t="shared" si="171"/>
        <v>JUEVES</v>
      </c>
      <c r="AC889" s="47" t="s">
        <v>2753</v>
      </c>
      <c r="AD889">
        <f t="shared" si="172"/>
        <v>0</v>
      </c>
      <c r="AE889" s="47" t="s">
        <v>2754</v>
      </c>
      <c r="AH889" t="str">
        <f t="shared" si="173"/>
        <v>INSERT INTO horario_curso_materia (horario_curso_materia.FK_CUR_mat,horario_curso_materia.FK_HOR,horario_curso_materia.DIA,horario_curso_materia.tipo_turno) VALUES (  (SELECT curso_materia.ID_CUR_MAT FROM curso_materia WHERE curso_materia.CUPOF='2543648' ) ,
    (SELECT horario.ID_HOR FROM horario WHERE horario.modulo='3 ' and horario.turno='M ' ),'JUEVES ' , '0 ' );</v>
      </c>
    </row>
    <row r="890" spans="1:34" ht="15" hidden="1" customHeight="1" x14ac:dyDescent="0.3">
      <c r="A890" s="1" t="str">
        <f t="shared" si="174"/>
        <v>5°1°</v>
      </c>
      <c r="B890" s="54" t="str">
        <f t="shared" si="166"/>
        <v>5°1°3juVESPERTINO511</v>
      </c>
      <c r="C890" s="62">
        <v>511</v>
      </c>
      <c r="D890" s="2" t="str">
        <f t="shared" si="167"/>
        <v>3juV31</v>
      </c>
      <c r="E890" s="62" t="s">
        <v>1350</v>
      </c>
      <c r="F890" s="62" t="s">
        <v>125</v>
      </c>
      <c r="G890" s="62" t="s">
        <v>164</v>
      </c>
      <c r="H890" s="8" t="str">
        <f>VLOOKUP(G890,[1]Hoja1!$A:$O,6,0)</f>
        <v xml:space="preserve">LAB DE HARDWARE </v>
      </c>
      <c r="I890" s="4">
        <v>31</v>
      </c>
      <c r="J890" s="4"/>
      <c r="K890" s="80" t="str">
        <f t="shared" si="165"/>
        <v>ju</v>
      </c>
      <c r="L890" s="4" t="s">
        <v>512</v>
      </c>
      <c r="M890" s="86" t="str">
        <f>VLOOKUP(G890,[1]Hoja1!$A:$O,15,0)</f>
        <v>DELGADO ARIEL</v>
      </c>
      <c r="N890" s="2" t="str">
        <f t="shared" si="175"/>
        <v>5°1°5115IFTLH5ju</v>
      </c>
      <c r="O890" s="2"/>
      <c r="P890" s="2" t="str">
        <f>VLOOKUP(G890,[1]Hoja1!$A:$P,16,0)</f>
        <v xml:space="preserve"> </v>
      </c>
      <c r="Q890" s="2" t="s">
        <v>2778</v>
      </c>
      <c r="S890">
        <f>VLOOKUP(G890,[1]Hoja1!$A:$O,5,0)</f>
        <v>2543655</v>
      </c>
      <c r="U890" s="45" t="s">
        <v>2751</v>
      </c>
      <c r="V890" s="46">
        <f t="shared" si="168"/>
        <v>2543655</v>
      </c>
      <c r="W890" s="47" t="s">
        <v>1519</v>
      </c>
      <c r="X890" s="46" t="str">
        <f t="shared" si="169"/>
        <v>3</v>
      </c>
      <c r="Y890" s="47" t="s">
        <v>1518</v>
      </c>
      <c r="Z890" s="46" t="str">
        <f t="shared" si="170"/>
        <v>V</v>
      </c>
      <c r="AA890" s="47" t="s">
        <v>2752</v>
      </c>
      <c r="AB890" s="46" t="str">
        <f t="shared" si="171"/>
        <v>JUEVES</v>
      </c>
      <c r="AC890" s="47" t="s">
        <v>2753</v>
      </c>
      <c r="AD890" t="str">
        <f t="shared" si="172"/>
        <v>CONTRATURNO</v>
      </c>
      <c r="AE890" s="47" t="s">
        <v>2754</v>
      </c>
      <c r="AH890" t="str">
        <f t="shared" si="173"/>
        <v>INSERT INTO horario_curso_materia (horario_curso_materia.FK_CUR_mat,horario_curso_materia.FK_HOR,horario_curso_materia.DIA,horario_curso_materia.tipo_turno) VALUES (  (SELECT curso_materia.ID_CUR_MAT FROM curso_materia WHERE curso_materia.CUPOF='2543655' ) ,
    (SELECT horario.ID_HOR FROM horario WHERE horario.modulo='3 ' and horario.turno='V ' ),'JUEVES ' , 'CONTRATURNO ' );</v>
      </c>
    </row>
    <row r="891" spans="1:34" ht="15" hidden="1" customHeight="1" x14ac:dyDescent="0.3">
      <c r="A891" s="1" t="str">
        <f t="shared" si="174"/>
        <v>5°1°</v>
      </c>
      <c r="B891" s="54" t="str">
        <f t="shared" si="166"/>
        <v>5°1°3LUMAÑANA0</v>
      </c>
      <c r="C891" s="62">
        <f>VLOOKUP(G891,[1]Hoja1!$A:$O,3,0)</f>
        <v>0</v>
      </c>
      <c r="D891" s="2" t="str">
        <f t="shared" si="167"/>
        <v>3LUM</v>
      </c>
      <c r="E891" s="62" t="s">
        <v>29</v>
      </c>
      <c r="F891" s="62" t="s">
        <v>27</v>
      </c>
      <c r="G891" s="72" t="s">
        <v>233</v>
      </c>
      <c r="H891" s="8" t="str">
        <f>VLOOKUP(G891,[1]Hoja1!$A:$O,6,0)</f>
        <v>LITERATURA</v>
      </c>
      <c r="I891" s="4"/>
      <c r="J891" s="4"/>
      <c r="K891" s="80" t="str">
        <f t="shared" ref="K891:K954" si="176">RIGHT(E891,2)</f>
        <v>LU</v>
      </c>
      <c r="L891" s="4"/>
      <c r="M891" s="86" t="str">
        <f>VLOOKUP(G891,[1]Hoja1!$A:$O,15,0)</f>
        <v>MIRAFIORI, N   0</v>
      </c>
      <c r="N891" s="2" t="str">
        <f t="shared" si="175"/>
        <v>5°1°5ILITSLU</v>
      </c>
      <c r="O891" s="2"/>
      <c r="P891" s="2" t="str">
        <f>VLOOKUP(G891,[1]Hoja1!$A:$P,16,0)</f>
        <v xml:space="preserve"> </v>
      </c>
      <c r="Q891" s="2" t="s">
        <v>2778</v>
      </c>
      <c r="S891">
        <f>VLOOKUP(G891,[1]Hoja1!$A:$O,5,0)</f>
        <v>2543607</v>
      </c>
      <c r="U891" s="45" t="s">
        <v>2751</v>
      </c>
      <c r="V891" s="46">
        <f t="shared" si="168"/>
        <v>2543607</v>
      </c>
      <c r="W891" s="47" t="s">
        <v>1519</v>
      </c>
      <c r="X891" s="46" t="str">
        <f t="shared" si="169"/>
        <v>3</v>
      </c>
      <c r="Y891" s="47" t="s">
        <v>1518</v>
      </c>
      <c r="Z891" s="46" t="str">
        <f t="shared" si="170"/>
        <v>M</v>
      </c>
      <c r="AA891" s="47" t="s">
        <v>2752</v>
      </c>
      <c r="AB891" s="46" t="str">
        <f t="shared" si="171"/>
        <v>LUNES</v>
      </c>
      <c r="AC891" s="47" t="s">
        <v>2753</v>
      </c>
      <c r="AD891">
        <f t="shared" si="172"/>
        <v>0</v>
      </c>
      <c r="AE891" s="47" t="s">
        <v>2754</v>
      </c>
      <c r="AH891" t="str">
        <f t="shared" si="173"/>
        <v>INSERT INTO horario_curso_materia (horario_curso_materia.FK_CUR_mat,horario_curso_materia.FK_HOR,horario_curso_materia.DIA,horario_curso_materia.tipo_turno) VALUES (  (SELECT curso_materia.ID_CUR_MAT FROM curso_materia WHERE curso_materia.CUPOF='2543607' ) ,
    (SELECT horario.ID_HOR FROM horario WHERE horario.modulo='3 ' and horario.turno='M ' ),'LUNES ' , '0 ' );</v>
      </c>
    </row>
    <row r="892" spans="1:34" ht="15" hidden="1" customHeight="1" x14ac:dyDescent="0.3">
      <c r="A892" s="1" t="str">
        <f t="shared" si="174"/>
        <v>5°1°</v>
      </c>
      <c r="B892" s="54" t="str">
        <f t="shared" si="166"/>
        <v>5°1°3luVESPERTINO511</v>
      </c>
      <c r="C892" s="62">
        <f>VLOOKUP(G892,[1]Hoja1!$A:$O,3,0)</f>
        <v>511</v>
      </c>
      <c r="D892" s="2" t="str">
        <f t="shared" si="167"/>
        <v>3luV41</v>
      </c>
      <c r="E892" s="62" t="s">
        <v>1514</v>
      </c>
      <c r="F892" s="62" t="s">
        <v>125</v>
      </c>
      <c r="G892" s="4" t="s">
        <v>167</v>
      </c>
      <c r="H892" s="8" t="str">
        <f>VLOOKUP(G892,[1]Hoja1!$A:$O,6,0)</f>
        <v>LAB DE SIST OPERATIVOS</v>
      </c>
      <c r="I892" s="4">
        <v>41</v>
      </c>
      <c r="J892" s="4"/>
      <c r="K892" s="80" t="str">
        <f t="shared" si="176"/>
        <v>lu</v>
      </c>
      <c r="L892" s="4" t="s">
        <v>512</v>
      </c>
      <c r="M892" s="86" t="str">
        <f>VLOOKUP(G892,[1]Hoja1!$A:$O,15,0)</f>
        <v>FERREYRA JESICA</v>
      </c>
      <c r="N892" s="2" t="str">
        <f t="shared" si="175"/>
        <v>5°1°5115IFTLS5lu</v>
      </c>
      <c r="O892" s="2"/>
      <c r="P892" s="2" t="str">
        <f>VLOOKUP(G892,[1]Hoja1!$A:$P,16,0)</f>
        <v xml:space="preserve"> </v>
      </c>
      <c r="Q892" s="2" t="s">
        <v>2778</v>
      </c>
      <c r="S892">
        <f>VLOOKUP(G892,[1]Hoja1!$A:$O,5,0)</f>
        <v>2543656</v>
      </c>
      <c r="U892" s="45" t="s">
        <v>2751</v>
      </c>
      <c r="V892" s="46">
        <f t="shared" si="168"/>
        <v>2543656</v>
      </c>
      <c r="W892" s="47" t="s">
        <v>1519</v>
      </c>
      <c r="X892" s="46" t="str">
        <f t="shared" si="169"/>
        <v>3</v>
      </c>
      <c r="Y892" s="47" t="s">
        <v>1518</v>
      </c>
      <c r="Z892" s="46" t="str">
        <f t="shared" si="170"/>
        <v>V</v>
      </c>
      <c r="AA892" s="47" t="s">
        <v>2752</v>
      </c>
      <c r="AB892" s="46" t="str">
        <f t="shared" si="171"/>
        <v>LUNES</v>
      </c>
      <c r="AC892" s="47" t="s">
        <v>2753</v>
      </c>
      <c r="AD892" t="str">
        <f t="shared" si="172"/>
        <v>CONTRATURNO</v>
      </c>
      <c r="AE892" s="47" t="s">
        <v>2754</v>
      </c>
      <c r="AH892" t="str">
        <f t="shared" si="173"/>
        <v>INSERT INTO horario_curso_materia (horario_curso_materia.FK_CUR_mat,horario_curso_materia.FK_HOR,horario_curso_materia.DIA,horario_curso_materia.tipo_turno) VALUES (  (SELECT curso_materia.ID_CUR_MAT FROM curso_materia WHERE curso_materia.CUPOF='2543656' ) ,
    (SELECT horario.ID_HOR FROM horario WHERE horario.modulo='3 ' and horario.turno='V ' ),'LUNES ' , 'CONTRATURNO ' );</v>
      </c>
    </row>
    <row r="893" spans="1:34" ht="15" hidden="1" customHeight="1" x14ac:dyDescent="0.3">
      <c r="A893" s="1" t="str">
        <f t="shared" si="174"/>
        <v>5°1°</v>
      </c>
      <c r="B893" s="54" t="str">
        <f t="shared" si="166"/>
        <v>5°1°3LUVESPERTINO512</v>
      </c>
      <c r="C893" s="62">
        <v>512</v>
      </c>
      <c r="D893" s="2" t="str">
        <f t="shared" si="167"/>
        <v>3LUV42</v>
      </c>
      <c r="E893" s="62" t="s">
        <v>29</v>
      </c>
      <c r="F893" s="62" t="s">
        <v>125</v>
      </c>
      <c r="G893" s="62" t="s">
        <v>163</v>
      </c>
      <c r="H893" s="8" t="str">
        <f>VLOOKUP(G893,[1]Hoja1!$A:$O,6,0)</f>
        <v xml:space="preserve">LAB DE HARDWARE </v>
      </c>
      <c r="I893" s="4">
        <v>42</v>
      </c>
      <c r="J893" s="4"/>
      <c r="K893" s="80" t="str">
        <f t="shared" si="176"/>
        <v>LU</v>
      </c>
      <c r="L893" s="4" t="s">
        <v>512</v>
      </c>
      <c r="M893" s="86" t="str">
        <f>VLOOKUP(G893,[1]Hoja1!$A:$O,15,0)</f>
        <v xml:space="preserve">FISTER (Serv.Prov)         </v>
      </c>
      <c r="N893" s="2" t="str">
        <f t="shared" si="175"/>
        <v>5°1°5125IFTLH5LU</v>
      </c>
      <c r="O893" s="2"/>
      <c r="P893" s="2" t="str">
        <f>VLOOKUP(G893,[1]Hoja1!$A:$P,16,0)</f>
        <v xml:space="preserve"> </v>
      </c>
      <c r="Q893" s="2" t="s">
        <v>2778</v>
      </c>
      <c r="S893">
        <f>VLOOKUP(G893,[1]Hoja1!$A:$O,5,0)</f>
        <v>2543661</v>
      </c>
      <c r="U893" s="45" t="s">
        <v>2751</v>
      </c>
      <c r="V893" s="46">
        <f t="shared" si="168"/>
        <v>2543661</v>
      </c>
      <c r="W893" s="47" t="s">
        <v>1519</v>
      </c>
      <c r="X893" s="46" t="str">
        <f t="shared" si="169"/>
        <v>3</v>
      </c>
      <c r="Y893" s="47" t="s">
        <v>1518</v>
      </c>
      <c r="Z893" s="46" t="str">
        <f t="shared" si="170"/>
        <v>V</v>
      </c>
      <c r="AA893" s="47" t="s">
        <v>2752</v>
      </c>
      <c r="AB893" s="46" t="str">
        <f t="shared" si="171"/>
        <v>LUNES</v>
      </c>
      <c r="AC893" s="47" t="s">
        <v>2753</v>
      </c>
      <c r="AD893" t="str">
        <f t="shared" si="172"/>
        <v>CONTRATURNO</v>
      </c>
      <c r="AE893" s="47" t="s">
        <v>2754</v>
      </c>
      <c r="AH893" t="str">
        <f t="shared" si="173"/>
        <v>INSERT INTO horario_curso_materia (horario_curso_materia.FK_CUR_mat,horario_curso_materia.FK_HOR,horario_curso_materia.DIA,horario_curso_materia.tipo_turno) VALUES (  (SELECT curso_materia.ID_CUR_MAT FROM curso_materia WHERE curso_materia.CUPOF='2543661' ) ,
    (SELECT horario.ID_HOR FROM horario WHERE horario.modulo='3 ' and horario.turno='V ' ),'LUNES ' , 'CONTRATURNO ' );</v>
      </c>
    </row>
    <row r="894" spans="1:34" ht="15" hidden="1" customHeight="1" x14ac:dyDescent="0.3">
      <c r="A894" s="1" t="str">
        <f t="shared" si="174"/>
        <v>5°1°</v>
      </c>
      <c r="B894" s="54" t="str">
        <f t="shared" si="166"/>
        <v>5°1°3MAMAÑANA0</v>
      </c>
      <c r="C894" s="62">
        <f>VLOOKUP(G894,[1]Hoja1!$A:$O,3,0)</f>
        <v>0</v>
      </c>
      <c r="D894" s="2" t="str">
        <f t="shared" si="167"/>
        <v>3MAM</v>
      </c>
      <c r="E894" s="62" t="s">
        <v>13</v>
      </c>
      <c r="F894" s="62" t="s">
        <v>27</v>
      </c>
      <c r="G894" s="4" t="s">
        <v>235</v>
      </c>
      <c r="H894" s="8" t="str">
        <f>VLOOKUP(G894,[1]Hoja1!$A:$O,6,0)</f>
        <v>SISTEMA DIGITAL</v>
      </c>
      <c r="I894" s="4"/>
      <c r="J894" s="4"/>
      <c r="K894" s="80" t="str">
        <f t="shared" si="176"/>
        <v>MA</v>
      </c>
      <c r="L894" s="4"/>
      <c r="M894" s="86" t="str">
        <f>VLOOKUP(G894,[1]Hoja1!$A:$O,15,0)</f>
        <v>MONTENEGRO CLAUDIA</v>
      </c>
      <c r="N894" s="2" t="str">
        <f t="shared" si="175"/>
        <v>5°1°5ISIDI4MA</v>
      </c>
      <c r="O894" s="2"/>
      <c r="P894" s="2" t="str">
        <f>VLOOKUP(G894,[1]Hoja1!$A:$P,16,0)</f>
        <v xml:space="preserve"> </v>
      </c>
      <c r="Q894" s="2" t="s">
        <v>2778</v>
      </c>
      <c r="S894">
        <f>VLOOKUP(G894,[1]Hoja1!$A:$O,5,0)</f>
        <v>2571507</v>
      </c>
      <c r="U894" s="45" t="s">
        <v>2751</v>
      </c>
      <c r="V894" s="46">
        <f t="shared" si="168"/>
        <v>2571507</v>
      </c>
      <c r="W894" s="47" t="s">
        <v>1519</v>
      </c>
      <c r="X894" s="46" t="str">
        <f t="shared" si="169"/>
        <v>3</v>
      </c>
      <c r="Y894" s="47" t="s">
        <v>1518</v>
      </c>
      <c r="Z894" s="46" t="str">
        <f t="shared" si="170"/>
        <v>M</v>
      </c>
      <c r="AA894" s="47" t="s">
        <v>2752</v>
      </c>
      <c r="AB894" s="46" t="str">
        <f t="shared" si="171"/>
        <v>MARTES</v>
      </c>
      <c r="AC894" s="47" t="s">
        <v>2753</v>
      </c>
      <c r="AD894">
        <f t="shared" si="172"/>
        <v>0</v>
      </c>
      <c r="AE894" s="47" t="s">
        <v>2754</v>
      </c>
      <c r="AH894" t="str">
        <f t="shared" si="173"/>
        <v>INSERT INTO horario_curso_materia (horario_curso_materia.FK_CUR_mat,horario_curso_materia.FK_HOR,horario_curso_materia.DIA,horario_curso_materia.tipo_turno) VALUES (  (SELECT curso_materia.ID_CUR_MAT FROM curso_materia WHERE curso_materia.CUPOF='2571507' ) ,
    (SELECT horario.ID_HOR FROM horario WHERE horario.modulo='3 ' and horario.turno='M ' ),'MARTES ' , '0 ' );</v>
      </c>
    </row>
    <row r="895" spans="1:34" ht="15" hidden="1" customHeight="1" x14ac:dyDescent="0.3">
      <c r="A895" s="1" t="str">
        <f t="shared" si="174"/>
        <v>5°1°</v>
      </c>
      <c r="B895" s="54" t="str">
        <f t="shared" si="166"/>
        <v>5°1°3maTARDE512</v>
      </c>
      <c r="C895" s="62">
        <f>VLOOKUP(G895,[1]Hoja1!$A:$O,3,0)</f>
        <v>512</v>
      </c>
      <c r="D895" s="2" t="str">
        <f t="shared" si="167"/>
        <v>3maT30</v>
      </c>
      <c r="E895" s="62" t="s">
        <v>1334</v>
      </c>
      <c r="F895" s="62" t="s">
        <v>10</v>
      </c>
      <c r="G895" s="4" t="s">
        <v>169</v>
      </c>
      <c r="H895" s="8" t="str">
        <f>VLOOKUP(G895,[1]Hoja1!$A:$O,6,0)</f>
        <v xml:space="preserve">LAB DE PROGRAM </v>
      </c>
      <c r="I895" s="4">
        <v>30</v>
      </c>
      <c r="J895" s="4"/>
      <c r="K895" s="80" t="str">
        <f t="shared" si="176"/>
        <v>ma</v>
      </c>
      <c r="L895" s="4" t="s">
        <v>512</v>
      </c>
      <c r="M895" s="86" t="str">
        <f>VLOOKUP(G895,[1]Hoja1!$A:$O,15,0)</f>
        <v>WITT GERARDO</v>
      </c>
      <c r="N895" s="2" t="str">
        <f t="shared" si="175"/>
        <v>5°1°5125IFTLP5ma</v>
      </c>
      <c r="O895" s="2"/>
      <c r="P895" s="2" t="str">
        <f>VLOOKUP(G895,[1]Hoja1!$A:$P,16,0)</f>
        <v xml:space="preserve"> </v>
      </c>
      <c r="Q895" s="2" t="s">
        <v>2778</v>
      </c>
      <c r="S895">
        <f>VLOOKUP(G895,[1]Hoja1!$A:$O,5,0)</f>
        <v>2543659</v>
      </c>
      <c r="U895" s="45" t="s">
        <v>2751</v>
      </c>
      <c r="V895" s="46">
        <f t="shared" si="168"/>
        <v>2543659</v>
      </c>
      <c r="W895" s="47" t="s">
        <v>1519</v>
      </c>
      <c r="X895" s="46" t="str">
        <f t="shared" si="169"/>
        <v>3</v>
      </c>
      <c r="Y895" s="47" t="s">
        <v>1518</v>
      </c>
      <c r="Z895" s="46" t="str">
        <f t="shared" si="170"/>
        <v>T</v>
      </c>
      <c r="AA895" s="47" t="s">
        <v>2752</v>
      </c>
      <c r="AB895" s="46" t="str">
        <f t="shared" si="171"/>
        <v>MARTES</v>
      </c>
      <c r="AC895" s="47" t="s">
        <v>2753</v>
      </c>
      <c r="AD895" t="str">
        <f t="shared" si="172"/>
        <v>CONTRATURNO</v>
      </c>
      <c r="AE895" s="47" t="s">
        <v>2754</v>
      </c>
      <c r="AH895" t="str">
        <f t="shared" si="173"/>
        <v>INSERT INTO horario_curso_materia (horario_curso_materia.FK_CUR_mat,horario_curso_materia.FK_HOR,horario_curso_materia.DIA,horario_curso_materia.tipo_turno) VALUES (  (SELECT curso_materia.ID_CUR_MAT FROM curso_materia WHERE curso_materia.CUPOF='2543659' ) ,
    (SELECT horario.ID_HOR FROM horario WHERE horario.modulo='3 ' and horario.turno='T ' ),'MARTES ' , 'CONTRATURNO ' );</v>
      </c>
    </row>
    <row r="896" spans="1:34" ht="15" hidden="1" customHeight="1" x14ac:dyDescent="0.3">
      <c r="A896" s="1" t="str">
        <f t="shared" si="174"/>
        <v>5°1°</v>
      </c>
      <c r="B896" s="54" t="str">
        <f t="shared" si="166"/>
        <v>5°1°3viVESPERTINO512</v>
      </c>
      <c r="C896" s="62">
        <f>VLOOKUP(G896,[1]Hoja1!$A:$O,3,0)</f>
        <v>512</v>
      </c>
      <c r="D896" s="2" t="str">
        <f t="shared" si="167"/>
        <v>3viV52</v>
      </c>
      <c r="E896" s="62" t="s">
        <v>1336</v>
      </c>
      <c r="F896" s="62" t="s">
        <v>125</v>
      </c>
      <c r="G896" s="4" t="s">
        <v>168</v>
      </c>
      <c r="H896" s="8" t="str">
        <f>VLOOKUP(G896,[1]Hoja1!$A:$O,6,0)</f>
        <v>LAB DE SIST OPERATIVOS</v>
      </c>
      <c r="I896" s="4">
        <v>52</v>
      </c>
      <c r="J896" s="4"/>
      <c r="K896" s="80" t="str">
        <f t="shared" si="176"/>
        <v>vi</v>
      </c>
      <c r="L896" s="4" t="s">
        <v>512</v>
      </c>
      <c r="M896" s="86" t="str">
        <f>VLOOKUP(G896,[1]Hoja1!$A:$O,15,0)</f>
        <v>RIVERA MARCELO</v>
      </c>
      <c r="N896" s="2" t="str">
        <f t="shared" si="175"/>
        <v>5°1°5125IFTLS5vi</v>
      </c>
      <c r="O896" s="2"/>
      <c r="P896" s="2" t="str">
        <f>VLOOKUP(G896,[1]Hoja1!$A:$P,16,0)</f>
        <v xml:space="preserve"> </v>
      </c>
      <c r="Q896" s="2" t="s">
        <v>2778</v>
      </c>
      <c r="S896">
        <f>VLOOKUP(G896,[1]Hoja1!$A:$O,5,0)</f>
        <v>2543664</v>
      </c>
      <c r="U896" s="45" t="s">
        <v>2751</v>
      </c>
      <c r="V896" s="46">
        <f t="shared" si="168"/>
        <v>2543664</v>
      </c>
      <c r="W896" s="47" t="s">
        <v>1519</v>
      </c>
      <c r="X896" s="46" t="str">
        <f t="shared" si="169"/>
        <v>3</v>
      </c>
      <c r="Y896" s="47" t="s">
        <v>1518</v>
      </c>
      <c r="Z896" s="46" t="str">
        <f t="shared" si="170"/>
        <v>V</v>
      </c>
      <c r="AA896" s="47" t="s">
        <v>2752</v>
      </c>
      <c r="AB896" s="46" t="str">
        <f t="shared" si="171"/>
        <v>VIERNES</v>
      </c>
      <c r="AC896" s="47" t="s">
        <v>2753</v>
      </c>
      <c r="AD896" t="str">
        <f t="shared" si="172"/>
        <v>CONTRATURNO</v>
      </c>
      <c r="AE896" s="47" t="s">
        <v>2754</v>
      </c>
      <c r="AH896" t="str">
        <f t="shared" si="173"/>
        <v>INSERT INTO horario_curso_materia (horario_curso_materia.FK_CUR_mat,horario_curso_materia.FK_HOR,horario_curso_materia.DIA,horario_curso_materia.tipo_turno) VALUES (  (SELECT curso_materia.ID_CUR_MAT FROM curso_materia WHERE curso_materia.CUPOF='2543664' ) ,
    (SELECT horario.ID_HOR FROM horario WHERE horario.modulo='3 ' and horario.turno='V ' ),'VIERNES ' , 'CONTRATURNO ' );</v>
      </c>
    </row>
    <row r="897" spans="1:34" ht="15" hidden="1" customHeight="1" x14ac:dyDescent="0.3">
      <c r="A897" s="1" t="str">
        <f t="shared" si="174"/>
        <v>5°1°</v>
      </c>
      <c r="B897" s="54" t="str">
        <f t="shared" si="166"/>
        <v>5°1°3MIMAÑANA0</v>
      </c>
      <c r="C897" s="62">
        <f>VLOOKUP(G897,[1]Hoja1!$A:$O,3,0)</f>
        <v>0</v>
      </c>
      <c r="D897" s="2" t="str">
        <f t="shared" si="167"/>
        <v>3MIM</v>
      </c>
      <c r="E897" s="62" t="s">
        <v>50</v>
      </c>
      <c r="F897" s="62" t="s">
        <v>27</v>
      </c>
      <c r="G897" s="4" t="s">
        <v>237</v>
      </c>
      <c r="H897" s="8" t="str">
        <f>VLOOKUP(G897,[1]Hoja1!$A:$O,6,0)</f>
        <v>TELEINFORMATICA</v>
      </c>
      <c r="I897" s="4"/>
      <c r="J897" s="4"/>
      <c r="K897" s="80" t="str">
        <f t="shared" si="176"/>
        <v>MI</v>
      </c>
      <c r="L897" s="4"/>
      <c r="M897" s="86" t="str">
        <f>VLOOKUP(G897,[1]Hoja1!$A:$O,15,0)</f>
        <v>MONTENEGRO CLAUDIA</v>
      </c>
      <c r="N897" s="2" t="str">
        <f t="shared" si="175"/>
        <v>5°1°5ITELEIMI</v>
      </c>
      <c r="O897" s="2"/>
      <c r="P897" s="2" t="str">
        <f>VLOOKUP(G897,[1]Hoja1!$A:$P,16,0)</f>
        <v xml:space="preserve"> </v>
      </c>
      <c r="Q897" s="2" t="s">
        <v>2778</v>
      </c>
      <c r="S897">
        <f>VLOOKUP(G897,[1]Hoja1!$A:$O,5,0)</f>
        <v>2571508</v>
      </c>
      <c r="U897" s="45" t="s">
        <v>2751</v>
      </c>
      <c r="V897" s="46">
        <f t="shared" si="168"/>
        <v>2571508</v>
      </c>
      <c r="W897" s="47" t="s">
        <v>1519</v>
      </c>
      <c r="X897" s="46" t="str">
        <f t="shared" si="169"/>
        <v>3</v>
      </c>
      <c r="Y897" s="47" t="s">
        <v>1518</v>
      </c>
      <c r="Z897" s="46" t="str">
        <f t="shared" si="170"/>
        <v>M</v>
      </c>
      <c r="AA897" s="47" t="s">
        <v>2752</v>
      </c>
      <c r="AB897" s="46" t="str">
        <f t="shared" si="171"/>
        <v>MIERCOLES</v>
      </c>
      <c r="AC897" s="47" t="s">
        <v>2753</v>
      </c>
      <c r="AD897">
        <f t="shared" si="172"/>
        <v>0</v>
      </c>
      <c r="AE897" s="47" t="s">
        <v>2754</v>
      </c>
      <c r="AH897" t="str">
        <f t="shared" si="173"/>
        <v>INSERT INTO horario_curso_materia (horario_curso_materia.FK_CUR_mat,horario_curso_materia.FK_HOR,horario_curso_materia.DIA,horario_curso_materia.tipo_turno) VALUES (  (SELECT curso_materia.ID_CUR_MAT FROM curso_materia WHERE curso_materia.CUPOF='2571508' ) ,
    (SELECT horario.ID_HOR FROM horario WHERE horario.modulo='3 ' and horario.turno='M ' ),'MIERCOLES ' , '0 ' );</v>
      </c>
    </row>
    <row r="898" spans="1:34" ht="15" hidden="1" customHeight="1" x14ac:dyDescent="0.3">
      <c r="A898" s="1" t="str">
        <f t="shared" si="174"/>
        <v>5°1°</v>
      </c>
      <c r="B898" s="54" t="str">
        <f t="shared" ref="B898:B961" si="177">CONCATENATE(LEFT(G898,4),E898,F898,C898)</f>
        <v>5°1°3MIVESPERTINO511</v>
      </c>
      <c r="C898" s="62">
        <f>VLOOKUP(G898,[1]Hoja1!$A:$O,3,0)</f>
        <v>511</v>
      </c>
      <c r="D898" s="2" t="str">
        <f t="shared" si="167"/>
        <v>3MIV41</v>
      </c>
      <c r="E898" s="62" t="s">
        <v>50</v>
      </c>
      <c r="F898" s="62" t="s">
        <v>125</v>
      </c>
      <c r="G898" s="4" t="s">
        <v>162</v>
      </c>
      <c r="H898" s="8" t="str">
        <f>VLOOKUP(G898,[1]Hoja1!$A:$O,6,0)</f>
        <v xml:space="preserve">LAB DE PROGRAM </v>
      </c>
      <c r="I898" s="4">
        <v>41</v>
      </c>
      <c r="J898" s="4"/>
      <c r="K898" s="80" t="str">
        <f t="shared" si="176"/>
        <v>MI</v>
      </c>
      <c r="L898" s="4" t="s">
        <v>512</v>
      </c>
      <c r="M898" s="86" t="str">
        <f>VLOOKUP(G898,[1]Hoja1!$A:$O,15,0)</f>
        <v>WITT  GERARDO</v>
      </c>
      <c r="N898" s="2" t="str">
        <f t="shared" si="175"/>
        <v>5°1°5115IFTLP5MI</v>
      </c>
      <c r="O898" s="2" t="s">
        <v>1501</v>
      </c>
      <c r="P898" s="2" t="str">
        <f>VLOOKUP(G898,[1]Hoja1!$A:$P,16,0)</f>
        <v xml:space="preserve"> </v>
      </c>
      <c r="Q898" s="2" t="s">
        <v>2778</v>
      </c>
      <c r="S898">
        <f>VLOOKUP(G898,[1]Hoja1!$A:$O,5,0)</f>
        <v>2543654</v>
      </c>
      <c r="U898" s="45" t="s">
        <v>2751</v>
      </c>
      <c r="V898" s="46">
        <f t="shared" si="168"/>
        <v>2543654</v>
      </c>
      <c r="W898" s="47" t="s">
        <v>1519</v>
      </c>
      <c r="X898" s="46" t="str">
        <f t="shared" si="169"/>
        <v>3</v>
      </c>
      <c r="Y898" s="47" t="s">
        <v>1518</v>
      </c>
      <c r="Z898" s="46" t="str">
        <f t="shared" si="170"/>
        <v>V</v>
      </c>
      <c r="AA898" s="47" t="s">
        <v>2752</v>
      </c>
      <c r="AB898" s="46" t="str">
        <f t="shared" si="171"/>
        <v>MIERCOLES</v>
      </c>
      <c r="AC898" s="47" t="s">
        <v>2753</v>
      </c>
      <c r="AD898" t="str">
        <f t="shared" si="172"/>
        <v>CONTRATURNO</v>
      </c>
      <c r="AE898" s="47" t="s">
        <v>2754</v>
      </c>
      <c r="AH898" t="str">
        <f t="shared" si="173"/>
        <v>INSERT INTO horario_curso_materia (horario_curso_materia.FK_CUR_mat,horario_curso_materia.FK_HOR,horario_curso_materia.DIA,horario_curso_materia.tipo_turno) VALUES (  (SELECT curso_materia.ID_CUR_MAT FROM curso_materia WHERE curso_materia.CUPOF='2543654' ) ,
    (SELECT horario.ID_HOR FROM horario WHERE horario.modulo='3 ' and horario.turno='V ' ),'MIERCOLES ' , 'CONTRATURNO ' );</v>
      </c>
    </row>
    <row r="899" spans="1:34" ht="15" hidden="1" customHeight="1" x14ac:dyDescent="0.3">
      <c r="A899" s="1" t="str">
        <f t="shared" si="174"/>
        <v>5°1°</v>
      </c>
      <c r="B899" s="54" t="str">
        <f t="shared" si="177"/>
        <v>5°1°3VIMAÑANA0</v>
      </c>
      <c r="C899" s="62">
        <f>VLOOKUP(G899,[1]Hoja1!$A:$O,3,0)</f>
        <v>0</v>
      </c>
      <c r="D899" s="2" t="str">
        <f t="shared" si="167"/>
        <v>3VIM</v>
      </c>
      <c r="E899" s="62" t="s">
        <v>35</v>
      </c>
      <c r="F899" s="62" t="s">
        <v>27</v>
      </c>
      <c r="G899" s="4" t="s">
        <v>237</v>
      </c>
      <c r="H899" s="8" t="str">
        <f>VLOOKUP(G899,[1]Hoja1!$A:$O,6,0)</f>
        <v>TELEINFORMATICA</v>
      </c>
      <c r="I899" s="4"/>
      <c r="J899" s="4"/>
      <c r="K899" s="80" t="str">
        <f t="shared" si="176"/>
        <v>VI</v>
      </c>
      <c r="L899" s="4"/>
      <c r="M899" s="86" t="str">
        <f>VLOOKUP(G899,[1]Hoja1!$A:$O,15,0)</f>
        <v>MONTENEGRO CLAUDIA</v>
      </c>
      <c r="N899" s="2" t="str">
        <f t="shared" si="175"/>
        <v>5°1°5ITELEIVI</v>
      </c>
      <c r="O899" s="2"/>
      <c r="P899" s="2" t="str">
        <f>VLOOKUP(G899,[1]Hoja1!$A:$P,16,0)</f>
        <v xml:space="preserve"> </v>
      </c>
      <c r="Q899" s="2" t="s">
        <v>2778</v>
      </c>
      <c r="S899">
        <f>VLOOKUP(G899,[1]Hoja1!$A:$O,5,0)</f>
        <v>2571508</v>
      </c>
      <c r="U899" s="45" t="s">
        <v>2751</v>
      </c>
      <c r="V899" s="46">
        <f t="shared" si="168"/>
        <v>2571508</v>
      </c>
      <c r="W899" s="47" t="s">
        <v>1519</v>
      </c>
      <c r="X899" s="46" t="str">
        <f t="shared" si="169"/>
        <v>3</v>
      </c>
      <c r="Y899" s="47" t="s">
        <v>1518</v>
      </c>
      <c r="Z899" s="46" t="str">
        <f t="shared" si="170"/>
        <v>M</v>
      </c>
      <c r="AA899" s="47" t="s">
        <v>2752</v>
      </c>
      <c r="AB899" s="46" t="str">
        <f t="shared" si="171"/>
        <v>VIERNES</v>
      </c>
      <c r="AC899" s="47" t="s">
        <v>2753</v>
      </c>
      <c r="AD899">
        <f t="shared" si="172"/>
        <v>0</v>
      </c>
      <c r="AE899" s="47" t="s">
        <v>2754</v>
      </c>
      <c r="AH899" t="str">
        <f t="shared" si="173"/>
        <v>INSERT INTO horario_curso_materia (horario_curso_materia.FK_CUR_mat,horario_curso_materia.FK_HOR,horario_curso_materia.DIA,horario_curso_materia.tipo_turno) VALUES (  (SELECT curso_materia.ID_CUR_MAT FROM curso_materia WHERE curso_materia.CUPOF='2571508' ) ,
    (SELECT horario.ID_HOR FROM horario WHERE horario.modulo='3 ' and horario.turno='M ' ),'VIERNES ' , '0 ' );</v>
      </c>
    </row>
    <row r="900" spans="1:34" ht="15" hidden="1" customHeight="1" x14ac:dyDescent="0.3">
      <c r="A900" s="1" t="str">
        <f t="shared" si="174"/>
        <v>5°1°</v>
      </c>
      <c r="B900" s="54" t="str">
        <f t="shared" si="177"/>
        <v>5°1°4JUMAÑANA0</v>
      </c>
      <c r="C900" s="62">
        <f>VLOOKUP(G900,[1]Hoja1!$A:$O,3,0)</f>
        <v>0</v>
      </c>
      <c r="D900" s="2" t="str">
        <f t="shared" si="167"/>
        <v>4JUM</v>
      </c>
      <c r="E900" s="62" t="s">
        <v>48</v>
      </c>
      <c r="F900" s="62" t="s">
        <v>27</v>
      </c>
      <c r="G900" s="4" t="s">
        <v>238</v>
      </c>
      <c r="H900" s="8" t="str">
        <f>VLOOKUP(G900,[1]Hoja1!$A:$O,6,0)</f>
        <v>POLITICA Y CIUDADANIA</v>
      </c>
      <c r="I900" s="4"/>
      <c r="J900" s="4"/>
      <c r="K900" s="80" t="str">
        <f t="shared" si="176"/>
        <v>JU</v>
      </c>
      <c r="L900" s="4"/>
      <c r="M900" s="86" t="str">
        <f>VLOOKUP(G900,[1]Hoja1!$A:$O,15,0)</f>
        <v xml:space="preserve">GONZALEZ GONZALEZ ROMINA </v>
      </c>
      <c r="N900" s="2" t="str">
        <f t="shared" si="175"/>
        <v>5°1°5IPYCSJU</v>
      </c>
      <c r="O900" s="2"/>
      <c r="P900" s="39" t="str">
        <f>VLOOKUP(G900,[1]Hoja1!$A:$P,16,0)</f>
        <v xml:space="preserve"> </v>
      </c>
      <c r="Q900" s="2" t="s">
        <v>2778</v>
      </c>
      <c r="S900">
        <f>VLOOKUP(G900,[1]Hoja1!$A:$O,5,0)</f>
        <v>2543648</v>
      </c>
      <c r="U900" s="45" t="s">
        <v>2751</v>
      </c>
      <c r="V900" s="46">
        <f t="shared" si="168"/>
        <v>2543648</v>
      </c>
      <c r="W900" s="47" t="s">
        <v>1519</v>
      </c>
      <c r="X900" s="46" t="str">
        <f t="shared" si="169"/>
        <v>4</v>
      </c>
      <c r="Y900" s="47" t="s">
        <v>1518</v>
      </c>
      <c r="Z900" s="46" t="str">
        <f t="shared" si="170"/>
        <v>M</v>
      </c>
      <c r="AA900" s="47" t="s">
        <v>2752</v>
      </c>
      <c r="AB900" s="46" t="str">
        <f t="shared" si="171"/>
        <v>JUEVES</v>
      </c>
      <c r="AC900" s="47" t="s">
        <v>2753</v>
      </c>
      <c r="AD900">
        <f t="shared" si="172"/>
        <v>0</v>
      </c>
      <c r="AE900" s="47" t="s">
        <v>2754</v>
      </c>
      <c r="AH900" t="str">
        <f t="shared" si="173"/>
        <v>INSERT INTO horario_curso_materia (horario_curso_materia.FK_CUR_mat,horario_curso_materia.FK_HOR,horario_curso_materia.DIA,horario_curso_materia.tipo_turno) VALUES (  (SELECT curso_materia.ID_CUR_MAT FROM curso_materia WHERE curso_materia.CUPOF='2543648' ) ,
    (SELECT horario.ID_HOR FROM horario WHERE horario.modulo='4 ' and horario.turno='M ' ),'JUEVES ' , '0 ' );</v>
      </c>
    </row>
    <row r="901" spans="1:34" ht="15" hidden="1" customHeight="1" x14ac:dyDescent="0.3">
      <c r="A901" s="1" t="str">
        <f t="shared" si="174"/>
        <v>5°1°</v>
      </c>
      <c r="B901" s="54" t="str">
        <f t="shared" si="177"/>
        <v>5°1°4juVESPERTINO511</v>
      </c>
      <c r="C901" s="62">
        <v>511</v>
      </c>
      <c r="D901" s="2" t="str">
        <f t="shared" si="167"/>
        <v>4juV31</v>
      </c>
      <c r="E901" s="62" t="s">
        <v>1351</v>
      </c>
      <c r="F901" s="62" t="s">
        <v>125</v>
      </c>
      <c r="G901" s="62" t="s">
        <v>164</v>
      </c>
      <c r="H901" s="8" t="str">
        <f>VLOOKUP(G901,[1]Hoja1!$A:$O,6,0)</f>
        <v xml:space="preserve">LAB DE HARDWARE </v>
      </c>
      <c r="I901" s="4">
        <v>31</v>
      </c>
      <c r="J901" s="4"/>
      <c r="K901" s="80" t="str">
        <f t="shared" si="176"/>
        <v>ju</v>
      </c>
      <c r="L901" s="4" t="s">
        <v>512</v>
      </c>
      <c r="M901" s="86" t="str">
        <f>VLOOKUP(G901,[1]Hoja1!$A:$O,15,0)</f>
        <v>DELGADO ARIEL</v>
      </c>
      <c r="N901" s="2" t="str">
        <f t="shared" si="175"/>
        <v>5°1°5115IFTLH5ju</v>
      </c>
      <c r="O901" s="2"/>
      <c r="P901" s="2" t="str">
        <f>VLOOKUP(G901,[1]Hoja1!$A:$P,16,0)</f>
        <v xml:space="preserve"> </v>
      </c>
      <c r="Q901" s="2" t="s">
        <v>2778</v>
      </c>
      <c r="S901">
        <f>VLOOKUP(G901,[1]Hoja1!$A:$O,5,0)</f>
        <v>2543655</v>
      </c>
      <c r="U901" s="45" t="s">
        <v>2751</v>
      </c>
      <c r="V901" s="46">
        <f t="shared" si="168"/>
        <v>2543655</v>
      </c>
      <c r="W901" s="47" t="s">
        <v>1519</v>
      </c>
      <c r="X901" s="46" t="str">
        <f t="shared" si="169"/>
        <v>4</v>
      </c>
      <c r="Y901" s="47" t="s">
        <v>1518</v>
      </c>
      <c r="Z901" s="46" t="str">
        <f t="shared" si="170"/>
        <v>V</v>
      </c>
      <c r="AA901" s="47" t="s">
        <v>2752</v>
      </c>
      <c r="AB901" s="46" t="str">
        <f t="shared" si="171"/>
        <v>JUEVES</v>
      </c>
      <c r="AC901" s="47" t="s">
        <v>2753</v>
      </c>
      <c r="AD901" t="str">
        <f t="shared" si="172"/>
        <v>CONTRATURNO</v>
      </c>
      <c r="AE901" s="47" t="s">
        <v>2754</v>
      </c>
      <c r="AH901" t="str">
        <f t="shared" si="173"/>
        <v>INSERT INTO horario_curso_materia (horario_curso_materia.FK_CUR_mat,horario_curso_materia.FK_HOR,horario_curso_materia.DIA,horario_curso_materia.tipo_turno) VALUES (  (SELECT curso_materia.ID_CUR_MAT FROM curso_materia WHERE curso_materia.CUPOF='2543655' ) ,
    (SELECT horario.ID_HOR FROM horario WHERE horario.modulo='4 ' and horario.turno='V ' ),'JUEVES ' , 'CONTRATURNO ' );</v>
      </c>
    </row>
    <row r="902" spans="1:34" ht="15" hidden="1" customHeight="1" x14ac:dyDescent="0.3">
      <c r="A902" s="1" t="str">
        <f t="shared" si="174"/>
        <v>5°1°</v>
      </c>
      <c r="B902" s="54" t="str">
        <f t="shared" si="177"/>
        <v>5°1°4LUMAÑANA0</v>
      </c>
      <c r="C902" s="62">
        <f>VLOOKUP(G902,[1]Hoja1!$A:$O,3,0)</f>
        <v>0</v>
      </c>
      <c r="D902" s="2" t="str">
        <f t="shared" si="167"/>
        <v>4LUM</v>
      </c>
      <c r="E902" s="62" t="s">
        <v>31</v>
      </c>
      <c r="F902" s="62" t="s">
        <v>27</v>
      </c>
      <c r="G902" s="72" t="s">
        <v>233</v>
      </c>
      <c r="H902" s="8" t="str">
        <f>VLOOKUP(G902,[1]Hoja1!$A:$O,6,0)</f>
        <v>LITERATURA</v>
      </c>
      <c r="I902" s="4"/>
      <c r="J902" s="4"/>
      <c r="K902" s="80" t="str">
        <f t="shared" si="176"/>
        <v>LU</v>
      </c>
      <c r="L902" s="4"/>
      <c r="M902" s="86" t="str">
        <f>VLOOKUP(G902,[1]Hoja1!$A:$O,15,0)</f>
        <v>MIRAFIORI, N   0</v>
      </c>
      <c r="N902" s="2" t="str">
        <f t="shared" si="175"/>
        <v>5°1°5ILITSLU</v>
      </c>
      <c r="O902" s="2"/>
      <c r="P902" s="2" t="str">
        <f>VLOOKUP(G902,[1]Hoja1!$A:$P,16,0)</f>
        <v xml:space="preserve"> </v>
      </c>
      <c r="Q902" s="2" t="s">
        <v>2778</v>
      </c>
      <c r="S902">
        <f>VLOOKUP(G902,[1]Hoja1!$A:$O,5,0)</f>
        <v>2543607</v>
      </c>
      <c r="U902" s="45" t="s">
        <v>2751</v>
      </c>
      <c r="V902" s="46">
        <f t="shared" si="168"/>
        <v>2543607</v>
      </c>
      <c r="W902" s="47" t="s">
        <v>1519</v>
      </c>
      <c r="X902" s="46" t="str">
        <f t="shared" si="169"/>
        <v>4</v>
      </c>
      <c r="Y902" s="47" t="s">
        <v>1518</v>
      </c>
      <c r="Z902" s="46" t="str">
        <f t="shared" si="170"/>
        <v>M</v>
      </c>
      <c r="AA902" s="47" t="s">
        <v>2752</v>
      </c>
      <c r="AB902" s="46" t="str">
        <f t="shared" si="171"/>
        <v>LUNES</v>
      </c>
      <c r="AC902" s="47" t="s">
        <v>2753</v>
      </c>
      <c r="AD902">
        <f t="shared" si="172"/>
        <v>0</v>
      </c>
      <c r="AE902" s="47" t="s">
        <v>2754</v>
      </c>
      <c r="AH902" t="str">
        <f t="shared" si="173"/>
        <v>INSERT INTO horario_curso_materia (horario_curso_materia.FK_CUR_mat,horario_curso_materia.FK_HOR,horario_curso_materia.DIA,horario_curso_materia.tipo_turno) VALUES (  (SELECT curso_materia.ID_CUR_MAT FROM curso_materia WHERE curso_materia.CUPOF='2543607' ) ,
    (SELECT horario.ID_HOR FROM horario WHERE horario.modulo='4 ' and horario.turno='M ' ),'LUNES ' , '0 ' );</v>
      </c>
    </row>
    <row r="903" spans="1:34" ht="15" hidden="1" customHeight="1" x14ac:dyDescent="0.3">
      <c r="A903" s="1" t="str">
        <f t="shared" si="174"/>
        <v>5°1°</v>
      </c>
      <c r="B903" s="54" t="str">
        <f t="shared" si="177"/>
        <v>5°1°4luVESPERTINO511</v>
      </c>
      <c r="C903" s="62">
        <f>VLOOKUP(G903,[1]Hoja1!$A:$O,3,0)</f>
        <v>511</v>
      </c>
      <c r="D903" s="2" t="str">
        <f t="shared" si="167"/>
        <v>4luV41</v>
      </c>
      <c r="E903" s="62" t="s">
        <v>1515</v>
      </c>
      <c r="F903" s="62" t="s">
        <v>125</v>
      </c>
      <c r="G903" s="4" t="s">
        <v>167</v>
      </c>
      <c r="H903" s="8" t="str">
        <f>VLOOKUP(G903,[1]Hoja1!$A:$O,6,0)</f>
        <v>LAB DE SIST OPERATIVOS</v>
      </c>
      <c r="I903" s="4">
        <v>41</v>
      </c>
      <c r="J903" s="4"/>
      <c r="K903" s="80" t="str">
        <f t="shared" si="176"/>
        <v>lu</v>
      </c>
      <c r="L903" s="4" t="s">
        <v>512</v>
      </c>
      <c r="M903" s="86" t="str">
        <f>VLOOKUP(G903,[1]Hoja1!$A:$O,15,0)</f>
        <v>FERREYRA JESICA</v>
      </c>
      <c r="N903" s="2" t="str">
        <f t="shared" si="175"/>
        <v>5°1°5115IFTLS5lu</v>
      </c>
      <c r="O903" s="2"/>
      <c r="P903" s="2" t="str">
        <f>VLOOKUP(G903,[1]Hoja1!$A:$P,16,0)</f>
        <v xml:space="preserve"> </v>
      </c>
      <c r="Q903" s="2" t="s">
        <v>2778</v>
      </c>
      <c r="S903">
        <f>VLOOKUP(G903,[1]Hoja1!$A:$O,5,0)</f>
        <v>2543656</v>
      </c>
      <c r="U903" s="45" t="s">
        <v>2751</v>
      </c>
      <c r="V903" s="46">
        <f t="shared" si="168"/>
        <v>2543656</v>
      </c>
      <c r="W903" s="47" t="s">
        <v>1519</v>
      </c>
      <c r="X903" s="46" t="str">
        <f t="shared" si="169"/>
        <v>4</v>
      </c>
      <c r="Y903" s="47" t="s">
        <v>1518</v>
      </c>
      <c r="Z903" s="46" t="str">
        <f t="shared" si="170"/>
        <v>V</v>
      </c>
      <c r="AA903" s="47" t="s">
        <v>2752</v>
      </c>
      <c r="AB903" s="46" t="str">
        <f t="shared" si="171"/>
        <v>LUNES</v>
      </c>
      <c r="AC903" s="47" t="s">
        <v>2753</v>
      </c>
      <c r="AD903" t="str">
        <f t="shared" si="172"/>
        <v>CONTRATURNO</v>
      </c>
      <c r="AE903" s="47" t="s">
        <v>2754</v>
      </c>
      <c r="AH903" t="str">
        <f t="shared" si="173"/>
        <v>INSERT INTO horario_curso_materia (horario_curso_materia.FK_CUR_mat,horario_curso_materia.FK_HOR,horario_curso_materia.DIA,horario_curso_materia.tipo_turno) VALUES (  (SELECT curso_materia.ID_CUR_MAT FROM curso_materia WHERE curso_materia.CUPOF='2543656' ) ,
    (SELECT horario.ID_HOR FROM horario WHERE horario.modulo='4 ' and horario.turno='V ' ),'LUNES ' , 'CONTRATURNO ' );</v>
      </c>
    </row>
    <row r="904" spans="1:34" ht="15" hidden="1" customHeight="1" x14ac:dyDescent="0.3">
      <c r="A904" s="1" t="str">
        <f t="shared" si="174"/>
        <v>5°1°</v>
      </c>
      <c r="B904" s="54" t="str">
        <f t="shared" si="177"/>
        <v>5°1°4LUVESPERTINO512</v>
      </c>
      <c r="C904" s="62">
        <v>512</v>
      </c>
      <c r="D904" s="2" t="str">
        <f t="shared" si="167"/>
        <v>4LUV42</v>
      </c>
      <c r="E904" s="62" t="s">
        <v>31</v>
      </c>
      <c r="F904" s="62" t="s">
        <v>125</v>
      </c>
      <c r="G904" s="62" t="s">
        <v>163</v>
      </c>
      <c r="H904" s="8" t="str">
        <f>VLOOKUP(G904,[1]Hoja1!$A:$O,6,0)</f>
        <v xml:space="preserve">LAB DE HARDWARE </v>
      </c>
      <c r="I904" s="4">
        <v>42</v>
      </c>
      <c r="J904" s="4"/>
      <c r="K904" s="80" t="str">
        <f t="shared" si="176"/>
        <v>LU</v>
      </c>
      <c r="L904" s="4" t="s">
        <v>512</v>
      </c>
      <c r="M904" s="86" t="str">
        <f>VLOOKUP(G904,[1]Hoja1!$A:$O,15,0)</f>
        <v xml:space="preserve">FISTER (Serv.Prov)         </v>
      </c>
      <c r="N904" s="2" t="str">
        <f t="shared" si="175"/>
        <v>5°1°5125IFTLH5LU</v>
      </c>
      <c r="O904" s="2"/>
      <c r="P904" s="2" t="str">
        <f>VLOOKUP(G904,[1]Hoja1!$A:$P,16,0)</f>
        <v xml:space="preserve"> </v>
      </c>
      <c r="Q904" s="2" t="s">
        <v>2778</v>
      </c>
      <c r="S904">
        <f>VLOOKUP(G904,[1]Hoja1!$A:$O,5,0)</f>
        <v>2543661</v>
      </c>
      <c r="U904" s="45" t="s">
        <v>2751</v>
      </c>
      <c r="V904" s="46">
        <f t="shared" si="168"/>
        <v>2543661</v>
      </c>
      <c r="W904" s="47" t="s">
        <v>1519</v>
      </c>
      <c r="X904" s="46" t="str">
        <f t="shared" si="169"/>
        <v>4</v>
      </c>
      <c r="Y904" s="47" t="s">
        <v>1518</v>
      </c>
      <c r="Z904" s="46" t="str">
        <f t="shared" si="170"/>
        <v>V</v>
      </c>
      <c r="AA904" s="47" t="s">
        <v>2752</v>
      </c>
      <c r="AB904" s="46" t="str">
        <f t="shared" si="171"/>
        <v>LUNES</v>
      </c>
      <c r="AC904" s="47" t="s">
        <v>2753</v>
      </c>
      <c r="AD904" t="str">
        <f t="shared" si="172"/>
        <v>CONTRATURNO</v>
      </c>
      <c r="AE904" s="47" t="s">
        <v>2754</v>
      </c>
      <c r="AH904" t="str">
        <f t="shared" si="173"/>
        <v>INSERT INTO horario_curso_materia (horario_curso_materia.FK_CUR_mat,horario_curso_materia.FK_HOR,horario_curso_materia.DIA,horario_curso_materia.tipo_turno) VALUES (  (SELECT curso_materia.ID_CUR_MAT FROM curso_materia WHERE curso_materia.CUPOF='2543661' ) ,
    (SELECT horario.ID_HOR FROM horario WHERE horario.modulo='4 ' and horario.turno='V ' ),'LUNES ' , 'CONTRATURNO ' );</v>
      </c>
    </row>
    <row r="905" spans="1:34" ht="15" hidden="1" customHeight="1" x14ac:dyDescent="0.3">
      <c r="A905" s="1" t="str">
        <f t="shared" si="174"/>
        <v>5°1°</v>
      </c>
      <c r="B905" s="54" t="str">
        <f t="shared" si="177"/>
        <v>5°1°4MAMAÑANA0</v>
      </c>
      <c r="C905" s="62">
        <f>VLOOKUP(G905,[1]Hoja1!$A:$O,3,0)</f>
        <v>0</v>
      </c>
      <c r="D905" s="2" t="str">
        <f t="shared" si="167"/>
        <v>4MAM</v>
      </c>
      <c r="E905" s="4" t="s">
        <v>16</v>
      </c>
      <c r="F905" s="62" t="s">
        <v>27</v>
      </c>
      <c r="G905" s="4" t="s">
        <v>235</v>
      </c>
      <c r="H905" s="8" t="str">
        <f>VLOOKUP(G905,[1]Hoja1!$A:$O,6,0)</f>
        <v>SISTEMA DIGITAL</v>
      </c>
      <c r="I905" s="4"/>
      <c r="J905" s="4"/>
      <c r="K905" s="80" t="str">
        <f t="shared" si="176"/>
        <v>MA</v>
      </c>
      <c r="L905" s="4"/>
      <c r="M905" s="86" t="str">
        <f>VLOOKUP(G905,[1]Hoja1!$A:$O,15,0)</f>
        <v>MONTENEGRO CLAUDIA</v>
      </c>
      <c r="N905" s="2" t="str">
        <f t="shared" si="175"/>
        <v>5°1°5ISIDI4MA</v>
      </c>
      <c r="O905" s="2"/>
      <c r="P905" s="2" t="str">
        <f>VLOOKUP(G905,[1]Hoja1!$A:$P,16,0)</f>
        <v xml:space="preserve"> </v>
      </c>
      <c r="Q905" s="2" t="s">
        <v>2778</v>
      </c>
      <c r="S905">
        <f>VLOOKUP(G905,[1]Hoja1!$A:$O,5,0)</f>
        <v>2571507</v>
      </c>
      <c r="U905" s="45" t="s">
        <v>2751</v>
      </c>
      <c r="V905" s="46">
        <f t="shared" si="168"/>
        <v>2571507</v>
      </c>
      <c r="W905" s="47" t="s">
        <v>1519</v>
      </c>
      <c r="X905" s="46" t="str">
        <f t="shared" si="169"/>
        <v>4</v>
      </c>
      <c r="Y905" s="47" t="s">
        <v>1518</v>
      </c>
      <c r="Z905" s="46" t="str">
        <f t="shared" si="170"/>
        <v>M</v>
      </c>
      <c r="AA905" s="47" t="s">
        <v>2752</v>
      </c>
      <c r="AB905" s="46" t="str">
        <f t="shared" si="171"/>
        <v>MARTES</v>
      </c>
      <c r="AC905" s="47" t="s">
        <v>2753</v>
      </c>
      <c r="AD905">
        <f t="shared" si="172"/>
        <v>0</v>
      </c>
      <c r="AE905" s="47" t="s">
        <v>2754</v>
      </c>
      <c r="AH905" t="str">
        <f t="shared" si="173"/>
        <v>INSERT INTO horario_curso_materia (horario_curso_materia.FK_CUR_mat,horario_curso_materia.FK_HOR,horario_curso_materia.DIA,horario_curso_materia.tipo_turno) VALUES (  (SELECT curso_materia.ID_CUR_MAT FROM curso_materia WHERE curso_materia.CUPOF='2571507' ) ,
    (SELECT horario.ID_HOR FROM horario WHERE horario.modulo='4 ' and horario.turno='M ' ),'MARTES ' , '0 ' );</v>
      </c>
    </row>
    <row r="906" spans="1:34" ht="15" hidden="1" customHeight="1" x14ac:dyDescent="0.3">
      <c r="A906" s="1" t="str">
        <f t="shared" si="174"/>
        <v>5°1°</v>
      </c>
      <c r="B906" s="54" t="str">
        <f t="shared" si="177"/>
        <v>5°1°4maTARDE512</v>
      </c>
      <c r="C906" s="62">
        <f>VLOOKUP(G906,[1]Hoja1!$A:$O,3,0)</f>
        <v>512</v>
      </c>
      <c r="D906" s="2" t="str">
        <f t="shared" si="167"/>
        <v>4maT30</v>
      </c>
      <c r="E906" s="62" t="s">
        <v>1335</v>
      </c>
      <c r="F906" s="62" t="s">
        <v>10</v>
      </c>
      <c r="G906" s="4" t="s">
        <v>169</v>
      </c>
      <c r="H906" s="8" t="str">
        <f>VLOOKUP(G906,[1]Hoja1!$A:$O,6,0)</f>
        <v xml:space="preserve">LAB DE PROGRAM </v>
      </c>
      <c r="I906" s="4">
        <v>30</v>
      </c>
      <c r="J906" s="4"/>
      <c r="K906" s="80" t="str">
        <f t="shared" si="176"/>
        <v>ma</v>
      </c>
      <c r="L906" s="4" t="s">
        <v>512</v>
      </c>
      <c r="M906" s="86" t="str">
        <f>VLOOKUP(G906,[1]Hoja1!$A:$O,15,0)</f>
        <v>WITT GERARDO</v>
      </c>
      <c r="N906" s="2" t="str">
        <f t="shared" si="175"/>
        <v>5°1°5125IFTLP5ma</v>
      </c>
      <c r="O906" s="2"/>
      <c r="P906" s="2" t="str">
        <f>VLOOKUP(G906,[1]Hoja1!$A:$P,16,0)</f>
        <v xml:space="preserve"> </v>
      </c>
      <c r="Q906" s="2" t="s">
        <v>2778</v>
      </c>
      <c r="S906">
        <f>VLOOKUP(G906,[1]Hoja1!$A:$O,5,0)</f>
        <v>2543659</v>
      </c>
      <c r="U906" s="45" t="s">
        <v>2751</v>
      </c>
      <c r="V906" s="46">
        <f t="shared" si="168"/>
        <v>2543659</v>
      </c>
      <c r="W906" s="47" t="s">
        <v>1519</v>
      </c>
      <c r="X906" s="46" t="str">
        <f t="shared" si="169"/>
        <v>4</v>
      </c>
      <c r="Y906" s="47" t="s">
        <v>1518</v>
      </c>
      <c r="Z906" s="46" t="str">
        <f t="shared" si="170"/>
        <v>T</v>
      </c>
      <c r="AA906" s="47" t="s">
        <v>2752</v>
      </c>
      <c r="AB906" s="46" t="str">
        <f t="shared" si="171"/>
        <v>MARTES</v>
      </c>
      <c r="AC906" s="47" t="s">
        <v>2753</v>
      </c>
      <c r="AD906" t="str">
        <f t="shared" si="172"/>
        <v>CONTRATURNO</v>
      </c>
      <c r="AE906" s="47" t="s">
        <v>2754</v>
      </c>
      <c r="AH906" t="str">
        <f t="shared" si="173"/>
        <v>INSERT INTO horario_curso_materia (horario_curso_materia.FK_CUR_mat,horario_curso_materia.FK_HOR,horario_curso_materia.DIA,horario_curso_materia.tipo_turno) VALUES (  (SELECT curso_materia.ID_CUR_MAT FROM curso_materia WHERE curso_materia.CUPOF='2543659' ) ,
    (SELECT horario.ID_HOR FROM horario WHERE horario.modulo='4 ' and horario.turno='T ' ),'MARTES ' , 'CONTRATURNO ' );</v>
      </c>
    </row>
    <row r="907" spans="1:34" ht="15" hidden="1" customHeight="1" x14ac:dyDescent="0.3">
      <c r="A907" s="1" t="str">
        <f t="shared" si="174"/>
        <v>5°1°</v>
      </c>
      <c r="B907" s="54" t="str">
        <f t="shared" si="177"/>
        <v>5°1°4viVESPERTINO512</v>
      </c>
      <c r="C907" s="62">
        <f>VLOOKUP(G907,[1]Hoja1!$A:$O,3,0)</f>
        <v>512</v>
      </c>
      <c r="D907" s="2" t="str">
        <f t="shared" si="167"/>
        <v>4viV52</v>
      </c>
      <c r="E907" s="62" t="s">
        <v>1337</v>
      </c>
      <c r="F907" s="62" t="s">
        <v>125</v>
      </c>
      <c r="G907" s="4" t="s">
        <v>168</v>
      </c>
      <c r="H907" s="8" t="str">
        <f>VLOOKUP(G907,[1]Hoja1!$A:$O,6,0)</f>
        <v>LAB DE SIST OPERATIVOS</v>
      </c>
      <c r="I907" s="4">
        <v>52</v>
      </c>
      <c r="J907" s="4"/>
      <c r="K907" s="80" t="str">
        <f t="shared" si="176"/>
        <v>vi</v>
      </c>
      <c r="L907" s="4" t="s">
        <v>512</v>
      </c>
      <c r="M907" s="86" t="str">
        <f>VLOOKUP(G907,[1]Hoja1!$A:$O,15,0)</f>
        <v>RIVERA MARCELO</v>
      </c>
      <c r="N907" s="2" t="str">
        <f t="shared" si="175"/>
        <v>5°1°5125IFTLS5vi</v>
      </c>
      <c r="O907" s="2"/>
      <c r="P907" s="2" t="str">
        <f>VLOOKUP(G907,[1]Hoja1!$A:$P,16,0)</f>
        <v xml:space="preserve"> </v>
      </c>
      <c r="Q907" s="2" t="s">
        <v>2778</v>
      </c>
      <c r="S907">
        <f>VLOOKUP(G907,[1]Hoja1!$A:$O,5,0)</f>
        <v>2543664</v>
      </c>
      <c r="U907" s="45" t="s">
        <v>2751</v>
      </c>
      <c r="V907" s="46">
        <f t="shared" si="168"/>
        <v>2543664</v>
      </c>
      <c r="W907" s="47" t="s">
        <v>1519</v>
      </c>
      <c r="X907" s="46" t="str">
        <f t="shared" si="169"/>
        <v>4</v>
      </c>
      <c r="Y907" s="47" t="s">
        <v>1518</v>
      </c>
      <c r="Z907" s="46" t="str">
        <f t="shared" si="170"/>
        <v>V</v>
      </c>
      <c r="AA907" s="47" t="s">
        <v>2752</v>
      </c>
      <c r="AB907" s="46" t="str">
        <f t="shared" si="171"/>
        <v>VIERNES</v>
      </c>
      <c r="AC907" s="47" t="s">
        <v>2753</v>
      </c>
      <c r="AD907" t="str">
        <f t="shared" si="172"/>
        <v>CONTRATURNO</v>
      </c>
      <c r="AE907" s="47" t="s">
        <v>2754</v>
      </c>
      <c r="AH907" t="str">
        <f t="shared" si="173"/>
        <v>INSERT INTO horario_curso_materia (horario_curso_materia.FK_CUR_mat,horario_curso_materia.FK_HOR,horario_curso_materia.DIA,horario_curso_materia.tipo_turno) VALUES (  (SELECT curso_materia.ID_CUR_MAT FROM curso_materia WHERE curso_materia.CUPOF='2543664' ) ,
    (SELECT horario.ID_HOR FROM horario WHERE horario.modulo='4 ' and horario.turno='V ' ),'VIERNES ' , 'CONTRATURNO ' );</v>
      </c>
    </row>
    <row r="908" spans="1:34" ht="15" hidden="1" customHeight="1" x14ac:dyDescent="0.3">
      <c r="A908" s="1" t="str">
        <f t="shared" si="174"/>
        <v>5°1°</v>
      </c>
      <c r="B908" s="54" t="str">
        <f t="shared" si="177"/>
        <v>5°1°4MIMAÑANA0</v>
      </c>
      <c r="C908" s="62">
        <f>VLOOKUP(G908,[1]Hoja1!$A:$O,3,0)</f>
        <v>0</v>
      </c>
      <c r="D908" s="2" t="str">
        <f t="shared" si="167"/>
        <v>4MIM</v>
      </c>
      <c r="E908" s="62" t="s">
        <v>52</v>
      </c>
      <c r="F908" s="62" t="s">
        <v>27</v>
      </c>
      <c r="G908" s="4" t="s">
        <v>237</v>
      </c>
      <c r="H908" s="8" t="str">
        <f>VLOOKUP(G908,[1]Hoja1!$A:$O,6,0)</f>
        <v>TELEINFORMATICA</v>
      </c>
      <c r="I908" s="4"/>
      <c r="J908" s="4"/>
      <c r="K908" s="80" t="str">
        <f t="shared" si="176"/>
        <v>MI</v>
      </c>
      <c r="L908" s="4"/>
      <c r="M908" s="86" t="str">
        <f>VLOOKUP(G908,[1]Hoja1!$A:$O,15,0)</f>
        <v>MONTENEGRO CLAUDIA</v>
      </c>
      <c r="N908" s="2" t="str">
        <f t="shared" si="175"/>
        <v>5°1°5ITELEIMI</v>
      </c>
      <c r="O908" s="2"/>
      <c r="P908" s="2" t="str">
        <f>VLOOKUP(G908,[1]Hoja1!$A:$P,16,0)</f>
        <v xml:space="preserve"> </v>
      </c>
      <c r="Q908" s="2" t="s">
        <v>2778</v>
      </c>
      <c r="S908">
        <f>VLOOKUP(G908,[1]Hoja1!$A:$O,5,0)</f>
        <v>2571508</v>
      </c>
      <c r="U908" s="45" t="s">
        <v>2751</v>
      </c>
      <c r="V908" s="46">
        <f t="shared" si="168"/>
        <v>2571508</v>
      </c>
      <c r="W908" s="47" t="s">
        <v>1519</v>
      </c>
      <c r="X908" s="46" t="str">
        <f t="shared" si="169"/>
        <v>4</v>
      </c>
      <c r="Y908" s="47" t="s">
        <v>1518</v>
      </c>
      <c r="Z908" s="46" t="str">
        <f t="shared" si="170"/>
        <v>M</v>
      </c>
      <c r="AA908" s="47" t="s">
        <v>2752</v>
      </c>
      <c r="AB908" s="46" t="str">
        <f t="shared" si="171"/>
        <v>MIERCOLES</v>
      </c>
      <c r="AC908" s="47" t="s">
        <v>2753</v>
      </c>
      <c r="AD908">
        <f t="shared" si="172"/>
        <v>0</v>
      </c>
      <c r="AE908" s="47" t="s">
        <v>2754</v>
      </c>
      <c r="AH908" t="str">
        <f t="shared" si="173"/>
        <v>INSERT INTO horario_curso_materia (horario_curso_materia.FK_CUR_mat,horario_curso_materia.FK_HOR,horario_curso_materia.DIA,horario_curso_materia.tipo_turno) VALUES (  (SELECT curso_materia.ID_CUR_MAT FROM curso_materia WHERE curso_materia.CUPOF='2571508' ) ,
    (SELECT horario.ID_HOR FROM horario WHERE horario.modulo='4 ' and horario.turno='M ' ),'MIERCOLES ' , '0 ' );</v>
      </c>
    </row>
    <row r="909" spans="1:34" ht="15" hidden="1" customHeight="1" x14ac:dyDescent="0.3">
      <c r="A909" s="1" t="str">
        <f t="shared" si="174"/>
        <v>5°1°</v>
      </c>
      <c r="B909" s="54" t="str">
        <f t="shared" si="177"/>
        <v>5°1°4MIVESPERTINO511</v>
      </c>
      <c r="C909" s="62">
        <f>VLOOKUP(G909,[1]Hoja1!$A:$O,3,0)</f>
        <v>511</v>
      </c>
      <c r="D909" s="2" t="str">
        <f t="shared" si="167"/>
        <v>4MIV41</v>
      </c>
      <c r="E909" s="62" t="s">
        <v>52</v>
      </c>
      <c r="F909" s="62" t="s">
        <v>125</v>
      </c>
      <c r="G909" s="4" t="s">
        <v>162</v>
      </c>
      <c r="H909" s="8" t="str">
        <f>VLOOKUP(G909,[1]Hoja1!$A:$O,6,0)</f>
        <v xml:space="preserve">LAB DE PROGRAM </v>
      </c>
      <c r="I909" s="4">
        <v>41</v>
      </c>
      <c r="J909" s="4"/>
      <c r="K909" s="80" t="str">
        <f t="shared" si="176"/>
        <v>MI</v>
      </c>
      <c r="L909" s="4" t="s">
        <v>512</v>
      </c>
      <c r="M909" s="86" t="str">
        <f>VLOOKUP(G909,[1]Hoja1!$A:$O,15,0)</f>
        <v>WITT  GERARDO</v>
      </c>
      <c r="N909" s="2" t="str">
        <f t="shared" si="175"/>
        <v>5°1°5115IFTLP5MI</v>
      </c>
      <c r="O909" s="2" t="s">
        <v>1501</v>
      </c>
      <c r="P909" s="2" t="str">
        <f>VLOOKUP(G909,[1]Hoja1!$A:$P,16,0)</f>
        <v xml:space="preserve"> </v>
      </c>
      <c r="Q909" s="2" t="s">
        <v>2778</v>
      </c>
      <c r="S909">
        <f>VLOOKUP(G909,[1]Hoja1!$A:$O,5,0)</f>
        <v>2543654</v>
      </c>
      <c r="U909" s="45" t="s">
        <v>2751</v>
      </c>
      <c r="V909" s="46">
        <f t="shared" si="168"/>
        <v>2543654</v>
      </c>
      <c r="W909" s="47" t="s">
        <v>1519</v>
      </c>
      <c r="X909" s="46" t="str">
        <f t="shared" si="169"/>
        <v>4</v>
      </c>
      <c r="Y909" s="47" t="s">
        <v>1518</v>
      </c>
      <c r="Z909" s="46" t="str">
        <f t="shared" si="170"/>
        <v>V</v>
      </c>
      <c r="AA909" s="47" t="s">
        <v>2752</v>
      </c>
      <c r="AB909" s="46" t="str">
        <f t="shared" si="171"/>
        <v>MIERCOLES</v>
      </c>
      <c r="AC909" s="47" t="s">
        <v>2753</v>
      </c>
      <c r="AD909" t="str">
        <f t="shared" si="172"/>
        <v>CONTRATURNO</v>
      </c>
      <c r="AE909" s="47" t="s">
        <v>2754</v>
      </c>
      <c r="AH909" t="str">
        <f t="shared" si="173"/>
        <v>INSERT INTO horario_curso_materia (horario_curso_materia.FK_CUR_mat,horario_curso_materia.FK_HOR,horario_curso_materia.DIA,horario_curso_materia.tipo_turno) VALUES (  (SELECT curso_materia.ID_CUR_MAT FROM curso_materia WHERE curso_materia.CUPOF='2543654' ) ,
    (SELECT horario.ID_HOR FROM horario WHERE horario.modulo='4 ' and horario.turno='V ' ),'MIERCOLES ' , 'CONTRATURNO ' );</v>
      </c>
    </row>
    <row r="910" spans="1:34" ht="15" hidden="1" customHeight="1" x14ac:dyDescent="0.3">
      <c r="A910" s="1" t="str">
        <f t="shared" si="174"/>
        <v>5°1°</v>
      </c>
      <c r="B910" s="54" t="str">
        <f t="shared" si="177"/>
        <v>5°1°4VIMAÑANA0</v>
      </c>
      <c r="C910" s="62">
        <f>VLOOKUP(G910,[1]Hoja1!$A:$O,3,0)</f>
        <v>0</v>
      </c>
      <c r="D910" s="2" t="str">
        <f t="shared" si="167"/>
        <v>4VIM</v>
      </c>
      <c r="E910" s="62" t="s">
        <v>36</v>
      </c>
      <c r="F910" s="62" t="s">
        <v>27</v>
      </c>
      <c r="G910" s="4" t="s">
        <v>237</v>
      </c>
      <c r="H910" s="8" t="str">
        <f>VLOOKUP(G910,[1]Hoja1!$A:$O,6,0)</f>
        <v>TELEINFORMATICA</v>
      </c>
      <c r="I910" s="4"/>
      <c r="J910" s="4"/>
      <c r="K910" s="80" t="str">
        <f t="shared" si="176"/>
        <v>VI</v>
      </c>
      <c r="L910" s="4"/>
      <c r="M910" s="86" t="str">
        <f>VLOOKUP(G910,[1]Hoja1!$A:$O,15,0)</f>
        <v>MONTENEGRO CLAUDIA</v>
      </c>
      <c r="N910" s="2" t="str">
        <f t="shared" si="175"/>
        <v>5°1°5ITELEIVI</v>
      </c>
      <c r="O910" s="2"/>
      <c r="P910" s="2" t="str">
        <f>VLOOKUP(G910,[1]Hoja1!$A:$P,16,0)</f>
        <v xml:space="preserve"> </v>
      </c>
      <c r="Q910" s="2" t="s">
        <v>2778</v>
      </c>
      <c r="S910">
        <f>VLOOKUP(G910,[1]Hoja1!$A:$O,5,0)</f>
        <v>2571508</v>
      </c>
      <c r="U910" s="45" t="s">
        <v>2751</v>
      </c>
      <c r="V910" s="46">
        <f t="shared" si="168"/>
        <v>2571508</v>
      </c>
      <c r="W910" s="47" t="s">
        <v>1519</v>
      </c>
      <c r="X910" s="46" t="str">
        <f t="shared" si="169"/>
        <v>4</v>
      </c>
      <c r="Y910" s="47" t="s">
        <v>1518</v>
      </c>
      <c r="Z910" s="46" t="str">
        <f t="shared" si="170"/>
        <v>M</v>
      </c>
      <c r="AA910" s="47" t="s">
        <v>2752</v>
      </c>
      <c r="AB910" s="46" t="str">
        <f t="shared" si="171"/>
        <v>VIERNES</v>
      </c>
      <c r="AC910" s="47" t="s">
        <v>2753</v>
      </c>
      <c r="AD910">
        <f t="shared" si="172"/>
        <v>0</v>
      </c>
      <c r="AE910" s="47" t="s">
        <v>2754</v>
      </c>
      <c r="AH910" t="str">
        <f t="shared" si="173"/>
        <v>INSERT INTO horario_curso_materia (horario_curso_materia.FK_CUR_mat,horario_curso_materia.FK_HOR,horario_curso_materia.DIA,horario_curso_materia.tipo_turno) VALUES (  (SELECT curso_materia.ID_CUR_MAT FROM curso_materia WHERE curso_materia.CUPOF='2571508' ) ,
    (SELECT horario.ID_HOR FROM horario WHERE horario.modulo='4 ' and horario.turno='M ' ),'VIERNES ' , '0 ' );</v>
      </c>
    </row>
    <row r="911" spans="1:34" ht="15" hidden="1" customHeight="1" x14ac:dyDescent="0.3">
      <c r="A911" s="1" t="str">
        <f t="shared" si="174"/>
        <v>5°1°</v>
      </c>
      <c r="B911" s="54" t="str">
        <f t="shared" si="177"/>
        <v>5°1°5MAMAÑANA0</v>
      </c>
      <c r="C911" s="62">
        <f>VLOOKUP(G911,[1]Hoja1!$A:$O,3,0)</f>
        <v>0</v>
      </c>
      <c r="D911" s="2" t="str">
        <f t="shared" si="167"/>
        <v>5MAM</v>
      </c>
      <c r="E911" s="62" t="s">
        <v>103</v>
      </c>
      <c r="F911" s="62" t="s">
        <v>27</v>
      </c>
      <c r="G911" s="4" t="s">
        <v>235</v>
      </c>
      <c r="H911" s="8" t="str">
        <f>VLOOKUP(G911,[1]Hoja1!$A:$O,6,0)</f>
        <v>SISTEMA DIGITAL</v>
      </c>
      <c r="I911" s="4"/>
      <c r="J911" s="4"/>
      <c r="K911" s="80" t="str">
        <f t="shared" si="176"/>
        <v>MA</v>
      </c>
      <c r="L911" s="4"/>
      <c r="M911" s="86" t="str">
        <f>VLOOKUP(G911,[1]Hoja1!$A:$O,15,0)</f>
        <v>MONTENEGRO CLAUDIA</v>
      </c>
      <c r="N911" s="2" t="str">
        <f t="shared" si="175"/>
        <v>5°1°5ISIDI4MA</v>
      </c>
      <c r="O911" s="2"/>
      <c r="P911" s="2" t="str">
        <f>VLOOKUP(G911,[1]Hoja1!$A:$P,16,0)</f>
        <v xml:space="preserve"> </v>
      </c>
      <c r="Q911" s="2" t="s">
        <v>2778</v>
      </c>
      <c r="S911">
        <f>VLOOKUP(G911,[1]Hoja1!$A:$O,5,0)</f>
        <v>2571507</v>
      </c>
      <c r="U911" s="45" t="s">
        <v>2751</v>
      </c>
      <c r="V911" s="46">
        <f t="shared" si="168"/>
        <v>2571507</v>
      </c>
      <c r="W911" s="47" t="s">
        <v>1519</v>
      </c>
      <c r="X911" s="46" t="str">
        <f t="shared" si="169"/>
        <v>5</v>
      </c>
      <c r="Y911" s="47" t="s">
        <v>1518</v>
      </c>
      <c r="Z911" s="46" t="str">
        <f t="shared" si="170"/>
        <v>M</v>
      </c>
      <c r="AA911" s="47" t="s">
        <v>2752</v>
      </c>
      <c r="AB911" s="46" t="str">
        <f t="shared" si="171"/>
        <v>MARTES</v>
      </c>
      <c r="AC911" s="47" t="s">
        <v>2753</v>
      </c>
      <c r="AD911">
        <f t="shared" si="172"/>
        <v>0</v>
      </c>
      <c r="AE911" s="47" t="s">
        <v>2754</v>
      </c>
      <c r="AH911" t="str">
        <f t="shared" si="173"/>
        <v>INSERT INTO horario_curso_materia (horario_curso_materia.FK_CUR_mat,horario_curso_materia.FK_HOR,horario_curso_materia.DIA,horario_curso_materia.tipo_turno) VALUES (  (SELECT curso_materia.ID_CUR_MAT FROM curso_materia WHERE curso_materia.CUPOF='2571507' ) ,
    (SELECT horario.ID_HOR FROM horario WHERE horario.modulo='5 ' and horario.turno='M ' ),'MARTES ' , '0 ' );</v>
      </c>
    </row>
    <row r="912" spans="1:34" ht="15" hidden="1" customHeight="1" x14ac:dyDescent="0.3">
      <c r="A912" s="1" t="str">
        <f t="shared" si="174"/>
        <v>5°1°</v>
      </c>
      <c r="B912" s="54" t="str">
        <f t="shared" si="177"/>
        <v>5°1°5MIMAÑANA0</v>
      </c>
      <c r="C912" s="62">
        <f>VLOOKUP(G912,[1]Hoja1!$A:$O,3,0)</f>
        <v>0</v>
      </c>
      <c r="D912" s="2" t="str">
        <f t="shared" si="167"/>
        <v>5MIMPATIO</v>
      </c>
      <c r="E912" s="62" t="s">
        <v>275</v>
      </c>
      <c r="F912" s="62" t="s">
        <v>27</v>
      </c>
      <c r="G912" s="4" t="s">
        <v>242</v>
      </c>
      <c r="H912" s="8" t="str">
        <f>VLOOKUP(G912,[1]Hoja1!$A:$O,6,0)</f>
        <v>EDUCACIÓN FISICA</v>
      </c>
      <c r="I912" s="4" t="s">
        <v>241</v>
      </c>
      <c r="J912" s="4"/>
      <c r="K912" s="80" t="str">
        <f t="shared" si="176"/>
        <v>MI</v>
      </c>
      <c r="L912" s="4"/>
      <c r="M912" s="86" t="str">
        <f>VLOOKUP(G912,[1]Hoja1!$A:$O,15,0)</f>
        <v>LUDUEÑA NELSON</v>
      </c>
      <c r="N912" s="2" t="str">
        <f t="shared" si="175"/>
        <v>5°1°5IEFISMI</v>
      </c>
      <c r="O912" s="2"/>
      <c r="P912" s="2" t="str">
        <f>VLOOKUP(G912,[1]Hoja1!$A:$P,16,0)</f>
        <v xml:space="preserve"> </v>
      </c>
      <c r="Q912" s="2" t="s">
        <v>2778</v>
      </c>
      <c r="S912">
        <f>VLOOKUP(G912,[1]Hoja1!$A:$O,5,0)</f>
        <v>2543646</v>
      </c>
      <c r="U912" s="45" t="s">
        <v>2751</v>
      </c>
      <c r="V912" s="46">
        <f t="shared" si="168"/>
        <v>2543646</v>
      </c>
      <c r="W912" s="47" t="s">
        <v>1519</v>
      </c>
      <c r="X912" s="46" t="str">
        <f t="shared" si="169"/>
        <v>5</v>
      </c>
      <c r="Y912" s="47" t="s">
        <v>1518</v>
      </c>
      <c r="Z912" s="46" t="str">
        <f t="shared" si="170"/>
        <v>M</v>
      </c>
      <c r="AA912" s="47" t="s">
        <v>2752</v>
      </c>
      <c r="AB912" s="46" t="str">
        <f t="shared" si="171"/>
        <v>MIERCOLES</v>
      </c>
      <c r="AC912" s="47" t="s">
        <v>2753</v>
      </c>
      <c r="AD912">
        <f t="shared" si="172"/>
        <v>0</v>
      </c>
      <c r="AE912" s="47" t="s">
        <v>2754</v>
      </c>
      <c r="AH912" t="str">
        <f t="shared" si="173"/>
        <v>INSERT INTO horario_curso_materia (horario_curso_materia.FK_CUR_mat,horario_curso_materia.FK_HOR,horario_curso_materia.DIA,horario_curso_materia.tipo_turno) VALUES (  (SELECT curso_materia.ID_CUR_MAT FROM curso_materia WHERE curso_materia.CUPOF='2543646' ) ,
    (SELECT horario.ID_HOR FROM horario WHERE horario.modulo='5 ' and horario.turno='M ' ),'MIERCOLES ' , '0 ' );</v>
      </c>
    </row>
    <row r="913" spans="1:34" ht="15" hidden="1" customHeight="1" x14ac:dyDescent="0.3">
      <c r="A913" s="1" t="str">
        <f t="shared" si="174"/>
        <v>5°1°</v>
      </c>
      <c r="B913" s="54" t="str">
        <f t="shared" si="177"/>
        <v>5°1°5VIMAÑANA0</v>
      </c>
      <c r="C913" s="62">
        <f>VLOOKUP(G913,[1]Hoja1!$A:$O,3,0)</f>
        <v>0</v>
      </c>
      <c r="D913" s="2" t="str">
        <f t="shared" si="167"/>
        <v>5VIMPATIO</v>
      </c>
      <c r="E913" s="62" t="s">
        <v>296</v>
      </c>
      <c r="F913" s="62" t="s">
        <v>27</v>
      </c>
      <c r="G913" s="4" t="s">
        <v>242</v>
      </c>
      <c r="H913" s="8" t="str">
        <f>VLOOKUP(G913,[1]Hoja1!$A:$O,6,0)</f>
        <v>EDUCACIÓN FISICA</v>
      </c>
      <c r="I913" s="4" t="s">
        <v>241</v>
      </c>
      <c r="J913" s="4"/>
      <c r="K913" s="80" t="str">
        <f t="shared" si="176"/>
        <v>VI</v>
      </c>
      <c r="L913" s="4"/>
      <c r="M913" s="86" t="str">
        <f>VLOOKUP(G913,[1]Hoja1!$A:$O,15,0)</f>
        <v>LUDUEÑA NELSON</v>
      </c>
      <c r="N913" s="2" t="str">
        <f t="shared" si="175"/>
        <v>5°1°5IEFISVI</v>
      </c>
      <c r="O913" s="2"/>
      <c r="P913" s="2" t="str">
        <f>VLOOKUP(G913,[1]Hoja1!$A:$P,16,0)</f>
        <v xml:space="preserve"> </v>
      </c>
      <c r="Q913" s="2" t="s">
        <v>2778</v>
      </c>
      <c r="S913">
        <f>VLOOKUP(G913,[1]Hoja1!$A:$O,5,0)</f>
        <v>2543646</v>
      </c>
      <c r="U913" s="45" t="s">
        <v>2751</v>
      </c>
      <c r="V913" s="46">
        <f t="shared" si="168"/>
        <v>2543646</v>
      </c>
      <c r="W913" s="47" t="s">
        <v>1519</v>
      </c>
      <c r="X913" s="46" t="str">
        <f t="shared" si="169"/>
        <v>5</v>
      </c>
      <c r="Y913" s="47" t="s">
        <v>1518</v>
      </c>
      <c r="Z913" s="46" t="str">
        <f t="shared" si="170"/>
        <v>M</v>
      </c>
      <c r="AA913" s="47" t="s">
        <v>2752</v>
      </c>
      <c r="AB913" s="46" t="str">
        <f t="shared" si="171"/>
        <v>VIERNES</v>
      </c>
      <c r="AC913" s="47" t="s">
        <v>2753</v>
      </c>
      <c r="AD913">
        <f t="shared" si="172"/>
        <v>0</v>
      </c>
      <c r="AE913" s="47" t="s">
        <v>2754</v>
      </c>
      <c r="AH913" t="str">
        <f t="shared" si="173"/>
        <v>INSERT INTO horario_curso_materia (horario_curso_materia.FK_CUR_mat,horario_curso_materia.FK_HOR,horario_curso_materia.DIA,horario_curso_materia.tipo_turno) VALUES (  (SELECT curso_materia.ID_CUR_MAT FROM curso_materia WHERE curso_materia.CUPOF='2543646' ) ,
    (SELECT horario.ID_HOR FROM horario WHERE horario.modulo='5 ' and horario.turno='M ' ),'VIERNES ' , '0 ' );</v>
      </c>
    </row>
    <row r="914" spans="1:34" ht="15" hidden="1" customHeight="1" x14ac:dyDescent="0.3">
      <c r="A914" s="1" t="str">
        <f t="shared" si="174"/>
        <v>6°1°</v>
      </c>
      <c r="B914" s="54" t="str">
        <f t="shared" si="177"/>
        <v>6°1°1JUVESPERTINO0</v>
      </c>
      <c r="C914" s="62">
        <f>VLOOKUP(G914,[1]Hoja1!$A:$O,3,0)</f>
        <v>0</v>
      </c>
      <c r="D914" s="2" t="str">
        <f t="shared" si="167"/>
        <v>1JUV</v>
      </c>
      <c r="E914" s="62" t="s">
        <v>43</v>
      </c>
      <c r="F914" s="62" t="s">
        <v>125</v>
      </c>
      <c r="G914" s="62" t="s">
        <v>444</v>
      </c>
      <c r="H914" s="8" t="str">
        <f>VLOOKUP(G914,[1]Hoja1!$A:$O,6,0)</f>
        <v>INGLÉS</v>
      </c>
      <c r="I914" s="4"/>
      <c r="J914" s="4"/>
      <c r="K914" s="80" t="str">
        <f t="shared" si="176"/>
        <v>JU</v>
      </c>
      <c r="L914" s="4"/>
      <c r="M914" s="86" t="str">
        <f>VLOOKUP(G914,[1]Hoja1!$A:$O,15,0)</f>
        <v>RAMIREZ GISELE</v>
      </c>
      <c r="N914" s="2" t="str">
        <f t="shared" si="175"/>
        <v>6°1°6IINGSJU</v>
      </c>
      <c r="O914" s="2"/>
      <c r="P914" s="2" t="str">
        <f>VLOOKUP(G914,[1]Hoja1!$A:$P,16,0)</f>
        <v xml:space="preserve"> </v>
      </c>
      <c r="Q914" s="2"/>
      <c r="S914">
        <f>VLOOKUP(G914,[1]Hoja1!$A:$O,5,0)</f>
        <v>733375</v>
      </c>
      <c r="U914" s="45" t="s">
        <v>2751</v>
      </c>
      <c r="V914" s="46">
        <f t="shared" si="168"/>
        <v>733375</v>
      </c>
      <c r="W914" s="47" t="s">
        <v>1519</v>
      </c>
      <c r="X914" s="46" t="str">
        <f t="shared" si="169"/>
        <v>1</v>
      </c>
      <c r="Y914" s="47" t="s">
        <v>1518</v>
      </c>
      <c r="Z914" s="46" t="str">
        <f t="shared" si="170"/>
        <v>V</v>
      </c>
      <c r="AA914" s="47" t="s">
        <v>2752</v>
      </c>
      <c r="AB914" s="46" t="str">
        <f t="shared" si="171"/>
        <v>JUEVES</v>
      </c>
      <c r="AC914" s="47" t="s">
        <v>2753</v>
      </c>
      <c r="AD914">
        <f t="shared" si="172"/>
        <v>0</v>
      </c>
      <c r="AE914" s="47" t="s">
        <v>2754</v>
      </c>
      <c r="AH914" t="str">
        <f t="shared" si="173"/>
        <v>INSERT INTO horario_curso_materia (horario_curso_materia.FK_CUR_mat,horario_curso_materia.FK_HOR,horario_curso_materia.DIA,horario_curso_materia.tipo_turno) VALUES (  (SELECT curso_materia.ID_CUR_MAT FROM curso_materia WHERE curso_materia.CUPOF='733375' ) ,
    (SELECT horario.ID_HOR FROM horario WHERE horario.modulo='1 ' and horario.turno='V ' ),'JUEVES ' , '0 ' );</v>
      </c>
    </row>
    <row r="915" spans="1:34" ht="15" hidden="1" customHeight="1" x14ac:dyDescent="0.3">
      <c r="A915" s="1" t="str">
        <f t="shared" si="174"/>
        <v>6°1°</v>
      </c>
      <c r="B915" s="54" t="str">
        <f t="shared" si="177"/>
        <v>6°1°1LUTARDE611</v>
      </c>
      <c r="C915" s="62">
        <f>VLOOKUP(G915,[1]Hoja1!$A:$O,3,0)</f>
        <v>611</v>
      </c>
      <c r="D915" s="2" t="str">
        <f t="shared" si="167"/>
        <v>1LUT41</v>
      </c>
      <c r="E915" s="62" t="s">
        <v>9</v>
      </c>
      <c r="F915" s="62" t="s">
        <v>10</v>
      </c>
      <c r="G915" s="62" t="s">
        <v>194</v>
      </c>
      <c r="H915" s="8" t="str">
        <f>VLOOKUP(G915,[1]Hoja1!$A:$O,6,0)</f>
        <v xml:space="preserve">LAB DE HARDWARE </v>
      </c>
      <c r="I915" s="4">
        <v>41</v>
      </c>
      <c r="J915" s="4"/>
      <c r="K915" s="80" t="str">
        <f t="shared" si="176"/>
        <v>LU</v>
      </c>
      <c r="L915" s="4" t="s">
        <v>512</v>
      </c>
      <c r="M915" s="86" t="str">
        <f>VLOOKUP(G915,[1]Hoja1!$A:$O,15,0)</f>
        <v>ROCHA JULIETA</v>
      </c>
      <c r="N915" s="2" t="str">
        <f t="shared" si="175"/>
        <v>6°1°6116IFTLH6LU</v>
      </c>
      <c r="O915" s="2" t="s">
        <v>1498</v>
      </c>
      <c r="P915" s="2" t="str">
        <f>VLOOKUP(G915,[1]Hoja1!$A:$P,16,0)</f>
        <v xml:space="preserve"> </v>
      </c>
      <c r="Q915" s="2"/>
      <c r="S915">
        <f>VLOOKUP(G915,[1]Hoja1!$A:$O,5,0)</f>
        <v>2680836</v>
      </c>
      <c r="U915" s="45" t="s">
        <v>2751</v>
      </c>
      <c r="V915" s="46">
        <f t="shared" si="168"/>
        <v>2680836</v>
      </c>
      <c r="W915" s="47" t="s">
        <v>1519</v>
      </c>
      <c r="X915" s="46" t="str">
        <f t="shared" si="169"/>
        <v>1</v>
      </c>
      <c r="Y915" s="47" t="s">
        <v>1518</v>
      </c>
      <c r="Z915" s="46" t="str">
        <f t="shared" si="170"/>
        <v>T</v>
      </c>
      <c r="AA915" s="47" t="s">
        <v>2752</v>
      </c>
      <c r="AB915" s="46" t="str">
        <f t="shared" si="171"/>
        <v>LUNES</v>
      </c>
      <c r="AC915" s="47" t="s">
        <v>2753</v>
      </c>
      <c r="AD915" t="str">
        <f t="shared" si="172"/>
        <v>CONTRATURNO</v>
      </c>
      <c r="AE915" s="47" t="s">
        <v>2754</v>
      </c>
      <c r="AH915" t="str">
        <f t="shared" si="173"/>
        <v>INSERT INTO horario_curso_materia (horario_curso_materia.FK_CUR_mat,horario_curso_materia.FK_HOR,horario_curso_materia.DIA,horario_curso_materia.tipo_turno) VALUES (  (SELECT curso_materia.ID_CUR_MAT FROM curso_materia WHERE curso_materia.CUPOF='2680836' ) ,
    (SELECT horario.ID_HOR FROM horario WHERE horario.modulo='1 ' and horario.turno='T ' ),'LUNES ' , 'CONTRATURNO ' );</v>
      </c>
    </row>
    <row r="916" spans="1:34" ht="15" hidden="1" customHeight="1" x14ac:dyDescent="0.3">
      <c r="A916" s="1" t="str">
        <f t="shared" si="174"/>
        <v>6°1°</v>
      </c>
      <c r="B916" s="54" t="str">
        <f t="shared" si="177"/>
        <v>6°1°1miTARDE612</v>
      </c>
      <c r="C916" s="62">
        <f>VLOOKUP(G916,[1]Hoja1!$A:$O,3,0)</f>
        <v>612</v>
      </c>
      <c r="D916" s="2" t="str">
        <f t="shared" si="167"/>
        <v>1miT41</v>
      </c>
      <c r="E916" s="62" t="s">
        <v>55</v>
      </c>
      <c r="F916" s="62" t="s">
        <v>10</v>
      </c>
      <c r="G916" s="62" t="s">
        <v>195</v>
      </c>
      <c r="H916" s="8" t="str">
        <f>VLOOKUP(G916,[1]Hoja1!$A:$O,6,0)</f>
        <v xml:space="preserve">LAB DE HARDWARE </v>
      </c>
      <c r="I916" s="4">
        <v>41</v>
      </c>
      <c r="J916" s="4"/>
      <c r="K916" s="80" t="str">
        <f t="shared" si="176"/>
        <v>mi</v>
      </c>
      <c r="L916" s="4" t="s">
        <v>512</v>
      </c>
      <c r="M916" s="86" t="str">
        <f>VLOOKUP(G916,[1]Hoja1!$A:$O,15,0)</f>
        <v>MONTENEGRO CLAUIDA</v>
      </c>
      <c r="N916" s="2" t="str">
        <f t="shared" si="175"/>
        <v>6°1°6126IFTLH6mi</v>
      </c>
      <c r="O916" s="2"/>
      <c r="P916" s="2" t="str">
        <f>VLOOKUP(G916,[1]Hoja1!$A:$P,16,0)</f>
        <v xml:space="preserve"> </v>
      </c>
      <c r="Q916" s="2"/>
      <c r="S916">
        <f>VLOOKUP(G916,[1]Hoja1!$A:$O,5,0)</f>
        <v>2680845</v>
      </c>
      <c r="U916" s="45" t="s">
        <v>2751</v>
      </c>
      <c r="V916" s="46">
        <f t="shared" si="168"/>
        <v>2680845</v>
      </c>
      <c r="W916" s="47" t="s">
        <v>1519</v>
      </c>
      <c r="X916" s="46" t="str">
        <f t="shared" si="169"/>
        <v>1</v>
      </c>
      <c r="Y916" s="47" t="s">
        <v>1518</v>
      </c>
      <c r="Z916" s="46" t="str">
        <f t="shared" si="170"/>
        <v>T</v>
      </c>
      <c r="AA916" s="47" t="s">
        <v>2752</v>
      </c>
      <c r="AB916" s="46" t="str">
        <f t="shared" si="171"/>
        <v>MIERCOLES</v>
      </c>
      <c r="AC916" s="47" t="s">
        <v>2753</v>
      </c>
      <c r="AD916" t="str">
        <f t="shared" si="172"/>
        <v>CONTRATURNO</v>
      </c>
      <c r="AE916" s="47" t="s">
        <v>2754</v>
      </c>
      <c r="AH916" t="str">
        <f t="shared" si="173"/>
        <v>INSERT INTO horario_curso_materia (horario_curso_materia.FK_CUR_mat,horario_curso_materia.FK_HOR,horario_curso_materia.DIA,horario_curso_materia.tipo_turno) VALUES (  (SELECT curso_materia.ID_CUR_MAT FROM curso_materia WHERE curso_materia.CUPOF='2680845' ) ,
    (SELECT horario.ID_HOR FROM horario WHERE horario.modulo='1 ' and horario.turno='T ' ),'MIERCOLES ' , 'CONTRATURNO ' );</v>
      </c>
    </row>
    <row r="917" spans="1:34" ht="15" hidden="1" customHeight="1" x14ac:dyDescent="0.3">
      <c r="A917" s="1" t="str">
        <f t="shared" si="174"/>
        <v>6°1°</v>
      </c>
      <c r="B917" s="54" t="str">
        <f t="shared" si="177"/>
        <v>6°1°1LUVESPERTINO0</v>
      </c>
      <c r="C917" s="62">
        <f>VLOOKUP(G917,[1]Hoja1!$A:$O,3,0)</f>
        <v>0</v>
      </c>
      <c r="D917" s="2" t="str">
        <f t="shared" si="167"/>
        <v>1LUV</v>
      </c>
      <c r="E917" s="62" t="s">
        <v>9</v>
      </c>
      <c r="F917" s="62" t="s">
        <v>125</v>
      </c>
      <c r="G917" s="62" t="s">
        <v>439</v>
      </c>
      <c r="H917" s="8" t="str">
        <f>VLOOKUP(G917,[1]Hoja1!$A:$O,6,0)</f>
        <v>DERECHO DE TRABAJO</v>
      </c>
      <c r="I917" s="4"/>
      <c r="J917" s="4"/>
      <c r="K917" s="80" t="str">
        <f t="shared" si="176"/>
        <v>LU</v>
      </c>
      <c r="L917" s="4"/>
      <c r="M917" s="86" t="str">
        <f>VLOOKUP(G917,[1]Hoja1!$A:$O,15,0)</f>
        <v xml:space="preserve">KUSNIER CUPAIOLO NATALIA N </v>
      </c>
      <c r="N917" s="2" t="str">
        <f t="shared" si="175"/>
        <v>6°1°6IDETRALU</v>
      </c>
      <c r="O917" s="2"/>
      <c r="P917" s="2" t="str">
        <f>VLOOKUP(G917,[1]Hoja1!$A:$P,16,0)</f>
        <v xml:space="preserve"> </v>
      </c>
      <c r="Q917" s="2"/>
      <c r="S917">
        <f>VLOOKUP(G917,[1]Hoja1!$A:$O,5,0)</f>
        <v>2680833</v>
      </c>
      <c r="U917" s="45" t="s">
        <v>2751</v>
      </c>
      <c r="V917" s="46">
        <f t="shared" si="168"/>
        <v>2680833</v>
      </c>
      <c r="W917" s="47" t="s">
        <v>1519</v>
      </c>
      <c r="X917" s="46" t="str">
        <f t="shared" si="169"/>
        <v>1</v>
      </c>
      <c r="Y917" s="47" t="s">
        <v>1518</v>
      </c>
      <c r="Z917" s="46" t="str">
        <f t="shared" si="170"/>
        <v>V</v>
      </c>
      <c r="AA917" s="47" t="s">
        <v>2752</v>
      </c>
      <c r="AB917" s="46" t="str">
        <f t="shared" si="171"/>
        <v>LUNES</v>
      </c>
      <c r="AC917" s="47" t="s">
        <v>2753</v>
      </c>
      <c r="AD917">
        <f t="shared" si="172"/>
        <v>0</v>
      </c>
      <c r="AE917" s="47" t="s">
        <v>2754</v>
      </c>
      <c r="AH917" t="str">
        <f t="shared" si="173"/>
        <v>INSERT INTO horario_curso_materia (horario_curso_materia.FK_CUR_mat,horario_curso_materia.FK_HOR,horario_curso_materia.DIA,horario_curso_materia.tipo_turno) VALUES (  (SELECT curso_materia.ID_CUR_MAT FROM curso_materia WHERE curso_materia.CUPOF='2680833' ) ,
    (SELECT horario.ID_HOR FROM horario WHERE horario.modulo='1 ' and horario.turno='V ' ),'LUNES ' , '0 ' );</v>
      </c>
    </row>
    <row r="918" spans="1:34" ht="15" hidden="1" customHeight="1" x14ac:dyDescent="0.3">
      <c r="A918" s="1" t="str">
        <f t="shared" si="174"/>
        <v>6°1°</v>
      </c>
      <c r="B918" s="54" t="str">
        <f t="shared" si="177"/>
        <v>6°1°1MATARDE611</v>
      </c>
      <c r="C918" s="62">
        <f>VLOOKUP(G918,[1]Hoja1!$A:$O,3,0)</f>
        <v>611</v>
      </c>
      <c r="D918" s="2" t="str">
        <f t="shared" si="167"/>
        <v>1MAT40</v>
      </c>
      <c r="E918" s="62" t="s">
        <v>17</v>
      </c>
      <c r="F918" s="62" t="s">
        <v>10</v>
      </c>
      <c r="G918" s="62" t="s">
        <v>197</v>
      </c>
      <c r="H918" s="3" t="str">
        <f>VLOOKUP(G918,[1]Hoja1!$A:$O,6,0)</f>
        <v xml:space="preserve">LAB DE SIST OPERATIVOS </v>
      </c>
      <c r="I918" s="17">
        <v>40</v>
      </c>
      <c r="J918" s="17"/>
      <c r="K918" s="81" t="str">
        <f t="shared" si="176"/>
        <v>MA</v>
      </c>
      <c r="L918" s="17" t="s">
        <v>512</v>
      </c>
      <c r="M918" s="87" t="str">
        <f>VLOOKUP(G918,[1]Hoja1!$A:$O,15,0)</f>
        <v>VILLALVA ESTEBAN</v>
      </c>
      <c r="N918" s="2" t="str">
        <f t="shared" si="175"/>
        <v>6°1°6116IFHLS6MA</v>
      </c>
      <c r="O918" s="2"/>
      <c r="P918" s="2" t="str">
        <f>VLOOKUP(G918,[1]Hoja1!$A:$P,16,0)</f>
        <v xml:space="preserve"> </v>
      </c>
      <c r="Q918" s="2"/>
      <c r="S918">
        <f>VLOOKUP(G918,[1]Hoja1!$A:$O,5,0)</f>
        <v>2680838</v>
      </c>
      <c r="U918" s="45" t="s">
        <v>2751</v>
      </c>
      <c r="V918" s="46">
        <f t="shared" si="168"/>
        <v>2680838</v>
      </c>
      <c r="W918" s="47" t="s">
        <v>1519</v>
      </c>
      <c r="X918" s="46" t="str">
        <f t="shared" si="169"/>
        <v>1</v>
      </c>
      <c r="Y918" s="47" t="s">
        <v>1518</v>
      </c>
      <c r="Z918" s="46" t="str">
        <f t="shared" si="170"/>
        <v>T</v>
      </c>
      <c r="AA918" s="47" t="s">
        <v>2752</v>
      </c>
      <c r="AB918" s="46" t="str">
        <f t="shared" si="171"/>
        <v>MARTES</v>
      </c>
      <c r="AC918" s="47" t="s">
        <v>2753</v>
      </c>
      <c r="AD918" t="str">
        <f t="shared" si="172"/>
        <v>CONTRATURNO</v>
      </c>
      <c r="AE918" s="47" t="s">
        <v>2754</v>
      </c>
      <c r="AH918" t="str">
        <f t="shared" si="173"/>
        <v>INSERT INTO horario_curso_materia (horario_curso_materia.FK_CUR_mat,horario_curso_materia.FK_HOR,horario_curso_materia.DIA,horario_curso_materia.tipo_turno) VALUES (  (SELECT curso_materia.ID_CUR_MAT FROM curso_materia WHERE curso_materia.CUPOF='2680838' ) ,
    (SELECT horario.ID_HOR FROM horario WHERE horario.modulo='1 ' and horario.turno='T ' ),'MARTES ' , 'CONTRATURNO ' );</v>
      </c>
    </row>
    <row r="919" spans="1:34" ht="15" hidden="1" customHeight="1" x14ac:dyDescent="0.3">
      <c r="A919" s="1" t="str">
        <f t="shared" si="174"/>
        <v>6°1°</v>
      </c>
      <c r="B919" s="54" t="str">
        <f t="shared" si="177"/>
        <v>6°1°1MAVESPERTINO0</v>
      </c>
      <c r="C919" s="62">
        <f>VLOOKUP(G919,[1]Hoja1!$A:$O,3,0)</f>
        <v>0</v>
      </c>
      <c r="D919" s="2" t="str">
        <f t="shared" si="167"/>
        <v>1MAV</v>
      </c>
      <c r="E919" s="62" t="s">
        <v>17</v>
      </c>
      <c r="F919" s="62" t="s">
        <v>125</v>
      </c>
      <c r="G919" s="62" t="s">
        <v>199</v>
      </c>
      <c r="H919" s="8" t="str">
        <f>VLOOKUP(G919,[1]Hoja1!$A:$O,6,0)</f>
        <v>SISTEMA DIGITAL</v>
      </c>
      <c r="I919" s="4"/>
      <c r="J919" s="4"/>
      <c r="K919" s="80" t="str">
        <f t="shared" si="176"/>
        <v>MA</v>
      </c>
      <c r="L919" s="4"/>
      <c r="M919" s="86" t="str">
        <f>VLOOKUP(G919,[1]Hoja1!$A:$O,15,0)</f>
        <v>MONTES IVAN</v>
      </c>
      <c r="N919" s="2" t="str">
        <f t="shared" si="175"/>
        <v>6°1°6ISIDI6MA</v>
      </c>
      <c r="O919" s="2"/>
      <c r="P919" s="2" t="str">
        <f>VLOOKUP(G919,[1]Hoja1!$A:$P,16,0)</f>
        <v xml:space="preserve"> </v>
      </c>
      <c r="Q919" s="2"/>
      <c r="S919">
        <f>VLOOKUP(G919,[1]Hoja1!$A:$O,5,0)</f>
        <v>733383</v>
      </c>
      <c r="U919" s="45" t="s">
        <v>2751</v>
      </c>
      <c r="V919" s="46">
        <f t="shared" si="168"/>
        <v>733383</v>
      </c>
      <c r="W919" s="47" t="s">
        <v>1519</v>
      </c>
      <c r="X919" s="46" t="str">
        <f t="shared" si="169"/>
        <v>1</v>
      </c>
      <c r="Y919" s="47" t="s">
        <v>1518</v>
      </c>
      <c r="Z919" s="46" t="str">
        <f t="shared" si="170"/>
        <v>V</v>
      </c>
      <c r="AA919" s="47" t="s">
        <v>2752</v>
      </c>
      <c r="AB919" s="46" t="str">
        <f t="shared" si="171"/>
        <v>MARTES</v>
      </c>
      <c r="AC919" s="47" t="s">
        <v>2753</v>
      </c>
      <c r="AD919">
        <f t="shared" si="172"/>
        <v>0</v>
      </c>
      <c r="AE919" s="47" t="s">
        <v>2754</v>
      </c>
      <c r="AH919" t="str">
        <f t="shared" si="173"/>
        <v>INSERT INTO horario_curso_materia (horario_curso_materia.FK_CUR_mat,horario_curso_materia.FK_HOR,horario_curso_materia.DIA,horario_curso_materia.tipo_turno) VALUES (  (SELECT curso_materia.ID_CUR_MAT FROM curso_materia WHERE curso_materia.CUPOF='733383' ) ,
    (SELECT horario.ID_HOR FROM horario WHERE horario.modulo='1 ' and horario.turno='V ' ),'MARTES ' , '0 ' );</v>
      </c>
    </row>
    <row r="920" spans="1:34" ht="15" hidden="1" customHeight="1" x14ac:dyDescent="0.3">
      <c r="A920" s="1" t="str">
        <f t="shared" si="174"/>
        <v>6°1°</v>
      </c>
      <c r="B920" s="54" t="str">
        <f t="shared" si="177"/>
        <v>6°1°1MIMAÑANA0</v>
      </c>
      <c r="C920" s="62">
        <f>VLOOKUP(G920,[1]Hoja1!$A:$O,3,0)</f>
        <v>0</v>
      </c>
      <c r="D920" s="2" t="str">
        <f t="shared" si="167"/>
        <v>1MIMPATIO3</v>
      </c>
      <c r="E920" s="62" t="s">
        <v>24</v>
      </c>
      <c r="F920" s="62" t="s">
        <v>27</v>
      </c>
      <c r="G920" s="62" t="s">
        <v>447</v>
      </c>
      <c r="H920" s="8" t="str">
        <f>VLOOKUP(G920,[1]Hoja1!$A:$O,6,0)</f>
        <v>EDUCACIÓN FISICA</v>
      </c>
      <c r="I920" s="4" t="s">
        <v>252</v>
      </c>
      <c r="J920" s="4"/>
      <c r="K920" s="80" t="str">
        <f t="shared" si="176"/>
        <v>MI</v>
      </c>
      <c r="L920" s="4"/>
      <c r="M920" s="86" t="str">
        <f>VLOOKUP(G920,[1]Hoja1!$A:$O,15,0)</f>
        <v xml:space="preserve">MONTENEGRO LUIS   </v>
      </c>
      <c r="N920" s="2" t="str">
        <f t="shared" si="175"/>
        <v>6°1°6IEFISMI</v>
      </c>
      <c r="O920" s="2"/>
      <c r="P920" s="2" t="str">
        <f>VLOOKUP(G920,[1]Hoja1!$A:$P,16,0)</f>
        <v xml:space="preserve"> </v>
      </c>
      <c r="Q920" s="2"/>
      <c r="S920">
        <f>VLOOKUP(G920,[1]Hoja1!$A:$O,5,0)</f>
        <v>1180198</v>
      </c>
      <c r="U920" s="45" t="s">
        <v>2751</v>
      </c>
      <c r="V920" s="46">
        <f t="shared" si="168"/>
        <v>1180198</v>
      </c>
      <c r="W920" s="47" t="s">
        <v>1519</v>
      </c>
      <c r="X920" s="46" t="str">
        <f t="shared" si="169"/>
        <v>1</v>
      </c>
      <c r="Y920" s="47" t="s">
        <v>1518</v>
      </c>
      <c r="Z920" s="46" t="str">
        <f t="shared" si="170"/>
        <v>M</v>
      </c>
      <c r="AA920" s="47" t="s">
        <v>2752</v>
      </c>
      <c r="AB920" s="46" t="str">
        <f t="shared" si="171"/>
        <v>MIERCOLES</v>
      </c>
      <c r="AC920" s="47" t="s">
        <v>2753</v>
      </c>
      <c r="AD920">
        <f t="shared" si="172"/>
        <v>0</v>
      </c>
      <c r="AE920" s="47" t="s">
        <v>2754</v>
      </c>
      <c r="AH920" t="str">
        <f t="shared" si="173"/>
        <v>INSERT INTO horario_curso_materia (horario_curso_materia.FK_CUR_mat,horario_curso_materia.FK_HOR,horario_curso_materia.DIA,horario_curso_materia.tipo_turno) VALUES (  (SELECT curso_materia.ID_CUR_MAT FROM curso_materia WHERE curso_materia.CUPOF='1180198' ) ,
    (SELECT horario.ID_HOR FROM horario WHERE horario.modulo='1 ' and horario.turno='M ' ),'MIERCOLES ' , '0 ' );</v>
      </c>
    </row>
    <row r="921" spans="1:34" ht="15" hidden="1" customHeight="1" x14ac:dyDescent="0.3">
      <c r="A921" s="1" t="str">
        <f t="shared" si="174"/>
        <v>6°1°</v>
      </c>
      <c r="B921" s="54" t="str">
        <f t="shared" si="177"/>
        <v>6°1°1MATARDE612</v>
      </c>
      <c r="C921" s="62">
        <f>VLOOKUP(G921,[1]Hoja1!$A:$O,3,0)</f>
        <v>612</v>
      </c>
      <c r="D921" s="2" t="str">
        <f t="shared" si="167"/>
        <v>1MAT41</v>
      </c>
      <c r="E921" s="62" t="s">
        <v>17</v>
      </c>
      <c r="F921" s="62" t="s">
        <v>10</v>
      </c>
      <c r="G921" s="62" t="s">
        <v>202</v>
      </c>
      <c r="H921" s="8" t="str">
        <f>VLOOKUP(G921,[1]Hoja1!$A:$O,6,0)</f>
        <v xml:space="preserve">LAB DE SIST OPERATIVOS </v>
      </c>
      <c r="I921" s="4">
        <v>41</v>
      </c>
      <c r="J921" s="4"/>
      <c r="K921" s="80" t="str">
        <f t="shared" si="176"/>
        <v>MA</v>
      </c>
      <c r="L921" s="4" t="s">
        <v>512</v>
      </c>
      <c r="M921" s="86" t="str">
        <f>VLOOKUP(G921,[1]Hoja1!$A:$O,15,0)</f>
        <v>FERREYRA YESICA</v>
      </c>
      <c r="N921" s="2" t="str">
        <f t="shared" si="175"/>
        <v>6°1°6126IFHLS6MA</v>
      </c>
      <c r="O921" s="2"/>
      <c r="P921" s="2" t="str">
        <f>VLOOKUP(G921,[1]Hoja1!$A:$P,16,0)</f>
        <v xml:space="preserve"> </v>
      </c>
      <c r="Q921" s="2"/>
      <c r="S921">
        <f>VLOOKUP(G921,[1]Hoja1!$A:$O,5,0)</f>
        <v>2680848</v>
      </c>
      <c r="U921" s="45" t="s">
        <v>2751</v>
      </c>
      <c r="V921" s="46">
        <f t="shared" si="168"/>
        <v>2680848</v>
      </c>
      <c r="W921" s="47" t="s">
        <v>1519</v>
      </c>
      <c r="X921" s="46" t="str">
        <f t="shared" si="169"/>
        <v>1</v>
      </c>
      <c r="Y921" s="47" t="s">
        <v>1518</v>
      </c>
      <c r="Z921" s="46" t="str">
        <f t="shared" si="170"/>
        <v>T</v>
      </c>
      <c r="AA921" s="47" t="s">
        <v>2752</v>
      </c>
      <c r="AB921" s="46" t="str">
        <f t="shared" si="171"/>
        <v>MARTES</v>
      </c>
      <c r="AC921" s="47" t="s">
        <v>2753</v>
      </c>
      <c r="AD921" t="str">
        <f t="shared" si="172"/>
        <v>CONTRATURNO</v>
      </c>
      <c r="AE921" s="47" t="s">
        <v>2754</v>
      </c>
      <c r="AH921" t="str">
        <f t="shared" si="173"/>
        <v>INSERT INTO horario_curso_materia (horario_curso_materia.FK_CUR_mat,horario_curso_materia.FK_HOR,horario_curso_materia.DIA,horario_curso_materia.tipo_turno) VALUES (  (SELECT curso_materia.ID_CUR_MAT FROM curso_materia WHERE curso_materia.CUPOF='2680848' ) ,
    (SELECT horario.ID_HOR FROM horario WHERE horario.modulo='1 ' and horario.turno='T ' ),'MARTES ' , 'CONTRATURNO ' );</v>
      </c>
    </row>
    <row r="922" spans="1:34" ht="15" hidden="1" customHeight="1" x14ac:dyDescent="0.3">
      <c r="A922" s="1" t="str">
        <f t="shared" si="174"/>
        <v>6°1°</v>
      </c>
      <c r="B922" s="54" t="str">
        <f t="shared" si="177"/>
        <v>6°1°1MIVESPERTINO0</v>
      </c>
      <c r="C922" s="62">
        <f>VLOOKUP(G922,[1]Hoja1!$A:$O,3,0)</f>
        <v>0</v>
      </c>
      <c r="D922" s="2" t="str">
        <f t="shared" si="167"/>
        <v>1MIV</v>
      </c>
      <c r="E922" s="62" t="s">
        <v>24</v>
      </c>
      <c r="F922" s="62" t="s">
        <v>125</v>
      </c>
      <c r="G922" s="62" t="s">
        <v>443</v>
      </c>
      <c r="H922" s="8" t="str">
        <f>VLOOKUP(G922,[1]Hoja1!$A:$O,6,0)</f>
        <v>FILOSOFIA</v>
      </c>
      <c r="I922" s="4"/>
      <c r="J922" s="4"/>
      <c r="K922" s="80" t="str">
        <f t="shared" si="176"/>
        <v>MI</v>
      </c>
      <c r="L922" s="4"/>
      <c r="M922" s="86" t="str">
        <f>VLOOKUP(G922,[1]Hoja1!$A:$O,15,0)</f>
        <v>LETIERI, MANUEL</v>
      </c>
      <c r="N922" s="2" t="str">
        <f t="shared" si="175"/>
        <v>6°1°6IFILOMI</v>
      </c>
      <c r="O922" s="2"/>
      <c r="P922" s="2" t="str">
        <f>VLOOKUP(G922,[1]Hoja1!$A:$P,16,0)</f>
        <v xml:space="preserve"> </v>
      </c>
      <c r="Q922" s="2"/>
      <c r="S922">
        <f>VLOOKUP(G922,[1]Hoja1!$A:$O,5,0)</f>
        <v>733732</v>
      </c>
      <c r="U922" s="45" t="s">
        <v>2751</v>
      </c>
      <c r="V922" s="46">
        <f t="shared" si="168"/>
        <v>733732</v>
      </c>
      <c r="W922" s="47" t="s">
        <v>1519</v>
      </c>
      <c r="X922" s="46" t="str">
        <f t="shared" si="169"/>
        <v>1</v>
      </c>
      <c r="Y922" s="47" t="s">
        <v>1518</v>
      </c>
      <c r="Z922" s="46" t="str">
        <f t="shared" si="170"/>
        <v>V</v>
      </c>
      <c r="AA922" s="47" t="s">
        <v>2752</v>
      </c>
      <c r="AB922" s="46" t="str">
        <f t="shared" si="171"/>
        <v>MIERCOLES</v>
      </c>
      <c r="AC922" s="47" t="s">
        <v>2753</v>
      </c>
      <c r="AD922">
        <f t="shared" si="172"/>
        <v>0</v>
      </c>
      <c r="AE922" s="47" t="s">
        <v>2754</v>
      </c>
      <c r="AH922" t="str">
        <f t="shared" si="173"/>
        <v>INSERT INTO horario_curso_materia (horario_curso_materia.FK_CUR_mat,horario_curso_materia.FK_HOR,horario_curso_materia.DIA,horario_curso_materia.tipo_turno) VALUES (  (SELECT curso_materia.ID_CUR_MAT FROM curso_materia WHERE curso_materia.CUPOF='733732' ) ,
    (SELECT horario.ID_HOR FROM horario WHERE horario.modulo='1 ' and horario.turno='V ' ),'MIERCOLES ' , '0 ' );</v>
      </c>
    </row>
    <row r="923" spans="1:34" ht="15" hidden="1" customHeight="1" x14ac:dyDescent="0.3">
      <c r="A923" s="1" t="str">
        <f t="shared" si="174"/>
        <v>6°1°</v>
      </c>
      <c r="B923" s="54" t="str">
        <f t="shared" si="177"/>
        <v>6°1°3miMAÑANA611</v>
      </c>
      <c r="C923" s="62">
        <f>VLOOKUP(G923,[1]Hoja1!$A:$O,3,0)</f>
        <v>611</v>
      </c>
      <c r="D923" s="2" t="str">
        <f t="shared" si="167"/>
        <v>3miM40</v>
      </c>
      <c r="E923" s="62" t="s">
        <v>1331</v>
      </c>
      <c r="F923" s="62" t="s">
        <v>27</v>
      </c>
      <c r="G923" s="62" t="s">
        <v>200</v>
      </c>
      <c r="H923" s="8" t="str">
        <f>VLOOKUP(G923,[1]Hoja1!$A:$O,6,0)</f>
        <v xml:space="preserve">LAB DE PROGRAM </v>
      </c>
      <c r="I923" s="4">
        <v>40</v>
      </c>
      <c r="J923" s="4"/>
      <c r="K923" s="80" t="str">
        <f t="shared" si="176"/>
        <v>mi</v>
      </c>
      <c r="L923" s="4" t="s">
        <v>512</v>
      </c>
      <c r="M923" s="86" t="str">
        <f>VLOOKUP(G923,[1]Hoja1!$A:$O,15,0)</f>
        <v>FERREYRA JESICA</v>
      </c>
      <c r="N923" s="2" t="str">
        <f t="shared" si="175"/>
        <v>6°1°6116IFTLP6mi</v>
      </c>
      <c r="O923" s="2"/>
      <c r="P923" s="2" t="str">
        <f>VLOOKUP(G923,[1]Hoja1!$A:$P,16,0)</f>
        <v xml:space="preserve"> </v>
      </c>
      <c r="Q923" s="2">
        <v>1</v>
      </c>
      <c r="S923">
        <f>VLOOKUP(G923,[1]Hoja1!$A:$O,5,0)</f>
        <v>2680835</v>
      </c>
      <c r="U923" s="45" t="s">
        <v>2751</v>
      </c>
      <c r="V923" s="46">
        <f t="shared" si="168"/>
        <v>2680835</v>
      </c>
      <c r="W923" s="47" t="s">
        <v>1519</v>
      </c>
      <c r="X923" s="46" t="str">
        <f t="shared" si="169"/>
        <v>3</v>
      </c>
      <c r="Y923" s="47" t="s">
        <v>1518</v>
      </c>
      <c r="Z923" s="46" t="str">
        <f t="shared" si="170"/>
        <v>M</v>
      </c>
      <c r="AA923" s="47" t="s">
        <v>2752</v>
      </c>
      <c r="AB923" s="46" t="str">
        <f t="shared" si="171"/>
        <v>MIERCOLES</v>
      </c>
      <c r="AC923" s="47" t="s">
        <v>2753</v>
      </c>
      <c r="AD923" t="str">
        <f t="shared" si="172"/>
        <v>CONTRATURNO</v>
      </c>
      <c r="AE923" s="47" t="s">
        <v>2754</v>
      </c>
      <c r="AH923" t="str">
        <f t="shared" si="173"/>
        <v>INSERT INTO horario_curso_materia (horario_curso_materia.FK_CUR_mat,horario_curso_materia.FK_HOR,horario_curso_materia.DIA,horario_curso_materia.tipo_turno) VALUES (  (SELECT curso_materia.ID_CUR_MAT FROM curso_materia WHERE curso_materia.CUPOF='2680835' ) ,
    (SELECT horario.ID_HOR FROM horario WHERE horario.modulo='3 ' and horario.turno='M ' ),'MIERCOLES ' , 'CONTRATURNO ' );</v>
      </c>
    </row>
    <row r="924" spans="1:34" ht="15" hidden="1" customHeight="1" x14ac:dyDescent="0.3">
      <c r="A924" s="1" t="str">
        <f t="shared" si="174"/>
        <v>6°1°</v>
      </c>
      <c r="B924" s="54" t="str">
        <f t="shared" si="177"/>
        <v>6°1°1VIVESPERTINO0</v>
      </c>
      <c r="C924" s="62">
        <f>VLOOKUP(G924,[1]Hoja1!$A:$O,3,0)</f>
        <v>0</v>
      </c>
      <c r="D924" s="2" t="str">
        <f t="shared" si="167"/>
        <v>1VIV</v>
      </c>
      <c r="E924" s="62" t="s">
        <v>57</v>
      </c>
      <c r="F924" s="62" t="s">
        <v>125</v>
      </c>
      <c r="G924" s="62" t="s">
        <v>446</v>
      </c>
      <c r="H924" s="8" t="str">
        <f>VLOOKUP(G924,[1]Hoja1!$A:$O,6,0)</f>
        <v>SEGURIDAD INFORMATICA</v>
      </c>
      <c r="I924" s="4"/>
      <c r="J924" s="4"/>
      <c r="K924" s="80" t="str">
        <f t="shared" si="176"/>
        <v>VI</v>
      </c>
      <c r="L924" s="4"/>
      <c r="M924" s="86" t="str">
        <f>VLOOKUP(G924,[1]Hoja1!$A:$O,15,0)</f>
        <v>MONTENEGRO CLAUIDA</v>
      </c>
      <c r="N924" s="2" t="str">
        <f t="shared" si="175"/>
        <v>6°1°6ISEINVI</v>
      </c>
      <c r="O924" s="2"/>
      <c r="P924" s="2" t="str">
        <f>VLOOKUP(G924,[1]Hoja1!$A:$P,16,0)</f>
        <v xml:space="preserve"> </v>
      </c>
      <c r="Q924" s="2"/>
      <c r="S924">
        <f>VLOOKUP(G924,[1]Hoja1!$A:$O,5,0)</f>
        <v>2680832</v>
      </c>
      <c r="U924" s="45" t="s">
        <v>2751</v>
      </c>
      <c r="V924" s="46">
        <f t="shared" si="168"/>
        <v>2680832</v>
      </c>
      <c r="W924" s="47" t="s">
        <v>1519</v>
      </c>
      <c r="X924" s="46" t="str">
        <f t="shared" si="169"/>
        <v>1</v>
      </c>
      <c r="Y924" s="47" t="s">
        <v>1518</v>
      </c>
      <c r="Z924" s="46" t="str">
        <f t="shared" si="170"/>
        <v>V</v>
      </c>
      <c r="AA924" s="47" t="s">
        <v>2752</v>
      </c>
      <c r="AB924" s="46" t="str">
        <f t="shared" si="171"/>
        <v>VIERNES</v>
      </c>
      <c r="AC924" s="47" t="s">
        <v>2753</v>
      </c>
      <c r="AD924">
        <f t="shared" si="172"/>
        <v>0</v>
      </c>
      <c r="AE924" s="47" t="s">
        <v>2754</v>
      </c>
      <c r="AH924" t="str">
        <f t="shared" si="173"/>
        <v>INSERT INTO horario_curso_materia (horario_curso_materia.FK_CUR_mat,horario_curso_materia.FK_HOR,horario_curso_materia.DIA,horario_curso_materia.tipo_turno) VALUES (  (SELECT curso_materia.ID_CUR_MAT FROM curso_materia WHERE curso_materia.CUPOF='2680832' ) ,
    (SELECT horario.ID_HOR FROM horario WHERE horario.modulo='1 ' and horario.turno='V ' ),'VIERNES ' , '0 ' );</v>
      </c>
    </row>
    <row r="925" spans="1:34" ht="15" hidden="1" customHeight="1" x14ac:dyDescent="0.3">
      <c r="A925" s="1" t="str">
        <f t="shared" si="174"/>
        <v>6°1°</v>
      </c>
      <c r="B925" s="54" t="str">
        <f t="shared" si="177"/>
        <v>6°1°2JUTARDE0</v>
      </c>
      <c r="C925" s="62">
        <f>VLOOKUP(G925,[1]Hoja1!$A:$O,3,0)</f>
        <v>0</v>
      </c>
      <c r="D925" s="2" t="str">
        <f t="shared" ref="D925:D988" si="178">CONCATENATE(E925,LEFT(F925,1),I925)</f>
        <v>2JUT47</v>
      </c>
      <c r="E925" s="62" t="s">
        <v>45</v>
      </c>
      <c r="F925" s="62" t="s">
        <v>10</v>
      </c>
      <c r="G925" s="62" t="s">
        <v>440</v>
      </c>
      <c r="H925" s="8" t="str">
        <f>VLOOKUP(G925,[1]Hoja1!$A:$O,6,0)</f>
        <v>INVESTIGACION OPERATIVA</v>
      </c>
      <c r="I925" s="4">
        <v>47</v>
      </c>
      <c r="J925" s="4"/>
      <c r="K925" s="80" t="str">
        <f t="shared" si="176"/>
        <v>JU</v>
      </c>
      <c r="L925" s="4" t="s">
        <v>512</v>
      </c>
      <c r="M925" s="86" t="str">
        <f>VLOOKUP(G925,[1]Hoja1!$A:$O,15,0)</f>
        <v>VALDES MARIA</v>
      </c>
      <c r="N925" s="2" t="str">
        <f t="shared" si="175"/>
        <v>6°1°6IINVOPJU</v>
      </c>
      <c r="O925" s="2"/>
      <c r="P925" s="2" t="str">
        <f>VLOOKUP(G925,[1]Hoja1!$A:$P,16,0)</f>
        <v xml:space="preserve"> </v>
      </c>
      <c r="Q925" s="2"/>
      <c r="S925">
        <f>VLOOKUP(G925,[1]Hoja1!$A:$O,5,0)</f>
        <v>2680830</v>
      </c>
      <c r="U925" s="45" t="s">
        <v>2751</v>
      </c>
      <c r="V925" s="46">
        <f t="shared" si="168"/>
        <v>2680830</v>
      </c>
      <c r="W925" s="47" t="s">
        <v>1519</v>
      </c>
      <c r="X925" s="46" t="str">
        <f t="shared" si="169"/>
        <v>2</v>
      </c>
      <c r="Y925" s="47" t="s">
        <v>1518</v>
      </c>
      <c r="Z925" s="46" t="str">
        <f t="shared" si="170"/>
        <v>T</v>
      </c>
      <c r="AA925" s="47" t="s">
        <v>2752</v>
      </c>
      <c r="AB925" s="46" t="str">
        <f t="shared" si="171"/>
        <v>JUEVES</v>
      </c>
      <c r="AC925" s="47" t="s">
        <v>2753</v>
      </c>
      <c r="AD925" t="str">
        <f t="shared" si="172"/>
        <v>CONTRATURNO</v>
      </c>
      <c r="AE925" s="47" t="s">
        <v>2754</v>
      </c>
      <c r="AH925" t="str">
        <f t="shared" si="173"/>
        <v>INSERT INTO horario_curso_materia (horario_curso_materia.FK_CUR_mat,horario_curso_materia.FK_HOR,horario_curso_materia.DIA,horario_curso_materia.tipo_turno) VALUES (  (SELECT curso_materia.ID_CUR_MAT FROM curso_materia WHERE curso_materia.CUPOF='2680830' ) ,
    (SELECT horario.ID_HOR FROM horario WHERE horario.modulo='2 ' and horario.turno='T ' ),'JUEVES ' , 'CONTRATURNO ' );</v>
      </c>
    </row>
    <row r="926" spans="1:34" ht="15" hidden="1" customHeight="1" x14ac:dyDescent="0.3">
      <c r="A926" s="1" t="str">
        <f t="shared" si="174"/>
        <v>6°1°</v>
      </c>
      <c r="B926" s="54" t="str">
        <f t="shared" si="177"/>
        <v>6°1°2JUVESPERTINO0</v>
      </c>
      <c r="C926" s="62">
        <f>VLOOKUP(G926,[1]Hoja1!$A:$O,3,0)</f>
        <v>0</v>
      </c>
      <c r="D926" s="2" t="str">
        <f t="shared" si="178"/>
        <v>2JUV</v>
      </c>
      <c r="E926" s="62" t="s">
        <v>45</v>
      </c>
      <c r="F926" s="62" t="s">
        <v>125</v>
      </c>
      <c r="G926" s="62" t="s">
        <v>444</v>
      </c>
      <c r="H926" s="8" t="str">
        <f>VLOOKUP(G926,[1]Hoja1!$A:$O,6,0)</f>
        <v>INGLÉS</v>
      </c>
      <c r="I926" s="4"/>
      <c r="J926" s="4"/>
      <c r="K926" s="80" t="str">
        <f t="shared" si="176"/>
        <v>JU</v>
      </c>
      <c r="L926" s="4"/>
      <c r="M926" s="86" t="str">
        <f>VLOOKUP(G926,[1]Hoja1!$A:$O,15,0)</f>
        <v>RAMIREZ GISELE</v>
      </c>
      <c r="N926" s="2" t="str">
        <f t="shared" si="175"/>
        <v>6°1°6IINGSJU</v>
      </c>
      <c r="O926" s="2"/>
      <c r="P926" s="2" t="str">
        <f>VLOOKUP(G926,[1]Hoja1!$A:$P,16,0)</f>
        <v xml:space="preserve"> </v>
      </c>
      <c r="Q926" s="2"/>
      <c r="S926">
        <f>VLOOKUP(G926,[1]Hoja1!$A:$O,5,0)</f>
        <v>733375</v>
      </c>
      <c r="U926" s="45" t="s">
        <v>2751</v>
      </c>
      <c r="V926" s="46">
        <f t="shared" si="168"/>
        <v>733375</v>
      </c>
      <c r="W926" s="47" t="s">
        <v>1519</v>
      </c>
      <c r="X926" s="46" t="str">
        <f t="shared" si="169"/>
        <v>2</v>
      </c>
      <c r="Y926" s="47" t="s">
        <v>1518</v>
      </c>
      <c r="Z926" s="46" t="str">
        <f t="shared" si="170"/>
        <v>V</v>
      </c>
      <c r="AA926" s="47" t="s">
        <v>2752</v>
      </c>
      <c r="AB926" s="46" t="str">
        <f t="shared" si="171"/>
        <v>JUEVES</v>
      </c>
      <c r="AC926" s="47" t="s">
        <v>2753</v>
      </c>
      <c r="AD926">
        <f t="shared" si="172"/>
        <v>0</v>
      </c>
      <c r="AE926" s="47" t="s">
        <v>2754</v>
      </c>
      <c r="AH926" t="str">
        <f t="shared" si="173"/>
        <v>INSERT INTO horario_curso_materia (horario_curso_materia.FK_CUR_mat,horario_curso_materia.FK_HOR,horario_curso_materia.DIA,horario_curso_materia.tipo_turno) VALUES (  (SELECT curso_materia.ID_CUR_MAT FROM curso_materia WHERE curso_materia.CUPOF='733375' ) ,
    (SELECT horario.ID_HOR FROM horario WHERE horario.modulo='2 ' and horario.turno='V ' ),'JUEVES ' , '0 ' );</v>
      </c>
    </row>
    <row r="927" spans="1:34" ht="15" hidden="1" customHeight="1" x14ac:dyDescent="0.3">
      <c r="A927" s="1" t="str">
        <f t="shared" si="174"/>
        <v>6°1°</v>
      </c>
      <c r="B927" s="54" t="str">
        <f t="shared" si="177"/>
        <v>6°1°2LUTARDE611</v>
      </c>
      <c r="C927" s="62">
        <f>VLOOKUP(G927,[1]Hoja1!$A:$O,3,0)</f>
        <v>611</v>
      </c>
      <c r="D927" s="2" t="str">
        <f t="shared" si="178"/>
        <v>2LUT41</v>
      </c>
      <c r="E927" s="62" t="s">
        <v>12</v>
      </c>
      <c r="F927" s="62" t="s">
        <v>10</v>
      </c>
      <c r="G927" s="62" t="s">
        <v>194</v>
      </c>
      <c r="H927" s="8" t="str">
        <f>VLOOKUP(G927,[1]Hoja1!$A:$O,6,0)</f>
        <v xml:space="preserve">LAB DE HARDWARE </v>
      </c>
      <c r="I927" s="4">
        <v>41</v>
      </c>
      <c r="J927" s="4"/>
      <c r="K927" s="80" t="str">
        <f t="shared" si="176"/>
        <v>LU</v>
      </c>
      <c r="L927" s="4" t="s">
        <v>512</v>
      </c>
      <c r="M927" s="86" t="str">
        <f>VLOOKUP(G927,[1]Hoja1!$A:$O,15,0)</f>
        <v>ROCHA JULIETA</v>
      </c>
      <c r="N927" s="2" t="str">
        <f t="shared" si="175"/>
        <v>6°1°6116IFTLH6LU</v>
      </c>
      <c r="O927" s="2" t="s">
        <v>1498</v>
      </c>
      <c r="P927" s="2" t="str">
        <f>VLOOKUP(G927,[1]Hoja1!$A:$P,16,0)</f>
        <v xml:space="preserve"> </v>
      </c>
      <c r="Q927" s="2"/>
      <c r="S927">
        <f>VLOOKUP(G927,[1]Hoja1!$A:$O,5,0)</f>
        <v>2680836</v>
      </c>
      <c r="U927" s="45" t="s">
        <v>2751</v>
      </c>
      <c r="V927" s="46">
        <f t="shared" si="168"/>
        <v>2680836</v>
      </c>
      <c r="W927" s="47" t="s">
        <v>1519</v>
      </c>
      <c r="X927" s="46" t="str">
        <f t="shared" si="169"/>
        <v>2</v>
      </c>
      <c r="Y927" s="47" t="s">
        <v>1518</v>
      </c>
      <c r="Z927" s="46" t="str">
        <f t="shared" si="170"/>
        <v>T</v>
      </c>
      <c r="AA927" s="47" t="s">
        <v>2752</v>
      </c>
      <c r="AB927" s="46" t="str">
        <f t="shared" si="171"/>
        <v>LUNES</v>
      </c>
      <c r="AC927" s="47" t="s">
        <v>2753</v>
      </c>
      <c r="AD927" t="str">
        <f t="shared" si="172"/>
        <v>CONTRATURNO</v>
      </c>
      <c r="AE927" s="47" t="s">
        <v>2754</v>
      </c>
      <c r="AH927" t="str">
        <f t="shared" si="173"/>
        <v>INSERT INTO horario_curso_materia (horario_curso_materia.FK_CUR_mat,horario_curso_materia.FK_HOR,horario_curso_materia.DIA,horario_curso_materia.tipo_turno) VALUES (  (SELECT curso_materia.ID_CUR_MAT FROM curso_materia WHERE curso_materia.CUPOF='2680836' ) ,
    (SELECT horario.ID_HOR FROM horario WHERE horario.modulo='2 ' and horario.turno='T ' ),'LUNES ' , 'CONTRATURNO ' );</v>
      </c>
    </row>
    <row r="928" spans="1:34" ht="15" hidden="1" customHeight="1" x14ac:dyDescent="0.3">
      <c r="A928" s="1" t="str">
        <f t="shared" si="174"/>
        <v>6°1°</v>
      </c>
      <c r="B928" s="54" t="str">
        <f t="shared" si="177"/>
        <v>6°1°2miTARDE612</v>
      </c>
      <c r="C928" s="62">
        <f>VLOOKUP(G928,[1]Hoja1!$A:$O,3,0)</f>
        <v>612</v>
      </c>
      <c r="D928" s="2" t="str">
        <f t="shared" si="178"/>
        <v>2miT41</v>
      </c>
      <c r="E928" s="62" t="s">
        <v>1343</v>
      </c>
      <c r="F928" s="62" t="s">
        <v>10</v>
      </c>
      <c r="G928" s="62" t="s">
        <v>195</v>
      </c>
      <c r="H928" s="8" t="str">
        <f>VLOOKUP(G928,[1]Hoja1!$A:$O,6,0)</f>
        <v xml:space="preserve">LAB DE HARDWARE </v>
      </c>
      <c r="I928" s="4">
        <v>41</v>
      </c>
      <c r="J928" s="4"/>
      <c r="K928" s="80" t="str">
        <f t="shared" si="176"/>
        <v>mi</v>
      </c>
      <c r="L928" s="4" t="s">
        <v>512</v>
      </c>
      <c r="M928" s="86" t="str">
        <f>VLOOKUP(G928,[1]Hoja1!$A:$O,15,0)</f>
        <v>MONTENEGRO CLAUIDA</v>
      </c>
      <c r="N928" s="2" t="str">
        <f t="shared" si="175"/>
        <v>6°1°6126IFTLH6mi</v>
      </c>
      <c r="O928" s="2"/>
      <c r="P928" s="2" t="str">
        <f>VLOOKUP(G928,[1]Hoja1!$A:$P,16,0)</f>
        <v xml:space="preserve"> </v>
      </c>
      <c r="Q928" s="2"/>
      <c r="S928">
        <f>VLOOKUP(G928,[1]Hoja1!$A:$O,5,0)</f>
        <v>2680845</v>
      </c>
      <c r="U928" s="45" t="s">
        <v>2751</v>
      </c>
      <c r="V928" s="46">
        <f t="shared" si="168"/>
        <v>2680845</v>
      </c>
      <c r="W928" s="47" t="s">
        <v>1519</v>
      </c>
      <c r="X928" s="46" t="str">
        <f t="shared" si="169"/>
        <v>2</v>
      </c>
      <c r="Y928" s="47" t="s">
        <v>1518</v>
      </c>
      <c r="Z928" s="46" t="str">
        <f t="shared" si="170"/>
        <v>T</v>
      </c>
      <c r="AA928" s="47" t="s">
        <v>2752</v>
      </c>
      <c r="AB928" s="46" t="str">
        <f t="shared" si="171"/>
        <v>MIERCOLES</v>
      </c>
      <c r="AC928" s="47" t="s">
        <v>2753</v>
      </c>
      <c r="AD928" t="str">
        <f t="shared" si="172"/>
        <v>CONTRATURNO</v>
      </c>
      <c r="AE928" s="47" t="s">
        <v>2754</v>
      </c>
      <c r="AH928" t="str">
        <f t="shared" si="173"/>
        <v>INSERT INTO horario_curso_materia (horario_curso_materia.FK_CUR_mat,horario_curso_materia.FK_HOR,horario_curso_materia.DIA,horario_curso_materia.tipo_turno) VALUES (  (SELECT curso_materia.ID_CUR_MAT FROM curso_materia WHERE curso_materia.CUPOF='2680845' ) ,
    (SELECT horario.ID_HOR FROM horario WHERE horario.modulo='2 ' and horario.turno='T ' ),'MIERCOLES ' , 'CONTRATURNO ' );</v>
      </c>
    </row>
    <row r="929" spans="1:34" ht="15" hidden="1" customHeight="1" x14ac:dyDescent="0.3">
      <c r="A929" s="1" t="str">
        <f t="shared" si="174"/>
        <v>6°1°</v>
      </c>
      <c r="B929" s="54" t="str">
        <f t="shared" si="177"/>
        <v>6°1°2LUVESPERTINO0</v>
      </c>
      <c r="C929" s="62">
        <f>VLOOKUP(G929,[1]Hoja1!$A:$O,3,0)</f>
        <v>0</v>
      </c>
      <c r="D929" s="2" t="str">
        <f t="shared" si="178"/>
        <v>2LUV</v>
      </c>
      <c r="E929" s="62" t="s">
        <v>12</v>
      </c>
      <c r="F929" s="62" t="s">
        <v>125</v>
      </c>
      <c r="G929" s="62" t="s">
        <v>439</v>
      </c>
      <c r="H929" s="8" t="str">
        <f>VLOOKUP(G929,[1]Hoja1!$A:$O,6,0)</f>
        <v>DERECHO DE TRABAJO</v>
      </c>
      <c r="I929" s="4"/>
      <c r="J929" s="4"/>
      <c r="K929" s="80" t="str">
        <f t="shared" si="176"/>
        <v>LU</v>
      </c>
      <c r="L929" s="4"/>
      <c r="M929" s="86" t="str">
        <f>VLOOKUP(G929,[1]Hoja1!$A:$O,15,0)</f>
        <v xml:space="preserve">KUSNIER CUPAIOLO NATALIA N </v>
      </c>
      <c r="N929" s="2" t="str">
        <f t="shared" si="175"/>
        <v>6°1°6IDETRALU</v>
      </c>
      <c r="O929" s="2"/>
      <c r="P929" s="2" t="str">
        <f>VLOOKUP(G929,[1]Hoja1!$A:$P,16,0)</f>
        <v xml:space="preserve"> </v>
      </c>
      <c r="Q929" s="2"/>
      <c r="S929">
        <f>VLOOKUP(G929,[1]Hoja1!$A:$O,5,0)</f>
        <v>2680833</v>
      </c>
      <c r="U929" s="45" t="s">
        <v>2751</v>
      </c>
      <c r="V929" s="46">
        <f t="shared" si="168"/>
        <v>2680833</v>
      </c>
      <c r="W929" s="47" t="s">
        <v>1519</v>
      </c>
      <c r="X929" s="46" t="str">
        <f t="shared" si="169"/>
        <v>2</v>
      </c>
      <c r="Y929" s="47" t="s">
        <v>1518</v>
      </c>
      <c r="Z929" s="46" t="str">
        <f t="shared" si="170"/>
        <v>V</v>
      </c>
      <c r="AA929" s="47" t="s">
        <v>2752</v>
      </c>
      <c r="AB929" s="46" t="str">
        <f t="shared" si="171"/>
        <v>LUNES</v>
      </c>
      <c r="AC929" s="47" t="s">
        <v>2753</v>
      </c>
      <c r="AD929">
        <f t="shared" si="172"/>
        <v>0</v>
      </c>
      <c r="AE929" s="47" t="s">
        <v>2754</v>
      </c>
      <c r="AH929" t="str">
        <f t="shared" si="173"/>
        <v>INSERT INTO horario_curso_materia (horario_curso_materia.FK_CUR_mat,horario_curso_materia.FK_HOR,horario_curso_materia.DIA,horario_curso_materia.tipo_turno) VALUES (  (SELECT curso_materia.ID_CUR_MAT FROM curso_materia WHERE curso_materia.CUPOF='2680833' ) ,
    (SELECT horario.ID_HOR FROM horario WHERE horario.modulo='2 ' and horario.turno='V ' ),'LUNES ' , '0 ' );</v>
      </c>
    </row>
    <row r="930" spans="1:34" ht="15" hidden="1" customHeight="1" x14ac:dyDescent="0.3">
      <c r="A930" s="1" t="str">
        <f t="shared" si="174"/>
        <v>6°1°</v>
      </c>
      <c r="B930" s="54" t="str">
        <f t="shared" si="177"/>
        <v>6°1°2MATARDE611</v>
      </c>
      <c r="C930" s="62">
        <f>VLOOKUP(G930,[1]Hoja1!$A:$O,3,0)</f>
        <v>611</v>
      </c>
      <c r="D930" s="2" t="str">
        <f t="shared" si="178"/>
        <v>2MAT40</v>
      </c>
      <c r="E930" s="62" t="s">
        <v>19</v>
      </c>
      <c r="F930" s="62" t="s">
        <v>10</v>
      </c>
      <c r="G930" s="62" t="s">
        <v>197</v>
      </c>
      <c r="H930" s="3" t="str">
        <f>VLOOKUP(G930,[1]Hoja1!$A:$O,6,0)</f>
        <v xml:space="preserve">LAB DE SIST OPERATIVOS </v>
      </c>
      <c r="I930" s="17">
        <v>40</v>
      </c>
      <c r="J930" s="17"/>
      <c r="K930" s="81" t="str">
        <f t="shared" si="176"/>
        <v>MA</v>
      </c>
      <c r="L930" s="17" t="s">
        <v>512</v>
      </c>
      <c r="M930" s="87" t="str">
        <f>VLOOKUP(G930,[1]Hoja1!$A:$O,15,0)</f>
        <v>VILLALVA ESTEBAN</v>
      </c>
      <c r="N930" s="2" t="str">
        <f t="shared" si="175"/>
        <v>6°1°6116IFHLS6MA</v>
      </c>
      <c r="O930" s="2"/>
      <c r="P930" s="2" t="str">
        <f>VLOOKUP(G930,[1]Hoja1!$A:$P,16,0)</f>
        <v xml:space="preserve"> </v>
      </c>
      <c r="Q930" s="2"/>
      <c r="S930">
        <f>VLOOKUP(G930,[1]Hoja1!$A:$O,5,0)</f>
        <v>2680838</v>
      </c>
      <c r="U930" s="45" t="s">
        <v>2751</v>
      </c>
      <c r="V930" s="46">
        <f t="shared" si="168"/>
        <v>2680838</v>
      </c>
      <c r="W930" s="47" t="s">
        <v>1519</v>
      </c>
      <c r="X930" s="46" t="str">
        <f t="shared" si="169"/>
        <v>2</v>
      </c>
      <c r="Y930" s="47" t="s">
        <v>1518</v>
      </c>
      <c r="Z930" s="46" t="str">
        <f t="shared" si="170"/>
        <v>T</v>
      </c>
      <c r="AA930" s="47" t="s">
        <v>2752</v>
      </c>
      <c r="AB930" s="46" t="str">
        <f t="shared" si="171"/>
        <v>MARTES</v>
      </c>
      <c r="AC930" s="47" t="s">
        <v>2753</v>
      </c>
      <c r="AD930" t="str">
        <f t="shared" si="172"/>
        <v>CONTRATURNO</v>
      </c>
      <c r="AE930" s="47" t="s">
        <v>2754</v>
      </c>
      <c r="AH930" t="str">
        <f t="shared" si="173"/>
        <v>INSERT INTO horario_curso_materia (horario_curso_materia.FK_CUR_mat,horario_curso_materia.FK_HOR,horario_curso_materia.DIA,horario_curso_materia.tipo_turno) VALUES (  (SELECT curso_materia.ID_CUR_MAT FROM curso_materia WHERE curso_materia.CUPOF='2680838' ) ,
    (SELECT horario.ID_HOR FROM horario WHERE horario.modulo='2 ' and horario.turno='T ' ),'MARTES ' , 'CONTRATURNO ' );</v>
      </c>
    </row>
    <row r="931" spans="1:34" ht="15" hidden="1" customHeight="1" x14ac:dyDescent="0.3">
      <c r="A931" s="1" t="str">
        <f t="shared" si="174"/>
        <v>6°1°</v>
      </c>
      <c r="B931" s="54" t="str">
        <f t="shared" si="177"/>
        <v>6°1°2MAVESPERTINO0</v>
      </c>
      <c r="C931" s="62">
        <f>VLOOKUP(G931,[1]Hoja1!$A:$O,3,0)</f>
        <v>0</v>
      </c>
      <c r="D931" s="2" t="str">
        <f t="shared" si="178"/>
        <v>2MAV</v>
      </c>
      <c r="E931" s="62" t="s">
        <v>19</v>
      </c>
      <c r="F931" s="62" t="s">
        <v>125</v>
      </c>
      <c r="G931" s="62" t="s">
        <v>199</v>
      </c>
      <c r="H931" s="8" t="str">
        <f>VLOOKUP(G931,[1]Hoja1!$A:$O,6,0)</f>
        <v>SISTEMA DIGITAL</v>
      </c>
      <c r="I931" s="4"/>
      <c r="J931" s="4"/>
      <c r="K931" s="80" t="str">
        <f t="shared" si="176"/>
        <v>MA</v>
      </c>
      <c r="L931" s="4"/>
      <c r="M931" s="86" t="str">
        <f>VLOOKUP(G931,[1]Hoja1!$A:$O,15,0)</f>
        <v>MONTES IVAN</v>
      </c>
      <c r="N931" s="2" t="str">
        <f t="shared" si="175"/>
        <v>6°1°6ISIDI6MA</v>
      </c>
      <c r="O931" s="2"/>
      <c r="P931" s="2" t="str">
        <f>VLOOKUP(G931,[1]Hoja1!$A:$P,16,0)</f>
        <v xml:space="preserve"> </v>
      </c>
      <c r="Q931" s="2"/>
      <c r="S931">
        <f>VLOOKUP(G931,[1]Hoja1!$A:$O,5,0)</f>
        <v>733383</v>
      </c>
      <c r="U931" s="45" t="s">
        <v>2751</v>
      </c>
      <c r="V931" s="46">
        <f t="shared" si="168"/>
        <v>733383</v>
      </c>
      <c r="W931" s="47" t="s">
        <v>1519</v>
      </c>
      <c r="X931" s="46" t="str">
        <f t="shared" si="169"/>
        <v>2</v>
      </c>
      <c r="Y931" s="47" t="s">
        <v>1518</v>
      </c>
      <c r="Z931" s="46" t="str">
        <f t="shared" si="170"/>
        <v>V</v>
      </c>
      <c r="AA931" s="47" t="s">
        <v>2752</v>
      </c>
      <c r="AB931" s="46" t="str">
        <f t="shared" si="171"/>
        <v>MARTES</v>
      </c>
      <c r="AC931" s="47" t="s">
        <v>2753</v>
      </c>
      <c r="AD931">
        <f t="shared" si="172"/>
        <v>0</v>
      </c>
      <c r="AE931" s="47" t="s">
        <v>2754</v>
      </c>
      <c r="AH931" t="str">
        <f t="shared" si="173"/>
        <v>INSERT INTO horario_curso_materia (horario_curso_materia.FK_CUR_mat,horario_curso_materia.FK_HOR,horario_curso_materia.DIA,horario_curso_materia.tipo_turno) VALUES (  (SELECT curso_materia.ID_CUR_MAT FROM curso_materia WHERE curso_materia.CUPOF='733383' ) ,
    (SELECT horario.ID_HOR FROM horario WHERE horario.modulo='2 ' and horario.turno='V ' ),'MARTES ' , '0 ' );</v>
      </c>
    </row>
    <row r="932" spans="1:34" ht="15" hidden="1" customHeight="1" x14ac:dyDescent="0.3">
      <c r="A932" s="1" t="str">
        <f t="shared" si="174"/>
        <v>6°1°</v>
      </c>
      <c r="B932" s="54" t="str">
        <f t="shared" si="177"/>
        <v>6°1°2MIMAÑANA0</v>
      </c>
      <c r="C932" s="62">
        <f>VLOOKUP(G932,[1]Hoja1!$A:$O,3,0)</f>
        <v>0</v>
      </c>
      <c r="D932" s="2" t="str">
        <f t="shared" si="178"/>
        <v>2MIMPATIO3</v>
      </c>
      <c r="E932" s="62" t="s">
        <v>26</v>
      </c>
      <c r="F932" s="62" t="s">
        <v>27</v>
      </c>
      <c r="G932" s="62" t="s">
        <v>447</v>
      </c>
      <c r="H932" s="8" t="str">
        <f>VLOOKUP(G932,[1]Hoja1!$A:$O,6,0)</f>
        <v>EDUCACIÓN FISICA</v>
      </c>
      <c r="I932" s="4" t="s">
        <v>252</v>
      </c>
      <c r="J932" s="4"/>
      <c r="K932" s="80" t="str">
        <f t="shared" si="176"/>
        <v>MI</v>
      </c>
      <c r="L932" s="4"/>
      <c r="M932" s="86" t="str">
        <f>VLOOKUP(G932,[1]Hoja1!$A:$O,15,0)</f>
        <v xml:space="preserve">MONTENEGRO LUIS   </v>
      </c>
      <c r="N932" s="2" t="str">
        <f t="shared" si="175"/>
        <v>6°1°6IEFISMI</v>
      </c>
      <c r="O932" s="2"/>
      <c r="P932" s="2" t="str">
        <f>VLOOKUP(G932,[1]Hoja1!$A:$P,16,0)</f>
        <v xml:space="preserve"> </v>
      </c>
      <c r="Q932" s="2"/>
      <c r="S932">
        <f>VLOOKUP(G932,[1]Hoja1!$A:$O,5,0)</f>
        <v>1180198</v>
      </c>
      <c r="U932" s="45" t="s">
        <v>2751</v>
      </c>
      <c r="V932" s="46">
        <f t="shared" si="168"/>
        <v>1180198</v>
      </c>
      <c r="W932" s="47" t="s">
        <v>1519</v>
      </c>
      <c r="X932" s="46" t="str">
        <f t="shared" si="169"/>
        <v>2</v>
      </c>
      <c r="Y932" s="47" t="s">
        <v>1518</v>
      </c>
      <c r="Z932" s="46" t="str">
        <f t="shared" si="170"/>
        <v>M</v>
      </c>
      <c r="AA932" s="47" t="s">
        <v>2752</v>
      </c>
      <c r="AB932" s="46" t="str">
        <f t="shared" si="171"/>
        <v>MIERCOLES</v>
      </c>
      <c r="AC932" s="47" t="s">
        <v>2753</v>
      </c>
      <c r="AD932">
        <f t="shared" si="172"/>
        <v>0</v>
      </c>
      <c r="AE932" s="47" t="s">
        <v>2754</v>
      </c>
      <c r="AH932" t="str">
        <f t="shared" si="173"/>
        <v>INSERT INTO horario_curso_materia (horario_curso_materia.FK_CUR_mat,horario_curso_materia.FK_HOR,horario_curso_materia.DIA,horario_curso_materia.tipo_turno) VALUES (  (SELECT curso_materia.ID_CUR_MAT FROM curso_materia WHERE curso_materia.CUPOF='1180198' ) ,
    (SELECT horario.ID_HOR FROM horario WHERE horario.modulo='2 ' and horario.turno='M ' ),'MIERCOLES ' , '0 ' );</v>
      </c>
    </row>
    <row r="933" spans="1:34" ht="15" hidden="1" customHeight="1" x14ac:dyDescent="0.3">
      <c r="A933" s="1" t="str">
        <f t="shared" si="174"/>
        <v>6°1°</v>
      </c>
      <c r="B933" s="54" t="str">
        <f t="shared" si="177"/>
        <v>6°1°2MATARDE612</v>
      </c>
      <c r="C933" s="62">
        <f>VLOOKUP(G933,[1]Hoja1!$A:$O,3,0)</f>
        <v>612</v>
      </c>
      <c r="D933" s="2" t="str">
        <f t="shared" si="178"/>
        <v>2MAT41</v>
      </c>
      <c r="E933" s="62" t="s">
        <v>19</v>
      </c>
      <c r="F933" s="62" t="s">
        <v>10</v>
      </c>
      <c r="G933" s="62" t="s">
        <v>202</v>
      </c>
      <c r="H933" s="8" t="str">
        <f>VLOOKUP(G933,[1]Hoja1!$A:$O,6,0)</f>
        <v xml:space="preserve">LAB DE SIST OPERATIVOS </v>
      </c>
      <c r="I933" s="4">
        <v>41</v>
      </c>
      <c r="J933" s="4"/>
      <c r="K933" s="80" t="str">
        <f t="shared" si="176"/>
        <v>MA</v>
      </c>
      <c r="L933" s="4" t="s">
        <v>512</v>
      </c>
      <c r="M933" s="86" t="str">
        <f>VLOOKUP(G933,[1]Hoja1!$A:$O,15,0)</f>
        <v>FERREYRA YESICA</v>
      </c>
      <c r="N933" s="2" t="str">
        <f t="shared" si="175"/>
        <v>6°1°6126IFHLS6MA</v>
      </c>
      <c r="O933" s="2"/>
      <c r="P933" s="2" t="str">
        <f>VLOOKUP(G933,[1]Hoja1!$A:$P,16,0)</f>
        <v xml:space="preserve"> </v>
      </c>
      <c r="Q933" s="2"/>
      <c r="S933">
        <f>VLOOKUP(G933,[1]Hoja1!$A:$O,5,0)</f>
        <v>2680848</v>
      </c>
      <c r="U933" s="45" t="s">
        <v>2751</v>
      </c>
      <c r="V933" s="46">
        <f t="shared" si="168"/>
        <v>2680848</v>
      </c>
      <c r="W933" s="47" t="s">
        <v>1519</v>
      </c>
      <c r="X933" s="46" t="str">
        <f t="shared" si="169"/>
        <v>2</v>
      </c>
      <c r="Y933" s="47" t="s">
        <v>1518</v>
      </c>
      <c r="Z933" s="46" t="str">
        <f t="shared" si="170"/>
        <v>T</v>
      </c>
      <c r="AA933" s="47" t="s">
        <v>2752</v>
      </c>
      <c r="AB933" s="46" t="str">
        <f t="shared" si="171"/>
        <v>MARTES</v>
      </c>
      <c r="AC933" s="47" t="s">
        <v>2753</v>
      </c>
      <c r="AD933" t="str">
        <f t="shared" si="172"/>
        <v>CONTRATURNO</v>
      </c>
      <c r="AE933" s="47" t="s">
        <v>2754</v>
      </c>
      <c r="AH933" t="str">
        <f t="shared" si="173"/>
        <v>INSERT INTO horario_curso_materia (horario_curso_materia.FK_CUR_mat,horario_curso_materia.FK_HOR,horario_curso_materia.DIA,horario_curso_materia.tipo_turno) VALUES (  (SELECT curso_materia.ID_CUR_MAT FROM curso_materia WHERE curso_materia.CUPOF='2680848' ) ,
    (SELECT horario.ID_HOR FROM horario WHERE horario.modulo='2 ' and horario.turno='T ' ),'MARTES ' , 'CONTRATURNO ' );</v>
      </c>
    </row>
    <row r="934" spans="1:34" ht="15" hidden="1" customHeight="1" x14ac:dyDescent="0.3">
      <c r="A934" s="1" t="str">
        <f t="shared" si="174"/>
        <v>6°1°</v>
      </c>
      <c r="B934" s="54" t="str">
        <f t="shared" si="177"/>
        <v>6°1°2MIVESPERTINO0</v>
      </c>
      <c r="C934" s="62">
        <f>VLOOKUP(G934,[1]Hoja1!$A:$O,3,0)</f>
        <v>0</v>
      </c>
      <c r="D934" s="2" t="str">
        <f t="shared" si="178"/>
        <v>2MIV</v>
      </c>
      <c r="E934" s="62" t="s">
        <v>26</v>
      </c>
      <c r="F934" s="62" t="s">
        <v>125</v>
      </c>
      <c r="G934" s="62" t="s">
        <v>443</v>
      </c>
      <c r="H934" s="8" t="str">
        <f>VLOOKUP(G934,[1]Hoja1!$A:$O,6,0)</f>
        <v>FILOSOFIA</v>
      </c>
      <c r="I934" s="4"/>
      <c r="J934" s="4"/>
      <c r="K934" s="80" t="str">
        <f t="shared" si="176"/>
        <v>MI</v>
      </c>
      <c r="L934" s="4"/>
      <c r="M934" s="86" t="str">
        <f>VLOOKUP(G934,[1]Hoja1!$A:$O,15,0)</f>
        <v>LETIERI, MANUEL</v>
      </c>
      <c r="N934" s="2" t="str">
        <f t="shared" si="175"/>
        <v>6°1°6IFILOMI</v>
      </c>
      <c r="O934" s="2"/>
      <c r="P934" s="2" t="str">
        <f>VLOOKUP(G934,[1]Hoja1!$A:$P,16,0)</f>
        <v xml:space="preserve"> </v>
      </c>
      <c r="Q934" s="2"/>
      <c r="S934">
        <f>VLOOKUP(G934,[1]Hoja1!$A:$O,5,0)</f>
        <v>733732</v>
      </c>
      <c r="U934" s="45" t="s">
        <v>2751</v>
      </c>
      <c r="V934" s="46">
        <f t="shared" si="168"/>
        <v>733732</v>
      </c>
      <c r="W934" s="47" t="s">
        <v>1519</v>
      </c>
      <c r="X934" s="46" t="str">
        <f t="shared" si="169"/>
        <v>2</v>
      </c>
      <c r="Y934" s="47" t="s">
        <v>1518</v>
      </c>
      <c r="Z934" s="46" t="str">
        <f t="shared" si="170"/>
        <v>V</v>
      </c>
      <c r="AA934" s="47" t="s">
        <v>2752</v>
      </c>
      <c r="AB934" s="46" t="str">
        <f t="shared" si="171"/>
        <v>MIERCOLES</v>
      </c>
      <c r="AC934" s="47" t="s">
        <v>2753</v>
      </c>
      <c r="AD934">
        <f t="shared" si="172"/>
        <v>0</v>
      </c>
      <c r="AE934" s="47" t="s">
        <v>2754</v>
      </c>
      <c r="AH934" t="str">
        <f t="shared" si="173"/>
        <v>INSERT INTO horario_curso_materia (horario_curso_materia.FK_CUR_mat,horario_curso_materia.FK_HOR,horario_curso_materia.DIA,horario_curso_materia.tipo_turno) VALUES (  (SELECT curso_materia.ID_CUR_MAT FROM curso_materia WHERE curso_materia.CUPOF='733732' ) ,
    (SELECT horario.ID_HOR FROM horario WHERE horario.modulo='2 ' and horario.turno='V ' ),'MIERCOLES ' , '0 ' );</v>
      </c>
    </row>
    <row r="935" spans="1:34" ht="15" hidden="1" customHeight="1" x14ac:dyDescent="0.3">
      <c r="A935" s="1" t="str">
        <f t="shared" si="174"/>
        <v>6°1°</v>
      </c>
      <c r="B935" s="54" t="str">
        <f t="shared" si="177"/>
        <v>6°1°4miMAÑANA611</v>
      </c>
      <c r="C935" s="62">
        <f>VLOOKUP(G935,[1]Hoja1!$A:$O,3,0)</f>
        <v>611</v>
      </c>
      <c r="D935" s="2" t="str">
        <f t="shared" si="178"/>
        <v>4miM40</v>
      </c>
      <c r="E935" s="62" t="s">
        <v>1344</v>
      </c>
      <c r="F935" s="62" t="s">
        <v>27</v>
      </c>
      <c r="G935" s="62" t="s">
        <v>200</v>
      </c>
      <c r="H935" s="8" t="str">
        <f>VLOOKUP(G935,[1]Hoja1!$A:$O,6,0)</f>
        <v xml:space="preserve">LAB DE PROGRAM </v>
      </c>
      <c r="I935" s="4">
        <v>40</v>
      </c>
      <c r="J935" s="4"/>
      <c r="K935" s="80" t="str">
        <f t="shared" si="176"/>
        <v>mi</v>
      </c>
      <c r="L935" s="4" t="s">
        <v>512</v>
      </c>
      <c r="M935" s="86" t="str">
        <f>VLOOKUP(G935,[1]Hoja1!$A:$O,15,0)</f>
        <v>FERREYRA JESICA</v>
      </c>
      <c r="N935" s="2" t="str">
        <f t="shared" si="175"/>
        <v>6°1°6116IFTLP6mi</v>
      </c>
      <c r="O935" s="2"/>
      <c r="P935" s="2" t="str">
        <f>VLOOKUP(G935,[1]Hoja1!$A:$P,16,0)</f>
        <v xml:space="preserve"> </v>
      </c>
      <c r="Q935" s="2">
        <v>1</v>
      </c>
      <c r="S935">
        <f>VLOOKUP(G935,[1]Hoja1!$A:$O,5,0)</f>
        <v>2680835</v>
      </c>
      <c r="U935" s="45" t="s">
        <v>2751</v>
      </c>
      <c r="V935" s="46">
        <f t="shared" si="168"/>
        <v>2680835</v>
      </c>
      <c r="W935" s="47" t="s">
        <v>1519</v>
      </c>
      <c r="X935" s="46" t="str">
        <f t="shared" si="169"/>
        <v>4</v>
      </c>
      <c r="Y935" s="47" t="s">
        <v>1518</v>
      </c>
      <c r="Z935" s="46" t="str">
        <f t="shared" si="170"/>
        <v>M</v>
      </c>
      <c r="AA935" s="47" t="s">
        <v>2752</v>
      </c>
      <c r="AB935" s="46" t="str">
        <f t="shared" si="171"/>
        <v>MIERCOLES</v>
      </c>
      <c r="AC935" s="47" t="s">
        <v>2753</v>
      </c>
      <c r="AD935" t="str">
        <f t="shared" si="172"/>
        <v>CONTRATURNO</v>
      </c>
      <c r="AE935" s="47" t="s">
        <v>2754</v>
      </c>
      <c r="AH935" t="str">
        <f t="shared" si="173"/>
        <v>INSERT INTO horario_curso_materia (horario_curso_materia.FK_CUR_mat,horario_curso_materia.FK_HOR,horario_curso_materia.DIA,horario_curso_materia.tipo_turno) VALUES (  (SELECT curso_materia.ID_CUR_MAT FROM curso_materia WHERE curso_materia.CUPOF='2680835' ) ,
    (SELECT horario.ID_HOR FROM horario WHERE horario.modulo='4 ' and horario.turno='M ' ),'MIERCOLES ' , 'CONTRATURNO ' );</v>
      </c>
    </row>
    <row r="936" spans="1:34" ht="15" hidden="1" customHeight="1" x14ac:dyDescent="0.3">
      <c r="A936" s="1" t="str">
        <f t="shared" si="174"/>
        <v>6°1°</v>
      </c>
      <c r="B936" s="54" t="str">
        <f t="shared" si="177"/>
        <v>6°1°2VIVESPERTINO0</v>
      </c>
      <c r="C936" s="62">
        <f>VLOOKUP(G936,[1]Hoja1!$A:$O,3,0)</f>
        <v>0</v>
      </c>
      <c r="D936" s="2" t="str">
        <f t="shared" si="178"/>
        <v>2VIV</v>
      </c>
      <c r="E936" s="62" t="s">
        <v>59</v>
      </c>
      <c r="F936" s="62" t="s">
        <v>125</v>
      </c>
      <c r="G936" s="62" t="s">
        <v>446</v>
      </c>
      <c r="H936" s="8" t="str">
        <f>VLOOKUP(G936,[1]Hoja1!$A:$O,6,0)</f>
        <v>SEGURIDAD INFORMATICA</v>
      </c>
      <c r="I936" s="4"/>
      <c r="J936" s="4"/>
      <c r="K936" s="80" t="str">
        <f t="shared" si="176"/>
        <v>VI</v>
      </c>
      <c r="L936" s="4"/>
      <c r="M936" s="86" t="str">
        <f>VLOOKUP(G936,[1]Hoja1!$A:$O,15,0)</f>
        <v>MONTENEGRO CLAUIDA</v>
      </c>
      <c r="N936" s="2" t="str">
        <f t="shared" si="175"/>
        <v>6°1°6ISEINVI</v>
      </c>
      <c r="O936" s="2"/>
      <c r="P936" s="2" t="str">
        <f>VLOOKUP(G936,[1]Hoja1!$A:$P,16,0)</f>
        <v xml:space="preserve"> </v>
      </c>
      <c r="Q936" s="2"/>
      <c r="S936">
        <f>VLOOKUP(G936,[1]Hoja1!$A:$O,5,0)</f>
        <v>2680832</v>
      </c>
      <c r="U936" s="45" t="s">
        <v>2751</v>
      </c>
      <c r="V936" s="46">
        <f t="shared" si="168"/>
        <v>2680832</v>
      </c>
      <c r="W936" s="47" t="s">
        <v>1519</v>
      </c>
      <c r="X936" s="46" t="str">
        <f t="shared" si="169"/>
        <v>2</v>
      </c>
      <c r="Y936" s="47" t="s">
        <v>1518</v>
      </c>
      <c r="Z936" s="46" t="str">
        <f t="shared" si="170"/>
        <v>V</v>
      </c>
      <c r="AA936" s="47" t="s">
        <v>2752</v>
      </c>
      <c r="AB936" s="46" t="str">
        <f t="shared" si="171"/>
        <v>VIERNES</v>
      </c>
      <c r="AC936" s="47" t="s">
        <v>2753</v>
      </c>
      <c r="AD936">
        <f t="shared" si="172"/>
        <v>0</v>
      </c>
      <c r="AE936" s="47" t="s">
        <v>2754</v>
      </c>
      <c r="AH936" t="str">
        <f t="shared" si="173"/>
        <v>INSERT INTO horario_curso_materia (horario_curso_materia.FK_CUR_mat,horario_curso_materia.FK_HOR,horario_curso_materia.DIA,horario_curso_materia.tipo_turno) VALUES (  (SELECT curso_materia.ID_CUR_MAT FROM curso_materia WHERE curso_materia.CUPOF='2680832' ) ,
    (SELECT horario.ID_HOR FROM horario WHERE horario.modulo='2 ' and horario.turno='V ' ),'VIERNES ' , '0 ' );</v>
      </c>
    </row>
    <row r="937" spans="1:34" ht="15" hidden="1" customHeight="1" x14ac:dyDescent="0.3">
      <c r="A937" s="1" t="str">
        <f t="shared" si="174"/>
        <v>6°1°</v>
      </c>
      <c r="B937" s="54" t="str">
        <f t="shared" si="177"/>
        <v>6°1°3JUTARDE0</v>
      </c>
      <c r="C937" s="62">
        <f>VLOOKUP(G937,[1]Hoja1!$A:$O,3,0)</f>
        <v>0</v>
      </c>
      <c r="D937" s="2" t="str">
        <f t="shared" si="178"/>
        <v>3JUT47</v>
      </c>
      <c r="E937" s="62" t="s">
        <v>46</v>
      </c>
      <c r="F937" s="62" t="s">
        <v>10</v>
      </c>
      <c r="G937" s="62" t="s">
        <v>440</v>
      </c>
      <c r="H937" s="8" t="str">
        <f>VLOOKUP(G937,[1]Hoja1!$A:$O,6,0)</f>
        <v>INVESTIGACION OPERATIVA</v>
      </c>
      <c r="I937" s="4">
        <v>47</v>
      </c>
      <c r="J937" s="4"/>
      <c r="K937" s="80" t="str">
        <f t="shared" si="176"/>
        <v>JU</v>
      </c>
      <c r="L937" s="4" t="s">
        <v>512</v>
      </c>
      <c r="M937" s="86" t="str">
        <f>VLOOKUP(G937,[1]Hoja1!$A:$O,15,0)</f>
        <v>VALDES MARIA</v>
      </c>
      <c r="N937" s="2" t="str">
        <f t="shared" si="175"/>
        <v>6°1°6IINVOPJU</v>
      </c>
      <c r="O937" s="2"/>
      <c r="P937" s="2" t="str">
        <f>VLOOKUP(G937,[1]Hoja1!$A:$P,16,0)</f>
        <v xml:space="preserve"> </v>
      </c>
      <c r="Q937" s="2"/>
      <c r="S937">
        <f>VLOOKUP(G937,[1]Hoja1!$A:$O,5,0)</f>
        <v>2680830</v>
      </c>
      <c r="U937" s="45" t="s">
        <v>2751</v>
      </c>
      <c r="V937" s="46">
        <f t="shared" si="168"/>
        <v>2680830</v>
      </c>
      <c r="W937" s="47" t="s">
        <v>1519</v>
      </c>
      <c r="X937" s="46" t="str">
        <f t="shared" si="169"/>
        <v>3</v>
      </c>
      <c r="Y937" s="47" t="s">
        <v>1518</v>
      </c>
      <c r="Z937" s="46" t="str">
        <f t="shared" si="170"/>
        <v>T</v>
      </c>
      <c r="AA937" s="47" t="s">
        <v>2752</v>
      </c>
      <c r="AB937" s="46" t="str">
        <f t="shared" si="171"/>
        <v>JUEVES</v>
      </c>
      <c r="AC937" s="47" t="s">
        <v>2753</v>
      </c>
      <c r="AD937" t="str">
        <f t="shared" si="172"/>
        <v>CONTRATURNO</v>
      </c>
      <c r="AE937" s="47" t="s">
        <v>2754</v>
      </c>
      <c r="AH937" t="str">
        <f t="shared" si="173"/>
        <v>INSERT INTO horario_curso_materia (horario_curso_materia.FK_CUR_mat,horario_curso_materia.FK_HOR,horario_curso_materia.DIA,horario_curso_materia.tipo_turno) VALUES (  (SELECT curso_materia.ID_CUR_MAT FROM curso_materia WHERE curso_materia.CUPOF='2680830' ) ,
    (SELECT horario.ID_HOR FROM horario WHERE horario.modulo='3 ' and horario.turno='T ' ),'JUEVES ' , 'CONTRATURNO ' );</v>
      </c>
    </row>
    <row r="938" spans="1:34" ht="15" hidden="1" customHeight="1" x14ac:dyDescent="0.3">
      <c r="A938" s="1" t="str">
        <f t="shared" si="174"/>
        <v>6°1°</v>
      </c>
      <c r="B938" s="54" t="str">
        <f t="shared" si="177"/>
        <v>6°1°3JUVESPERTINO0</v>
      </c>
      <c r="C938" s="62">
        <f>VLOOKUP(G938,[1]Hoja1!$A:$O,3,0)</f>
        <v>0</v>
      </c>
      <c r="D938" s="2" t="str">
        <f t="shared" si="178"/>
        <v>3JUV</v>
      </c>
      <c r="E938" s="62" t="s">
        <v>46</v>
      </c>
      <c r="F938" s="62" t="s">
        <v>125</v>
      </c>
      <c r="G938" s="62" t="s">
        <v>445</v>
      </c>
      <c r="H938" s="8" t="str">
        <f>VLOOKUP(G938,[1]Hoja1!$A:$O,6,0)</f>
        <v>LITERATURA</v>
      </c>
      <c r="I938" s="4"/>
      <c r="J938" s="4"/>
      <c r="K938" s="80" t="str">
        <f t="shared" si="176"/>
        <v>JU</v>
      </c>
      <c r="L938" s="4"/>
      <c r="M938" s="86" t="str">
        <f>VLOOKUP(G938,[1]Hoja1!$A:$O,15,0)</f>
        <v>ALFONSO D INT 2026</v>
      </c>
      <c r="N938" s="2" t="str">
        <f t="shared" si="175"/>
        <v>6°1°6ILITSJU</v>
      </c>
      <c r="O938" s="2"/>
      <c r="P938" s="2" t="str">
        <f>VLOOKUP(G938,[1]Hoja1!$A:$P,16,0)</f>
        <v xml:space="preserve"> </v>
      </c>
      <c r="Q938" s="2"/>
      <c r="S938">
        <f>VLOOKUP(G938,[1]Hoja1!$A:$O,5,0)</f>
        <v>733438</v>
      </c>
      <c r="U938" s="45" t="s">
        <v>2751</v>
      </c>
      <c r="V938" s="46">
        <f t="shared" si="168"/>
        <v>733438</v>
      </c>
      <c r="W938" s="47" t="s">
        <v>1519</v>
      </c>
      <c r="X938" s="46" t="str">
        <f t="shared" si="169"/>
        <v>3</v>
      </c>
      <c r="Y938" s="47" t="s">
        <v>1518</v>
      </c>
      <c r="Z938" s="46" t="str">
        <f t="shared" si="170"/>
        <v>V</v>
      </c>
      <c r="AA938" s="47" t="s">
        <v>2752</v>
      </c>
      <c r="AB938" s="46" t="str">
        <f t="shared" si="171"/>
        <v>JUEVES</v>
      </c>
      <c r="AC938" s="47" t="s">
        <v>2753</v>
      </c>
      <c r="AD938">
        <f t="shared" si="172"/>
        <v>0</v>
      </c>
      <c r="AE938" s="47" t="s">
        <v>2754</v>
      </c>
      <c r="AH938" t="str">
        <f t="shared" si="173"/>
        <v>INSERT INTO horario_curso_materia (horario_curso_materia.FK_CUR_mat,horario_curso_materia.FK_HOR,horario_curso_materia.DIA,horario_curso_materia.tipo_turno) VALUES (  (SELECT curso_materia.ID_CUR_MAT FROM curso_materia WHERE curso_materia.CUPOF='733438' ) ,
    (SELECT horario.ID_HOR FROM horario WHERE horario.modulo='3 ' and horario.turno='V ' ),'JUEVES ' , '0 ' );</v>
      </c>
    </row>
    <row r="939" spans="1:34" ht="15" hidden="1" customHeight="1" x14ac:dyDescent="0.3">
      <c r="A939" s="1" t="str">
        <f t="shared" si="174"/>
        <v>6°1°</v>
      </c>
      <c r="B939" s="54" t="str">
        <f t="shared" si="177"/>
        <v>6°1°3LUTARDE611</v>
      </c>
      <c r="C939" s="62">
        <f>VLOOKUP(G939,[1]Hoja1!$A:$O,3,0)</f>
        <v>611</v>
      </c>
      <c r="D939" s="2" t="str">
        <f t="shared" si="178"/>
        <v>3LUT41</v>
      </c>
      <c r="E939" s="62" t="s">
        <v>29</v>
      </c>
      <c r="F939" s="62" t="s">
        <v>10</v>
      </c>
      <c r="G939" s="62" t="s">
        <v>194</v>
      </c>
      <c r="H939" s="8" t="str">
        <f>VLOOKUP(G939,[1]Hoja1!$A:$O,6,0)</f>
        <v xml:space="preserve">LAB DE HARDWARE </v>
      </c>
      <c r="I939" s="4">
        <v>41</v>
      </c>
      <c r="J939" s="4"/>
      <c r="K939" s="80" t="str">
        <f t="shared" si="176"/>
        <v>LU</v>
      </c>
      <c r="L939" s="4" t="s">
        <v>512</v>
      </c>
      <c r="M939" s="86" t="str">
        <f>VLOOKUP(G939,[1]Hoja1!$A:$O,15,0)</f>
        <v>ROCHA JULIETA</v>
      </c>
      <c r="N939" s="2" t="str">
        <f t="shared" si="175"/>
        <v>6°1°6116IFTLH6LU</v>
      </c>
      <c r="O939" s="2" t="s">
        <v>1498</v>
      </c>
      <c r="P939" s="2" t="str">
        <f>VLOOKUP(G939,[1]Hoja1!$A:$P,16,0)</f>
        <v xml:space="preserve"> </v>
      </c>
      <c r="Q939" s="2"/>
      <c r="S939">
        <f>VLOOKUP(G939,[1]Hoja1!$A:$O,5,0)</f>
        <v>2680836</v>
      </c>
      <c r="U939" s="45" t="s">
        <v>2751</v>
      </c>
      <c r="V939" s="46">
        <f t="shared" si="168"/>
        <v>2680836</v>
      </c>
      <c r="W939" s="47" t="s">
        <v>1519</v>
      </c>
      <c r="X939" s="46" t="str">
        <f t="shared" si="169"/>
        <v>3</v>
      </c>
      <c r="Y939" s="47" t="s">
        <v>1518</v>
      </c>
      <c r="Z939" s="46" t="str">
        <f t="shared" si="170"/>
        <v>T</v>
      </c>
      <c r="AA939" s="47" t="s">
        <v>2752</v>
      </c>
      <c r="AB939" s="46" t="str">
        <f t="shared" si="171"/>
        <v>LUNES</v>
      </c>
      <c r="AC939" s="47" t="s">
        <v>2753</v>
      </c>
      <c r="AD939" t="str">
        <f t="shared" si="172"/>
        <v>CONTRATURNO</v>
      </c>
      <c r="AE939" s="47" t="s">
        <v>2754</v>
      </c>
      <c r="AH939" t="str">
        <f t="shared" si="173"/>
        <v>INSERT INTO horario_curso_materia (horario_curso_materia.FK_CUR_mat,horario_curso_materia.FK_HOR,horario_curso_materia.DIA,horario_curso_materia.tipo_turno) VALUES (  (SELECT curso_materia.ID_CUR_MAT FROM curso_materia WHERE curso_materia.CUPOF='2680836' ) ,
    (SELECT horario.ID_HOR FROM horario WHERE horario.modulo='3 ' and horario.turno='T ' ),'LUNES ' , 'CONTRATURNO ' );</v>
      </c>
    </row>
    <row r="940" spans="1:34" ht="15" hidden="1" customHeight="1" x14ac:dyDescent="0.3">
      <c r="A940" s="1" t="str">
        <f t="shared" si="174"/>
        <v>6°1°</v>
      </c>
      <c r="B940" s="54" t="str">
        <f t="shared" si="177"/>
        <v>6°1°3miTARDE612</v>
      </c>
      <c r="C940" s="62">
        <f>VLOOKUP(G940,[1]Hoja1!$A:$O,3,0)</f>
        <v>612</v>
      </c>
      <c r="D940" s="2" t="str">
        <f t="shared" si="178"/>
        <v>3miT41</v>
      </c>
      <c r="E940" s="62" t="s">
        <v>1331</v>
      </c>
      <c r="F940" s="62" t="s">
        <v>10</v>
      </c>
      <c r="G940" s="62" t="s">
        <v>195</v>
      </c>
      <c r="H940" s="8" t="str">
        <f>VLOOKUP(G940,[1]Hoja1!$A:$O,6,0)</f>
        <v xml:space="preserve">LAB DE HARDWARE </v>
      </c>
      <c r="I940" s="4">
        <v>41</v>
      </c>
      <c r="J940" s="4"/>
      <c r="K940" s="80" t="str">
        <f t="shared" si="176"/>
        <v>mi</v>
      </c>
      <c r="L940" s="4" t="s">
        <v>512</v>
      </c>
      <c r="M940" s="86" t="str">
        <f>VLOOKUP(G940,[1]Hoja1!$A:$O,15,0)</f>
        <v>MONTENEGRO CLAUIDA</v>
      </c>
      <c r="N940" s="2" t="str">
        <f t="shared" si="175"/>
        <v>6°1°6126IFTLH6mi</v>
      </c>
      <c r="O940" s="2"/>
      <c r="P940" s="2" t="str">
        <f>VLOOKUP(G940,[1]Hoja1!$A:$P,16,0)</f>
        <v xml:space="preserve"> </v>
      </c>
      <c r="Q940" s="2"/>
      <c r="S940">
        <f>VLOOKUP(G940,[1]Hoja1!$A:$O,5,0)</f>
        <v>2680845</v>
      </c>
      <c r="U940" s="45" t="s">
        <v>2751</v>
      </c>
      <c r="V940" s="46">
        <f t="shared" si="168"/>
        <v>2680845</v>
      </c>
      <c r="W940" s="47" t="s">
        <v>1519</v>
      </c>
      <c r="X940" s="46" t="str">
        <f t="shared" si="169"/>
        <v>3</v>
      </c>
      <c r="Y940" s="47" t="s">
        <v>1518</v>
      </c>
      <c r="Z940" s="46" t="str">
        <f t="shared" si="170"/>
        <v>T</v>
      </c>
      <c r="AA940" s="47" t="s">
        <v>2752</v>
      </c>
      <c r="AB940" s="46" t="str">
        <f t="shared" si="171"/>
        <v>MIERCOLES</v>
      </c>
      <c r="AC940" s="47" t="s">
        <v>2753</v>
      </c>
      <c r="AD940" t="str">
        <f t="shared" si="172"/>
        <v>CONTRATURNO</v>
      </c>
      <c r="AE940" s="47" t="s">
        <v>2754</v>
      </c>
      <c r="AH940" t="str">
        <f t="shared" si="173"/>
        <v>INSERT INTO horario_curso_materia (horario_curso_materia.FK_CUR_mat,horario_curso_materia.FK_HOR,horario_curso_materia.DIA,horario_curso_materia.tipo_turno) VALUES (  (SELECT curso_materia.ID_CUR_MAT FROM curso_materia WHERE curso_materia.CUPOF='2680845' ) ,
    (SELECT horario.ID_HOR FROM horario WHERE horario.modulo='3 ' and horario.turno='T ' ),'MIERCOLES ' , 'CONTRATURNO ' );</v>
      </c>
    </row>
    <row r="941" spans="1:34" ht="15" hidden="1" customHeight="1" x14ac:dyDescent="0.3">
      <c r="A941" s="1" t="str">
        <f t="shared" si="174"/>
        <v>6°1°</v>
      </c>
      <c r="B941" s="54" t="str">
        <f t="shared" si="177"/>
        <v>6°1°3LUVESPERTINO0</v>
      </c>
      <c r="C941" s="62">
        <f>VLOOKUP(G941,[1]Hoja1!$A:$O,3,0)</f>
        <v>0</v>
      </c>
      <c r="D941" s="2" t="str">
        <f t="shared" si="178"/>
        <v>3LUV</v>
      </c>
      <c r="E941" s="62" t="s">
        <v>29</v>
      </c>
      <c r="F941" s="62" t="s">
        <v>125</v>
      </c>
      <c r="G941" s="62" t="s">
        <v>441</v>
      </c>
      <c r="H941" s="8" t="str">
        <f>VLOOKUP(G941,[1]Hoja1!$A:$O,6,0)</f>
        <v>ARTE</v>
      </c>
      <c r="I941" s="4"/>
      <c r="J941" s="4"/>
      <c r="K941" s="80" t="str">
        <f t="shared" si="176"/>
        <v>LU</v>
      </c>
      <c r="L941" s="4"/>
      <c r="M941" s="86" t="str">
        <f>VLOOKUP(G941,[1]Hoja1!$A:$O,15,0)</f>
        <v>GOMEZ MARCELA</v>
      </c>
      <c r="N941" s="2" t="str">
        <f t="shared" si="175"/>
        <v>6°1°6IARTELU</v>
      </c>
      <c r="O941" s="2"/>
      <c r="P941" s="2" t="str">
        <f>VLOOKUP(G941,[1]Hoja1!$A:$P,16,0)</f>
        <v xml:space="preserve"> </v>
      </c>
      <c r="Q941" s="2"/>
      <c r="S941">
        <f>VLOOKUP(G941,[1]Hoja1!$A:$O,5,0)</f>
        <v>733731</v>
      </c>
      <c r="U941" s="45" t="s">
        <v>2751</v>
      </c>
      <c r="V941" s="46">
        <f t="shared" ref="V941:V999" si="179">S941</f>
        <v>733731</v>
      </c>
      <c r="W941" s="47" t="s">
        <v>1519</v>
      </c>
      <c r="X941" s="46" t="str">
        <f t="shared" ref="X941:X999" si="180">IF(LEFT(E941,1)="p","prehora",LEFT(E941,1))</f>
        <v>3</v>
      </c>
      <c r="Y941" s="47" t="s">
        <v>1518</v>
      </c>
      <c r="Z941" s="46" t="str">
        <f t="shared" ref="Z941:Z999" si="181">LEFT(F941,1)</f>
        <v>V</v>
      </c>
      <c r="AA941" s="47" t="s">
        <v>2752</v>
      </c>
      <c r="AB941" s="46" t="str">
        <f t="shared" ref="AB941:AB999" si="182">IF(IF(LEFT(E941,1)="p",MID(E941,8,2),MID(E941,2,2))="lu","LUNES",IF(IF(LEFT(E941,1)="p",MID(E941,8,2),MID(E941,2,2))="ma","MARTES",IF(IF(LEFT(E941,1)="p",MID(E941,8,2),MID(E941,2,2))="MI","MIERCOLES",IF(IF(LEFT(E941,1)="p",MID(E941,8,2),MID(E941,2,2))="JU","JUEVES",IF(IF(LEFT(E941,1)="p",MID(E941,8,2),MID(E941,2,2))="vi","VIERNES","")))))</f>
        <v>LUNES</v>
      </c>
      <c r="AC941" s="47" t="s">
        <v>2753</v>
      </c>
      <c r="AD941">
        <f t="shared" ref="AD941:AD999" si="183">L941</f>
        <v>0</v>
      </c>
      <c r="AE941" s="47" t="s">
        <v>2754</v>
      </c>
      <c r="AH941" t="str">
        <f t="shared" ref="AH941:AH999" si="184">U941&amp;V941&amp;W941&amp;X941&amp;Y941&amp;Z941&amp;AA941&amp;AB941&amp;AC941&amp;AD941&amp;AE941</f>
        <v>INSERT INTO horario_curso_materia (horario_curso_materia.FK_CUR_mat,horario_curso_materia.FK_HOR,horario_curso_materia.DIA,horario_curso_materia.tipo_turno) VALUES (  (SELECT curso_materia.ID_CUR_MAT FROM curso_materia WHERE curso_materia.CUPOF='733731' ) ,
    (SELECT horario.ID_HOR FROM horario WHERE horario.modulo='3 ' and horario.turno='V ' ),'LUNES ' , '0 ' );</v>
      </c>
    </row>
    <row r="942" spans="1:34" ht="15" hidden="1" customHeight="1" x14ac:dyDescent="0.3">
      <c r="A942" s="1" t="str">
        <f t="shared" si="174"/>
        <v>6°1°</v>
      </c>
      <c r="B942" s="54" t="str">
        <f t="shared" si="177"/>
        <v>6°1°3MATARDE611</v>
      </c>
      <c r="C942" s="62">
        <f>VLOOKUP(G942,[1]Hoja1!$A:$O,3,0)</f>
        <v>611</v>
      </c>
      <c r="D942" s="2" t="str">
        <f t="shared" si="178"/>
        <v>3MAT40</v>
      </c>
      <c r="E942" s="62" t="s">
        <v>13</v>
      </c>
      <c r="F942" s="62" t="s">
        <v>10</v>
      </c>
      <c r="G942" s="62" t="s">
        <v>197</v>
      </c>
      <c r="H942" s="3" t="str">
        <f>VLOOKUP(G942,[1]Hoja1!$A:$O,6,0)</f>
        <v xml:space="preserve">LAB DE SIST OPERATIVOS </v>
      </c>
      <c r="I942" s="17">
        <v>40</v>
      </c>
      <c r="J942" s="17"/>
      <c r="K942" s="81" t="str">
        <f t="shared" si="176"/>
        <v>MA</v>
      </c>
      <c r="L942" s="17" t="s">
        <v>512</v>
      </c>
      <c r="M942" s="87" t="str">
        <f>VLOOKUP(G942,[1]Hoja1!$A:$O,15,0)</f>
        <v>VILLALVA ESTEBAN</v>
      </c>
      <c r="N942" s="2" t="str">
        <f t="shared" si="175"/>
        <v>6°1°6116IFHLS6MA</v>
      </c>
      <c r="O942" s="2"/>
      <c r="P942" s="2" t="str">
        <f>VLOOKUP(G942,[1]Hoja1!$A:$P,16,0)</f>
        <v xml:space="preserve"> </v>
      </c>
      <c r="Q942" s="2"/>
      <c r="S942">
        <f>VLOOKUP(G942,[1]Hoja1!$A:$O,5,0)</f>
        <v>2680838</v>
      </c>
      <c r="U942" s="45" t="s">
        <v>2751</v>
      </c>
      <c r="V942" s="46">
        <f t="shared" si="179"/>
        <v>2680838</v>
      </c>
      <c r="W942" s="47" t="s">
        <v>1519</v>
      </c>
      <c r="X942" s="46" t="str">
        <f t="shared" si="180"/>
        <v>3</v>
      </c>
      <c r="Y942" s="47" t="s">
        <v>1518</v>
      </c>
      <c r="Z942" s="46" t="str">
        <f t="shared" si="181"/>
        <v>T</v>
      </c>
      <c r="AA942" s="47" t="s">
        <v>2752</v>
      </c>
      <c r="AB942" s="46" t="str">
        <f t="shared" si="182"/>
        <v>MARTES</v>
      </c>
      <c r="AC942" s="47" t="s">
        <v>2753</v>
      </c>
      <c r="AD942" t="str">
        <f t="shared" si="183"/>
        <v>CONTRATURNO</v>
      </c>
      <c r="AE942" s="47" t="s">
        <v>2754</v>
      </c>
      <c r="AH942" t="str">
        <f t="shared" si="184"/>
        <v>INSERT INTO horario_curso_materia (horario_curso_materia.FK_CUR_mat,horario_curso_materia.FK_HOR,horario_curso_materia.DIA,horario_curso_materia.tipo_turno) VALUES (  (SELECT curso_materia.ID_CUR_MAT FROM curso_materia WHERE curso_materia.CUPOF='2680838' ) ,
    (SELECT horario.ID_HOR FROM horario WHERE horario.modulo='3 ' and horario.turno='T ' ),'MARTES ' , 'CONTRATURNO ' );</v>
      </c>
    </row>
    <row r="943" spans="1:34" ht="15" hidden="1" customHeight="1" x14ac:dyDescent="0.3">
      <c r="A943" s="1" t="str">
        <f t="shared" si="174"/>
        <v>6°1°</v>
      </c>
      <c r="B943" s="54" t="str">
        <f t="shared" si="177"/>
        <v>6°1°3MAVESPERTINO0</v>
      </c>
      <c r="C943" s="62">
        <f>VLOOKUP(G943,[1]Hoja1!$A:$O,3,0)</f>
        <v>0</v>
      </c>
      <c r="D943" s="2" t="str">
        <f t="shared" si="178"/>
        <v>3MAV</v>
      </c>
      <c r="E943" s="62" t="s">
        <v>13</v>
      </c>
      <c r="F943" s="62" t="s">
        <v>125</v>
      </c>
      <c r="G943" s="62" t="s">
        <v>199</v>
      </c>
      <c r="H943" s="8" t="str">
        <f>VLOOKUP(G943,[1]Hoja1!$A:$O,6,0)</f>
        <v>SISTEMA DIGITAL</v>
      </c>
      <c r="I943" s="4"/>
      <c r="J943" s="4"/>
      <c r="K943" s="80" t="str">
        <f t="shared" si="176"/>
        <v>MA</v>
      </c>
      <c r="L943" s="4"/>
      <c r="M943" s="86" t="str">
        <f>VLOOKUP(G943,[1]Hoja1!$A:$O,15,0)</f>
        <v>MONTES IVAN</v>
      </c>
      <c r="N943" s="2" t="str">
        <f t="shared" si="175"/>
        <v>6°1°6ISIDI6MA</v>
      </c>
      <c r="O943" s="2"/>
      <c r="P943" s="2" t="str">
        <f>VLOOKUP(G943,[1]Hoja1!$A:$P,16,0)</f>
        <v xml:space="preserve"> </v>
      </c>
      <c r="Q943" s="2"/>
      <c r="S943">
        <f>VLOOKUP(G943,[1]Hoja1!$A:$O,5,0)</f>
        <v>733383</v>
      </c>
      <c r="U943" s="45" t="s">
        <v>2751</v>
      </c>
      <c r="V943" s="46">
        <f t="shared" si="179"/>
        <v>733383</v>
      </c>
      <c r="W943" s="47" t="s">
        <v>1519</v>
      </c>
      <c r="X943" s="46" t="str">
        <f t="shared" si="180"/>
        <v>3</v>
      </c>
      <c r="Y943" s="47" t="s">
        <v>1518</v>
      </c>
      <c r="Z943" s="46" t="str">
        <f t="shared" si="181"/>
        <v>V</v>
      </c>
      <c r="AA943" s="47" t="s">
        <v>2752</v>
      </c>
      <c r="AB943" s="46" t="str">
        <f t="shared" si="182"/>
        <v>MARTES</v>
      </c>
      <c r="AC943" s="47" t="s">
        <v>2753</v>
      </c>
      <c r="AD943">
        <f t="shared" si="183"/>
        <v>0</v>
      </c>
      <c r="AE943" s="47" t="s">
        <v>2754</v>
      </c>
      <c r="AH943" t="str">
        <f t="shared" si="184"/>
        <v>INSERT INTO horario_curso_materia (horario_curso_materia.FK_CUR_mat,horario_curso_materia.FK_HOR,horario_curso_materia.DIA,horario_curso_materia.tipo_turno) VALUES (  (SELECT curso_materia.ID_CUR_MAT FROM curso_materia WHERE curso_materia.CUPOF='733383' ) ,
    (SELECT horario.ID_HOR FROM horario WHERE horario.modulo='3 ' and horario.turno='V ' ),'MARTES ' , '0 ' );</v>
      </c>
    </row>
    <row r="944" spans="1:34" ht="15" hidden="1" customHeight="1" x14ac:dyDescent="0.3">
      <c r="A944" s="1" t="str">
        <f t="shared" ref="A944:A999" si="185">LEFT(B944,4)</f>
        <v>6°1°</v>
      </c>
      <c r="B944" s="54" t="str">
        <f t="shared" si="177"/>
        <v>6°1°3MITARDE611</v>
      </c>
      <c r="C944" s="62">
        <f>VLOOKUP(G944,[1]Hoja1!$A:$O,3,0)</f>
        <v>611</v>
      </c>
      <c r="D944" s="2" t="str">
        <f t="shared" si="178"/>
        <v>3MIT30</v>
      </c>
      <c r="E944" s="62" t="s">
        <v>50</v>
      </c>
      <c r="F944" s="62" t="s">
        <v>10</v>
      </c>
      <c r="G944" s="62" t="s">
        <v>196</v>
      </c>
      <c r="H944" s="8" t="str">
        <f>VLOOKUP(G944,[1]Hoja1!$A:$O,6,0)</f>
        <v xml:space="preserve">LAB DE APLICACIONES </v>
      </c>
      <c r="I944" s="4">
        <v>30</v>
      </c>
      <c r="J944" s="4"/>
      <c r="K944" s="80" t="str">
        <f t="shared" si="176"/>
        <v>MI</v>
      </c>
      <c r="L944" s="4" t="s">
        <v>512</v>
      </c>
      <c r="M944" s="86" t="str">
        <f>VLOOKUP(G944,[1]Hoja1!$A:$O,15,0)</f>
        <v>VILLALVA ESTEBAN</v>
      </c>
      <c r="N944" s="2" t="str">
        <f t="shared" ref="N944:N999" si="186">CONCATENATE(G944,LEFT(K944,2))</f>
        <v>6°1°6116IFTLA6MI</v>
      </c>
      <c r="O944" s="2" t="s">
        <v>1516</v>
      </c>
      <c r="P944" s="2" t="str">
        <f>VLOOKUP(G944,[1]Hoja1!$A:$P,16,0)</f>
        <v xml:space="preserve"> </v>
      </c>
      <c r="Q944" s="2"/>
      <c r="S944">
        <f>VLOOKUP(G944,[1]Hoja1!$A:$O,5,0)</f>
        <v>2680842</v>
      </c>
      <c r="U944" s="45" t="s">
        <v>2751</v>
      </c>
      <c r="V944" s="46">
        <f t="shared" si="179"/>
        <v>2680842</v>
      </c>
      <c r="W944" s="47" t="s">
        <v>1519</v>
      </c>
      <c r="X944" s="46" t="str">
        <f t="shared" si="180"/>
        <v>3</v>
      </c>
      <c r="Y944" s="47" t="s">
        <v>1518</v>
      </c>
      <c r="Z944" s="46" t="str">
        <f t="shared" si="181"/>
        <v>T</v>
      </c>
      <c r="AA944" s="47" t="s">
        <v>2752</v>
      </c>
      <c r="AB944" s="46" t="str">
        <f t="shared" si="182"/>
        <v>MIERCOLES</v>
      </c>
      <c r="AC944" s="47" t="s">
        <v>2753</v>
      </c>
      <c r="AD944" t="str">
        <f t="shared" si="183"/>
        <v>CONTRATURNO</v>
      </c>
      <c r="AE944" s="47" t="s">
        <v>2754</v>
      </c>
      <c r="AH944" t="str">
        <f t="shared" si="184"/>
        <v>INSERT INTO horario_curso_materia (horario_curso_materia.FK_CUR_mat,horario_curso_materia.FK_HOR,horario_curso_materia.DIA,horario_curso_materia.tipo_turno) VALUES (  (SELECT curso_materia.ID_CUR_MAT FROM curso_materia WHERE curso_materia.CUPOF='2680842' ) ,
    (SELECT horario.ID_HOR FROM horario WHERE horario.modulo='3 ' and horario.turno='T ' ),'MIERCOLES ' , 'CONTRATURNO ' );</v>
      </c>
    </row>
    <row r="945" spans="1:34" ht="15" hidden="1" customHeight="1" x14ac:dyDescent="0.3">
      <c r="A945" s="1" t="str">
        <f t="shared" si="185"/>
        <v>6°1°</v>
      </c>
      <c r="B945" s="54" t="str">
        <f t="shared" si="177"/>
        <v>6°1°3viTARDE612</v>
      </c>
      <c r="C945" s="62">
        <f>VLOOKUP(G945,[1]Hoja1!$A:$O,3,0)</f>
        <v>612</v>
      </c>
      <c r="D945" s="2" t="str">
        <f t="shared" si="178"/>
        <v>3viT40</v>
      </c>
      <c r="E945" s="62" t="s">
        <v>1336</v>
      </c>
      <c r="F945" s="62" t="s">
        <v>10</v>
      </c>
      <c r="G945" s="62" t="s">
        <v>198</v>
      </c>
      <c r="H945" s="8" t="str">
        <f>VLOOKUP(G945,[1]Hoja1!$A:$O,6,0)</f>
        <v xml:space="preserve">LAB DE APLICACIONES </v>
      </c>
      <c r="I945" s="4">
        <v>40</v>
      </c>
      <c r="J945" s="4"/>
      <c r="K945" s="80" t="str">
        <f t="shared" si="176"/>
        <v>vi</v>
      </c>
      <c r="L945" s="4" t="s">
        <v>512</v>
      </c>
      <c r="M945" s="86" t="str">
        <f>VLOOKUP(G945,[1]Hoja1!$A:$O,15,0)</f>
        <v>HERRERA STELLA</v>
      </c>
      <c r="N945" s="2" t="str">
        <f t="shared" si="186"/>
        <v>6°1°6126IFTLA6vi</v>
      </c>
      <c r="O945" s="2"/>
      <c r="P945" s="2" t="str">
        <f>VLOOKUP(G945,[1]Hoja1!$A:$P,16,0)</f>
        <v xml:space="preserve"> </v>
      </c>
      <c r="Q945" s="2"/>
      <c r="S945">
        <f>VLOOKUP(G945,[1]Hoja1!$A:$O,5,0)</f>
        <v>2680853</v>
      </c>
      <c r="U945" s="45" t="s">
        <v>2751</v>
      </c>
      <c r="V945" s="46">
        <f t="shared" si="179"/>
        <v>2680853</v>
      </c>
      <c r="W945" s="47" t="s">
        <v>1519</v>
      </c>
      <c r="X945" s="46" t="str">
        <f t="shared" si="180"/>
        <v>3</v>
      </c>
      <c r="Y945" s="47" t="s">
        <v>1518</v>
      </c>
      <c r="Z945" s="46" t="str">
        <f t="shared" si="181"/>
        <v>T</v>
      </c>
      <c r="AA945" s="47" t="s">
        <v>2752</v>
      </c>
      <c r="AB945" s="46" t="str">
        <f t="shared" si="182"/>
        <v>VIERNES</v>
      </c>
      <c r="AC945" s="47" t="s">
        <v>2753</v>
      </c>
      <c r="AD945" t="str">
        <f t="shared" si="183"/>
        <v>CONTRATURNO</v>
      </c>
      <c r="AE945" s="47" t="s">
        <v>2754</v>
      </c>
      <c r="AH945" t="str">
        <f t="shared" si="184"/>
        <v>INSERT INTO horario_curso_materia (horario_curso_materia.FK_CUR_mat,horario_curso_materia.FK_HOR,horario_curso_materia.DIA,horario_curso_materia.tipo_turno) VALUES (  (SELECT curso_materia.ID_CUR_MAT FROM curso_materia WHERE curso_materia.CUPOF='2680853' ) ,
    (SELECT horario.ID_HOR FROM horario WHERE horario.modulo='3 ' and horario.turno='T ' ),'VIERNES ' , 'CONTRATURNO ' );</v>
      </c>
    </row>
    <row r="946" spans="1:34" ht="15" hidden="1" customHeight="1" x14ac:dyDescent="0.3">
      <c r="A946" s="1" t="str">
        <f t="shared" si="185"/>
        <v>6°1°</v>
      </c>
      <c r="B946" s="54" t="str">
        <f t="shared" si="177"/>
        <v>6°1°3MATARDE612</v>
      </c>
      <c r="C946" s="62">
        <f>VLOOKUP(G946,[1]Hoja1!$A:$O,3,0)</f>
        <v>612</v>
      </c>
      <c r="D946" s="2" t="str">
        <f t="shared" si="178"/>
        <v>3MAT41</v>
      </c>
      <c r="E946" s="62" t="s">
        <v>13</v>
      </c>
      <c r="F946" s="62" t="s">
        <v>10</v>
      </c>
      <c r="G946" s="62" t="s">
        <v>202</v>
      </c>
      <c r="H946" s="8" t="str">
        <f>VLOOKUP(G946,[1]Hoja1!$A:$O,6,0)</f>
        <v xml:space="preserve">LAB DE SIST OPERATIVOS </v>
      </c>
      <c r="I946" s="4">
        <v>41</v>
      </c>
      <c r="J946" s="4"/>
      <c r="K946" s="80" t="str">
        <f t="shared" si="176"/>
        <v>MA</v>
      </c>
      <c r="L946" s="4" t="s">
        <v>512</v>
      </c>
      <c r="M946" s="86" t="str">
        <f>VLOOKUP(G946,[1]Hoja1!$A:$O,15,0)</f>
        <v>FERREYRA YESICA</v>
      </c>
      <c r="N946" s="2" t="str">
        <f t="shared" si="186"/>
        <v>6°1°6126IFHLS6MA</v>
      </c>
      <c r="O946" s="2"/>
      <c r="P946" s="2" t="str">
        <f>VLOOKUP(G946,[1]Hoja1!$A:$P,16,0)</f>
        <v xml:space="preserve"> </v>
      </c>
      <c r="Q946" s="2"/>
      <c r="S946">
        <f>VLOOKUP(G946,[1]Hoja1!$A:$O,5,0)</f>
        <v>2680848</v>
      </c>
      <c r="U946" s="45" t="s">
        <v>2751</v>
      </c>
      <c r="V946" s="46">
        <f t="shared" si="179"/>
        <v>2680848</v>
      </c>
      <c r="W946" s="47" t="s">
        <v>1519</v>
      </c>
      <c r="X946" s="46" t="str">
        <f t="shared" si="180"/>
        <v>3</v>
      </c>
      <c r="Y946" s="47" t="s">
        <v>1518</v>
      </c>
      <c r="Z946" s="46" t="str">
        <f t="shared" si="181"/>
        <v>T</v>
      </c>
      <c r="AA946" s="47" t="s">
        <v>2752</v>
      </c>
      <c r="AB946" s="46" t="str">
        <f t="shared" si="182"/>
        <v>MARTES</v>
      </c>
      <c r="AC946" s="47" t="s">
        <v>2753</v>
      </c>
      <c r="AD946" t="str">
        <f t="shared" si="183"/>
        <v>CONTRATURNO</v>
      </c>
      <c r="AE946" s="47" t="s">
        <v>2754</v>
      </c>
      <c r="AH946" t="str">
        <f t="shared" si="184"/>
        <v>INSERT INTO horario_curso_materia (horario_curso_materia.FK_CUR_mat,horario_curso_materia.FK_HOR,horario_curso_materia.DIA,horario_curso_materia.tipo_turno) VALUES (  (SELECT curso_materia.ID_CUR_MAT FROM curso_materia WHERE curso_materia.CUPOF='2680848' ) ,
    (SELECT horario.ID_HOR FROM horario WHERE horario.modulo='3 ' and horario.turno='T ' ),'MARTES ' , 'CONTRATURNO ' );</v>
      </c>
    </row>
    <row r="947" spans="1:34" ht="15" hidden="1" customHeight="1" x14ac:dyDescent="0.3">
      <c r="A947" s="1" t="str">
        <f t="shared" si="185"/>
        <v>6°1°</v>
      </c>
      <c r="B947" s="54" t="str">
        <f t="shared" si="177"/>
        <v>6°1°3MIVESPERTINO0</v>
      </c>
      <c r="C947" s="62">
        <f>VLOOKUP(G947,[1]Hoja1!$A:$O,3,0)</f>
        <v>0</v>
      </c>
      <c r="D947" s="2" t="str">
        <f t="shared" si="178"/>
        <v>3MIV</v>
      </c>
      <c r="E947" s="62" t="s">
        <v>50</v>
      </c>
      <c r="F947" s="62" t="s">
        <v>125</v>
      </c>
      <c r="G947" s="62" t="s">
        <v>442</v>
      </c>
      <c r="H947" s="8" t="str">
        <f>VLOOKUP(G947,[1]Hoja1!$A:$O,6,0)</f>
        <v>MATEMATICA APLICADA</v>
      </c>
      <c r="I947" s="4"/>
      <c r="J947" s="4"/>
      <c r="K947" s="80" t="str">
        <f t="shared" si="176"/>
        <v>MI</v>
      </c>
      <c r="L947" s="4"/>
      <c r="M947" s="86" t="str">
        <f>VLOOKUP(G947,[1]Hoja1!$A:$O,15,0)</f>
        <v>GARCIA CLAUDIA</v>
      </c>
      <c r="N947" s="2" t="str">
        <f t="shared" si="186"/>
        <v>6°1°6IMATAPMI</v>
      </c>
      <c r="O947" s="2"/>
      <c r="P947" s="2" t="str">
        <f>VLOOKUP(G947,[1]Hoja1!$A:$P,16,0)</f>
        <v xml:space="preserve"> </v>
      </c>
      <c r="Q947" s="2"/>
      <c r="S947">
        <f>VLOOKUP(G947,[1]Hoja1!$A:$O,5,0)</f>
        <v>733394</v>
      </c>
      <c r="U947" s="45" t="s">
        <v>2751</v>
      </c>
      <c r="V947" s="46">
        <f t="shared" si="179"/>
        <v>733394</v>
      </c>
      <c r="W947" s="47" t="s">
        <v>1519</v>
      </c>
      <c r="X947" s="46" t="str">
        <f t="shared" si="180"/>
        <v>3</v>
      </c>
      <c r="Y947" s="47" t="s">
        <v>1518</v>
      </c>
      <c r="Z947" s="46" t="str">
        <f t="shared" si="181"/>
        <v>V</v>
      </c>
      <c r="AA947" s="47" t="s">
        <v>2752</v>
      </c>
      <c r="AB947" s="46" t="str">
        <f t="shared" si="182"/>
        <v>MIERCOLES</v>
      </c>
      <c r="AC947" s="47" t="s">
        <v>2753</v>
      </c>
      <c r="AD947">
        <f t="shared" si="183"/>
        <v>0</v>
      </c>
      <c r="AE947" s="47" t="s">
        <v>2754</v>
      </c>
      <c r="AH947" t="str">
        <f t="shared" si="184"/>
        <v>INSERT INTO horario_curso_materia (horario_curso_materia.FK_CUR_mat,horario_curso_materia.FK_HOR,horario_curso_materia.DIA,horario_curso_materia.tipo_turno) VALUES (  (SELECT curso_materia.ID_CUR_MAT FROM curso_materia WHERE curso_materia.CUPOF='733394' ) ,
    (SELECT horario.ID_HOR FROM horario WHERE horario.modulo='3 ' and horario.turno='V ' ),'MIERCOLES ' , '0 ' );</v>
      </c>
    </row>
    <row r="948" spans="1:34" ht="15" hidden="1" customHeight="1" x14ac:dyDescent="0.3">
      <c r="A948" s="1" t="str">
        <f t="shared" si="185"/>
        <v>6°1°</v>
      </c>
      <c r="B948" s="54" t="str">
        <f t="shared" si="177"/>
        <v>6°1°1viTARDE612</v>
      </c>
      <c r="C948" s="62">
        <f>VLOOKUP(G948,[1]Hoja1!$A:$O,3,0)</f>
        <v>612</v>
      </c>
      <c r="D948" s="2" t="str">
        <f t="shared" si="178"/>
        <v>1viT40</v>
      </c>
      <c r="E948" s="62" t="s">
        <v>1375</v>
      </c>
      <c r="F948" s="62" t="s">
        <v>10</v>
      </c>
      <c r="G948" s="62" t="s">
        <v>201</v>
      </c>
      <c r="H948" s="8" t="str">
        <f>VLOOKUP(G948,[1]Hoja1!$A:$O,6,0)</f>
        <v xml:space="preserve">LAB DE PROGRAM </v>
      </c>
      <c r="I948" s="4">
        <v>40</v>
      </c>
      <c r="J948" s="4"/>
      <c r="K948" s="80" t="str">
        <f t="shared" si="176"/>
        <v>vi</v>
      </c>
      <c r="L948" s="4" t="s">
        <v>512</v>
      </c>
      <c r="M948" s="86" t="str">
        <f>VLOOKUP(G948,[1]Hoja1!$A:$O,15,0)</f>
        <v>MONTENEGRO CLAUIDA</v>
      </c>
      <c r="N948" s="2" t="str">
        <f t="shared" si="186"/>
        <v>6°1°6126IFTLP6vi</v>
      </c>
      <c r="O948" s="2"/>
      <c r="P948" s="2" t="str">
        <f>VLOOKUP(G948,[1]Hoja1!$A:$P,16,0)</f>
        <v xml:space="preserve"> </v>
      </c>
      <c r="Q948" s="2"/>
      <c r="S948">
        <f>VLOOKUP(G948,[1]Hoja1!$A:$O,5,0)</f>
        <v>2680843</v>
      </c>
      <c r="U948" s="45" t="s">
        <v>2751</v>
      </c>
      <c r="V948" s="46">
        <f t="shared" si="179"/>
        <v>2680843</v>
      </c>
      <c r="W948" s="47" t="s">
        <v>1519</v>
      </c>
      <c r="X948" s="46" t="str">
        <f t="shared" si="180"/>
        <v>1</v>
      </c>
      <c r="Y948" s="47" t="s">
        <v>1518</v>
      </c>
      <c r="Z948" s="46" t="str">
        <f t="shared" si="181"/>
        <v>T</v>
      </c>
      <c r="AA948" s="47" t="s">
        <v>2752</v>
      </c>
      <c r="AB948" s="46" t="str">
        <f t="shared" si="182"/>
        <v>VIERNES</v>
      </c>
      <c r="AC948" s="47" t="s">
        <v>2753</v>
      </c>
      <c r="AD948" t="str">
        <f t="shared" si="183"/>
        <v>CONTRATURNO</v>
      </c>
      <c r="AE948" s="47" t="s">
        <v>2754</v>
      </c>
      <c r="AH948" t="str">
        <f t="shared" si="184"/>
        <v>INSERT INTO horario_curso_materia (horario_curso_materia.FK_CUR_mat,horario_curso_materia.FK_HOR,horario_curso_materia.DIA,horario_curso_materia.tipo_turno) VALUES (  (SELECT curso_materia.ID_CUR_MAT FROM curso_materia WHERE curso_materia.CUPOF='2680843' ) ,
    (SELECT horario.ID_HOR FROM horario WHERE horario.modulo='1 ' and horario.turno='T ' ),'VIERNES ' , 'CONTRATURNO ' );</v>
      </c>
    </row>
    <row r="949" spans="1:34" ht="15" hidden="1" customHeight="1" x14ac:dyDescent="0.3">
      <c r="A949" s="1" t="str">
        <f t="shared" si="185"/>
        <v>6°1°</v>
      </c>
      <c r="B949" s="54" t="str">
        <f t="shared" si="177"/>
        <v>6°1°3VIVESPERTINO0</v>
      </c>
      <c r="C949" s="62">
        <f>VLOOKUP(G949,[1]Hoja1!$A:$O,3,0)</f>
        <v>0</v>
      </c>
      <c r="D949" s="2" t="str">
        <f t="shared" si="178"/>
        <v>3VIV</v>
      </c>
      <c r="E949" s="62" t="s">
        <v>35</v>
      </c>
      <c r="F949" s="62" t="s">
        <v>125</v>
      </c>
      <c r="G949" s="62" t="s">
        <v>446</v>
      </c>
      <c r="H949" s="8" t="str">
        <f>VLOOKUP(G949,[1]Hoja1!$A:$O,6,0)</f>
        <v>SEGURIDAD INFORMATICA</v>
      </c>
      <c r="I949" s="4"/>
      <c r="J949" s="4"/>
      <c r="K949" s="80" t="str">
        <f t="shared" si="176"/>
        <v>VI</v>
      </c>
      <c r="L949" s="4"/>
      <c r="M949" s="86" t="str">
        <f>VLOOKUP(G949,[1]Hoja1!$A:$O,15,0)</f>
        <v>MONTENEGRO CLAUIDA</v>
      </c>
      <c r="N949" s="2" t="str">
        <f t="shared" si="186"/>
        <v>6°1°6ISEINVI</v>
      </c>
      <c r="O949" s="2"/>
      <c r="P949" s="2" t="str">
        <f>VLOOKUP(G949,[1]Hoja1!$A:$P,16,0)</f>
        <v xml:space="preserve"> </v>
      </c>
      <c r="Q949" s="2"/>
      <c r="S949">
        <f>VLOOKUP(G949,[1]Hoja1!$A:$O,5,0)</f>
        <v>2680832</v>
      </c>
      <c r="U949" s="45" t="s">
        <v>2751</v>
      </c>
      <c r="V949" s="46">
        <f t="shared" si="179"/>
        <v>2680832</v>
      </c>
      <c r="W949" s="47" t="s">
        <v>1519</v>
      </c>
      <c r="X949" s="46" t="str">
        <f t="shared" si="180"/>
        <v>3</v>
      </c>
      <c r="Y949" s="47" t="s">
        <v>1518</v>
      </c>
      <c r="Z949" s="46" t="str">
        <f t="shared" si="181"/>
        <v>V</v>
      </c>
      <c r="AA949" s="47" t="s">
        <v>2752</v>
      </c>
      <c r="AB949" s="46" t="str">
        <f t="shared" si="182"/>
        <v>VIERNES</v>
      </c>
      <c r="AC949" s="47" t="s">
        <v>2753</v>
      </c>
      <c r="AD949">
        <f t="shared" si="183"/>
        <v>0</v>
      </c>
      <c r="AE949" s="47" t="s">
        <v>2754</v>
      </c>
      <c r="AH949" t="str">
        <f t="shared" si="184"/>
        <v>INSERT INTO horario_curso_materia (horario_curso_materia.FK_CUR_mat,horario_curso_materia.FK_HOR,horario_curso_materia.DIA,horario_curso_materia.tipo_turno) VALUES (  (SELECT curso_materia.ID_CUR_MAT FROM curso_materia WHERE curso_materia.CUPOF='2680832' ) ,
    (SELECT horario.ID_HOR FROM horario WHERE horario.modulo='3 ' and horario.turno='V ' ),'VIERNES ' , '0 ' );</v>
      </c>
    </row>
    <row r="950" spans="1:34" ht="15" hidden="1" customHeight="1" x14ac:dyDescent="0.3">
      <c r="A950" s="1" t="str">
        <f t="shared" si="185"/>
        <v>6°1°</v>
      </c>
      <c r="B950" s="54" t="str">
        <f t="shared" si="177"/>
        <v>6°1°4JUTARDE0</v>
      </c>
      <c r="C950" s="62">
        <f>VLOOKUP(G950,[1]Hoja1!$A:$O,3,0)</f>
        <v>0</v>
      </c>
      <c r="D950" s="2" t="str">
        <f t="shared" si="178"/>
        <v>4JUT47</v>
      </c>
      <c r="E950" s="62" t="s">
        <v>48</v>
      </c>
      <c r="F950" s="62" t="s">
        <v>10</v>
      </c>
      <c r="G950" s="62" t="s">
        <v>440</v>
      </c>
      <c r="H950" s="8" t="str">
        <f>VLOOKUP(G950,[1]Hoja1!$A:$O,6,0)</f>
        <v>INVESTIGACION OPERATIVA</v>
      </c>
      <c r="I950" s="4">
        <v>47</v>
      </c>
      <c r="J950" s="4"/>
      <c r="K950" s="80" t="str">
        <f t="shared" si="176"/>
        <v>JU</v>
      </c>
      <c r="L950" s="4" t="s">
        <v>512</v>
      </c>
      <c r="M950" s="86" t="str">
        <f>VLOOKUP(G950,[1]Hoja1!$A:$O,15,0)</f>
        <v>VALDES MARIA</v>
      </c>
      <c r="N950" s="2" t="str">
        <f t="shared" si="186"/>
        <v>6°1°6IINVOPJU</v>
      </c>
      <c r="O950" s="2"/>
      <c r="P950" s="2" t="str">
        <f>VLOOKUP(G950,[1]Hoja1!$A:$P,16,0)</f>
        <v xml:space="preserve"> </v>
      </c>
      <c r="Q950" s="2"/>
      <c r="S950">
        <f>VLOOKUP(G950,[1]Hoja1!$A:$O,5,0)</f>
        <v>2680830</v>
      </c>
      <c r="U950" s="45" t="s">
        <v>2751</v>
      </c>
      <c r="V950" s="46">
        <f t="shared" si="179"/>
        <v>2680830</v>
      </c>
      <c r="W950" s="47" t="s">
        <v>1519</v>
      </c>
      <c r="X950" s="46" t="str">
        <f t="shared" si="180"/>
        <v>4</v>
      </c>
      <c r="Y950" s="47" t="s">
        <v>1518</v>
      </c>
      <c r="Z950" s="46" t="str">
        <f t="shared" si="181"/>
        <v>T</v>
      </c>
      <c r="AA950" s="47" t="s">
        <v>2752</v>
      </c>
      <c r="AB950" s="46" t="str">
        <f t="shared" si="182"/>
        <v>JUEVES</v>
      </c>
      <c r="AC950" s="47" t="s">
        <v>2753</v>
      </c>
      <c r="AD950" t="str">
        <f t="shared" si="183"/>
        <v>CONTRATURNO</v>
      </c>
      <c r="AE950" s="47" t="s">
        <v>2754</v>
      </c>
      <c r="AH950" t="str">
        <f t="shared" si="184"/>
        <v>INSERT INTO horario_curso_materia (horario_curso_materia.FK_CUR_mat,horario_curso_materia.FK_HOR,horario_curso_materia.DIA,horario_curso_materia.tipo_turno) VALUES (  (SELECT curso_materia.ID_CUR_MAT FROM curso_materia WHERE curso_materia.CUPOF='2680830' ) ,
    (SELECT horario.ID_HOR FROM horario WHERE horario.modulo='4 ' and horario.turno='T ' ),'JUEVES ' , 'CONTRATURNO ' );</v>
      </c>
    </row>
    <row r="951" spans="1:34" ht="15" hidden="1" customHeight="1" x14ac:dyDescent="0.3">
      <c r="A951" s="1" t="str">
        <f t="shared" si="185"/>
        <v>6°1°</v>
      </c>
      <c r="B951" s="54" t="str">
        <f t="shared" si="177"/>
        <v>6°1°4JUVESPERTINO0</v>
      </c>
      <c r="C951" s="62">
        <f>VLOOKUP(G951,[1]Hoja1!$A:$O,3,0)</f>
        <v>0</v>
      </c>
      <c r="D951" s="2" t="str">
        <f t="shared" si="178"/>
        <v>4JUV</v>
      </c>
      <c r="E951" s="62" t="s">
        <v>48</v>
      </c>
      <c r="F951" s="62" t="s">
        <v>125</v>
      </c>
      <c r="G951" s="62" t="s">
        <v>445</v>
      </c>
      <c r="H951" s="8" t="str">
        <f>VLOOKUP(G951,[1]Hoja1!$A:$O,6,0)</f>
        <v>LITERATURA</v>
      </c>
      <c r="I951" s="4"/>
      <c r="J951" s="4"/>
      <c r="K951" s="80" t="str">
        <f t="shared" si="176"/>
        <v>JU</v>
      </c>
      <c r="L951" s="4"/>
      <c r="M951" s="86" t="str">
        <f>VLOOKUP(G951,[1]Hoja1!$A:$O,15,0)</f>
        <v>ALFONSO D INT 2026</v>
      </c>
      <c r="N951" s="2" t="str">
        <f t="shared" si="186"/>
        <v>6°1°6ILITSJU</v>
      </c>
      <c r="O951" s="2"/>
      <c r="P951" s="2" t="str">
        <f>VLOOKUP(G951,[1]Hoja1!$A:$P,16,0)</f>
        <v xml:space="preserve"> </v>
      </c>
      <c r="Q951" s="2"/>
      <c r="S951">
        <f>VLOOKUP(G951,[1]Hoja1!$A:$O,5,0)</f>
        <v>733438</v>
      </c>
      <c r="U951" s="45" t="s">
        <v>2751</v>
      </c>
      <c r="V951" s="46">
        <f t="shared" si="179"/>
        <v>733438</v>
      </c>
      <c r="W951" s="47" t="s">
        <v>1519</v>
      </c>
      <c r="X951" s="46" t="str">
        <f t="shared" si="180"/>
        <v>4</v>
      </c>
      <c r="Y951" s="47" t="s">
        <v>1518</v>
      </c>
      <c r="Z951" s="46" t="str">
        <f t="shared" si="181"/>
        <v>V</v>
      </c>
      <c r="AA951" s="47" t="s">
        <v>2752</v>
      </c>
      <c r="AB951" s="46" t="str">
        <f t="shared" si="182"/>
        <v>JUEVES</v>
      </c>
      <c r="AC951" s="47" t="s">
        <v>2753</v>
      </c>
      <c r="AD951">
        <f t="shared" si="183"/>
        <v>0</v>
      </c>
      <c r="AE951" s="47" t="s">
        <v>2754</v>
      </c>
      <c r="AH951" t="str">
        <f t="shared" si="184"/>
        <v>INSERT INTO horario_curso_materia (horario_curso_materia.FK_CUR_mat,horario_curso_materia.FK_HOR,horario_curso_materia.DIA,horario_curso_materia.tipo_turno) VALUES (  (SELECT curso_materia.ID_CUR_MAT FROM curso_materia WHERE curso_materia.CUPOF='733438' ) ,
    (SELECT horario.ID_HOR FROM horario WHERE horario.modulo='4 ' and horario.turno='V ' ),'JUEVES ' , '0 ' );</v>
      </c>
    </row>
    <row r="952" spans="1:34" ht="15" hidden="1" customHeight="1" x14ac:dyDescent="0.3">
      <c r="A952" s="1" t="str">
        <f t="shared" si="185"/>
        <v>6°1°</v>
      </c>
      <c r="B952" s="54" t="str">
        <f t="shared" si="177"/>
        <v>6°1°4LUTARDE611</v>
      </c>
      <c r="C952" s="62">
        <f>VLOOKUP(G952,[1]Hoja1!$A:$O,3,0)</f>
        <v>611</v>
      </c>
      <c r="D952" s="2" t="str">
        <f t="shared" si="178"/>
        <v>4LUT41</v>
      </c>
      <c r="E952" s="62" t="s">
        <v>31</v>
      </c>
      <c r="F952" s="62" t="s">
        <v>10</v>
      </c>
      <c r="G952" s="62" t="s">
        <v>194</v>
      </c>
      <c r="H952" s="8" t="str">
        <f>VLOOKUP(G952,[1]Hoja1!$A:$O,6,0)</f>
        <v xml:space="preserve">LAB DE HARDWARE </v>
      </c>
      <c r="I952" s="4">
        <v>41</v>
      </c>
      <c r="J952" s="4"/>
      <c r="K952" s="80" t="str">
        <f t="shared" si="176"/>
        <v>LU</v>
      </c>
      <c r="L952" s="4" t="s">
        <v>512</v>
      </c>
      <c r="M952" s="86" t="str">
        <f>VLOOKUP(G952,[1]Hoja1!$A:$O,15,0)</f>
        <v>ROCHA JULIETA</v>
      </c>
      <c r="N952" s="2" t="str">
        <f t="shared" si="186"/>
        <v>6°1°6116IFTLH6LU</v>
      </c>
      <c r="O952" s="2" t="s">
        <v>1498</v>
      </c>
      <c r="P952" s="2" t="str">
        <f>VLOOKUP(G952,[1]Hoja1!$A:$P,16,0)</f>
        <v xml:space="preserve"> </v>
      </c>
      <c r="Q952" s="2"/>
      <c r="S952">
        <f>VLOOKUP(G952,[1]Hoja1!$A:$O,5,0)</f>
        <v>2680836</v>
      </c>
      <c r="U952" s="45" t="s">
        <v>2751</v>
      </c>
      <c r="V952" s="46">
        <f t="shared" si="179"/>
        <v>2680836</v>
      </c>
      <c r="W952" s="47" t="s">
        <v>1519</v>
      </c>
      <c r="X952" s="46" t="str">
        <f t="shared" si="180"/>
        <v>4</v>
      </c>
      <c r="Y952" s="47" t="s">
        <v>1518</v>
      </c>
      <c r="Z952" s="46" t="str">
        <f t="shared" si="181"/>
        <v>T</v>
      </c>
      <c r="AA952" s="47" t="s">
        <v>2752</v>
      </c>
      <c r="AB952" s="46" t="str">
        <f t="shared" si="182"/>
        <v>LUNES</v>
      </c>
      <c r="AC952" s="47" t="s">
        <v>2753</v>
      </c>
      <c r="AD952" t="str">
        <f t="shared" si="183"/>
        <v>CONTRATURNO</v>
      </c>
      <c r="AE952" s="47" t="s">
        <v>2754</v>
      </c>
      <c r="AH952" t="str">
        <f t="shared" si="184"/>
        <v>INSERT INTO horario_curso_materia (horario_curso_materia.FK_CUR_mat,horario_curso_materia.FK_HOR,horario_curso_materia.DIA,horario_curso_materia.tipo_turno) VALUES (  (SELECT curso_materia.ID_CUR_MAT FROM curso_materia WHERE curso_materia.CUPOF='2680836' ) ,
    (SELECT horario.ID_HOR FROM horario WHERE horario.modulo='4 ' and horario.turno='T ' ),'LUNES ' , 'CONTRATURNO ' );</v>
      </c>
    </row>
    <row r="953" spans="1:34" ht="15" hidden="1" customHeight="1" x14ac:dyDescent="0.3">
      <c r="A953" s="1" t="str">
        <f t="shared" si="185"/>
        <v>6°1°</v>
      </c>
      <c r="B953" s="54" t="str">
        <f t="shared" si="177"/>
        <v>6°1°4miTARDE612</v>
      </c>
      <c r="C953" s="62">
        <f>VLOOKUP(G953,[1]Hoja1!$A:$O,3,0)</f>
        <v>612</v>
      </c>
      <c r="D953" s="2" t="str">
        <f t="shared" si="178"/>
        <v>4miT41</v>
      </c>
      <c r="E953" s="62" t="s">
        <v>1344</v>
      </c>
      <c r="F953" s="62" t="s">
        <v>10</v>
      </c>
      <c r="G953" s="62" t="s">
        <v>195</v>
      </c>
      <c r="H953" s="8" t="str">
        <f>VLOOKUP(G953,[1]Hoja1!$A:$O,6,0)</f>
        <v xml:space="preserve">LAB DE HARDWARE </v>
      </c>
      <c r="I953" s="4">
        <v>41</v>
      </c>
      <c r="J953" s="4"/>
      <c r="K953" s="80" t="str">
        <f t="shared" si="176"/>
        <v>mi</v>
      </c>
      <c r="L953" s="4" t="s">
        <v>512</v>
      </c>
      <c r="M953" s="86" t="str">
        <f>VLOOKUP(G953,[1]Hoja1!$A:$O,15,0)</f>
        <v>MONTENEGRO CLAUIDA</v>
      </c>
      <c r="N953" s="2" t="str">
        <f t="shared" si="186"/>
        <v>6°1°6126IFTLH6mi</v>
      </c>
      <c r="O953" s="2"/>
      <c r="P953" s="2" t="str">
        <f>VLOOKUP(G953,[1]Hoja1!$A:$P,16,0)</f>
        <v xml:space="preserve"> </v>
      </c>
      <c r="Q953" s="2"/>
      <c r="S953">
        <f>VLOOKUP(G953,[1]Hoja1!$A:$O,5,0)</f>
        <v>2680845</v>
      </c>
      <c r="U953" s="45" t="s">
        <v>2751</v>
      </c>
      <c r="V953" s="46">
        <f t="shared" si="179"/>
        <v>2680845</v>
      </c>
      <c r="W953" s="47" t="s">
        <v>1519</v>
      </c>
      <c r="X953" s="46" t="str">
        <f t="shared" si="180"/>
        <v>4</v>
      </c>
      <c r="Y953" s="47" t="s">
        <v>1518</v>
      </c>
      <c r="Z953" s="46" t="str">
        <f t="shared" si="181"/>
        <v>T</v>
      </c>
      <c r="AA953" s="47" t="s">
        <v>2752</v>
      </c>
      <c r="AB953" s="46" t="str">
        <f t="shared" si="182"/>
        <v>MIERCOLES</v>
      </c>
      <c r="AC953" s="47" t="s">
        <v>2753</v>
      </c>
      <c r="AD953" t="str">
        <f t="shared" si="183"/>
        <v>CONTRATURNO</v>
      </c>
      <c r="AE953" s="47" t="s">
        <v>2754</v>
      </c>
      <c r="AH953" t="str">
        <f t="shared" si="184"/>
        <v>INSERT INTO horario_curso_materia (horario_curso_materia.FK_CUR_mat,horario_curso_materia.FK_HOR,horario_curso_materia.DIA,horario_curso_materia.tipo_turno) VALUES (  (SELECT curso_materia.ID_CUR_MAT FROM curso_materia WHERE curso_materia.CUPOF='2680845' ) ,
    (SELECT horario.ID_HOR FROM horario WHERE horario.modulo='4 ' and horario.turno='T ' ),'MIERCOLES ' , 'CONTRATURNO ' );</v>
      </c>
    </row>
    <row r="954" spans="1:34" ht="15" hidden="1" customHeight="1" x14ac:dyDescent="0.3">
      <c r="A954" s="1" t="str">
        <f t="shared" si="185"/>
        <v>6°1°</v>
      </c>
      <c r="B954" s="54" t="str">
        <f t="shared" si="177"/>
        <v>6°1°4LUVESPERTINO0</v>
      </c>
      <c r="C954" s="62">
        <f>VLOOKUP(G954,[1]Hoja1!$A:$O,3,0)</f>
        <v>0</v>
      </c>
      <c r="D954" s="2" t="str">
        <f t="shared" si="178"/>
        <v>4LUV</v>
      </c>
      <c r="E954" s="62" t="s">
        <v>31</v>
      </c>
      <c r="F954" s="62" t="s">
        <v>125</v>
      </c>
      <c r="G954" s="62" t="s">
        <v>441</v>
      </c>
      <c r="H954" s="8" t="str">
        <f>VLOOKUP(G954,[1]Hoja1!$A:$O,6,0)</f>
        <v>ARTE</v>
      </c>
      <c r="I954" s="4"/>
      <c r="J954" s="4"/>
      <c r="K954" s="80" t="str">
        <f t="shared" si="176"/>
        <v>LU</v>
      </c>
      <c r="L954" s="4"/>
      <c r="M954" s="86" t="str">
        <f>VLOOKUP(G954,[1]Hoja1!$A:$O,15,0)</f>
        <v>GOMEZ MARCELA</v>
      </c>
      <c r="N954" s="2" t="str">
        <f t="shared" si="186"/>
        <v>6°1°6IARTELU</v>
      </c>
      <c r="O954" s="2"/>
      <c r="P954" s="2" t="str">
        <f>VLOOKUP(G954,[1]Hoja1!$A:$P,16,0)</f>
        <v xml:space="preserve"> </v>
      </c>
      <c r="Q954" s="2"/>
      <c r="S954">
        <f>VLOOKUP(G954,[1]Hoja1!$A:$O,5,0)</f>
        <v>733731</v>
      </c>
      <c r="U954" s="45" t="s">
        <v>2751</v>
      </c>
      <c r="V954" s="46">
        <f t="shared" si="179"/>
        <v>733731</v>
      </c>
      <c r="W954" s="47" t="s">
        <v>1519</v>
      </c>
      <c r="X954" s="46" t="str">
        <f t="shared" si="180"/>
        <v>4</v>
      </c>
      <c r="Y954" s="47" t="s">
        <v>1518</v>
      </c>
      <c r="Z954" s="46" t="str">
        <f t="shared" si="181"/>
        <v>V</v>
      </c>
      <c r="AA954" s="47" t="s">
        <v>2752</v>
      </c>
      <c r="AB954" s="46" t="str">
        <f t="shared" si="182"/>
        <v>LUNES</v>
      </c>
      <c r="AC954" s="47" t="s">
        <v>2753</v>
      </c>
      <c r="AD954">
        <f t="shared" si="183"/>
        <v>0</v>
      </c>
      <c r="AE954" s="47" t="s">
        <v>2754</v>
      </c>
      <c r="AH954" t="str">
        <f t="shared" si="184"/>
        <v>INSERT INTO horario_curso_materia (horario_curso_materia.FK_CUR_mat,horario_curso_materia.FK_HOR,horario_curso_materia.DIA,horario_curso_materia.tipo_turno) VALUES (  (SELECT curso_materia.ID_CUR_MAT FROM curso_materia WHERE curso_materia.CUPOF='733731' ) ,
    (SELECT horario.ID_HOR FROM horario WHERE horario.modulo='4 ' and horario.turno='V ' ),'LUNES ' , '0 ' );</v>
      </c>
    </row>
    <row r="955" spans="1:34" ht="15" hidden="1" customHeight="1" x14ac:dyDescent="0.3">
      <c r="A955" s="1" t="str">
        <f t="shared" si="185"/>
        <v>6°1°</v>
      </c>
      <c r="B955" s="54" t="str">
        <f t="shared" si="177"/>
        <v>6°1°4MATARDE611</v>
      </c>
      <c r="C955" s="62">
        <f>VLOOKUP(G955,[1]Hoja1!$A:$O,3,0)</f>
        <v>611</v>
      </c>
      <c r="D955" s="2" t="str">
        <f t="shared" si="178"/>
        <v>4MAT40</v>
      </c>
      <c r="E955" s="62" t="s">
        <v>16</v>
      </c>
      <c r="F955" s="62" t="s">
        <v>10</v>
      </c>
      <c r="G955" s="62" t="s">
        <v>197</v>
      </c>
      <c r="H955" s="3" t="str">
        <f>VLOOKUP(G955,[1]Hoja1!$A:$O,6,0)</f>
        <v xml:space="preserve">LAB DE SIST OPERATIVOS </v>
      </c>
      <c r="I955" s="17">
        <v>40</v>
      </c>
      <c r="J955" s="17"/>
      <c r="K955" s="81" t="str">
        <f t="shared" ref="K955:K999" si="187">RIGHT(E955,2)</f>
        <v>MA</v>
      </c>
      <c r="L955" s="17" t="s">
        <v>512</v>
      </c>
      <c r="M955" s="87" t="str">
        <f>VLOOKUP(G955,[1]Hoja1!$A:$O,15,0)</f>
        <v>VILLALVA ESTEBAN</v>
      </c>
      <c r="N955" s="2" t="str">
        <f t="shared" si="186"/>
        <v>6°1°6116IFHLS6MA</v>
      </c>
      <c r="O955" s="2"/>
      <c r="P955" s="2" t="str">
        <f>VLOOKUP(G955,[1]Hoja1!$A:$P,16,0)</f>
        <v xml:space="preserve"> </v>
      </c>
      <c r="Q955" s="2"/>
      <c r="S955">
        <f>VLOOKUP(G955,[1]Hoja1!$A:$O,5,0)</f>
        <v>2680838</v>
      </c>
      <c r="U955" s="45" t="s">
        <v>2751</v>
      </c>
      <c r="V955" s="46">
        <f t="shared" si="179"/>
        <v>2680838</v>
      </c>
      <c r="W955" s="47" t="s">
        <v>1519</v>
      </c>
      <c r="X955" s="46" t="str">
        <f t="shared" si="180"/>
        <v>4</v>
      </c>
      <c r="Y955" s="47" t="s">
        <v>1518</v>
      </c>
      <c r="Z955" s="46" t="str">
        <f t="shared" si="181"/>
        <v>T</v>
      </c>
      <c r="AA955" s="47" t="s">
        <v>2752</v>
      </c>
      <c r="AB955" s="46" t="str">
        <f t="shared" si="182"/>
        <v>MARTES</v>
      </c>
      <c r="AC955" s="47" t="s">
        <v>2753</v>
      </c>
      <c r="AD955" t="str">
        <f t="shared" si="183"/>
        <v>CONTRATURNO</v>
      </c>
      <c r="AE955" s="47" t="s">
        <v>2754</v>
      </c>
      <c r="AH955" t="str">
        <f t="shared" si="184"/>
        <v>INSERT INTO horario_curso_materia (horario_curso_materia.FK_CUR_mat,horario_curso_materia.FK_HOR,horario_curso_materia.DIA,horario_curso_materia.tipo_turno) VALUES (  (SELECT curso_materia.ID_CUR_MAT FROM curso_materia WHERE curso_materia.CUPOF='2680838' ) ,
    (SELECT horario.ID_HOR FROM horario WHERE horario.modulo='4 ' and horario.turno='T ' ),'MARTES ' , 'CONTRATURNO ' );</v>
      </c>
    </row>
    <row r="956" spans="1:34" ht="15" hidden="1" customHeight="1" x14ac:dyDescent="0.3">
      <c r="A956" s="1" t="str">
        <f t="shared" si="185"/>
        <v>6°1°</v>
      </c>
      <c r="B956" s="54" t="str">
        <f t="shared" si="177"/>
        <v>6°1°4MITARDE611</v>
      </c>
      <c r="C956" s="62">
        <f>VLOOKUP(G956,[1]Hoja1!$A:$O,3,0)</f>
        <v>611</v>
      </c>
      <c r="D956" s="2" t="str">
        <f t="shared" si="178"/>
        <v>4MIT30</v>
      </c>
      <c r="E956" s="62" t="s">
        <v>52</v>
      </c>
      <c r="F956" s="62" t="s">
        <v>10</v>
      </c>
      <c r="G956" s="62" t="s">
        <v>196</v>
      </c>
      <c r="H956" s="8" t="str">
        <f>VLOOKUP(G956,[1]Hoja1!$A:$O,6,0)</f>
        <v xml:space="preserve">LAB DE APLICACIONES </v>
      </c>
      <c r="I956" s="4">
        <v>30</v>
      </c>
      <c r="J956" s="4"/>
      <c r="K956" s="80" t="str">
        <f t="shared" si="187"/>
        <v>MI</v>
      </c>
      <c r="L956" s="4" t="s">
        <v>512</v>
      </c>
      <c r="M956" s="86" t="str">
        <f>VLOOKUP(G956,[1]Hoja1!$A:$O,15,0)</f>
        <v>VILLALVA ESTEBAN</v>
      </c>
      <c r="N956" s="2" t="str">
        <f t="shared" si="186"/>
        <v>6°1°6116IFTLA6MI</v>
      </c>
      <c r="O956" s="2" t="s">
        <v>1516</v>
      </c>
      <c r="P956" s="2" t="str">
        <f>VLOOKUP(G956,[1]Hoja1!$A:$P,16,0)</f>
        <v xml:space="preserve"> </v>
      </c>
      <c r="Q956" s="2"/>
      <c r="S956">
        <f>VLOOKUP(G956,[1]Hoja1!$A:$O,5,0)</f>
        <v>2680842</v>
      </c>
      <c r="U956" s="45" t="s">
        <v>2751</v>
      </c>
      <c r="V956" s="46">
        <f t="shared" si="179"/>
        <v>2680842</v>
      </c>
      <c r="W956" s="47" t="s">
        <v>1519</v>
      </c>
      <c r="X956" s="46" t="str">
        <f t="shared" si="180"/>
        <v>4</v>
      </c>
      <c r="Y956" s="47" t="s">
        <v>1518</v>
      </c>
      <c r="Z956" s="46" t="str">
        <f t="shared" si="181"/>
        <v>T</v>
      </c>
      <c r="AA956" s="47" t="s">
        <v>2752</v>
      </c>
      <c r="AB956" s="46" t="str">
        <f t="shared" si="182"/>
        <v>MIERCOLES</v>
      </c>
      <c r="AC956" s="47" t="s">
        <v>2753</v>
      </c>
      <c r="AD956" t="str">
        <f t="shared" si="183"/>
        <v>CONTRATURNO</v>
      </c>
      <c r="AE956" s="47" t="s">
        <v>2754</v>
      </c>
      <c r="AH956" t="str">
        <f t="shared" si="184"/>
        <v>INSERT INTO horario_curso_materia (horario_curso_materia.FK_CUR_mat,horario_curso_materia.FK_HOR,horario_curso_materia.DIA,horario_curso_materia.tipo_turno) VALUES (  (SELECT curso_materia.ID_CUR_MAT FROM curso_materia WHERE curso_materia.CUPOF='2680842' ) ,
    (SELECT horario.ID_HOR FROM horario WHERE horario.modulo='4 ' and horario.turno='T ' ),'MIERCOLES ' , 'CONTRATURNO ' );</v>
      </c>
    </row>
    <row r="957" spans="1:34" ht="15" hidden="1" customHeight="1" x14ac:dyDescent="0.3">
      <c r="A957" s="1" t="str">
        <f t="shared" si="185"/>
        <v>6°1°</v>
      </c>
      <c r="B957" s="54" t="str">
        <f t="shared" si="177"/>
        <v>6°1°4viTARDE612</v>
      </c>
      <c r="C957" s="62">
        <f>VLOOKUP(G957,[1]Hoja1!$A:$O,3,0)</f>
        <v>612</v>
      </c>
      <c r="D957" s="2" t="str">
        <f t="shared" si="178"/>
        <v>4viT40</v>
      </c>
      <c r="E957" s="62" t="s">
        <v>1337</v>
      </c>
      <c r="F957" s="62" t="s">
        <v>10</v>
      </c>
      <c r="G957" s="62" t="s">
        <v>198</v>
      </c>
      <c r="H957" s="8" t="str">
        <f>VLOOKUP(G957,[1]Hoja1!$A:$O,6,0)</f>
        <v xml:space="preserve">LAB DE APLICACIONES </v>
      </c>
      <c r="I957" s="4">
        <v>40</v>
      </c>
      <c r="J957" s="4"/>
      <c r="K957" s="80" t="str">
        <f t="shared" si="187"/>
        <v>vi</v>
      </c>
      <c r="L957" s="4" t="s">
        <v>512</v>
      </c>
      <c r="M957" s="86" t="str">
        <f>VLOOKUP(G957,[1]Hoja1!$A:$O,15,0)</f>
        <v>HERRERA STELLA</v>
      </c>
      <c r="N957" s="2" t="str">
        <f t="shared" si="186"/>
        <v>6°1°6126IFTLA6vi</v>
      </c>
      <c r="O957" s="2"/>
      <c r="P957" s="2" t="str">
        <f>VLOOKUP(G957,[1]Hoja1!$A:$P,16,0)</f>
        <v xml:space="preserve"> </v>
      </c>
      <c r="Q957" s="2"/>
      <c r="S957">
        <f>VLOOKUP(G957,[1]Hoja1!$A:$O,5,0)</f>
        <v>2680853</v>
      </c>
      <c r="U957" s="45" t="s">
        <v>2751</v>
      </c>
      <c r="V957" s="46">
        <f t="shared" si="179"/>
        <v>2680853</v>
      </c>
      <c r="W957" s="47" t="s">
        <v>1519</v>
      </c>
      <c r="X957" s="46" t="str">
        <f t="shared" si="180"/>
        <v>4</v>
      </c>
      <c r="Y957" s="47" t="s">
        <v>1518</v>
      </c>
      <c r="Z957" s="46" t="str">
        <f t="shared" si="181"/>
        <v>T</v>
      </c>
      <c r="AA957" s="47" t="s">
        <v>2752</v>
      </c>
      <c r="AB957" s="46" t="str">
        <f t="shared" si="182"/>
        <v>VIERNES</v>
      </c>
      <c r="AC957" s="47" t="s">
        <v>2753</v>
      </c>
      <c r="AD957" t="str">
        <f t="shared" si="183"/>
        <v>CONTRATURNO</v>
      </c>
      <c r="AE957" s="47" t="s">
        <v>2754</v>
      </c>
      <c r="AH957" t="str">
        <f t="shared" si="184"/>
        <v>INSERT INTO horario_curso_materia (horario_curso_materia.FK_CUR_mat,horario_curso_materia.FK_HOR,horario_curso_materia.DIA,horario_curso_materia.tipo_turno) VALUES (  (SELECT curso_materia.ID_CUR_MAT FROM curso_materia WHERE curso_materia.CUPOF='2680853' ) ,
    (SELECT horario.ID_HOR FROM horario WHERE horario.modulo='4 ' and horario.turno='T ' ),'VIERNES ' , 'CONTRATURNO ' );</v>
      </c>
    </row>
    <row r="958" spans="1:34" ht="15" hidden="1" customHeight="1" x14ac:dyDescent="0.3">
      <c r="A958" s="1" t="str">
        <f t="shared" si="185"/>
        <v>6°1°</v>
      </c>
      <c r="B958" s="54" t="str">
        <f t="shared" si="177"/>
        <v>6°1°4MATARDE612</v>
      </c>
      <c r="C958" s="62">
        <f>VLOOKUP(G958,[1]Hoja1!$A:$O,3,0)</f>
        <v>612</v>
      </c>
      <c r="D958" s="2" t="str">
        <f t="shared" si="178"/>
        <v>4MAT41</v>
      </c>
      <c r="E958" s="62" t="s">
        <v>16</v>
      </c>
      <c r="F958" s="62" t="s">
        <v>10</v>
      </c>
      <c r="G958" s="62" t="s">
        <v>202</v>
      </c>
      <c r="H958" s="8" t="str">
        <f>VLOOKUP(G958,[1]Hoja1!$A:$O,6,0)</f>
        <v xml:space="preserve">LAB DE SIST OPERATIVOS </v>
      </c>
      <c r="I958" s="4">
        <v>41</v>
      </c>
      <c r="J958" s="4"/>
      <c r="K958" s="80" t="str">
        <f t="shared" si="187"/>
        <v>MA</v>
      </c>
      <c r="L958" s="4" t="s">
        <v>512</v>
      </c>
      <c r="M958" s="86" t="str">
        <f>VLOOKUP(G958,[1]Hoja1!$A:$O,15,0)</f>
        <v>FERREYRA YESICA</v>
      </c>
      <c r="N958" s="2" t="str">
        <f t="shared" si="186"/>
        <v>6°1°6126IFHLS6MA</v>
      </c>
      <c r="O958" s="2"/>
      <c r="P958" s="2" t="str">
        <f>VLOOKUP(G958,[1]Hoja1!$A:$P,16,0)</f>
        <v xml:space="preserve"> </v>
      </c>
      <c r="Q958" s="2"/>
      <c r="S958">
        <f>VLOOKUP(G958,[1]Hoja1!$A:$O,5,0)</f>
        <v>2680848</v>
      </c>
      <c r="U958" s="45" t="s">
        <v>2751</v>
      </c>
      <c r="V958" s="46">
        <f t="shared" si="179"/>
        <v>2680848</v>
      </c>
      <c r="W958" s="47" t="s">
        <v>1519</v>
      </c>
      <c r="X958" s="46" t="str">
        <f t="shared" si="180"/>
        <v>4</v>
      </c>
      <c r="Y958" s="47" t="s">
        <v>1518</v>
      </c>
      <c r="Z958" s="46" t="str">
        <f t="shared" si="181"/>
        <v>T</v>
      </c>
      <c r="AA958" s="47" t="s">
        <v>2752</v>
      </c>
      <c r="AB958" s="46" t="str">
        <f t="shared" si="182"/>
        <v>MARTES</v>
      </c>
      <c r="AC958" s="47" t="s">
        <v>2753</v>
      </c>
      <c r="AD958" t="str">
        <f t="shared" si="183"/>
        <v>CONTRATURNO</v>
      </c>
      <c r="AE958" s="47" t="s">
        <v>2754</v>
      </c>
      <c r="AH958" t="str">
        <f t="shared" si="184"/>
        <v>INSERT INTO horario_curso_materia (horario_curso_materia.FK_CUR_mat,horario_curso_materia.FK_HOR,horario_curso_materia.DIA,horario_curso_materia.tipo_turno) VALUES (  (SELECT curso_materia.ID_CUR_MAT FROM curso_materia WHERE curso_materia.CUPOF='2680848' ) ,
    (SELECT horario.ID_HOR FROM horario WHERE horario.modulo='4 ' and horario.turno='T ' ),'MARTES ' , 'CONTRATURNO ' );</v>
      </c>
    </row>
    <row r="959" spans="1:34" ht="15" hidden="1" customHeight="1" x14ac:dyDescent="0.3">
      <c r="A959" s="1" t="str">
        <f t="shared" si="185"/>
        <v>6°1°</v>
      </c>
      <c r="B959" s="54" t="str">
        <f t="shared" si="177"/>
        <v>6°1°4MIVESPERTINO0</v>
      </c>
      <c r="C959" s="62">
        <f>VLOOKUP(G959,[1]Hoja1!$A:$O,3,0)</f>
        <v>0</v>
      </c>
      <c r="D959" s="2" t="str">
        <f t="shared" si="178"/>
        <v>4MIV</v>
      </c>
      <c r="E959" s="62" t="s">
        <v>52</v>
      </c>
      <c r="F959" s="62" t="s">
        <v>125</v>
      </c>
      <c r="G959" s="62" t="s">
        <v>442</v>
      </c>
      <c r="H959" s="8" t="str">
        <f>VLOOKUP(G959,[1]Hoja1!$A:$O,6,0)</f>
        <v>MATEMATICA APLICADA</v>
      </c>
      <c r="I959" s="4"/>
      <c r="J959" s="4"/>
      <c r="K959" s="80" t="str">
        <f t="shared" si="187"/>
        <v>MI</v>
      </c>
      <c r="L959" s="4"/>
      <c r="M959" s="86" t="str">
        <f>VLOOKUP(G959,[1]Hoja1!$A:$O,15,0)</f>
        <v>GARCIA CLAUDIA</v>
      </c>
      <c r="N959" s="2" t="str">
        <f t="shared" si="186"/>
        <v>6°1°6IMATAPMI</v>
      </c>
      <c r="O959" s="2"/>
      <c r="P959" s="2" t="str">
        <f>VLOOKUP(G959,[1]Hoja1!$A:$P,16,0)</f>
        <v xml:space="preserve"> </v>
      </c>
      <c r="Q959" s="2"/>
      <c r="S959">
        <f>VLOOKUP(G959,[1]Hoja1!$A:$O,5,0)</f>
        <v>733394</v>
      </c>
      <c r="U959" s="45" t="s">
        <v>2751</v>
      </c>
      <c r="V959" s="46">
        <f t="shared" si="179"/>
        <v>733394</v>
      </c>
      <c r="W959" s="47" t="s">
        <v>1519</v>
      </c>
      <c r="X959" s="46" t="str">
        <f t="shared" si="180"/>
        <v>4</v>
      </c>
      <c r="Y959" s="47" t="s">
        <v>1518</v>
      </c>
      <c r="Z959" s="46" t="str">
        <f t="shared" si="181"/>
        <v>V</v>
      </c>
      <c r="AA959" s="47" t="s">
        <v>2752</v>
      </c>
      <c r="AB959" s="46" t="str">
        <f t="shared" si="182"/>
        <v>MIERCOLES</v>
      </c>
      <c r="AC959" s="47" t="s">
        <v>2753</v>
      </c>
      <c r="AD959">
        <f t="shared" si="183"/>
        <v>0</v>
      </c>
      <c r="AE959" s="47" t="s">
        <v>2754</v>
      </c>
      <c r="AH959" t="str">
        <f t="shared" si="184"/>
        <v>INSERT INTO horario_curso_materia (horario_curso_materia.FK_CUR_mat,horario_curso_materia.FK_HOR,horario_curso_materia.DIA,horario_curso_materia.tipo_turno) VALUES (  (SELECT curso_materia.ID_CUR_MAT FROM curso_materia WHERE curso_materia.CUPOF='733394' ) ,
    (SELECT horario.ID_HOR FROM horario WHERE horario.modulo='4 ' and horario.turno='V ' ),'MIERCOLES ' , '0 ' );</v>
      </c>
    </row>
    <row r="960" spans="1:34" ht="15" hidden="1" customHeight="1" x14ac:dyDescent="0.3">
      <c r="A960" s="1" t="str">
        <f t="shared" si="185"/>
        <v>6°1°</v>
      </c>
      <c r="B960" s="54" t="str">
        <f t="shared" si="177"/>
        <v>6°1°2viTARDE612</v>
      </c>
      <c r="C960" s="62">
        <f>VLOOKUP(G960,[1]Hoja1!$A:$O,3,0)</f>
        <v>612</v>
      </c>
      <c r="D960" s="2" t="str">
        <f t="shared" si="178"/>
        <v>2viT40</v>
      </c>
      <c r="E960" s="62" t="s">
        <v>1377</v>
      </c>
      <c r="F960" s="62" t="s">
        <v>10</v>
      </c>
      <c r="G960" s="62" t="s">
        <v>201</v>
      </c>
      <c r="H960" s="8" t="str">
        <f>VLOOKUP(G960,[1]Hoja1!$A:$O,6,0)</f>
        <v xml:space="preserve">LAB DE PROGRAM </v>
      </c>
      <c r="I960" s="4">
        <v>40</v>
      </c>
      <c r="J960" s="4"/>
      <c r="K960" s="80" t="str">
        <f t="shared" si="187"/>
        <v>vi</v>
      </c>
      <c r="L960" s="4" t="s">
        <v>512</v>
      </c>
      <c r="M960" s="86" t="str">
        <f>VLOOKUP(G960,[1]Hoja1!$A:$O,15,0)</f>
        <v>MONTENEGRO CLAUIDA</v>
      </c>
      <c r="N960" s="2" t="str">
        <f t="shared" si="186"/>
        <v>6°1°6126IFTLP6vi</v>
      </c>
      <c r="O960" s="2"/>
      <c r="P960" s="2" t="str">
        <f>VLOOKUP(G960,[1]Hoja1!$A:$P,16,0)</f>
        <v xml:space="preserve"> </v>
      </c>
      <c r="Q960" s="2"/>
      <c r="S960">
        <f>VLOOKUP(G960,[1]Hoja1!$A:$O,5,0)</f>
        <v>2680843</v>
      </c>
      <c r="U960" s="45" t="s">
        <v>2751</v>
      </c>
      <c r="V960" s="46">
        <f t="shared" si="179"/>
        <v>2680843</v>
      </c>
      <c r="W960" s="47" t="s">
        <v>1519</v>
      </c>
      <c r="X960" s="46" t="str">
        <f t="shared" si="180"/>
        <v>2</v>
      </c>
      <c r="Y960" s="47" t="s">
        <v>1518</v>
      </c>
      <c r="Z960" s="46" t="str">
        <f t="shared" si="181"/>
        <v>T</v>
      </c>
      <c r="AA960" s="47" t="s">
        <v>2752</v>
      </c>
      <c r="AB960" s="46" t="str">
        <f t="shared" si="182"/>
        <v>VIERNES</v>
      </c>
      <c r="AC960" s="47" t="s">
        <v>2753</v>
      </c>
      <c r="AD960" t="str">
        <f t="shared" si="183"/>
        <v>CONTRATURNO</v>
      </c>
      <c r="AE960" s="47" t="s">
        <v>2754</v>
      </c>
      <c r="AH960" t="str">
        <f t="shared" si="184"/>
        <v>INSERT INTO horario_curso_materia (horario_curso_materia.FK_CUR_mat,horario_curso_materia.FK_HOR,horario_curso_materia.DIA,horario_curso_materia.tipo_turno) VALUES (  (SELECT curso_materia.ID_CUR_MAT FROM curso_materia WHERE curso_materia.CUPOF='2680843' ) ,
    (SELECT horario.ID_HOR FROM horario WHERE horario.modulo='2 ' and horario.turno='T ' ),'VIERNES ' , 'CONTRATURNO ' );</v>
      </c>
    </row>
    <row r="961" spans="1:34" ht="15" hidden="1" customHeight="1" x14ac:dyDescent="0.3">
      <c r="A961" s="1" t="str">
        <f t="shared" si="185"/>
        <v>6°2°</v>
      </c>
      <c r="B961" s="54" t="str">
        <f t="shared" si="177"/>
        <v>6°2°1JUMAÑANA621</v>
      </c>
      <c r="C961" s="62">
        <f>VLOOKUP(G961,[1]Hoja1!$A:$O,3,0)</f>
        <v>621</v>
      </c>
      <c r="D961" s="2" t="str">
        <f t="shared" si="178"/>
        <v>1JUM40</v>
      </c>
      <c r="E961" s="62" t="s">
        <v>43</v>
      </c>
      <c r="F961" s="62" t="s">
        <v>27</v>
      </c>
      <c r="G961" s="62" t="s">
        <v>208</v>
      </c>
      <c r="H961" s="8" t="str">
        <f>VLOOKUP(G961,[1]Hoja1!$A:$O,6,0)</f>
        <v xml:space="preserve">LAB DE SIST OPERATIVOS </v>
      </c>
      <c r="I961" s="4">
        <v>40</v>
      </c>
      <c r="J961" s="4"/>
      <c r="K961" s="80" t="str">
        <f t="shared" si="187"/>
        <v>JU</v>
      </c>
      <c r="L961" s="4" t="s">
        <v>512</v>
      </c>
      <c r="M961" s="86" t="str">
        <f>VLOOKUP(G961,[1]Hoja1!$A:$O,15,0)</f>
        <v>FERREYRA JESICA</v>
      </c>
      <c r="N961" s="2" t="str">
        <f t="shared" si="186"/>
        <v>6°2°6216IFHLS6JU</v>
      </c>
      <c r="O961" s="2"/>
      <c r="P961" s="2" t="str">
        <f>VLOOKUP(G961,[1]Hoja1!$A:$P,16,0)</f>
        <v xml:space="preserve"> </v>
      </c>
      <c r="Q961" s="2"/>
      <c r="S961">
        <f>VLOOKUP(G961,[1]Hoja1!$A:$O,5,0)</f>
        <v>2681845</v>
      </c>
      <c r="U961" s="45" t="s">
        <v>2751</v>
      </c>
      <c r="V961" s="46">
        <f t="shared" si="179"/>
        <v>2681845</v>
      </c>
      <c r="W961" s="47" t="s">
        <v>1519</v>
      </c>
      <c r="X961" s="46" t="str">
        <f t="shared" si="180"/>
        <v>1</v>
      </c>
      <c r="Y961" s="47" t="s">
        <v>1518</v>
      </c>
      <c r="Z961" s="46" t="str">
        <f t="shared" si="181"/>
        <v>M</v>
      </c>
      <c r="AA961" s="47" t="s">
        <v>2752</v>
      </c>
      <c r="AB961" s="46" t="str">
        <f t="shared" si="182"/>
        <v>JUEVES</v>
      </c>
      <c r="AC961" s="47" t="s">
        <v>2753</v>
      </c>
      <c r="AD961" t="str">
        <f t="shared" si="183"/>
        <v>CONTRATURNO</v>
      </c>
      <c r="AE961" s="47" t="s">
        <v>2754</v>
      </c>
      <c r="AH961" t="str">
        <f t="shared" si="184"/>
        <v>INSERT INTO horario_curso_materia (horario_curso_materia.FK_CUR_mat,horario_curso_materia.FK_HOR,horario_curso_materia.DIA,horario_curso_materia.tipo_turno) VALUES (  (SELECT curso_materia.ID_CUR_MAT FROM curso_materia WHERE curso_materia.CUPOF='2681845' ) ,
    (SELECT horario.ID_HOR FROM horario WHERE horario.modulo='1 ' and horario.turno='M ' ),'JUEVES ' , 'CONTRATURNO ' );</v>
      </c>
    </row>
    <row r="962" spans="1:34" ht="15" hidden="1" customHeight="1" x14ac:dyDescent="0.3">
      <c r="A962" s="1" t="str">
        <f t="shared" si="185"/>
        <v>6°2°</v>
      </c>
      <c r="B962" s="54" t="str">
        <f t="shared" ref="B962:B1025" si="188">CONCATENATE(LEFT(G962,4),E962,F962,C962)</f>
        <v>6°2°1VIMAÑANA621</v>
      </c>
      <c r="C962" s="62">
        <f>VLOOKUP(G962,[1]Hoja1!$A:$O,3,0)</f>
        <v>621</v>
      </c>
      <c r="D962" s="2" t="str">
        <f t="shared" si="178"/>
        <v>1VIM41</v>
      </c>
      <c r="E962" s="62" t="s">
        <v>57</v>
      </c>
      <c r="F962" s="62" t="s">
        <v>27</v>
      </c>
      <c r="G962" s="62" t="s">
        <v>204</v>
      </c>
      <c r="H962" s="8" t="str">
        <f>VLOOKUP(G962,[1]Hoja1!$A:$O,6,0)</f>
        <v xml:space="preserve">LAB DE HARDWARE </v>
      </c>
      <c r="I962" s="4">
        <v>41</v>
      </c>
      <c r="J962" s="4"/>
      <c r="K962" s="80" t="str">
        <f t="shared" si="187"/>
        <v>VI</v>
      </c>
      <c r="L962" s="4" t="s">
        <v>512</v>
      </c>
      <c r="M962" s="86" t="str">
        <f>VLOOKUP(G962,[1]Hoja1!$A:$O,15,0)</f>
        <v>MONTENEGRO, CLAUDIA</v>
      </c>
      <c r="N962" s="2" t="str">
        <f t="shared" si="186"/>
        <v>6°2°6216IFTLH6VI</v>
      </c>
      <c r="O962" s="2"/>
      <c r="P962" s="2" t="str">
        <f>VLOOKUP(G962,[1]Hoja1!$A:$P,16,0)</f>
        <v xml:space="preserve"> </v>
      </c>
      <c r="Q962" s="2"/>
      <c r="S962">
        <f>VLOOKUP(G962,[1]Hoja1!$A:$O,5,0)</f>
        <v>2681844</v>
      </c>
      <c r="U962" s="45" t="s">
        <v>2751</v>
      </c>
      <c r="V962" s="46">
        <f t="shared" si="179"/>
        <v>2681844</v>
      </c>
      <c r="W962" s="47" t="s">
        <v>1519</v>
      </c>
      <c r="X962" s="46" t="str">
        <f t="shared" si="180"/>
        <v>1</v>
      </c>
      <c r="Y962" s="47" t="s">
        <v>1518</v>
      </c>
      <c r="Z962" s="46" t="str">
        <f t="shared" si="181"/>
        <v>M</v>
      </c>
      <c r="AA962" s="47" t="s">
        <v>2752</v>
      </c>
      <c r="AB962" s="46" t="str">
        <f t="shared" si="182"/>
        <v>VIERNES</v>
      </c>
      <c r="AC962" s="47" t="s">
        <v>2753</v>
      </c>
      <c r="AD962" t="str">
        <f t="shared" si="183"/>
        <v>CONTRATURNO</v>
      </c>
      <c r="AE962" s="47" t="s">
        <v>2754</v>
      </c>
      <c r="AH962" t="str">
        <f t="shared" si="184"/>
        <v>INSERT INTO horario_curso_materia (horario_curso_materia.FK_CUR_mat,horario_curso_materia.FK_HOR,horario_curso_materia.DIA,horario_curso_materia.tipo_turno) VALUES (  (SELECT curso_materia.ID_CUR_MAT FROM curso_materia WHERE curso_materia.CUPOF='2681844' ) ,
    (SELECT horario.ID_HOR FROM horario WHERE horario.modulo='1 ' and horario.turno='M ' ),'VIERNES ' , 'CONTRATURNO ' );</v>
      </c>
    </row>
    <row r="963" spans="1:34" ht="15" hidden="1" customHeight="1" x14ac:dyDescent="0.3">
      <c r="A963" s="1" t="str">
        <f t="shared" si="185"/>
        <v>6°2°</v>
      </c>
      <c r="B963" s="54" t="str">
        <f t="shared" si="188"/>
        <v>6°2°1JUVESPERTINO0</v>
      </c>
      <c r="C963" s="62">
        <f>VLOOKUP(G963,[1]Hoja1!$A:$O,3,0)</f>
        <v>0</v>
      </c>
      <c r="D963" s="2" t="str">
        <f t="shared" si="178"/>
        <v>1JUV</v>
      </c>
      <c r="E963" s="62" t="s">
        <v>43</v>
      </c>
      <c r="F963" s="62" t="s">
        <v>125</v>
      </c>
      <c r="G963" s="62" t="s">
        <v>455</v>
      </c>
      <c r="H963" s="8" t="str">
        <f>VLOOKUP(G963,[1]Hoja1!$A:$O,6,0)</f>
        <v>INVESTIGACION OPERATIVA</v>
      </c>
      <c r="I963" s="4"/>
      <c r="J963" s="4"/>
      <c r="K963" s="80" t="str">
        <f t="shared" si="187"/>
        <v>JU</v>
      </c>
      <c r="L963" s="4"/>
      <c r="M963" s="86" t="str">
        <f>VLOOKUP(G963,[1]Hoja1!$A:$O,15,0)</f>
        <v>MONTENEGRO</v>
      </c>
      <c r="N963" s="2" t="str">
        <f t="shared" si="186"/>
        <v>6°2°6IINVOPJU</v>
      </c>
      <c r="O963" s="2"/>
      <c r="P963" s="2" t="str">
        <f>VLOOKUP(G963,[1]Hoja1!$A:$P,16,0)</f>
        <v xml:space="preserve"> </v>
      </c>
      <c r="Q963" s="2"/>
      <c r="S963">
        <f>VLOOKUP(G963,[1]Hoja1!$A:$O,5,0)</f>
        <v>2681836</v>
      </c>
      <c r="U963" s="45" t="s">
        <v>2751</v>
      </c>
      <c r="V963" s="46">
        <f t="shared" si="179"/>
        <v>2681836</v>
      </c>
      <c r="W963" s="47" t="s">
        <v>1519</v>
      </c>
      <c r="X963" s="46" t="str">
        <f t="shared" si="180"/>
        <v>1</v>
      </c>
      <c r="Y963" s="47" t="s">
        <v>1518</v>
      </c>
      <c r="Z963" s="46" t="str">
        <f t="shared" si="181"/>
        <v>V</v>
      </c>
      <c r="AA963" s="47" t="s">
        <v>2752</v>
      </c>
      <c r="AB963" s="46" t="str">
        <f t="shared" si="182"/>
        <v>JUEVES</v>
      </c>
      <c r="AC963" s="47" t="s">
        <v>2753</v>
      </c>
      <c r="AD963">
        <f t="shared" si="183"/>
        <v>0</v>
      </c>
      <c r="AE963" s="47" t="s">
        <v>2754</v>
      </c>
      <c r="AH963" t="str">
        <f t="shared" si="184"/>
        <v>INSERT INTO horario_curso_materia (horario_curso_materia.FK_CUR_mat,horario_curso_materia.FK_HOR,horario_curso_materia.DIA,horario_curso_materia.tipo_turno) VALUES (  (SELECT curso_materia.ID_CUR_MAT FROM curso_materia WHERE curso_materia.CUPOF='2681836' ) ,
    (SELECT horario.ID_HOR FROM horario WHERE horario.modulo='1 ' and horario.turno='V ' ),'JUEVES ' , '0 ' );</v>
      </c>
    </row>
    <row r="964" spans="1:34" ht="15" hidden="1" customHeight="1" x14ac:dyDescent="0.3">
      <c r="A964" s="1" t="str">
        <f t="shared" si="185"/>
        <v>6°2°</v>
      </c>
      <c r="B964" s="54" t="str">
        <f t="shared" si="188"/>
        <v>6°2°1LUMAÑANA0</v>
      </c>
      <c r="C964" s="62">
        <f>VLOOKUP(G964,[1]Hoja1!$A:$O,3,0)</f>
        <v>0</v>
      </c>
      <c r="D964" s="2" t="str">
        <f t="shared" si="178"/>
        <v>1LUMPATIO</v>
      </c>
      <c r="E964" s="62" t="s">
        <v>9</v>
      </c>
      <c r="F964" s="62" t="s">
        <v>27</v>
      </c>
      <c r="G964" s="62" t="s">
        <v>458</v>
      </c>
      <c r="H964" s="8" t="str">
        <f>VLOOKUP(G964,[1]Hoja1!$A:$O,6,0)</f>
        <v>EDUCACIÓN FISICA</v>
      </c>
      <c r="I964" s="4" t="s">
        <v>241</v>
      </c>
      <c r="J964" s="4"/>
      <c r="K964" s="80" t="str">
        <f t="shared" si="187"/>
        <v>LU</v>
      </c>
      <c r="L964" s="4" t="s">
        <v>512</v>
      </c>
      <c r="M964" s="86" t="str">
        <f>VLOOKUP(G964,[1]Hoja1!$A:$O,15,0)</f>
        <v xml:space="preserve">BURELA, MERCEDES </v>
      </c>
      <c r="N964" s="2" t="str">
        <f t="shared" si="186"/>
        <v>6°2°6IEFISLU</v>
      </c>
      <c r="O964" s="2"/>
      <c r="P964" s="2" t="str">
        <f>VLOOKUP(G964,[1]Hoja1!$A:$P,16,0)</f>
        <v xml:space="preserve"> </v>
      </c>
      <c r="Q964" s="2"/>
      <c r="S964">
        <f>VLOOKUP(G964,[1]Hoja1!$A:$O,5,0)</f>
        <v>2681823</v>
      </c>
      <c r="U964" s="45" t="s">
        <v>2751</v>
      </c>
      <c r="V964" s="46">
        <f t="shared" si="179"/>
        <v>2681823</v>
      </c>
      <c r="W964" s="47" t="s">
        <v>1519</v>
      </c>
      <c r="X964" s="46" t="str">
        <f t="shared" si="180"/>
        <v>1</v>
      </c>
      <c r="Y964" s="47" t="s">
        <v>1518</v>
      </c>
      <c r="Z964" s="46" t="str">
        <f t="shared" si="181"/>
        <v>M</v>
      </c>
      <c r="AA964" s="47" t="s">
        <v>2752</v>
      </c>
      <c r="AB964" s="46" t="str">
        <f t="shared" si="182"/>
        <v>LUNES</v>
      </c>
      <c r="AC964" s="47" t="s">
        <v>2753</v>
      </c>
      <c r="AD964" t="str">
        <f t="shared" si="183"/>
        <v>CONTRATURNO</v>
      </c>
      <c r="AE964" s="47" t="s">
        <v>2754</v>
      </c>
      <c r="AH964" t="str">
        <f t="shared" si="184"/>
        <v>INSERT INTO horario_curso_materia (horario_curso_materia.FK_CUR_mat,horario_curso_materia.FK_HOR,horario_curso_materia.DIA,horario_curso_materia.tipo_turno) VALUES (  (SELECT curso_materia.ID_CUR_MAT FROM curso_materia WHERE curso_materia.CUPOF='2681823' ) ,
    (SELECT horario.ID_HOR FROM horario WHERE horario.modulo='1 ' and horario.turno='M ' ),'LUNES ' , 'CONTRATURNO ' );</v>
      </c>
    </row>
    <row r="965" spans="1:34" ht="15" hidden="1" customHeight="1" x14ac:dyDescent="0.3">
      <c r="A965" s="1" t="str">
        <f t="shared" si="185"/>
        <v>6°2°</v>
      </c>
      <c r="B965" s="54" t="str">
        <f t="shared" si="188"/>
        <v>6°2°1LUVESPERTINO0</v>
      </c>
      <c r="C965" s="62">
        <f>VLOOKUP(G965,[1]Hoja1!$A:$O,3,0)</f>
        <v>0</v>
      </c>
      <c r="D965" s="2" t="str">
        <f t="shared" si="178"/>
        <v>1LUV</v>
      </c>
      <c r="E965" s="62" t="s">
        <v>9</v>
      </c>
      <c r="F965" s="62" t="s">
        <v>125</v>
      </c>
      <c r="G965" s="62" t="s">
        <v>449</v>
      </c>
      <c r="H965" s="8" t="str">
        <f>VLOOKUP(G965,[1]Hoja1!$A:$O,6,0)</f>
        <v>MATEMATICA APLICADA</v>
      </c>
      <c r="I965" s="4"/>
      <c r="J965" s="4"/>
      <c r="K965" s="80" t="str">
        <f t="shared" si="187"/>
        <v>LU</v>
      </c>
      <c r="L965" s="4"/>
      <c r="M965" s="86" t="str">
        <f>VLOOKUP(G965,[1]Hoja1!$A:$O,15,0)</f>
        <v>GUADAGNO CLAUDIA</v>
      </c>
      <c r="N965" s="2" t="str">
        <f t="shared" si="186"/>
        <v>6°2°6IMATAPLU</v>
      </c>
      <c r="O965" s="2"/>
      <c r="P965" s="2" t="str">
        <f>VLOOKUP(G965,[1]Hoja1!$A:$P,16,0)</f>
        <v xml:space="preserve"> </v>
      </c>
      <c r="Q965" s="2"/>
      <c r="S965">
        <f>VLOOKUP(G965,[1]Hoja1!$A:$O,5,0)</f>
        <v>2681831</v>
      </c>
      <c r="U965" s="45" t="s">
        <v>2751</v>
      </c>
      <c r="V965" s="46">
        <f t="shared" si="179"/>
        <v>2681831</v>
      </c>
      <c r="W965" s="47" t="s">
        <v>1519</v>
      </c>
      <c r="X965" s="46" t="str">
        <f t="shared" si="180"/>
        <v>1</v>
      </c>
      <c r="Y965" s="47" t="s">
        <v>1518</v>
      </c>
      <c r="Z965" s="46" t="str">
        <f t="shared" si="181"/>
        <v>V</v>
      </c>
      <c r="AA965" s="47" t="s">
        <v>2752</v>
      </c>
      <c r="AB965" s="46" t="str">
        <f t="shared" si="182"/>
        <v>LUNES</v>
      </c>
      <c r="AC965" s="47" t="s">
        <v>2753</v>
      </c>
      <c r="AD965">
        <f t="shared" si="183"/>
        <v>0</v>
      </c>
      <c r="AE965" s="47" t="s">
        <v>2754</v>
      </c>
      <c r="AH965" t="str">
        <f t="shared" si="184"/>
        <v>INSERT INTO horario_curso_materia (horario_curso_materia.FK_CUR_mat,horario_curso_materia.FK_HOR,horario_curso_materia.DIA,horario_curso_materia.tipo_turno) VALUES (  (SELECT curso_materia.ID_CUR_MAT FROM curso_materia WHERE curso_materia.CUPOF='2681831' ) ,
    (SELECT horario.ID_HOR FROM horario WHERE horario.modulo='1 ' and horario.turno='V ' ),'LUNES ' , '0 ' );</v>
      </c>
    </row>
    <row r="966" spans="1:34" ht="15" hidden="1" customHeight="1" x14ac:dyDescent="0.3">
      <c r="A966" s="1" t="str">
        <f t="shared" si="185"/>
        <v>6°2°</v>
      </c>
      <c r="B966" s="54" t="str">
        <f t="shared" si="188"/>
        <v>6°2°2VIMAÑANA621</v>
      </c>
      <c r="C966" s="62">
        <f>VLOOKUP(G966,[1]Hoja1!$A:$O,3,0)</f>
        <v>621</v>
      </c>
      <c r="D966" s="2" t="str">
        <f t="shared" si="178"/>
        <v>2VIM41</v>
      </c>
      <c r="E966" s="62" t="s">
        <v>59</v>
      </c>
      <c r="F966" s="62" t="s">
        <v>27</v>
      </c>
      <c r="G966" s="62" t="s">
        <v>204</v>
      </c>
      <c r="H966" s="8" t="str">
        <f>VLOOKUP(G966,[1]Hoja1!$A:$O,6,0)</f>
        <v xml:space="preserve">LAB DE HARDWARE </v>
      </c>
      <c r="I966" s="4">
        <v>41</v>
      </c>
      <c r="J966" s="4"/>
      <c r="K966" s="80" t="str">
        <f t="shared" si="187"/>
        <v>VI</v>
      </c>
      <c r="L966" s="4" t="s">
        <v>512</v>
      </c>
      <c r="M966" s="86" t="str">
        <f>VLOOKUP(G966,[1]Hoja1!$A:$O,15,0)</f>
        <v>MONTENEGRO, CLAUDIA</v>
      </c>
      <c r="N966" s="2" t="str">
        <f t="shared" si="186"/>
        <v>6°2°6216IFTLH6VI</v>
      </c>
      <c r="O966" s="2"/>
      <c r="P966" s="2" t="str">
        <f>VLOOKUP(G966,[1]Hoja1!$A:$P,16,0)</f>
        <v xml:space="preserve"> </v>
      </c>
      <c r="Q966" s="2"/>
      <c r="S966">
        <f>VLOOKUP(G966,[1]Hoja1!$A:$O,5,0)</f>
        <v>2681844</v>
      </c>
      <c r="U966" s="45" t="s">
        <v>2751</v>
      </c>
      <c r="V966" s="46">
        <f t="shared" si="179"/>
        <v>2681844</v>
      </c>
      <c r="W966" s="47" t="s">
        <v>1519</v>
      </c>
      <c r="X966" s="46" t="str">
        <f t="shared" si="180"/>
        <v>2</v>
      </c>
      <c r="Y966" s="47" t="s">
        <v>1518</v>
      </c>
      <c r="Z966" s="46" t="str">
        <f t="shared" si="181"/>
        <v>M</v>
      </c>
      <c r="AA966" s="47" t="s">
        <v>2752</v>
      </c>
      <c r="AB966" s="46" t="str">
        <f t="shared" si="182"/>
        <v>VIERNES</v>
      </c>
      <c r="AC966" s="47" t="s">
        <v>2753</v>
      </c>
      <c r="AD966" t="str">
        <f t="shared" si="183"/>
        <v>CONTRATURNO</v>
      </c>
      <c r="AE966" s="47" t="s">
        <v>2754</v>
      </c>
      <c r="AH966" t="str">
        <f t="shared" si="184"/>
        <v>INSERT INTO horario_curso_materia (horario_curso_materia.FK_CUR_mat,horario_curso_materia.FK_HOR,horario_curso_materia.DIA,horario_curso_materia.tipo_turno) VALUES (  (SELECT curso_materia.ID_CUR_MAT FROM curso_materia WHERE curso_materia.CUPOF='2681844' ) ,
    (SELECT horario.ID_HOR FROM horario WHERE horario.modulo='2 ' and horario.turno='M ' ),'VIERNES ' , 'CONTRATURNO ' );</v>
      </c>
    </row>
    <row r="967" spans="1:34" ht="15" hidden="1" customHeight="1" x14ac:dyDescent="0.3">
      <c r="A967" s="1" t="str">
        <f t="shared" si="185"/>
        <v>6°2°</v>
      </c>
      <c r="B967" s="54" t="str">
        <f t="shared" si="188"/>
        <v>6°2°3LUMAÑANA622</v>
      </c>
      <c r="C967" s="62">
        <f>VLOOKUP(G967,[1]Hoja1!$A:$O,3,0)</f>
        <v>622</v>
      </c>
      <c r="D967" s="2" t="str">
        <f t="shared" si="178"/>
        <v>3LUM41</v>
      </c>
      <c r="E967" s="62" t="s">
        <v>29</v>
      </c>
      <c r="F967" s="62" t="s">
        <v>27</v>
      </c>
      <c r="G967" s="62" t="s">
        <v>205</v>
      </c>
      <c r="H967" s="8" t="str">
        <f>VLOOKUP(G967,[1]Hoja1!$A:$O,6,0)</f>
        <v xml:space="preserve">LAB DE APLICACIONES </v>
      </c>
      <c r="I967" s="4">
        <v>41</v>
      </c>
      <c r="J967" s="4"/>
      <c r="K967" s="80" t="str">
        <f t="shared" si="187"/>
        <v>LU</v>
      </c>
      <c r="L967" s="4" t="s">
        <v>512</v>
      </c>
      <c r="M967" s="86" t="str">
        <f>VLOOKUP(G967,[1]Hoja1!$A:$O,15,0)</f>
        <v xml:space="preserve">GOMEZ ANALIA </v>
      </c>
      <c r="N967" s="2" t="str">
        <f t="shared" si="186"/>
        <v>6°2°6226IFTLA6LU</v>
      </c>
      <c r="O967" s="2"/>
      <c r="P967" s="2" t="str">
        <f>VLOOKUP(G967,[1]Hoja1!$A:$P,16,0)</f>
        <v xml:space="preserve"> </v>
      </c>
      <c r="Q967" s="2"/>
      <c r="S967">
        <f>VLOOKUP(G967,[1]Hoja1!$A:$O,5,0)</f>
        <v>2681873</v>
      </c>
      <c r="U967" s="45" t="s">
        <v>2751</v>
      </c>
      <c r="V967" s="46">
        <f t="shared" si="179"/>
        <v>2681873</v>
      </c>
      <c r="W967" s="47" t="s">
        <v>1519</v>
      </c>
      <c r="X967" s="46" t="str">
        <f t="shared" si="180"/>
        <v>3</v>
      </c>
      <c r="Y967" s="47" t="s">
        <v>1518</v>
      </c>
      <c r="Z967" s="46" t="str">
        <f t="shared" si="181"/>
        <v>M</v>
      </c>
      <c r="AA967" s="47" t="s">
        <v>2752</v>
      </c>
      <c r="AB967" s="46" t="str">
        <f t="shared" si="182"/>
        <v>LUNES</v>
      </c>
      <c r="AC967" s="47" t="s">
        <v>2753</v>
      </c>
      <c r="AD967" t="str">
        <f t="shared" si="183"/>
        <v>CONTRATURNO</v>
      </c>
      <c r="AE967" s="47" t="s">
        <v>2754</v>
      </c>
      <c r="AH967" t="str">
        <f t="shared" si="184"/>
        <v>INSERT INTO horario_curso_materia (horario_curso_materia.FK_CUR_mat,horario_curso_materia.FK_HOR,horario_curso_materia.DIA,horario_curso_materia.tipo_turno) VALUES (  (SELECT curso_materia.ID_CUR_MAT FROM curso_materia WHERE curso_materia.CUPOF='2681873' ) ,
    (SELECT horario.ID_HOR FROM horario WHERE horario.modulo='3 ' and horario.turno='M ' ),'LUNES ' , 'CONTRATURNO ' );</v>
      </c>
    </row>
    <row r="968" spans="1:34" ht="15" hidden="1" customHeight="1" x14ac:dyDescent="0.3">
      <c r="A968" s="1" t="str">
        <f t="shared" si="185"/>
        <v>6°2°</v>
      </c>
      <c r="B968" s="54" t="str">
        <f t="shared" si="188"/>
        <v>6°2°1MATARDE621</v>
      </c>
      <c r="C968" s="62">
        <v>621</v>
      </c>
      <c r="D968" s="2" t="str">
        <f t="shared" si="178"/>
        <v>1MAT30</v>
      </c>
      <c r="E968" s="62" t="s">
        <v>17</v>
      </c>
      <c r="F968" s="62" t="s">
        <v>10</v>
      </c>
      <c r="G968" s="62" t="s">
        <v>206</v>
      </c>
      <c r="H968" s="8" t="str">
        <f>VLOOKUP(G968,[1]Hoja1!$A:$O,6,0)</f>
        <v xml:space="preserve">LAB DE PROGRAM </v>
      </c>
      <c r="I968" s="4">
        <v>30</v>
      </c>
      <c r="J968" s="4"/>
      <c r="K968" s="80" t="str">
        <f t="shared" si="187"/>
        <v>MA</v>
      </c>
      <c r="L968" s="4" t="s">
        <v>512</v>
      </c>
      <c r="M968" s="86" t="str">
        <f>VLOOKUP(G968,[1]Hoja1!$A:$O,15,0)</f>
        <v>WITT  GERARDO</v>
      </c>
      <c r="N968" s="2" t="str">
        <f t="shared" si="186"/>
        <v>6°2°6226IFTLP6MA</v>
      </c>
      <c r="O968" s="2"/>
      <c r="P968" s="2" t="str">
        <f>VLOOKUP(G968,[1]Hoja1!$A:$P,16,0)</f>
        <v xml:space="preserve"> </v>
      </c>
      <c r="Q968" s="2">
        <v>1</v>
      </c>
      <c r="S968">
        <f>VLOOKUP(G968,[1]Hoja1!$A:$O,5,0)</f>
        <v>2681857</v>
      </c>
      <c r="U968" s="45" t="s">
        <v>2751</v>
      </c>
      <c r="V968" s="46">
        <f t="shared" si="179"/>
        <v>2681857</v>
      </c>
      <c r="W968" s="47" t="s">
        <v>1519</v>
      </c>
      <c r="X968" s="46" t="str">
        <f t="shared" si="180"/>
        <v>1</v>
      </c>
      <c r="Y968" s="47" t="s">
        <v>1518</v>
      </c>
      <c r="Z968" s="46" t="str">
        <f t="shared" si="181"/>
        <v>T</v>
      </c>
      <c r="AA968" s="47" t="s">
        <v>2752</v>
      </c>
      <c r="AB968" s="46" t="str">
        <f t="shared" si="182"/>
        <v>MARTES</v>
      </c>
      <c r="AC968" s="47" t="s">
        <v>2753</v>
      </c>
      <c r="AD968" t="str">
        <f t="shared" si="183"/>
        <v>CONTRATURNO</v>
      </c>
      <c r="AE968" s="47" t="s">
        <v>2754</v>
      </c>
      <c r="AH968" t="str">
        <f t="shared" si="184"/>
        <v>INSERT INTO horario_curso_materia (horario_curso_materia.FK_CUR_mat,horario_curso_materia.FK_HOR,horario_curso_materia.DIA,horario_curso_materia.tipo_turno) VALUES (  (SELECT curso_materia.ID_CUR_MAT FROM curso_materia WHERE curso_materia.CUPOF='2681857' ) ,
    (SELECT horario.ID_HOR FROM horario WHERE horario.modulo='1 ' and horario.turno='T ' ),'MARTES ' , 'CONTRATURNO ' );</v>
      </c>
    </row>
    <row r="969" spans="1:34" ht="15" hidden="1" customHeight="1" x14ac:dyDescent="0.3">
      <c r="A969" s="1" t="str">
        <f t="shared" si="185"/>
        <v>6°2°</v>
      </c>
      <c r="B969" s="54" t="str">
        <f t="shared" si="188"/>
        <v>6°2°1MAVESPERTINO0</v>
      </c>
      <c r="C969" s="62">
        <f>VLOOKUP(G969,[1]Hoja1!$A:$O,3,0)</f>
        <v>0</v>
      </c>
      <c r="D969" s="2" t="str">
        <f t="shared" si="178"/>
        <v>1MAV</v>
      </c>
      <c r="E969" s="62" t="s">
        <v>17</v>
      </c>
      <c r="F969" s="62" t="s">
        <v>125</v>
      </c>
      <c r="G969" s="62" t="s">
        <v>451</v>
      </c>
      <c r="H969" s="8" t="str">
        <f>VLOOKUP(G969,[1]Hoja1!$A:$O,6,0)</f>
        <v>ARTE</v>
      </c>
      <c r="I969" s="4"/>
      <c r="J969" s="4"/>
      <c r="K969" s="80" t="str">
        <f t="shared" si="187"/>
        <v>MA</v>
      </c>
      <c r="L969" s="4"/>
      <c r="M969" s="86" t="str">
        <f>VLOOKUP(G969,[1]Hoja1!$A:$O,15,0)</f>
        <v>GOMEZ, PATRICIA INT 2026</v>
      </c>
      <c r="N969" s="2" t="str">
        <f t="shared" si="186"/>
        <v>6°2°6IARTEMA</v>
      </c>
      <c r="O969" s="2"/>
      <c r="P969" s="2" t="str">
        <f>VLOOKUP(G969,[1]Hoja1!$A:$P,16,0)</f>
        <v xml:space="preserve"> </v>
      </c>
      <c r="Q969" s="2"/>
      <c r="S969">
        <f>VLOOKUP(G969,[1]Hoja1!$A:$O,5,0)</f>
        <v>2681828</v>
      </c>
      <c r="U969" s="45" t="s">
        <v>2751</v>
      </c>
      <c r="V969" s="46">
        <f t="shared" si="179"/>
        <v>2681828</v>
      </c>
      <c r="W969" s="47" t="s">
        <v>1519</v>
      </c>
      <c r="X969" s="46" t="str">
        <f t="shared" si="180"/>
        <v>1</v>
      </c>
      <c r="Y969" s="47" t="s">
        <v>1518</v>
      </c>
      <c r="Z969" s="46" t="str">
        <f t="shared" si="181"/>
        <v>V</v>
      </c>
      <c r="AA969" s="47" t="s">
        <v>2752</v>
      </c>
      <c r="AB969" s="46" t="str">
        <f t="shared" si="182"/>
        <v>MARTES</v>
      </c>
      <c r="AC969" s="47" t="s">
        <v>2753</v>
      </c>
      <c r="AD969">
        <f t="shared" si="183"/>
        <v>0</v>
      </c>
      <c r="AE969" s="47" t="s">
        <v>2754</v>
      </c>
      <c r="AH969" t="str">
        <f t="shared" si="184"/>
        <v>INSERT INTO horario_curso_materia (horario_curso_materia.FK_CUR_mat,horario_curso_materia.FK_HOR,horario_curso_materia.DIA,horario_curso_materia.tipo_turno) VALUES (  (SELECT curso_materia.ID_CUR_MAT FROM curso_materia WHERE curso_materia.CUPOF='2681828' ) ,
    (SELECT horario.ID_HOR FROM horario WHERE horario.modulo='1 ' and horario.turno='V ' ),'MARTES ' , '0 ' );</v>
      </c>
    </row>
    <row r="970" spans="1:34" ht="15" hidden="1" customHeight="1" x14ac:dyDescent="0.3">
      <c r="A970" s="1" t="str">
        <f t="shared" si="185"/>
        <v>6°2°</v>
      </c>
      <c r="B970" s="54" t="str">
        <f t="shared" si="188"/>
        <v>6°2°1MIMAÑANA622</v>
      </c>
      <c r="C970" s="62">
        <f>VLOOKUP(G970,[1]Hoja1!$A:$O,3,0)</f>
        <v>622</v>
      </c>
      <c r="D970" s="2" t="str">
        <f t="shared" si="178"/>
        <v>1MIM41</v>
      </c>
      <c r="E970" s="62" t="s">
        <v>24</v>
      </c>
      <c r="F970" s="62" t="s">
        <v>27</v>
      </c>
      <c r="G970" s="62" t="s">
        <v>209</v>
      </c>
      <c r="H970" s="8" t="str">
        <f>VLOOKUP(G970,[1]Hoja1!$A:$O,6,0)</f>
        <v xml:space="preserve">LAB DE SIST OPERATIVOS </v>
      </c>
      <c r="I970" s="4">
        <v>41</v>
      </c>
      <c r="J970" s="4"/>
      <c r="K970" s="80" t="str">
        <f t="shared" si="187"/>
        <v>MI</v>
      </c>
      <c r="L970" s="4" t="s">
        <v>512</v>
      </c>
      <c r="M970" s="86" t="str">
        <f>VLOOKUP(G970,[1]Hoja1!$A:$O,15,0)</f>
        <v xml:space="preserve">BARCENILLA, JAVIER </v>
      </c>
      <c r="N970" s="2" t="str">
        <f t="shared" si="186"/>
        <v>6°2°6226IFHLS6MI</v>
      </c>
      <c r="O970" s="2" t="s">
        <v>1513</v>
      </c>
      <c r="P970" s="2" t="str">
        <f>VLOOKUP(G970,[1]Hoja1!$A:$P,16,0)</f>
        <v xml:space="preserve"> </v>
      </c>
      <c r="Q970" s="2"/>
      <c r="S970">
        <f>VLOOKUP(G970,[1]Hoja1!$A:$O,5,0)</f>
        <v>2681867</v>
      </c>
      <c r="U970" s="45" t="s">
        <v>2751</v>
      </c>
      <c r="V970" s="46">
        <f t="shared" si="179"/>
        <v>2681867</v>
      </c>
      <c r="W970" s="47" t="s">
        <v>1519</v>
      </c>
      <c r="X970" s="46" t="str">
        <f t="shared" si="180"/>
        <v>1</v>
      </c>
      <c r="Y970" s="47" t="s">
        <v>1518</v>
      </c>
      <c r="Z970" s="46" t="str">
        <f t="shared" si="181"/>
        <v>M</v>
      </c>
      <c r="AA970" s="47" t="s">
        <v>2752</v>
      </c>
      <c r="AB970" s="46" t="str">
        <f t="shared" si="182"/>
        <v>MIERCOLES</v>
      </c>
      <c r="AC970" s="47" t="s">
        <v>2753</v>
      </c>
      <c r="AD970" t="str">
        <f t="shared" si="183"/>
        <v>CONTRATURNO</v>
      </c>
      <c r="AE970" s="47" t="s">
        <v>2754</v>
      </c>
      <c r="AH970" t="str">
        <f t="shared" si="184"/>
        <v>INSERT INTO horario_curso_materia (horario_curso_materia.FK_CUR_mat,horario_curso_materia.FK_HOR,horario_curso_materia.DIA,horario_curso_materia.tipo_turno) VALUES (  (SELECT curso_materia.ID_CUR_MAT FROM curso_materia WHERE curso_materia.CUPOF='2681867' ) ,
    (SELECT horario.ID_HOR FROM horario WHERE horario.modulo='1 ' and horario.turno='M ' ),'MIERCOLES ' , 'CONTRATURNO ' );</v>
      </c>
    </row>
    <row r="971" spans="1:34" ht="15" hidden="1" customHeight="1" x14ac:dyDescent="0.3">
      <c r="A971" s="1" t="str">
        <f t="shared" si="185"/>
        <v>6°2°</v>
      </c>
      <c r="B971" s="54" t="str">
        <f t="shared" si="188"/>
        <v>6°2°1MIVESPERTINO0</v>
      </c>
      <c r="C971" s="62">
        <f>VLOOKUP(G971,[1]Hoja1!$A:$O,3,0)</f>
        <v>0</v>
      </c>
      <c r="D971" s="2" t="str">
        <f t="shared" si="178"/>
        <v>1MIV</v>
      </c>
      <c r="E971" s="62" t="s">
        <v>24</v>
      </c>
      <c r="F971" s="62" t="s">
        <v>125</v>
      </c>
      <c r="G971" s="62" t="s">
        <v>453</v>
      </c>
      <c r="H971" s="8" t="str">
        <f>VLOOKUP(G971,[1]Hoja1!$A:$O,6,0)</f>
        <v>SISTEMA DIGITAL</v>
      </c>
      <c r="I971" s="4"/>
      <c r="J971" s="4"/>
      <c r="K971" s="80" t="str">
        <f t="shared" si="187"/>
        <v>MI</v>
      </c>
      <c r="L971" s="4"/>
      <c r="M971" s="86" t="str">
        <f>VLOOKUP(G971,[1]Hoja1!$A:$O,15,0)</f>
        <v>MONTES IVAN</v>
      </c>
      <c r="N971" s="2" t="str">
        <f t="shared" si="186"/>
        <v>6°2°6ISIDI6MI</v>
      </c>
      <c r="O971" s="2"/>
      <c r="P971" s="2" t="str">
        <f>VLOOKUP(G971,[1]Hoja1!$A:$P,16,0)</f>
        <v xml:space="preserve"> </v>
      </c>
      <c r="Q971" s="2"/>
      <c r="S971">
        <f>VLOOKUP(G971,[1]Hoja1!$A:$O,5,0)</f>
        <v>2681834</v>
      </c>
      <c r="U971" s="45" t="s">
        <v>2751</v>
      </c>
      <c r="V971" s="46">
        <f t="shared" si="179"/>
        <v>2681834</v>
      </c>
      <c r="W971" s="47" t="s">
        <v>1519</v>
      </c>
      <c r="X971" s="46" t="str">
        <f t="shared" si="180"/>
        <v>1</v>
      </c>
      <c r="Y971" s="47" t="s">
        <v>1518</v>
      </c>
      <c r="Z971" s="46" t="str">
        <f t="shared" si="181"/>
        <v>V</v>
      </c>
      <c r="AA971" s="47" t="s">
        <v>2752</v>
      </c>
      <c r="AB971" s="46" t="str">
        <f t="shared" si="182"/>
        <v>MIERCOLES</v>
      </c>
      <c r="AC971" s="47" t="s">
        <v>2753</v>
      </c>
      <c r="AD971">
        <f t="shared" si="183"/>
        <v>0</v>
      </c>
      <c r="AE971" s="47" t="s">
        <v>2754</v>
      </c>
      <c r="AH971" t="str">
        <f t="shared" si="184"/>
        <v>INSERT INTO horario_curso_materia (horario_curso_materia.FK_CUR_mat,horario_curso_materia.FK_HOR,horario_curso_materia.DIA,horario_curso_materia.tipo_turno) VALUES (  (SELECT curso_materia.ID_CUR_MAT FROM curso_materia WHERE curso_materia.CUPOF='2681834' ) ,
    (SELECT horario.ID_HOR FROM horario WHERE horario.modulo='1 ' and horario.turno='V ' ),'MIERCOLES ' , '0 ' );</v>
      </c>
    </row>
    <row r="972" spans="1:34" ht="15" hidden="1" customHeight="1" x14ac:dyDescent="0.3">
      <c r="A972" s="1" t="str">
        <f t="shared" si="185"/>
        <v>6°2°</v>
      </c>
      <c r="B972" s="54" t="str">
        <f t="shared" si="188"/>
        <v>6°2°1VIVESPERTINO0</v>
      </c>
      <c r="C972" s="62">
        <f>VLOOKUP(G972,[1]Hoja1!$A:$O,3,0)</f>
        <v>0</v>
      </c>
      <c r="D972" s="2" t="str">
        <f t="shared" si="178"/>
        <v>1VIVaula 2</v>
      </c>
      <c r="E972" s="62" t="s">
        <v>57</v>
      </c>
      <c r="F972" s="62" t="s">
        <v>125</v>
      </c>
      <c r="G972" s="62" t="s">
        <v>457</v>
      </c>
      <c r="H972" s="8" t="str">
        <f>VLOOKUP(G972,[1]Hoja1!$A:$O,6,0)</f>
        <v>LITERATURA</v>
      </c>
      <c r="I972" s="4" t="s">
        <v>1438</v>
      </c>
      <c r="J972" s="4"/>
      <c r="K972" s="80" t="str">
        <f t="shared" si="187"/>
        <v>VI</v>
      </c>
      <c r="L972" s="4"/>
      <c r="M972" s="86" t="str">
        <f>VLOOKUP(G972,[1]Hoja1!$A:$O,15,0)</f>
        <v>LOGUZZO, LORENA BEATRIZ</v>
      </c>
      <c r="N972" s="2" t="str">
        <f t="shared" si="186"/>
        <v>6°2°6ILITSVI</v>
      </c>
      <c r="O972" s="2"/>
      <c r="P972" s="2" t="str">
        <f>VLOOKUP(G972,[1]Hoja1!$A:$P,16,0)</f>
        <v xml:space="preserve"> </v>
      </c>
      <c r="Q972" s="2"/>
      <c r="S972">
        <f>VLOOKUP(G972,[1]Hoja1!$A:$O,5,0)</f>
        <v>2681816</v>
      </c>
      <c r="U972" s="45" t="s">
        <v>2751</v>
      </c>
      <c r="V972" s="46">
        <f t="shared" si="179"/>
        <v>2681816</v>
      </c>
      <c r="W972" s="47" t="s">
        <v>1519</v>
      </c>
      <c r="X972" s="46" t="str">
        <f t="shared" si="180"/>
        <v>1</v>
      </c>
      <c r="Y972" s="47" t="s">
        <v>1518</v>
      </c>
      <c r="Z972" s="46" t="str">
        <f t="shared" si="181"/>
        <v>V</v>
      </c>
      <c r="AA972" s="47" t="s">
        <v>2752</v>
      </c>
      <c r="AB972" s="46" t="str">
        <f t="shared" si="182"/>
        <v>VIERNES</v>
      </c>
      <c r="AC972" s="47" t="s">
        <v>2753</v>
      </c>
      <c r="AD972">
        <f t="shared" si="183"/>
        <v>0</v>
      </c>
      <c r="AE972" s="47" t="s">
        <v>2754</v>
      </c>
      <c r="AH972" t="str">
        <f t="shared" si="184"/>
        <v>INSERT INTO horario_curso_materia (horario_curso_materia.FK_CUR_mat,horario_curso_materia.FK_HOR,horario_curso_materia.DIA,horario_curso_materia.tipo_turno) VALUES (  (SELECT curso_materia.ID_CUR_MAT FROM curso_materia WHERE curso_materia.CUPOF='2681816' ) ,
    (SELECT horario.ID_HOR FROM horario WHERE horario.modulo='1 ' and horario.turno='V ' ),'VIERNES ' , '0 ' );</v>
      </c>
    </row>
    <row r="973" spans="1:34" ht="15" hidden="1" customHeight="1" x14ac:dyDescent="0.3">
      <c r="A973" s="1" t="str">
        <f t="shared" si="185"/>
        <v>6°2°</v>
      </c>
      <c r="B973" s="54" t="str">
        <f t="shared" si="188"/>
        <v>6°2°2JUMAÑANA621</v>
      </c>
      <c r="C973" s="62">
        <f>VLOOKUP(G973,[1]Hoja1!$A:$O,3,0)</f>
        <v>621</v>
      </c>
      <c r="D973" s="2" t="str">
        <f t="shared" si="178"/>
        <v>2JUM40</v>
      </c>
      <c r="E973" s="62" t="s">
        <v>45</v>
      </c>
      <c r="F973" s="62" t="s">
        <v>27</v>
      </c>
      <c r="G973" s="62" t="s">
        <v>208</v>
      </c>
      <c r="H973" s="8" t="str">
        <f>VLOOKUP(G973,[1]Hoja1!$A:$O,6,0)</f>
        <v xml:space="preserve">LAB DE SIST OPERATIVOS </v>
      </c>
      <c r="I973" s="4">
        <v>40</v>
      </c>
      <c r="J973" s="4"/>
      <c r="K973" s="80" t="str">
        <f t="shared" si="187"/>
        <v>JU</v>
      </c>
      <c r="L973" s="4" t="s">
        <v>512</v>
      </c>
      <c r="M973" s="86" t="str">
        <f>VLOOKUP(G973,[1]Hoja1!$A:$O,15,0)</f>
        <v>FERREYRA JESICA</v>
      </c>
      <c r="N973" s="2" t="str">
        <f t="shared" si="186"/>
        <v>6°2°6216IFHLS6JU</v>
      </c>
      <c r="O973" s="2"/>
      <c r="P973" s="2" t="str">
        <f>VLOOKUP(G973,[1]Hoja1!$A:$P,16,0)</f>
        <v xml:space="preserve"> </v>
      </c>
      <c r="Q973" s="2"/>
      <c r="S973">
        <f>VLOOKUP(G973,[1]Hoja1!$A:$O,5,0)</f>
        <v>2681845</v>
      </c>
      <c r="U973" s="45" t="s">
        <v>2751</v>
      </c>
      <c r="V973" s="46">
        <f t="shared" si="179"/>
        <v>2681845</v>
      </c>
      <c r="W973" s="47" t="s">
        <v>1519</v>
      </c>
      <c r="X973" s="46" t="str">
        <f t="shared" si="180"/>
        <v>2</v>
      </c>
      <c r="Y973" s="47" t="s">
        <v>1518</v>
      </c>
      <c r="Z973" s="46" t="str">
        <f t="shared" si="181"/>
        <v>M</v>
      </c>
      <c r="AA973" s="47" t="s">
        <v>2752</v>
      </c>
      <c r="AB973" s="46" t="str">
        <f t="shared" si="182"/>
        <v>JUEVES</v>
      </c>
      <c r="AC973" s="47" t="s">
        <v>2753</v>
      </c>
      <c r="AD973" t="str">
        <f t="shared" si="183"/>
        <v>CONTRATURNO</v>
      </c>
      <c r="AE973" s="47" t="s">
        <v>2754</v>
      </c>
      <c r="AH973" t="str">
        <f t="shared" si="184"/>
        <v>INSERT INTO horario_curso_materia (horario_curso_materia.FK_CUR_mat,horario_curso_materia.FK_HOR,horario_curso_materia.DIA,horario_curso_materia.tipo_turno) VALUES (  (SELECT curso_materia.ID_CUR_MAT FROM curso_materia WHERE curso_materia.CUPOF='2681845' ) ,
    (SELECT horario.ID_HOR FROM horario WHERE horario.modulo='2 ' and horario.turno='M ' ),'JUEVES ' , 'CONTRATURNO ' );</v>
      </c>
    </row>
    <row r="974" spans="1:34" ht="15" hidden="1" customHeight="1" x14ac:dyDescent="0.3">
      <c r="A974" s="1" t="str">
        <f t="shared" si="185"/>
        <v>6°2°</v>
      </c>
      <c r="B974" s="54" t="str">
        <f t="shared" si="188"/>
        <v>6°2°1maMAÑANA621</v>
      </c>
      <c r="C974" s="62">
        <f>VLOOKUP(G974,[1]Hoja1!$A:$O,3,0)</f>
        <v>621</v>
      </c>
      <c r="D974" s="2" t="str">
        <f t="shared" si="178"/>
        <v>1maM40</v>
      </c>
      <c r="E974" s="62" t="s">
        <v>88</v>
      </c>
      <c r="F974" s="62" t="s">
        <v>27</v>
      </c>
      <c r="G974" s="62" t="s">
        <v>204</v>
      </c>
      <c r="H974" s="8" t="str">
        <f>VLOOKUP(G974,[1]Hoja1!$A:$O,6,0)</f>
        <v xml:space="preserve">LAB DE HARDWARE </v>
      </c>
      <c r="I974" s="4">
        <v>40</v>
      </c>
      <c r="J974" s="4"/>
      <c r="K974" s="80" t="str">
        <f t="shared" si="187"/>
        <v>ma</v>
      </c>
      <c r="L974" s="4" t="s">
        <v>512</v>
      </c>
      <c r="M974" s="86" t="str">
        <f>VLOOKUP(G974,[1]Hoja1!$A:$O,15,0)</f>
        <v>MONTENEGRO, CLAUDIA</v>
      </c>
      <c r="N974" s="2" t="str">
        <f t="shared" si="186"/>
        <v>6°2°6216IFTLH6ma</v>
      </c>
      <c r="O974" s="2"/>
      <c r="P974" s="2" t="str">
        <f>VLOOKUP(G974,[1]Hoja1!$A:$P,16,0)</f>
        <v xml:space="preserve"> </v>
      </c>
      <c r="Q974" s="2"/>
      <c r="S974">
        <f>VLOOKUP(G974,[1]Hoja1!$A:$O,5,0)</f>
        <v>2681844</v>
      </c>
      <c r="U974" s="45" t="s">
        <v>2751</v>
      </c>
      <c r="V974" s="46">
        <f t="shared" si="179"/>
        <v>2681844</v>
      </c>
      <c r="W974" s="47" t="s">
        <v>1519</v>
      </c>
      <c r="X974" s="46" t="str">
        <f t="shared" si="180"/>
        <v>1</v>
      </c>
      <c r="Y974" s="47" t="s">
        <v>1518</v>
      </c>
      <c r="Z974" s="46" t="str">
        <f t="shared" si="181"/>
        <v>M</v>
      </c>
      <c r="AA974" s="47" t="s">
        <v>2752</v>
      </c>
      <c r="AB974" s="46" t="str">
        <f t="shared" si="182"/>
        <v>MARTES</v>
      </c>
      <c r="AC974" s="47" t="s">
        <v>2753</v>
      </c>
      <c r="AD974" t="str">
        <f t="shared" si="183"/>
        <v>CONTRATURNO</v>
      </c>
      <c r="AE974" s="47" t="s">
        <v>2754</v>
      </c>
      <c r="AH974" t="str">
        <f t="shared" si="184"/>
        <v>INSERT INTO horario_curso_materia (horario_curso_materia.FK_CUR_mat,horario_curso_materia.FK_HOR,horario_curso_materia.DIA,horario_curso_materia.tipo_turno) VALUES (  (SELECT curso_materia.ID_CUR_MAT FROM curso_materia WHERE curso_materia.CUPOF='2681844' ) ,
    (SELECT horario.ID_HOR FROM horario WHERE horario.modulo='1 ' and horario.turno='M ' ),'MARTES ' , 'CONTRATURNO ' );</v>
      </c>
    </row>
    <row r="975" spans="1:34" ht="15" hidden="1" customHeight="1" x14ac:dyDescent="0.3">
      <c r="A975" s="1" t="str">
        <f t="shared" si="185"/>
        <v>6°2°</v>
      </c>
      <c r="B975" s="54" t="str">
        <f t="shared" si="188"/>
        <v>6°2°2JUVESPERTINO0</v>
      </c>
      <c r="C975" s="62">
        <f>VLOOKUP(G975,[1]Hoja1!$A:$O,3,0)</f>
        <v>0</v>
      </c>
      <c r="D975" s="2" t="str">
        <f t="shared" si="178"/>
        <v>2JUV</v>
      </c>
      <c r="E975" s="62" t="s">
        <v>45</v>
      </c>
      <c r="F975" s="62" t="s">
        <v>125</v>
      </c>
      <c r="G975" s="62" t="s">
        <v>455</v>
      </c>
      <c r="H975" s="8" t="str">
        <f>VLOOKUP(G975,[1]Hoja1!$A:$O,6,0)</f>
        <v>INVESTIGACION OPERATIVA</v>
      </c>
      <c r="I975" s="4"/>
      <c r="J975" s="4"/>
      <c r="K975" s="80" t="str">
        <f t="shared" si="187"/>
        <v>JU</v>
      </c>
      <c r="L975" s="4"/>
      <c r="M975" s="86" t="str">
        <f>VLOOKUP(G975,[1]Hoja1!$A:$O,15,0)</f>
        <v>MONTENEGRO</v>
      </c>
      <c r="N975" s="2" t="str">
        <f t="shared" si="186"/>
        <v>6°2°6IINVOPJU</v>
      </c>
      <c r="O975" s="2"/>
      <c r="P975" s="2" t="str">
        <f>VLOOKUP(G975,[1]Hoja1!$A:$P,16,0)</f>
        <v xml:space="preserve"> </v>
      </c>
      <c r="Q975" s="2"/>
      <c r="S975">
        <f>VLOOKUP(G975,[1]Hoja1!$A:$O,5,0)</f>
        <v>2681836</v>
      </c>
      <c r="U975" s="45" t="s">
        <v>2751</v>
      </c>
      <c r="V975" s="46">
        <f t="shared" si="179"/>
        <v>2681836</v>
      </c>
      <c r="W975" s="47" t="s">
        <v>1519</v>
      </c>
      <c r="X975" s="46" t="str">
        <f t="shared" si="180"/>
        <v>2</v>
      </c>
      <c r="Y975" s="47" t="s">
        <v>1518</v>
      </c>
      <c r="Z975" s="46" t="str">
        <f t="shared" si="181"/>
        <v>V</v>
      </c>
      <c r="AA975" s="47" t="s">
        <v>2752</v>
      </c>
      <c r="AB975" s="46" t="str">
        <f t="shared" si="182"/>
        <v>JUEVES</v>
      </c>
      <c r="AC975" s="47" t="s">
        <v>2753</v>
      </c>
      <c r="AD975">
        <f t="shared" si="183"/>
        <v>0</v>
      </c>
      <c r="AE975" s="47" t="s">
        <v>2754</v>
      </c>
      <c r="AH975" t="str">
        <f t="shared" si="184"/>
        <v>INSERT INTO horario_curso_materia (horario_curso_materia.FK_CUR_mat,horario_curso_materia.FK_HOR,horario_curso_materia.DIA,horario_curso_materia.tipo_turno) VALUES (  (SELECT curso_materia.ID_CUR_MAT FROM curso_materia WHERE curso_materia.CUPOF='2681836' ) ,
    (SELECT horario.ID_HOR FROM horario WHERE horario.modulo='2 ' and horario.turno='V ' ),'JUEVES ' , '0 ' );</v>
      </c>
    </row>
    <row r="976" spans="1:34" ht="15" hidden="1" customHeight="1" x14ac:dyDescent="0.3">
      <c r="A976" s="1" t="str">
        <f t="shared" si="185"/>
        <v>6°2°</v>
      </c>
      <c r="B976" s="54" t="str">
        <f t="shared" si="188"/>
        <v>6°2°2LUMAÑANA0</v>
      </c>
      <c r="C976" s="62">
        <f>VLOOKUP(G976,[1]Hoja1!$A:$O,3,0)</f>
        <v>0</v>
      </c>
      <c r="D976" s="2" t="str">
        <f t="shared" si="178"/>
        <v>2LUMPATIO</v>
      </c>
      <c r="E976" s="62" t="s">
        <v>12</v>
      </c>
      <c r="F976" s="62" t="s">
        <v>27</v>
      </c>
      <c r="G976" s="62" t="s">
        <v>458</v>
      </c>
      <c r="H976" s="8" t="str">
        <f>VLOOKUP(G976,[1]Hoja1!$A:$O,6,0)</f>
        <v>EDUCACIÓN FISICA</v>
      </c>
      <c r="I976" s="4" t="s">
        <v>241</v>
      </c>
      <c r="J976" s="4"/>
      <c r="K976" s="80" t="str">
        <f t="shared" si="187"/>
        <v>LU</v>
      </c>
      <c r="L976" s="4" t="s">
        <v>512</v>
      </c>
      <c r="M976" s="86" t="str">
        <f>VLOOKUP(G976,[1]Hoja1!$A:$O,15,0)</f>
        <v xml:space="preserve">BURELA, MERCEDES </v>
      </c>
      <c r="N976" s="2" t="str">
        <f t="shared" si="186"/>
        <v>6°2°6IEFISLU</v>
      </c>
      <c r="O976" s="2"/>
      <c r="P976" s="2" t="str">
        <f>VLOOKUP(G976,[1]Hoja1!$A:$P,16,0)</f>
        <v xml:space="preserve"> </v>
      </c>
      <c r="Q976" s="2"/>
      <c r="S976">
        <f>VLOOKUP(G976,[1]Hoja1!$A:$O,5,0)</f>
        <v>2681823</v>
      </c>
      <c r="U976" s="45" t="s">
        <v>2751</v>
      </c>
      <c r="V976" s="46">
        <f t="shared" si="179"/>
        <v>2681823</v>
      </c>
      <c r="W976" s="47" t="s">
        <v>1519</v>
      </c>
      <c r="X976" s="46" t="str">
        <f t="shared" si="180"/>
        <v>2</v>
      </c>
      <c r="Y976" s="47" t="s">
        <v>1518</v>
      </c>
      <c r="Z976" s="46" t="str">
        <f t="shared" si="181"/>
        <v>M</v>
      </c>
      <c r="AA976" s="47" t="s">
        <v>2752</v>
      </c>
      <c r="AB976" s="46" t="str">
        <f t="shared" si="182"/>
        <v>LUNES</v>
      </c>
      <c r="AC976" s="47" t="s">
        <v>2753</v>
      </c>
      <c r="AD976" t="str">
        <f t="shared" si="183"/>
        <v>CONTRATURNO</v>
      </c>
      <c r="AE976" s="47" t="s">
        <v>2754</v>
      </c>
      <c r="AH976" t="str">
        <f t="shared" si="184"/>
        <v>INSERT INTO horario_curso_materia (horario_curso_materia.FK_CUR_mat,horario_curso_materia.FK_HOR,horario_curso_materia.DIA,horario_curso_materia.tipo_turno) VALUES (  (SELECT curso_materia.ID_CUR_MAT FROM curso_materia WHERE curso_materia.CUPOF='2681823' ) ,
    (SELECT horario.ID_HOR FROM horario WHERE horario.modulo='2 ' and horario.turno='M ' ),'LUNES ' , 'CONTRATURNO ' );</v>
      </c>
    </row>
    <row r="977" spans="1:34" ht="15" hidden="1" customHeight="1" x14ac:dyDescent="0.3">
      <c r="A977" s="1" t="str">
        <f t="shared" si="185"/>
        <v>6°2°</v>
      </c>
      <c r="B977" s="54" t="str">
        <f t="shared" si="188"/>
        <v>6°2°2LUVESPERTINO0</v>
      </c>
      <c r="C977" s="62">
        <f>VLOOKUP(G977,[1]Hoja1!$A:$O,3,0)</f>
        <v>0</v>
      </c>
      <c r="D977" s="2" t="str">
        <f t="shared" si="178"/>
        <v>2LUV</v>
      </c>
      <c r="E977" s="62" t="s">
        <v>12</v>
      </c>
      <c r="F977" s="62" t="s">
        <v>125</v>
      </c>
      <c r="G977" s="62" t="s">
        <v>449</v>
      </c>
      <c r="H977" s="8" t="str">
        <f>VLOOKUP(G977,[1]Hoja1!$A:$O,6,0)</f>
        <v>MATEMATICA APLICADA</v>
      </c>
      <c r="I977" s="4"/>
      <c r="J977" s="4"/>
      <c r="K977" s="80" t="str">
        <f t="shared" si="187"/>
        <v>LU</v>
      </c>
      <c r="L977" s="4"/>
      <c r="M977" s="86" t="str">
        <f>VLOOKUP(G977,[1]Hoja1!$A:$O,15,0)</f>
        <v>GUADAGNO CLAUDIA</v>
      </c>
      <c r="N977" s="2" t="str">
        <f t="shared" si="186"/>
        <v>6°2°6IMATAPLU</v>
      </c>
      <c r="O977" s="2"/>
      <c r="P977" s="2" t="str">
        <f>VLOOKUP(G977,[1]Hoja1!$A:$P,16,0)</f>
        <v xml:space="preserve"> </v>
      </c>
      <c r="Q977" s="2"/>
      <c r="S977">
        <f>VLOOKUP(G977,[1]Hoja1!$A:$O,5,0)</f>
        <v>2681831</v>
      </c>
      <c r="U977" s="45" t="s">
        <v>2751</v>
      </c>
      <c r="V977" s="46">
        <f t="shared" si="179"/>
        <v>2681831</v>
      </c>
      <c r="W977" s="47" t="s">
        <v>1519</v>
      </c>
      <c r="X977" s="46" t="str">
        <f t="shared" si="180"/>
        <v>2</v>
      </c>
      <c r="Y977" s="47" t="s">
        <v>1518</v>
      </c>
      <c r="Z977" s="46" t="str">
        <f t="shared" si="181"/>
        <v>V</v>
      </c>
      <c r="AA977" s="47" t="s">
        <v>2752</v>
      </c>
      <c r="AB977" s="46" t="str">
        <f t="shared" si="182"/>
        <v>LUNES</v>
      </c>
      <c r="AC977" s="47" t="s">
        <v>2753</v>
      </c>
      <c r="AD977">
        <f t="shared" si="183"/>
        <v>0</v>
      </c>
      <c r="AE977" s="47" t="s">
        <v>2754</v>
      </c>
      <c r="AH977" t="str">
        <f t="shared" si="184"/>
        <v>INSERT INTO horario_curso_materia (horario_curso_materia.FK_CUR_mat,horario_curso_materia.FK_HOR,horario_curso_materia.DIA,horario_curso_materia.tipo_turno) VALUES (  (SELECT curso_materia.ID_CUR_MAT FROM curso_materia WHERE curso_materia.CUPOF='2681831' ) ,
    (SELECT horario.ID_HOR FROM horario WHERE horario.modulo='2 ' and horario.turno='V ' ),'LUNES ' , '0 ' );</v>
      </c>
    </row>
    <row r="978" spans="1:34" ht="15" hidden="1" customHeight="1" x14ac:dyDescent="0.3">
      <c r="A978" s="1" t="str">
        <f t="shared" si="185"/>
        <v>6°2°</v>
      </c>
      <c r="B978" s="54" t="str">
        <f t="shared" si="188"/>
        <v>6°2°2maMAÑANA621</v>
      </c>
      <c r="C978" s="62">
        <f>VLOOKUP(G978,[1]Hoja1!$A:$O,3,0)</f>
        <v>621</v>
      </c>
      <c r="D978" s="2" t="str">
        <f t="shared" si="178"/>
        <v>2maM40</v>
      </c>
      <c r="E978" s="62" t="s">
        <v>90</v>
      </c>
      <c r="F978" s="62" t="s">
        <v>27</v>
      </c>
      <c r="G978" s="62" t="s">
        <v>204</v>
      </c>
      <c r="H978" s="8" t="str">
        <f>VLOOKUP(G978,[1]Hoja1!$A:$O,6,0)</f>
        <v xml:space="preserve">LAB DE HARDWARE </v>
      </c>
      <c r="I978" s="4">
        <v>40</v>
      </c>
      <c r="J978" s="4"/>
      <c r="K978" s="80" t="str">
        <f t="shared" si="187"/>
        <v>ma</v>
      </c>
      <c r="L978" s="4" t="s">
        <v>512</v>
      </c>
      <c r="M978" s="86" t="str">
        <f>VLOOKUP(G978,[1]Hoja1!$A:$O,15,0)</f>
        <v>MONTENEGRO, CLAUDIA</v>
      </c>
      <c r="N978" s="2" t="str">
        <f t="shared" si="186"/>
        <v>6°2°6216IFTLH6ma</v>
      </c>
      <c r="O978" s="2"/>
      <c r="P978" s="2" t="str">
        <f>VLOOKUP(G978,[1]Hoja1!$A:$P,16,0)</f>
        <v xml:space="preserve"> </v>
      </c>
      <c r="Q978" s="2"/>
      <c r="S978">
        <f>VLOOKUP(G978,[1]Hoja1!$A:$O,5,0)</f>
        <v>2681844</v>
      </c>
      <c r="U978" s="45" t="s">
        <v>2751</v>
      </c>
      <c r="V978" s="46">
        <f t="shared" si="179"/>
        <v>2681844</v>
      </c>
      <c r="W978" s="47" t="s">
        <v>1519</v>
      </c>
      <c r="X978" s="46" t="str">
        <f t="shared" si="180"/>
        <v>2</v>
      </c>
      <c r="Y978" s="47" t="s">
        <v>1518</v>
      </c>
      <c r="Z978" s="46" t="str">
        <f t="shared" si="181"/>
        <v>M</v>
      </c>
      <c r="AA978" s="47" t="s">
        <v>2752</v>
      </c>
      <c r="AB978" s="46" t="str">
        <f t="shared" si="182"/>
        <v>MARTES</v>
      </c>
      <c r="AC978" s="47" t="s">
        <v>2753</v>
      </c>
      <c r="AD978" t="str">
        <f t="shared" si="183"/>
        <v>CONTRATURNO</v>
      </c>
      <c r="AE978" s="47" t="s">
        <v>2754</v>
      </c>
      <c r="AH978" t="str">
        <f t="shared" si="184"/>
        <v>INSERT INTO horario_curso_materia (horario_curso_materia.FK_CUR_mat,horario_curso_materia.FK_HOR,horario_curso_materia.DIA,horario_curso_materia.tipo_turno) VALUES (  (SELECT curso_materia.ID_CUR_MAT FROM curso_materia WHERE curso_materia.CUPOF='2681844' ) ,
    (SELECT horario.ID_HOR FROM horario WHERE horario.modulo='2 ' and horario.turno='M ' ),'MARTES ' , 'CONTRATURNO ' );</v>
      </c>
    </row>
    <row r="979" spans="1:34" ht="15" hidden="1" customHeight="1" x14ac:dyDescent="0.3">
      <c r="A979" s="1" t="str">
        <f t="shared" si="185"/>
        <v>6°2°</v>
      </c>
      <c r="B979" s="54" t="str">
        <f t="shared" si="188"/>
        <v>6°2°4LUMAÑANA622</v>
      </c>
      <c r="C979" s="62">
        <f>VLOOKUP(G979,[1]Hoja1!$A:$O,3,0)</f>
        <v>622</v>
      </c>
      <c r="D979" s="2" t="str">
        <f t="shared" si="178"/>
        <v>4LUM41</v>
      </c>
      <c r="E979" s="62" t="s">
        <v>31</v>
      </c>
      <c r="F979" s="62" t="s">
        <v>27</v>
      </c>
      <c r="G979" s="62" t="s">
        <v>205</v>
      </c>
      <c r="H979" s="8" t="str">
        <f>VLOOKUP(G979,[1]Hoja1!$A:$O,6,0)</f>
        <v xml:space="preserve">LAB DE APLICACIONES </v>
      </c>
      <c r="I979" s="4">
        <v>41</v>
      </c>
      <c r="J979" s="4"/>
      <c r="K979" s="80" t="str">
        <f t="shared" si="187"/>
        <v>LU</v>
      </c>
      <c r="L979" s="4" t="s">
        <v>512</v>
      </c>
      <c r="M979" s="86" t="str">
        <f>VLOOKUP(G979,[1]Hoja1!$A:$O,15,0)</f>
        <v xml:space="preserve">GOMEZ ANALIA </v>
      </c>
      <c r="N979" s="2" t="str">
        <f t="shared" si="186"/>
        <v>6°2°6226IFTLA6LU</v>
      </c>
      <c r="O979" s="2"/>
      <c r="P979" s="2" t="str">
        <f>VLOOKUP(G979,[1]Hoja1!$A:$P,16,0)</f>
        <v xml:space="preserve"> </v>
      </c>
      <c r="Q979" s="2"/>
      <c r="S979">
        <f>VLOOKUP(G979,[1]Hoja1!$A:$O,5,0)</f>
        <v>2681873</v>
      </c>
      <c r="U979" s="45" t="s">
        <v>2751</v>
      </c>
      <c r="V979" s="46">
        <f t="shared" si="179"/>
        <v>2681873</v>
      </c>
      <c r="W979" s="47" t="s">
        <v>1519</v>
      </c>
      <c r="X979" s="46" t="str">
        <f t="shared" si="180"/>
        <v>4</v>
      </c>
      <c r="Y979" s="47" t="s">
        <v>1518</v>
      </c>
      <c r="Z979" s="46" t="str">
        <f t="shared" si="181"/>
        <v>M</v>
      </c>
      <c r="AA979" s="47" t="s">
        <v>2752</v>
      </c>
      <c r="AB979" s="46" t="str">
        <f t="shared" si="182"/>
        <v>LUNES</v>
      </c>
      <c r="AC979" s="47" t="s">
        <v>2753</v>
      </c>
      <c r="AD979" t="str">
        <f t="shared" si="183"/>
        <v>CONTRATURNO</v>
      </c>
      <c r="AE979" s="47" t="s">
        <v>2754</v>
      </c>
      <c r="AH979" t="str">
        <f t="shared" si="184"/>
        <v>INSERT INTO horario_curso_materia (horario_curso_materia.FK_CUR_mat,horario_curso_materia.FK_HOR,horario_curso_materia.DIA,horario_curso_materia.tipo_turno) VALUES (  (SELECT curso_materia.ID_CUR_MAT FROM curso_materia WHERE curso_materia.CUPOF='2681873' ) ,
    (SELECT horario.ID_HOR FROM horario WHERE horario.modulo='4 ' and horario.turno='M ' ),'LUNES ' , 'CONTRATURNO ' );</v>
      </c>
    </row>
    <row r="980" spans="1:34" ht="15" hidden="1" customHeight="1" x14ac:dyDescent="0.3">
      <c r="A980" s="1" t="str">
        <f t="shared" si="185"/>
        <v>6°2°</v>
      </c>
      <c r="B980" s="54" t="str">
        <f t="shared" si="188"/>
        <v>6°2°2MATARDE621</v>
      </c>
      <c r="C980" s="62">
        <v>621</v>
      </c>
      <c r="D980" s="2" t="str">
        <f t="shared" si="178"/>
        <v>2MAT30</v>
      </c>
      <c r="E980" s="62" t="s">
        <v>19</v>
      </c>
      <c r="F980" s="62" t="s">
        <v>10</v>
      </c>
      <c r="G980" s="62" t="s">
        <v>206</v>
      </c>
      <c r="H980" s="8" t="str">
        <f>VLOOKUP(G980,[1]Hoja1!$A:$O,6,0)</f>
        <v xml:space="preserve">LAB DE PROGRAM </v>
      </c>
      <c r="I980" s="4">
        <v>30</v>
      </c>
      <c r="J980" s="4"/>
      <c r="K980" s="80" t="str">
        <f t="shared" si="187"/>
        <v>MA</v>
      </c>
      <c r="L980" s="4" t="s">
        <v>512</v>
      </c>
      <c r="M980" s="86" t="str">
        <f>VLOOKUP(G980,[1]Hoja1!$A:$O,15,0)</f>
        <v>WITT  GERARDO</v>
      </c>
      <c r="N980" s="2" t="str">
        <f t="shared" si="186"/>
        <v>6°2°6226IFTLP6MA</v>
      </c>
      <c r="O980" s="2"/>
      <c r="P980" s="2" t="str">
        <f>VLOOKUP(G980,[1]Hoja1!$A:$P,16,0)</f>
        <v xml:space="preserve"> </v>
      </c>
      <c r="Q980" s="2">
        <v>1</v>
      </c>
      <c r="S980">
        <f>VLOOKUP(G980,[1]Hoja1!$A:$O,5,0)</f>
        <v>2681857</v>
      </c>
      <c r="U980" s="45" t="s">
        <v>2751</v>
      </c>
      <c r="V980" s="46">
        <f t="shared" si="179"/>
        <v>2681857</v>
      </c>
      <c r="W980" s="47" t="s">
        <v>1519</v>
      </c>
      <c r="X980" s="46" t="str">
        <f t="shared" si="180"/>
        <v>2</v>
      </c>
      <c r="Y980" s="47" t="s">
        <v>1518</v>
      </c>
      <c r="Z980" s="46" t="str">
        <f t="shared" si="181"/>
        <v>T</v>
      </c>
      <c r="AA980" s="47" t="s">
        <v>2752</v>
      </c>
      <c r="AB980" s="46" t="str">
        <f t="shared" si="182"/>
        <v>MARTES</v>
      </c>
      <c r="AC980" s="47" t="s">
        <v>2753</v>
      </c>
      <c r="AD980" t="str">
        <f t="shared" si="183"/>
        <v>CONTRATURNO</v>
      </c>
      <c r="AE980" s="47" t="s">
        <v>2754</v>
      </c>
      <c r="AH980" t="str">
        <f t="shared" si="184"/>
        <v>INSERT INTO horario_curso_materia (horario_curso_materia.FK_CUR_mat,horario_curso_materia.FK_HOR,horario_curso_materia.DIA,horario_curso_materia.tipo_turno) VALUES (  (SELECT curso_materia.ID_CUR_MAT FROM curso_materia WHERE curso_materia.CUPOF='2681857' ) ,
    (SELECT horario.ID_HOR FROM horario WHERE horario.modulo='2 ' and horario.turno='T ' ),'MARTES ' , 'CONTRATURNO ' );</v>
      </c>
    </row>
    <row r="981" spans="1:34" ht="15" hidden="1" customHeight="1" x14ac:dyDescent="0.3">
      <c r="A981" s="1" t="str">
        <f t="shared" si="185"/>
        <v>6°2°</v>
      </c>
      <c r="B981" s="54" t="str">
        <f t="shared" si="188"/>
        <v>6°2°2MAVESPERTINO0</v>
      </c>
      <c r="C981" s="62">
        <f>VLOOKUP(G981,[1]Hoja1!$A:$O,3,0)</f>
        <v>0</v>
      </c>
      <c r="D981" s="2" t="str">
        <f t="shared" si="178"/>
        <v>2MAV</v>
      </c>
      <c r="E981" s="62" t="s">
        <v>19</v>
      </c>
      <c r="F981" s="62" t="s">
        <v>125</v>
      </c>
      <c r="G981" s="62" t="s">
        <v>451</v>
      </c>
      <c r="H981" s="8" t="str">
        <f>VLOOKUP(G981,[1]Hoja1!$A:$O,6,0)</f>
        <v>ARTE</v>
      </c>
      <c r="I981" s="4"/>
      <c r="J981" s="4"/>
      <c r="K981" s="80" t="str">
        <f t="shared" si="187"/>
        <v>MA</v>
      </c>
      <c r="L981" s="4"/>
      <c r="M981" s="86" t="str">
        <f>VLOOKUP(G981,[1]Hoja1!$A:$O,15,0)</f>
        <v>GOMEZ, PATRICIA INT 2026</v>
      </c>
      <c r="N981" s="2" t="str">
        <f t="shared" si="186"/>
        <v>6°2°6IARTEMA</v>
      </c>
      <c r="O981" s="2"/>
      <c r="P981" s="2" t="str">
        <f>VLOOKUP(G981,[1]Hoja1!$A:$P,16,0)</f>
        <v xml:space="preserve"> </v>
      </c>
      <c r="Q981" s="2"/>
      <c r="S981">
        <f>VLOOKUP(G981,[1]Hoja1!$A:$O,5,0)</f>
        <v>2681828</v>
      </c>
      <c r="U981" s="45" t="s">
        <v>2751</v>
      </c>
      <c r="V981" s="46">
        <f t="shared" si="179"/>
        <v>2681828</v>
      </c>
      <c r="W981" s="47" t="s">
        <v>1519</v>
      </c>
      <c r="X981" s="46" t="str">
        <f t="shared" si="180"/>
        <v>2</v>
      </c>
      <c r="Y981" s="47" t="s">
        <v>1518</v>
      </c>
      <c r="Z981" s="46" t="str">
        <f t="shared" si="181"/>
        <v>V</v>
      </c>
      <c r="AA981" s="47" t="s">
        <v>2752</v>
      </c>
      <c r="AB981" s="46" t="str">
        <f t="shared" si="182"/>
        <v>MARTES</v>
      </c>
      <c r="AC981" s="47" t="s">
        <v>2753</v>
      </c>
      <c r="AD981">
        <f t="shared" si="183"/>
        <v>0</v>
      </c>
      <c r="AE981" s="47" t="s">
        <v>2754</v>
      </c>
      <c r="AH981" t="str">
        <f t="shared" si="184"/>
        <v>INSERT INTO horario_curso_materia (horario_curso_materia.FK_CUR_mat,horario_curso_materia.FK_HOR,horario_curso_materia.DIA,horario_curso_materia.tipo_turno) VALUES (  (SELECT curso_materia.ID_CUR_MAT FROM curso_materia WHERE curso_materia.CUPOF='2681828' ) ,
    (SELECT horario.ID_HOR FROM horario WHERE horario.modulo='2 ' and horario.turno='V ' ),'MARTES ' , '0 ' );</v>
      </c>
    </row>
    <row r="982" spans="1:34" ht="15" hidden="1" customHeight="1" x14ac:dyDescent="0.3">
      <c r="A982" s="1" t="str">
        <f t="shared" si="185"/>
        <v>6°2°</v>
      </c>
      <c r="B982" s="54" t="str">
        <f t="shared" si="188"/>
        <v>6°2°2MIMAÑANA622</v>
      </c>
      <c r="C982" s="62">
        <f>VLOOKUP(G982,[1]Hoja1!$A:$O,3,0)</f>
        <v>622</v>
      </c>
      <c r="D982" s="2" t="str">
        <f t="shared" si="178"/>
        <v>2MIM41</v>
      </c>
      <c r="E982" s="62" t="s">
        <v>26</v>
      </c>
      <c r="F982" s="62" t="s">
        <v>27</v>
      </c>
      <c r="G982" s="62" t="s">
        <v>209</v>
      </c>
      <c r="H982" s="8" t="str">
        <f>VLOOKUP(G982,[1]Hoja1!$A:$O,6,0)</f>
        <v xml:space="preserve">LAB DE SIST OPERATIVOS </v>
      </c>
      <c r="I982" s="4">
        <v>41</v>
      </c>
      <c r="J982" s="4"/>
      <c r="K982" s="80" t="str">
        <f t="shared" si="187"/>
        <v>MI</v>
      </c>
      <c r="L982" s="4" t="s">
        <v>512</v>
      </c>
      <c r="M982" s="86" t="str">
        <f>VLOOKUP(G982,[1]Hoja1!$A:$O,15,0)</f>
        <v xml:space="preserve">BARCENILLA, JAVIER </v>
      </c>
      <c r="N982" s="2" t="str">
        <f t="shared" si="186"/>
        <v>6°2°6226IFHLS6MI</v>
      </c>
      <c r="O982" s="2" t="s">
        <v>1513</v>
      </c>
      <c r="P982" s="2" t="str">
        <f>VLOOKUP(G982,[1]Hoja1!$A:$P,16,0)</f>
        <v xml:space="preserve"> </v>
      </c>
      <c r="Q982" s="2"/>
      <c r="S982">
        <f>VLOOKUP(G982,[1]Hoja1!$A:$O,5,0)</f>
        <v>2681867</v>
      </c>
      <c r="U982" s="45" t="s">
        <v>2751</v>
      </c>
      <c r="V982" s="46">
        <f t="shared" si="179"/>
        <v>2681867</v>
      </c>
      <c r="W982" s="47" t="s">
        <v>1519</v>
      </c>
      <c r="X982" s="46" t="str">
        <f t="shared" si="180"/>
        <v>2</v>
      </c>
      <c r="Y982" s="47" t="s">
        <v>1518</v>
      </c>
      <c r="Z982" s="46" t="str">
        <f t="shared" si="181"/>
        <v>M</v>
      </c>
      <c r="AA982" s="47" t="s">
        <v>2752</v>
      </c>
      <c r="AB982" s="46" t="str">
        <f t="shared" si="182"/>
        <v>MIERCOLES</v>
      </c>
      <c r="AC982" s="47" t="s">
        <v>2753</v>
      </c>
      <c r="AD982" t="str">
        <f t="shared" si="183"/>
        <v>CONTRATURNO</v>
      </c>
      <c r="AE982" s="47" t="s">
        <v>2754</v>
      </c>
      <c r="AH982" t="str">
        <f t="shared" si="184"/>
        <v>INSERT INTO horario_curso_materia (horario_curso_materia.FK_CUR_mat,horario_curso_materia.FK_HOR,horario_curso_materia.DIA,horario_curso_materia.tipo_turno) VALUES (  (SELECT curso_materia.ID_CUR_MAT FROM curso_materia WHERE curso_materia.CUPOF='2681867' ) ,
    (SELECT horario.ID_HOR FROM horario WHERE horario.modulo='2 ' and horario.turno='M ' ),'MIERCOLES ' , 'CONTRATURNO ' );</v>
      </c>
    </row>
    <row r="983" spans="1:34" ht="15" hidden="1" customHeight="1" x14ac:dyDescent="0.3">
      <c r="A983" s="1" t="str">
        <f t="shared" si="185"/>
        <v>6°2°</v>
      </c>
      <c r="B983" s="54" t="str">
        <f t="shared" si="188"/>
        <v>6°2°2MIVESPERTINO0</v>
      </c>
      <c r="C983" s="62">
        <f>VLOOKUP(G983,[1]Hoja1!$A:$O,3,0)</f>
        <v>0</v>
      </c>
      <c r="D983" s="2" t="str">
        <f t="shared" si="178"/>
        <v>2MIV</v>
      </c>
      <c r="E983" s="62" t="s">
        <v>26</v>
      </c>
      <c r="F983" s="62" t="s">
        <v>125</v>
      </c>
      <c r="G983" s="62" t="s">
        <v>453</v>
      </c>
      <c r="H983" s="8" t="str">
        <f>VLOOKUP(G983,[1]Hoja1!$A:$O,6,0)</f>
        <v>SISTEMA DIGITAL</v>
      </c>
      <c r="I983" s="4"/>
      <c r="J983" s="4"/>
      <c r="K983" s="80" t="str">
        <f t="shared" si="187"/>
        <v>MI</v>
      </c>
      <c r="L983" s="4"/>
      <c r="M983" s="86" t="str">
        <f>VLOOKUP(G983,[1]Hoja1!$A:$O,15,0)</f>
        <v>MONTES IVAN</v>
      </c>
      <c r="N983" s="2" t="str">
        <f t="shared" si="186"/>
        <v>6°2°6ISIDI6MI</v>
      </c>
      <c r="O983" s="2"/>
      <c r="P983" s="2" t="str">
        <f>VLOOKUP(G983,[1]Hoja1!$A:$P,16,0)</f>
        <v xml:space="preserve"> </v>
      </c>
      <c r="Q983" s="2"/>
      <c r="S983">
        <f>VLOOKUP(G983,[1]Hoja1!$A:$O,5,0)</f>
        <v>2681834</v>
      </c>
      <c r="U983" s="45" t="s">
        <v>2751</v>
      </c>
      <c r="V983" s="46">
        <f t="shared" si="179"/>
        <v>2681834</v>
      </c>
      <c r="W983" s="47" t="s">
        <v>1519</v>
      </c>
      <c r="X983" s="46" t="str">
        <f t="shared" si="180"/>
        <v>2</v>
      </c>
      <c r="Y983" s="47" t="s">
        <v>1518</v>
      </c>
      <c r="Z983" s="46" t="str">
        <f t="shared" si="181"/>
        <v>V</v>
      </c>
      <c r="AA983" s="47" t="s">
        <v>2752</v>
      </c>
      <c r="AB983" s="46" t="str">
        <f t="shared" si="182"/>
        <v>MIERCOLES</v>
      </c>
      <c r="AC983" s="47" t="s">
        <v>2753</v>
      </c>
      <c r="AD983">
        <f t="shared" si="183"/>
        <v>0</v>
      </c>
      <c r="AE983" s="47" t="s">
        <v>2754</v>
      </c>
      <c r="AH983" t="str">
        <f t="shared" si="184"/>
        <v>INSERT INTO horario_curso_materia (horario_curso_materia.FK_CUR_mat,horario_curso_materia.FK_HOR,horario_curso_materia.DIA,horario_curso_materia.tipo_turno) VALUES (  (SELECT curso_materia.ID_CUR_MAT FROM curso_materia WHERE curso_materia.CUPOF='2681834' ) ,
    (SELECT horario.ID_HOR FROM horario WHERE horario.modulo='2 ' and horario.turno='V ' ),'MIERCOLES ' , '0 ' );</v>
      </c>
    </row>
    <row r="984" spans="1:34" ht="15" hidden="1" customHeight="1" x14ac:dyDescent="0.3">
      <c r="A984" s="1" t="str">
        <f t="shared" si="185"/>
        <v>6°2°</v>
      </c>
      <c r="B984" s="54" t="str">
        <f t="shared" si="188"/>
        <v>6°2°2VIVESPERTINO0</v>
      </c>
      <c r="C984" s="62">
        <f>VLOOKUP(G984,[1]Hoja1!$A:$O,3,0)</f>
        <v>0</v>
      </c>
      <c r="D984" s="2" t="str">
        <f t="shared" si="178"/>
        <v>2VIV</v>
      </c>
      <c r="E984" s="62" t="s">
        <v>59</v>
      </c>
      <c r="F984" s="62" t="s">
        <v>125</v>
      </c>
      <c r="G984" s="62" t="s">
        <v>456</v>
      </c>
      <c r="H984" s="8" t="str">
        <f>VLOOKUP(G984,[1]Hoja1!$A:$O,6,0)</f>
        <v>SEGURIDAD INFORMATICA</v>
      </c>
      <c r="I984" s="4"/>
      <c r="J984" s="4"/>
      <c r="K984" s="80" t="str">
        <f t="shared" si="187"/>
        <v>VI</v>
      </c>
      <c r="L984" s="4"/>
      <c r="M984" s="86" t="str">
        <f>VLOOKUP(G984,[1]Hoja1!$A:$O,15,0)</f>
        <v>PALAVECINO</v>
      </c>
      <c r="N984" s="2" t="str">
        <f t="shared" si="186"/>
        <v>6°2°6ISEINVI</v>
      </c>
      <c r="O984" s="2" t="s">
        <v>1442</v>
      </c>
      <c r="P984" s="2" t="str">
        <f>VLOOKUP(G984,[1]Hoja1!$A:$P,16,0)</f>
        <v xml:space="preserve"> </v>
      </c>
      <c r="Q984" s="2"/>
      <c r="S984">
        <f>VLOOKUP(G984,[1]Hoja1!$A:$O,5,0)</f>
        <v>2681838</v>
      </c>
      <c r="U984" s="45" t="s">
        <v>2751</v>
      </c>
      <c r="V984" s="46">
        <f t="shared" si="179"/>
        <v>2681838</v>
      </c>
      <c r="W984" s="47" t="s">
        <v>1519</v>
      </c>
      <c r="X984" s="46" t="str">
        <f t="shared" si="180"/>
        <v>2</v>
      </c>
      <c r="Y984" s="47" t="s">
        <v>1518</v>
      </c>
      <c r="Z984" s="46" t="str">
        <f t="shared" si="181"/>
        <v>V</v>
      </c>
      <c r="AA984" s="47" t="s">
        <v>2752</v>
      </c>
      <c r="AB984" s="46" t="str">
        <f t="shared" si="182"/>
        <v>VIERNES</v>
      </c>
      <c r="AC984" s="47" t="s">
        <v>2753</v>
      </c>
      <c r="AD984">
        <f t="shared" si="183"/>
        <v>0</v>
      </c>
      <c r="AE984" s="47" t="s">
        <v>2754</v>
      </c>
      <c r="AH984" t="str">
        <f t="shared" si="184"/>
        <v>INSERT INTO horario_curso_materia (horario_curso_materia.FK_CUR_mat,horario_curso_materia.FK_HOR,horario_curso_materia.DIA,horario_curso_materia.tipo_turno) VALUES (  (SELECT curso_materia.ID_CUR_MAT FROM curso_materia WHERE curso_materia.CUPOF='2681838' ) ,
    (SELECT horario.ID_HOR FROM horario WHERE horario.modulo='2 ' and horario.turno='V ' ),'VIERNES ' , '0 ' );</v>
      </c>
    </row>
    <row r="985" spans="1:34" ht="15" hidden="1" customHeight="1" x14ac:dyDescent="0.3">
      <c r="A985" s="1" t="str">
        <f t="shared" si="185"/>
        <v>6°2°</v>
      </c>
      <c r="B985" s="54" t="str">
        <f t="shared" si="188"/>
        <v>6°2°3JUMAÑANA621</v>
      </c>
      <c r="C985" s="62">
        <f>VLOOKUP(G985,[1]Hoja1!$A:$O,3,0)</f>
        <v>621</v>
      </c>
      <c r="D985" s="2" t="str">
        <f t="shared" si="178"/>
        <v>3JUM40</v>
      </c>
      <c r="E985" s="62" t="s">
        <v>46</v>
      </c>
      <c r="F985" s="62" t="s">
        <v>27</v>
      </c>
      <c r="G985" s="62" t="s">
        <v>208</v>
      </c>
      <c r="H985" s="8" t="str">
        <f>VLOOKUP(G985,[1]Hoja1!$A:$O,6,0)</f>
        <v xml:space="preserve">LAB DE SIST OPERATIVOS </v>
      </c>
      <c r="I985" s="4">
        <v>40</v>
      </c>
      <c r="J985" s="4"/>
      <c r="K985" s="80" t="str">
        <f t="shared" si="187"/>
        <v>JU</v>
      </c>
      <c r="L985" s="4" t="s">
        <v>512</v>
      </c>
      <c r="M985" s="86" t="str">
        <f>VLOOKUP(G985,[1]Hoja1!$A:$O,15,0)</f>
        <v>FERREYRA JESICA</v>
      </c>
      <c r="N985" s="2" t="str">
        <f t="shared" si="186"/>
        <v>6°2°6216IFHLS6JU</v>
      </c>
      <c r="O985" s="2"/>
      <c r="P985" s="2" t="str">
        <f>VLOOKUP(G985,[1]Hoja1!$A:$P,16,0)</f>
        <v xml:space="preserve"> </v>
      </c>
      <c r="Q985" s="2"/>
      <c r="S985">
        <f>VLOOKUP(G985,[1]Hoja1!$A:$O,5,0)</f>
        <v>2681845</v>
      </c>
      <c r="U985" s="45" t="s">
        <v>2751</v>
      </c>
      <c r="V985" s="46">
        <f t="shared" si="179"/>
        <v>2681845</v>
      </c>
      <c r="W985" s="47" t="s">
        <v>1519</v>
      </c>
      <c r="X985" s="46" t="str">
        <f t="shared" si="180"/>
        <v>3</v>
      </c>
      <c r="Y985" s="47" t="s">
        <v>1518</v>
      </c>
      <c r="Z985" s="46" t="str">
        <f t="shared" si="181"/>
        <v>M</v>
      </c>
      <c r="AA985" s="47" t="s">
        <v>2752</v>
      </c>
      <c r="AB985" s="46" t="str">
        <f t="shared" si="182"/>
        <v>JUEVES</v>
      </c>
      <c r="AC985" s="47" t="s">
        <v>2753</v>
      </c>
      <c r="AD985" t="str">
        <f t="shared" si="183"/>
        <v>CONTRATURNO</v>
      </c>
      <c r="AE985" s="47" t="s">
        <v>2754</v>
      </c>
      <c r="AH985" t="str">
        <f t="shared" si="184"/>
        <v>INSERT INTO horario_curso_materia (horario_curso_materia.FK_CUR_mat,horario_curso_materia.FK_HOR,horario_curso_materia.DIA,horario_curso_materia.tipo_turno) VALUES (  (SELECT curso_materia.ID_CUR_MAT FROM curso_materia WHERE curso_materia.CUPOF='2681845' ) ,
    (SELECT horario.ID_HOR FROM horario WHERE horario.modulo='3 ' and horario.turno='M ' ),'JUEVES ' , 'CONTRATURNO ' );</v>
      </c>
    </row>
    <row r="986" spans="1:34" ht="15" hidden="1" customHeight="1" x14ac:dyDescent="0.3">
      <c r="A986" s="1" t="str">
        <f t="shared" si="185"/>
        <v>6°2°</v>
      </c>
      <c r="B986" s="54" t="str">
        <f t="shared" si="188"/>
        <v>6°2°1JUMAÑANA622</v>
      </c>
      <c r="C986" s="62">
        <f>VLOOKUP(G986,[1]Hoja1!$A:$O,3,0)</f>
        <v>622</v>
      </c>
      <c r="D986" s="2" t="str">
        <f t="shared" si="178"/>
        <v>1JUM30</v>
      </c>
      <c r="E986" s="62" t="s">
        <v>43</v>
      </c>
      <c r="F986" s="62" t="s">
        <v>27</v>
      </c>
      <c r="G986" s="62" t="s">
        <v>207</v>
      </c>
      <c r="H986" s="8" t="str">
        <f>VLOOKUP(G986,[1]Hoja1!$A:$O,6,0)</f>
        <v xml:space="preserve">LAB DE HARDWARE </v>
      </c>
      <c r="I986" s="4">
        <v>30</v>
      </c>
      <c r="J986" s="4"/>
      <c r="K986" s="80" t="str">
        <f t="shared" si="187"/>
        <v>JU</v>
      </c>
      <c r="L986" s="4" t="s">
        <v>512</v>
      </c>
      <c r="M986" s="86" t="str">
        <f>VLOOKUP(G986,[1]Hoja1!$A:$O,15,0)</f>
        <v>MONTENEGRO</v>
      </c>
      <c r="N986" s="2" t="str">
        <f t="shared" si="186"/>
        <v>6°2°6226IFTLH6JU</v>
      </c>
      <c r="O986" s="2"/>
      <c r="P986" s="2" t="str">
        <f>VLOOKUP(G986,[1]Hoja1!$A:$P,16,0)</f>
        <v xml:space="preserve"> </v>
      </c>
      <c r="Q986" s="2"/>
      <c r="S986">
        <f>VLOOKUP(G986,[1]Hoja1!$A:$O,5,0)</f>
        <v>2681860</v>
      </c>
      <c r="U986" s="45" t="s">
        <v>2751</v>
      </c>
      <c r="V986" s="46">
        <f t="shared" si="179"/>
        <v>2681860</v>
      </c>
      <c r="W986" s="47" t="s">
        <v>1519</v>
      </c>
      <c r="X986" s="46" t="str">
        <f t="shared" si="180"/>
        <v>1</v>
      </c>
      <c r="Y986" s="47" t="s">
        <v>1518</v>
      </c>
      <c r="Z986" s="46" t="str">
        <f t="shared" si="181"/>
        <v>M</v>
      </c>
      <c r="AA986" s="47" t="s">
        <v>2752</v>
      </c>
      <c r="AB986" s="46" t="str">
        <f t="shared" si="182"/>
        <v>JUEVES</v>
      </c>
      <c r="AC986" s="47" t="s">
        <v>2753</v>
      </c>
      <c r="AD986" t="str">
        <f t="shared" si="183"/>
        <v>CONTRATURNO</v>
      </c>
      <c r="AE986" s="47" t="s">
        <v>2754</v>
      </c>
      <c r="AH986" t="str">
        <f t="shared" si="184"/>
        <v>INSERT INTO horario_curso_materia (horario_curso_materia.FK_CUR_mat,horario_curso_materia.FK_HOR,horario_curso_materia.DIA,horario_curso_materia.tipo_turno) VALUES (  (SELECT curso_materia.ID_CUR_MAT FROM curso_materia WHERE curso_materia.CUPOF='2681860' ) ,
    (SELECT horario.ID_HOR FROM horario WHERE horario.modulo='1 ' and horario.turno='M ' ),'JUEVES ' , 'CONTRATURNO ' );</v>
      </c>
    </row>
    <row r="987" spans="1:34" ht="15" hidden="1" customHeight="1" x14ac:dyDescent="0.3">
      <c r="A987" s="1" t="str">
        <f t="shared" si="185"/>
        <v>6°2°</v>
      </c>
      <c r="B987" s="54" t="str">
        <f t="shared" si="188"/>
        <v>6°2°3JUVESPERTINO0</v>
      </c>
      <c r="C987" s="62">
        <f>VLOOKUP(G987,[1]Hoja1!$A:$O,3,0)</f>
        <v>0</v>
      </c>
      <c r="D987" s="2" t="str">
        <f t="shared" si="178"/>
        <v>3JUV</v>
      </c>
      <c r="E987" s="62" t="s">
        <v>46</v>
      </c>
      <c r="F987" s="62" t="s">
        <v>125</v>
      </c>
      <c r="G987" s="62" t="s">
        <v>455</v>
      </c>
      <c r="H987" s="8" t="str">
        <f>VLOOKUP(G987,[1]Hoja1!$A:$O,6,0)</f>
        <v>INVESTIGACION OPERATIVA</v>
      </c>
      <c r="I987" s="4"/>
      <c r="J987" s="4"/>
      <c r="K987" s="80" t="str">
        <f t="shared" si="187"/>
        <v>JU</v>
      </c>
      <c r="L987" s="4"/>
      <c r="M987" s="86" t="str">
        <f>VLOOKUP(G987,[1]Hoja1!$A:$O,15,0)</f>
        <v>MONTENEGRO</v>
      </c>
      <c r="N987" s="2" t="str">
        <f t="shared" si="186"/>
        <v>6°2°6IINVOPJU</v>
      </c>
      <c r="O987" s="2"/>
      <c r="P987" s="2" t="str">
        <f>VLOOKUP(G987,[1]Hoja1!$A:$P,16,0)</f>
        <v xml:space="preserve"> </v>
      </c>
      <c r="Q987" s="2"/>
      <c r="S987">
        <f>VLOOKUP(G987,[1]Hoja1!$A:$O,5,0)</f>
        <v>2681836</v>
      </c>
      <c r="U987" s="45" t="s">
        <v>2751</v>
      </c>
      <c r="V987" s="46">
        <f t="shared" si="179"/>
        <v>2681836</v>
      </c>
      <c r="W987" s="47" t="s">
        <v>1519</v>
      </c>
      <c r="X987" s="46" t="str">
        <f t="shared" si="180"/>
        <v>3</v>
      </c>
      <c r="Y987" s="47" t="s">
        <v>1518</v>
      </c>
      <c r="Z987" s="46" t="str">
        <f t="shared" si="181"/>
        <v>V</v>
      </c>
      <c r="AA987" s="47" t="s">
        <v>2752</v>
      </c>
      <c r="AB987" s="46" t="str">
        <f t="shared" si="182"/>
        <v>JUEVES</v>
      </c>
      <c r="AC987" s="47" t="s">
        <v>2753</v>
      </c>
      <c r="AD987">
        <f t="shared" si="183"/>
        <v>0</v>
      </c>
      <c r="AE987" s="47" t="s">
        <v>2754</v>
      </c>
      <c r="AH987" t="str">
        <f t="shared" si="184"/>
        <v>INSERT INTO horario_curso_materia (horario_curso_materia.FK_CUR_mat,horario_curso_materia.FK_HOR,horario_curso_materia.DIA,horario_curso_materia.tipo_turno) VALUES (  (SELECT curso_materia.ID_CUR_MAT FROM curso_materia WHERE curso_materia.CUPOF='2681836' ) ,
    (SELECT horario.ID_HOR FROM horario WHERE horario.modulo='3 ' and horario.turno='V ' ),'JUEVES ' , '0 ' );</v>
      </c>
    </row>
    <row r="988" spans="1:34" ht="15" hidden="1" customHeight="1" x14ac:dyDescent="0.3">
      <c r="A988" s="1" t="str">
        <f t="shared" si="185"/>
        <v>6°2°</v>
      </c>
      <c r="B988" s="54" t="str">
        <f t="shared" si="188"/>
        <v>6°2°2JUMAÑANA622</v>
      </c>
      <c r="C988" s="62">
        <f>VLOOKUP(G988,[1]Hoja1!$A:$O,3,0)</f>
        <v>622</v>
      </c>
      <c r="D988" s="2" t="str">
        <f t="shared" si="178"/>
        <v>2JUM30</v>
      </c>
      <c r="E988" s="62" t="s">
        <v>45</v>
      </c>
      <c r="F988" s="62" t="s">
        <v>27</v>
      </c>
      <c r="G988" s="62" t="s">
        <v>207</v>
      </c>
      <c r="H988" s="8" t="str">
        <f>VLOOKUP(G988,[1]Hoja1!$A:$O,6,0)</f>
        <v xml:space="preserve">LAB DE HARDWARE </v>
      </c>
      <c r="I988" s="4">
        <v>30</v>
      </c>
      <c r="J988" s="4"/>
      <c r="K988" s="80" t="str">
        <f t="shared" si="187"/>
        <v>JU</v>
      </c>
      <c r="L988" s="4" t="s">
        <v>512</v>
      </c>
      <c r="M988" s="86" t="str">
        <f>VLOOKUP(G988,[1]Hoja1!$A:$O,15,0)</f>
        <v>MONTENEGRO</v>
      </c>
      <c r="N988" s="2" t="str">
        <f t="shared" si="186"/>
        <v>6°2°6226IFTLH6JU</v>
      </c>
      <c r="O988" s="2"/>
      <c r="P988" s="2" t="str">
        <f>VLOOKUP(G988,[1]Hoja1!$A:$P,16,0)</f>
        <v xml:space="preserve"> </v>
      </c>
      <c r="Q988" s="2"/>
      <c r="S988">
        <f>VLOOKUP(G988,[1]Hoja1!$A:$O,5,0)</f>
        <v>2681860</v>
      </c>
      <c r="U988" s="45" t="s">
        <v>2751</v>
      </c>
      <c r="V988" s="46">
        <f t="shared" si="179"/>
        <v>2681860</v>
      </c>
      <c r="W988" s="47" t="s">
        <v>1519</v>
      </c>
      <c r="X988" s="46" t="str">
        <f t="shared" si="180"/>
        <v>2</v>
      </c>
      <c r="Y988" s="47" t="s">
        <v>1518</v>
      </c>
      <c r="Z988" s="46" t="str">
        <f t="shared" si="181"/>
        <v>M</v>
      </c>
      <c r="AA988" s="47" t="s">
        <v>2752</v>
      </c>
      <c r="AB988" s="46" t="str">
        <f t="shared" si="182"/>
        <v>JUEVES</v>
      </c>
      <c r="AC988" s="47" t="s">
        <v>2753</v>
      </c>
      <c r="AD988" t="str">
        <f t="shared" si="183"/>
        <v>CONTRATURNO</v>
      </c>
      <c r="AE988" s="47" t="s">
        <v>2754</v>
      </c>
      <c r="AH988" t="str">
        <f t="shared" si="184"/>
        <v>INSERT INTO horario_curso_materia (horario_curso_materia.FK_CUR_mat,horario_curso_materia.FK_HOR,horario_curso_materia.DIA,horario_curso_materia.tipo_turno) VALUES (  (SELECT curso_materia.ID_CUR_MAT FROM curso_materia WHERE curso_materia.CUPOF='2681860' ) ,
    (SELECT horario.ID_HOR FROM horario WHERE horario.modulo='2 ' and horario.turno='M ' ),'JUEVES ' , 'CONTRATURNO ' );</v>
      </c>
    </row>
    <row r="989" spans="1:34" ht="15" hidden="1" customHeight="1" x14ac:dyDescent="0.3">
      <c r="A989" s="1" t="str">
        <f t="shared" si="185"/>
        <v>6°2°</v>
      </c>
      <c r="B989" s="54" t="str">
        <f t="shared" si="188"/>
        <v>6°2°3LUVESPERTINO0</v>
      </c>
      <c r="C989" s="62">
        <f>VLOOKUP(G989,[1]Hoja1!$A:$O,3,0)</f>
        <v>0</v>
      </c>
      <c r="D989" s="2" t="str">
        <f t="shared" ref="D989:D999" si="189">CONCATENATE(E989,LEFT(F989,1),I989)</f>
        <v>3LUV</v>
      </c>
      <c r="E989" s="62" t="s">
        <v>29</v>
      </c>
      <c r="F989" s="62" t="s">
        <v>125</v>
      </c>
      <c r="G989" s="62" t="s">
        <v>450</v>
      </c>
      <c r="H989" s="8" t="str">
        <f>VLOOKUP(G989,[1]Hoja1!$A:$O,6,0)</f>
        <v>DERECHO DE TRABAJO</v>
      </c>
      <c r="I989" s="4"/>
      <c r="J989" s="4"/>
      <c r="K989" s="80" t="str">
        <f t="shared" si="187"/>
        <v>LU</v>
      </c>
      <c r="L989" s="4"/>
      <c r="M989" s="86" t="str">
        <f>VLOOKUP(G989,[1]Hoja1!$A:$O,15,0)</f>
        <v xml:space="preserve">PEREYRA LORENA   </v>
      </c>
      <c r="N989" s="2" t="str">
        <f t="shared" si="186"/>
        <v>6°2°6IDETRALU</v>
      </c>
      <c r="O989" s="2"/>
      <c r="P989" s="2" t="str">
        <f>VLOOKUP(G989,[1]Hoja1!$A:$P,16,0)</f>
        <v xml:space="preserve"> </v>
      </c>
      <c r="Q989" s="2"/>
      <c r="S989">
        <f>VLOOKUP(G989,[1]Hoja1!$A:$O,5,0)</f>
        <v>2681840</v>
      </c>
      <c r="U989" s="45" t="s">
        <v>2751</v>
      </c>
      <c r="V989" s="46">
        <f t="shared" si="179"/>
        <v>2681840</v>
      </c>
      <c r="W989" s="47" t="s">
        <v>1519</v>
      </c>
      <c r="X989" s="46" t="str">
        <f t="shared" si="180"/>
        <v>3</v>
      </c>
      <c r="Y989" s="47" t="s">
        <v>1518</v>
      </c>
      <c r="Z989" s="46" t="str">
        <f t="shared" si="181"/>
        <v>V</v>
      </c>
      <c r="AA989" s="47" t="s">
        <v>2752</v>
      </c>
      <c r="AB989" s="46" t="str">
        <f t="shared" si="182"/>
        <v>LUNES</v>
      </c>
      <c r="AC989" s="47" t="s">
        <v>2753</v>
      </c>
      <c r="AD989">
        <f t="shared" si="183"/>
        <v>0</v>
      </c>
      <c r="AE989" s="47" t="s">
        <v>2754</v>
      </c>
      <c r="AH989" t="str">
        <f t="shared" si="184"/>
        <v>INSERT INTO horario_curso_materia (horario_curso_materia.FK_CUR_mat,horario_curso_materia.FK_HOR,horario_curso_materia.DIA,horario_curso_materia.tipo_turno) VALUES (  (SELECT curso_materia.ID_CUR_MAT FROM curso_materia WHERE curso_materia.CUPOF='2681840' ) ,
    (SELECT horario.ID_HOR FROM horario WHERE horario.modulo='3 ' and horario.turno='V ' ),'LUNES ' , '0 ' );</v>
      </c>
    </row>
    <row r="990" spans="1:34" ht="15" hidden="1" customHeight="1" x14ac:dyDescent="0.3">
      <c r="A990" s="1" t="str">
        <f t="shared" si="185"/>
        <v>6°2°</v>
      </c>
      <c r="B990" s="54" t="str">
        <f t="shared" si="188"/>
        <v>6°2°3MAMAÑANA622</v>
      </c>
      <c r="C990" s="62">
        <v>622</v>
      </c>
      <c r="D990" s="2" t="str">
        <f t="shared" si="189"/>
        <v>3MAM30</v>
      </c>
      <c r="E990" s="62" t="s">
        <v>13</v>
      </c>
      <c r="F990" s="62" t="s">
        <v>27</v>
      </c>
      <c r="G990" s="62" t="s">
        <v>210</v>
      </c>
      <c r="H990" s="8" t="str">
        <f>VLOOKUP(G990,[1]Hoja1!$A:$O,6,0)</f>
        <v xml:space="preserve">LAB DE PROGRAM </v>
      </c>
      <c r="I990" s="4">
        <v>30</v>
      </c>
      <c r="J990" s="4"/>
      <c r="K990" s="80" t="str">
        <f t="shared" si="187"/>
        <v>MA</v>
      </c>
      <c r="L990" s="4" t="s">
        <v>512</v>
      </c>
      <c r="M990" s="86" t="str">
        <f>VLOOKUP(G990,[1]Hoja1!$A:$O,15,0)</f>
        <v>WITT GERARDO</v>
      </c>
      <c r="N990" s="2" t="str">
        <f t="shared" si="186"/>
        <v>6°2°6216IFTLP6MA</v>
      </c>
      <c r="O990" s="2"/>
      <c r="P990" s="2" t="str">
        <f>VLOOKUP(G990,[1]Hoja1!$A:$P,16,0)</f>
        <v xml:space="preserve"> </v>
      </c>
      <c r="Q990" s="2"/>
      <c r="S990">
        <f>VLOOKUP(G990,[1]Hoja1!$A:$O,5,0)</f>
        <v>2681841</v>
      </c>
      <c r="U990" s="45" t="s">
        <v>2751</v>
      </c>
      <c r="V990" s="46">
        <f t="shared" si="179"/>
        <v>2681841</v>
      </c>
      <c r="W990" s="47" t="s">
        <v>1519</v>
      </c>
      <c r="X990" s="46" t="str">
        <f t="shared" si="180"/>
        <v>3</v>
      </c>
      <c r="Y990" s="47" t="s">
        <v>1518</v>
      </c>
      <c r="Z990" s="46" t="str">
        <f t="shared" si="181"/>
        <v>M</v>
      </c>
      <c r="AA990" s="47" t="s">
        <v>2752</v>
      </c>
      <c r="AB990" s="46" t="str">
        <f t="shared" si="182"/>
        <v>MARTES</v>
      </c>
      <c r="AC990" s="47" t="s">
        <v>2753</v>
      </c>
      <c r="AD990" t="str">
        <f t="shared" si="183"/>
        <v>CONTRATURNO</v>
      </c>
      <c r="AE990" s="47" t="s">
        <v>2754</v>
      </c>
      <c r="AH990" t="str">
        <f t="shared" si="184"/>
        <v>INSERT INTO horario_curso_materia (horario_curso_materia.FK_CUR_mat,horario_curso_materia.FK_HOR,horario_curso_materia.DIA,horario_curso_materia.tipo_turno) VALUES (  (SELECT curso_materia.ID_CUR_MAT FROM curso_materia WHERE curso_materia.CUPOF='2681841' ) ,
    (SELECT horario.ID_HOR FROM horario WHERE horario.modulo='3 ' and horario.turno='M ' ),'MARTES ' , 'CONTRATURNO ' );</v>
      </c>
    </row>
    <row r="991" spans="1:34" ht="15" hidden="1" customHeight="1" x14ac:dyDescent="0.3">
      <c r="A991" s="1" t="str">
        <f t="shared" si="185"/>
        <v>6°2°</v>
      </c>
      <c r="B991" s="54" t="str">
        <f t="shared" si="188"/>
        <v>6°2°3MAVESPERTINO0</v>
      </c>
      <c r="C991" s="62">
        <f>VLOOKUP(G991,[1]Hoja1!$A:$O,3,0)</f>
        <v>0</v>
      </c>
      <c r="D991" s="2" t="str">
        <f t="shared" si="189"/>
        <v>3MAV</v>
      </c>
      <c r="E991" s="62" t="s">
        <v>13</v>
      </c>
      <c r="F991" s="62" t="s">
        <v>125</v>
      </c>
      <c r="G991" s="62" t="s">
        <v>452</v>
      </c>
      <c r="H991" s="8" t="str">
        <f>VLOOKUP(G991,[1]Hoja1!$A:$O,6,0)</f>
        <v>INGLÉS</v>
      </c>
      <c r="I991" s="4"/>
      <c r="J991" s="4"/>
      <c r="K991" s="80" t="str">
        <f t="shared" si="187"/>
        <v>MA</v>
      </c>
      <c r="L991" s="4"/>
      <c r="M991" s="86" t="str">
        <f>VLOOKUP(G991,[1]Hoja1!$A:$O,15,0)</f>
        <v>MARTINS RUTH MARIA DEL ROS</v>
      </c>
      <c r="N991" s="2" t="str">
        <f t="shared" si="186"/>
        <v>6°2°6IINGSMA</v>
      </c>
      <c r="O991" s="2"/>
      <c r="P991" s="2" t="str">
        <f>VLOOKUP(G991,[1]Hoja1!$A:$P,16,0)</f>
        <v xml:space="preserve"> </v>
      </c>
      <c r="Q991" s="2"/>
      <c r="S991">
        <f>VLOOKUP(G991,[1]Hoja1!$A:$O,5,0)</f>
        <v>2681822</v>
      </c>
      <c r="U991" s="45" t="s">
        <v>2751</v>
      </c>
      <c r="V991" s="46">
        <f t="shared" si="179"/>
        <v>2681822</v>
      </c>
      <c r="W991" s="47" t="s">
        <v>1519</v>
      </c>
      <c r="X991" s="46" t="str">
        <f t="shared" si="180"/>
        <v>3</v>
      </c>
      <c r="Y991" s="47" t="s">
        <v>1518</v>
      </c>
      <c r="Z991" s="46" t="str">
        <f t="shared" si="181"/>
        <v>V</v>
      </c>
      <c r="AA991" s="47" t="s">
        <v>2752</v>
      </c>
      <c r="AB991" s="46" t="str">
        <f t="shared" si="182"/>
        <v>MARTES</v>
      </c>
      <c r="AC991" s="47" t="s">
        <v>2753</v>
      </c>
      <c r="AD991">
        <f t="shared" si="183"/>
        <v>0</v>
      </c>
      <c r="AE991" s="47" t="s">
        <v>2754</v>
      </c>
      <c r="AH991" t="str">
        <f t="shared" si="184"/>
        <v>INSERT INTO horario_curso_materia (horario_curso_materia.FK_CUR_mat,horario_curso_materia.FK_HOR,horario_curso_materia.DIA,horario_curso_materia.tipo_turno) VALUES (  (SELECT curso_materia.ID_CUR_MAT FROM curso_materia WHERE curso_materia.CUPOF='2681822' ) ,
    (SELECT horario.ID_HOR FROM horario WHERE horario.modulo='3 ' and horario.turno='V ' ),'MARTES ' , '0 ' );</v>
      </c>
    </row>
    <row r="992" spans="1:34" ht="15" hidden="1" customHeight="1" x14ac:dyDescent="0.3">
      <c r="A992" s="1" t="str">
        <f t="shared" si="185"/>
        <v>6°2°</v>
      </c>
      <c r="B992" s="54" t="str">
        <f t="shared" si="188"/>
        <v>6°2°3MIMAÑANA622</v>
      </c>
      <c r="C992" s="62">
        <f>VLOOKUP(G992,[1]Hoja1!$A:$O,3,0)</f>
        <v>622</v>
      </c>
      <c r="D992" s="2" t="str">
        <f t="shared" si="189"/>
        <v>3MIM41</v>
      </c>
      <c r="E992" s="62" t="s">
        <v>50</v>
      </c>
      <c r="F992" s="62" t="s">
        <v>27</v>
      </c>
      <c r="G992" s="62" t="s">
        <v>209</v>
      </c>
      <c r="H992" s="8" t="str">
        <f>VLOOKUP(G992,[1]Hoja1!$A:$O,6,0)</f>
        <v xml:space="preserve">LAB DE SIST OPERATIVOS </v>
      </c>
      <c r="I992" s="4">
        <v>41</v>
      </c>
      <c r="J992" s="4"/>
      <c r="K992" s="80" t="str">
        <f t="shared" si="187"/>
        <v>MI</v>
      </c>
      <c r="L992" s="4" t="s">
        <v>512</v>
      </c>
      <c r="M992" s="86" t="str">
        <f>VLOOKUP(G992,[1]Hoja1!$A:$O,15,0)</f>
        <v xml:space="preserve">BARCENILLA, JAVIER </v>
      </c>
      <c r="N992" s="2" t="str">
        <f t="shared" si="186"/>
        <v>6°2°6226IFHLS6MI</v>
      </c>
      <c r="O992" s="2" t="s">
        <v>1513</v>
      </c>
      <c r="P992" s="2" t="str">
        <f>VLOOKUP(G992,[1]Hoja1!$A:$P,16,0)</f>
        <v xml:space="preserve"> </v>
      </c>
      <c r="Q992" s="2"/>
      <c r="S992">
        <f>VLOOKUP(G992,[1]Hoja1!$A:$O,5,0)</f>
        <v>2681867</v>
      </c>
      <c r="U992" s="45" t="s">
        <v>2751</v>
      </c>
      <c r="V992" s="46">
        <f t="shared" si="179"/>
        <v>2681867</v>
      </c>
      <c r="W992" s="47" t="s">
        <v>1519</v>
      </c>
      <c r="X992" s="46" t="str">
        <f t="shared" si="180"/>
        <v>3</v>
      </c>
      <c r="Y992" s="47" t="s">
        <v>1518</v>
      </c>
      <c r="Z992" s="46" t="str">
        <f t="shared" si="181"/>
        <v>M</v>
      </c>
      <c r="AA992" s="47" t="s">
        <v>2752</v>
      </c>
      <c r="AB992" s="46" t="str">
        <f t="shared" si="182"/>
        <v>MIERCOLES</v>
      </c>
      <c r="AC992" s="47" t="s">
        <v>2753</v>
      </c>
      <c r="AD992" t="str">
        <f t="shared" si="183"/>
        <v>CONTRATURNO</v>
      </c>
      <c r="AE992" s="47" t="s">
        <v>2754</v>
      </c>
      <c r="AH992" t="str">
        <f t="shared" si="184"/>
        <v>INSERT INTO horario_curso_materia (horario_curso_materia.FK_CUR_mat,horario_curso_materia.FK_HOR,horario_curso_materia.DIA,horario_curso_materia.tipo_turno) VALUES (  (SELECT curso_materia.ID_CUR_MAT FROM curso_materia WHERE curso_materia.CUPOF='2681867' ) ,
    (SELECT horario.ID_HOR FROM horario WHERE horario.modulo='3 ' and horario.turno='M ' ),'MIERCOLES ' , 'CONTRATURNO ' );</v>
      </c>
    </row>
    <row r="993" spans="1:34" ht="15" hidden="1" customHeight="1" x14ac:dyDescent="0.3">
      <c r="A993" s="1" t="str">
        <f t="shared" si="185"/>
        <v>6°2°</v>
      </c>
      <c r="B993" s="54" t="str">
        <f t="shared" si="188"/>
        <v>6°2°3MIVESPERTINO0</v>
      </c>
      <c r="C993" s="62">
        <f>VLOOKUP(G993,[1]Hoja1!$A:$O,3,0)</f>
        <v>0</v>
      </c>
      <c r="D993" s="2" t="str">
        <f t="shared" si="189"/>
        <v>3MIV</v>
      </c>
      <c r="E993" s="62" t="s">
        <v>50</v>
      </c>
      <c r="F993" s="62" t="s">
        <v>125</v>
      </c>
      <c r="G993" s="62" t="s">
        <v>454</v>
      </c>
      <c r="H993" s="8" t="str">
        <f>VLOOKUP(G993,[1]Hoja1!$A:$O,6,0)</f>
        <v>FILOSOFIA</v>
      </c>
      <c r="I993" s="4"/>
      <c r="J993" s="4"/>
      <c r="K993" s="80" t="str">
        <f t="shared" si="187"/>
        <v>MI</v>
      </c>
      <c r="L993" s="4"/>
      <c r="M993" s="86" t="str">
        <f>VLOOKUP(G993,[1]Hoja1!$A:$O,15,0)</f>
        <v>ESCALANTE RUTH</v>
      </c>
      <c r="N993" s="2" t="str">
        <f t="shared" si="186"/>
        <v>6°2°6IFILOMI</v>
      </c>
      <c r="O993" s="2"/>
      <c r="P993" s="2" t="str">
        <f>VLOOKUP(G993,[1]Hoja1!$A:$P,16,0)</f>
        <v xml:space="preserve"> </v>
      </c>
      <c r="Q993" s="2"/>
      <c r="S993">
        <f>VLOOKUP(G993,[1]Hoja1!$A:$O,5,0)</f>
        <v>2681824</v>
      </c>
      <c r="U993" s="45" t="s">
        <v>2751</v>
      </c>
      <c r="V993" s="46">
        <f t="shared" si="179"/>
        <v>2681824</v>
      </c>
      <c r="W993" s="47" t="s">
        <v>1519</v>
      </c>
      <c r="X993" s="46" t="str">
        <f t="shared" si="180"/>
        <v>3</v>
      </c>
      <c r="Y993" s="47" t="s">
        <v>1518</v>
      </c>
      <c r="Z993" s="46" t="str">
        <f t="shared" si="181"/>
        <v>V</v>
      </c>
      <c r="AA993" s="47" t="s">
        <v>2752</v>
      </c>
      <c r="AB993" s="46" t="str">
        <f t="shared" si="182"/>
        <v>MIERCOLES</v>
      </c>
      <c r="AC993" s="47" t="s">
        <v>2753</v>
      </c>
      <c r="AD993">
        <f t="shared" si="183"/>
        <v>0</v>
      </c>
      <c r="AE993" s="47" t="s">
        <v>2754</v>
      </c>
      <c r="AH993" t="str">
        <f t="shared" si="184"/>
        <v>INSERT INTO horario_curso_materia (horario_curso_materia.FK_CUR_mat,horario_curso_materia.FK_HOR,horario_curso_materia.DIA,horario_curso_materia.tipo_turno) VALUES (  (SELECT curso_materia.ID_CUR_MAT FROM curso_materia WHERE curso_materia.CUPOF='2681824' ) ,
    (SELECT horario.ID_HOR FROM horario WHERE horario.modulo='3 ' and horario.turno='V ' ),'MIERCOLES ' , '0 ' );</v>
      </c>
    </row>
    <row r="994" spans="1:34" ht="15" hidden="1" customHeight="1" x14ac:dyDescent="0.3">
      <c r="A994" s="1" t="str">
        <f t="shared" si="185"/>
        <v>6°2°</v>
      </c>
      <c r="B994" s="54" t="str">
        <f t="shared" si="188"/>
        <v>6°2°3VIMAÑANA621</v>
      </c>
      <c r="C994" s="62">
        <f>VLOOKUP(G994,[1]Hoja1!$A:$O,3,0)</f>
        <v>621</v>
      </c>
      <c r="D994" s="2" t="str">
        <f t="shared" si="189"/>
        <v>3VIM41</v>
      </c>
      <c r="E994" s="62" t="s">
        <v>35</v>
      </c>
      <c r="F994" s="62" t="s">
        <v>27</v>
      </c>
      <c r="G994" s="62" t="s">
        <v>203</v>
      </c>
      <c r="H994" s="8" t="str">
        <f>VLOOKUP(G994,[1]Hoja1!$A:$O,6,0)</f>
        <v xml:space="preserve">LAB DE APLICACIONES </v>
      </c>
      <c r="I994" s="4">
        <v>41</v>
      </c>
      <c r="J994" s="4"/>
      <c r="K994" s="80" t="str">
        <f t="shared" si="187"/>
        <v>VI</v>
      </c>
      <c r="L994" s="4" t="s">
        <v>512</v>
      </c>
      <c r="M994" s="86" t="str">
        <f>VLOOKUP(G994,[1]Hoja1!$A:$O,15,0)</f>
        <v>HERRERA STELLA</v>
      </c>
      <c r="N994" s="2" t="str">
        <f t="shared" si="186"/>
        <v>6°2°6216IFTLA6VI</v>
      </c>
      <c r="O994" s="2"/>
      <c r="P994" s="2" t="str">
        <f>VLOOKUP(G994,[1]Hoja1!$A:$P,16,0)</f>
        <v xml:space="preserve"> </v>
      </c>
      <c r="Q994" s="2"/>
      <c r="S994">
        <f>VLOOKUP(G994,[1]Hoja1!$A:$O,5,0)</f>
        <v>2681854</v>
      </c>
      <c r="U994" s="45" t="s">
        <v>2751</v>
      </c>
      <c r="V994" s="46">
        <f t="shared" si="179"/>
        <v>2681854</v>
      </c>
      <c r="W994" s="47" t="s">
        <v>1519</v>
      </c>
      <c r="X994" s="46" t="str">
        <f t="shared" si="180"/>
        <v>3</v>
      </c>
      <c r="Y994" s="47" t="s">
        <v>1518</v>
      </c>
      <c r="Z994" s="46" t="str">
        <f t="shared" si="181"/>
        <v>M</v>
      </c>
      <c r="AA994" s="47" t="s">
        <v>2752</v>
      </c>
      <c r="AB994" s="46" t="str">
        <f t="shared" si="182"/>
        <v>VIERNES</v>
      </c>
      <c r="AC994" s="47" t="s">
        <v>2753</v>
      </c>
      <c r="AD994" t="str">
        <f t="shared" si="183"/>
        <v>CONTRATURNO</v>
      </c>
      <c r="AE994" s="47" t="s">
        <v>2754</v>
      </c>
      <c r="AH994" t="str">
        <f t="shared" si="184"/>
        <v>INSERT INTO horario_curso_materia (horario_curso_materia.FK_CUR_mat,horario_curso_materia.FK_HOR,horario_curso_materia.DIA,horario_curso_materia.tipo_turno) VALUES (  (SELECT curso_materia.ID_CUR_MAT FROM curso_materia WHERE curso_materia.CUPOF='2681854' ) ,
    (SELECT horario.ID_HOR FROM horario WHERE horario.modulo='3 ' and horario.turno='M ' ),'VIERNES ' , 'CONTRATURNO ' );</v>
      </c>
    </row>
    <row r="995" spans="1:34" ht="15" hidden="1" customHeight="1" x14ac:dyDescent="0.3">
      <c r="A995" s="1" t="str">
        <f t="shared" si="185"/>
        <v>6°2°</v>
      </c>
      <c r="B995" s="54" t="str">
        <f t="shared" si="188"/>
        <v>6°2°3VIVESPERTINO0</v>
      </c>
      <c r="C995" s="62">
        <f>VLOOKUP(G995,[1]Hoja1!$A:$O,3,0)</f>
        <v>0</v>
      </c>
      <c r="D995" s="2" t="str">
        <f t="shared" si="189"/>
        <v>3VIV</v>
      </c>
      <c r="E995" s="62" t="s">
        <v>35</v>
      </c>
      <c r="F995" s="62" t="s">
        <v>125</v>
      </c>
      <c r="G995" s="62" t="s">
        <v>456</v>
      </c>
      <c r="H995" s="8" t="str">
        <f>VLOOKUP(G995,[1]Hoja1!$A:$O,6,0)</f>
        <v>SEGURIDAD INFORMATICA</v>
      </c>
      <c r="I995" s="4"/>
      <c r="J995" s="4"/>
      <c r="K995" s="80" t="str">
        <f t="shared" si="187"/>
        <v>VI</v>
      </c>
      <c r="L995" s="4"/>
      <c r="M995" s="86" t="str">
        <f>VLOOKUP(G995,[1]Hoja1!$A:$O,15,0)</f>
        <v>PALAVECINO</v>
      </c>
      <c r="N995" s="2" t="str">
        <f t="shared" si="186"/>
        <v>6°2°6ISEINVI</v>
      </c>
      <c r="O995" s="2"/>
      <c r="P995" s="2" t="str">
        <f>VLOOKUP(G995,[1]Hoja1!$A:$P,16,0)</f>
        <v xml:space="preserve"> </v>
      </c>
      <c r="Q995" s="2"/>
      <c r="S995">
        <f>VLOOKUP(G995,[1]Hoja1!$A:$O,5,0)</f>
        <v>2681838</v>
      </c>
      <c r="U995" s="45" t="s">
        <v>2751</v>
      </c>
      <c r="V995" s="46">
        <f t="shared" si="179"/>
        <v>2681838</v>
      </c>
      <c r="W995" s="47" t="s">
        <v>1519</v>
      </c>
      <c r="X995" s="46" t="str">
        <f t="shared" si="180"/>
        <v>3</v>
      </c>
      <c r="Y995" s="47" t="s">
        <v>1518</v>
      </c>
      <c r="Z995" s="46" t="str">
        <f t="shared" si="181"/>
        <v>V</v>
      </c>
      <c r="AA995" s="47" t="s">
        <v>2752</v>
      </c>
      <c r="AB995" s="46" t="str">
        <f t="shared" si="182"/>
        <v>VIERNES</v>
      </c>
      <c r="AC995" s="47" t="s">
        <v>2753</v>
      </c>
      <c r="AD995">
        <f t="shared" si="183"/>
        <v>0</v>
      </c>
      <c r="AE995" s="47" t="s">
        <v>2754</v>
      </c>
      <c r="AH995" t="str">
        <f t="shared" si="184"/>
        <v>INSERT INTO horario_curso_materia (horario_curso_materia.FK_CUR_mat,horario_curso_materia.FK_HOR,horario_curso_materia.DIA,horario_curso_materia.tipo_turno) VALUES (  (SELECT curso_materia.ID_CUR_MAT FROM curso_materia WHERE curso_materia.CUPOF='2681838' ) ,
    (SELECT horario.ID_HOR FROM horario WHERE horario.modulo='3 ' and horario.turno='V ' ),'VIERNES ' , '0 ' );</v>
      </c>
    </row>
    <row r="996" spans="1:34" ht="15" hidden="1" customHeight="1" x14ac:dyDescent="0.3">
      <c r="A996" s="1" t="str">
        <f t="shared" si="185"/>
        <v>6°2°</v>
      </c>
      <c r="B996" s="54" t="str">
        <f t="shared" si="188"/>
        <v>6°2°4JUMAÑANA621</v>
      </c>
      <c r="C996" s="62">
        <f>VLOOKUP(G996,[1]Hoja1!$A:$O,3,0)</f>
        <v>621</v>
      </c>
      <c r="D996" s="2" t="str">
        <f t="shared" si="189"/>
        <v>4JUM40</v>
      </c>
      <c r="E996" s="62" t="s">
        <v>48</v>
      </c>
      <c r="F996" s="62" t="s">
        <v>27</v>
      </c>
      <c r="G996" s="62" t="s">
        <v>208</v>
      </c>
      <c r="H996" s="8" t="str">
        <f>VLOOKUP(G996,[1]Hoja1!$A:$O,6,0)</f>
        <v xml:space="preserve">LAB DE SIST OPERATIVOS </v>
      </c>
      <c r="I996" s="4">
        <v>40</v>
      </c>
      <c r="J996" s="4"/>
      <c r="K996" s="80" t="str">
        <f t="shared" si="187"/>
        <v>JU</v>
      </c>
      <c r="L996" s="4" t="s">
        <v>512</v>
      </c>
      <c r="M996" s="86" t="str">
        <f>VLOOKUP(G996,[1]Hoja1!$A:$O,15,0)</f>
        <v>FERREYRA JESICA</v>
      </c>
      <c r="N996" s="2" t="str">
        <f t="shared" si="186"/>
        <v>6°2°6216IFHLS6JU</v>
      </c>
      <c r="O996" s="2"/>
      <c r="P996" s="2" t="str">
        <f>VLOOKUP(G996,[1]Hoja1!$A:$P,16,0)</f>
        <v xml:space="preserve"> </v>
      </c>
      <c r="Q996" s="2"/>
      <c r="S996">
        <f>VLOOKUP(G996,[1]Hoja1!$A:$O,5,0)</f>
        <v>2681845</v>
      </c>
      <c r="U996" s="45" t="s">
        <v>2751</v>
      </c>
      <c r="V996" s="46">
        <f t="shared" si="179"/>
        <v>2681845</v>
      </c>
      <c r="W996" s="47" t="s">
        <v>1519</v>
      </c>
      <c r="X996" s="46" t="str">
        <f t="shared" si="180"/>
        <v>4</v>
      </c>
      <c r="Y996" s="47" t="s">
        <v>1518</v>
      </c>
      <c r="Z996" s="46" t="str">
        <f t="shared" si="181"/>
        <v>M</v>
      </c>
      <c r="AA996" s="47" t="s">
        <v>2752</v>
      </c>
      <c r="AB996" s="46" t="str">
        <f t="shared" si="182"/>
        <v>JUEVES</v>
      </c>
      <c r="AC996" s="47" t="s">
        <v>2753</v>
      </c>
      <c r="AD996" t="str">
        <f t="shared" si="183"/>
        <v>CONTRATURNO</v>
      </c>
      <c r="AE996" s="47" t="s">
        <v>2754</v>
      </c>
      <c r="AH996" t="str">
        <f t="shared" si="184"/>
        <v>INSERT INTO horario_curso_materia (horario_curso_materia.FK_CUR_mat,horario_curso_materia.FK_HOR,horario_curso_materia.DIA,horario_curso_materia.tipo_turno) VALUES (  (SELECT curso_materia.ID_CUR_MAT FROM curso_materia WHERE curso_materia.CUPOF='2681845' ) ,
    (SELECT horario.ID_HOR FROM horario WHERE horario.modulo='4 ' and horario.turno='M ' ),'JUEVES ' , 'CONTRATURNO ' );</v>
      </c>
    </row>
    <row r="997" spans="1:34" ht="15" hidden="1" customHeight="1" x14ac:dyDescent="0.3">
      <c r="A997" s="1" t="str">
        <f t="shared" si="185"/>
        <v>6°2°</v>
      </c>
      <c r="B997" s="54" t="str">
        <f t="shared" si="188"/>
        <v>6°2°3JUMAÑANA622</v>
      </c>
      <c r="C997" s="62">
        <f>VLOOKUP(G997,[1]Hoja1!$A:$O,3,0)</f>
        <v>622</v>
      </c>
      <c r="D997" s="2" t="str">
        <f t="shared" si="189"/>
        <v>3JUM30</v>
      </c>
      <c r="E997" s="62" t="s">
        <v>46</v>
      </c>
      <c r="F997" s="62" t="s">
        <v>27</v>
      </c>
      <c r="G997" s="62" t="s">
        <v>207</v>
      </c>
      <c r="H997" s="8" t="str">
        <f>VLOOKUP(G997,[1]Hoja1!$A:$O,6,0)</f>
        <v xml:space="preserve">LAB DE HARDWARE </v>
      </c>
      <c r="I997" s="4">
        <v>30</v>
      </c>
      <c r="J997" s="4"/>
      <c r="K997" s="80" t="str">
        <f t="shared" si="187"/>
        <v>JU</v>
      </c>
      <c r="L997" s="4" t="s">
        <v>512</v>
      </c>
      <c r="M997" s="86" t="str">
        <f>VLOOKUP(G997,[1]Hoja1!$A:$O,15,0)</f>
        <v>MONTENEGRO</v>
      </c>
      <c r="N997" s="2" t="str">
        <f t="shared" si="186"/>
        <v>6°2°6226IFTLH6JU</v>
      </c>
      <c r="O997" s="2"/>
      <c r="P997" s="2" t="str">
        <f>VLOOKUP(G997,[1]Hoja1!$A:$P,16,0)</f>
        <v xml:space="preserve"> </v>
      </c>
      <c r="Q997" s="2"/>
      <c r="S997">
        <f>VLOOKUP(G997,[1]Hoja1!$A:$O,5,0)</f>
        <v>2681860</v>
      </c>
      <c r="U997" s="45" t="s">
        <v>2751</v>
      </c>
      <c r="V997" s="46">
        <f t="shared" si="179"/>
        <v>2681860</v>
      </c>
      <c r="W997" s="47" t="s">
        <v>1519</v>
      </c>
      <c r="X997" s="46" t="str">
        <f t="shared" si="180"/>
        <v>3</v>
      </c>
      <c r="Y997" s="47" t="s">
        <v>1518</v>
      </c>
      <c r="Z997" s="46" t="str">
        <f t="shared" si="181"/>
        <v>M</v>
      </c>
      <c r="AA997" s="47" t="s">
        <v>2752</v>
      </c>
      <c r="AB997" s="46" t="str">
        <f t="shared" si="182"/>
        <v>JUEVES</v>
      </c>
      <c r="AC997" s="47" t="s">
        <v>2753</v>
      </c>
      <c r="AD997" t="str">
        <f t="shared" si="183"/>
        <v>CONTRATURNO</v>
      </c>
      <c r="AE997" s="47" t="s">
        <v>2754</v>
      </c>
      <c r="AH997" t="str">
        <f t="shared" si="184"/>
        <v>INSERT INTO horario_curso_materia (horario_curso_materia.FK_CUR_mat,horario_curso_materia.FK_HOR,horario_curso_materia.DIA,horario_curso_materia.tipo_turno) VALUES (  (SELECT curso_materia.ID_CUR_MAT FROM curso_materia WHERE curso_materia.CUPOF='2681860' ) ,
    (SELECT horario.ID_HOR FROM horario WHERE horario.modulo='3 ' and horario.turno='M ' ),'JUEVES ' , 'CONTRATURNO ' );</v>
      </c>
    </row>
    <row r="998" spans="1:34" ht="15" hidden="1" customHeight="1" x14ac:dyDescent="0.3">
      <c r="A998" s="1" t="str">
        <f t="shared" si="185"/>
        <v>6°2°</v>
      </c>
      <c r="B998" s="54" t="str">
        <f t="shared" si="188"/>
        <v>6°2°4JUVESPERTINO0</v>
      </c>
      <c r="C998" s="62">
        <f>VLOOKUP(G998,[1]Hoja1!$A:$O,3,0)</f>
        <v>0</v>
      </c>
      <c r="D998" s="2" t="str">
        <f t="shared" si="189"/>
        <v>4JUV</v>
      </c>
      <c r="E998" s="62" t="s">
        <v>48</v>
      </c>
      <c r="F998" s="62" t="s">
        <v>125</v>
      </c>
      <c r="G998" s="62" t="s">
        <v>453</v>
      </c>
      <c r="H998" s="8" t="str">
        <f>VLOOKUP(G998,[1]Hoja1!$A:$O,6,0)</f>
        <v>SISTEMA DIGITAL</v>
      </c>
      <c r="I998" s="4"/>
      <c r="J998" s="4"/>
      <c r="K998" s="80" t="str">
        <f t="shared" si="187"/>
        <v>JU</v>
      </c>
      <c r="L998" s="4"/>
      <c r="M998" s="86" t="str">
        <f>VLOOKUP(G998,[1]Hoja1!$A:$O,15,0)</f>
        <v>MONTES IVAN</v>
      </c>
      <c r="N998" s="2" t="str">
        <f t="shared" si="186"/>
        <v>6°2°6ISIDI6JU</v>
      </c>
      <c r="O998" s="2" t="s">
        <v>1497</v>
      </c>
      <c r="P998" s="2" t="str">
        <f>VLOOKUP(G998,[1]Hoja1!$A:$P,16,0)</f>
        <v xml:space="preserve"> </v>
      </c>
      <c r="Q998" s="2"/>
      <c r="S998">
        <f>VLOOKUP(G998,[1]Hoja1!$A:$O,5,0)</f>
        <v>2681834</v>
      </c>
      <c r="U998" s="45" t="s">
        <v>2751</v>
      </c>
      <c r="V998" s="46">
        <f t="shared" si="179"/>
        <v>2681834</v>
      </c>
      <c r="W998" s="47" t="s">
        <v>1519</v>
      </c>
      <c r="X998" s="46" t="str">
        <f t="shared" si="180"/>
        <v>4</v>
      </c>
      <c r="Y998" s="47" t="s">
        <v>1518</v>
      </c>
      <c r="Z998" s="46" t="str">
        <f t="shared" si="181"/>
        <v>V</v>
      </c>
      <c r="AA998" s="47" t="s">
        <v>2752</v>
      </c>
      <c r="AB998" s="46" t="str">
        <f t="shared" si="182"/>
        <v>JUEVES</v>
      </c>
      <c r="AC998" s="47" t="s">
        <v>2753</v>
      </c>
      <c r="AD998">
        <f t="shared" si="183"/>
        <v>0</v>
      </c>
      <c r="AE998" s="47" t="s">
        <v>2754</v>
      </c>
      <c r="AH998" t="str">
        <f t="shared" si="184"/>
        <v>INSERT INTO horario_curso_materia (horario_curso_materia.FK_CUR_mat,horario_curso_materia.FK_HOR,horario_curso_materia.DIA,horario_curso_materia.tipo_turno) VALUES (  (SELECT curso_materia.ID_CUR_MAT FROM curso_materia WHERE curso_materia.CUPOF='2681834' ) ,
    (SELECT horario.ID_HOR FROM horario WHERE horario.modulo='4 ' and horario.turno='V ' ),'JUEVES ' , '0 ' );</v>
      </c>
    </row>
    <row r="999" spans="1:34" ht="15" hidden="1" customHeight="1" x14ac:dyDescent="0.3">
      <c r="A999" s="1" t="str">
        <f t="shared" si="185"/>
        <v>6°2°</v>
      </c>
      <c r="B999" s="54" t="str">
        <f t="shared" si="188"/>
        <v>6°2°4JUMAÑANA622</v>
      </c>
      <c r="C999" s="62">
        <f>VLOOKUP(G999,[1]Hoja1!$A:$O,3,0)</f>
        <v>622</v>
      </c>
      <c r="D999" s="2" t="str">
        <f t="shared" si="189"/>
        <v>4JUM30</v>
      </c>
      <c r="E999" s="62" t="s">
        <v>48</v>
      </c>
      <c r="F999" s="62" t="s">
        <v>27</v>
      </c>
      <c r="G999" s="62" t="s">
        <v>207</v>
      </c>
      <c r="H999" s="8" t="str">
        <f>VLOOKUP(G999,[1]Hoja1!$A:$O,6,0)</f>
        <v xml:space="preserve">LAB DE HARDWARE </v>
      </c>
      <c r="I999" s="4">
        <v>30</v>
      </c>
      <c r="J999" s="4"/>
      <c r="K999" s="80" t="str">
        <f t="shared" si="187"/>
        <v>JU</v>
      </c>
      <c r="L999" s="4" t="s">
        <v>512</v>
      </c>
      <c r="M999" s="86" t="str">
        <f>VLOOKUP(G999,[1]Hoja1!$A:$O,15,0)</f>
        <v>MONTENEGRO</v>
      </c>
      <c r="N999" s="2" t="str">
        <f t="shared" si="186"/>
        <v>6°2°6226IFTLH6JU</v>
      </c>
      <c r="O999" s="2"/>
      <c r="P999" s="2" t="str">
        <f>VLOOKUP(G999,[1]Hoja1!$A:$P,16,0)</f>
        <v xml:space="preserve"> </v>
      </c>
      <c r="Q999" s="2"/>
      <c r="S999">
        <f>VLOOKUP(G999,[1]Hoja1!$A:$O,5,0)</f>
        <v>2681860</v>
      </c>
      <c r="U999" s="45" t="s">
        <v>2751</v>
      </c>
      <c r="V999" s="46">
        <f t="shared" si="179"/>
        <v>2681860</v>
      </c>
      <c r="W999" s="47" t="s">
        <v>1519</v>
      </c>
      <c r="X999" s="46" t="str">
        <f t="shared" si="180"/>
        <v>4</v>
      </c>
      <c r="Y999" s="47" t="s">
        <v>1518</v>
      </c>
      <c r="Z999" s="46" t="str">
        <f t="shared" si="181"/>
        <v>M</v>
      </c>
      <c r="AA999" s="47" t="s">
        <v>2752</v>
      </c>
      <c r="AB999" s="46" t="str">
        <f t="shared" si="182"/>
        <v>JUEVES</v>
      </c>
      <c r="AC999" s="47" t="s">
        <v>2753</v>
      </c>
      <c r="AD999" t="str">
        <f t="shared" si="183"/>
        <v>CONTRATURNO</v>
      </c>
      <c r="AE999" s="47" t="s">
        <v>2754</v>
      </c>
      <c r="AH999" t="str">
        <f t="shared" si="184"/>
        <v>INSERT INTO horario_curso_materia (horario_curso_materia.FK_CUR_mat,horario_curso_materia.FK_HOR,horario_curso_materia.DIA,horario_curso_materia.tipo_turno) VALUES (  (SELECT curso_materia.ID_CUR_MAT FROM curso_materia WHERE curso_materia.CUPOF='2681860' ) ,
    (SELECT horario.ID_HOR FROM horario WHERE horario.modulo='4 ' and horario.turno='M ' ),'JUEVES ' , 'CONTRATURNO ' );</v>
      </c>
    </row>
    <row r="1000" spans="1:34" ht="15" hidden="1" customHeight="1" x14ac:dyDescent="0.3">
      <c r="A1000" s="1" t="str">
        <f t="shared" ref="A1000:A1007" si="190">LEFT(B1000,4)</f>
        <v>6°2°</v>
      </c>
      <c r="B1000" s="54" t="str">
        <f t="shared" si="188"/>
        <v>6°2°4LUVESPERTINO0</v>
      </c>
      <c r="C1000" s="62">
        <f>VLOOKUP(G1000,[1]Hoja1!$A:$O,3,0)</f>
        <v>0</v>
      </c>
      <c r="D1000" s="2" t="str">
        <f t="shared" ref="D1000:D1052" si="191">CONCATENATE(E1000,LEFT(F1000,1),I1000)</f>
        <v>4LUV</v>
      </c>
      <c r="E1000" s="62" t="s">
        <v>31</v>
      </c>
      <c r="F1000" s="62" t="s">
        <v>125</v>
      </c>
      <c r="G1000" s="62" t="s">
        <v>450</v>
      </c>
      <c r="H1000" s="8" t="str">
        <f>VLOOKUP(G1000,[1]Hoja1!$A:$O,6,0)</f>
        <v>DERECHO DE TRABAJO</v>
      </c>
      <c r="I1000" s="4"/>
      <c r="J1000" s="4"/>
      <c r="K1000" s="80" t="str">
        <f t="shared" ref="K1000:K1018" si="192">RIGHT(E1000,2)</f>
        <v>LU</v>
      </c>
      <c r="L1000" s="4"/>
      <c r="M1000" s="86" t="str">
        <f>VLOOKUP(G1000,[1]Hoja1!$A:$O,15,0)</f>
        <v xml:space="preserve">PEREYRA LORENA   </v>
      </c>
      <c r="N1000" s="2" t="str">
        <f t="shared" ref="N1000:N1007" si="193">CONCATENATE(G1000,LEFT(K1000,2))</f>
        <v>6°2°6IDETRALU</v>
      </c>
      <c r="O1000" s="2"/>
      <c r="P1000" s="2" t="str">
        <f>VLOOKUP(G1000,[1]Hoja1!$A:$P,16,0)</f>
        <v xml:space="preserve"> </v>
      </c>
      <c r="Q1000" s="2"/>
      <c r="S1000">
        <f>VLOOKUP(G1000,[1]Hoja1!$A:$O,5,0)</f>
        <v>2681840</v>
      </c>
      <c r="U1000" s="45" t="s">
        <v>2751</v>
      </c>
      <c r="V1000" s="46">
        <f t="shared" ref="V1000:V1004" si="194">S1000</f>
        <v>2681840</v>
      </c>
      <c r="W1000" s="47" t="s">
        <v>1519</v>
      </c>
      <c r="X1000" s="46" t="str">
        <f t="shared" ref="X1000:X1004" si="195">IF(LEFT(E1000,1)="p","prehora",LEFT(E1000,1))</f>
        <v>4</v>
      </c>
      <c r="Y1000" s="47" t="s">
        <v>1518</v>
      </c>
      <c r="Z1000" s="46" t="str">
        <f t="shared" ref="Z1000:Z1004" si="196">LEFT(F1000,1)</f>
        <v>V</v>
      </c>
      <c r="AA1000" s="47" t="s">
        <v>2752</v>
      </c>
      <c r="AB1000" s="46" t="str">
        <f t="shared" ref="AB1000:AB1004" si="197">IF(IF(LEFT(E1000,1)="p",MID(E1000,8,2),MID(E1000,2,2))="lu","LUNES",IF(IF(LEFT(E1000,1)="p",MID(E1000,8,2),MID(E1000,2,2))="ma","MARTES",IF(IF(LEFT(E1000,1)="p",MID(E1000,8,2),MID(E1000,2,2))="MI","MIERCOLES",IF(IF(LEFT(E1000,1)="p",MID(E1000,8,2),MID(E1000,2,2))="JU","JUEVES",IF(IF(LEFT(E1000,1)="p",MID(E1000,8,2),MID(E1000,2,2))="vi","VIERNES","")))))</f>
        <v>LUNES</v>
      </c>
      <c r="AC1000" s="47" t="s">
        <v>2753</v>
      </c>
      <c r="AD1000">
        <f t="shared" ref="AD1000:AD1004" si="198">L1000</f>
        <v>0</v>
      </c>
      <c r="AE1000" s="47" t="s">
        <v>2754</v>
      </c>
      <c r="AH1000" t="str">
        <f t="shared" ref="AH1000:AH1004" si="199">U1000&amp;V1000&amp;W1000&amp;X1000&amp;Y1000&amp;Z1000&amp;AA1000&amp;AB1000&amp;AC1000&amp;AD1000&amp;AE1000</f>
        <v>INSERT INTO horario_curso_materia (horario_curso_materia.FK_CUR_mat,horario_curso_materia.FK_HOR,horario_curso_materia.DIA,horario_curso_materia.tipo_turno) VALUES (  (SELECT curso_materia.ID_CUR_MAT FROM curso_materia WHERE curso_materia.CUPOF='2681840' ) ,
    (SELECT horario.ID_HOR FROM horario WHERE horario.modulo='4 ' and horario.turno='V ' ),'LUNES ' , '0 ' );</v>
      </c>
    </row>
    <row r="1001" spans="1:34" ht="15" hidden="1" customHeight="1" x14ac:dyDescent="0.3">
      <c r="A1001" s="1" t="str">
        <f t="shared" si="190"/>
        <v>6°2°</v>
      </c>
      <c r="B1001" s="54" t="str">
        <f t="shared" si="188"/>
        <v>6°2°4MAMAÑANA622</v>
      </c>
      <c r="C1001" s="62">
        <v>622</v>
      </c>
      <c r="D1001" s="2" t="str">
        <f t="shared" si="191"/>
        <v>4MAM30</v>
      </c>
      <c r="E1001" s="62" t="s">
        <v>16</v>
      </c>
      <c r="F1001" s="62" t="s">
        <v>27</v>
      </c>
      <c r="G1001" s="62" t="s">
        <v>210</v>
      </c>
      <c r="H1001" s="8" t="str">
        <f>VLOOKUP(G1001,[1]Hoja1!$A:$O,6,0)</f>
        <v xml:space="preserve">LAB DE PROGRAM </v>
      </c>
      <c r="I1001" s="4">
        <v>30</v>
      </c>
      <c r="J1001" s="4"/>
      <c r="K1001" s="80" t="str">
        <f t="shared" si="192"/>
        <v>MA</v>
      </c>
      <c r="L1001" s="4" t="s">
        <v>512</v>
      </c>
      <c r="M1001" s="86" t="str">
        <f>VLOOKUP(G1001,[1]Hoja1!$A:$O,15,0)</f>
        <v>WITT GERARDO</v>
      </c>
      <c r="N1001" s="2" t="str">
        <f t="shared" si="193"/>
        <v>6°2°6216IFTLP6MA</v>
      </c>
      <c r="O1001" s="2"/>
      <c r="P1001" s="2" t="str">
        <f>VLOOKUP(G1001,[1]Hoja1!$A:$P,16,0)</f>
        <v xml:space="preserve"> </v>
      </c>
      <c r="Q1001" s="2"/>
      <c r="S1001">
        <f>VLOOKUP(G1001,[1]Hoja1!$A:$O,5,0)</f>
        <v>2681841</v>
      </c>
      <c r="U1001" s="45" t="s">
        <v>2751</v>
      </c>
      <c r="V1001" s="46">
        <f t="shared" si="194"/>
        <v>2681841</v>
      </c>
      <c r="W1001" s="47" t="s">
        <v>1519</v>
      </c>
      <c r="X1001" s="46" t="str">
        <f t="shared" si="195"/>
        <v>4</v>
      </c>
      <c r="Y1001" s="47" t="s">
        <v>1518</v>
      </c>
      <c r="Z1001" s="46" t="str">
        <f t="shared" si="196"/>
        <v>M</v>
      </c>
      <c r="AA1001" s="47" t="s">
        <v>2752</v>
      </c>
      <c r="AB1001" s="46" t="str">
        <f t="shared" si="197"/>
        <v>MARTES</v>
      </c>
      <c r="AC1001" s="47" t="s">
        <v>2753</v>
      </c>
      <c r="AD1001" t="str">
        <f t="shared" si="198"/>
        <v>CONTRATURNO</v>
      </c>
      <c r="AE1001" s="47" t="s">
        <v>2754</v>
      </c>
      <c r="AH1001" t="str">
        <f t="shared" si="199"/>
        <v>INSERT INTO horario_curso_materia (horario_curso_materia.FK_CUR_mat,horario_curso_materia.FK_HOR,horario_curso_materia.DIA,horario_curso_materia.tipo_turno) VALUES (  (SELECT curso_materia.ID_CUR_MAT FROM curso_materia WHERE curso_materia.CUPOF='2681841' ) ,
    (SELECT horario.ID_HOR FROM horario WHERE horario.modulo='4 ' and horario.turno='M ' ),'MARTES ' , 'CONTRATURNO ' );</v>
      </c>
    </row>
    <row r="1002" spans="1:34" ht="15" hidden="1" customHeight="1" x14ac:dyDescent="0.3">
      <c r="A1002" s="1" t="str">
        <f t="shared" si="190"/>
        <v>6°2°</v>
      </c>
      <c r="B1002" s="54" t="str">
        <f t="shared" si="188"/>
        <v>6°2°4MAVESPERTINO0</v>
      </c>
      <c r="C1002" s="62">
        <f>VLOOKUP(G1002,[1]Hoja1!$A:$O,3,0)</f>
        <v>0</v>
      </c>
      <c r="D1002" s="2" t="str">
        <f t="shared" si="191"/>
        <v>4MAV</v>
      </c>
      <c r="E1002" s="62" t="s">
        <v>16</v>
      </c>
      <c r="F1002" s="62" t="s">
        <v>125</v>
      </c>
      <c r="G1002" s="62" t="s">
        <v>452</v>
      </c>
      <c r="H1002" s="8" t="str">
        <f>VLOOKUP(G1002,[1]Hoja1!$A:$O,6,0)</f>
        <v>INGLÉS</v>
      </c>
      <c r="I1002" s="4"/>
      <c r="J1002" s="4"/>
      <c r="K1002" s="80" t="str">
        <f t="shared" si="192"/>
        <v>MA</v>
      </c>
      <c r="L1002" s="4"/>
      <c r="M1002" s="86" t="str">
        <f>VLOOKUP(G1002,[1]Hoja1!$A:$O,15,0)</f>
        <v>MARTINS RUTH MARIA DEL ROS</v>
      </c>
      <c r="N1002" s="2" t="str">
        <f t="shared" si="193"/>
        <v>6°2°6IINGSMA</v>
      </c>
      <c r="O1002" s="2"/>
      <c r="P1002" s="2" t="str">
        <f>VLOOKUP(G1002,[1]Hoja1!$A:$P,16,0)</f>
        <v xml:space="preserve"> </v>
      </c>
      <c r="Q1002" s="2"/>
      <c r="S1002">
        <f>VLOOKUP(G1002,[1]Hoja1!$A:$O,5,0)</f>
        <v>2681822</v>
      </c>
      <c r="U1002" s="45" t="s">
        <v>2751</v>
      </c>
      <c r="V1002" s="46">
        <f t="shared" si="194"/>
        <v>2681822</v>
      </c>
      <c r="W1002" s="47" t="s">
        <v>1519</v>
      </c>
      <c r="X1002" s="46" t="str">
        <f t="shared" si="195"/>
        <v>4</v>
      </c>
      <c r="Y1002" s="47" t="s">
        <v>1518</v>
      </c>
      <c r="Z1002" s="46" t="str">
        <f t="shared" si="196"/>
        <v>V</v>
      </c>
      <c r="AA1002" s="47" t="s">
        <v>2752</v>
      </c>
      <c r="AB1002" s="46" t="str">
        <f t="shared" si="197"/>
        <v>MARTES</v>
      </c>
      <c r="AC1002" s="47" t="s">
        <v>2753</v>
      </c>
      <c r="AD1002">
        <f t="shared" si="198"/>
        <v>0</v>
      </c>
      <c r="AE1002" s="47" t="s">
        <v>2754</v>
      </c>
      <c r="AH1002" t="str">
        <f t="shared" si="199"/>
        <v>INSERT INTO horario_curso_materia (horario_curso_materia.FK_CUR_mat,horario_curso_materia.FK_HOR,horario_curso_materia.DIA,horario_curso_materia.tipo_turno) VALUES (  (SELECT curso_materia.ID_CUR_MAT FROM curso_materia WHERE curso_materia.CUPOF='2681822' ) ,
    (SELECT horario.ID_HOR FROM horario WHERE horario.modulo='4 ' and horario.turno='V ' ),'MARTES ' , '0 ' );</v>
      </c>
    </row>
    <row r="1003" spans="1:34" ht="15" hidden="1" customHeight="1" x14ac:dyDescent="0.3">
      <c r="A1003" s="1" t="str">
        <f t="shared" si="190"/>
        <v>6°2°</v>
      </c>
      <c r="B1003" s="54" t="str">
        <f t="shared" si="188"/>
        <v>6°2°4MIMAÑANA622</v>
      </c>
      <c r="C1003" s="62">
        <f>VLOOKUP(G1003,[1]Hoja1!$A:$O,3,0)</f>
        <v>622</v>
      </c>
      <c r="D1003" s="2" t="str">
        <f t="shared" si="191"/>
        <v>4MIM41</v>
      </c>
      <c r="E1003" s="62" t="s">
        <v>52</v>
      </c>
      <c r="F1003" s="62" t="s">
        <v>27</v>
      </c>
      <c r="G1003" s="62" t="s">
        <v>209</v>
      </c>
      <c r="H1003" s="8" t="str">
        <f>VLOOKUP(G1003,[1]Hoja1!$A:$O,6,0)</f>
        <v xml:space="preserve">LAB DE SIST OPERATIVOS </v>
      </c>
      <c r="I1003" s="4">
        <v>41</v>
      </c>
      <c r="J1003" s="4"/>
      <c r="K1003" s="80" t="str">
        <f t="shared" si="192"/>
        <v>MI</v>
      </c>
      <c r="L1003" s="4" t="s">
        <v>512</v>
      </c>
      <c r="M1003" s="86" t="str">
        <f>VLOOKUP(G1003,[1]Hoja1!$A:$O,15,0)</f>
        <v xml:space="preserve">BARCENILLA, JAVIER </v>
      </c>
      <c r="N1003" s="2" t="str">
        <f t="shared" si="193"/>
        <v>6°2°6226IFHLS6MI</v>
      </c>
      <c r="O1003" s="2" t="s">
        <v>1513</v>
      </c>
      <c r="P1003" s="2" t="str">
        <f>VLOOKUP(G1003,[1]Hoja1!$A:$P,16,0)</f>
        <v xml:space="preserve"> </v>
      </c>
      <c r="Q1003" s="2"/>
      <c r="S1003">
        <f>VLOOKUP(G1003,[1]Hoja1!$A:$O,5,0)</f>
        <v>2681867</v>
      </c>
      <c r="U1003" s="45" t="s">
        <v>2751</v>
      </c>
      <c r="V1003" s="46">
        <f t="shared" si="194"/>
        <v>2681867</v>
      </c>
      <c r="W1003" s="47" t="s">
        <v>1519</v>
      </c>
      <c r="X1003" s="46" t="str">
        <f t="shared" si="195"/>
        <v>4</v>
      </c>
      <c r="Y1003" s="47" t="s">
        <v>1518</v>
      </c>
      <c r="Z1003" s="46" t="str">
        <f t="shared" si="196"/>
        <v>M</v>
      </c>
      <c r="AA1003" s="47" t="s">
        <v>2752</v>
      </c>
      <c r="AB1003" s="46" t="str">
        <f t="shared" si="197"/>
        <v>MIERCOLES</v>
      </c>
      <c r="AC1003" s="47" t="s">
        <v>2753</v>
      </c>
      <c r="AD1003" t="str">
        <f t="shared" si="198"/>
        <v>CONTRATURNO</v>
      </c>
      <c r="AE1003" s="47" t="s">
        <v>2754</v>
      </c>
      <c r="AH1003" t="str">
        <f t="shared" si="199"/>
        <v>INSERT INTO horario_curso_materia (horario_curso_materia.FK_CUR_mat,horario_curso_materia.FK_HOR,horario_curso_materia.DIA,horario_curso_materia.tipo_turno) VALUES (  (SELECT curso_materia.ID_CUR_MAT FROM curso_materia WHERE curso_materia.CUPOF='2681867' ) ,
    (SELECT horario.ID_HOR FROM horario WHERE horario.modulo='4 ' and horario.turno='M ' ),'MIERCOLES ' , 'CONTRATURNO ' );</v>
      </c>
    </row>
    <row r="1004" spans="1:34" ht="15" hidden="1" customHeight="1" x14ac:dyDescent="0.3">
      <c r="A1004" s="1" t="str">
        <f t="shared" si="190"/>
        <v>6°2°</v>
      </c>
      <c r="B1004" s="54" t="str">
        <f t="shared" si="188"/>
        <v>6°2°4MIVESPERTINO0</v>
      </c>
      <c r="C1004" s="62">
        <f>VLOOKUP(G1004,[1]Hoja1!$A:$O,3,0)</f>
        <v>0</v>
      </c>
      <c r="D1004" s="2" t="str">
        <f t="shared" si="191"/>
        <v>4MIV</v>
      </c>
      <c r="E1004" s="62" t="s">
        <v>52</v>
      </c>
      <c r="F1004" s="62" t="s">
        <v>125</v>
      </c>
      <c r="G1004" s="62" t="s">
        <v>454</v>
      </c>
      <c r="H1004" s="8" t="str">
        <f>VLOOKUP(G1004,[1]Hoja1!$A:$O,6,0)</f>
        <v>FILOSOFIA</v>
      </c>
      <c r="I1004" s="4"/>
      <c r="J1004" s="4"/>
      <c r="K1004" s="80" t="str">
        <f t="shared" si="192"/>
        <v>MI</v>
      </c>
      <c r="L1004" s="4"/>
      <c r="M1004" s="86" t="str">
        <f>VLOOKUP(G1004,[1]Hoja1!$A:$O,15,0)</f>
        <v>ESCALANTE RUTH</v>
      </c>
      <c r="N1004" s="2" t="str">
        <f t="shared" si="193"/>
        <v>6°2°6IFILOMI</v>
      </c>
      <c r="O1004" s="2"/>
      <c r="P1004" s="2" t="str">
        <f>VLOOKUP(G1004,[1]Hoja1!$A:$P,16,0)</f>
        <v xml:space="preserve"> </v>
      </c>
      <c r="Q1004" s="2"/>
      <c r="S1004">
        <f>VLOOKUP(G1004,[1]Hoja1!$A:$O,5,0)</f>
        <v>2681824</v>
      </c>
      <c r="U1004" s="45" t="s">
        <v>2751</v>
      </c>
      <c r="V1004" s="46">
        <f t="shared" si="194"/>
        <v>2681824</v>
      </c>
      <c r="W1004" s="47" t="s">
        <v>1519</v>
      </c>
      <c r="X1004" s="46" t="str">
        <f t="shared" si="195"/>
        <v>4</v>
      </c>
      <c r="Y1004" s="47" t="s">
        <v>1518</v>
      </c>
      <c r="Z1004" s="46" t="str">
        <f t="shared" si="196"/>
        <v>V</v>
      </c>
      <c r="AA1004" s="47" t="s">
        <v>2752</v>
      </c>
      <c r="AB1004" s="46" t="str">
        <f t="shared" si="197"/>
        <v>MIERCOLES</v>
      </c>
      <c r="AC1004" s="47" t="s">
        <v>2753</v>
      </c>
      <c r="AD1004">
        <f t="shared" si="198"/>
        <v>0</v>
      </c>
      <c r="AE1004" s="47" t="s">
        <v>2754</v>
      </c>
      <c r="AH1004" t="str">
        <f t="shared" si="199"/>
        <v>INSERT INTO horario_curso_materia (horario_curso_materia.FK_CUR_mat,horario_curso_materia.FK_HOR,horario_curso_materia.DIA,horario_curso_materia.tipo_turno) VALUES (  (SELECT curso_materia.ID_CUR_MAT FROM curso_materia WHERE curso_materia.CUPOF='2681824' ) ,
    (SELECT horario.ID_HOR FROM horario WHERE horario.modulo='4 ' and horario.turno='V ' ),'MIERCOLES ' , '0 ' );</v>
      </c>
    </row>
    <row r="1005" spans="1:34" ht="15" hidden="1" customHeight="1" x14ac:dyDescent="0.3">
      <c r="A1005" s="1" t="str">
        <f t="shared" si="190"/>
        <v>6°2°</v>
      </c>
      <c r="B1005" s="54" t="str">
        <f t="shared" si="188"/>
        <v>6°2°4VIMAÑANA621</v>
      </c>
      <c r="C1005" s="62">
        <f>VLOOKUP(G1005,[1]Hoja1!$A:$O,3,0)</f>
        <v>621</v>
      </c>
      <c r="D1005" s="2" t="str">
        <f t="shared" si="191"/>
        <v>4VIM41</v>
      </c>
      <c r="E1005" s="62" t="s">
        <v>36</v>
      </c>
      <c r="F1005" s="62" t="s">
        <v>27</v>
      </c>
      <c r="G1005" s="62" t="s">
        <v>203</v>
      </c>
      <c r="H1005" s="8" t="str">
        <f>VLOOKUP(G1005,[1]Hoja1!$A:$O,6,0)</f>
        <v xml:space="preserve">LAB DE APLICACIONES </v>
      </c>
      <c r="I1005" s="4">
        <v>41</v>
      </c>
      <c r="J1005" s="4"/>
      <c r="K1005" s="80" t="str">
        <f t="shared" si="192"/>
        <v>VI</v>
      </c>
      <c r="L1005" s="4" t="s">
        <v>512</v>
      </c>
      <c r="M1005" s="86" t="str">
        <f>VLOOKUP(G1005,[1]Hoja1!$A:$O,15,0)</f>
        <v>HERRERA STELLA</v>
      </c>
      <c r="N1005" s="2" t="str">
        <f t="shared" si="193"/>
        <v>6°2°6216IFTLA6VI</v>
      </c>
      <c r="O1005" s="2"/>
      <c r="P1005" s="2" t="str">
        <f>VLOOKUP(G1005,[1]Hoja1!$A:$P,16,0)</f>
        <v xml:space="preserve"> </v>
      </c>
      <c r="Q1005" s="2"/>
      <c r="S1005">
        <f>VLOOKUP(G1005,[1]Hoja1!$A:$O,5,0)</f>
        <v>2681854</v>
      </c>
      <c r="U1005" s="45" t="s">
        <v>2751</v>
      </c>
      <c r="V1005" s="46">
        <f t="shared" ref="V1005:V1068" si="200">S1005</f>
        <v>2681854</v>
      </c>
      <c r="W1005" s="47" t="s">
        <v>1519</v>
      </c>
      <c r="X1005" s="46" t="str">
        <f t="shared" ref="X1005:X1068" si="201">IF(LEFT(E1005,1)="p","prehora",LEFT(E1005,1))</f>
        <v>4</v>
      </c>
      <c r="Y1005" s="47" t="s">
        <v>1518</v>
      </c>
      <c r="Z1005" s="46" t="str">
        <f t="shared" ref="Z1005:Z1068" si="202">LEFT(F1005,1)</f>
        <v>M</v>
      </c>
      <c r="AA1005" s="47" t="s">
        <v>2752</v>
      </c>
      <c r="AB1005" s="46" t="str">
        <f t="shared" ref="AB1005:AB1068" si="203">IF(IF(LEFT(E1005,1)="p",MID(E1005,8,2),MID(E1005,2,2))="lu","LUNES",IF(IF(LEFT(E1005,1)="p",MID(E1005,8,2),MID(E1005,2,2))="ma","MARTES",IF(IF(LEFT(E1005,1)="p",MID(E1005,8,2),MID(E1005,2,2))="MI","MIERCOLES",IF(IF(LEFT(E1005,1)="p",MID(E1005,8,2),MID(E1005,2,2))="JU","JUEVES",IF(IF(LEFT(E1005,1)="p",MID(E1005,8,2),MID(E1005,2,2))="vi","VIERNES","")))))</f>
        <v>VIERNES</v>
      </c>
      <c r="AC1005" s="47" t="s">
        <v>2753</v>
      </c>
      <c r="AD1005" t="str">
        <f t="shared" ref="AD1005:AD1068" si="204">L1005</f>
        <v>CONTRATURNO</v>
      </c>
      <c r="AE1005" s="47" t="s">
        <v>2754</v>
      </c>
      <c r="AH1005" t="str">
        <f t="shared" ref="AH1005:AH1068" si="205">U1005&amp;V1005&amp;W1005&amp;X1005&amp;Y1005&amp;Z1005&amp;AA1005&amp;AB1005&amp;AC1005&amp;AD1005&amp;AE1005</f>
        <v>INSERT INTO horario_curso_materia (horario_curso_materia.FK_CUR_mat,horario_curso_materia.FK_HOR,horario_curso_materia.DIA,horario_curso_materia.tipo_turno) VALUES (  (SELECT curso_materia.ID_CUR_MAT FROM curso_materia WHERE curso_materia.CUPOF='2681854' ) ,
    (SELECT horario.ID_HOR FROM horario WHERE horario.modulo='4 ' and horario.turno='M ' ),'VIERNES ' , 'CONTRATURNO ' );</v>
      </c>
    </row>
    <row r="1006" spans="1:34" ht="15" hidden="1" customHeight="1" x14ac:dyDescent="0.3">
      <c r="A1006" s="1" t="str">
        <f t="shared" si="190"/>
        <v>6°2°</v>
      </c>
      <c r="B1006" s="54" t="str">
        <f t="shared" si="188"/>
        <v>6°2°4VIVESPERTINO0</v>
      </c>
      <c r="C1006" s="62">
        <f>VLOOKUP(G1006,[1]Hoja1!$A:$O,3,0)</f>
        <v>0</v>
      </c>
      <c r="D1006" s="2" t="str">
        <f t="shared" si="191"/>
        <v>4VIV</v>
      </c>
      <c r="E1006" s="62" t="s">
        <v>36</v>
      </c>
      <c r="F1006" s="62" t="s">
        <v>125</v>
      </c>
      <c r="G1006" s="62" t="s">
        <v>456</v>
      </c>
      <c r="H1006" s="8" t="str">
        <f>VLOOKUP(G1006,[1]Hoja1!$A:$O,6,0)</f>
        <v>SEGURIDAD INFORMATICA</v>
      </c>
      <c r="I1006" s="4"/>
      <c r="J1006" s="4"/>
      <c r="K1006" s="80" t="str">
        <f t="shared" si="192"/>
        <v>VI</v>
      </c>
      <c r="L1006" s="4"/>
      <c r="M1006" s="86" t="str">
        <f>VLOOKUP(G1006,[1]Hoja1!$A:$O,15,0)</f>
        <v>PALAVECINO</v>
      </c>
      <c r="N1006" s="2" t="str">
        <f t="shared" si="193"/>
        <v>6°2°6ISEINVI</v>
      </c>
      <c r="O1006" s="2"/>
      <c r="P1006" s="2" t="str">
        <f>VLOOKUP(G1006,[1]Hoja1!$A:$P,16,0)</f>
        <v xml:space="preserve"> </v>
      </c>
      <c r="Q1006" s="2"/>
      <c r="S1006">
        <f>VLOOKUP(G1006,[1]Hoja1!$A:$O,5,0)</f>
        <v>2681838</v>
      </c>
      <c r="U1006" s="45" t="s">
        <v>2751</v>
      </c>
      <c r="V1006" s="46">
        <f t="shared" si="200"/>
        <v>2681838</v>
      </c>
      <c r="W1006" s="47" t="s">
        <v>1519</v>
      </c>
      <c r="X1006" s="46" t="str">
        <f t="shared" si="201"/>
        <v>4</v>
      </c>
      <c r="Y1006" s="47" t="s">
        <v>1518</v>
      </c>
      <c r="Z1006" s="46" t="str">
        <f t="shared" si="202"/>
        <v>V</v>
      </c>
      <c r="AA1006" s="47" t="s">
        <v>2752</v>
      </c>
      <c r="AB1006" s="46" t="str">
        <f t="shared" si="203"/>
        <v>VIERNES</v>
      </c>
      <c r="AC1006" s="47" t="s">
        <v>2753</v>
      </c>
      <c r="AD1006">
        <f t="shared" si="204"/>
        <v>0</v>
      </c>
      <c r="AE1006" s="47" t="s">
        <v>2754</v>
      </c>
      <c r="AH1006" t="str">
        <f t="shared" si="205"/>
        <v>INSERT INTO horario_curso_materia (horario_curso_materia.FK_CUR_mat,horario_curso_materia.FK_HOR,horario_curso_materia.DIA,horario_curso_materia.tipo_turno) VALUES (  (SELECT curso_materia.ID_CUR_MAT FROM curso_materia WHERE curso_materia.CUPOF='2681838' ) ,
    (SELECT horario.ID_HOR FROM horario WHERE horario.modulo='4 ' and horario.turno='V ' ),'VIERNES ' , '0 ' );</v>
      </c>
    </row>
    <row r="1007" spans="1:34" ht="15" hidden="1" customHeight="1" x14ac:dyDescent="0.3">
      <c r="A1007" s="1" t="str">
        <f t="shared" si="190"/>
        <v>6°2°</v>
      </c>
      <c r="B1007" s="54" t="str">
        <f t="shared" si="188"/>
        <v>6°2°prehoraviVESPERTINO0</v>
      </c>
      <c r="C1007" s="62">
        <f>VLOOKUP(G1007,[1]Hoja1!$A:$O,3,0)</f>
        <v>0</v>
      </c>
      <c r="D1007" s="2" t="str">
        <f t="shared" si="191"/>
        <v>prehoraviV</v>
      </c>
      <c r="E1007" s="62" t="s">
        <v>1441</v>
      </c>
      <c r="F1007" s="62" t="s">
        <v>125</v>
      </c>
      <c r="G1007" s="62" t="s">
        <v>457</v>
      </c>
      <c r="H1007" s="8" t="str">
        <f>VLOOKUP(G1007,[1]Hoja1!$A:$O,6,0)</f>
        <v>LITERATURA</v>
      </c>
      <c r="I1007" s="4"/>
      <c r="J1007" s="4"/>
      <c r="K1007" s="80" t="str">
        <f t="shared" si="192"/>
        <v>vi</v>
      </c>
      <c r="L1007" s="4"/>
      <c r="M1007" s="86" t="str">
        <f>VLOOKUP(G1007,[1]Hoja1!$A:$O,15,0)</f>
        <v>LOGUZZO, LORENA BEATRIZ</v>
      </c>
      <c r="N1007" s="2" t="str">
        <f t="shared" si="193"/>
        <v>6°2°6ILITSvi</v>
      </c>
      <c r="O1007" s="2"/>
      <c r="P1007" s="2" t="str">
        <f>VLOOKUP(G1007,[1]Hoja1!$A:$P,16,0)</f>
        <v xml:space="preserve"> </v>
      </c>
      <c r="Q1007" s="2"/>
      <c r="S1007">
        <f>VLOOKUP(G1007,[1]Hoja1!$A:$O,5,0)</f>
        <v>2681816</v>
      </c>
      <c r="U1007" s="45" t="s">
        <v>2751</v>
      </c>
      <c r="V1007" s="46">
        <f t="shared" si="200"/>
        <v>2681816</v>
      </c>
      <c r="W1007" s="47" t="s">
        <v>1519</v>
      </c>
      <c r="X1007" s="46" t="str">
        <f t="shared" si="201"/>
        <v>prehora</v>
      </c>
      <c r="Y1007" s="47" t="s">
        <v>1518</v>
      </c>
      <c r="Z1007" s="46" t="str">
        <f t="shared" si="202"/>
        <v>V</v>
      </c>
      <c r="AA1007" s="47" t="s">
        <v>2752</v>
      </c>
      <c r="AB1007" s="46" t="str">
        <f t="shared" si="203"/>
        <v>VIERNES</v>
      </c>
      <c r="AC1007" s="47" t="s">
        <v>2753</v>
      </c>
      <c r="AD1007">
        <f t="shared" si="204"/>
        <v>0</v>
      </c>
      <c r="AE1007" s="47" t="s">
        <v>2754</v>
      </c>
      <c r="AH1007" t="str">
        <f t="shared" si="205"/>
        <v>INSERT INTO horario_curso_materia (horario_curso_materia.FK_CUR_mat,horario_curso_materia.FK_HOR,horario_curso_materia.DIA,horario_curso_materia.tipo_turno) VALUES (  (SELECT curso_materia.ID_CUR_MAT FROM curso_materia WHERE curso_materia.CUPOF='2681816' ) ,
    (SELECT horario.ID_HOR FROM horario WHERE horario.modulo='prehora ' and horario.turno='V ' ),'VIERNES ' , '0 ' );</v>
      </c>
    </row>
    <row r="1008" spans="1:34" ht="15" hidden="1" customHeight="1" x14ac:dyDescent="0.3">
      <c r="A1008" s="1" t="s">
        <v>1466</v>
      </c>
      <c r="B1008" s="54" t="str">
        <f t="shared" si="188"/>
        <v>6°3°1JUMAÑANA0</v>
      </c>
      <c r="C1008" s="62">
        <v>0</v>
      </c>
      <c r="D1008" s="2" t="str">
        <f t="shared" si="191"/>
        <v>1JUMAULA 3</v>
      </c>
      <c r="E1008" s="62" t="s">
        <v>43</v>
      </c>
      <c r="F1008" s="62" t="s">
        <v>27</v>
      </c>
      <c r="G1008" s="62" t="s">
        <v>1470</v>
      </c>
      <c r="H1008" s="8" t="s">
        <v>1458</v>
      </c>
      <c r="I1008" s="4" t="s">
        <v>1490</v>
      </c>
      <c r="J1008" s="4"/>
      <c r="K1008" s="80" t="str">
        <f t="shared" si="192"/>
        <v>JU</v>
      </c>
      <c r="L1008" s="4"/>
      <c r="M1008" s="86" t="str">
        <f>VLOOKUP(G1008,[1]Hoja1!$A:$O,15,0)</f>
        <v xml:space="preserve">IBARRA ALEJANDRO   </v>
      </c>
      <c r="N1008" s="2" t="str">
        <f t="shared" ref="N1008:N1071" si="206">CONCATENATE(G1008,LEFT(K1008,2))</f>
        <v>6°3°6ESIPROJU</v>
      </c>
      <c r="O1008" s="2"/>
      <c r="P1008" s="2"/>
      <c r="Q1008" s="2"/>
      <c r="S1008">
        <f>VLOOKUP(G1008,[1]Hoja1!$A:$O,5,0)</f>
        <v>2625816</v>
      </c>
      <c r="U1008" s="45" t="s">
        <v>2751</v>
      </c>
      <c r="V1008" s="46">
        <f t="shared" si="200"/>
        <v>2625816</v>
      </c>
      <c r="W1008" s="47" t="s">
        <v>1519</v>
      </c>
      <c r="X1008" s="46" t="str">
        <f t="shared" si="201"/>
        <v>1</v>
      </c>
      <c r="Y1008" s="47" t="s">
        <v>1518</v>
      </c>
      <c r="Z1008" s="46" t="str">
        <f t="shared" si="202"/>
        <v>M</v>
      </c>
      <c r="AA1008" s="47" t="s">
        <v>2752</v>
      </c>
      <c r="AB1008" s="46" t="str">
        <f t="shared" si="203"/>
        <v>JUEVES</v>
      </c>
      <c r="AC1008" s="47" t="s">
        <v>2753</v>
      </c>
      <c r="AD1008">
        <f t="shared" si="204"/>
        <v>0</v>
      </c>
      <c r="AE1008" s="47" t="s">
        <v>2754</v>
      </c>
      <c r="AH1008" t="str">
        <f t="shared" si="205"/>
        <v>INSERT INTO horario_curso_materia (horario_curso_materia.FK_CUR_mat,horario_curso_materia.FK_HOR,horario_curso_materia.DIA,horario_curso_materia.tipo_turno) VALUES (  (SELECT curso_materia.ID_CUR_MAT FROM curso_materia WHERE curso_materia.CUPOF='2625816' ) ,
    (SELECT horario.ID_HOR FROM horario WHERE horario.modulo='1 ' and horario.turno='M ' ),'JUEVES ' , '0 ' );</v>
      </c>
    </row>
    <row r="1009" spans="1:34" ht="15" hidden="1" customHeight="1" x14ac:dyDescent="0.3">
      <c r="A1009" s="1" t="s">
        <v>1466</v>
      </c>
      <c r="B1009" s="54" t="str">
        <f t="shared" si="188"/>
        <v>6°3°1JUTARDE631</v>
      </c>
      <c r="C1009" s="62">
        <v>631</v>
      </c>
      <c r="D1009" s="2" t="str">
        <f t="shared" si="191"/>
        <v>1JUTROBOTICA</v>
      </c>
      <c r="E1009" s="69" t="s">
        <v>43</v>
      </c>
      <c r="F1009" s="69" t="s">
        <v>10</v>
      </c>
      <c r="G1009" s="69" t="s">
        <v>1467</v>
      </c>
      <c r="H1009" s="60" t="s">
        <v>545</v>
      </c>
      <c r="I1009" s="4" t="s">
        <v>2759</v>
      </c>
      <c r="J1009" s="4">
        <v>40</v>
      </c>
      <c r="K1009" s="80" t="str">
        <f t="shared" si="192"/>
        <v>JU</v>
      </c>
      <c r="L1009" s="4" t="s">
        <v>512</v>
      </c>
      <c r="M1009" s="86" t="str">
        <f>VLOOKUP(G1009,[1]Hoja1!$A:$O,15,0)</f>
        <v>GUTIERREZ NICOLAS</v>
      </c>
      <c r="N1009" s="2" t="str">
        <f t="shared" si="206"/>
        <v>6°3°6316EFTMP6JU</v>
      </c>
      <c r="O1009" s="2"/>
      <c r="P1009" s="2"/>
      <c r="Q1009" s="2">
        <f>VLOOKUP(G1008,[1]Hoja1!$A:$P,16,0)</f>
        <v>0</v>
      </c>
      <c r="S1009">
        <f>VLOOKUP(G1009,[1]Hoja1!$A:$O,5,0)</f>
        <v>2625254</v>
      </c>
      <c r="U1009" s="45" t="s">
        <v>2751</v>
      </c>
      <c r="V1009" s="46">
        <f t="shared" si="200"/>
        <v>2625254</v>
      </c>
      <c r="W1009" s="47" t="s">
        <v>1519</v>
      </c>
      <c r="X1009" s="46" t="str">
        <f t="shared" si="201"/>
        <v>1</v>
      </c>
      <c r="Y1009" s="47" t="s">
        <v>1518</v>
      </c>
      <c r="Z1009" s="46" t="str">
        <f t="shared" si="202"/>
        <v>T</v>
      </c>
      <c r="AA1009" s="47" t="s">
        <v>2752</v>
      </c>
      <c r="AB1009" s="46" t="str">
        <f t="shared" si="203"/>
        <v>JUEVES</v>
      </c>
      <c r="AC1009" s="47" t="s">
        <v>2753</v>
      </c>
      <c r="AD1009" t="str">
        <f t="shared" si="204"/>
        <v>CONTRATURNO</v>
      </c>
      <c r="AE1009" s="47" t="s">
        <v>2754</v>
      </c>
      <c r="AH1009" t="str">
        <f t="shared" si="205"/>
        <v>INSERT INTO horario_curso_materia (horario_curso_materia.FK_CUR_mat,horario_curso_materia.FK_HOR,horario_curso_materia.DIA,horario_curso_materia.tipo_turno) VALUES (  (SELECT curso_materia.ID_CUR_MAT FROM curso_materia WHERE curso_materia.CUPOF='2625254' ) ,
    (SELECT horario.ID_HOR FROM horario WHERE horario.modulo='1 ' and horario.turno='T ' ),'JUEVES ' , 'CONTRATURNO ' );</v>
      </c>
    </row>
    <row r="1010" spans="1:34" ht="15" hidden="1" customHeight="1" x14ac:dyDescent="0.3">
      <c r="A1010" s="1" t="s">
        <v>1466</v>
      </c>
      <c r="B1010" s="54" t="str">
        <f t="shared" si="188"/>
        <v>6°3°1JUVESPERTINO632</v>
      </c>
      <c r="C1010" s="62">
        <v>632</v>
      </c>
      <c r="D1010" s="2" t="str">
        <f t="shared" si="191"/>
        <v>1JUVSUPERPUESTO</v>
      </c>
      <c r="E1010" s="69" t="s">
        <v>43</v>
      </c>
      <c r="F1010" s="69" t="s">
        <v>125</v>
      </c>
      <c r="G1010" s="69" t="s">
        <v>1468</v>
      </c>
      <c r="H1010" s="60" t="s">
        <v>545</v>
      </c>
      <c r="I1010" s="4" t="s">
        <v>60</v>
      </c>
      <c r="J1010" s="4"/>
      <c r="K1010" s="82" t="str">
        <f t="shared" si="192"/>
        <v>JU</v>
      </c>
      <c r="L1010" s="4" t="s">
        <v>512</v>
      </c>
      <c r="M1010" s="86" t="str">
        <f>VLOOKUP(G1010,[1]Hoja1!$A:$O,15,0)</f>
        <v>GUTIERREZ NICOLAS</v>
      </c>
      <c r="N1010" s="2" t="str">
        <f t="shared" si="206"/>
        <v>6°3°6326EFTMP6JU</v>
      </c>
      <c r="O1010" s="2" t="s">
        <v>1517</v>
      </c>
      <c r="P1010" s="2"/>
      <c r="Q1010" s="2"/>
      <c r="S1010">
        <f>VLOOKUP(G1010,[1]Hoja1!$A:$O,5,0)</f>
        <v>2625876</v>
      </c>
      <c r="U1010" s="45" t="s">
        <v>2751</v>
      </c>
      <c r="V1010" s="46">
        <f t="shared" si="200"/>
        <v>2625876</v>
      </c>
      <c r="W1010" s="47" t="s">
        <v>1519</v>
      </c>
      <c r="X1010" s="46" t="str">
        <f t="shared" si="201"/>
        <v>1</v>
      </c>
      <c r="Y1010" s="47" t="s">
        <v>1518</v>
      </c>
      <c r="Z1010" s="46" t="str">
        <f t="shared" si="202"/>
        <v>V</v>
      </c>
      <c r="AA1010" s="47" t="s">
        <v>2752</v>
      </c>
      <c r="AB1010" s="46" t="str">
        <f t="shared" si="203"/>
        <v>JUEVES</v>
      </c>
      <c r="AC1010" s="47" t="s">
        <v>2753</v>
      </c>
      <c r="AD1010" t="str">
        <f t="shared" si="204"/>
        <v>CONTRATURNO</v>
      </c>
      <c r="AE1010" s="47" t="s">
        <v>2754</v>
      </c>
      <c r="AH1010" t="str">
        <f t="shared" si="205"/>
        <v>INSERT INTO horario_curso_materia (horario_curso_materia.FK_CUR_mat,horario_curso_materia.FK_HOR,horario_curso_materia.DIA,horario_curso_materia.tipo_turno) VALUES (  (SELECT curso_materia.ID_CUR_MAT FROM curso_materia WHERE curso_materia.CUPOF='2625876' ) ,
    (SELECT horario.ID_HOR FROM horario WHERE horario.modulo='1 ' and horario.turno='V ' ),'JUEVES ' , 'CONTRATURNO ' );</v>
      </c>
    </row>
    <row r="1011" spans="1:34" ht="15" hidden="1" customHeight="1" x14ac:dyDescent="0.3">
      <c r="A1011" s="1" t="s">
        <v>1466</v>
      </c>
      <c r="B1011" s="54" t="str">
        <f t="shared" si="188"/>
        <v>6°3°1luMAÑANA0</v>
      </c>
      <c r="C1011" s="62">
        <v>0</v>
      </c>
      <c r="D1011" s="2" t="str">
        <f t="shared" si="191"/>
        <v>1luMROBOTICA</v>
      </c>
      <c r="E1011" s="62" t="s">
        <v>1444</v>
      </c>
      <c r="F1011" s="62" t="s">
        <v>27</v>
      </c>
      <c r="G1011" s="62" t="s">
        <v>1473</v>
      </c>
      <c r="H1011" s="8" t="s">
        <v>1461</v>
      </c>
      <c r="I1011" s="4" t="s">
        <v>2759</v>
      </c>
      <c r="J1011" s="4"/>
      <c r="K1011" s="80" t="str">
        <f t="shared" si="192"/>
        <v>lu</v>
      </c>
      <c r="L1011" s="4"/>
      <c r="M1011" s="86" t="str">
        <f>VLOOKUP(G1011,[1]Hoja1!$A:$O,15,0)</f>
        <v>GUTIERREZ NICOLAS</v>
      </c>
      <c r="N1011" s="2" t="str">
        <f t="shared" si="206"/>
        <v>6°3°6EINSMAlu</v>
      </c>
      <c r="O1011" s="2"/>
      <c r="P1011" s="2"/>
      <c r="Q1011" s="2"/>
      <c r="S1011">
        <f>VLOOKUP(G1011,[1]Hoja1!$A:$O,5,0)</f>
        <v>2625811</v>
      </c>
      <c r="U1011" s="45" t="s">
        <v>2751</v>
      </c>
      <c r="V1011" s="46">
        <f t="shared" si="200"/>
        <v>2625811</v>
      </c>
      <c r="W1011" s="47" t="s">
        <v>1519</v>
      </c>
      <c r="X1011" s="46" t="str">
        <f t="shared" si="201"/>
        <v>1</v>
      </c>
      <c r="Y1011" s="47" t="s">
        <v>1518</v>
      </c>
      <c r="Z1011" s="46" t="str">
        <f t="shared" si="202"/>
        <v>M</v>
      </c>
      <c r="AA1011" s="47" t="s">
        <v>2752</v>
      </c>
      <c r="AB1011" s="46" t="str">
        <f t="shared" si="203"/>
        <v>LUNES</v>
      </c>
      <c r="AC1011" s="47" t="s">
        <v>2753</v>
      </c>
      <c r="AD1011">
        <f t="shared" si="204"/>
        <v>0</v>
      </c>
      <c r="AE1011" s="47" t="s">
        <v>2754</v>
      </c>
      <c r="AH1011" t="str">
        <f t="shared" si="205"/>
        <v>INSERT INTO horario_curso_materia (horario_curso_materia.FK_CUR_mat,horario_curso_materia.FK_HOR,horario_curso_materia.DIA,horario_curso_materia.tipo_turno) VALUES (  (SELECT curso_materia.ID_CUR_MAT FROM curso_materia WHERE curso_materia.CUPOF='2625811' ) ,
    (SELECT horario.ID_HOR FROM horario WHERE horario.modulo='1 ' and horario.turno='M ' ),'LUNES ' , '0 ' );</v>
      </c>
    </row>
    <row r="1012" spans="1:34" ht="15" hidden="1" customHeight="1" x14ac:dyDescent="0.3">
      <c r="A1012" s="1" t="s">
        <v>1466</v>
      </c>
      <c r="B1012" s="54" t="str">
        <f t="shared" si="188"/>
        <v>6°3°1MAMAÑANA0</v>
      </c>
      <c r="C1012" s="62">
        <v>0</v>
      </c>
      <c r="D1012" s="2" t="str">
        <f t="shared" si="191"/>
        <v>1MAMROBOTICA</v>
      </c>
      <c r="E1012" s="62" t="s">
        <v>17</v>
      </c>
      <c r="F1012" s="62" t="s">
        <v>27</v>
      </c>
      <c r="G1012" s="62" t="s">
        <v>1473</v>
      </c>
      <c r="H1012" s="8" t="s">
        <v>1461</v>
      </c>
      <c r="I1012" s="4" t="s">
        <v>2759</v>
      </c>
      <c r="J1012" s="4"/>
      <c r="K1012" s="80" t="str">
        <f t="shared" si="192"/>
        <v>MA</v>
      </c>
      <c r="L1012" s="4"/>
      <c r="M1012" s="86" t="str">
        <f>VLOOKUP(G1012,[1]Hoja1!$A:$O,15,0)</f>
        <v>GUTIERREZ NICOLAS</v>
      </c>
      <c r="N1012" s="2" t="str">
        <f t="shared" si="206"/>
        <v>6°3°6EINSMAMA</v>
      </c>
      <c r="O1012" s="2"/>
      <c r="P1012" s="2"/>
      <c r="Q1012" s="2"/>
      <c r="S1012">
        <f>VLOOKUP(G1012,[1]Hoja1!$A:$O,5,0)</f>
        <v>2625811</v>
      </c>
      <c r="U1012" s="45" t="s">
        <v>2751</v>
      </c>
      <c r="V1012" s="46">
        <f t="shared" si="200"/>
        <v>2625811</v>
      </c>
      <c r="W1012" s="47" t="s">
        <v>1519</v>
      </c>
      <c r="X1012" s="46" t="str">
        <f t="shared" si="201"/>
        <v>1</v>
      </c>
      <c r="Y1012" s="47" t="s">
        <v>1518</v>
      </c>
      <c r="Z1012" s="46" t="str">
        <f t="shared" si="202"/>
        <v>M</v>
      </c>
      <c r="AA1012" s="47" t="s">
        <v>2752</v>
      </c>
      <c r="AB1012" s="46" t="str">
        <f t="shared" si="203"/>
        <v>MARTES</v>
      </c>
      <c r="AC1012" s="47" t="s">
        <v>2753</v>
      </c>
      <c r="AD1012">
        <f t="shared" si="204"/>
        <v>0</v>
      </c>
      <c r="AE1012" s="47" t="s">
        <v>2754</v>
      </c>
      <c r="AH1012" t="str">
        <f t="shared" si="205"/>
        <v>INSERT INTO horario_curso_materia (horario_curso_materia.FK_CUR_mat,horario_curso_materia.FK_HOR,horario_curso_materia.DIA,horario_curso_materia.tipo_turno) VALUES (  (SELECT curso_materia.ID_CUR_MAT FROM curso_materia WHERE curso_materia.CUPOF='2625811' ) ,
    (SELECT horario.ID_HOR FROM horario WHERE horario.modulo='1 ' and horario.turno='M ' ),'MARTES ' , '0 ' );</v>
      </c>
    </row>
    <row r="1013" spans="1:34" ht="14.25" hidden="1" customHeight="1" x14ac:dyDescent="0.3">
      <c r="A1013" s="1" t="s">
        <v>1466</v>
      </c>
      <c r="B1013" s="54" t="str">
        <f t="shared" si="188"/>
        <v>6°3°1MAVESPERTINO631</v>
      </c>
      <c r="C1013" s="62">
        <v>631</v>
      </c>
      <c r="D1013" s="2" t="str">
        <f t="shared" si="191"/>
        <v>1MAV52</v>
      </c>
      <c r="E1013" s="62" t="s">
        <v>17</v>
      </c>
      <c r="F1013" s="62" t="s">
        <v>125</v>
      </c>
      <c r="G1013" s="62" t="s">
        <v>1483</v>
      </c>
      <c r="H1013" s="8" t="s">
        <v>543</v>
      </c>
      <c r="I1013" s="4">
        <v>52</v>
      </c>
      <c r="J1013" s="4"/>
      <c r="K1013" s="80" t="str">
        <f t="shared" si="192"/>
        <v>MA</v>
      </c>
      <c r="L1013" s="4" t="s">
        <v>512</v>
      </c>
      <c r="M1013" s="86" t="str">
        <f>VLOOKUP(G1013,[1]Hoja1!$A:$O,15,0)</f>
        <v xml:space="preserve">FISTER (Serv.Prov) </v>
      </c>
      <c r="N1013" s="2" t="str">
        <f t="shared" si="206"/>
        <v>6°3°6316EFTED6MA</v>
      </c>
      <c r="O1013" s="2"/>
      <c r="P1013" s="2"/>
      <c r="Q1013" s="2"/>
      <c r="S1013">
        <f>VLOOKUP(G1013,[1]Hoja1!$A:$O,5,0)</f>
        <v>2625846</v>
      </c>
      <c r="U1013" s="45" t="s">
        <v>2751</v>
      </c>
      <c r="V1013" s="46">
        <f t="shared" si="200"/>
        <v>2625846</v>
      </c>
      <c r="W1013" s="47" t="s">
        <v>1519</v>
      </c>
      <c r="X1013" s="46" t="str">
        <f t="shared" si="201"/>
        <v>1</v>
      </c>
      <c r="Y1013" s="47" t="s">
        <v>1518</v>
      </c>
      <c r="Z1013" s="46" t="str">
        <f t="shared" si="202"/>
        <v>V</v>
      </c>
      <c r="AA1013" s="47" t="s">
        <v>2752</v>
      </c>
      <c r="AB1013" s="46" t="str">
        <f t="shared" si="203"/>
        <v>MARTES</v>
      </c>
      <c r="AC1013" s="47" t="s">
        <v>2753</v>
      </c>
      <c r="AD1013" t="str">
        <f t="shared" si="204"/>
        <v>CONTRATURNO</v>
      </c>
      <c r="AE1013" s="47" t="s">
        <v>2754</v>
      </c>
      <c r="AH1013" t="str">
        <f t="shared" si="205"/>
        <v>INSERT INTO horario_curso_materia (horario_curso_materia.FK_CUR_mat,horario_curso_materia.FK_HOR,horario_curso_materia.DIA,horario_curso_materia.tipo_turno) VALUES (  (SELECT curso_materia.ID_CUR_MAT FROM curso_materia WHERE curso_materia.CUPOF='2625846' ) ,
    (SELECT horario.ID_HOR FROM horario WHERE horario.modulo='1 ' and horario.turno='V ' ),'MARTES ' , 'CONTRATURNO ' );</v>
      </c>
    </row>
    <row r="1014" spans="1:34" ht="14.25" hidden="1" customHeight="1" x14ac:dyDescent="0.3">
      <c r="A1014" s="1" t="s">
        <v>1466</v>
      </c>
      <c r="B1014" s="54" t="str">
        <f t="shared" si="188"/>
        <v>6°3°1MAVESPERTINO632</v>
      </c>
      <c r="C1014" s="62">
        <v>632</v>
      </c>
      <c r="D1014" s="2" t="str">
        <f t="shared" si="191"/>
        <v>1MAV44</v>
      </c>
      <c r="E1014" s="62" t="s">
        <v>17</v>
      </c>
      <c r="F1014" s="62" t="s">
        <v>125</v>
      </c>
      <c r="G1014" s="62" t="s">
        <v>1479</v>
      </c>
      <c r="H1014" s="8" t="s">
        <v>543</v>
      </c>
      <c r="I1014" s="4">
        <v>44</v>
      </c>
      <c r="J1014" s="4"/>
      <c r="K1014" s="80" t="str">
        <f t="shared" si="192"/>
        <v>MA</v>
      </c>
      <c r="L1014" s="4" t="s">
        <v>512</v>
      </c>
      <c r="M1014" s="86" t="str">
        <f>VLOOKUP(G1014,[1]Hoja1!$A:$O,15,0)</f>
        <v>GONANO, GERMAN S</v>
      </c>
      <c r="N1014" s="2" t="str">
        <f t="shared" si="206"/>
        <v>6°3°6326EFTED6MA</v>
      </c>
      <c r="O1014" s="2"/>
      <c r="P1014" s="2"/>
      <c r="Q1014" s="2"/>
      <c r="S1014">
        <f>VLOOKUP(G1014,[1]Hoja1!$A:$O,5,0)</f>
        <v>2625874</v>
      </c>
      <c r="U1014" s="45" t="s">
        <v>2751</v>
      </c>
      <c r="V1014" s="46">
        <f t="shared" si="200"/>
        <v>2625874</v>
      </c>
      <c r="W1014" s="47" t="s">
        <v>1519</v>
      </c>
      <c r="X1014" s="46" t="str">
        <f t="shared" si="201"/>
        <v>1</v>
      </c>
      <c r="Y1014" s="47" t="s">
        <v>1518</v>
      </c>
      <c r="Z1014" s="46" t="str">
        <f t="shared" si="202"/>
        <v>V</v>
      </c>
      <c r="AA1014" s="47" t="s">
        <v>2752</v>
      </c>
      <c r="AB1014" s="46" t="str">
        <f t="shared" si="203"/>
        <v>MARTES</v>
      </c>
      <c r="AC1014" s="47" t="s">
        <v>2753</v>
      </c>
      <c r="AD1014" t="str">
        <f t="shared" si="204"/>
        <v>CONTRATURNO</v>
      </c>
      <c r="AE1014" s="47" t="s">
        <v>2754</v>
      </c>
      <c r="AH1014" t="str">
        <f t="shared" si="205"/>
        <v>INSERT INTO horario_curso_materia (horario_curso_materia.FK_CUR_mat,horario_curso_materia.FK_HOR,horario_curso_materia.DIA,horario_curso_materia.tipo_turno) VALUES (  (SELECT curso_materia.ID_CUR_MAT FROM curso_materia WHERE curso_materia.CUPOF='2625874' ) ,
    (SELECT horario.ID_HOR FROM horario WHERE horario.modulo='1 ' and horario.turno='V ' ),'MARTES ' , 'CONTRATURNO ' );</v>
      </c>
    </row>
    <row r="1015" spans="1:34" ht="15" hidden="1" customHeight="1" x14ac:dyDescent="0.3">
      <c r="A1015" s="1" t="s">
        <v>1466</v>
      </c>
      <c r="B1015" s="54" t="str">
        <f t="shared" si="188"/>
        <v>6°3°1MIMAÑANA0</v>
      </c>
      <c r="C1015" s="62">
        <v>0</v>
      </c>
      <c r="D1015" s="2" t="str">
        <f t="shared" si="191"/>
        <v>1MIMAULA 3</v>
      </c>
      <c r="E1015" s="62" t="s">
        <v>24</v>
      </c>
      <c r="F1015" s="62" t="s">
        <v>27</v>
      </c>
      <c r="G1015" s="62" t="s">
        <v>1469</v>
      </c>
      <c r="H1015" s="8" t="s">
        <v>1457</v>
      </c>
      <c r="I1015" s="4" t="s">
        <v>1490</v>
      </c>
      <c r="J1015" s="4"/>
      <c r="K1015" s="80" t="str">
        <f t="shared" si="192"/>
        <v>MI</v>
      </c>
      <c r="L1015" s="4"/>
      <c r="M1015" s="86" t="str">
        <f>VLOOKUP(G1015,[1]Hoja1!$A:$O,15,0)</f>
        <v>RAMIREZ GISELE</v>
      </c>
      <c r="N1015" s="2" t="str">
        <f t="shared" si="206"/>
        <v>6°3°6EINGSMI</v>
      </c>
      <c r="O1015" s="2"/>
      <c r="P1015" s="2"/>
      <c r="Q1015" s="2"/>
      <c r="S1015">
        <f>VLOOKUP(G1015,[1]Hoja1!$A:$O,5,0)</f>
        <v>2625763</v>
      </c>
      <c r="U1015" s="45" t="s">
        <v>2751</v>
      </c>
      <c r="V1015" s="46">
        <f t="shared" si="200"/>
        <v>2625763</v>
      </c>
      <c r="W1015" s="47" t="s">
        <v>1519</v>
      </c>
      <c r="X1015" s="46" t="str">
        <f t="shared" si="201"/>
        <v>1</v>
      </c>
      <c r="Y1015" s="47" t="s">
        <v>1518</v>
      </c>
      <c r="Z1015" s="46" t="str">
        <f t="shared" si="202"/>
        <v>M</v>
      </c>
      <c r="AA1015" s="47" t="s">
        <v>2752</v>
      </c>
      <c r="AB1015" s="46" t="str">
        <f t="shared" si="203"/>
        <v>MIERCOLES</v>
      </c>
      <c r="AC1015" s="47" t="s">
        <v>2753</v>
      </c>
      <c r="AD1015">
        <f t="shared" si="204"/>
        <v>0</v>
      </c>
      <c r="AE1015" s="47" t="s">
        <v>2754</v>
      </c>
      <c r="AH1015" t="str">
        <f t="shared" si="205"/>
        <v>INSERT INTO horario_curso_materia (horario_curso_materia.FK_CUR_mat,horario_curso_materia.FK_HOR,horario_curso_materia.DIA,horario_curso_materia.tipo_turno) VALUES (  (SELECT curso_materia.ID_CUR_MAT FROM curso_materia WHERE curso_materia.CUPOF='2625763' ) ,
    (SELECT horario.ID_HOR FROM horario WHERE horario.modulo='1 ' and horario.turno='M ' ),'MIERCOLES ' , '0 ' );</v>
      </c>
    </row>
    <row r="1016" spans="1:34" ht="15" hidden="1" customHeight="1" x14ac:dyDescent="0.3">
      <c r="A1016" s="1" t="s">
        <v>1466</v>
      </c>
      <c r="B1016" s="54" t="str">
        <f t="shared" si="188"/>
        <v>6°3°1MIVESPERTINO631</v>
      </c>
      <c r="C1016" s="62">
        <v>631</v>
      </c>
      <c r="D1016" s="2" t="str">
        <f t="shared" si="191"/>
        <v>1MIV30</v>
      </c>
      <c r="E1016" s="62" t="s">
        <v>24</v>
      </c>
      <c r="F1016" s="62" t="s">
        <v>125</v>
      </c>
      <c r="G1016" s="62" t="s">
        <v>1478</v>
      </c>
      <c r="H1016" s="8" t="s">
        <v>1464</v>
      </c>
      <c r="I1016" s="4">
        <v>30</v>
      </c>
      <c r="J1016" s="4"/>
      <c r="K1016" s="80" t="str">
        <f t="shared" si="192"/>
        <v>MI</v>
      </c>
      <c r="L1016" s="4" t="s">
        <v>512</v>
      </c>
      <c r="M1016" s="86" t="str">
        <f>VLOOKUP(G1016,[1]Hoja1!$A:$O,15,0)</f>
        <v xml:space="preserve">BARONI, ROBERTO </v>
      </c>
      <c r="N1016" s="2" t="str">
        <f t="shared" si="206"/>
        <v>6°3°6316ELENE6MI</v>
      </c>
      <c r="O1016" s="2"/>
      <c r="P1016" s="2"/>
      <c r="Q1016" s="2"/>
      <c r="S1016">
        <f>VLOOKUP(G1016,[1]Hoja1!$A:$O,5,0)</f>
        <v>2625831</v>
      </c>
      <c r="U1016" s="45" t="s">
        <v>2751</v>
      </c>
      <c r="V1016" s="46">
        <f t="shared" si="200"/>
        <v>2625831</v>
      </c>
      <c r="W1016" s="47" t="s">
        <v>1519</v>
      </c>
      <c r="X1016" s="46" t="str">
        <f t="shared" si="201"/>
        <v>1</v>
      </c>
      <c r="Y1016" s="47" t="s">
        <v>1518</v>
      </c>
      <c r="Z1016" s="46" t="str">
        <f t="shared" si="202"/>
        <v>V</v>
      </c>
      <c r="AA1016" s="47" t="s">
        <v>2752</v>
      </c>
      <c r="AB1016" s="46" t="str">
        <f t="shared" si="203"/>
        <v>MIERCOLES</v>
      </c>
      <c r="AC1016" s="47" t="s">
        <v>2753</v>
      </c>
      <c r="AD1016" t="str">
        <f t="shared" si="204"/>
        <v>CONTRATURNO</v>
      </c>
      <c r="AE1016" s="47" t="s">
        <v>2754</v>
      </c>
      <c r="AH1016" t="str">
        <f t="shared" si="205"/>
        <v>INSERT INTO horario_curso_materia (horario_curso_materia.FK_CUR_mat,horario_curso_materia.FK_HOR,horario_curso_materia.DIA,horario_curso_materia.tipo_turno) VALUES (  (SELECT curso_materia.ID_CUR_MAT FROM curso_materia WHERE curso_materia.CUPOF='2625831' ) ,
    (SELECT horario.ID_HOR FROM horario WHERE horario.modulo='1 ' and horario.turno='V ' ),'MIERCOLES ' , 'CONTRATURNO ' );</v>
      </c>
    </row>
    <row r="1017" spans="1:34" ht="15" hidden="1" customHeight="1" x14ac:dyDescent="0.3">
      <c r="A1017" s="1" t="s">
        <v>1466</v>
      </c>
      <c r="B1017" s="54" t="str">
        <f t="shared" si="188"/>
        <v>6°3°1MIVESPERTINO632</v>
      </c>
      <c r="C1017" s="62">
        <v>632</v>
      </c>
      <c r="D1017" s="2" t="str">
        <f t="shared" si="191"/>
        <v>1MIVHARDWARE</v>
      </c>
      <c r="E1017" s="62" t="s">
        <v>24</v>
      </c>
      <c r="F1017" s="62" t="s">
        <v>125</v>
      </c>
      <c r="G1017" s="62" t="s">
        <v>1484</v>
      </c>
      <c r="H1017" s="8" t="s">
        <v>1464</v>
      </c>
      <c r="I1017" s="4" t="s">
        <v>38</v>
      </c>
      <c r="J1017" s="4"/>
      <c r="K1017" s="80" t="str">
        <f t="shared" si="192"/>
        <v>MI</v>
      </c>
      <c r="L1017" s="4" t="s">
        <v>512</v>
      </c>
      <c r="M1017" s="86" t="str">
        <f>VLOOKUP(G1017,[1]Hoja1!$A:$O,15,0)</f>
        <v>HERRERA, STELLA</v>
      </c>
      <c r="N1017" s="2" t="str">
        <f t="shared" si="206"/>
        <v>6°3°6326ELENE6MI</v>
      </c>
      <c r="O1017" s="2"/>
      <c r="P1017" s="2"/>
      <c r="Q1017" s="2"/>
      <c r="S1017">
        <f>VLOOKUP(G1017,[1]Hoja1!$A:$O,5,0)</f>
        <v>2625861</v>
      </c>
      <c r="U1017" s="45" t="s">
        <v>2751</v>
      </c>
      <c r="V1017" s="46">
        <f t="shared" si="200"/>
        <v>2625861</v>
      </c>
      <c r="W1017" s="47" t="s">
        <v>1519</v>
      </c>
      <c r="X1017" s="46" t="str">
        <f t="shared" si="201"/>
        <v>1</v>
      </c>
      <c r="Y1017" s="47" t="s">
        <v>1518</v>
      </c>
      <c r="Z1017" s="46" t="str">
        <f t="shared" si="202"/>
        <v>V</v>
      </c>
      <c r="AA1017" s="47" t="s">
        <v>2752</v>
      </c>
      <c r="AB1017" s="46" t="str">
        <f t="shared" si="203"/>
        <v>MIERCOLES</v>
      </c>
      <c r="AC1017" s="47" t="s">
        <v>2753</v>
      </c>
      <c r="AD1017" t="str">
        <f t="shared" si="204"/>
        <v>CONTRATURNO</v>
      </c>
      <c r="AE1017" s="47" t="s">
        <v>2754</v>
      </c>
      <c r="AH1017" t="str">
        <f t="shared" si="205"/>
        <v>INSERT INTO horario_curso_materia (horario_curso_materia.FK_CUR_mat,horario_curso_materia.FK_HOR,horario_curso_materia.DIA,horario_curso_materia.tipo_turno) VALUES (  (SELECT curso_materia.ID_CUR_MAT FROM curso_materia WHERE curso_materia.CUPOF='2625861' ) ,
    (SELECT horario.ID_HOR FROM horario WHERE horario.modulo='1 ' and horario.turno='V ' ),'MIERCOLES ' , 'CONTRATURNO ' );</v>
      </c>
    </row>
    <row r="1018" spans="1:34" ht="15" hidden="1" customHeight="1" x14ac:dyDescent="0.3">
      <c r="A1018" s="1" t="s">
        <v>1466</v>
      </c>
      <c r="B1018" s="54" t="str">
        <f t="shared" si="188"/>
        <v>6°3°1VIMAÑANA0</v>
      </c>
      <c r="C1018" s="62">
        <v>0</v>
      </c>
      <c r="D1018" s="2" t="str">
        <f t="shared" si="191"/>
        <v>1VIMAULA 3</v>
      </c>
      <c r="E1018" s="62" t="s">
        <v>57</v>
      </c>
      <c r="F1018" s="62" t="s">
        <v>27</v>
      </c>
      <c r="G1018" s="62" t="s">
        <v>1474</v>
      </c>
      <c r="H1018" s="8" t="s">
        <v>1462</v>
      </c>
      <c r="I1018" s="4" t="s">
        <v>1490</v>
      </c>
      <c r="J1018" s="4"/>
      <c r="K1018" s="80" t="str">
        <f t="shared" si="192"/>
        <v>VI</v>
      </c>
      <c r="L1018" s="4"/>
      <c r="M1018" s="86" t="str">
        <f>VLOOKUP(G1018,[1]Hoja1!$A:$O,15,0)</f>
        <v>IRIGOYTIA PECCORELLI JULIE</v>
      </c>
      <c r="N1018" s="2" t="str">
        <f t="shared" si="206"/>
        <v>6°3°6EDETRAVI</v>
      </c>
      <c r="O1018" s="2"/>
      <c r="P1018" s="2"/>
      <c r="Q1018" s="2"/>
      <c r="S1018">
        <f>VLOOKUP(G1018,[1]Hoja1!$A:$O,5,0)</f>
        <v>2625823</v>
      </c>
      <c r="U1018" s="45" t="s">
        <v>2751</v>
      </c>
      <c r="V1018" s="46">
        <f t="shared" si="200"/>
        <v>2625823</v>
      </c>
      <c r="W1018" s="47" t="s">
        <v>1519</v>
      </c>
      <c r="X1018" s="46" t="str">
        <f t="shared" si="201"/>
        <v>1</v>
      </c>
      <c r="Y1018" s="47" t="s">
        <v>1518</v>
      </c>
      <c r="Z1018" s="46" t="str">
        <f t="shared" si="202"/>
        <v>M</v>
      </c>
      <c r="AA1018" s="47" t="s">
        <v>2752</v>
      </c>
      <c r="AB1018" s="46" t="str">
        <f t="shared" si="203"/>
        <v>VIERNES</v>
      </c>
      <c r="AC1018" s="47" t="s">
        <v>2753</v>
      </c>
      <c r="AD1018">
        <f t="shared" si="204"/>
        <v>0</v>
      </c>
      <c r="AE1018" s="47" t="s">
        <v>2754</v>
      </c>
      <c r="AH1018" t="str">
        <f t="shared" si="205"/>
        <v>INSERT INTO horario_curso_materia (horario_curso_materia.FK_CUR_mat,horario_curso_materia.FK_HOR,horario_curso_materia.DIA,horario_curso_materia.tipo_turno) VALUES (  (SELECT curso_materia.ID_CUR_MAT FROM curso_materia WHERE curso_materia.CUPOF='2625823' ) ,
    (SELECT horario.ID_HOR FROM horario WHERE horario.modulo='1 ' and horario.turno='M ' ),'VIERNES ' , '0 ' );</v>
      </c>
    </row>
    <row r="1019" spans="1:34" ht="15" hidden="1" customHeight="1" x14ac:dyDescent="0.3">
      <c r="A1019" s="1" t="s">
        <v>1466</v>
      </c>
      <c r="B1019" s="54" t="str">
        <f t="shared" si="188"/>
        <v>6°3°1VITARDE631</v>
      </c>
      <c r="C1019" s="62">
        <v>631</v>
      </c>
      <c r="D1019" s="2" t="str">
        <f t="shared" si="191"/>
        <v>1VITSUPERPUESTO</v>
      </c>
      <c r="E1019" s="62" t="s">
        <v>57</v>
      </c>
      <c r="F1019" s="62" t="s">
        <v>10</v>
      </c>
      <c r="G1019" s="62" t="s">
        <v>1482</v>
      </c>
      <c r="H1019" s="8" t="s">
        <v>1439</v>
      </c>
      <c r="I1019" s="4" t="s">
        <v>60</v>
      </c>
      <c r="J1019" s="4"/>
      <c r="K1019" s="80" t="str">
        <f t="shared" ref="K1019:K1082" si="207">RIGHT(E1019,2)</f>
        <v>VI</v>
      </c>
      <c r="L1019" s="4" t="s">
        <v>512</v>
      </c>
      <c r="M1019" s="86" t="str">
        <f>VLOOKUP(G1019,[1]Hoja1!$A:$O,15,0)</f>
        <v>GUTIERREZ NICOLAS</v>
      </c>
      <c r="N1019" s="2" t="str">
        <f t="shared" si="206"/>
        <v>6°3°6316EFTAE6VI</v>
      </c>
      <c r="O1019" s="2"/>
      <c r="P1019" s="2"/>
      <c r="Q1019" s="2"/>
      <c r="S1019">
        <f>VLOOKUP(G1019,[1]Hoja1!$A:$O,5,0)</f>
        <v>2625837</v>
      </c>
      <c r="U1019" s="45" t="s">
        <v>2751</v>
      </c>
      <c r="V1019" s="46">
        <f t="shared" si="200"/>
        <v>2625837</v>
      </c>
      <c r="W1019" s="47" t="s">
        <v>1519</v>
      </c>
      <c r="X1019" s="46" t="str">
        <f t="shared" si="201"/>
        <v>1</v>
      </c>
      <c r="Y1019" s="47" t="s">
        <v>1518</v>
      </c>
      <c r="Z1019" s="46" t="str">
        <f t="shared" si="202"/>
        <v>T</v>
      </c>
      <c r="AA1019" s="47" t="s">
        <v>2752</v>
      </c>
      <c r="AB1019" s="46" t="str">
        <f t="shared" si="203"/>
        <v>VIERNES</v>
      </c>
      <c r="AC1019" s="47" t="s">
        <v>2753</v>
      </c>
      <c r="AD1019" t="str">
        <f t="shared" si="204"/>
        <v>CONTRATURNO</v>
      </c>
      <c r="AE1019" s="47" t="s">
        <v>2754</v>
      </c>
      <c r="AH1019" t="str">
        <f t="shared" si="205"/>
        <v>INSERT INTO horario_curso_materia (horario_curso_materia.FK_CUR_mat,horario_curso_materia.FK_HOR,horario_curso_materia.DIA,horario_curso_materia.tipo_turno) VALUES (  (SELECT curso_materia.ID_CUR_MAT FROM curso_materia WHERE curso_materia.CUPOF='2625837' ) ,
    (SELECT horario.ID_HOR FROM horario WHERE horario.modulo='1 ' and horario.turno='T ' ),'VIERNES ' , 'CONTRATURNO ' );</v>
      </c>
    </row>
    <row r="1020" spans="1:34" ht="15" hidden="1" customHeight="1" x14ac:dyDescent="0.3">
      <c r="A1020" s="1" t="s">
        <v>1466</v>
      </c>
      <c r="B1020" s="54" t="str">
        <f t="shared" si="188"/>
        <v>6°3°1VITARDE632</v>
      </c>
      <c r="C1020" s="62">
        <v>632</v>
      </c>
      <c r="D1020" s="2" t="str">
        <f t="shared" si="191"/>
        <v>1VITrobotica</v>
      </c>
      <c r="E1020" s="62" t="s">
        <v>57</v>
      </c>
      <c r="F1020" s="62" t="s">
        <v>10</v>
      </c>
      <c r="G1020" s="62" t="s">
        <v>1481</v>
      </c>
      <c r="H1020" s="8" t="s">
        <v>1439</v>
      </c>
      <c r="I1020" s="4" t="s">
        <v>2757</v>
      </c>
      <c r="J1020" s="4"/>
      <c r="K1020" s="80" t="str">
        <f t="shared" si="207"/>
        <v>VI</v>
      </c>
      <c r="L1020" s="4" t="s">
        <v>512</v>
      </c>
      <c r="M1020" s="86" t="str">
        <f>VLOOKUP(G1020,[1]Hoja1!$A:$O,15,0)</f>
        <v>LOPEZ, JONATHAN</v>
      </c>
      <c r="N1020" s="2" t="str">
        <f t="shared" si="206"/>
        <v>6°3°6326EFTAE6VI</v>
      </c>
      <c r="O1020" s="2"/>
      <c r="P1020" s="2"/>
      <c r="Q1020" s="2"/>
      <c r="S1020">
        <f>VLOOKUP(G1020,[1]Hoja1!$A:$O,5,0)</f>
        <v>2625867</v>
      </c>
      <c r="U1020" s="45" t="s">
        <v>2751</v>
      </c>
      <c r="V1020" s="46">
        <f t="shared" si="200"/>
        <v>2625867</v>
      </c>
      <c r="W1020" s="47" t="s">
        <v>1519</v>
      </c>
      <c r="X1020" s="46" t="str">
        <f t="shared" si="201"/>
        <v>1</v>
      </c>
      <c r="Y1020" s="47" t="s">
        <v>1518</v>
      </c>
      <c r="Z1020" s="46" t="str">
        <f t="shared" si="202"/>
        <v>T</v>
      </c>
      <c r="AA1020" s="47" t="s">
        <v>2752</v>
      </c>
      <c r="AB1020" s="46" t="str">
        <f t="shared" si="203"/>
        <v>VIERNES</v>
      </c>
      <c r="AC1020" s="47" t="s">
        <v>2753</v>
      </c>
      <c r="AD1020" t="str">
        <f t="shared" si="204"/>
        <v>CONTRATURNO</v>
      </c>
      <c r="AE1020" s="47" t="s">
        <v>2754</v>
      </c>
      <c r="AH1020" t="str">
        <f t="shared" si="205"/>
        <v>INSERT INTO horario_curso_materia (horario_curso_materia.FK_CUR_mat,horario_curso_materia.FK_HOR,horario_curso_materia.DIA,horario_curso_materia.tipo_turno) VALUES (  (SELECT curso_materia.ID_CUR_MAT FROM curso_materia WHERE curso_materia.CUPOF='2625867' ) ,
    (SELECT horario.ID_HOR FROM horario WHERE horario.modulo='1 ' and horario.turno='T ' ),'VIERNES ' , 'CONTRATURNO ' );</v>
      </c>
    </row>
    <row r="1021" spans="1:34" ht="15" hidden="1" customHeight="1" x14ac:dyDescent="0.3">
      <c r="A1021" s="1" t="s">
        <v>1466</v>
      </c>
      <c r="B1021" s="54" t="str">
        <f t="shared" si="188"/>
        <v>6°3°2JUMAÑANA0</v>
      </c>
      <c r="C1021" s="62">
        <v>0</v>
      </c>
      <c r="D1021" s="2" t="str">
        <f t="shared" si="191"/>
        <v>2JUMAULA 3</v>
      </c>
      <c r="E1021" s="62" t="s">
        <v>45</v>
      </c>
      <c r="F1021" s="62" t="s">
        <v>27</v>
      </c>
      <c r="G1021" s="62" t="s">
        <v>1470</v>
      </c>
      <c r="H1021" s="8" t="s">
        <v>1458</v>
      </c>
      <c r="I1021" s="4" t="s">
        <v>1490</v>
      </c>
      <c r="J1021" s="4"/>
      <c r="K1021" s="80" t="str">
        <f t="shared" si="207"/>
        <v>JU</v>
      </c>
      <c r="L1021" s="4"/>
      <c r="M1021" s="86" t="str">
        <f>VLOOKUP(G1021,[1]Hoja1!$A:$O,15,0)</f>
        <v xml:space="preserve">IBARRA ALEJANDRO   </v>
      </c>
      <c r="N1021" s="2" t="str">
        <f t="shared" si="206"/>
        <v>6°3°6ESIPROJU</v>
      </c>
      <c r="O1021" s="2"/>
      <c r="P1021" s="2"/>
      <c r="Q1021" s="2"/>
      <c r="S1021">
        <f>VLOOKUP(G1021,[1]Hoja1!$A:$O,5,0)</f>
        <v>2625816</v>
      </c>
      <c r="U1021" s="45" t="s">
        <v>2751</v>
      </c>
      <c r="V1021" s="46">
        <f t="shared" si="200"/>
        <v>2625816</v>
      </c>
      <c r="W1021" s="47" t="s">
        <v>1519</v>
      </c>
      <c r="X1021" s="46" t="str">
        <f t="shared" si="201"/>
        <v>2</v>
      </c>
      <c r="Y1021" s="47" t="s">
        <v>1518</v>
      </c>
      <c r="Z1021" s="46" t="str">
        <f t="shared" si="202"/>
        <v>M</v>
      </c>
      <c r="AA1021" s="47" t="s">
        <v>2752</v>
      </c>
      <c r="AB1021" s="46" t="str">
        <f t="shared" si="203"/>
        <v>JUEVES</v>
      </c>
      <c r="AC1021" s="47" t="s">
        <v>2753</v>
      </c>
      <c r="AD1021">
        <f t="shared" si="204"/>
        <v>0</v>
      </c>
      <c r="AE1021" s="47" t="s">
        <v>2754</v>
      </c>
      <c r="AH1021" t="str">
        <f t="shared" si="205"/>
        <v>INSERT INTO horario_curso_materia (horario_curso_materia.FK_CUR_mat,horario_curso_materia.FK_HOR,horario_curso_materia.DIA,horario_curso_materia.tipo_turno) VALUES (  (SELECT curso_materia.ID_CUR_MAT FROM curso_materia WHERE curso_materia.CUPOF='2625816' ) ,
    (SELECT horario.ID_HOR FROM horario WHERE horario.modulo='2 ' and horario.turno='M ' ),'JUEVES ' , '0 ' );</v>
      </c>
    </row>
    <row r="1022" spans="1:34" ht="15" hidden="1" customHeight="1" x14ac:dyDescent="0.3">
      <c r="A1022" s="1" t="s">
        <v>1466</v>
      </c>
      <c r="B1022" s="54" t="str">
        <f t="shared" si="188"/>
        <v>6°3°2JUTARDE631</v>
      </c>
      <c r="C1022" s="62">
        <v>631</v>
      </c>
      <c r="D1022" s="2" t="str">
        <f t="shared" si="191"/>
        <v>2JUTROBOTICA</v>
      </c>
      <c r="E1022" s="69" t="s">
        <v>45</v>
      </c>
      <c r="F1022" s="69" t="s">
        <v>10</v>
      </c>
      <c r="G1022" s="69" t="s">
        <v>1467</v>
      </c>
      <c r="H1022" s="60" t="s">
        <v>545</v>
      </c>
      <c r="I1022" s="4" t="s">
        <v>2759</v>
      </c>
      <c r="J1022" s="4"/>
      <c r="K1022" s="80" t="str">
        <f t="shared" si="207"/>
        <v>JU</v>
      </c>
      <c r="L1022" s="4" t="s">
        <v>512</v>
      </c>
      <c r="M1022" s="86" t="str">
        <f>VLOOKUP(G1022,[1]Hoja1!$A:$O,15,0)</f>
        <v>GUTIERREZ NICOLAS</v>
      </c>
      <c r="N1022" s="2" t="str">
        <f t="shared" si="206"/>
        <v>6°3°6316EFTMP6JU</v>
      </c>
      <c r="O1022" s="2"/>
      <c r="P1022" s="2"/>
      <c r="Q1022" s="2"/>
      <c r="S1022">
        <f>VLOOKUP(G1022,[1]Hoja1!$A:$O,5,0)</f>
        <v>2625254</v>
      </c>
      <c r="U1022" s="45" t="s">
        <v>2751</v>
      </c>
      <c r="V1022" s="46">
        <f t="shared" si="200"/>
        <v>2625254</v>
      </c>
      <c r="W1022" s="47" t="s">
        <v>1519</v>
      </c>
      <c r="X1022" s="46" t="str">
        <f t="shared" si="201"/>
        <v>2</v>
      </c>
      <c r="Y1022" s="47" t="s">
        <v>1518</v>
      </c>
      <c r="Z1022" s="46" t="str">
        <f t="shared" si="202"/>
        <v>T</v>
      </c>
      <c r="AA1022" s="47" t="s">
        <v>2752</v>
      </c>
      <c r="AB1022" s="46" t="str">
        <f t="shared" si="203"/>
        <v>JUEVES</v>
      </c>
      <c r="AC1022" s="47" t="s">
        <v>2753</v>
      </c>
      <c r="AD1022" t="str">
        <f t="shared" si="204"/>
        <v>CONTRATURNO</v>
      </c>
      <c r="AE1022" s="47" t="s">
        <v>2754</v>
      </c>
      <c r="AH1022" t="str">
        <f t="shared" si="205"/>
        <v>INSERT INTO horario_curso_materia (horario_curso_materia.FK_CUR_mat,horario_curso_materia.FK_HOR,horario_curso_materia.DIA,horario_curso_materia.tipo_turno) VALUES (  (SELECT curso_materia.ID_CUR_MAT FROM curso_materia WHERE curso_materia.CUPOF='2625254' ) ,
    (SELECT horario.ID_HOR FROM horario WHERE horario.modulo='2 ' and horario.turno='T ' ),'JUEVES ' , 'CONTRATURNO ' );</v>
      </c>
    </row>
    <row r="1023" spans="1:34" ht="15" hidden="1" customHeight="1" x14ac:dyDescent="0.3">
      <c r="A1023" s="1" t="s">
        <v>1466</v>
      </c>
      <c r="B1023" s="54" t="str">
        <f t="shared" si="188"/>
        <v>6°3°2JUVESPERTINO632</v>
      </c>
      <c r="C1023" s="62">
        <v>632</v>
      </c>
      <c r="D1023" s="2" t="str">
        <f t="shared" si="191"/>
        <v>2JUVSUPERPUESTO</v>
      </c>
      <c r="E1023" s="69" t="s">
        <v>45</v>
      </c>
      <c r="F1023" s="69" t="s">
        <v>125</v>
      </c>
      <c r="G1023" s="69" t="s">
        <v>1468</v>
      </c>
      <c r="H1023" s="60" t="s">
        <v>545</v>
      </c>
      <c r="I1023" s="4" t="s">
        <v>60</v>
      </c>
      <c r="J1023" s="4"/>
      <c r="K1023" s="80" t="str">
        <f t="shared" si="207"/>
        <v>JU</v>
      </c>
      <c r="L1023" s="4" t="s">
        <v>512</v>
      </c>
      <c r="M1023" s="86" t="str">
        <f>VLOOKUP(G1023,[1]Hoja1!$A:$O,15,0)</f>
        <v>GUTIERREZ NICOLAS</v>
      </c>
      <c r="N1023" s="2" t="str">
        <f t="shared" si="206"/>
        <v>6°3°6326EFTMP6JU</v>
      </c>
      <c r="O1023" s="2" t="s">
        <v>1517</v>
      </c>
      <c r="P1023" s="2"/>
      <c r="Q1023" s="2"/>
      <c r="S1023">
        <f>VLOOKUP(G1023,[1]Hoja1!$A:$O,5,0)</f>
        <v>2625876</v>
      </c>
      <c r="U1023" s="45" t="s">
        <v>2751</v>
      </c>
      <c r="V1023" s="46">
        <f t="shared" si="200"/>
        <v>2625876</v>
      </c>
      <c r="W1023" s="47" t="s">
        <v>1519</v>
      </c>
      <c r="X1023" s="46" t="str">
        <f t="shared" si="201"/>
        <v>2</v>
      </c>
      <c r="Y1023" s="47" t="s">
        <v>1518</v>
      </c>
      <c r="Z1023" s="46" t="str">
        <f t="shared" si="202"/>
        <v>V</v>
      </c>
      <c r="AA1023" s="47" t="s">
        <v>2752</v>
      </c>
      <c r="AB1023" s="46" t="str">
        <f t="shared" si="203"/>
        <v>JUEVES</v>
      </c>
      <c r="AC1023" s="47" t="s">
        <v>2753</v>
      </c>
      <c r="AD1023" t="str">
        <f t="shared" si="204"/>
        <v>CONTRATURNO</v>
      </c>
      <c r="AE1023" s="47" t="s">
        <v>2754</v>
      </c>
      <c r="AH1023" t="str">
        <f t="shared" si="205"/>
        <v>INSERT INTO horario_curso_materia (horario_curso_materia.FK_CUR_mat,horario_curso_materia.FK_HOR,horario_curso_materia.DIA,horario_curso_materia.tipo_turno) VALUES (  (SELECT curso_materia.ID_CUR_MAT FROM curso_materia WHERE curso_materia.CUPOF='2625876' ) ,
    (SELECT horario.ID_HOR FROM horario WHERE horario.modulo='2 ' and horario.turno='V ' ),'JUEVES ' , 'CONTRATURNO ' );</v>
      </c>
    </row>
    <row r="1024" spans="1:34" ht="15" hidden="1" customHeight="1" x14ac:dyDescent="0.3">
      <c r="A1024" s="1" t="s">
        <v>1466</v>
      </c>
      <c r="B1024" s="54" t="str">
        <f t="shared" si="188"/>
        <v>6°3°2LUMAÑANA0</v>
      </c>
      <c r="C1024" s="62">
        <v>0</v>
      </c>
      <c r="D1024" s="2" t="str">
        <f t="shared" si="191"/>
        <v>2LUMROBOTICA</v>
      </c>
      <c r="E1024" s="62" t="s">
        <v>12</v>
      </c>
      <c r="F1024" s="62" t="s">
        <v>27</v>
      </c>
      <c r="G1024" s="62" t="s">
        <v>1473</v>
      </c>
      <c r="H1024" s="8" t="s">
        <v>1461</v>
      </c>
      <c r="I1024" s="4" t="s">
        <v>2759</v>
      </c>
      <c r="J1024" s="4"/>
      <c r="K1024" s="80" t="str">
        <f t="shared" si="207"/>
        <v>LU</v>
      </c>
      <c r="L1024" s="4"/>
      <c r="M1024" s="86" t="str">
        <f>VLOOKUP(G1024,[1]Hoja1!$A:$O,15,0)</f>
        <v>GUTIERREZ NICOLAS</v>
      </c>
      <c r="N1024" s="2" t="str">
        <f t="shared" si="206"/>
        <v>6°3°6EINSMALU</v>
      </c>
      <c r="O1024" s="2"/>
      <c r="P1024" s="2"/>
      <c r="Q1024" s="2"/>
      <c r="S1024">
        <f>VLOOKUP(G1024,[1]Hoja1!$A:$O,5,0)</f>
        <v>2625811</v>
      </c>
      <c r="U1024" s="45" t="s">
        <v>2751</v>
      </c>
      <c r="V1024" s="46">
        <f t="shared" si="200"/>
        <v>2625811</v>
      </c>
      <c r="W1024" s="47" t="s">
        <v>1519</v>
      </c>
      <c r="X1024" s="46" t="str">
        <f t="shared" si="201"/>
        <v>2</v>
      </c>
      <c r="Y1024" s="47" t="s">
        <v>1518</v>
      </c>
      <c r="Z1024" s="46" t="str">
        <f t="shared" si="202"/>
        <v>M</v>
      </c>
      <c r="AA1024" s="47" t="s">
        <v>2752</v>
      </c>
      <c r="AB1024" s="46" t="str">
        <f t="shared" si="203"/>
        <v>LUNES</v>
      </c>
      <c r="AC1024" s="47" t="s">
        <v>2753</v>
      </c>
      <c r="AD1024">
        <f t="shared" si="204"/>
        <v>0</v>
      </c>
      <c r="AE1024" s="47" t="s">
        <v>2754</v>
      </c>
      <c r="AH1024" t="str">
        <f t="shared" si="205"/>
        <v>INSERT INTO horario_curso_materia (horario_curso_materia.FK_CUR_mat,horario_curso_materia.FK_HOR,horario_curso_materia.DIA,horario_curso_materia.tipo_turno) VALUES (  (SELECT curso_materia.ID_CUR_MAT FROM curso_materia WHERE curso_materia.CUPOF='2625811' ) ,
    (SELECT horario.ID_HOR FROM horario WHERE horario.modulo='2 ' and horario.turno='M ' ),'LUNES ' , '0 ' );</v>
      </c>
    </row>
    <row r="1025" spans="1:34" ht="15" hidden="1" customHeight="1" x14ac:dyDescent="0.3">
      <c r="A1025" s="1" t="s">
        <v>1466</v>
      </c>
      <c r="B1025" s="54" t="str">
        <f t="shared" si="188"/>
        <v>6°3°2MAMAÑANA0</v>
      </c>
      <c r="C1025" s="62">
        <v>0</v>
      </c>
      <c r="D1025" s="2" t="str">
        <f t="shared" si="191"/>
        <v>2MAMROBOTICA</v>
      </c>
      <c r="E1025" s="62" t="s">
        <v>19</v>
      </c>
      <c r="F1025" s="62" t="s">
        <v>27</v>
      </c>
      <c r="G1025" s="62" t="s">
        <v>1473</v>
      </c>
      <c r="H1025" s="8" t="s">
        <v>1461</v>
      </c>
      <c r="I1025" s="4" t="s">
        <v>2759</v>
      </c>
      <c r="J1025" s="4"/>
      <c r="K1025" s="80" t="str">
        <f t="shared" si="207"/>
        <v>MA</v>
      </c>
      <c r="L1025" s="4"/>
      <c r="M1025" s="86" t="str">
        <f>VLOOKUP(G1025,[1]Hoja1!$A:$O,15,0)</f>
        <v>GUTIERREZ NICOLAS</v>
      </c>
      <c r="N1025" s="2" t="str">
        <f t="shared" si="206"/>
        <v>6°3°6EINSMAMA</v>
      </c>
      <c r="O1025" s="2"/>
      <c r="P1025" s="2"/>
      <c r="Q1025" s="2"/>
      <c r="S1025">
        <f>VLOOKUP(G1025,[1]Hoja1!$A:$O,5,0)</f>
        <v>2625811</v>
      </c>
      <c r="U1025" s="45" t="s">
        <v>2751</v>
      </c>
      <c r="V1025" s="46">
        <f t="shared" si="200"/>
        <v>2625811</v>
      </c>
      <c r="W1025" s="47" t="s">
        <v>1519</v>
      </c>
      <c r="X1025" s="46" t="str">
        <f t="shared" si="201"/>
        <v>2</v>
      </c>
      <c r="Y1025" s="47" t="s">
        <v>1518</v>
      </c>
      <c r="Z1025" s="46" t="str">
        <f t="shared" si="202"/>
        <v>M</v>
      </c>
      <c r="AA1025" s="47" t="s">
        <v>2752</v>
      </c>
      <c r="AB1025" s="46" t="str">
        <f t="shared" si="203"/>
        <v>MARTES</v>
      </c>
      <c r="AC1025" s="47" t="s">
        <v>2753</v>
      </c>
      <c r="AD1025">
        <f t="shared" si="204"/>
        <v>0</v>
      </c>
      <c r="AE1025" s="47" t="s">
        <v>2754</v>
      </c>
      <c r="AH1025" t="str">
        <f t="shared" si="205"/>
        <v>INSERT INTO horario_curso_materia (horario_curso_materia.FK_CUR_mat,horario_curso_materia.FK_HOR,horario_curso_materia.DIA,horario_curso_materia.tipo_turno) VALUES (  (SELECT curso_materia.ID_CUR_MAT FROM curso_materia WHERE curso_materia.CUPOF='2625811' ) ,
    (SELECT horario.ID_HOR FROM horario WHERE horario.modulo='2 ' and horario.turno='M ' ),'MARTES ' , '0 ' );</v>
      </c>
    </row>
    <row r="1026" spans="1:34" ht="14.25" hidden="1" customHeight="1" x14ac:dyDescent="0.3">
      <c r="A1026" s="1" t="s">
        <v>1466</v>
      </c>
      <c r="B1026" s="54" t="str">
        <f t="shared" ref="B1026:B1089" si="208">CONCATENATE(LEFT(G1026,4),E1026,F1026,C1026)</f>
        <v>6°3°2MAVESPERTINO631</v>
      </c>
      <c r="C1026" s="62">
        <v>631</v>
      </c>
      <c r="D1026" s="2" t="str">
        <f t="shared" si="191"/>
        <v>2MAV52</v>
      </c>
      <c r="E1026" s="62" t="s">
        <v>19</v>
      </c>
      <c r="F1026" s="62" t="s">
        <v>125</v>
      </c>
      <c r="G1026" s="62" t="s">
        <v>1483</v>
      </c>
      <c r="H1026" s="8" t="s">
        <v>543</v>
      </c>
      <c r="I1026" s="4">
        <v>52</v>
      </c>
      <c r="J1026" s="4"/>
      <c r="K1026" s="80" t="str">
        <f t="shared" si="207"/>
        <v>MA</v>
      </c>
      <c r="L1026" s="4" t="s">
        <v>512</v>
      </c>
      <c r="M1026" s="86" t="str">
        <f>VLOOKUP(G1026,[1]Hoja1!$A:$O,15,0)</f>
        <v xml:space="preserve">FISTER (Serv.Prov) </v>
      </c>
      <c r="N1026" s="2" t="str">
        <f t="shared" si="206"/>
        <v>6°3°6316EFTED6MA</v>
      </c>
      <c r="O1026" s="2"/>
      <c r="P1026" s="2"/>
      <c r="Q1026" s="2"/>
      <c r="S1026">
        <f>VLOOKUP(G1026,[1]Hoja1!$A:$O,5,0)</f>
        <v>2625846</v>
      </c>
      <c r="U1026" s="45" t="s">
        <v>2751</v>
      </c>
      <c r="V1026" s="46">
        <f t="shared" si="200"/>
        <v>2625846</v>
      </c>
      <c r="W1026" s="47" t="s">
        <v>1519</v>
      </c>
      <c r="X1026" s="46" t="str">
        <f t="shared" si="201"/>
        <v>2</v>
      </c>
      <c r="Y1026" s="47" t="s">
        <v>1518</v>
      </c>
      <c r="Z1026" s="46" t="str">
        <f t="shared" si="202"/>
        <v>V</v>
      </c>
      <c r="AA1026" s="47" t="s">
        <v>2752</v>
      </c>
      <c r="AB1026" s="46" t="str">
        <f t="shared" si="203"/>
        <v>MARTES</v>
      </c>
      <c r="AC1026" s="47" t="s">
        <v>2753</v>
      </c>
      <c r="AD1026" t="str">
        <f t="shared" si="204"/>
        <v>CONTRATURNO</v>
      </c>
      <c r="AE1026" s="47" t="s">
        <v>2754</v>
      </c>
      <c r="AH1026" t="str">
        <f t="shared" si="205"/>
        <v>INSERT INTO horario_curso_materia (horario_curso_materia.FK_CUR_mat,horario_curso_materia.FK_HOR,horario_curso_materia.DIA,horario_curso_materia.tipo_turno) VALUES (  (SELECT curso_materia.ID_CUR_MAT FROM curso_materia WHERE curso_materia.CUPOF='2625846' ) ,
    (SELECT horario.ID_HOR FROM horario WHERE horario.modulo='2 ' and horario.turno='V ' ),'MARTES ' , 'CONTRATURNO ' );</v>
      </c>
    </row>
    <row r="1027" spans="1:34" ht="14.25" hidden="1" customHeight="1" x14ac:dyDescent="0.3">
      <c r="A1027" s="1" t="s">
        <v>1466</v>
      </c>
      <c r="B1027" s="54" t="str">
        <f t="shared" si="208"/>
        <v>6°3°2MAVESPERTINO632</v>
      </c>
      <c r="C1027" s="62">
        <v>632</v>
      </c>
      <c r="D1027" s="2" t="str">
        <f t="shared" si="191"/>
        <v>2MAV44</v>
      </c>
      <c r="E1027" s="62" t="s">
        <v>19</v>
      </c>
      <c r="F1027" s="62" t="s">
        <v>125</v>
      </c>
      <c r="G1027" s="62" t="s">
        <v>1479</v>
      </c>
      <c r="H1027" s="8" t="s">
        <v>543</v>
      </c>
      <c r="I1027" s="4">
        <v>44</v>
      </c>
      <c r="J1027" s="4"/>
      <c r="K1027" s="80" t="str">
        <f t="shared" si="207"/>
        <v>MA</v>
      </c>
      <c r="L1027" s="4" t="s">
        <v>512</v>
      </c>
      <c r="M1027" s="86" t="str">
        <f>VLOOKUP(G1027,[1]Hoja1!$A:$O,15,0)</f>
        <v>GONANO, GERMAN S</v>
      </c>
      <c r="N1027" s="2" t="str">
        <f t="shared" si="206"/>
        <v>6°3°6326EFTED6MA</v>
      </c>
      <c r="O1027" s="2"/>
      <c r="P1027" s="2"/>
      <c r="Q1027" s="2"/>
      <c r="S1027">
        <f>VLOOKUP(G1027,[1]Hoja1!$A:$O,5,0)</f>
        <v>2625874</v>
      </c>
      <c r="U1027" s="45" t="s">
        <v>2751</v>
      </c>
      <c r="V1027" s="46">
        <f t="shared" si="200"/>
        <v>2625874</v>
      </c>
      <c r="W1027" s="47" t="s">
        <v>1519</v>
      </c>
      <c r="X1027" s="46" t="str">
        <f t="shared" si="201"/>
        <v>2</v>
      </c>
      <c r="Y1027" s="47" t="s">
        <v>1518</v>
      </c>
      <c r="Z1027" s="46" t="str">
        <f t="shared" si="202"/>
        <v>V</v>
      </c>
      <c r="AA1027" s="47" t="s">
        <v>2752</v>
      </c>
      <c r="AB1027" s="46" t="str">
        <f t="shared" si="203"/>
        <v>MARTES</v>
      </c>
      <c r="AC1027" s="47" t="s">
        <v>2753</v>
      </c>
      <c r="AD1027" t="str">
        <f t="shared" si="204"/>
        <v>CONTRATURNO</v>
      </c>
      <c r="AE1027" s="47" t="s">
        <v>2754</v>
      </c>
      <c r="AH1027" t="str">
        <f t="shared" si="205"/>
        <v>INSERT INTO horario_curso_materia (horario_curso_materia.FK_CUR_mat,horario_curso_materia.FK_HOR,horario_curso_materia.DIA,horario_curso_materia.tipo_turno) VALUES (  (SELECT curso_materia.ID_CUR_MAT FROM curso_materia WHERE curso_materia.CUPOF='2625874' ) ,
    (SELECT horario.ID_HOR FROM horario WHERE horario.modulo='2 ' and horario.turno='V ' ),'MARTES ' , 'CONTRATURNO ' );</v>
      </c>
    </row>
    <row r="1028" spans="1:34" ht="15" hidden="1" customHeight="1" x14ac:dyDescent="0.3">
      <c r="A1028" s="1" t="s">
        <v>1466</v>
      </c>
      <c r="B1028" s="54" t="str">
        <f t="shared" si="208"/>
        <v>6°3°2MIMAÑANA0</v>
      </c>
      <c r="C1028" s="62">
        <v>0</v>
      </c>
      <c r="D1028" s="2" t="str">
        <f t="shared" si="191"/>
        <v>2MIMAULA 3</v>
      </c>
      <c r="E1028" s="62" t="s">
        <v>26</v>
      </c>
      <c r="F1028" s="62" t="s">
        <v>27</v>
      </c>
      <c r="G1028" s="62" t="s">
        <v>1469</v>
      </c>
      <c r="H1028" s="8" t="s">
        <v>1457</v>
      </c>
      <c r="I1028" s="4" t="s">
        <v>1490</v>
      </c>
      <c r="J1028" s="4"/>
      <c r="K1028" s="80" t="str">
        <f t="shared" si="207"/>
        <v>MI</v>
      </c>
      <c r="L1028" s="4"/>
      <c r="M1028" s="86" t="str">
        <f>VLOOKUP(G1028,[1]Hoja1!$A:$O,15,0)</f>
        <v>RAMIREZ GISELE</v>
      </c>
      <c r="N1028" s="2" t="str">
        <f t="shared" si="206"/>
        <v>6°3°6EINGSMI</v>
      </c>
      <c r="O1028" s="2"/>
      <c r="P1028" s="2"/>
      <c r="Q1028" s="2"/>
      <c r="S1028">
        <f>VLOOKUP(G1028,[1]Hoja1!$A:$O,5,0)</f>
        <v>2625763</v>
      </c>
      <c r="U1028" s="45" t="s">
        <v>2751</v>
      </c>
      <c r="V1028" s="46">
        <f t="shared" si="200"/>
        <v>2625763</v>
      </c>
      <c r="W1028" s="47" t="s">
        <v>1519</v>
      </c>
      <c r="X1028" s="46" t="str">
        <f t="shared" si="201"/>
        <v>2</v>
      </c>
      <c r="Y1028" s="47" t="s">
        <v>1518</v>
      </c>
      <c r="Z1028" s="46" t="str">
        <f t="shared" si="202"/>
        <v>M</v>
      </c>
      <c r="AA1028" s="47" t="s">
        <v>2752</v>
      </c>
      <c r="AB1028" s="46" t="str">
        <f t="shared" si="203"/>
        <v>MIERCOLES</v>
      </c>
      <c r="AC1028" s="47" t="s">
        <v>2753</v>
      </c>
      <c r="AD1028">
        <f t="shared" si="204"/>
        <v>0</v>
      </c>
      <c r="AE1028" s="47" t="s">
        <v>2754</v>
      </c>
      <c r="AH1028" t="str">
        <f t="shared" si="205"/>
        <v>INSERT INTO horario_curso_materia (horario_curso_materia.FK_CUR_mat,horario_curso_materia.FK_HOR,horario_curso_materia.DIA,horario_curso_materia.tipo_turno) VALUES (  (SELECT curso_materia.ID_CUR_MAT FROM curso_materia WHERE curso_materia.CUPOF='2625763' ) ,
    (SELECT horario.ID_HOR FROM horario WHERE horario.modulo='2 ' and horario.turno='M ' ),'MIERCOLES ' , '0 ' );</v>
      </c>
    </row>
    <row r="1029" spans="1:34" ht="15" hidden="1" customHeight="1" x14ac:dyDescent="0.3">
      <c r="A1029" s="1" t="s">
        <v>1466</v>
      </c>
      <c r="B1029" s="54" t="str">
        <f t="shared" si="208"/>
        <v>6°3°2MIVESPERTINO631</v>
      </c>
      <c r="C1029" s="62">
        <v>631</v>
      </c>
      <c r="D1029" s="2" t="str">
        <f t="shared" si="191"/>
        <v>2MIV30</v>
      </c>
      <c r="E1029" s="62" t="s">
        <v>26</v>
      </c>
      <c r="F1029" s="62" t="s">
        <v>125</v>
      </c>
      <c r="G1029" s="62" t="s">
        <v>1478</v>
      </c>
      <c r="H1029" s="8" t="s">
        <v>1464</v>
      </c>
      <c r="I1029" s="4">
        <v>30</v>
      </c>
      <c r="J1029" s="4"/>
      <c r="K1029" s="80" t="str">
        <f t="shared" si="207"/>
        <v>MI</v>
      </c>
      <c r="L1029" s="4" t="s">
        <v>512</v>
      </c>
      <c r="M1029" s="86" t="str">
        <f>VLOOKUP(G1029,[1]Hoja1!$A:$O,15,0)</f>
        <v xml:space="preserve">BARONI, ROBERTO </v>
      </c>
      <c r="N1029" s="2" t="str">
        <f t="shared" si="206"/>
        <v>6°3°6316ELENE6MI</v>
      </c>
      <c r="O1029" s="2"/>
      <c r="P1029" s="2"/>
      <c r="Q1029" s="2"/>
      <c r="S1029">
        <f>VLOOKUP(G1029,[1]Hoja1!$A:$O,5,0)</f>
        <v>2625831</v>
      </c>
      <c r="U1029" s="45" t="s">
        <v>2751</v>
      </c>
      <c r="V1029" s="46">
        <f t="shared" si="200"/>
        <v>2625831</v>
      </c>
      <c r="W1029" s="47" t="s">
        <v>1519</v>
      </c>
      <c r="X1029" s="46" t="str">
        <f t="shared" si="201"/>
        <v>2</v>
      </c>
      <c r="Y1029" s="47" t="s">
        <v>1518</v>
      </c>
      <c r="Z1029" s="46" t="str">
        <f t="shared" si="202"/>
        <v>V</v>
      </c>
      <c r="AA1029" s="47" t="s">
        <v>2752</v>
      </c>
      <c r="AB1029" s="46" t="str">
        <f t="shared" si="203"/>
        <v>MIERCOLES</v>
      </c>
      <c r="AC1029" s="47" t="s">
        <v>2753</v>
      </c>
      <c r="AD1029" t="str">
        <f t="shared" si="204"/>
        <v>CONTRATURNO</v>
      </c>
      <c r="AE1029" s="47" t="s">
        <v>2754</v>
      </c>
      <c r="AH1029" t="str">
        <f t="shared" si="205"/>
        <v>INSERT INTO horario_curso_materia (horario_curso_materia.FK_CUR_mat,horario_curso_materia.FK_HOR,horario_curso_materia.DIA,horario_curso_materia.tipo_turno) VALUES (  (SELECT curso_materia.ID_CUR_MAT FROM curso_materia WHERE curso_materia.CUPOF='2625831' ) ,
    (SELECT horario.ID_HOR FROM horario WHERE horario.modulo='2 ' and horario.turno='V ' ),'MIERCOLES ' , 'CONTRATURNO ' );</v>
      </c>
    </row>
    <row r="1030" spans="1:34" ht="15" hidden="1" customHeight="1" x14ac:dyDescent="0.3">
      <c r="A1030" s="1" t="s">
        <v>1466</v>
      </c>
      <c r="B1030" s="54" t="str">
        <f t="shared" si="208"/>
        <v>6°3°2MIVESPERTINO632</v>
      </c>
      <c r="C1030" s="62">
        <v>632</v>
      </c>
      <c r="D1030" s="2" t="str">
        <f t="shared" si="191"/>
        <v>2MIVHARDWARE</v>
      </c>
      <c r="E1030" s="62" t="s">
        <v>26</v>
      </c>
      <c r="F1030" s="62" t="s">
        <v>125</v>
      </c>
      <c r="G1030" s="62" t="s">
        <v>1484</v>
      </c>
      <c r="H1030" s="8" t="s">
        <v>1464</v>
      </c>
      <c r="I1030" s="4" t="s">
        <v>38</v>
      </c>
      <c r="J1030" s="4"/>
      <c r="K1030" s="80" t="str">
        <f t="shared" si="207"/>
        <v>MI</v>
      </c>
      <c r="L1030" s="4" t="s">
        <v>512</v>
      </c>
      <c r="M1030" s="86" t="str">
        <f>VLOOKUP(G1030,[1]Hoja1!$A:$O,15,0)</f>
        <v>HERRERA, STELLA</v>
      </c>
      <c r="N1030" s="2" t="str">
        <f t="shared" si="206"/>
        <v>6°3°6326ELENE6MI</v>
      </c>
      <c r="O1030" s="2"/>
      <c r="P1030" s="2"/>
      <c r="Q1030" s="2"/>
      <c r="S1030">
        <f>VLOOKUP(G1030,[1]Hoja1!$A:$O,5,0)</f>
        <v>2625861</v>
      </c>
      <c r="U1030" s="45" t="s">
        <v>2751</v>
      </c>
      <c r="V1030" s="46">
        <f t="shared" si="200"/>
        <v>2625861</v>
      </c>
      <c r="W1030" s="47" t="s">
        <v>1519</v>
      </c>
      <c r="X1030" s="46" t="str">
        <f t="shared" si="201"/>
        <v>2</v>
      </c>
      <c r="Y1030" s="47" t="s">
        <v>1518</v>
      </c>
      <c r="Z1030" s="46" t="str">
        <f t="shared" si="202"/>
        <v>V</v>
      </c>
      <c r="AA1030" s="47" t="s">
        <v>2752</v>
      </c>
      <c r="AB1030" s="46" t="str">
        <f t="shared" si="203"/>
        <v>MIERCOLES</v>
      </c>
      <c r="AC1030" s="47" t="s">
        <v>2753</v>
      </c>
      <c r="AD1030" t="str">
        <f t="shared" si="204"/>
        <v>CONTRATURNO</v>
      </c>
      <c r="AE1030" s="47" t="s">
        <v>2754</v>
      </c>
      <c r="AH1030" t="str">
        <f t="shared" si="205"/>
        <v>INSERT INTO horario_curso_materia (horario_curso_materia.FK_CUR_mat,horario_curso_materia.FK_HOR,horario_curso_materia.DIA,horario_curso_materia.tipo_turno) VALUES (  (SELECT curso_materia.ID_CUR_MAT FROM curso_materia WHERE curso_materia.CUPOF='2625861' ) ,
    (SELECT horario.ID_HOR FROM horario WHERE horario.modulo='2 ' and horario.turno='V ' ),'MIERCOLES ' , 'CONTRATURNO ' );</v>
      </c>
    </row>
    <row r="1031" spans="1:34" ht="15" hidden="1" customHeight="1" x14ac:dyDescent="0.3">
      <c r="A1031" s="1" t="s">
        <v>1466</v>
      </c>
      <c r="B1031" s="54" t="str">
        <f t="shared" si="208"/>
        <v>6°3°2VIMAÑANA0</v>
      </c>
      <c r="C1031" s="62">
        <v>0</v>
      </c>
      <c r="D1031" s="2" t="str">
        <f t="shared" si="191"/>
        <v>2VIMAULA 3</v>
      </c>
      <c r="E1031" s="62" t="s">
        <v>59</v>
      </c>
      <c r="F1031" s="62" t="s">
        <v>27</v>
      </c>
      <c r="G1031" s="62" t="s">
        <v>1474</v>
      </c>
      <c r="H1031" s="8" t="s">
        <v>1462</v>
      </c>
      <c r="I1031" s="4" t="s">
        <v>1490</v>
      </c>
      <c r="J1031" s="4"/>
      <c r="K1031" s="80" t="str">
        <f t="shared" si="207"/>
        <v>VI</v>
      </c>
      <c r="L1031" s="4"/>
      <c r="M1031" s="86" t="str">
        <f>VLOOKUP(G1031,[1]Hoja1!$A:$O,15,0)</f>
        <v>IRIGOYTIA PECCORELLI JULIE</v>
      </c>
      <c r="N1031" s="2" t="str">
        <f t="shared" si="206"/>
        <v>6°3°6EDETRAVI</v>
      </c>
      <c r="O1031" s="2"/>
      <c r="P1031" s="2"/>
      <c r="Q1031" s="2"/>
      <c r="S1031">
        <f>VLOOKUP(G1031,[1]Hoja1!$A:$O,5,0)</f>
        <v>2625823</v>
      </c>
      <c r="U1031" s="45" t="s">
        <v>2751</v>
      </c>
      <c r="V1031" s="46">
        <f t="shared" si="200"/>
        <v>2625823</v>
      </c>
      <c r="W1031" s="47" t="s">
        <v>1519</v>
      </c>
      <c r="X1031" s="46" t="str">
        <f t="shared" si="201"/>
        <v>2</v>
      </c>
      <c r="Y1031" s="47" t="s">
        <v>1518</v>
      </c>
      <c r="Z1031" s="46" t="str">
        <f t="shared" si="202"/>
        <v>M</v>
      </c>
      <c r="AA1031" s="47" t="s">
        <v>2752</v>
      </c>
      <c r="AB1031" s="46" t="str">
        <f t="shared" si="203"/>
        <v>VIERNES</v>
      </c>
      <c r="AC1031" s="47" t="s">
        <v>2753</v>
      </c>
      <c r="AD1031">
        <f t="shared" si="204"/>
        <v>0</v>
      </c>
      <c r="AE1031" s="47" t="s">
        <v>2754</v>
      </c>
      <c r="AH1031" t="str">
        <f t="shared" si="205"/>
        <v>INSERT INTO horario_curso_materia (horario_curso_materia.FK_CUR_mat,horario_curso_materia.FK_HOR,horario_curso_materia.DIA,horario_curso_materia.tipo_turno) VALUES (  (SELECT curso_materia.ID_CUR_MAT FROM curso_materia WHERE curso_materia.CUPOF='2625823' ) ,
    (SELECT horario.ID_HOR FROM horario WHERE horario.modulo='2 ' and horario.turno='M ' ),'VIERNES ' , '0 ' );</v>
      </c>
    </row>
    <row r="1032" spans="1:34" ht="15" hidden="1" customHeight="1" x14ac:dyDescent="0.3">
      <c r="A1032" s="1" t="s">
        <v>1466</v>
      </c>
      <c r="B1032" s="54" t="str">
        <f t="shared" si="208"/>
        <v>6°3°2VITARDE631</v>
      </c>
      <c r="C1032" s="62">
        <v>631</v>
      </c>
      <c r="D1032" s="2" t="str">
        <f t="shared" si="191"/>
        <v>2VITSUPERPUESTO</v>
      </c>
      <c r="E1032" s="62" t="s">
        <v>59</v>
      </c>
      <c r="F1032" s="62" t="s">
        <v>10</v>
      </c>
      <c r="G1032" s="62" t="s">
        <v>1482</v>
      </c>
      <c r="H1032" s="8" t="s">
        <v>1439</v>
      </c>
      <c r="I1032" s="4" t="s">
        <v>60</v>
      </c>
      <c r="J1032" s="4"/>
      <c r="K1032" s="80" t="str">
        <f t="shared" si="207"/>
        <v>VI</v>
      </c>
      <c r="L1032" s="4" t="s">
        <v>512</v>
      </c>
      <c r="M1032" s="86" t="str">
        <f>VLOOKUP(G1032,[1]Hoja1!$A:$O,15,0)</f>
        <v>GUTIERREZ NICOLAS</v>
      </c>
      <c r="N1032" s="2" t="str">
        <f t="shared" si="206"/>
        <v>6°3°6316EFTAE6VI</v>
      </c>
      <c r="O1032" s="2"/>
      <c r="P1032" s="2"/>
      <c r="Q1032" s="2"/>
      <c r="S1032">
        <f>VLOOKUP(G1032,[1]Hoja1!$A:$O,5,0)</f>
        <v>2625837</v>
      </c>
      <c r="U1032" s="45" t="s">
        <v>2751</v>
      </c>
      <c r="V1032" s="46">
        <f t="shared" si="200"/>
        <v>2625837</v>
      </c>
      <c r="W1032" s="47" t="s">
        <v>1519</v>
      </c>
      <c r="X1032" s="46" t="str">
        <f t="shared" si="201"/>
        <v>2</v>
      </c>
      <c r="Y1032" s="47" t="s">
        <v>1518</v>
      </c>
      <c r="Z1032" s="46" t="str">
        <f t="shared" si="202"/>
        <v>T</v>
      </c>
      <c r="AA1032" s="47" t="s">
        <v>2752</v>
      </c>
      <c r="AB1032" s="46" t="str">
        <f t="shared" si="203"/>
        <v>VIERNES</v>
      </c>
      <c r="AC1032" s="47" t="s">
        <v>2753</v>
      </c>
      <c r="AD1032" t="str">
        <f t="shared" si="204"/>
        <v>CONTRATURNO</v>
      </c>
      <c r="AE1032" s="47" t="s">
        <v>2754</v>
      </c>
      <c r="AH1032" t="str">
        <f t="shared" si="205"/>
        <v>INSERT INTO horario_curso_materia (horario_curso_materia.FK_CUR_mat,horario_curso_materia.FK_HOR,horario_curso_materia.DIA,horario_curso_materia.tipo_turno) VALUES (  (SELECT curso_materia.ID_CUR_MAT FROM curso_materia WHERE curso_materia.CUPOF='2625837' ) ,
    (SELECT horario.ID_HOR FROM horario WHERE horario.modulo='2 ' and horario.turno='T ' ),'VIERNES ' , 'CONTRATURNO ' );</v>
      </c>
    </row>
    <row r="1033" spans="1:34" ht="15" hidden="1" customHeight="1" x14ac:dyDescent="0.3">
      <c r="A1033" s="1" t="s">
        <v>1466</v>
      </c>
      <c r="B1033" s="54" t="str">
        <f t="shared" si="208"/>
        <v>6°3°2VITARDE632</v>
      </c>
      <c r="C1033" s="62">
        <v>632</v>
      </c>
      <c r="D1033" s="2" t="str">
        <f t="shared" si="191"/>
        <v>2VITrobotica</v>
      </c>
      <c r="E1033" s="62" t="s">
        <v>59</v>
      </c>
      <c r="F1033" s="62" t="s">
        <v>10</v>
      </c>
      <c r="G1033" s="62" t="s">
        <v>1481</v>
      </c>
      <c r="H1033" s="8" t="s">
        <v>1439</v>
      </c>
      <c r="I1033" s="4" t="s">
        <v>2757</v>
      </c>
      <c r="J1033" s="4"/>
      <c r="K1033" s="80" t="str">
        <f t="shared" si="207"/>
        <v>VI</v>
      </c>
      <c r="L1033" s="4" t="s">
        <v>512</v>
      </c>
      <c r="M1033" s="86" t="str">
        <f>VLOOKUP(G1033,[1]Hoja1!$A:$O,15,0)</f>
        <v>LOPEZ, JONATHAN</v>
      </c>
      <c r="N1033" s="2" t="str">
        <f t="shared" si="206"/>
        <v>6°3°6326EFTAE6VI</v>
      </c>
      <c r="O1033" s="2"/>
      <c r="P1033" s="2"/>
      <c r="Q1033" s="2"/>
      <c r="S1033">
        <f>VLOOKUP(G1033,[1]Hoja1!$A:$O,5,0)</f>
        <v>2625867</v>
      </c>
      <c r="U1033" s="45" t="s">
        <v>2751</v>
      </c>
      <c r="V1033" s="46">
        <f t="shared" si="200"/>
        <v>2625867</v>
      </c>
      <c r="W1033" s="47" t="s">
        <v>1519</v>
      </c>
      <c r="X1033" s="46" t="str">
        <f t="shared" si="201"/>
        <v>2</v>
      </c>
      <c r="Y1033" s="47" t="s">
        <v>1518</v>
      </c>
      <c r="Z1033" s="46" t="str">
        <f t="shared" si="202"/>
        <v>T</v>
      </c>
      <c r="AA1033" s="47" t="s">
        <v>2752</v>
      </c>
      <c r="AB1033" s="46" t="str">
        <f t="shared" si="203"/>
        <v>VIERNES</v>
      </c>
      <c r="AC1033" s="47" t="s">
        <v>2753</v>
      </c>
      <c r="AD1033" t="str">
        <f t="shared" si="204"/>
        <v>CONTRATURNO</v>
      </c>
      <c r="AE1033" s="47" t="s">
        <v>2754</v>
      </c>
      <c r="AH1033" t="str">
        <f t="shared" si="205"/>
        <v>INSERT INTO horario_curso_materia (horario_curso_materia.FK_CUR_mat,horario_curso_materia.FK_HOR,horario_curso_materia.DIA,horario_curso_materia.tipo_turno) VALUES (  (SELECT curso_materia.ID_CUR_MAT FROM curso_materia WHERE curso_materia.CUPOF='2625867' ) ,
    (SELECT horario.ID_HOR FROM horario WHERE horario.modulo='2 ' and horario.turno='T ' ),'VIERNES ' , 'CONTRATURNO ' );</v>
      </c>
    </row>
    <row r="1034" spans="1:34" ht="15" hidden="1" customHeight="1" x14ac:dyDescent="0.3">
      <c r="A1034" s="1" t="s">
        <v>1466</v>
      </c>
      <c r="B1034" s="54" t="str">
        <f t="shared" si="208"/>
        <v>6°3°3JUMAÑANA0</v>
      </c>
      <c r="C1034" s="62">
        <v>0</v>
      </c>
      <c r="D1034" s="2" t="str">
        <f t="shared" si="191"/>
        <v>3JUMAULA 3</v>
      </c>
      <c r="E1034" s="62" t="s">
        <v>46</v>
      </c>
      <c r="F1034" s="62" t="s">
        <v>27</v>
      </c>
      <c r="G1034" s="62" t="s">
        <v>1471</v>
      </c>
      <c r="H1034" s="8" t="s">
        <v>1459</v>
      </c>
      <c r="I1034" s="4" t="s">
        <v>1490</v>
      </c>
      <c r="J1034" s="4"/>
      <c r="K1034" s="80" t="str">
        <f t="shared" si="207"/>
        <v>JU</v>
      </c>
      <c r="L1034" s="4"/>
      <c r="M1034" s="86" t="str">
        <f>VLOOKUP(G1034,[1]Hoja1!$A:$O,15,0)</f>
        <v xml:space="preserve">MANSILLA SANTIAGO </v>
      </c>
      <c r="N1034" s="2" t="str">
        <f t="shared" si="206"/>
        <v>6°3°6EARTEJU</v>
      </c>
      <c r="O1034" s="2"/>
      <c r="P1034" s="2"/>
      <c r="Q1034" s="2"/>
      <c r="S1034">
        <f>VLOOKUP(G1034,[1]Hoja1!$A:$O,5,0)</f>
        <v>2625794</v>
      </c>
      <c r="U1034" s="45" t="s">
        <v>2751</v>
      </c>
      <c r="V1034" s="46">
        <f t="shared" si="200"/>
        <v>2625794</v>
      </c>
      <c r="W1034" s="47" t="s">
        <v>1519</v>
      </c>
      <c r="X1034" s="46" t="str">
        <f t="shared" si="201"/>
        <v>3</v>
      </c>
      <c r="Y1034" s="47" t="s">
        <v>1518</v>
      </c>
      <c r="Z1034" s="46" t="str">
        <f t="shared" si="202"/>
        <v>M</v>
      </c>
      <c r="AA1034" s="47" t="s">
        <v>2752</v>
      </c>
      <c r="AB1034" s="46" t="str">
        <f t="shared" si="203"/>
        <v>JUEVES</v>
      </c>
      <c r="AC1034" s="47" t="s">
        <v>2753</v>
      </c>
      <c r="AD1034">
        <f t="shared" si="204"/>
        <v>0</v>
      </c>
      <c r="AE1034" s="47" t="s">
        <v>2754</v>
      </c>
      <c r="AH1034" t="str">
        <f t="shared" si="205"/>
        <v>INSERT INTO horario_curso_materia (horario_curso_materia.FK_CUR_mat,horario_curso_materia.FK_HOR,horario_curso_materia.DIA,horario_curso_materia.tipo_turno) VALUES (  (SELECT curso_materia.ID_CUR_MAT FROM curso_materia WHERE curso_materia.CUPOF='2625794' ) ,
    (SELECT horario.ID_HOR FROM horario WHERE horario.modulo='3 ' and horario.turno='M ' ),'JUEVES ' , '0 ' );</v>
      </c>
    </row>
    <row r="1035" spans="1:34" ht="15" hidden="1" customHeight="1" x14ac:dyDescent="0.3">
      <c r="A1035" s="1" t="s">
        <v>1466</v>
      </c>
      <c r="B1035" s="54" t="str">
        <f t="shared" si="208"/>
        <v>6°3°3JUTARDE631</v>
      </c>
      <c r="C1035" s="62">
        <v>631</v>
      </c>
      <c r="D1035" s="2" t="str">
        <f t="shared" si="191"/>
        <v>3JUTROBOTICA</v>
      </c>
      <c r="E1035" s="69" t="s">
        <v>46</v>
      </c>
      <c r="F1035" s="69" t="s">
        <v>10</v>
      </c>
      <c r="G1035" s="69" t="s">
        <v>1467</v>
      </c>
      <c r="H1035" s="60" t="s">
        <v>545</v>
      </c>
      <c r="I1035" s="4" t="s">
        <v>2759</v>
      </c>
      <c r="J1035" s="4"/>
      <c r="K1035" s="80" t="str">
        <f t="shared" si="207"/>
        <v>JU</v>
      </c>
      <c r="L1035" s="4" t="s">
        <v>512</v>
      </c>
      <c r="M1035" s="86" t="str">
        <f>VLOOKUP(G1035,[1]Hoja1!$A:$O,15,0)</f>
        <v>GUTIERREZ NICOLAS</v>
      </c>
      <c r="N1035" s="2" t="str">
        <f t="shared" si="206"/>
        <v>6°3°6316EFTMP6JU</v>
      </c>
      <c r="O1035" s="2"/>
      <c r="P1035" s="2"/>
      <c r="Q1035" s="2"/>
      <c r="S1035">
        <f>VLOOKUP(G1035,[1]Hoja1!$A:$O,5,0)</f>
        <v>2625254</v>
      </c>
      <c r="U1035" s="45" t="s">
        <v>2751</v>
      </c>
      <c r="V1035" s="46">
        <f t="shared" si="200"/>
        <v>2625254</v>
      </c>
      <c r="W1035" s="47" t="s">
        <v>1519</v>
      </c>
      <c r="X1035" s="46" t="str">
        <f t="shared" si="201"/>
        <v>3</v>
      </c>
      <c r="Y1035" s="47" t="s">
        <v>1518</v>
      </c>
      <c r="Z1035" s="46" t="str">
        <f t="shared" si="202"/>
        <v>T</v>
      </c>
      <c r="AA1035" s="47" t="s">
        <v>2752</v>
      </c>
      <c r="AB1035" s="46" t="str">
        <f t="shared" si="203"/>
        <v>JUEVES</v>
      </c>
      <c r="AC1035" s="47" t="s">
        <v>2753</v>
      </c>
      <c r="AD1035" t="str">
        <f t="shared" si="204"/>
        <v>CONTRATURNO</v>
      </c>
      <c r="AE1035" s="47" t="s">
        <v>2754</v>
      </c>
      <c r="AH1035" t="str">
        <f t="shared" si="205"/>
        <v>INSERT INTO horario_curso_materia (horario_curso_materia.FK_CUR_mat,horario_curso_materia.FK_HOR,horario_curso_materia.DIA,horario_curso_materia.tipo_turno) VALUES (  (SELECT curso_materia.ID_CUR_MAT FROM curso_materia WHERE curso_materia.CUPOF='2625254' ) ,
    (SELECT horario.ID_HOR FROM horario WHERE horario.modulo='3 ' and horario.turno='T ' ),'JUEVES ' , 'CONTRATURNO ' );</v>
      </c>
    </row>
    <row r="1036" spans="1:34" ht="15" hidden="1" customHeight="1" x14ac:dyDescent="0.3">
      <c r="A1036" s="1" t="s">
        <v>1466</v>
      </c>
      <c r="B1036" s="54" t="str">
        <f t="shared" si="208"/>
        <v>6°3°3JUVESPERTINO632</v>
      </c>
      <c r="C1036" s="62">
        <v>632</v>
      </c>
      <c r="D1036" s="2" t="str">
        <f t="shared" si="191"/>
        <v>3JUVSUPERPUESTO</v>
      </c>
      <c r="E1036" s="69" t="s">
        <v>46</v>
      </c>
      <c r="F1036" s="69" t="s">
        <v>125</v>
      </c>
      <c r="G1036" s="69" t="s">
        <v>1468</v>
      </c>
      <c r="H1036" s="60" t="s">
        <v>545</v>
      </c>
      <c r="I1036" s="4" t="s">
        <v>60</v>
      </c>
      <c r="J1036" s="4"/>
      <c r="K1036" s="80" t="str">
        <f t="shared" si="207"/>
        <v>JU</v>
      </c>
      <c r="L1036" s="4" t="s">
        <v>512</v>
      </c>
      <c r="M1036" s="86" t="str">
        <f>VLOOKUP(G1036,[1]Hoja1!$A:$O,15,0)</f>
        <v>GUTIERREZ NICOLAS</v>
      </c>
      <c r="N1036" s="2" t="str">
        <f t="shared" si="206"/>
        <v>6°3°6326EFTMP6JU</v>
      </c>
      <c r="O1036" s="2" t="s">
        <v>1517</v>
      </c>
      <c r="P1036" s="2"/>
      <c r="Q1036" s="2"/>
      <c r="S1036">
        <f>VLOOKUP(G1036,[1]Hoja1!$A:$O,5,0)</f>
        <v>2625876</v>
      </c>
      <c r="U1036" s="45" t="s">
        <v>2751</v>
      </c>
      <c r="V1036" s="46">
        <f t="shared" si="200"/>
        <v>2625876</v>
      </c>
      <c r="W1036" s="47" t="s">
        <v>1519</v>
      </c>
      <c r="X1036" s="46" t="str">
        <f t="shared" si="201"/>
        <v>3</v>
      </c>
      <c r="Y1036" s="47" t="s">
        <v>1518</v>
      </c>
      <c r="Z1036" s="46" t="str">
        <f t="shared" si="202"/>
        <v>V</v>
      </c>
      <c r="AA1036" s="47" t="s">
        <v>2752</v>
      </c>
      <c r="AB1036" s="46" t="str">
        <f t="shared" si="203"/>
        <v>JUEVES</v>
      </c>
      <c r="AC1036" s="47" t="s">
        <v>2753</v>
      </c>
      <c r="AD1036" t="str">
        <f t="shared" si="204"/>
        <v>CONTRATURNO</v>
      </c>
      <c r="AE1036" s="47" t="s">
        <v>2754</v>
      </c>
      <c r="AH1036" t="str">
        <f t="shared" si="205"/>
        <v>INSERT INTO horario_curso_materia (horario_curso_materia.FK_CUR_mat,horario_curso_materia.FK_HOR,horario_curso_materia.DIA,horario_curso_materia.tipo_turno) VALUES (  (SELECT curso_materia.ID_CUR_MAT FROM curso_materia WHERE curso_materia.CUPOF='2625876' ) ,
    (SELECT horario.ID_HOR FROM horario WHERE horario.modulo='3 ' and horario.turno='V ' ),'JUEVES ' , 'CONTRATURNO ' );</v>
      </c>
    </row>
    <row r="1037" spans="1:34" ht="15" hidden="1" customHeight="1" x14ac:dyDescent="0.3">
      <c r="A1037" s="1" t="s">
        <v>1466</v>
      </c>
      <c r="B1037" s="54" t="str">
        <f t="shared" si="208"/>
        <v>6°3°3LUMAÑANA0</v>
      </c>
      <c r="C1037" s="62">
        <v>0</v>
      </c>
      <c r="D1037" s="2" t="str">
        <f t="shared" si="191"/>
        <v>3LUMAULA 3</v>
      </c>
      <c r="E1037" s="62" t="s">
        <v>29</v>
      </c>
      <c r="F1037" s="62" t="s">
        <v>27</v>
      </c>
      <c r="G1037" s="62" t="s">
        <v>1475</v>
      </c>
      <c r="H1037" s="8" t="s">
        <v>1463</v>
      </c>
      <c r="I1037" s="4" t="s">
        <v>1490</v>
      </c>
      <c r="J1037" s="4"/>
      <c r="K1037" s="80" t="str">
        <f t="shared" si="207"/>
        <v>LU</v>
      </c>
      <c r="L1037" s="4"/>
      <c r="M1037" s="86" t="str">
        <f>VLOOKUP(G1037,[1]Hoja1!$A:$O,15,0)</f>
        <v>ARANDA NELIDA 27-</v>
      </c>
      <c r="N1037" s="2" t="str">
        <f t="shared" si="206"/>
        <v>6°3°6ELITSLU</v>
      </c>
      <c r="O1037" s="2"/>
      <c r="P1037" s="2"/>
      <c r="Q1037" s="2"/>
      <c r="S1037">
        <f>VLOOKUP(G1037,[1]Hoja1!$A:$O,5,0)</f>
        <v>2625739</v>
      </c>
      <c r="U1037" s="45" t="s">
        <v>2751</v>
      </c>
      <c r="V1037" s="46">
        <f t="shared" si="200"/>
        <v>2625739</v>
      </c>
      <c r="W1037" s="47" t="s">
        <v>1519</v>
      </c>
      <c r="X1037" s="46" t="str">
        <f t="shared" si="201"/>
        <v>3</v>
      </c>
      <c r="Y1037" s="47" t="s">
        <v>1518</v>
      </c>
      <c r="Z1037" s="46" t="str">
        <f t="shared" si="202"/>
        <v>M</v>
      </c>
      <c r="AA1037" s="47" t="s">
        <v>2752</v>
      </c>
      <c r="AB1037" s="46" t="str">
        <f t="shared" si="203"/>
        <v>LUNES</v>
      </c>
      <c r="AC1037" s="47" t="s">
        <v>2753</v>
      </c>
      <c r="AD1037">
        <f t="shared" si="204"/>
        <v>0</v>
      </c>
      <c r="AE1037" s="47" t="s">
        <v>2754</v>
      </c>
      <c r="AH1037" t="str">
        <f t="shared" si="205"/>
        <v>INSERT INTO horario_curso_materia (horario_curso_materia.FK_CUR_mat,horario_curso_materia.FK_HOR,horario_curso_materia.DIA,horario_curso_materia.tipo_turno) VALUES (  (SELECT curso_materia.ID_CUR_MAT FROM curso_materia WHERE curso_materia.CUPOF='2625739' ) ,
    (SELECT horario.ID_HOR FROM horario WHERE horario.modulo='3 ' and horario.turno='M ' ),'LUNES ' , '0 ' );</v>
      </c>
    </row>
    <row r="1038" spans="1:34" ht="15" hidden="1" customHeight="1" x14ac:dyDescent="0.3">
      <c r="A1038" s="1" t="s">
        <v>1466</v>
      </c>
      <c r="B1038" s="54" t="str">
        <f t="shared" si="208"/>
        <v>6°3°3MAMAÑANA0</v>
      </c>
      <c r="C1038" s="62">
        <v>0</v>
      </c>
      <c r="D1038" s="2" t="str">
        <f t="shared" si="191"/>
        <v>3MAM33</v>
      </c>
      <c r="E1038" s="62" t="s">
        <v>13</v>
      </c>
      <c r="F1038" s="62" t="s">
        <v>27</v>
      </c>
      <c r="G1038" s="62" t="s">
        <v>1480</v>
      </c>
      <c r="H1038" s="8" t="s">
        <v>1465</v>
      </c>
      <c r="I1038" s="4">
        <v>33</v>
      </c>
      <c r="J1038" s="4"/>
      <c r="K1038" s="80" t="str">
        <f t="shared" si="207"/>
        <v>MA</v>
      </c>
      <c r="L1038" s="4"/>
      <c r="M1038" s="86" t="str">
        <f>VLOOKUP(G1038,[1]Hoja1!$A:$O,15,0)</f>
        <v>PARTOR SOLORZANO</v>
      </c>
      <c r="N1038" s="2" t="str">
        <f t="shared" si="206"/>
        <v>6°3°6ESISCOMA</v>
      </c>
      <c r="O1038" s="2"/>
      <c r="P1038" s="2"/>
      <c r="Q1038" s="2"/>
      <c r="S1038">
        <f>VLOOKUP(G1038,[1]Hoja1!$A:$O,5,0)</f>
        <v>2625804</v>
      </c>
      <c r="U1038" s="45" t="s">
        <v>2751</v>
      </c>
      <c r="V1038" s="46">
        <f t="shared" si="200"/>
        <v>2625804</v>
      </c>
      <c r="W1038" s="47" t="s">
        <v>1519</v>
      </c>
      <c r="X1038" s="46" t="str">
        <f t="shared" si="201"/>
        <v>3</v>
      </c>
      <c r="Y1038" s="47" t="s">
        <v>1518</v>
      </c>
      <c r="Z1038" s="46" t="str">
        <f t="shared" si="202"/>
        <v>M</v>
      </c>
      <c r="AA1038" s="47" t="s">
        <v>2752</v>
      </c>
      <c r="AB1038" s="46" t="str">
        <f t="shared" si="203"/>
        <v>MARTES</v>
      </c>
      <c r="AC1038" s="47" t="s">
        <v>2753</v>
      </c>
      <c r="AD1038">
        <f t="shared" si="204"/>
        <v>0</v>
      </c>
      <c r="AE1038" s="47" t="s">
        <v>2754</v>
      </c>
      <c r="AH1038" t="str">
        <f t="shared" si="205"/>
        <v>INSERT INTO horario_curso_materia (horario_curso_materia.FK_CUR_mat,horario_curso_materia.FK_HOR,horario_curso_materia.DIA,horario_curso_materia.tipo_turno) VALUES (  (SELECT curso_materia.ID_CUR_MAT FROM curso_materia WHERE curso_materia.CUPOF='2625804' ) ,
    (SELECT horario.ID_HOR FROM horario WHERE horario.modulo='3 ' and horario.turno='M ' ),'MARTES ' , '0 ' );</v>
      </c>
    </row>
    <row r="1039" spans="1:34" ht="14.25" hidden="1" customHeight="1" x14ac:dyDescent="0.3">
      <c r="A1039" s="1" t="s">
        <v>1466</v>
      </c>
      <c r="B1039" s="54" t="str">
        <f t="shared" si="208"/>
        <v>6°3°3MAVESPERTINO631</v>
      </c>
      <c r="C1039" s="62">
        <v>631</v>
      </c>
      <c r="D1039" s="2" t="str">
        <f t="shared" si="191"/>
        <v>3MAV52</v>
      </c>
      <c r="E1039" s="62" t="s">
        <v>13</v>
      </c>
      <c r="F1039" s="62" t="s">
        <v>125</v>
      </c>
      <c r="G1039" s="62" t="s">
        <v>1483</v>
      </c>
      <c r="H1039" s="8" t="s">
        <v>543</v>
      </c>
      <c r="I1039" s="4">
        <v>52</v>
      </c>
      <c r="J1039" s="4"/>
      <c r="K1039" s="80" t="str">
        <f t="shared" si="207"/>
        <v>MA</v>
      </c>
      <c r="L1039" s="4" t="s">
        <v>512</v>
      </c>
      <c r="M1039" s="86" t="str">
        <f>VLOOKUP(G1039,[1]Hoja1!$A:$O,15,0)</f>
        <v xml:space="preserve">FISTER (Serv.Prov) </v>
      </c>
      <c r="N1039" s="2" t="str">
        <f t="shared" si="206"/>
        <v>6°3°6316EFTED6MA</v>
      </c>
      <c r="O1039" s="2"/>
      <c r="P1039" s="2"/>
      <c r="Q1039" s="2"/>
      <c r="S1039">
        <f>VLOOKUP(G1039,[1]Hoja1!$A:$O,5,0)</f>
        <v>2625846</v>
      </c>
      <c r="U1039" s="45" t="s">
        <v>2751</v>
      </c>
      <c r="V1039" s="46">
        <f t="shared" si="200"/>
        <v>2625846</v>
      </c>
      <c r="W1039" s="47" t="s">
        <v>1519</v>
      </c>
      <c r="X1039" s="46" t="str">
        <f t="shared" si="201"/>
        <v>3</v>
      </c>
      <c r="Y1039" s="47" t="s">
        <v>1518</v>
      </c>
      <c r="Z1039" s="46" t="str">
        <f t="shared" si="202"/>
        <v>V</v>
      </c>
      <c r="AA1039" s="47" t="s">
        <v>2752</v>
      </c>
      <c r="AB1039" s="46" t="str">
        <f t="shared" si="203"/>
        <v>MARTES</v>
      </c>
      <c r="AC1039" s="47" t="s">
        <v>2753</v>
      </c>
      <c r="AD1039" t="str">
        <f t="shared" si="204"/>
        <v>CONTRATURNO</v>
      </c>
      <c r="AE1039" s="47" t="s">
        <v>2754</v>
      </c>
      <c r="AH1039" t="str">
        <f t="shared" si="205"/>
        <v>INSERT INTO horario_curso_materia (horario_curso_materia.FK_CUR_mat,horario_curso_materia.FK_HOR,horario_curso_materia.DIA,horario_curso_materia.tipo_turno) VALUES (  (SELECT curso_materia.ID_CUR_MAT FROM curso_materia WHERE curso_materia.CUPOF='2625846' ) ,
    (SELECT horario.ID_HOR FROM horario WHERE horario.modulo='3 ' and horario.turno='V ' ),'MARTES ' , 'CONTRATURNO ' );</v>
      </c>
    </row>
    <row r="1040" spans="1:34" ht="14.25" hidden="1" customHeight="1" x14ac:dyDescent="0.3">
      <c r="A1040" s="1" t="s">
        <v>1466</v>
      </c>
      <c r="B1040" s="54" t="str">
        <f t="shared" si="208"/>
        <v>6°3°3MAVESPERTINO632</v>
      </c>
      <c r="C1040" s="62">
        <v>632</v>
      </c>
      <c r="D1040" s="2" t="str">
        <f t="shared" si="191"/>
        <v>3MAV44</v>
      </c>
      <c r="E1040" s="62" t="s">
        <v>13</v>
      </c>
      <c r="F1040" s="62" t="s">
        <v>125</v>
      </c>
      <c r="G1040" s="62" t="s">
        <v>1479</v>
      </c>
      <c r="H1040" s="8" t="s">
        <v>543</v>
      </c>
      <c r="I1040" s="4">
        <v>44</v>
      </c>
      <c r="J1040" s="4"/>
      <c r="K1040" s="80" t="str">
        <f t="shared" si="207"/>
        <v>MA</v>
      </c>
      <c r="L1040" s="4" t="s">
        <v>512</v>
      </c>
      <c r="M1040" s="86" t="str">
        <f>VLOOKUP(G1040,[1]Hoja1!$A:$O,15,0)</f>
        <v>GONANO, GERMAN S</v>
      </c>
      <c r="N1040" s="2" t="str">
        <f t="shared" si="206"/>
        <v>6°3°6326EFTED6MA</v>
      </c>
      <c r="O1040" s="2"/>
      <c r="P1040" s="2"/>
      <c r="Q1040" s="2"/>
      <c r="S1040">
        <f>VLOOKUP(G1040,[1]Hoja1!$A:$O,5,0)</f>
        <v>2625874</v>
      </c>
      <c r="U1040" s="45" t="s">
        <v>2751</v>
      </c>
      <c r="V1040" s="46">
        <f t="shared" si="200"/>
        <v>2625874</v>
      </c>
      <c r="W1040" s="47" t="s">
        <v>1519</v>
      </c>
      <c r="X1040" s="46" t="str">
        <f t="shared" si="201"/>
        <v>3</v>
      </c>
      <c r="Y1040" s="47" t="s">
        <v>1518</v>
      </c>
      <c r="Z1040" s="46" t="str">
        <f t="shared" si="202"/>
        <v>V</v>
      </c>
      <c r="AA1040" s="47" t="s">
        <v>2752</v>
      </c>
      <c r="AB1040" s="46" t="str">
        <f t="shared" si="203"/>
        <v>MARTES</v>
      </c>
      <c r="AC1040" s="47" t="s">
        <v>2753</v>
      </c>
      <c r="AD1040" t="str">
        <f t="shared" si="204"/>
        <v>CONTRATURNO</v>
      </c>
      <c r="AE1040" s="47" t="s">
        <v>2754</v>
      </c>
      <c r="AH1040" t="str">
        <f t="shared" si="205"/>
        <v>INSERT INTO horario_curso_materia (horario_curso_materia.FK_CUR_mat,horario_curso_materia.FK_HOR,horario_curso_materia.DIA,horario_curso_materia.tipo_turno) VALUES (  (SELECT curso_materia.ID_CUR_MAT FROM curso_materia WHERE curso_materia.CUPOF='2625874' ) ,
    (SELECT horario.ID_HOR FROM horario WHERE horario.modulo='3 ' and horario.turno='V ' ),'MARTES ' , 'CONTRATURNO ' );</v>
      </c>
    </row>
    <row r="1041" spans="1:34" ht="15" hidden="1" customHeight="1" x14ac:dyDescent="0.3">
      <c r="A1041" s="1" t="s">
        <v>1466</v>
      </c>
      <c r="B1041" s="54" t="str">
        <f t="shared" si="208"/>
        <v>6°3°3miMAÑANA0</v>
      </c>
      <c r="C1041" s="62">
        <v>0</v>
      </c>
      <c r="D1041" s="2" t="str">
        <f t="shared" si="191"/>
        <v>3miMAULA 3</v>
      </c>
      <c r="E1041" s="62" t="s">
        <v>1331</v>
      </c>
      <c r="F1041" s="62" t="s">
        <v>27</v>
      </c>
      <c r="G1041" s="62" t="s">
        <v>1476</v>
      </c>
      <c r="H1041" s="8" t="s">
        <v>539</v>
      </c>
      <c r="I1041" s="4" t="s">
        <v>1490</v>
      </c>
      <c r="J1041" s="4"/>
      <c r="K1041" s="80" t="str">
        <f t="shared" si="207"/>
        <v>mi</v>
      </c>
      <c r="L1041" s="4"/>
      <c r="M1041" s="86" t="str">
        <f>VLOOKUP(G1041,[1]Hoja1!$A:$O,15,0)</f>
        <v>LETIERI, MANUEL</v>
      </c>
      <c r="N1041" s="2" t="str">
        <f t="shared" si="206"/>
        <v>6°3°6EFILOmi</v>
      </c>
      <c r="O1041" s="2"/>
      <c r="P1041" s="2"/>
      <c r="Q1041" s="2"/>
      <c r="S1041">
        <f>VLOOKUP(G1041,[1]Hoja1!$A:$O,5,0)</f>
        <v>2625787</v>
      </c>
      <c r="U1041" s="45" t="s">
        <v>2751</v>
      </c>
      <c r="V1041" s="46">
        <f t="shared" si="200"/>
        <v>2625787</v>
      </c>
      <c r="W1041" s="47" t="s">
        <v>1519</v>
      </c>
      <c r="X1041" s="46" t="str">
        <f t="shared" si="201"/>
        <v>3</v>
      </c>
      <c r="Y1041" s="47" t="s">
        <v>1518</v>
      </c>
      <c r="Z1041" s="46" t="str">
        <f t="shared" si="202"/>
        <v>M</v>
      </c>
      <c r="AA1041" s="47" t="s">
        <v>2752</v>
      </c>
      <c r="AB1041" s="46" t="str">
        <f t="shared" si="203"/>
        <v>MIERCOLES</v>
      </c>
      <c r="AC1041" s="47" t="s">
        <v>2753</v>
      </c>
      <c r="AD1041">
        <f t="shared" si="204"/>
        <v>0</v>
      </c>
      <c r="AE1041" s="47" t="s">
        <v>2754</v>
      </c>
      <c r="AH1041" t="str">
        <f t="shared" si="205"/>
        <v>INSERT INTO horario_curso_materia (horario_curso_materia.FK_CUR_mat,horario_curso_materia.FK_HOR,horario_curso_materia.DIA,horario_curso_materia.tipo_turno) VALUES (  (SELECT curso_materia.ID_CUR_MAT FROM curso_materia WHERE curso_materia.CUPOF='2625787' ) ,
    (SELECT horario.ID_HOR FROM horario WHERE horario.modulo='3 ' and horario.turno='M ' ),'MIERCOLES ' , '0 ' );</v>
      </c>
    </row>
    <row r="1042" spans="1:34" ht="15" hidden="1" customHeight="1" x14ac:dyDescent="0.3">
      <c r="A1042" s="1" t="s">
        <v>1466</v>
      </c>
      <c r="B1042" s="54" t="str">
        <f t="shared" si="208"/>
        <v>6°3°3MITARDE0</v>
      </c>
      <c r="C1042" s="62">
        <v>0</v>
      </c>
      <c r="D1042" s="2" t="str">
        <f t="shared" si="191"/>
        <v>3MITPATIO2</v>
      </c>
      <c r="E1042" s="62" t="s">
        <v>50</v>
      </c>
      <c r="F1042" s="62" t="s">
        <v>10</v>
      </c>
      <c r="G1042" s="62" t="s">
        <v>1477</v>
      </c>
      <c r="H1042" s="8" t="s">
        <v>537</v>
      </c>
      <c r="I1042" s="4" t="s">
        <v>295</v>
      </c>
      <c r="J1042" s="4"/>
      <c r="K1042" s="80" t="str">
        <f t="shared" si="207"/>
        <v>MI</v>
      </c>
      <c r="L1042" s="4" t="s">
        <v>512</v>
      </c>
      <c r="M1042" s="86" t="str">
        <f>VLOOKUP(G1042,[1]Hoja1!$A:$O,15,0)</f>
        <v xml:space="preserve">LUDUEÑA NELSON </v>
      </c>
      <c r="N1042" s="2" t="str">
        <f t="shared" si="206"/>
        <v>6°3°6EEFISMI</v>
      </c>
      <c r="O1042" s="2"/>
      <c r="P1042" s="2"/>
      <c r="Q1042" s="2"/>
      <c r="S1042">
        <f>VLOOKUP(G1042,[1]Hoja1!$A:$O,5,0)</f>
        <v>2625769</v>
      </c>
      <c r="U1042" s="45" t="s">
        <v>2751</v>
      </c>
      <c r="V1042" s="46">
        <f t="shared" si="200"/>
        <v>2625769</v>
      </c>
      <c r="W1042" s="47" t="s">
        <v>1519</v>
      </c>
      <c r="X1042" s="46" t="str">
        <f t="shared" si="201"/>
        <v>3</v>
      </c>
      <c r="Y1042" s="47" t="s">
        <v>1518</v>
      </c>
      <c r="Z1042" s="46" t="str">
        <f t="shared" si="202"/>
        <v>T</v>
      </c>
      <c r="AA1042" s="47" t="s">
        <v>2752</v>
      </c>
      <c r="AB1042" s="46" t="str">
        <f t="shared" si="203"/>
        <v>MIERCOLES</v>
      </c>
      <c r="AC1042" s="47" t="s">
        <v>2753</v>
      </c>
      <c r="AD1042" t="str">
        <f t="shared" si="204"/>
        <v>CONTRATURNO</v>
      </c>
      <c r="AE1042" s="47" t="s">
        <v>2754</v>
      </c>
      <c r="AH1042" t="str">
        <f t="shared" si="205"/>
        <v>INSERT INTO horario_curso_materia (horario_curso_materia.FK_CUR_mat,horario_curso_materia.FK_HOR,horario_curso_materia.DIA,horario_curso_materia.tipo_turno) VALUES (  (SELECT curso_materia.ID_CUR_MAT FROM curso_materia WHERE curso_materia.CUPOF='2625769' ) ,
    (SELECT horario.ID_HOR FROM horario WHERE horario.modulo='3 ' and horario.turno='T ' ),'MIERCOLES ' , 'CONTRATURNO ' );</v>
      </c>
    </row>
    <row r="1043" spans="1:34" ht="15" hidden="1" customHeight="1" x14ac:dyDescent="0.3">
      <c r="A1043" s="1" t="s">
        <v>1466</v>
      </c>
      <c r="B1043" s="54" t="str">
        <f t="shared" si="208"/>
        <v>6°3°3VIMAÑANA0</v>
      </c>
      <c r="C1043" s="62">
        <v>0</v>
      </c>
      <c r="D1043" s="2" t="str">
        <f t="shared" si="191"/>
        <v>3VIMAULA 3</v>
      </c>
      <c r="E1043" s="62" t="s">
        <v>35</v>
      </c>
      <c r="F1043" s="62" t="s">
        <v>27</v>
      </c>
      <c r="G1043" s="62" t="s">
        <v>1472</v>
      </c>
      <c r="H1043" s="8" t="s">
        <v>1460</v>
      </c>
      <c r="I1043" s="4" t="s">
        <v>1490</v>
      </c>
      <c r="J1043" s="4"/>
      <c r="K1043" s="80" t="str">
        <f t="shared" si="207"/>
        <v>VI</v>
      </c>
      <c r="L1043" s="4"/>
      <c r="M1043" s="86" t="str">
        <f>VLOOKUP(G1043,[1]Hoja1!$A:$O,15,0)</f>
        <v>GARCIA CLAUDIA</v>
      </c>
      <c r="N1043" s="2" t="str">
        <f t="shared" si="206"/>
        <v>6°3°6EMATAPVI</v>
      </c>
      <c r="O1043" s="2"/>
      <c r="P1043" s="2"/>
      <c r="Q1043" s="2"/>
      <c r="S1043">
        <f>VLOOKUP(G1043,[1]Hoja1!$A:$O,5,0)</f>
        <v>2625798</v>
      </c>
      <c r="U1043" s="45" t="s">
        <v>2751</v>
      </c>
      <c r="V1043" s="46">
        <f t="shared" si="200"/>
        <v>2625798</v>
      </c>
      <c r="W1043" s="47" t="s">
        <v>1519</v>
      </c>
      <c r="X1043" s="46" t="str">
        <f t="shared" si="201"/>
        <v>3</v>
      </c>
      <c r="Y1043" s="47" t="s">
        <v>1518</v>
      </c>
      <c r="Z1043" s="46" t="str">
        <f t="shared" si="202"/>
        <v>M</v>
      </c>
      <c r="AA1043" s="47" t="s">
        <v>2752</v>
      </c>
      <c r="AB1043" s="46" t="str">
        <f t="shared" si="203"/>
        <v>VIERNES</v>
      </c>
      <c r="AC1043" s="47" t="s">
        <v>2753</v>
      </c>
      <c r="AD1043">
        <f t="shared" si="204"/>
        <v>0</v>
      </c>
      <c r="AE1043" s="47" t="s">
        <v>2754</v>
      </c>
      <c r="AH1043" t="str">
        <f t="shared" si="205"/>
        <v>INSERT INTO horario_curso_materia (horario_curso_materia.FK_CUR_mat,horario_curso_materia.FK_HOR,horario_curso_materia.DIA,horario_curso_materia.tipo_turno) VALUES (  (SELECT curso_materia.ID_CUR_MAT FROM curso_materia WHERE curso_materia.CUPOF='2625798' ) ,
    (SELECT horario.ID_HOR FROM horario WHERE horario.modulo='3 ' and horario.turno='M ' ),'VIERNES ' , '0 ' );</v>
      </c>
    </row>
    <row r="1044" spans="1:34" ht="15" hidden="1" customHeight="1" x14ac:dyDescent="0.3">
      <c r="A1044" s="1" t="s">
        <v>1466</v>
      </c>
      <c r="B1044" s="54" t="str">
        <f t="shared" si="208"/>
        <v>6°3°3VITARDE631</v>
      </c>
      <c r="C1044" s="62">
        <v>631</v>
      </c>
      <c r="D1044" s="2" t="str">
        <f t="shared" si="191"/>
        <v>3VITSUPERPUESTO</v>
      </c>
      <c r="E1044" s="62" t="s">
        <v>35</v>
      </c>
      <c r="F1044" s="62" t="s">
        <v>10</v>
      </c>
      <c r="G1044" s="62" t="s">
        <v>1482</v>
      </c>
      <c r="H1044" s="40" t="s">
        <v>1439</v>
      </c>
      <c r="I1044" s="4" t="s">
        <v>60</v>
      </c>
      <c r="J1044" s="4"/>
      <c r="K1044" s="80" t="str">
        <f t="shared" si="207"/>
        <v>VI</v>
      </c>
      <c r="L1044" s="4" t="s">
        <v>512</v>
      </c>
      <c r="M1044" s="86" t="str">
        <f>VLOOKUP(G1044,[1]Hoja1!$A:$O,15,0)</f>
        <v>GUTIERREZ NICOLAS</v>
      </c>
      <c r="N1044" s="2" t="str">
        <f t="shared" si="206"/>
        <v>6°3°6316EFTAE6VI</v>
      </c>
      <c r="O1044" s="2"/>
      <c r="P1044" s="2"/>
      <c r="Q1044" s="2"/>
      <c r="S1044">
        <f>VLOOKUP(G1044,[1]Hoja1!$A:$O,5,0)</f>
        <v>2625837</v>
      </c>
      <c r="U1044" s="45" t="s">
        <v>2751</v>
      </c>
      <c r="V1044" s="46">
        <f t="shared" si="200"/>
        <v>2625837</v>
      </c>
      <c r="W1044" s="47" t="s">
        <v>1519</v>
      </c>
      <c r="X1044" s="46" t="str">
        <f t="shared" si="201"/>
        <v>3</v>
      </c>
      <c r="Y1044" s="47" t="s">
        <v>1518</v>
      </c>
      <c r="Z1044" s="46" t="str">
        <f t="shared" si="202"/>
        <v>T</v>
      </c>
      <c r="AA1044" s="47" t="s">
        <v>2752</v>
      </c>
      <c r="AB1044" s="46" t="str">
        <f t="shared" si="203"/>
        <v>VIERNES</v>
      </c>
      <c r="AC1044" s="47" t="s">
        <v>2753</v>
      </c>
      <c r="AD1044" t="str">
        <f t="shared" si="204"/>
        <v>CONTRATURNO</v>
      </c>
      <c r="AE1044" s="47" t="s">
        <v>2754</v>
      </c>
      <c r="AH1044" t="str">
        <f t="shared" si="205"/>
        <v>INSERT INTO horario_curso_materia (horario_curso_materia.FK_CUR_mat,horario_curso_materia.FK_HOR,horario_curso_materia.DIA,horario_curso_materia.tipo_turno) VALUES (  (SELECT curso_materia.ID_CUR_MAT FROM curso_materia WHERE curso_materia.CUPOF='2625837' ) ,
    (SELECT horario.ID_HOR FROM horario WHERE horario.modulo='3 ' and horario.turno='T ' ),'VIERNES ' , 'CONTRATURNO ' );</v>
      </c>
    </row>
    <row r="1045" spans="1:34" ht="15" hidden="1" customHeight="1" x14ac:dyDescent="0.3">
      <c r="A1045" s="1" t="s">
        <v>1466</v>
      </c>
      <c r="B1045" s="54" t="str">
        <f t="shared" si="208"/>
        <v>6°3°3VITARDE632</v>
      </c>
      <c r="C1045" s="62">
        <v>632</v>
      </c>
      <c r="D1045" s="2" t="str">
        <f t="shared" si="191"/>
        <v>3VITrobotica</v>
      </c>
      <c r="E1045" s="68" t="s">
        <v>35</v>
      </c>
      <c r="F1045" s="62" t="s">
        <v>10</v>
      </c>
      <c r="G1045" s="62" t="s">
        <v>1481</v>
      </c>
      <c r="H1045" s="8" t="s">
        <v>1439</v>
      </c>
      <c r="I1045" s="4" t="s">
        <v>2757</v>
      </c>
      <c r="J1045" s="4"/>
      <c r="K1045" s="80" t="str">
        <f t="shared" si="207"/>
        <v>VI</v>
      </c>
      <c r="L1045" s="4" t="s">
        <v>512</v>
      </c>
      <c r="M1045" s="86" t="str">
        <f>VLOOKUP(G1045,[1]Hoja1!$A:$O,15,0)</f>
        <v>LOPEZ, JONATHAN</v>
      </c>
      <c r="N1045" s="2" t="str">
        <f t="shared" si="206"/>
        <v>6°3°6326EFTAE6VI</v>
      </c>
      <c r="O1045" s="2"/>
      <c r="P1045" s="2"/>
      <c r="Q1045" s="2"/>
      <c r="S1045">
        <f>VLOOKUP(G1045,[1]Hoja1!$A:$O,5,0)</f>
        <v>2625867</v>
      </c>
      <c r="U1045" s="45" t="s">
        <v>2751</v>
      </c>
      <c r="V1045" s="46">
        <f t="shared" si="200"/>
        <v>2625867</v>
      </c>
      <c r="W1045" s="47" t="s">
        <v>1519</v>
      </c>
      <c r="X1045" s="46" t="str">
        <f t="shared" si="201"/>
        <v>3</v>
      </c>
      <c r="Y1045" s="47" t="s">
        <v>1518</v>
      </c>
      <c r="Z1045" s="46" t="str">
        <f t="shared" si="202"/>
        <v>T</v>
      </c>
      <c r="AA1045" s="47" t="s">
        <v>2752</v>
      </c>
      <c r="AB1045" s="46" t="str">
        <f t="shared" si="203"/>
        <v>VIERNES</v>
      </c>
      <c r="AC1045" s="47" t="s">
        <v>2753</v>
      </c>
      <c r="AD1045" t="str">
        <f t="shared" si="204"/>
        <v>CONTRATURNO</v>
      </c>
      <c r="AE1045" s="47" t="s">
        <v>2754</v>
      </c>
      <c r="AH1045" t="str">
        <f t="shared" si="205"/>
        <v>INSERT INTO horario_curso_materia (horario_curso_materia.FK_CUR_mat,horario_curso_materia.FK_HOR,horario_curso_materia.DIA,horario_curso_materia.tipo_turno) VALUES (  (SELECT curso_materia.ID_CUR_MAT FROM curso_materia WHERE curso_materia.CUPOF='2625867' ) ,
    (SELECT horario.ID_HOR FROM horario WHERE horario.modulo='3 ' and horario.turno='T ' ),'VIERNES ' , 'CONTRATURNO ' );</v>
      </c>
    </row>
    <row r="1046" spans="1:34" ht="15" hidden="1" customHeight="1" x14ac:dyDescent="0.3">
      <c r="A1046" s="1" t="s">
        <v>1466</v>
      </c>
      <c r="B1046" s="54" t="str">
        <f t="shared" si="208"/>
        <v>6°3°4JUMAÑANA0</v>
      </c>
      <c r="C1046" s="62">
        <v>0</v>
      </c>
      <c r="D1046" s="2" t="str">
        <f t="shared" si="191"/>
        <v>4JUMAULA 3</v>
      </c>
      <c r="E1046" s="62" t="s">
        <v>48</v>
      </c>
      <c r="F1046" s="62" t="s">
        <v>27</v>
      </c>
      <c r="G1046" s="62" t="s">
        <v>1471</v>
      </c>
      <c r="H1046" s="8" t="s">
        <v>1459</v>
      </c>
      <c r="I1046" s="4" t="s">
        <v>1490</v>
      </c>
      <c r="J1046" s="4"/>
      <c r="K1046" s="80" t="str">
        <f t="shared" si="207"/>
        <v>JU</v>
      </c>
      <c r="L1046" s="4"/>
      <c r="M1046" s="86" t="str">
        <f>VLOOKUP(G1046,[1]Hoja1!$A:$O,15,0)</f>
        <v xml:space="preserve">MANSILLA SANTIAGO </v>
      </c>
      <c r="N1046" s="2" t="str">
        <f t="shared" si="206"/>
        <v>6°3°6EARTEJU</v>
      </c>
      <c r="O1046" s="2"/>
      <c r="P1046" s="2"/>
      <c r="Q1046" s="2"/>
      <c r="S1046">
        <f>VLOOKUP(G1046,[1]Hoja1!$A:$O,5,0)</f>
        <v>2625794</v>
      </c>
      <c r="U1046" s="45" t="s">
        <v>2751</v>
      </c>
      <c r="V1046" s="46">
        <f t="shared" si="200"/>
        <v>2625794</v>
      </c>
      <c r="W1046" s="47" t="s">
        <v>1519</v>
      </c>
      <c r="X1046" s="46" t="str">
        <f t="shared" si="201"/>
        <v>4</v>
      </c>
      <c r="Y1046" s="47" t="s">
        <v>1518</v>
      </c>
      <c r="Z1046" s="46" t="str">
        <f t="shared" si="202"/>
        <v>M</v>
      </c>
      <c r="AA1046" s="47" t="s">
        <v>2752</v>
      </c>
      <c r="AB1046" s="46" t="str">
        <f t="shared" si="203"/>
        <v>JUEVES</v>
      </c>
      <c r="AC1046" s="47" t="s">
        <v>2753</v>
      </c>
      <c r="AD1046">
        <f t="shared" si="204"/>
        <v>0</v>
      </c>
      <c r="AE1046" s="47" t="s">
        <v>2754</v>
      </c>
      <c r="AH1046" t="str">
        <f t="shared" si="205"/>
        <v>INSERT INTO horario_curso_materia (horario_curso_materia.FK_CUR_mat,horario_curso_materia.FK_HOR,horario_curso_materia.DIA,horario_curso_materia.tipo_turno) VALUES (  (SELECT curso_materia.ID_CUR_MAT FROM curso_materia WHERE curso_materia.CUPOF='2625794' ) ,
    (SELECT horario.ID_HOR FROM horario WHERE horario.modulo='4 ' and horario.turno='M ' ),'JUEVES ' , '0 ' );</v>
      </c>
    </row>
    <row r="1047" spans="1:34" ht="15" hidden="1" customHeight="1" x14ac:dyDescent="0.3">
      <c r="A1047" s="1" t="s">
        <v>1466</v>
      </c>
      <c r="B1047" s="54" t="str">
        <f t="shared" si="208"/>
        <v>6°3°4JUTARDE631</v>
      </c>
      <c r="C1047" s="62">
        <v>631</v>
      </c>
      <c r="D1047" s="2" t="str">
        <f t="shared" si="191"/>
        <v>4JUTROBOTICA</v>
      </c>
      <c r="E1047" s="69" t="s">
        <v>48</v>
      </c>
      <c r="F1047" s="69" t="s">
        <v>10</v>
      </c>
      <c r="G1047" s="69" t="s">
        <v>1467</v>
      </c>
      <c r="H1047" s="60" t="s">
        <v>545</v>
      </c>
      <c r="I1047" s="4" t="s">
        <v>2759</v>
      </c>
      <c r="J1047" s="4"/>
      <c r="K1047" s="80" t="str">
        <f t="shared" si="207"/>
        <v>JU</v>
      </c>
      <c r="L1047" s="4" t="s">
        <v>512</v>
      </c>
      <c r="M1047" s="86" t="str">
        <f>VLOOKUP(G1047,[1]Hoja1!$A:$O,15,0)</f>
        <v>GUTIERREZ NICOLAS</v>
      </c>
      <c r="N1047" s="2" t="str">
        <f t="shared" si="206"/>
        <v>6°3°6316EFTMP6JU</v>
      </c>
      <c r="O1047" s="2"/>
      <c r="P1047" s="2"/>
      <c r="Q1047" s="2"/>
      <c r="S1047">
        <f>VLOOKUP(G1047,[1]Hoja1!$A:$O,5,0)</f>
        <v>2625254</v>
      </c>
      <c r="U1047" s="45" t="s">
        <v>2751</v>
      </c>
      <c r="V1047" s="46">
        <f t="shared" si="200"/>
        <v>2625254</v>
      </c>
      <c r="W1047" s="47" t="s">
        <v>1519</v>
      </c>
      <c r="X1047" s="46" t="str">
        <f t="shared" si="201"/>
        <v>4</v>
      </c>
      <c r="Y1047" s="47" t="s">
        <v>1518</v>
      </c>
      <c r="Z1047" s="46" t="str">
        <f t="shared" si="202"/>
        <v>T</v>
      </c>
      <c r="AA1047" s="47" t="s">
        <v>2752</v>
      </c>
      <c r="AB1047" s="46" t="str">
        <f t="shared" si="203"/>
        <v>JUEVES</v>
      </c>
      <c r="AC1047" s="47" t="s">
        <v>2753</v>
      </c>
      <c r="AD1047" t="str">
        <f t="shared" si="204"/>
        <v>CONTRATURNO</v>
      </c>
      <c r="AE1047" s="47" t="s">
        <v>2754</v>
      </c>
      <c r="AH1047" t="str">
        <f t="shared" si="205"/>
        <v>INSERT INTO horario_curso_materia (horario_curso_materia.FK_CUR_mat,horario_curso_materia.FK_HOR,horario_curso_materia.DIA,horario_curso_materia.tipo_turno) VALUES (  (SELECT curso_materia.ID_CUR_MAT FROM curso_materia WHERE curso_materia.CUPOF='2625254' ) ,
    (SELECT horario.ID_HOR FROM horario WHERE horario.modulo='4 ' and horario.turno='T ' ),'JUEVES ' , 'CONTRATURNO ' );</v>
      </c>
    </row>
    <row r="1048" spans="1:34" ht="15" hidden="1" customHeight="1" x14ac:dyDescent="0.3">
      <c r="A1048" s="1" t="s">
        <v>1466</v>
      </c>
      <c r="B1048" s="54" t="str">
        <f t="shared" si="208"/>
        <v>6°3°4JUVESPERTINO632</v>
      </c>
      <c r="C1048" s="62">
        <v>632</v>
      </c>
      <c r="D1048" s="2" t="str">
        <f t="shared" si="191"/>
        <v>4JUVSUPERPUESTO</v>
      </c>
      <c r="E1048" s="69" t="s">
        <v>48</v>
      </c>
      <c r="F1048" s="69" t="s">
        <v>125</v>
      </c>
      <c r="G1048" s="69" t="s">
        <v>1468</v>
      </c>
      <c r="H1048" s="60" t="s">
        <v>545</v>
      </c>
      <c r="I1048" s="4" t="s">
        <v>60</v>
      </c>
      <c r="J1048" s="4"/>
      <c r="K1048" s="80" t="str">
        <f t="shared" si="207"/>
        <v>JU</v>
      </c>
      <c r="L1048" s="4" t="s">
        <v>512</v>
      </c>
      <c r="M1048" s="86" t="str">
        <f>VLOOKUP(G1048,[1]Hoja1!$A:$O,15,0)</f>
        <v>GUTIERREZ NICOLAS</v>
      </c>
      <c r="N1048" s="2" t="str">
        <f t="shared" si="206"/>
        <v>6°3°6326EFTMP6JU</v>
      </c>
      <c r="O1048" s="2" t="s">
        <v>1517</v>
      </c>
      <c r="P1048" s="2"/>
      <c r="Q1048" s="2"/>
      <c r="S1048">
        <f>VLOOKUP(G1048,[1]Hoja1!$A:$O,5,0)</f>
        <v>2625876</v>
      </c>
      <c r="U1048" s="45" t="s">
        <v>2751</v>
      </c>
      <c r="V1048" s="46">
        <f t="shared" si="200"/>
        <v>2625876</v>
      </c>
      <c r="W1048" s="47" t="s">
        <v>1519</v>
      </c>
      <c r="X1048" s="46" t="str">
        <f t="shared" si="201"/>
        <v>4</v>
      </c>
      <c r="Y1048" s="47" t="s">
        <v>1518</v>
      </c>
      <c r="Z1048" s="46" t="str">
        <f t="shared" si="202"/>
        <v>V</v>
      </c>
      <c r="AA1048" s="47" t="s">
        <v>2752</v>
      </c>
      <c r="AB1048" s="46" t="str">
        <f t="shared" si="203"/>
        <v>JUEVES</v>
      </c>
      <c r="AC1048" s="47" t="s">
        <v>2753</v>
      </c>
      <c r="AD1048" t="str">
        <f t="shared" si="204"/>
        <v>CONTRATURNO</v>
      </c>
      <c r="AE1048" s="47" t="s">
        <v>2754</v>
      </c>
      <c r="AH1048" t="str">
        <f t="shared" si="205"/>
        <v>INSERT INTO horario_curso_materia (horario_curso_materia.FK_CUR_mat,horario_curso_materia.FK_HOR,horario_curso_materia.DIA,horario_curso_materia.tipo_turno) VALUES (  (SELECT curso_materia.ID_CUR_MAT FROM curso_materia WHERE curso_materia.CUPOF='2625876' ) ,
    (SELECT horario.ID_HOR FROM horario WHERE horario.modulo='4 ' and horario.turno='V ' ),'JUEVES ' , 'CONTRATURNO ' );</v>
      </c>
    </row>
    <row r="1049" spans="1:34" ht="15" hidden="1" customHeight="1" x14ac:dyDescent="0.3">
      <c r="A1049" s="1" t="s">
        <v>1466</v>
      </c>
      <c r="B1049" s="54" t="str">
        <f t="shared" si="208"/>
        <v>6°3°4LUMAÑANA0</v>
      </c>
      <c r="C1049" s="62">
        <v>0</v>
      </c>
      <c r="D1049" s="2" t="str">
        <f t="shared" si="191"/>
        <v>4LUMAULA 3</v>
      </c>
      <c r="E1049" s="62" t="s">
        <v>31</v>
      </c>
      <c r="F1049" s="62" t="s">
        <v>27</v>
      </c>
      <c r="G1049" s="62" t="s">
        <v>1475</v>
      </c>
      <c r="H1049" s="8" t="s">
        <v>1463</v>
      </c>
      <c r="I1049" s="4" t="s">
        <v>1490</v>
      </c>
      <c r="J1049" s="4"/>
      <c r="K1049" s="80" t="str">
        <f t="shared" si="207"/>
        <v>LU</v>
      </c>
      <c r="L1049" s="4"/>
      <c r="M1049" s="86" t="str">
        <f>VLOOKUP(G1049,[1]Hoja1!$A:$O,15,0)</f>
        <v>ARANDA NELIDA 27-</v>
      </c>
      <c r="N1049" s="2" t="str">
        <f t="shared" si="206"/>
        <v>6°3°6ELITSLU</v>
      </c>
      <c r="O1049" s="2"/>
      <c r="P1049" s="2"/>
      <c r="Q1049" s="2"/>
      <c r="S1049">
        <f>VLOOKUP(G1049,[1]Hoja1!$A:$O,5,0)</f>
        <v>2625739</v>
      </c>
      <c r="U1049" s="45" t="s">
        <v>2751</v>
      </c>
      <c r="V1049" s="46">
        <f t="shared" si="200"/>
        <v>2625739</v>
      </c>
      <c r="W1049" s="47" t="s">
        <v>1519</v>
      </c>
      <c r="X1049" s="46" t="str">
        <f t="shared" si="201"/>
        <v>4</v>
      </c>
      <c r="Y1049" s="47" t="s">
        <v>1518</v>
      </c>
      <c r="Z1049" s="46" t="str">
        <f t="shared" si="202"/>
        <v>M</v>
      </c>
      <c r="AA1049" s="47" t="s">
        <v>2752</v>
      </c>
      <c r="AB1049" s="46" t="str">
        <f t="shared" si="203"/>
        <v>LUNES</v>
      </c>
      <c r="AC1049" s="47" t="s">
        <v>2753</v>
      </c>
      <c r="AD1049">
        <f t="shared" si="204"/>
        <v>0</v>
      </c>
      <c r="AE1049" s="47" t="s">
        <v>2754</v>
      </c>
      <c r="AH1049" t="str">
        <f t="shared" si="205"/>
        <v>INSERT INTO horario_curso_materia (horario_curso_materia.FK_CUR_mat,horario_curso_materia.FK_HOR,horario_curso_materia.DIA,horario_curso_materia.tipo_turno) VALUES (  (SELECT curso_materia.ID_CUR_MAT FROM curso_materia WHERE curso_materia.CUPOF='2625739' ) ,
    (SELECT horario.ID_HOR FROM horario WHERE horario.modulo='4 ' and horario.turno='M ' ),'LUNES ' , '0 ' );</v>
      </c>
    </row>
    <row r="1050" spans="1:34" ht="15" hidden="1" customHeight="1" x14ac:dyDescent="0.3">
      <c r="A1050" s="1" t="s">
        <v>1466</v>
      </c>
      <c r="B1050" s="54" t="str">
        <f t="shared" si="208"/>
        <v>6°3°4MAMAÑANA0</v>
      </c>
      <c r="C1050" s="62">
        <v>0</v>
      </c>
      <c r="D1050" s="2" t="str">
        <f t="shared" si="191"/>
        <v>4MAM33</v>
      </c>
      <c r="E1050" s="62" t="s">
        <v>16</v>
      </c>
      <c r="F1050" s="62" t="s">
        <v>27</v>
      </c>
      <c r="G1050" s="62" t="s">
        <v>1480</v>
      </c>
      <c r="H1050" s="8" t="s">
        <v>1465</v>
      </c>
      <c r="I1050" s="4">
        <v>33</v>
      </c>
      <c r="J1050" s="4"/>
      <c r="K1050" s="80" t="str">
        <f t="shared" si="207"/>
        <v>MA</v>
      </c>
      <c r="L1050" s="4"/>
      <c r="M1050" s="86" t="str">
        <f>VLOOKUP(G1050,[1]Hoja1!$A:$O,15,0)</f>
        <v>PARTOR SOLORZANO</v>
      </c>
      <c r="N1050" s="2" t="str">
        <f t="shared" si="206"/>
        <v>6°3°6ESISCOMA</v>
      </c>
      <c r="O1050" s="2"/>
      <c r="P1050" s="2"/>
      <c r="Q1050" s="2"/>
      <c r="S1050">
        <f>VLOOKUP(G1050,[1]Hoja1!$A:$O,5,0)</f>
        <v>2625804</v>
      </c>
      <c r="U1050" s="45" t="s">
        <v>2751</v>
      </c>
      <c r="V1050" s="46">
        <f t="shared" si="200"/>
        <v>2625804</v>
      </c>
      <c r="W1050" s="47" t="s">
        <v>1519</v>
      </c>
      <c r="X1050" s="46" t="str">
        <f t="shared" si="201"/>
        <v>4</v>
      </c>
      <c r="Y1050" s="47" t="s">
        <v>1518</v>
      </c>
      <c r="Z1050" s="46" t="str">
        <f t="shared" si="202"/>
        <v>M</v>
      </c>
      <c r="AA1050" s="47" t="s">
        <v>2752</v>
      </c>
      <c r="AB1050" s="46" t="str">
        <f t="shared" si="203"/>
        <v>MARTES</v>
      </c>
      <c r="AC1050" s="47" t="s">
        <v>2753</v>
      </c>
      <c r="AD1050">
        <f t="shared" si="204"/>
        <v>0</v>
      </c>
      <c r="AE1050" s="47" t="s">
        <v>2754</v>
      </c>
      <c r="AH1050" t="str">
        <f t="shared" si="205"/>
        <v>INSERT INTO horario_curso_materia (horario_curso_materia.FK_CUR_mat,horario_curso_materia.FK_HOR,horario_curso_materia.DIA,horario_curso_materia.tipo_turno) VALUES (  (SELECT curso_materia.ID_CUR_MAT FROM curso_materia WHERE curso_materia.CUPOF='2625804' ) ,
    (SELECT horario.ID_HOR FROM horario WHERE horario.modulo='4 ' and horario.turno='M ' ),'MARTES ' , '0 ' );</v>
      </c>
    </row>
    <row r="1051" spans="1:34" ht="14.25" hidden="1" customHeight="1" x14ac:dyDescent="0.3">
      <c r="A1051" s="1" t="s">
        <v>1466</v>
      </c>
      <c r="B1051" s="54" t="str">
        <f t="shared" si="208"/>
        <v>6°3°4MAVESPERTINO631</v>
      </c>
      <c r="C1051" s="62">
        <v>631</v>
      </c>
      <c r="D1051" s="2" t="str">
        <f t="shared" si="191"/>
        <v>4MAV52</v>
      </c>
      <c r="E1051" s="62" t="s">
        <v>16</v>
      </c>
      <c r="F1051" s="62" t="s">
        <v>125</v>
      </c>
      <c r="G1051" s="62" t="s">
        <v>1483</v>
      </c>
      <c r="H1051" s="8" t="s">
        <v>543</v>
      </c>
      <c r="I1051" s="4">
        <v>52</v>
      </c>
      <c r="J1051" s="4"/>
      <c r="K1051" s="80" t="str">
        <f t="shared" si="207"/>
        <v>MA</v>
      </c>
      <c r="L1051" s="4" t="s">
        <v>512</v>
      </c>
      <c r="M1051" s="86" t="str">
        <f>VLOOKUP(G1051,[1]Hoja1!$A:$O,15,0)</f>
        <v xml:space="preserve">FISTER (Serv.Prov) </v>
      </c>
      <c r="N1051" s="2" t="str">
        <f t="shared" si="206"/>
        <v>6°3°6316EFTED6MA</v>
      </c>
      <c r="O1051" s="2"/>
      <c r="P1051" s="2"/>
      <c r="Q1051" s="2"/>
      <c r="S1051">
        <f>VLOOKUP(G1051,[1]Hoja1!$A:$O,5,0)</f>
        <v>2625846</v>
      </c>
      <c r="U1051" s="45" t="s">
        <v>2751</v>
      </c>
      <c r="V1051" s="46">
        <f t="shared" si="200"/>
        <v>2625846</v>
      </c>
      <c r="W1051" s="47" t="s">
        <v>1519</v>
      </c>
      <c r="X1051" s="46" t="str">
        <f t="shared" si="201"/>
        <v>4</v>
      </c>
      <c r="Y1051" s="47" t="s">
        <v>1518</v>
      </c>
      <c r="Z1051" s="46" t="str">
        <f t="shared" si="202"/>
        <v>V</v>
      </c>
      <c r="AA1051" s="47" t="s">
        <v>2752</v>
      </c>
      <c r="AB1051" s="46" t="str">
        <f t="shared" si="203"/>
        <v>MARTES</v>
      </c>
      <c r="AC1051" s="47" t="s">
        <v>2753</v>
      </c>
      <c r="AD1051" t="str">
        <f t="shared" si="204"/>
        <v>CONTRATURNO</v>
      </c>
      <c r="AE1051" s="47" t="s">
        <v>2754</v>
      </c>
      <c r="AH1051" t="str">
        <f t="shared" si="205"/>
        <v>INSERT INTO horario_curso_materia (horario_curso_materia.FK_CUR_mat,horario_curso_materia.FK_HOR,horario_curso_materia.DIA,horario_curso_materia.tipo_turno) VALUES (  (SELECT curso_materia.ID_CUR_MAT FROM curso_materia WHERE curso_materia.CUPOF='2625846' ) ,
    (SELECT horario.ID_HOR FROM horario WHERE horario.modulo='4 ' and horario.turno='V ' ),'MARTES ' , 'CONTRATURNO ' );</v>
      </c>
    </row>
    <row r="1052" spans="1:34" ht="14.25" hidden="1" customHeight="1" x14ac:dyDescent="0.3">
      <c r="A1052" s="1" t="s">
        <v>1466</v>
      </c>
      <c r="B1052" s="54" t="str">
        <f t="shared" si="208"/>
        <v>6°3°4MAVESPERTINO632</v>
      </c>
      <c r="C1052" s="62">
        <v>632</v>
      </c>
      <c r="D1052" s="2" t="str">
        <f t="shared" si="191"/>
        <v>4MAV44</v>
      </c>
      <c r="E1052" s="62" t="s">
        <v>16</v>
      </c>
      <c r="F1052" s="62" t="s">
        <v>125</v>
      </c>
      <c r="G1052" s="62" t="s">
        <v>1479</v>
      </c>
      <c r="H1052" s="8" t="s">
        <v>543</v>
      </c>
      <c r="I1052" s="4">
        <v>44</v>
      </c>
      <c r="J1052" s="4"/>
      <c r="K1052" s="80" t="str">
        <f t="shared" si="207"/>
        <v>MA</v>
      </c>
      <c r="L1052" s="4" t="s">
        <v>512</v>
      </c>
      <c r="M1052" s="86" t="str">
        <f>VLOOKUP(G1052,[1]Hoja1!$A:$O,15,0)</f>
        <v>GONANO, GERMAN S</v>
      </c>
      <c r="N1052" s="2" t="str">
        <f t="shared" si="206"/>
        <v>6°3°6326EFTED6MA</v>
      </c>
      <c r="O1052" s="2"/>
      <c r="P1052" s="2"/>
      <c r="Q1052" s="2"/>
      <c r="S1052">
        <f>VLOOKUP(G1052,[1]Hoja1!$A:$O,5,0)</f>
        <v>2625874</v>
      </c>
      <c r="U1052" s="45" t="s">
        <v>2751</v>
      </c>
      <c r="V1052" s="46">
        <f t="shared" si="200"/>
        <v>2625874</v>
      </c>
      <c r="W1052" s="47" t="s">
        <v>1519</v>
      </c>
      <c r="X1052" s="46" t="str">
        <f t="shared" si="201"/>
        <v>4</v>
      </c>
      <c r="Y1052" s="47" t="s">
        <v>1518</v>
      </c>
      <c r="Z1052" s="46" t="str">
        <f t="shared" si="202"/>
        <v>V</v>
      </c>
      <c r="AA1052" s="47" t="s">
        <v>2752</v>
      </c>
      <c r="AB1052" s="46" t="str">
        <f t="shared" si="203"/>
        <v>MARTES</v>
      </c>
      <c r="AC1052" s="47" t="s">
        <v>2753</v>
      </c>
      <c r="AD1052" t="str">
        <f t="shared" si="204"/>
        <v>CONTRATURNO</v>
      </c>
      <c r="AE1052" s="47" t="s">
        <v>2754</v>
      </c>
      <c r="AH1052" t="str">
        <f t="shared" si="205"/>
        <v>INSERT INTO horario_curso_materia (horario_curso_materia.FK_CUR_mat,horario_curso_materia.FK_HOR,horario_curso_materia.DIA,horario_curso_materia.tipo_turno) VALUES (  (SELECT curso_materia.ID_CUR_MAT FROM curso_materia WHERE curso_materia.CUPOF='2625874' ) ,
    (SELECT horario.ID_HOR FROM horario WHERE horario.modulo='4 ' and horario.turno='V ' ),'MARTES ' , 'CONTRATURNO ' );</v>
      </c>
    </row>
    <row r="1053" spans="1:34" ht="15" hidden="1" customHeight="1" x14ac:dyDescent="0.3">
      <c r="A1053" s="1" t="s">
        <v>1466</v>
      </c>
      <c r="B1053" s="54" t="str">
        <f t="shared" si="208"/>
        <v>6°3°4miMAÑANA0</v>
      </c>
      <c r="C1053" s="62">
        <v>0</v>
      </c>
      <c r="D1053" s="2" t="str">
        <f t="shared" ref="D1053:D1116" si="209">CONCATENATE(E1053,LEFT(F1053,1),I1053)</f>
        <v>4miMAULA 3</v>
      </c>
      <c r="E1053" s="62" t="s">
        <v>1344</v>
      </c>
      <c r="F1053" s="62" t="s">
        <v>27</v>
      </c>
      <c r="G1053" s="62" t="s">
        <v>1476</v>
      </c>
      <c r="H1053" s="8" t="s">
        <v>539</v>
      </c>
      <c r="I1053" s="4" t="s">
        <v>1490</v>
      </c>
      <c r="J1053" s="4"/>
      <c r="K1053" s="80" t="str">
        <f t="shared" si="207"/>
        <v>mi</v>
      </c>
      <c r="L1053" s="4"/>
      <c r="M1053" s="86" t="str">
        <f>VLOOKUP(G1053,[1]Hoja1!$A:$O,15,0)</f>
        <v>LETIERI, MANUEL</v>
      </c>
      <c r="N1053" s="2" t="str">
        <f t="shared" si="206"/>
        <v>6°3°6EFILOmi</v>
      </c>
      <c r="O1053" s="2"/>
      <c r="P1053" s="2"/>
      <c r="Q1053" s="2"/>
      <c r="S1053">
        <f>VLOOKUP(G1053,[1]Hoja1!$A:$O,5,0)</f>
        <v>2625787</v>
      </c>
      <c r="U1053" s="45" t="s">
        <v>2751</v>
      </c>
      <c r="V1053" s="46">
        <f t="shared" si="200"/>
        <v>2625787</v>
      </c>
      <c r="W1053" s="47" t="s">
        <v>1519</v>
      </c>
      <c r="X1053" s="46" t="str">
        <f t="shared" si="201"/>
        <v>4</v>
      </c>
      <c r="Y1053" s="47" t="s">
        <v>1518</v>
      </c>
      <c r="Z1053" s="46" t="str">
        <f t="shared" si="202"/>
        <v>M</v>
      </c>
      <c r="AA1053" s="47" t="s">
        <v>2752</v>
      </c>
      <c r="AB1053" s="46" t="str">
        <f t="shared" si="203"/>
        <v>MIERCOLES</v>
      </c>
      <c r="AC1053" s="47" t="s">
        <v>2753</v>
      </c>
      <c r="AD1053">
        <f t="shared" si="204"/>
        <v>0</v>
      </c>
      <c r="AE1053" s="47" t="s">
        <v>2754</v>
      </c>
      <c r="AH1053" t="str">
        <f t="shared" si="205"/>
        <v>INSERT INTO horario_curso_materia (horario_curso_materia.FK_CUR_mat,horario_curso_materia.FK_HOR,horario_curso_materia.DIA,horario_curso_materia.tipo_turno) VALUES (  (SELECT curso_materia.ID_CUR_MAT FROM curso_materia WHERE curso_materia.CUPOF='2625787' ) ,
    (SELECT horario.ID_HOR FROM horario WHERE horario.modulo='4 ' and horario.turno='M ' ),'MIERCOLES ' , '0 ' );</v>
      </c>
    </row>
    <row r="1054" spans="1:34" ht="15" hidden="1" customHeight="1" x14ac:dyDescent="0.3">
      <c r="A1054" s="1" t="s">
        <v>1466</v>
      </c>
      <c r="B1054" s="54" t="str">
        <f t="shared" si="208"/>
        <v>6°3°4MITARDE0</v>
      </c>
      <c r="C1054" s="62">
        <v>0</v>
      </c>
      <c r="D1054" s="2" t="str">
        <f t="shared" si="209"/>
        <v>4MITPATIO2</v>
      </c>
      <c r="E1054" s="62" t="s">
        <v>52</v>
      </c>
      <c r="F1054" s="62" t="s">
        <v>10</v>
      </c>
      <c r="G1054" s="62" t="s">
        <v>1477</v>
      </c>
      <c r="H1054" s="8" t="s">
        <v>537</v>
      </c>
      <c r="I1054" s="4" t="s">
        <v>295</v>
      </c>
      <c r="J1054" s="4"/>
      <c r="K1054" s="80" t="str">
        <f t="shared" si="207"/>
        <v>MI</v>
      </c>
      <c r="L1054" s="4" t="s">
        <v>512</v>
      </c>
      <c r="M1054" s="86" t="str">
        <f>VLOOKUP(G1054,[1]Hoja1!$A:$O,15,0)</f>
        <v xml:space="preserve">LUDUEÑA NELSON </v>
      </c>
      <c r="N1054" s="2" t="str">
        <f t="shared" si="206"/>
        <v>6°3°6EEFISMI</v>
      </c>
      <c r="O1054" s="2"/>
      <c r="P1054" s="2"/>
      <c r="Q1054" s="2"/>
      <c r="S1054">
        <f>VLOOKUP(G1054,[1]Hoja1!$A:$O,5,0)</f>
        <v>2625769</v>
      </c>
      <c r="U1054" s="45" t="s">
        <v>2751</v>
      </c>
      <c r="V1054" s="46">
        <f t="shared" si="200"/>
        <v>2625769</v>
      </c>
      <c r="W1054" s="47" t="s">
        <v>1519</v>
      </c>
      <c r="X1054" s="46" t="str">
        <f t="shared" si="201"/>
        <v>4</v>
      </c>
      <c r="Y1054" s="47" t="s">
        <v>1518</v>
      </c>
      <c r="Z1054" s="46" t="str">
        <f t="shared" si="202"/>
        <v>T</v>
      </c>
      <c r="AA1054" s="47" t="s">
        <v>2752</v>
      </c>
      <c r="AB1054" s="46" t="str">
        <f t="shared" si="203"/>
        <v>MIERCOLES</v>
      </c>
      <c r="AC1054" s="47" t="s">
        <v>2753</v>
      </c>
      <c r="AD1054" t="str">
        <f t="shared" si="204"/>
        <v>CONTRATURNO</v>
      </c>
      <c r="AE1054" s="47" t="s">
        <v>2754</v>
      </c>
      <c r="AH1054" t="str">
        <f t="shared" si="205"/>
        <v>INSERT INTO horario_curso_materia (horario_curso_materia.FK_CUR_mat,horario_curso_materia.FK_HOR,horario_curso_materia.DIA,horario_curso_materia.tipo_turno) VALUES (  (SELECT curso_materia.ID_CUR_MAT FROM curso_materia WHERE curso_materia.CUPOF='2625769' ) ,
    (SELECT horario.ID_HOR FROM horario WHERE horario.modulo='4 ' and horario.turno='T ' ),'MIERCOLES ' , 'CONTRATURNO ' );</v>
      </c>
    </row>
    <row r="1055" spans="1:34" ht="15" hidden="1" customHeight="1" x14ac:dyDescent="0.3">
      <c r="A1055" s="1" t="s">
        <v>1466</v>
      </c>
      <c r="B1055" s="54" t="str">
        <f t="shared" si="208"/>
        <v>6°3°4VIMAÑANA0</v>
      </c>
      <c r="C1055" s="62">
        <v>0</v>
      </c>
      <c r="D1055" s="2" t="str">
        <f t="shared" si="209"/>
        <v>4VIMAULA 3</v>
      </c>
      <c r="E1055" s="62" t="s">
        <v>36</v>
      </c>
      <c r="F1055" s="62" t="s">
        <v>27</v>
      </c>
      <c r="G1055" s="62" t="s">
        <v>1472</v>
      </c>
      <c r="H1055" s="8" t="s">
        <v>1460</v>
      </c>
      <c r="I1055" s="4" t="s">
        <v>1490</v>
      </c>
      <c r="J1055" s="4"/>
      <c r="K1055" s="80" t="str">
        <f t="shared" si="207"/>
        <v>VI</v>
      </c>
      <c r="L1055" s="4"/>
      <c r="M1055" s="86" t="str">
        <f>VLOOKUP(G1055,[1]Hoja1!$A:$O,15,0)</f>
        <v>GARCIA CLAUDIA</v>
      </c>
      <c r="N1055" s="2" t="str">
        <f t="shared" si="206"/>
        <v>6°3°6EMATAPVI</v>
      </c>
      <c r="O1055" s="2"/>
      <c r="P1055" s="2"/>
      <c r="Q1055" s="2"/>
      <c r="S1055">
        <f>VLOOKUP(G1055,[1]Hoja1!$A:$O,5,0)</f>
        <v>2625798</v>
      </c>
      <c r="U1055" s="45" t="s">
        <v>2751</v>
      </c>
      <c r="V1055" s="46">
        <f t="shared" si="200"/>
        <v>2625798</v>
      </c>
      <c r="W1055" s="47" t="s">
        <v>1519</v>
      </c>
      <c r="X1055" s="46" t="str">
        <f t="shared" si="201"/>
        <v>4</v>
      </c>
      <c r="Y1055" s="47" t="s">
        <v>1518</v>
      </c>
      <c r="Z1055" s="46" t="str">
        <f t="shared" si="202"/>
        <v>M</v>
      </c>
      <c r="AA1055" s="47" t="s">
        <v>2752</v>
      </c>
      <c r="AB1055" s="46" t="str">
        <f t="shared" si="203"/>
        <v>VIERNES</v>
      </c>
      <c r="AC1055" s="47" t="s">
        <v>2753</v>
      </c>
      <c r="AD1055">
        <f t="shared" si="204"/>
        <v>0</v>
      </c>
      <c r="AE1055" s="47" t="s">
        <v>2754</v>
      </c>
      <c r="AH1055" t="str">
        <f t="shared" si="205"/>
        <v>INSERT INTO horario_curso_materia (horario_curso_materia.FK_CUR_mat,horario_curso_materia.FK_HOR,horario_curso_materia.DIA,horario_curso_materia.tipo_turno) VALUES (  (SELECT curso_materia.ID_CUR_MAT FROM curso_materia WHERE curso_materia.CUPOF='2625798' ) ,
    (SELECT horario.ID_HOR FROM horario WHERE horario.modulo='4 ' and horario.turno='M ' ),'VIERNES ' , '0 ' );</v>
      </c>
    </row>
    <row r="1056" spans="1:34" ht="15" hidden="1" customHeight="1" x14ac:dyDescent="0.3">
      <c r="A1056" s="1" t="s">
        <v>1466</v>
      </c>
      <c r="B1056" s="54" t="str">
        <f t="shared" si="208"/>
        <v>6°3°4VITARDE631</v>
      </c>
      <c r="C1056" s="62">
        <v>631</v>
      </c>
      <c r="D1056" s="2" t="str">
        <f t="shared" si="209"/>
        <v>4VITSUPERPUESTO</v>
      </c>
      <c r="E1056" s="62" t="s">
        <v>36</v>
      </c>
      <c r="F1056" s="62" t="s">
        <v>10</v>
      </c>
      <c r="G1056" s="62" t="s">
        <v>1482</v>
      </c>
      <c r="H1056" s="8" t="s">
        <v>1439</v>
      </c>
      <c r="I1056" s="4" t="s">
        <v>60</v>
      </c>
      <c r="J1056" s="4"/>
      <c r="K1056" s="80" t="str">
        <f t="shared" si="207"/>
        <v>VI</v>
      </c>
      <c r="L1056" s="4" t="s">
        <v>512</v>
      </c>
      <c r="M1056" s="86" t="str">
        <f>VLOOKUP(G1056,[1]Hoja1!$A:$O,15,0)</f>
        <v>GUTIERREZ NICOLAS</v>
      </c>
      <c r="N1056" s="2" t="str">
        <f t="shared" si="206"/>
        <v>6°3°6316EFTAE6VI</v>
      </c>
      <c r="O1056" s="2"/>
      <c r="P1056" s="2"/>
      <c r="Q1056" s="2"/>
      <c r="S1056">
        <f>VLOOKUP(G1056,[1]Hoja1!$A:$O,5,0)</f>
        <v>2625837</v>
      </c>
      <c r="U1056" s="45" t="s">
        <v>2751</v>
      </c>
      <c r="V1056" s="46">
        <f t="shared" si="200"/>
        <v>2625837</v>
      </c>
      <c r="W1056" s="47" t="s">
        <v>1519</v>
      </c>
      <c r="X1056" s="46" t="str">
        <f t="shared" si="201"/>
        <v>4</v>
      </c>
      <c r="Y1056" s="47" t="s">
        <v>1518</v>
      </c>
      <c r="Z1056" s="46" t="str">
        <f t="shared" si="202"/>
        <v>T</v>
      </c>
      <c r="AA1056" s="47" t="s">
        <v>2752</v>
      </c>
      <c r="AB1056" s="46" t="str">
        <f t="shared" si="203"/>
        <v>VIERNES</v>
      </c>
      <c r="AC1056" s="47" t="s">
        <v>2753</v>
      </c>
      <c r="AD1056" t="str">
        <f t="shared" si="204"/>
        <v>CONTRATURNO</v>
      </c>
      <c r="AE1056" s="47" t="s">
        <v>2754</v>
      </c>
      <c r="AH1056" t="str">
        <f t="shared" si="205"/>
        <v>INSERT INTO horario_curso_materia (horario_curso_materia.FK_CUR_mat,horario_curso_materia.FK_HOR,horario_curso_materia.DIA,horario_curso_materia.tipo_turno) VALUES (  (SELECT curso_materia.ID_CUR_MAT FROM curso_materia WHERE curso_materia.CUPOF='2625837' ) ,
    (SELECT horario.ID_HOR FROM horario WHERE horario.modulo='4 ' and horario.turno='T ' ),'VIERNES ' , 'CONTRATURNO ' );</v>
      </c>
    </row>
    <row r="1057" spans="1:34 16384:16384" ht="15" hidden="1" customHeight="1" x14ac:dyDescent="0.3">
      <c r="A1057" s="1" t="s">
        <v>1466</v>
      </c>
      <c r="B1057" s="54" t="str">
        <f t="shared" si="208"/>
        <v>6°3°4VITARDE632</v>
      </c>
      <c r="C1057" s="62">
        <v>632</v>
      </c>
      <c r="D1057" s="2" t="str">
        <f t="shared" si="209"/>
        <v>4VITrobotica</v>
      </c>
      <c r="E1057" s="62" t="s">
        <v>36</v>
      </c>
      <c r="F1057" s="62" t="s">
        <v>10</v>
      </c>
      <c r="G1057" s="62" t="s">
        <v>1481</v>
      </c>
      <c r="H1057" s="8" t="s">
        <v>1439</v>
      </c>
      <c r="I1057" s="4" t="s">
        <v>2757</v>
      </c>
      <c r="J1057" s="4"/>
      <c r="K1057" s="80" t="str">
        <f t="shared" si="207"/>
        <v>VI</v>
      </c>
      <c r="L1057" s="4" t="s">
        <v>512</v>
      </c>
      <c r="M1057" s="86" t="str">
        <f>VLOOKUP(G1057,[1]Hoja1!$A:$O,15,0)</f>
        <v>LOPEZ, JONATHAN</v>
      </c>
      <c r="N1057" s="2" t="str">
        <f t="shared" si="206"/>
        <v>6°3°6326EFTAE6VI</v>
      </c>
      <c r="O1057" s="2"/>
      <c r="P1057" s="2"/>
      <c r="Q1057" s="2"/>
      <c r="S1057">
        <f>VLOOKUP(G1057,[1]Hoja1!$A:$O,5,0)</f>
        <v>2625867</v>
      </c>
      <c r="U1057" s="45" t="s">
        <v>2751</v>
      </c>
      <c r="V1057" s="46">
        <f t="shared" si="200"/>
        <v>2625867</v>
      </c>
      <c r="W1057" s="47" t="s">
        <v>1519</v>
      </c>
      <c r="X1057" s="46" t="str">
        <f t="shared" si="201"/>
        <v>4</v>
      </c>
      <c r="Y1057" s="47" t="s">
        <v>1518</v>
      </c>
      <c r="Z1057" s="46" t="str">
        <f t="shared" si="202"/>
        <v>T</v>
      </c>
      <c r="AA1057" s="47" t="s">
        <v>2752</v>
      </c>
      <c r="AB1057" s="46" t="str">
        <f t="shared" si="203"/>
        <v>VIERNES</v>
      </c>
      <c r="AC1057" s="47" t="s">
        <v>2753</v>
      </c>
      <c r="AD1057" t="str">
        <f t="shared" si="204"/>
        <v>CONTRATURNO</v>
      </c>
      <c r="AE1057" s="47" t="s">
        <v>2754</v>
      </c>
      <c r="AH1057" t="str">
        <f t="shared" si="205"/>
        <v>INSERT INTO horario_curso_materia (horario_curso_materia.FK_CUR_mat,horario_curso_materia.FK_HOR,horario_curso_materia.DIA,horario_curso_materia.tipo_turno) VALUES (  (SELECT curso_materia.ID_CUR_MAT FROM curso_materia WHERE curso_materia.CUPOF='2625867' ) ,
    (SELECT horario.ID_HOR FROM horario WHERE horario.modulo='4 ' and horario.turno='T ' ),'VIERNES ' , 'CONTRATURNO ' );</v>
      </c>
    </row>
    <row r="1058" spans="1:34 16384:16384" ht="15" hidden="1" customHeight="1" x14ac:dyDescent="0.3">
      <c r="A1058" s="1" t="s">
        <v>1466</v>
      </c>
      <c r="B1058" s="54" t="str">
        <f t="shared" si="208"/>
        <v>6°3°5MAMAÑANA0</v>
      </c>
      <c r="C1058" s="62">
        <v>0</v>
      </c>
      <c r="D1058" s="2" t="str">
        <f t="shared" si="209"/>
        <v>5MAM33</v>
      </c>
      <c r="E1058" s="62" t="s">
        <v>103</v>
      </c>
      <c r="F1058" s="62" t="s">
        <v>27</v>
      </c>
      <c r="G1058" s="62" t="s">
        <v>1480</v>
      </c>
      <c r="H1058" s="8" t="s">
        <v>1465</v>
      </c>
      <c r="I1058" s="4">
        <v>33</v>
      </c>
      <c r="J1058" s="4"/>
      <c r="K1058" s="80" t="str">
        <f t="shared" si="207"/>
        <v>MA</v>
      </c>
      <c r="L1058" s="4"/>
      <c r="M1058" s="86" t="str">
        <f>VLOOKUP(G1058,[1]Hoja1!$A:$O,15,0)</f>
        <v>PARTOR SOLORZANO</v>
      </c>
      <c r="N1058" s="2" t="str">
        <f t="shared" si="206"/>
        <v>6°3°6ESISCOMA</v>
      </c>
      <c r="O1058" s="2"/>
      <c r="P1058" s="2"/>
      <c r="Q1058" s="2"/>
      <c r="S1058">
        <f>VLOOKUP(G1058,[1]Hoja1!$A:$O,5,0)</f>
        <v>2625804</v>
      </c>
      <c r="U1058" s="45" t="s">
        <v>2751</v>
      </c>
      <c r="V1058" s="46">
        <f t="shared" si="200"/>
        <v>2625804</v>
      </c>
      <c r="W1058" s="47" t="s">
        <v>1519</v>
      </c>
      <c r="X1058" s="46" t="str">
        <f t="shared" si="201"/>
        <v>5</v>
      </c>
      <c r="Y1058" s="47" t="s">
        <v>1518</v>
      </c>
      <c r="Z1058" s="46" t="str">
        <f t="shared" si="202"/>
        <v>M</v>
      </c>
      <c r="AA1058" s="47" t="s">
        <v>2752</v>
      </c>
      <c r="AB1058" s="46" t="str">
        <f t="shared" si="203"/>
        <v>MARTES</v>
      </c>
      <c r="AC1058" s="47" t="s">
        <v>2753</v>
      </c>
      <c r="AD1058">
        <f t="shared" si="204"/>
        <v>0</v>
      </c>
      <c r="AE1058" s="47" t="s">
        <v>2754</v>
      </c>
      <c r="AH1058" t="str">
        <f t="shared" si="205"/>
        <v>INSERT INTO horario_curso_materia (horario_curso_materia.FK_CUR_mat,horario_curso_materia.FK_HOR,horario_curso_materia.DIA,horario_curso_materia.tipo_turno) VALUES (  (SELECT curso_materia.ID_CUR_MAT FROM curso_materia WHERE curso_materia.CUPOF='2625804' ) ,
    (SELECT horario.ID_HOR FROM horario WHERE horario.modulo='5 ' and horario.turno='M ' ),'MARTES ' , '0 ' );</v>
      </c>
    </row>
    <row r="1059" spans="1:34 16384:16384" ht="15" hidden="1" customHeight="1" x14ac:dyDescent="0.3">
      <c r="A1059" s="1" t="str">
        <f t="shared" ref="A1059:A1090" si="210">LEFT(B1059,4)</f>
        <v>6°4°</v>
      </c>
      <c r="B1059" s="54" t="str">
        <f t="shared" si="208"/>
        <v>6°4°1JUTARDE0</v>
      </c>
      <c r="C1059" s="62">
        <f>VLOOKUP(G1059,[1]Hoja1!$A:$O,3,0)</f>
        <v>0</v>
      </c>
      <c r="D1059" s="2" t="str">
        <f t="shared" si="209"/>
        <v>1JUT</v>
      </c>
      <c r="E1059" s="62" t="s">
        <v>43</v>
      </c>
      <c r="F1059" s="62" t="s">
        <v>10</v>
      </c>
      <c r="G1059" s="62" t="s">
        <v>465</v>
      </c>
      <c r="H1059" s="8" t="str">
        <f>VLOOKUP(G1059,[1]Hoja1!$A:$O,6,0)</f>
        <v>INGLÉS</v>
      </c>
      <c r="I1059" s="4"/>
      <c r="J1059" s="4"/>
      <c r="K1059" s="80" t="str">
        <f t="shared" si="207"/>
        <v>JU</v>
      </c>
      <c r="L1059" s="4"/>
      <c r="M1059" s="86" t="str">
        <f>VLOOKUP(G1059,[1]Hoja1!$A:$O,15,0)</f>
        <v xml:space="preserve">ARCE KARINA </v>
      </c>
      <c r="N1059" s="2" t="str">
        <f t="shared" si="206"/>
        <v>6°4°6EINGSJU</v>
      </c>
      <c r="O1059" s="2"/>
      <c r="P1059" s="2" t="str">
        <f>VLOOKUP(G1059,[1]Hoja1!$A:$P,16,0)</f>
        <v xml:space="preserve"> </v>
      </c>
      <c r="Q1059" s="2"/>
      <c r="S1059">
        <f>VLOOKUP(G1059,[1]Hoja1!$A:$O,5,0)</f>
        <v>2683103</v>
      </c>
      <c r="U1059" s="45" t="s">
        <v>2751</v>
      </c>
      <c r="V1059" s="46">
        <f t="shared" si="200"/>
        <v>2683103</v>
      </c>
      <c r="W1059" s="47" t="s">
        <v>1519</v>
      </c>
      <c r="X1059" s="46" t="str">
        <f t="shared" si="201"/>
        <v>1</v>
      </c>
      <c r="Y1059" s="47" t="s">
        <v>1518</v>
      </c>
      <c r="Z1059" s="46" t="str">
        <f t="shared" si="202"/>
        <v>T</v>
      </c>
      <c r="AA1059" s="47" t="s">
        <v>2752</v>
      </c>
      <c r="AB1059" s="46" t="str">
        <f t="shared" si="203"/>
        <v>JUEVES</v>
      </c>
      <c r="AC1059" s="47" t="s">
        <v>2753</v>
      </c>
      <c r="AD1059">
        <f t="shared" si="204"/>
        <v>0</v>
      </c>
      <c r="AE1059" s="47" t="s">
        <v>2754</v>
      </c>
      <c r="AH1059" t="str">
        <f t="shared" si="205"/>
        <v>INSERT INTO horario_curso_materia (horario_curso_materia.FK_CUR_mat,horario_curso_materia.FK_HOR,horario_curso_materia.DIA,horario_curso_materia.tipo_turno) VALUES (  (SELECT curso_materia.ID_CUR_MAT FROM curso_materia WHERE curso_materia.CUPOF='2683103' ) ,
    (SELECT horario.ID_HOR FROM horario WHERE horario.modulo='1 ' and horario.turno='T ' ),'JUEVES ' , '0 ' );</v>
      </c>
    </row>
    <row r="1060" spans="1:34 16384:16384" ht="15" hidden="1" customHeight="1" x14ac:dyDescent="0.3">
      <c r="A1060" s="1" t="str">
        <f t="shared" si="210"/>
        <v>6°4°</v>
      </c>
      <c r="B1060" s="54" t="str">
        <f t="shared" si="208"/>
        <v>6°4°1JUVESPERTINO641</v>
      </c>
      <c r="C1060" s="62">
        <f>VLOOKUP(G1060,[1]Hoja1!$A:$O,3,0)</f>
        <v>641</v>
      </c>
      <c r="D1060" s="2" t="str">
        <f t="shared" si="209"/>
        <v>1JUV45</v>
      </c>
      <c r="E1060" s="62" t="s">
        <v>43</v>
      </c>
      <c r="F1060" s="62" t="s">
        <v>125</v>
      </c>
      <c r="G1060" s="62" t="s">
        <v>213</v>
      </c>
      <c r="H1060" s="8" t="str">
        <f>VLOOKUP(G1060,[1]Hoja1!$A:$O,6,0)</f>
        <v>APLIC ELECT ANALOG</v>
      </c>
      <c r="I1060" s="4">
        <v>45</v>
      </c>
      <c r="J1060" s="4"/>
      <c r="K1060" s="80" t="str">
        <f t="shared" si="207"/>
        <v>JU</v>
      </c>
      <c r="L1060" s="4" t="s">
        <v>512</v>
      </c>
      <c r="M1060" s="86" t="str">
        <f>VLOOKUP(G1060,[1]Hoja1!$A:$O,15,0)</f>
        <v xml:space="preserve">MARTINEZ, SILVIO </v>
      </c>
      <c r="N1060" s="2" t="str">
        <f t="shared" si="206"/>
        <v>6°4°6416EFTAE6JU</v>
      </c>
      <c r="O1060" s="2"/>
      <c r="P1060" s="2" t="str">
        <f>VLOOKUP(G1060,[1]Hoja1!$A:$P,16,0)</f>
        <v xml:space="preserve"> </v>
      </c>
      <c r="Q1060" s="2"/>
      <c r="S1060">
        <f>VLOOKUP(G1060,[1]Hoja1!$A:$O,5,0)</f>
        <v>2683113</v>
      </c>
      <c r="U1060" s="45" t="s">
        <v>2751</v>
      </c>
      <c r="V1060" s="46">
        <f t="shared" si="200"/>
        <v>2683113</v>
      </c>
      <c r="W1060" s="47" t="s">
        <v>1519</v>
      </c>
      <c r="X1060" s="46" t="str">
        <f t="shared" si="201"/>
        <v>1</v>
      </c>
      <c r="Y1060" s="47" t="s">
        <v>1518</v>
      </c>
      <c r="Z1060" s="46" t="str">
        <f t="shared" si="202"/>
        <v>V</v>
      </c>
      <c r="AA1060" s="47" t="s">
        <v>2752</v>
      </c>
      <c r="AB1060" s="46" t="str">
        <f t="shared" si="203"/>
        <v>JUEVES</v>
      </c>
      <c r="AC1060" s="47" t="s">
        <v>2753</v>
      </c>
      <c r="AD1060" t="str">
        <f t="shared" si="204"/>
        <v>CONTRATURNO</v>
      </c>
      <c r="AE1060" s="47" t="s">
        <v>2754</v>
      </c>
      <c r="AH1060" t="str">
        <f t="shared" si="205"/>
        <v>INSERT INTO horario_curso_materia (horario_curso_materia.FK_CUR_mat,horario_curso_materia.FK_HOR,horario_curso_materia.DIA,horario_curso_materia.tipo_turno) VALUES (  (SELECT curso_materia.ID_CUR_MAT FROM curso_materia WHERE curso_materia.CUPOF='2683113' ) ,
    (SELECT horario.ID_HOR FROM horario WHERE horario.modulo='1 ' and horario.turno='V ' ),'JUEVES ' , 'CONTRATURNO ' );</v>
      </c>
    </row>
    <row r="1061" spans="1:34 16384:16384" ht="15" hidden="1" customHeight="1" x14ac:dyDescent="0.3">
      <c r="A1061" s="1" t="str">
        <f t="shared" si="210"/>
        <v>6°4°</v>
      </c>
      <c r="B1061" s="54" t="str">
        <f t="shared" si="208"/>
        <v>6°4°1juVESPERTINO642</v>
      </c>
      <c r="C1061" s="62">
        <f>VLOOKUP(G1061,[1]Hoja1!$A:$O,3,0)</f>
        <v>642</v>
      </c>
      <c r="D1061" s="2" t="str">
        <f t="shared" si="209"/>
        <v>1juVHERRERIA</v>
      </c>
      <c r="E1061" s="62" t="s">
        <v>1348</v>
      </c>
      <c r="F1061" s="62" t="s">
        <v>125</v>
      </c>
      <c r="G1061" s="62" t="s">
        <v>218</v>
      </c>
      <c r="H1061" s="8" t="str">
        <f>VLOOKUP(G1061,[1]Hoja1!$A:$O,6,0)</f>
        <v>APLIC ELECT ANALOG</v>
      </c>
      <c r="I1061" s="4" t="s">
        <v>21</v>
      </c>
      <c r="J1061" s="4"/>
      <c r="K1061" s="80" t="str">
        <f t="shared" si="207"/>
        <v>ju</v>
      </c>
      <c r="L1061" s="4" t="s">
        <v>512</v>
      </c>
      <c r="M1061" s="86" t="str">
        <f>VLOOKUP(G1061,[1]Hoja1!$A:$O,15,0)</f>
        <v>BULACIO ARIEL</v>
      </c>
      <c r="N1061" s="2" t="str">
        <f t="shared" si="206"/>
        <v>6°4°6426EFTAE6ju</v>
      </c>
      <c r="O1061" s="2" t="s">
        <v>1512</v>
      </c>
      <c r="P1061" s="2" t="str">
        <f>VLOOKUP(G1061,[1]Hoja1!$A:$P,16,0)</f>
        <v xml:space="preserve"> </v>
      </c>
      <c r="Q1061" s="2"/>
      <c r="S1061">
        <f>VLOOKUP(G1061,[1]Hoja1!$A:$O,5,0)</f>
        <v>2683119</v>
      </c>
      <c r="U1061" s="45" t="s">
        <v>2751</v>
      </c>
      <c r="V1061" s="46">
        <f t="shared" si="200"/>
        <v>2683119</v>
      </c>
      <c r="W1061" s="47" t="s">
        <v>1519</v>
      </c>
      <c r="X1061" s="46" t="str">
        <f t="shared" si="201"/>
        <v>1</v>
      </c>
      <c r="Y1061" s="47" t="s">
        <v>1518</v>
      </c>
      <c r="Z1061" s="46" t="str">
        <f t="shared" si="202"/>
        <v>V</v>
      </c>
      <c r="AA1061" s="47" t="s">
        <v>2752</v>
      </c>
      <c r="AB1061" s="46" t="str">
        <f t="shared" si="203"/>
        <v>JUEVES</v>
      </c>
      <c r="AC1061" s="47" t="s">
        <v>2753</v>
      </c>
      <c r="AD1061" t="str">
        <f t="shared" si="204"/>
        <v>CONTRATURNO</v>
      </c>
      <c r="AE1061" s="47" t="s">
        <v>2754</v>
      </c>
      <c r="AH1061" t="str">
        <f t="shared" si="205"/>
        <v>INSERT INTO horario_curso_materia (horario_curso_materia.FK_CUR_mat,horario_curso_materia.FK_HOR,horario_curso_materia.DIA,horario_curso_materia.tipo_turno) VALUES (  (SELECT curso_materia.ID_CUR_MAT FROM curso_materia WHERE curso_materia.CUPOF='2683119' ) ,
    (SELECT horario.ID_HOR FROM horario WHERE horario.modulo='1 ' and horario.turno='V ' ),'JUEVES ' , 'CONTRATURNO ' );</v>
      </c>
    </row>
    <row r="1062" spans="1:34 16384:16384" ht="15" hidden="1" customHeight="1" x14ac:dyDescent="0.3">
      <c r="A1062" s="1" t="str">
        <f t="shared" si="210"/>
        <v>6°4°</v>
      </c>
      <c r="B1062" s="54" t="str">
        <f t="shared" si="208"/>
        <v>6°4°1LUMAÑANA641</v>
      </c>
      <c r="C1062" s="62">
        <f>VLOOKUP(G1062,[1]Hoja1!$A:$O,3,0)</f>
        <v>641</v>
      </c>
      <c r="D1062" s="2" t="str">
        <f t="shared" si="209"/>
        <v>1LUM44</v>
      </c>
      <c r="E1062" s="62" t="s">
        <v>9</v>
      </c>
      <c r="F1062" s="62" t="s">
        <v>27</v>
      </c>
      <c r="G1062" s="62" t="s">
        <v>211</v>
      </c>
      <c r="H1062" s="8" t="str">
        <f>VLOOKUP(G1062,[1]Hoja1!$A:$O,6,0)</f>
        <v xml:space="preserve">MONTAJE DE PROYECTO ELECTRONICOS </v>
      </c>
      <c r="I1062" s="4">
        <v>44</v>
      </c>
      <c r="J1062" s="4"/>
      <c r="K1062" s="80" t="str">
        <f t="shared" si="207"/>
        <v>LU</v>
      </c>
      <c r="L1062" s="4" t="s">
        <v>512</v>
      </c>
      <c r="M1062" s="86" t="str">
        <f>VLOOKUP(G1062,[1]Hoja1!$A:$O,15,0)</f>
        <v>SAUCEDO GUSTAVO</v>
      </c>
      <c r="N1062" s="2" t="str">
        <f t="shared" si="206"/>
        <v>6°4°6416EFTMP6LU</v>
      </c>
      <c r="O1062" s="2"/>
      <c r="P1062" s="2" t="str">
        <f>VLOOKUP(G1062,[1]Hoja1!$A:$P,16,0)</f>
        <v xml:space="preserve"> </v>
      </c>
      <c r="Q1062" s="2"/>
      <c r="S1062">
        <f>VLOOKUP(G1062,[1]Hoja1!$A:$O,5,0)</f>
        <v>2683116</v>
      </c>
      <c r="U1062" s="45" t="s">
        <v>2751</v>
      </c>
      <c r="V1062" s="46">
        <f t="shared" si="200"/>
        <v>2683116</v>
      </c>
      <c r="W1062" s="47" t="s">
        <v>1519</v>
      </c>
      <c r="X1062" s="46" t="str">
        <f t="shared" si="201"/>
        <v>1</v>
      </c>
      <c r="Y1062" s="47" t="s">
        <v>1518</v>
      </c>
      <c r="Z1062" s="46" t="str">
        <f t="shared" si="202"/>
        <v>M</v>
      </c>
      <c r="AA1062" s="47" t="s">
        <v>2752</v>
      </c>
      <c r="AB1062" s="46" t="str">
        <f t="shared" si="203"/>
        <v>LUNES</v>
      </c>
      <c r="AC1062" s="47" t="s">
        <v>2753</v>
      </c>
      <c r="AD1062" t="str">
        <f t="shared" si="204"/>
        <v>CONTRATURNO</v>
      </c>
      <c r="AE1062" s="47" t="s">
        <v>2754</v>
      </c>
      <c r="AH1062" t="str">
        <f t="shared" si="205"/>
        <v>INSERT INTO horario_curso_materia (horario_curso_materia.FK_CUR_mat,horario_curso_materia.FK_HOR,horario_curso_materia.DIA,horario_curso_materia.tipo_turno) VALUES (  (SELECT curso_materia.ID_CUR_MAT FROM curso_materia WHERE curso_materia.CUPOF='2683116' ) ,
    (SELECT horario.ID_HOR FROM horario WHERE horario.modulo='1 ' and horario.turno='M ' ),'LUNES ' , 'CONTRATURNO ' );</v>
      </c>
    </row>
    <row r="1063" spans="1:34 16384:16384" ht="15" hidden="1" customHeight="1" x14ac:dyDescent="0.3">
      <c r="A1063" s="1" t="str">
        <f t="shared" si="210"/>
        <v>6°4°</v>
      </c>
      <c r="B1063" s="54" t="str">
        <f t="shared" si="208"/>
        <v>6°4°1LUTARDE0</v>
      </c>
      <c r="C1063" s="62">
        <f>VLOOKUP(G1063,[1]Hoja1!$A:$O,3,0)</f>
        <v>0</v>
      </c>
      <c r="D1063" s="2" t="str">
        <f t="shared" si="209"/>
        <v>1LUT</v>
      </c>
      <c r="E1063" s="62" t="s">
        <v>9</v>
      </c>
      <c r="F1063" s="62" t="s">
        <v>10</v>
      </c>
      <c r="G1063" s="62" t="s">
        <v>459</v>
      </c>
      <c r="H1063" s="8" t="str">
        <f>VLOOKUP(G1063,[1]Hoja1!$A:$O,6,0)</f>
        <v>ARTE</v>
      </c>
      <c r="I1063" s="4"/>
      <c r="J1063" s="4"/>
      <c r="K1063" s="80" t="str">
        <f t="shared" si="207"/>
        <v>LU</v>
      </c>
      <c r="L1063" s="4"/>
      <c r="M1063" s="86" t="str">
        <f>VLOOKUP(G1063,[1]Hoja1!$A:$O,15,0)</f>
        <v>FERNANDEZ MAXIMILIANO</v>
      </c>
      <c r="N1063" s="2" t="str">
        <f t="shared" si="206"/>
        <v>6°4°6EARTELU</v>
      </c>
      <c r="O1063" s="2"/>
      <c r="P1063" s="2" t="str">
        <f>VLOOKUP(G1063,[1]Hoja1!$A:$P,16,0)</f>
        <v xml:space="preserve"> </v>
      </c>
      <c r="Q1063" s="2"/>
      <c r="S1063">
        <f>VLOOKUP(G1063,[1]Hoja1!$A:$O,5,0)</f>
        <v>2683106</v>
      </c>
      <c r="U1063" s="45" t="s">
        <v>2751</v>
      </c>
      <c r="V1063" s="46">
        <f t="shared" si="200"/>
        <v>2683106</v>
      </c>
      <c r="W1063" s="47" t="s">
        <v>1519</v>
      </c>
      <c r="X1063" s="46" t="str">
        <f t="shared" si="201"/>
        <v>1</v>
      </c>
      <c r="Y1063" s="47" t="s">
        <v>1518</v>
      </c>
      <c r="Z1063" s="46" t="str">
        <f t="shared" si="202"/>
        <v>T</v>
      </c>
      <c r="AA1063" s="47" t="s">
        <v>2752</v>
      </c>
      <c r="AB1063" s="46" t="str">
        <f t="shared" si="203"/>
        <v>LUNES</v>
      </c>
      <c r="AC1063" s="47" t="s">
        <v>2753</v>
      </c>
      <c r="AD1063">
        <f t="shared" si="204"/>
        <v>0</v>
      </c>
      <c r="AE1063" s="47" t="s">
        <v>2754</v>
      </c>
      <c r="AH1063" t="str">
        <f t="shared" si="205"/>
        <v>INSERT INTO horario_curso_materia (horario_curso_materia.FK_CUR_mat,horario_curso_materia.FK_HOR,horario_curso_materia.DIA,horario_curso_materia.tipo_turno) VALUES (  (SELECT curso_materia.ID_CUR_MAT FROM curso_materia WHERE curso_materia.CUPOF='2683106' ) ,
    (SELECT horario.ID_HOR FROM horario WHERE horario.modulo='1 ' and horario.turno='T ' ),'LUNES ' , '0 ' );</v>
      </c>
    </row>
    <row r="1064" spans="1:34 16384:16384" ht="15" hidden="1" customHeight="1" x14ac:dyDescent="0.3">
      <c r="A1064" s="1" t="str">
        <f t="shared" si="210"/>
        <v>6°4°</v>
      </c>
      <c r="B1064" s="54" t="str">
        <f t="shared" si="208"/>
        <v>6°4°1LUVESPERTINO0</v>
      </c>
      <c r="C1064" s="62">
        <f>VLOOKUP(G1064,[1]Hoja1!$A:$O,3,0)</f>
        <v>0</v>
      </c>
      <c r="D1064" s="2" t="str">
        <f t="shared" si="209"/>
        <v>1LUV33</v>
      </c>
      <c r="E1064" s="62" t="s">
        <v>9</v>
      </c>
      <c r="F1064" s="62" t="s">
        <v>125</v>
      </c>
      <c r="G1064" s="62" t="s">
        <v>461</v>
      </c>
      <c r="H1064" s="8" t="str">
        <f>VLOOKUP(G1064,[1]Hoja1!$A:$O,6,0)</f>
        <v>SISTEMA DE COMUNICACIONES</v>
      </c>
      <c r="I1064" s="4">
        <v>33</v>
      </c>
      <c r="J1064" s="4"/>
      <c r="K1064" s="80" t="str">
        <f t="shared" si="207"/>
        <v>LU</v>
      </c>
      <c r="L1064" s="4" t="s">
        <v>512</v>
      </c>
      <c r="M1064" s="86" t="str">
        <f>VLOOKUP(G1064,[1]Hoja1!$A:$O,15,0)</f>
        <v>DELGADO ARIEL</v>
      </c>
      <c r="N1064" s="2" t="str">
        <f t="shared" si="206"/>
        <v>6°4°6ESISCOLU</v>
      </c>
      <c r="O1064" s="2"/>
      <c r="P1064" s="2" t="str">
        <f>VLOOKUP(G1064,[1]Hoja1!$A:$P,16,0)</f>
        <v xml:space="preserve"> </v>
      </c>
      <c r="S1064">
        <f>VLOOKUP(G1064,[1]Hoja1!$A:$O,5,0)</f>
        <v>2683108</v>
      </c>
      <c r="U1064" s="45" t="s">
        <v>2751</v>
      </c>
      <c r="V1064" s="46">
        <f t="shared" si="200"/>
        <v>2683108</v>
      </c>
      <c r="W1064" s="47" t="s">
        <v>1519</v>
      </c>
      <c r="X1064" s="46" t="str">
        <f t="shared" si="201"/>
        <v>1</v>
      </c>
      <c r="Y1064" s="47" t="s">
        <v>1518</v>
      </c>
      <c r="Z1064" s="46" t="str">
        <f t="shared" si="202"/>
        <v>V</v>
      </c>
      <c r="AA1064" s="47" t="s">
        <v>2752</v>
      </c>
      <c r="AB1064" s="46" t="str">
        <f t="shared" si="203"/>
        <v>LUNES</v>
      </c>
      <c r="AC1064" s="47" t="s">
        <v>2753</v>
      </c>
      <c r="AD1064" t="str">
        <f t="shared" si="204"/>
        <v>CONTRATURNO</v>
      </c>
      <c r="AE1064" s="47" t="s">
        <v>2754</v>
      </c>
      <c r="AH1064" t="str">
        <f t="shared" si="205"/>
        <v>INSERT INTO horario_curso_materia (horario_curso_materia.FK_CUR_mat,horario_curso_materia.FK_HOR,horario_curso_materia.DIA,horario_curso_materia.tipo_turno) VALUES (  (SELECT curso_materia.ID_CUR_MAT FROM curso_materia WHERE curso_materia.CUPOF='2683108' ) ,
    (SELECT horario.ID_HOR FROM horario WHERE horario.modulo='1 ' and horario.turno='V ' ),'LUNES ' , 'CONTRATURNO ' );</v>
      </c>
      <c r="XFD1064" s="2"/>
    </row>
    <row r="1065" spans="1:34 16384:16384" ht="14.25" hidden="1" customHeight="1" x14ac:dyDescent="0.3">
      <c r="A1065" s="1" t="str">
        <f t="shared" si="210"/>
        <v>6°4°</v>
      </c>
      <c r="B1065" s="54" t="str">
        <f t="shared" si="208"/>
        <v>6°4°1MAMAÑANA642</v>
      </c>
      <c r="C1065" s="62">
        <f>VLOOKUP(G1065,[1]Hoja1!$A:$O,3,0)</f>
        <v>642</v>
      </c>
      <c r="D1065" s="2" t="str">
        <f t="shared" si="209"/>
        <v>1MAMHARDWARE</v>
      </c>
      <c r="E1065" s="62" t="s">
        <v>17</v>
      </c>
      <c r="F1065" s="62" t="s">
        <v>27</v>
      </c>
      <c r="G1065" s="62" t="s">
        <v>214</v>
      </c>
      <c r="H1065" s="8" t="str">
        <f>VLOOKUP(G1065,[1]Hoja1!$A:$O,6,0)</f>
        <v xml:space="preserve">APLIC ELECTR DIGITAL </v>
      </c>
      <c r="I1065" s="4" t="s">
        <v>38</v>
      </c>
      <c r="J1065" s="4"/>
      <c r="K1065" s="80" t="str">
        <f t="shared" si="207"/>
        <v>MA</v>
      </c>
      <c r="L1065" s="4" t="s">
        <v>512</v>
      </c>
      <c r="M1065" s="86" t="str">
        <f>VLOOKUP(G1065,[1]Hoja1!$A:$O,15,0)</f>
        <v>BARONI ROBERTO ALEJANDRO</v>
      </c>
      <c r="N1065" s="2" t="str">
        <f t="shared" si="206"/>
        <v>6°4°6426EFTED6MA</v>
      </c>
      <c r="O1065" s="2"/>
      <c r="P1065" s="2" t="str">
        <f>VLOOKUP(G1065,[1]Hoja1!$A:$P,16,0)</f>
        <v xml:space="preserve"> </v>
      </c>
      <c r="Q1065" s="2"/>
      <c r="S1065">
        <f>VLOOKUP(G1065,[1]Hoja1!$A:$O,5,0)</f>
        <v>2683120</v>
      </c>
      <c r="U1065" s="45" t="s">
        <v>2751</v>
      </c>
      <c r="V1065" s="46">
        <f t="shared" si="200"/>
        <v>2683120</v>
      </c>
      <c r="W1065" s="47" t="s">
        <v>1519</v>
      </c>
      <c r="X1065" s="46" t="str">
        <f t="shared" si="201"/>
        <v>1</v>
      </c>
      <c r="Y1065" s="47" t="s">
        <v>1518</v>
      </c>
      <c r="Z1065" s="46" t="str">
        <f t="shared" si="202"/>
        <v>M</v>
      </c>
      <c r="AA1065" s="47" t="s">
        <v>2752</v>
      </c>
      <c r="AB1065" s="46" t="str">
        <f t="shared" si="203"/>
        <v>MARTES</v>
      </c>
      <c r="AC1065" s="47" t="s">
        <v>2753</v>
      </c>
      <c r="AD1065" t="str">
        <f t="shared" si="204"/>
        <v>CONTRATURNO</v>
      </c>
      <c r="AE1065" s="47" t="s">
        <v>2754</v>
      </c>
      <c r="AH1065" t="str">
        <f t="shared" si="205"/>
        <v>INSERT INTO horario_curso_materia (horario_curso_materia.FK_CUR_mat,horario_curso_materia.FK_HOR,horario_curso_materia.DIA,horario_curso_materia.tipo_turno) VALUES (  (SELECT curso_materia.ID_CUR_MAT FROM curso_materia WHERE curso_materia.CUPOF='2683120' ) ,
    (SELECT horario.ID_HOR FROM horario WHERE horario.modulo='1 ' and horario.turno='M ' ),'MARTES ' , 'CONTRATURNO ' );</v>
      </c>
    </row>
    <row r="1066" spans="1:34 16384:16384" ht="15" hidden="1" customHeight="1" x14ac:dyDescent="0.3">
      <c r="A1066" s="1" t="str">
        <f t="shared" si="210"/>
        <v>6°4°</v>
      </c>
      <c r="B1066" s="54" t="str">
        <f t="shared" si="208"/>
        <v>6°4°1MATARDE0</v>
      </c>
      <c r="C1066" s="62">
        <f>VLOOKUP(G1066,[1]Hoja1!$A:$O,3,0)</f>
        <v>0</v>
      </c>
      <c r="D1066" s="2" t="str">
        <f t="shared" si="209"/>
        <v>1MAT</v>
      </c>
      <c r="E1066" s="62" t="s">
        <v>17</v>
      </c>
      <c r="F1066" s="62" t="s">
        <v>10</v>
      </c>
      <c r="G1066" s="62" t="s">
        <v>462</v>
      </c>
      <c r="H1066" s="8" t="str">
        <f>VLOOKUP(G1066,[1]Hoja1!$A:$O,6,0)</f>
        <v>INSTALACIONES Y MAQUINAS ELECTRICAS</v>
      </c>
      <c r="I1066" s="4"/>
      <c r="J1066" s="4"/>
      <c r="K1066" s="80" t="str">
        <f t="shared" si="207"/>
        <v>MA</v>
      </c>
      <c r="L1066" s="4"/>
      <c r="M1066" s="86" t="str">
        <f>VLOOKUP(G1066,[1]Hoja1!$A:$O,15,0)</f>
        <v xml:space="preserve">SAUCEDO GUSTAVO </v>
      </c>
      <c r="N1066" s="2" t="str">
        <f t="shared" si="206"/>
        <v>6°4°6EINSMAMA</v>
      </c>
      <c r="O1066" s="2"/>
      <c r="P1066" s="2" t="str">
        <f>VLOOKUP(G1066,[1]Hoja1!$A:$P,16,0)</f>
        <v xml:space="preserve"> </v>
      </c>
      <c r="Q1066" s="2"/>
      <c r="S1066">
        <f>VLOOKUP(G1066,[1]Hoja1!$A:$O,5,0)</f>
        <v>2683109</v>
      </c>
      <c r="U1066" s="45" t="s">
        <v>2751</v>
      </c>
      <c r="V1066" s="46">
        <f t="shared" si="200"/>
        <v>2683109</v>
      </c>
      <c r="W1066" s="47" t="s">
        <v>1519</v>
      </c>
      <c r="X1066" s="46" t="str">
        <f t="shared" si="201"/>
        <v>1</v>
      </c>
      <c r="Y1066" s="47" t="s">
        <v>1518</v>
      </c>
      <c r="Z1066" s="46" t="str">
        <f t="shared" si="202"/>
        <v>T</v>
      </c>
      <c r="AA1066" s="47" t="s">
        <v>2752</v>
      </c>
      <c r="AB1066" s="46" t="str">
        <f t="shared" si="203"/>
        <v>MARTES</v>
      </c>
      <c r="AC1066" s="47" t="s">
        <v>2753</v>
      </c>
      <c r="AD1066">
        <f t="shared" si="204"/>
        <v>0</v>
      </c>
      <c r="AE1066" s="47" t="s">
        <v>2754</v>
      </c>
      <c r="AH1066" t="str">
        <f t="shared" si="205"/>
        <v>INSERT INTO horario_curso_materia (horario_curso_materia.FK_CUR_mat,horario_curso_materia.FK_HOR,horario_curso_materia.DIA,horario_curso_materia.tipo_turno) VALUES (  (SELECT curso_materia.ID_CUR_MAT FROM curso_materia WHERE curso_materia.CUPOF='2683109' ) ,
    (SELECT horario.ID_HOR FROM horario WHERE horario.modulo='1 ' and horario.turno='T ' ),'MARTES ' , '0 ' );</v>
      </c>
    </row>
    <row r="1067" spans="1:34 16384:16384" ht="15" hidden="1" customHeight="1" x14ac:dyDescent="0.3">
      <c r="A1067" s="1" t="str">
        <f t="shared" si="210"/>
        <v>6°4°</v>
      </c>
      <c r="B1067" s="54" t="str">
        <f t="shared" si="208"/>
        <v>6°4°1MITARDE0</v>
      </c>
      <c r="C1067" s="62">
        <f>VLOOKUP(G1067,[1]Hoja1!$A:$O,3,0)</f>
        <v>0</v>
      </c>
      <c r="D1067" s="2" t="str">
        <f t="shared" si="209"/>
        <v>1MIT</v>
      </c>
      <c r="E1067" s="62" t="s">
        <v>24</v>
      </c>
      <c r="F1067" s="62" t="s">
        <v>10</v>
      </c>
      <c r="G1067" s="62" t="s">
        <v>463</v>
      </c>
      <c r="H1067" s="8" t="str">
        <f>VLOOKUP(G1067,[1]Hoja1!$A:$O,6,0)</f>
        <v>DERECHO DE TRABAJO</v>
      </c>
      <c r="I1067" s="4"/>
      <c r="J1067" s="4"/>
      <c r="K1067" s="80" t="str">
        <f t="shared" si="207"/>
        <v>MI</v>
      </c>
      <c r="L1067" s="4"/>
      <c r="M1067" s="86" t="str">
        <f>VLOOKUP(G1067,[1]Hoja1!$A:$O,15,0)</f>
        <v xml:space="preserve">GORDILLO NORA </v>
      </c>
      <c r="N1067" s="2" t="str">
        <f t="shared" si="206"/>
        <v>6°4°6EDETRAMI</v>
      </c>
      <c r="O1067" s="2"/>
      <c r="P1067" s="2" t="str">
        <f>VLOOKUP(G1067,[1]Hoja1!$A:$P,16,0)</f>
        <v xml:space="preserve"> </v>
      </c>
      <c r="Q1067" s="2"/>
      <c r="S1067">
        <f>VLOOKUP(G1067,[1]Hoja1!$A:$O,5,0)</f>
        <v>2683111</v>
      </c>
      <c r="U1067" s="45" t="s">
        <v>2751</v>
      </c>
      <c r="V1067" s="46">
        <f t="shared" si="200"/>
        <v>2683111</v>
      </c>
      <c r="W1067" s="47" t="s">
        <v>1519</v>
      </c>
      <c r="X1067" s="46" t="str">
        <f t="shared" si="201"/>
        <v>1</v>
      </c>
      <c r="Y1067" s="47" t="s">
        <v>1518</v>
      </c>
      <c r="Z1067" s="46" t="str">
        <f t="shared" si="202"/>
        <v>T</v>
      </c>
      <c r="AA1067" s="47" t="s">
        <v>2752</v>
      </c>
      <c r="AB1067" s="46" t="str">
        <f t="shared" si="203"/>
        <v>MIERCOLES</v>
      </c>
      <c r="AC1067" s="47" t="s">
        <v>2753</v>
      </c>
      <c r="AD1067">
        <f t="shared" si="204"/>
        <v>0</v>
      </c>
      <c r="AE1067" s="47" t="s">
        <v>2754</v>
      </c>
      <c r="AH1067" t="str">
        <f t="shared" si="205"/>
        <v>INSERT INTO horario_curso_materia (horario_curso_materia.FK_CUR_mat,horario_curso_materia.FK_HOR,horario_curso_materia.DIA,horario_curso_materia.tipo_turno) VALUES (  (SELECT curso_materia.ID_CUR_MAT FROM curso_materia WHERE curso_materia.CUPOF='2683111' ) ,
    (SELECT horario.ID_HOR FROM horario WHERE horario.modulo='1 ' and horario.turno='T ' ),'MIERCOLES ' , '0 ' );</v>
      </c>
    </row>
    <row r="1068" spans="1:34 16384:16384" ht="15" hidden="1" customHeight="1" x14ac:dyDescent="0.3">
      <c r="A1068" s="1" t="str">
        <f t="shared" si="210"/>
        <v>6°4°</v>
      </c>
      <c r="B1068" s="54" t="str">
        <f t="shared" si="208"/>
        <v>6°4°1VIMAÑANA642</v>
      </c>
      <c r="C1068" s="62">
        <f>VLOOKUP(G1068,[1]Hoja1!$A:$O,3,0)</f>
        <v>642</v>
      </c>
      <c r="D1068" s="2" t="str">
        <f t="shared" si="209"/>
        <v>1VIM44</v>
      </c>
      <c r="E1068" s="62" t="s">
        <v>57</v>
      </c>
      <c r="F1068" s="62" t="s">
        <v>27</v>
      </c>
      <c r="G1068" s="62" t="s">
        <v>217</v>
      </c>
      <c r="H1068" s="8" t="str">
        <f>VLOOKUP(G1068,[1]Hoja1!$A:$O,6,0)</f>
        <v xml:space="preserve">MONTAJE DE PROYECTO ELECTRONICOS </v>
      </c>
      <c r="I1068" s="4">
        <v>44</v>
      </c>
      <c r="J1068" s="4"/>
      <c r="K1068" s="80" t="str">
        <f t="shared" si="207"/>
        <v>VI</v>
      </c>
      <c r="L1068" s="4" t="s">
        <v>512</v>
      </c>
      <c r="M1068" s="86" t="str">
        <f>VLOOKUP(G1068,[1]Hoja1!$A:$O,15,0)</f>
        <v>SAUCEDO GUSTAVO</v>
      </c>
      <c r="N1068" s="2" t="str">
        <f t="shared" si="206"/>
        <v>6°4°6426EFTMP6VI</v>
      </c>
      <c r="O1068" s="2"/>
      <c r="P1068" s="2" t="str">
        <f>VLOOKUP(G1068,[1]Hoja1!$A:$P,16,0)</f>
        <v xml:space="preserve"> </v>
      </c>
      <c r="Q1068" s="2"/>
      <c r="S1068">
        <f>VLOOKUP(G1068,[1]Hoja1!$A:$O,5,0)</f>
        <v>2683121</v>
      </c>
      <c r="U1068" s="45" t="s">
        <v>2751</v>
      </c>
      <c r="V1068" s="46">
        <f t="shared" si="200"/>
        <v>2683121</v>
      </c>
      <c r="W1068" s="47" t="s">
        <v>1519</v>
      </c>
      <c r="X1068" s="46" t="str">
        <f t="shared" si="201"/>
        <v>1</v>
      </c>
      <c r="Y1068" s="47" t="s">
        <v>1518</v>
      </c>
      <c r="Z1068" s="46" t="str">
        <f t="shared" si="202"/>
        <v>M</v>
      </c>
      <c r="AA1068" s="47" t="s">
        <v>2752</v>
      </c>
      <c r="AB1068" s="46" t="str">
        <f t="shared" si="203"/>
        <v>VIERNES</v>
      </c>
      <c r="AC1068" s="47" t="s">
        <v>2753</v>
      </c>
      <c r="AD1068" t="str">
        <f t="shared" si="204"/>
        <v>CONTRATURNO</v>
      </c>
      <c r="AE1068" s="47" t="s">
        <v>2754</v>
      </c>
      <c r="AH1068" t="str">
        <f t="shared" si="205"/>
        <v>INSERT INTO horario_curso_materia (horario_curso_materia.FK_CUR_mat,horario_curso_materia.FK_HOR,horario_curso_materia.DIA,horario_curso_materia.tipo_turno) VALUES (  (SELECT curso_materia.ID_CUR_MAT FROM curso_materia WHERE curso_materia.CUPOF='2683121' ) ,
    (SELECT horario.ID_HOR FROM horario WHERE horario.modulo='1 ' and horario.turno='M ' ),'VIERNES ' , 'CONTRATURNO ' );</v>
      </c>
    </row>
    <row r="1069" spans="1:34 16384:16384" ht="15" hidden="1" customHeight="1" x14ac:dyDescent="0.3">
      <c r="A1069" s="1" t="str">
        <f t="shared" si="210"/>
        <v>6°4°</v>
      </c>
      <c r="B1069" s="54" t="str">
        <f t="shared" si="208"/>
        <v>6°4°3JUTARDE0</v>
      </c>
      <c r="C1069" s="62">
        <f>VLOOKUP(G1069,[1]Hoja1!$A:$O,3,0)</f>
        <v>0</v>
      </c>
      <c r="D1069" s="2" t="str">
        <f t="shared" si="209"/>
        <v>3JUT</v>
      </c>
      <c r="E1069" s="62" t="s">
        <v>46</v>
      </c>
      <c r="F1069" s="62" t="s">
        <v>10</v>
      </c>
      <c r="G1069" s="62" t="s">
        <v>467</v>
      </c>
      <c r="H1069" s="8" t="str">
        <f>VLOOKUP(G1069,[1]Hoja1!$A:$O,6,0)</f>
        <v>FILOSOFIA</v>
      </c>
      <c r="I1069" s="4"/>
      <c r="J1069" s="4"/>
      <c r="K1069" s="80" t="str">
        <f t="shared" si="207"/>
        <v>JU</v>
      </c>
      <c r="L1069" s="4"/>
      <c r="M1069" s="86" t="str">
        <f>VLOOKUP(G1069,[1]Hoja1!$A:$O,15,0)</f>
        <v>LETIERI, MANUEL</v>
      </c>
      <c r="N1069" s="2" t="str">
        <f t="shared" si="206"/>
        <v>6°4°6EFILOJU</v>
      </c>
      <c r="O1069" s="2"/>
      <c r="P1069" s="2" t="str">
        <f>VLOOKUP(G1069,[1]Hoja1!$A:$P,16,0)</f>
        <v xml:space="preserve"> </v>
      </c>
      <c r="Q1069" s="2"/>
      <c r="S1069">
        <f>VLOOKUP(G1069,[1]Hoja1!$A:$O,5,0)</f>
        <v>2683105</v>
      </c>
      <c r="U1069" s="45" t="s">
        <v>2751</v>
      </c>
      <c r="V1069" s="46">
        <f t="shared" ref="V1069:V1133" si="211">S1069</f>
        <v>2683105</v>
      </c>
      <c r="W1069" s="47" t="s">
        <v>1519</v>
      </c>
      <c r="X1069" s="46" t="str">
        <f t="shared" ref="X1069:X1133" si="212">IF(LEFT(E1069,1)="p","prehora",LEFT(E1069,1))</f>
        <v>3</v>
      </c>
      <c r="Y1069" s="47" t="s">
        <v>1518</v>
      </c>
      <c r="Z1069" s="46" t="str">
        <f t="shared" ref="Z1069:Z1133" si="213">LEFT(F1069,1)</f>
        <v>T</v>
      </c>
      <c r="AA1069" s="47" t="s">
        <v>2752</v>
      </c>
      <c r="AB1069" s="46" t="str">
        <f t="shared" ref="AB1069:AB1133" si="214">IF(IF(LEFT(E1069,1)="p",MID(E1069,8,2),MID(E1069,2,2))="lu","LUNES",IF(IF(LEFT(E1069,1)="p",MID(E1069,8,2),MID(E1069,2,2))="ma","MARTES",IF(IF(LEFT(E1069,1)="p",MID(E1069,8,2),MID(E1069,2,2))="MI","MIERCOLES",IF(IF(LEFT(E1069,1)="p",MID(E1069,8,2),MID(E1069,2,2))="JU","JUEVES",IF(IF(LEFT(E1069,1)="p",MID(E1069,8,2),MID(E1069,2,2))="vi","VIERNES","")))))</f>
        <v>JUEVES</v>
      </c>
      <c r="AC1069" s="47" t="s">
        <v>2753</v>
      </c>
      <c r="AD1069">
        <f t="shared" ref="AD1069:AD1133" si="215">L1069</f>
        <v>0</v>
      </c>
      <c r="AE1069" s="47" t="s">
        <v>2754</v>
      </c>
      <c r="AH1069" t="str">
        <f t="shared" ref="AH1069:AH1133" si="216">U1069&amp;V1069&amp;W1069&amp;X1069&amp;Y1069&amp;Z1069&amp;AA1069&amp;AB1069&amp;AC1069&amp;AD1069&amp;AE1069</f>
        <v>INSERT INTO horario_curso_materia (horario_curso_materia.FK_CUR_mat,horario_curso_materia.FK_HOR,horario_curso_materia.DIA,horario_curso_materia.tipo_turno) VALUES (  (SELECT curso_materia.ID_CUR_MAT FROM curso_materia WHERE curso_materia.CUPOF='2683105' ) ,
    (SELECT horario.ID_HOR FROM horario WHERE horario.modulo='3 ' and horario.turno='T ' ),'JUEVES ' , '0 ' );</v>
      </c>
    </row>
    <row r="1070" spans="1:34 16384:16384" ht="13.5" hidden="1" customHeight="1" x14ac:dyDescent="0.3">
      <c r="A1070" s="1" t="str">
        <f t="shared" si="210"/>
        <v>6°4°</v>
      </c>
      <c r="B1070" s="54" t="str">
        <f t="shared" si="208"/>
        <v>6°4°1VIVESPERTINO641</v>
      </c>
      <c r="C1070" s="62">
        <f>VLOOKUP(G1070,[1]Hoja1!$A:$O,3,0)</f>
        <v>641</v>
      </c>
      <c r="D1070" s="2" t="str">
        <f t="shared" si="209"/>
        <v>1VIVrobotica</v>
      </c>
      <c r="E1070" s="62" t="s">
        <v>57</v>
      </c>
      <c r="F1070" s="62" t="s">
        <v>125</v>
      </c>
      <c r="G1070" s="62" t="s">
        <v>215</v>
      </c>
      <c r="H1070" s="8" t="str">
        <f>VLOOKUP(G1070,[1]Hoja1!$A:$O,6,0)</f>
        <v xml:space="preserve">APLIC ELECTR DIGITAL </v>
      </c>
      <c r="I1070" s="4" t="s">
        <v>2757</v>
      </c>
      <c r="J1070" s="4"/>
      <c r="K1070" s="80" t="str">
        <f t="shared" si="207"/>
        <v>VI</v>
      </c>
      <c r="L1070" s="4" t="s">
        <v>512</v>
      </c>
      <c r="M1070" s="86" t="str">
        <f>VLOOKUP(G1070,[1]Hoja1!$A:$O,15,0)</f>
        <v>GAUNA FEDERICO</v>
      </c>
      <c r="N1070" s="2" t="str">
        <f t="shared" si="206"/>
        <v>6°4°6416EFTED6VI</v>
      </c>
      <c r="O1070" s="2" t="s">
        <v>1362</v>
      </c>
      <c r="P1070" s="2" t="str">
        <f>VLOOKUP(G1070,[1]Hoja1!$A:$P,16,0)</f>
        <v xml:space="preserve"> </v>
      </c>
      <c r="Q1070" s="2"/>
      <c r="S1070">
        <f>VLOOKUP(G1070,[1]Hoja1!$A:$O,5,0)</f>
        <v>2683114</v>
      </c>
      <c r="U1070" s="45" t="s">
        <v>2751</v>
      </c>
      <c r="V1070" s="46">
        <f t="shared" si="211"/>
        <v>2683114</v>
      </c>
      <c r="W1070" s="47" t="s">
        <v>1519</v>
      </c>
      <c r="X1070" s="46" t="str">
        <f t="shared" si="212"/>
        <v>1</v>
      </c>
      <c r="Y1070" s="47" t="s">
        <v>1518</v>
      </c>
      <c r="Z1070" s="46" t="str">
        <f t="shared" si="213"/>
        <v>V</v>
      </c>
      <c r="AA1070" s="47" t="s">
        <v>2752</v>
      </c>
      <c r="AB1070" s="46" t="str">
        <f t="shared" si="214"/>
        <v>VIERNES</v>
      </c>
      <c r="AC1070" s="47" t="s">
        <v>2753</v>
      </c>
      <c r="AD1070" t="str">
        <f t="shared" si="215"/>
        <v>CONTRATURNO</v>
      </c>
      <c r="AE1070" s="47" t="s">
        <v>2754</v>
      </c>
      <c r="AH1070" t="str">
        <f t="shared" si="216"/>
        <v>INSERT INTO horario_curso_materia (horario_curso_materia.FK_CUR_mat,horario_curso_materia.FK_HOR,horario_curso_materia.DIA,horario_curso_materia.tipo_turno) VALUES (  (SELECT curso_materia.ID_CUR_MAT FROM curso_materia WHERE curso_materia.CUPOF='2683114' ) ,
    (SELECT horario.ID_HOR FROM horario WHERE horario.modulo='1 ' and horario.turno='V ' ),'VIERNES ' , 'CONTRATURNO ' );</v>
      </c>
      <c r="XFD1070" s="20"/>
    </row>
    <row r="1071" spans="1:34 16384:16384" ht="15" hidden="1" customHeight="1" x14ac:dyDescent="0.3">
      <c r="A1071" s="1" t="str">
        <f t="shared" si="210"/>
        <v>6°4°</v>
      </c>
      <c r="B1071" s="54" t="str">
        <f t="shared" si="208"/>
        <v>6°4°1MIVESPERTINO642</v>
      </c>
      <c r="C1071" s="62">
        <f>VLOOKUP(G1071,[1]Hoja1!$A:$O,3,0)</f>
        <v>642</v>
      </c>
      <c r="D1071" s="2" t="str">
        <f t="shared" si="209"/>
        <v>1MIV30</v>
      </c>
      <c r="E1071" s="62" t="s">
        <v>24</v>
      </c>
      <c r="F1071" s="62" t="s">
        <v>125</v>
      </c>
      <c r="G1071" s="62" t="s">
        <v>216</v>
      </c>
      <c r="H1071" s="8" t="str">
        <f>VLOOKUP(G1071,[1]Hoja1!$A:$O,6,0)</f>
        <v>LENGUAJES ELECTRONICOS</v>
      </c>
      <c r="I1071" s="4">
        <v>30</v>
      </c>
      <c r="J1071" s="4"/>
      <c r="K1071" s="80" t="str">
        <f t="shared" si="207"/>
        <v>MI</v>
      </c>
      <c r="L1071" s="4" t="s">
        <v>512</v>
      </c>
      <c r="M1071" s="86" t="str">
        <f>VLOOKUP(G1071,[1]Hoja1!$A:$O,15,0)</f>
        <v>GONANO GERMAN</v>
      </c>
      <c r="N1071" s="2" t="str">
        <f t="shared" si="206"/>
        <v>6°4°6426ELENE6MI</v>
      </c>
      <c r="O1071" s="2"/>
      <c r="P1071" s="2" t="str">
        <f>VLOOKUP(G1071,[1]Hoja1!$A:$P,16,0)</f>
        <v xml:space="preserve"> </v>
      </c>
      <c r="Q1071" s="2"/>
      <c r="S1071">
        <f>VLOOKUP(G1071,[1]Hoja1!$A:$O,5,0)</f>
        <v>2683118</v>
      </c>
      <c r="U1071" s="45" t="s">
        <v>2751</v>
      </c>
      <c r="V1071" s="46">
        <f t="shared" si="211"/>
        <v>2683118</v>
      </c>
      <c r="W1071" s="47" t="s">
        <v>1519</v>
      </c>
      <c r="X1071" s="46" t="str">
        <f t="shared" si="212"/>
        <v>1</v>
      </c>
      <c r="Y1071" s="47" t="s">
        <v>1518</v>
      </c>
      <c r="Z1071" s="46" t="str">
        <f t="shared" si="213"/>
        <v>V</v>
      </c>
      <c r="AA1071" s="47" t="s">
        <v>2752</v>
      </c>
      <c r="AB1071" s="46" t="str">
        <f t="shared" si="214"/>
        <v>MIERCOLES</v>
      </c>
      <c r="AC1071" s="47" t="s">
        <v>2753</v>
      </c>
      <c r="AD1071" t="str">
        <f t="shared" si="215"/>
        <v>CONTRATURNO</v>
      </c>
      <c r="AE1071" s="47" t="s">
        <v>2754</v>
      </c>
      <c r="AH1071" t="str">
        <f t="shared" si="216"/>
        <v>INSERT INTO horario_curso_materia (horario_curso_materia.FK_CUR_mat,horario_curso_materia.FK_HOR,horario_curso_materia.DIA,horario_curso_materia.tipo_turno) VALUES (  (SELECT curso_materia.ID_CUR_MAT FROM curso_materia WHERE curso_materia.CUPOF='2683118' ) ,
    (SELECT horario.ID_HOR FROM horario WHERE horario.modulo='1 ' and horario.turno='V ' ),'MIERCOLES ' , 'CONTRATURNO ' );</v>
      </c>
    </row>
    <row r="1072" spans="1:34 16384:16384" ht="15" hidden="1" customHeight="1" x14ac:dyDescent="0.3">
      <c r="A1072" s="1" t="str">
        <f t="shared" si="210"/>
        <v>6°4°</v>
      </c>
      <c r="B1072" s="54" t="str">
        <f t="shared" si="208"/>
        <v>6°4°2JUTARDE0</v>
      </c>
      <c r="C1072" s="62">
        <f>VLOOKUP(G1072,[1]Hoja1!$A:$O,3,0)</f>
        <v>0</v>
      </c>
      <c r="D1072" s="2" t="str">
        <f t="shared" si="209"/>
        <v>2JUT</v>
      </c>
      <c r="E1072" s="62" t="s">
        <v>45</v>
      </c>
      <c r="F1072" s="62" t="s">
        <v>10</v>
      </c>
      <c r="G1072" s="62" t="s">
        <v>465</v>
      </c>
      <c r="H1072" s="8" t="str">
        <f>VLOOKUP(G1072,[1]Hoja1!$A:$O,6,0)</f>
        <v>INGLÉS</v>
      </c>
      <c r="I1072" s="4"/>
      <c r="J1072" s="4"/>
      <c r="K1072" s="80" t="str">
        <f t="shared" si="207"/>
        <v>JU</v>
      </c>
      <c r="L1072" s="4"/>
      <c r="M1072" s="86" t="str">
        <f>VLOOKUP(G1072,[1]Hoja1!$A:$O,15,0)</f>
        <v xml:space="preserve">ARCE KARINA </v>
      </c>
      <c r="N1072" s="2" t="str">
        <f t="shared" ref="N1072:N1136" si="217">CONCATENATE(G1072,LEFT(K1072,2))</f>
        <v>6°4°6EINGSJU</v>
      </c>
      <c r="O1072" s="2"/>
      <c r="P1072" s="2" t="str">
        <f>VLOOKUP(G1072,[1]Hoja1!$A:$P,16,0)</f>
        <v xml:space="preserve"> </v>
      </c>
      <c r="Q1072" s="2"/>
      <c r="S1072">
        <f>VLOOKUP(G1072,[1]Hoja1!$A:$O,5,0)</f>
        <v>2683103</v>
      </c>
      <c r="U1072" s="45" t="s">
        <v>2751</v>
      </c>
      <c r="V1072" s="46">
        <f t="shared" si="211"/>
        <v>2683103</v>
      </c>
      <c r="W1072" s="47" t="s">
        <v>1519</v>
      </c>
      <c r="X1072" s="46" t="str">
        <f t="shared" si="212"/>
        <v>2</v>
      </c>
      <c r="Y1072" s="47" t="s">
        <v>1518</v>
      </c>
      <c r="Z1072" s="46" t="str">
        <f t="shared" si="213"/>
        <v>T</v>
      </c>
      <c r="AA1072" s="47" t="s">
        <v>2752</v>
      </c>
      <c r="AB1072" s="46" t="str">
        <f t="shared" si="214"/>
        <v>JUEVES</v>
      </c>
      <c r="AC1072" s="47" t="s">
        <v>2753</v>
      </c>
      <c r="AD1072">
        <f t="shared" si="215"/>
        <v>0</v>
      </c>
      <c r="AE1072" s="47" t="s">
        <v>2754</v>
      </c>
      <c r="AH1072" t="str">
        <f t="shared" si="216"/>
        <v>INSERT INTO horario_curso_materia (horario_curso_materia.FK_CUR_mat,horario_curso_materia.FK_HOR,horario_curso_materia.DIA,horario_curso_materia.tipo_turno) VALUES (  (SELECT curso_materia.ID_CUR_MAT FROM curso_materia WHERE curso_materia.CUPOF='2683103' ) ,
    (SELECT horario.ID_HOR FROM horario WHERE horario.modulo='2 ' and horario.turno='T ' ),'JUEVES ' , '0 ' );</v>
      </c>
    </row>
    <row r="1073" spans="1:34" ht="15" hidden="1" customHeight="1" x14ac:dyDescent="0.3">
      <c r="A1073" s="1" t="str">
        <f t="shared" si="210"/>
        <v>6°4°</v>
      </c>
      <c r="B1073" s="54" t="str">
        <f t="shared" si="208"/>
        <v>6°4°2JUVESPERTINO641</v>
      </c>
      <c r="C1073" s="62">
        <f>VLOOKUP(G1073,[1]Hoja1!$A:$O,3,0)</f>
        <v>641</v>
      </c>
      <c r="D1073" s="2" t="str">
        <f t="shared" si="209"/>
        <v>2JUV45</v>
      </c>
      <c r="E1073" s="62" t="s">
        <v>45</v>
      </c>
      <c r="F1073" s="62" t="s">
        <v>125</v>
      </c>
      <c r="G1073" s="62" t="s">
        <v>213</v>
      </c>
      <c r="H1073" s="8" t="str">
        <f>VLOOKUP(G1073,[1]Hoja1!$A:$O,6,0)</f>
        <v>APLIC ELECT ANALOG</v>
      </c>
      <c r="I1073" s="4">
        <v>45</v>
      </c>
      <c r="J1073" s="4"/>
      <c r="K1073" s="80" t="str">
        <f t="shared" si="207"/>
        <v>JU</v>
      </c>
      <c r="L1073" s="4" t="s">
        <v>512</v>
      </c>
      <c r="M1073" s="86" t="str">
        <f>VLOOKUP(G1073,[1]Hoja1!$A:$O,15,0)</f>
        <v xml:space="preserve">MARTINEZ, SILVIO </v>
      </c>
      <c r="N1073" s="2" t="str">
        <f t="shared" si="217"/>
        <v>6°4°6416EFTAE6JU</v>
      </c>
      <c r="O1073" s="2"/>
      <c r="P1073" s="2" t="str">
        <f>VLOOKUP(G1073,[1]Hoja1!$A:$P,16,0)</f>
        <v xml:space="preserve"> </v>
      </c>
      <c r="Q1073" s="2"/>
      <c r="S1073">
        <f>VLOOKUP(G1073,[1]Hoja1!$A:$O,5,0)</f>
        <v>2683113</v>
      </c>
      <c r="U1073" s="45" t="s">
        <v>2751</v>
      </c>
      <c r="V1073" s="46">
        <f t="shared" si="211"/>
        <v>2683113</v>
      </c>
      <c r="W1073" s="47" t="s">
        <v>1519</v>
      </c>
      <c r="X1073" s="46" t="str">
        <f t="shared" si="212"/>
        <v>2</v>
      </c>
      <c r="Y1073" s="47" t="s">
        <v>1518</v>
      </c>
      <c r="Z1073" s="46" t="str">
        <f t="shared" si="213"/>
        <v>V</v>
      </c>
      <c r="AA1073" s="47" t="s">
        <v>2752</v>
      </c>
      <c r="AB1073" s="46" t="str">
        <f t="shared" si="214"/>
        <v>JUEVES</v>
      </c>
      <c r="AC1073" s="47" t="s">
        <v>2753</v>
      </c>
      <c r="AD1073" t="str">
        <f t="shared" si="215"/>
        <v>CONTRATURNO</v>
      </c>
      <c r="AE1073" s="47" t="s">
        <v>2754</v>
      </c>
      <c r="AH1073" t="str">
        <f t="shared" si="216"/>
        <v>INSERT INTO horario_curso_materia (horario_curso_materia.FK_CUR_mat,horario_curso_materia.FK_HOR,horario_curso_materia.DIA,horario_curso_materia.tipo_turno) VALUES (  (SELECT curso_materia.ID_CUR_MAT FROM curso_materia WHERE curso_materia.CUPOF='2683113' ) ,
    (SELECT horario.ID_HOR FROM horario WHERE horario.modulo='2 ' and horario.turno='V ' ),'JUEVES ' , 'CONTRATURNO ' );</v>
      </c>
    </row>
    <row r="1074" spans="1:34" ht="15" hidden="1" customHeight="1" x14ac:dyDescent="0.3">
      <c r="A1074" s="1" t="str">
        <f t="shared" si="210"/>
        <v>6°4°</v>
      </c>
      <c r="B1074" s="54" t="str">
        <f t="shared" si="208"/>
        <v>6°4°2juVESPERTINO642</v>
      </c>
      <c r="C1074" s="62">
        <f>VLOOKUP(G1074,[1]Hoja1!$A:$O,3,0)</f>
        <v>642</v>
      </c>
      <c r="D1074" s="2" t="str">
        <f t="shared" si="209"/>
        <v>2juVHERRERIA</v>
      </c>
      <c r="E1074" s="62" t="s">
        <v>1349</v>
      </c>
      <c r="F1074" s="62" t="s">
        <v>125</v>
      </c>
      <c r="G1074" s="62" t="s">
        <v>218</v>
      </c>
      <c r="H1074" s="8" t="str">
        <f>VLOOKUP(G1074,[1]Hoja1!$A:$O,6,0)</f>
        <v>APLIC ELECT ANALOG</v>
      </c>
      <c r="I1074" s="4" t="s">
        <v>21</v>
      </c>
      <c r="J1074" s="4"/>
      <c r="K1074" s="80" t="str">
        <f t="shared" si="207"/>
        <v>ju</v>
      </c>
      <c r="L1074" s="4" t="s">
        <v>512</v>
      </c>
      <c r="M1074" s="86" t="str">
        <f>VLOOKUP(G1074,[1]Hoja1!$A:$O,15,0)</f>
        <v>BULACIO ARIEL</v>
      </c>
      <c r="N1074" s="2" t="str">
        <f t="shared" si="217"/>
        <v>6°4°6426EFTAE6ju</v>
      </c>
      <c r="O1074" s="2" t="s">
        <v>1512</v>
      </c>
      <c r="P1074" s="2" t="str">
        <f>VLOOKUP(G1074,[1]Hoja1!$A:$P,16,0)</f>
        <v xml:space="preserve"> </v>
      </c>
      <c r="Q1074" s="2"/>
      <c r="S1074">
        <f>VLOOKUP(G1074,[1]Hoja1!$A:$O,5,0)</f>
        <v>2683119</v>
      </c>
      <c r="U1074" s="45" t="s">
        <v>2751</v>
      </c>
      <c r="V1074" s="46">
        <f t="shared" si="211"/>
        <v>2683119</v>
      </c>
      <c r="W1074" s="47" t="s">
        <v>1519</v>
      </c>
      <c r="X1074" s="46" t="str">
        <f t="shared" si="212"/>
        <v>2</v>
      </c>
      <c r="Y1074" s="47" t="s">
        <v>1518</v>
      </c>
      <c r="Z1074" s="46" t="str">
        <f t="shared" si="213"/>
        <v>V</v>
      </c>
      <c r="AA1074" s="47" t="s">
        <v>2752</v>
      </c>
      <c r="AB1074" s="46" t="str">
        <f t="shared" si="214"/>
        <v>JUEVES</v>
      </c>
      <c r="AC1074" s="47" t="s">
        <v>2753</v>
      </c>
      <c r="AD1074" t="str">
        <f t="shared" si="215"/>
        <v>CONTRATURNO</v>
      </c>
      <c r="AE1074" s="47" t="s">
        <v>2754</v>
      </c>
      <c r="AH1074" t="str">
        <f t="shared" si="216"/>
        <v>INSERT INTO horario_curso_materia (horario_curso_materia.FK_CUR_mat,horario_curso_materia.FK_HOR,horario_curso_materia.DIA,horario_curso_materia.tipo_turno) VALUES (  (SELECT curso_materia.ID_CUR_MAT FROM curso_materia WHERE curso_materia.CUPOF='2683119' ) ,
    (SELECT horario.ID_HOR FROM horario WHERE horario.modulo='2 ' and horario.turno='V ' ),'JUEVES ' , 'CONTRATURNO ' );</v>
      </c>
    </row>
    <row r="1075" spans="1:34" ht="15" hidden="1" customHeight="1" x14ac:dyDescent="0.3">
      <c r="A1075" s="1" t="str">
        <f t="shared" si="210"/>
        <v>6°4°</v>
      </c>
      <c r="B1075" s="54" t="str">
        <f t="shared" si="208"/>
        <v>6°4°2LUMAÑANA641</v>
      </c>
      <c r="C1075" s="62">
        <f>VLOOKUP(G1075,[1]Hoja1!$A:$O,3,0)</f>
        <v>641</v>
      </c>
      <c r="D1075" s="2" t="str">
        <f t="shared" si="209"/>
        <v>2LUM44</v>
      </c>
      <c r="E1075" s="62" t="s">
        <v>12</v>
      </c>
      <c r="F1075" s="62" t="s">
        <v>27</v>
      </c>
      <c r="G1075" s="62" t="s">
        <v>211</v>
      </c>
      <c r="H1075" s="8" t="str">
        <f>VLOOKUP(G1075,[1]Hoja1!$A:$O,6,0)</f>
        <v xml:space="preserve">MONTAJE DE PROYECTO ELECTRONICOS </v>
      </c>
      <c r="I1075" s="4">
        <v>44</v>
      </c>
      <c r="J1075" s="4"/>
      <c r="K1075" s="80" t="str">
        <f t="shared" si="207"/>
        <v>LU</v>
      </c>
      <c r="L1075" s="4" t="s">
        <v>512</v>
      </c>
      <c r="M1075" s="86" t="str">
        <f>VLOOKUP(G1075,[1]Hoja1!$A:$O,15,0)</f>
        <v>SAUCEDO GUSTAVO</v>
      </c>
      <c r="N1075" s="2" t="str">
        <f t="shared" si="217"/>
        <v>6°4°6416EFTMP6LU</v>
      </c>
      <c r="O1075" s="2"/>
      <c r="P1075" s="2" t="str">
        <f>VLOOKUP(G1075,[1]Hoja1!$A:$P,16,0)</f>
        <v xml:space="preserve"> </v>
      </c>
      <c r="Q1075" s="2"/>
      <c r="S1075">
        <f>VLOOKUP(G1075,[1]Hoja1!$A:$O,5,0)</f>
        <v>2683116</v>
      </c>
      <c r="U1075" s="45" t="s">
        <v>2751</v>
      </c>
      <c r="V1075" s="46">
        <f t="shared" si="211"/>
        <v>2683116</v>
      </c>
      <c r="W1075" s="47" t="s">
        <v>1519</v>
      </c>
      <c r="X1075" s="46" t="str">
        <f t="shared" si="212"/>
        <v>2</v>
      </c>
      <c r="Y1075" s="47" t="s">
        <v>1518</v>
      </c>
      <c r="Z1075" s="46" t="str">
        <f t="shared" si="213"/>
        <v>M</v>
      </c>
      <c r="AA1075" s="47" t="s">
        <v>2752</v>
      </c>
      <c r="AB1075" s="46" t="str">
        <f t="shared" si="214"/>
        <v>LUNES</v>
      </c>
      <c r="AC1075" s="47" t="s">
        <v>2753</v>
      </c>
      <c r="AD1075" t="str">
        <f t="shared" si="215"/>
        <v>CONTRATURNO</v>
      </c>
      <c r="AE1075" s="47" t="s">
        <v>2754</v>
      </c>
      <c r="AH1075" t="str">
        <f t="shared" si="216"/>
        <v>INSERT INTO horario_curso_materia (horario_curso_materia.FK_CUR_mat,horario_curso_materia.FK_HOR,horario_curso_materia.DIA,horario_curso_materia.tipo_turno) VALUES (  (SELECT curso_materia.ID_CUR_MAT FROM curso_materia WHERE curso_materia.CUPOF='2683116' ) ,
    (SELECT horario.ID_HOR FROM horario WHERE horario.modulo='2 ' and horario.turno='M ' ),'LUNES ' , 'CONTRATURNO ' );</v>
      </c>
    </row>
    <row r="1076" spans="1:34" ht="15" hidden="1" customHeight="1" x14ac:dyDescent="0.3">
      <c r="A1076" s="1" t="str">
        <f t="shared" si="210"/>
        <v>6°4°</v>
      </c>
      <c r="B1076" s="54" t="str">
        <f t="shared" si="208"/>
        <v>6°4°2LUTARDE0</v>
      </c>
      <c r="C1076" s="62">
        <f>VLOOKUP(G1076,[1]Hoja1!$A:$O,3,0)</f>
        <v>0</v>
      </c>
      <c r="D1076" s="2" t="str">
        <f t="shared" si="209"/>
        <v>2LUT</v>
      </c>
      <c r="E1076" s="62" t="s">
        <v>12</v>
      </c>
      <c r="F1076" s="62" t="s">
        <v>10</v>
      </c>
      <c r="G1076" s="62" t="s">
        <v>459</v>
      </c>
      <c r="H1076" s="8" t="str">
        <f>VLOOKUP(G1076,[1]Hoja1!$A:$O,6,0)</f>
        <v>ARTE</v>
      </c>
      <c r="I1076" s="4"/>
      <c r="J1076" s="4"/>
      <c r="K1076" s="80" t="str">
        <f t="shared" si="207"/>
        <v>LU</v>
      </c>
      <c r="L1076" s="4"/>
      <c r="M1076" s="86" t="str">
        <f>VLOOKUP(G1076,[1]Hoja1!$A:$O,15,0)</f>
        <v>FERNANDEZ MAXIMILIANO</v>
      </c>
      <c r="N1076" s="2" t="str">
        <f t="shared" si="217"/>
        <v>6°4°6EARTELU</v>
      </c>
      <c r="O1076" s="2"/>
      <c r="P1076" s="2" t="str">
        <f>VLOOKUP(G1076,[1]Hoja1!$A:$P,16,0)</f>
        <v xml:space="preserve"> </v>
      </c>
      <c r="Q1076" s="2"/>
      <c r="S1076">
        <f>VLOOKUP(G1076,[1]Hoja1!$A:$O,5,0)</f>
        <v>2683106</v>
      </c>
      <c r="U1076" s="45" t="s">
        <v>2751</v>
      </c>
      <c r="V1076" s="46">
        <f t="shared" si="211"/>
        <v>2683106</v>
      </c>
      <c r="W1076" s="47" t="s">
        <v>1519</v>
      </c>
      <c r="X1076" s="46" t="str">
        <f t="shared" si="212"/>
        <v>2</v>
      </c>
      <c r="Y1076" s="47" t="s">
        <v>1518</v>
      </c>
      <c r="Z1076" s="46" t="str">
        <f t="shared" si="213"/>
        <v>T</v>
      </c>
      <c r="AA1076" s="47" t="s">
        <v>2752</v>
      </c>
      <c r="AB1076" s="46" t="str">
        <f t="shared" si="214"/>
        <v>LUNES</v>
      </c>
      <c r="AC1076" s="47" t="s">
        <v>2753</v>
      </c>
      <c r="AD1076">
        <f t="shared" si="215"/>
        <v>0</v>
      </c>
      <c r="AE1076" s="47" t="s">
        <v>2754</v>
      </c>
      <c r="AH1076" t="str">
        <f t="shared" si="216"/>
        <v>INSERT INTO horario_curso_materia (horario_curso_materia.FK_CUR_mat,horario_curso_materia.FK_HOR,horario_curso_materia.DIA,horario_curso_materia.tipo_turno) VALUES (  (SELECT curso_materia.ID_CUR_MAT FROM curso_materia WHERE curso_materia.CUPOF='2683106' ) ,
    (SELECT horario.ID_HOR FROM horario WHERE horario.modulo='2 ' and horario.turno='T ' ),'LUNES ' , '0 ' );</v>
      </c>
    </row>
    <row r="1077" spans="1:34" ht="15" hidden="1" customHeight="1" x14ac:dyDescent="0.3">
      <c r="A1077" s="1" t="str">
        <f t="shared" si="210"/>
        <v>6°4°</v>
      </c>
      <c r="B1077" s="54" t="str">
        <f t="shared" si="208"/>
        <v>6°4°2LUVESPERTINO0</v>
      </c>
      <c r="C1077" s="62">
        <f>VLOOKUP(G1077,[1]Hoja1!$A:$O,3,0)</f>
        <v>0</v>
      </c>
      <c r="D1077" s="2" t="str">
        <f t="shared" si="209"/>
        <v>2LUV33</v>
      </c>
      <c r="E1077" s="62" t="s">
        <v>12</v>
      </c>
      <c r="F1077" s="62" t="s">
        <v>125</v>
      </c>
      <c r="G1077" s="62" t="s">
        <v>461</v>
      </c>
      <c r="H1077" s="8" t="str">
        <f>VLOOKUP(G1077,[1]Hoja1!$A:$O,6,0)</f>
        <v>SISTEMA DE COMUNICACIONES</v>
      </c>
      <c r="I1077" s="4">
        <v>33</v>
      </c>
      <c r="J1077" s="4"/>
      <c r="K1077" s="80" t="str">
        <f t="shared" si="207"/>
        <v>LU</v>
      </c>
      <c r="L1077" s="4" t="s">
        <v>512</v>
      </c>
      <c r="M1077" s="86" t="str">
        <f>VLOOKUP(G1077,[1]Hoja1!$A:$O,15,0)</f>
        <v>DELGADO ARIEL</v>
      </c>
      <c r="N1077" s="2" t="str">
        <f t="shared" si="217"/>
        <v>6°4°6ESISCOLU</v>
      </c>
      <c r="O1077" s="2"/>
      <c r="P1077" s="2" t="str">
        <f>VLOOKUP(G1077,[1]Hoja1!$A:$P,16,0)</f>
        <v xml:space="preserve"> </v>
      </c>
      <c r="Q1077" s="2"/>
      <c r="S1077">
        <f>VLOOKUP(G1077,[1]Hoja1!$A:$O,5,0)</f>
        <v>2683108</v>
      </c>
      <c r="U1077" s="45" t="s">
        <v>2751</v>
      </c>
      <c r="V1077" s="46">
        <f t="shared" si="211"/>
        <v>2683108</v>
      </c>
      <c r="W1077" s="47" t="s">
        <v>1519</v>
      </c>
      <c r="X1077" s="46" t="str">
        <f t="shared" si="212"/>
        <v>2</v>
      </c>
      <c r="Y1077" s="47" t="s">
        <v>1518</v>
      </c>
      <c r="Z1077" s="46" t="str">
        <f t="shared" si="213"/>
        <v>V</v>
      </c>
      <c r="AA1077" s="47" t="s">
        <v>2752</v>
      </c>
      <c r="AB1077" s="46" t="str">
        <f t="shared" si="214"/>
        <v>LUNES</v>
      </c>
      <c r="AC1077" s="47" t="s">
        <v>2753</v>
      </c>
      <c r="AD1077" t="str">
        <f t="shared" si="215"/>
        <v>CONTRATURNO</v>
      </c>
      <c r="AE1077" s="47" t="s">
        <v>2754</v>
      </c>
      <c r="AH1077" t="str">
        <f t="shared" si="216"/>
        <v>INSERT INTO horario_curso_materia (horario_curso_materia.FK_CUR_mat,horario_curso_materia.FK_HOR,horario_curso_materia.DIA,horario_curso_materia.tipo_turno) VALUES (  (SELECT curso_materia.ID_CUR_MAT FROM curso_materia WHERE curso_materia.CUPOF='2683108' ) ,
    (SELECT horario.ID_HOR FROM horario WHERE horario.modulo='2 ' and horario.turno='V ' ),'LUNES ' , 'CONTRATURNO ' );</v>
      </c>
    </row>
    <row r="1078" spans="1:34" ht="14.25" hidden="1" customHeight="1" x14ac:dyDescent="0.3">
      <c r="A1078" s="1" t="str">
        <f t="shared" si="210"/>
        <v>6°4°</v>
      </c>
      <c r="B1078" s="54" t="str">
        <f t="shared" si="208"/>
        <v>6°4°2MAMAÑANA642</v>
      </c>
      <c r="C1078" s="62">
        <f>VLOOKUP(G1078,[1]Hoja1!$A:$O,3,0)</f>
        <v>642</v>
      </c>
      <c r="D1078" s="2" t="str">
        <f t="shared" si="209"/>
        <v>2MAMHARDWARE</v>
      </c>
      <c r="E1078" s="62" t="s">
        <v>19</v>
      </c>
      <c r="F1078" s="62" t="s">
        <v>27</v>
      </c>
      <c r="G1078" s="62" t="s">
        <v>214</v>
      </c>
      <c r="H1078" s="8" t="str">
        <f>VLOOKUP(G1078,[1]Hoja1!$A:$O,6,0)</f>
        <v xml:space="preserve">APLIC ELECTR DIGITAL </v>
      </c>
      <c r="I1078" s="4" t="s">
        <v>38</v>
      </c>
      <c r="J1078" s="4"/>
      <c r="K1078" s="80" t="str">
        <f t="shared" si="207"/>
        <v>MA</v>
      </c>
      <c r="L1078" s="4" t="s">
        <v>512</v>
      </c>
      <c r="M1078" s="86" t="str">
        <f>VLOOKUP(G1078,[1]Hoja1!$A:$O,15,0)</f>
        <v>BARONI ROBERTO ALEJANDRO</v>
      </c>
      <c r="N1078" s="2" t="str">
        <f t="shared" si="217"/>
        <v>6°4°6426EFTED6MA</v>
      </c>
      <c r="O1078" s="2"/>
      <c r="P1078" s="2" t="str">
        <f>VLOOKUP(G1078,[1]Hoja1!$A:$P,16,0)</f>
        <v xml:space="preserve"> </v>
      </c>
      <c r="Q1078" s="2"/>
      <c r="S1078">
        <f>VLOOKUP(G1078,[1]Hoja1!$A:$O,5,0)</f>
        <v>2683120</v>
      </c>
      <c r="U1078" s="45" t="s">
        <v>2751</v>
      </c>
      <c r="V1078" s="46">
        <f t="shared" si="211"/>
        <v>2683120</v>
      </c>
      <c r="W1078" s="47" t="s">
        <v>1519</v>
      </c>
      <c r="X1078" s="46" t="str">
        <f t="shared" si="212"/>
        <v>2</v>
      </c>
      <c r="Y1078" s="47" t="s">
        <v>1518</v>
      </c>
      <c r="Z1078" s="46" t="str">
        <f t="shared" si="213"/>
        <v>M</v>
      </c>
      <c r="AA1078" s="47" t="s">
        <v>2752</v>
      </c>
      <c r="AB1078" s="46" t="str">
        <f t="shared" si="214"/>
        <v>MARTES</v>
      </c>
      <c r="AC1078" s="47" t="s">
        <v>2753</v>
      </c>
      <c r="AD1078" t="str">
        <f t="shared" si="215"/>
        <v>CONTRATURNO</v>
      </c>
      <c r="AE1078" s="47" t="s">
        <v>2754</v>
      </c>
      <c r="AH1078" t="str">
        <f t="shared" si="216"/>
        <v>INSERT INTO horario_curso_materia (horario_curso_materia.FK_CUR_mat,horario_curso_materia.FK_HOR,horario_curso_materia.DIA,horario_curso_materia.tipo_turno) VALUES (  (SELECT curso_materia.ID_CUR_MAT FROM curso_materia WHERE curso_materia.CUPOF='2683120' ) ,
    (SELECT horario.ID_HOR FROM horario WHERE horario.modulo='2 ' and horario.turno='M ' ),'MARTES ' , 'CONTRATURNO ' );</v>
      </c>
    </row>
    <row r="1079" spans="1:34" ht="15" hidden="1" customHeight="1" x14ac:dyDescent="0.3">
      <c r="A1079" s="1" t="str">
        <f t="shared" si="210"/>
        <v>6°4°</v>
      </c>
      <c r="B1079" s="54" t="str">
        <f t="shared" si="208"/>
        <v>6°4°2MATARDE0</v>
      </c>
      <c r="C1079" s="62">
        <f>VLOOKUP(G1079,[1]Hoja1!$A:$O,3,0)</f>
        <v>0</v>
      </c>
      <c r="D1079" s="2" t="str">
        <f t="shared" si="209"/>
        <v>2MAT</v>
      </c>
      <c r="E1079" s="62" t="s">
        <v>19</v>
      </c>
      <c r="F1079" s="62" t="s">
        <v>10</v>
      </c>
      <c r="G1079" s="62" t="s">
        <v>462</v>
      </c>
      <c r="H1079" s="8" t="str">
        <f>VLOOKUP(G1079,[1]Hoja1!$A:$O,6,0)</f>
        <v>INSTALACIONES Y MAQUINAS ELECTRICAS</v>
      </c>
      <c r="I1079" s="4"/>
      <c r="J1079" s="4"/>
      <c r="K1079" s="80" t="str">
        <f t="shared" si="207"/>
        <v>MA</v>
      </c>
      <c r="L1079" s="4"/>
      <c r="M1079" s="86" t="str">
        <f>VLOOKUP(G1079,[1]Hoja1!$A:$O,15,0)</f>
        <v xml:space="preserve">SAUCEDO GUSTAVO </v>
      </c>
      <c r="N1079" s="2" t="str">
        <f t="shared" si="217"/>
        <v>6°4°6EINSMAMA</v>
      </c>
      <c r="O1079" s="2"/>
      <c r="P1079" s="2" t="str">
        <f>VLOOKUP(G1079,[1]Hoja1!$A:$P,16,0)</f>
        <v xml:space="preserve"> </v>
      </c>
      <c r="Q1079" s="2"/>
      <c r="S1079">
        <f>VLOOKUP(G1079,[1]Hoja1!$A:$O,5,0)</f>
        <v>2683109</v>
      </c>
      <c r="U1079" s="45" t="s">
        <v>2751</v>
      </c>
      <c r="V1079" s="46">
        <f t="shared" si="211"/>
        <v>2683109</v>
      </c>
      <c r="W1079" s="47" t="s">
        <v>1519</v>
      </c>
      <c r="X1079" s="46" t="str">
        <f t="shared" si="212"/>
        <v>2</v>
      </c>
      <c r="Y1079" s="47" t="s">
        <v>1518</v>
      </c>
      <c r="Z1079" s="46" t="str">
        <f t="shared" si="213"/>
        <v>T</v>
      </c>
      <c r="AA1079" s="47" t="s">
        <v>2752</v>
      </c>
      <c r="AB1079" s="46" t="str">
        <f t="shared" si="214"/>
        <v>MARTES</v>
      </c>
      <c r="AC1079" s="47" t="s">
        <v>2753</v>
      </c>
      <c r="AD1079">
        <f t="shared" si="215"/>
        <v>0</v>
      </c>
      <c r="AE1079" s="47" t="s">
        <v>2754</v>
      </c>
      <c r="AH1079" t="str">
        <f t="shared" si="216"/>
        <v>INSERT INTO horario_curso_materia (horario_curso_materia.FK_CUR_mat,horario_curso_materia.FK_HOR,horario_curso_materia.DIA,horario_curso_materia.tipo_turno) VALUES (  (SELECT curso_materia.ID_CUR_MAT FROM curso_materia WHERE curso_materia.CUPOF='2683109' ) ,
    (SELECT horario.ID_HOR FROM horario WHERE horario.modulo='2 ' and horario.turno='T ' ),'MARTES ' , '0 ' );</v>
      </c>
    </row>
    <row r="1080" spans="1:34" ht="15" hidden="1" customHeight="1" x14ac:dyDescent="0.3">
      <c r="A1080" s="1" t="str">
        <f t="shared" si="210"/>
        <v>6°4°</v>
      </c>
      <c r="B1080" s="54" t="str">
        <f t="shared" si="208"/>
        <v>6°4°2MITARDE0</v>
      </c>
      <c r="C1080" s="62">
        <f>VLOOKUP(G1080,[1]Hoja1!$A:$O,3,0)</f>
        <v>0</v>
      </c>
      <c r="D1080" s="2" t="str">
        <f t="shared" si="209"/>
        <v>2MIT</v>
      </c>
      <c r="E1080" s="62" t="s">
        <v>26</v>
      </c>
      <c r="F1080" s="62" t="s">
        <v>10</v>
      </c>
      <c r="G1080" s="62" t="s">
        <v>463</v>
      </c>
      <c r="H1080" s="8" t="str">
        <f>VLOOKUP(G1080,[1]Hoja1!$A:$O,6,0)</f>
        <v>DERECHO DE TRABAJO</v>
      </c>
      <c r="I1080" s="4"/>
      <c r="J1080" s="4"/>
      <c r="K1080" s="80" t="str">
        <f t="shared" si="207"/>
        <v>MI</v>
      </c>
      <c r="L1080" s="4"/>
      <c r="M1080" s="86" t="str">
        <f>VLOOKUP(G1080,[1]Hoja1!$A:$O,15,0)</f>
        <v xml:space="preserve">GORDILLO NORA </v>
      </c>
      <c r="N1080" s="2" t="str">
        <f t="shared" si="217"/>
        <v>6°4°6EDETRAMI</v>
      </c>
      <c r="O1080" s="2"/>
      <c r="P1080" s="2" t="str">
        <f>VLOOKUP(G1080,[1]Hoja1!$A:$P,16,0)</f>
        <v xml:space="preserve"> </v>
      </c>
      <c r="Q1080" s="2"/>
      <c r="S1080">
        <f>VLOOKUP(G1080,[1]Hoja1!$A:$O,5,0)</f>
        <v>2683111</v>
      </c>
      <c r="U1080" s="45" t="s">
        <v>2751</v>
      </c>
      <c r="V1080" s="46">
        <f t="shared" si="211"/>
        <v>2683111</v>
      </c>
      <c r="W1080" s="47" t="s">
        <v>1519</v>
      </c>
      <c r="X1080" s="46" t="str">
        <f t="shared" si="212"/>
        <v>2</v>
      </c>
      <c r="Y1080" s="47" t="s">
        <v>1518</v>
      </c>
      <c r="Z1080" s="46" t="str">
        <f t="shared" si="213"/>
        <v>T</v>
      </c>
      <c r="AA1080" s="47" t="s">
        <v>2752</v>
      </c>
      <c r="AB1080" s="46" t="str">
        <f t="shared" si="214"/>
        <v>MIERCOLES</v>
      </c>
      <c r="AC1080" s="47" t="s">
        <v>2753</v>
      </c>
      <c r="AD1080">
        <f t="shared" si="215"/>
        <v>0</v>
      </c>
      <c r="AE1080" s="47" t="s">
        <v>2754</v>
      </c>
      <c r="AH1080" t="str">
        <f t="shared" si="216"/>
        <v>INSERT INTO horario_curso_materia (horario_curso_materia.FK_CUR_mat,horario_curso_materia.FK_HOR,horario_curso_materia.DIA,horario_curso_materia.tipo_turno) VALUES (  (SELECT curso_materia.ID_CUR_MAT FROM curso_materia WHERE curso_materia.CUPOF='2683111' ) ,
    (SELECT horario.ID_HOR FROM horario WHERE horario.modulo='2 ' and horario.turno='T ' ),'MIERCOLES ' , '0 ' );</v>
      </c>
    </row>
    <row r="1081" spans="1:34" ht="15" hidden="1" customHeight="1" x14ac:dyDescent="0.3">
      <c r="A1081" s="1" t="str">
        <f t="shared" si="210"/>
        <v>6°4°</v>
      </c>
      <c r="B1081" s="54" t="str">
        <f t="shared" si="208"/>
        <v>6°4°2VIMAÑANA642</v>
      </c>
      <c r="C1081" s="62">
        <f>VLOOKUP(G1081,[1]Hoja1!$A:$O,3,0)</f>
        <v>642</v>
      </c>
      <c r="D1081" s="2" t="str">
        <f t="shared" si="209"/>
        <v>2VIM44</v>
      </c>
      <c r="E1081" s="62" t="s">
        <v>59</v>
      </c>
      <c r="F1081" s="62" t="s">
        <v>27</v>
      </c>
      <c r="G1081" s="62" t="s">
        <v>217</v>
      </c>
      <c r="H1081" s="8" t="str">
        <f>VLOOKUP(G1081,[1]Hoja1!$A:$O,6,0)</f>
        <v xml:space="preserve">MONTAJE DE PROYECTO ELECTRONICOS </v>
      </c>
      <c r="I1081" s="4">
        <v>44</v>
      </c>
      <c r="J1081" s="4"/>
      <c r="K1081" s="80" t="str">
        <f t="shared" si="207"/>
        <v>VI</v>
      </c>
      <c r="L1081" s="4" t="s">
        <v>512</v>
      </c>
      <c r="M1081" s="86" t="str">
        <f>VLOOKUP(G1081,[1]Hoja1!$A:$O,15,0)</f>
        <v>SAUCEDO GUSTAVO</v>
      </c>
      <c r="N1081" s="2" t="str">
        <f t="shared" si="217"/>
        <v>6°4°6426EFTMP6VI</v>
      </c>
      <c r="O1081" s="2"/>
      <c r="P1081" s="2" t="str">
        <f>VLOOKUP(G1081,[1]Hoja1!$A:$P,16,0)</f>
        <v xml:space="preserve"> </v>
      </c>
      <c r="Q1081" s="2"/>
      <c r="S1081">
        <f>VLOOKUP(G1081,[1]Hoja1!$A:$O,5,0)</f>
        <v>2683121</v>
      </c>
      <c r="U1081" s="45" t="s">
        <v>2751</v>
      </c>
      <c r="V1081" s="46">
        <f t="shared" si="211"/>
        <v>2683121</v>
      </c>
      <c r="W1081" s="47" t="s">
        <v>1519</v>
      </c>
      <c r="X1081" s="46" t="str">
        <f t="shared" si="212"/>
        <v>2</v>
      </c>
      <c r="Y1081" s="47" t="s">
        <v>1518</v>
      </c>
      <c r="Z1081" s="46" t="str">
        <f t="shared" si="213"/>
        <v>M</v>
      </c>
      <c r="AA1081" s="47" t="s">
        <v>2752</v>
      </c>
      <c r="AB1081" s="46" t="str">
        <f t="shared" si="214"/>
        <v>VIERNES</v>
      </c>
      <c r="AC1081" s="47" t="s">
        <v>2753</v>
      </c>
      <c r="AD1081" t="str">
        <f t="shared" si="215"/>
        <v>CONTRATURNO</v>
      </c>
      <c r="AE1081" s="47" t="s">
        <v>2754</v>
      </c>
      <c r="AH1081" t="str">
        <f t="shared" si="216"/>
        <v>INSERT INTO horario_curso_materia (horario_curso_materia.FK_CUR_mat,horario_curso_materia.FK_HOR,horario_curso_materia.DIA,horario_curso_materia.tipo_turno) VALUES (  (SELECT curso_materia.ID_CUR_MAT FROM curso_materia WHERE curso_materia.CUPOF='2683121' ) ,
    (SELECT horario.ID_HOR FROM horario WHERE horario.modulo='2 ' and horario.turno='M ' ),'VIERNES ' , 'CONTRATURNO ' );</v>
      </c>
    </row>
    <row r="1082" spans="1:34" ht="15" hidden="1" customHeight="1" x14ac:dyDescent="0.3">
      <c r="A1082" s="1" t="str">
        <f t="shared" si="210"/>
        <v>6°4°</v>
      </c>
      <c r="B1082" s="54" t="str">
        <f t="shared" si="208"/>
        <v>6°4°4JUTARDE0</v>
      </c>
      <c r="C1082" s="62">
        <f>VLOOKUP(G1082,[1]Hoja1!$A:$O,3,0)</f>
        <v>0</v>
      </c>
      <c r="D1082" s="2" t="str">
        <f t="shared" si="209"/>
        <v>4JUT</v>
      </c>
      <c r="E1082" s="62" t="s">
        <v>48</v>
      </c>
      <c r="F1082" s="62" t="s">
        <v>10</v>
      </c>
      <c r="G1082" s="62" t="s">
        <v>467</v>
      </c>
      <c r="H1082" s="8" t="str">
        <f>VLOOKUP(G1082,[1]Hoja1!$A:$O,6,0)</f>
        <v>FILOSOFIA</v>
      </c>
      <c r="I1082" s="4"/>
      <c r="J1082" s="4"/>
      <c r="K1082" s="80" t="str">
        <f t="shared" si="207"/>
        <v>JU</v>
      </c>
      <c r="L1082" s="4"/>
      <c r="M1082" s="86" t="str">
        <f>VLOOKUP(G1082,[1]Hoja1!$A:$O,15,0)</f>
        <v>LETIERI, MANUEL</v>
      </c>
      <c r="N1082" s="2" t="str">
        <f t="shared" si="217"/>
        <v>6°4°6EFILOJU</v>
      </c>
      <c r="O1082" s="2"/>
      <c r="P1082" s="2" t="str">
        <f>VLOOKUP(G1082,[1]Hoja1!$A:$P,16,0)</f>
        <v xml:space="preserve"> </v>
      </c>
      <c r="Q1082" s="2"/>
      <c r="S1082">
        <f>VLOOKUP(G1082,[1]Hoja1!$A:$O,5,0)</f>
        <v>2683105</v>
      </c>
      <c r="U1082" s="45" t="s">
        <v>2751</v>
      </c>
      <c r="V1082" s="46">
        <f t="shared" si="211"/>
        <v>2683105</v>
      </c>
      <c r="W1082" s="47" t="s">
        <v>1519</v>
      </c>
      <c r="X1082" s="46" t="str">
        <f t="shared" si="212"/>
        <v>4</v>
      </c>
      <c r="Y1082" s="47" t="s">
        <v>1518</v>
      </c>
      <c r="Z1082" s="46" t="str">
        <f t="shared" si="213"/>
        <v>T</v>
      </c>
      <c r="AA1082" s="47" t="s">
        <v>2752</v>
      </c>
      <c r="AB1082" s="46" t="str">
        <f t="shared" si="214"/>
        <v>JUEVES</v>
      </c>
      <c r="AC1082" s="47" t="s">
        <v>2753</v>
      </c>
      <c r="AD1082">
        <f t="shared" si="215"/>
        <v>0</v>
      </c>
      <c r="AE1082" s="47" t="s">
        <v>2754</v>
      </c>
      <c r="AH1082" t="str">
        <f t="shared" si="216"/>
        <v>INSERT INTO horario_curso_materia (horario_curso_materia.FK_CUR_mat,horario_curso_materia.FK_HOR,horario_curso_materia.DIA,horario_curso_materia.tipo_turno) VALUES (  (SELECT curso_materia.ID_CUR_MAT FROM curso_materia WHERE curso_materia.CUPOF='2683105' ) ,
    (SELECT horario.ID_HOR FROM horario WHERE horario.modulo='4 ' and horario.turno='T ' ),'JUEVES ' , '0 ' );</v>
      </c>
    </row>
    <row r="1083" spans="1:34" ht="14.25" hidden="1" customHeight="1" x14ac:dyDescent="0.3">
      <c r="A1083" s="1" t="str">
        <f t="shared" si="210"/>
        <v>6°4°</v>
      </c>
      <c r="B1083" s="54" t="str">
        <f t="shared" si="208"/>
        <v>6°4°2VIVESPERTINO641</v>
      </c>
      <c r="C1083" s="62">
        <f>VLOOKUP(G1083,[1]Hoja1!$A:$O,3,0)</f>
        <v>641</v>
      </c>
      <c r="D1083" s="2" t="str">
        <f t="shared" si="209"/>
        <v>2VIVrobotica</v>
      </c>
      <c r="E1083" s="62" t="s">
        <v>59</v>
      </c>
      <c r="F1083" s="62" t="s">
        <v>125</v>
      </c>
      <c r="G1083" s="62" t="s">
        <v>215</v>
      </c>
      <c r="H1083" s="8" t="str">
        <f>VLOOKUP(G1083,[1]Hoja1!$A:$O,6,0)</f>
        <v xml:space="preserve">APLIC ELECTR DIGITAL </v>
      </c>
      <c r="I1083" s="4" t="s">
        <v>2757</v>
      </c>
      <c r="J1083" s="4"/>
      <c r="K1083" s="80" t="str">
        <f t="shared" ref="K1083:K1147" si="218">RIGHT(E1083,2)</f>
        <v>VI</v>
      </c>
      <c r="L1083" s="4" t="s">
        <v>512</v>
      </c>
      <c r="M1083" s="86" t="str">
        <f>VLOOKUP(G1083,[1]Hoja1!$A:$O,15,0)</f>
        <v>GAUNA FEDERICO</v>
      </c>
      <c r="N1083" s="2" t="str">
        <f t="shared" si="217"/>
        <v>6°4°6416EFTED6VI</v>
      </c>
      <c r="O1083" s="2" t="s">
        <v>1362</v>
      </c>
      <c r="P1083" s="2" t="str">
        <f>VLOOKUP(G1083,[1]Hoja1!$A:$P,16,0)</f>
        <v xml:space="preserve"> </v>
      </c>
      <c r="Q1083" s="2"/>
      <c r="S1083">
        <f>VLOOKUP(G1083,[1]Hoja1!$A:$O,5,0)</f>
        <v>2683114</v>
      </c>
      <c r="U1083" s="45" t="s">
        <v>2751</v>
      </c>
      <c r="V1083" s="46">
        <f t="shared" si="211"/>
        <v>2683114</v>
      </c>
      <c r="W1083" s="47" t="s">
        <v>1519</v>
      </c>
      <c r="X1083" s="46" t="str">
        <f t="shared" si="212"/>
        <v>2</v>
      </c>
      <c r="Y1083" s="47" t="s">
        <v>1518</v>
      </c>
      <c r="Z1083" s="46" t="str">
        <f t="shared" si="213"/>
        <v>V</v>
      </c>
      <c r="AA1083" s="47" t="s">
        <v>2752</v>
      </c>
      <c r="AB1083" s="46" t="str">
        <f t="shared" si="214"/>
        <v>VIERNES</v>
      </c>
      <c r="AC1083" s="47" t="s">
        <v>2753</v>
      </c>
      <c r="AD1083" t="str">
        <f t="shared" si="215"/>
        <v>CONTRATURNO</v>
      </c>
      <c r="AE1083" s="47" t="s">
        <v>2754</v>
      </c>
      <c r="AH1083" t="str">
        <f t="shared" si="216"/>
        <v>INSERT INTO horario_curso_materia (horario_curso_materia.FK_CUR_mat,horario_curso_materia.FK_HOR,horario_curso_materia.DIA,horario_curso_materia.tipo_turno) VALUES (  (SELECT curso_materia.ID_CUR_MAT FROM curso_materia WHERE curso_materia.CUPOF='2683114' ) ,
    (SELECT horario.ID_HOR FROM horario WHERE horario.modulo='2 ' and horario.turno='V ' ),'VIERNES ' , 'CONTRATURNO ' );</v>
      </c>
    </row>
    <row r="1084" spans="1:34" ht="15" hidden="1" customHeight="1" x14ac:dyDescent="0.3">
      <c r="A1084" s="1" t="str">
        <f t="shared" si="210"/>
        <v>6°4°</v>
      </c>
      <c r="B1084" s="54" t="str">
        <f t="shared" si="208"/>
        <v>6°4°2MIVESPERTINO642</v>
      </c>
      <c r="C1084" s="62">
        <f>VLOOKUP(G1084,[1]Hoja1!$A:$O,3,0)</f>
        <v>642</v>
      </c>
      <c r="D1084" s="2" t="str">
        <f t="shared" si="209"/>
        <v>2MIV30</v>
      </c>
      <c r="E1084" s="62" t="s">
        <v>26</v>
      </c>
      <c r="F1084" s="62" t="s">
        <v>125</v>
      </c>
      <c r="G1084" s="62" t="s">
        <v>216</v>
      </c>
      <c r="H1084" s="8" t="str">
        <f>VLOOKUP(G1084,[1]Hoja1!$A:$O,6,0)</f>
        <v>LENGUAJES ELECTRONICOS</v>
      </c>
      <c r="I1084" s="4">
        <v>30</v>
      </c>
      <c r="J1084" s="4"/>
      <c r="K1084" s="80" t="str">
        <f t="shared" si="218"/>
        <v>MI</v>
      </c>
      <c r="L1084" s="4" t="s">
        <v>512</v>
      </c>
      <c r="M1084" s="86" t="str">
        <f>VLOOKUP(G1084,[1]Hoja1!$A:$O,15,0)</f>
        <v>GONANO GERMAN</v>
      </c>
      <c r="N1084" s="2" t="str">
        <f t="shared" si="217"/>
        <v>6°4°6426ELENE6MI</v>
      </c>
      <c r="O1084" s="2"/>
      <c r="P1084" s="2" t="str">
        <f>VLOOKUP(G1084,[1]Hoja1!$A:$P,16,0)</f>
        <v xml:space="preserve"> </v>
      </c>
      <c r="Q1084" s="2"/>
      <c r="S1084">
        <f>VLOOKUP(G1084,[1]Hoja1!$A:$O,5,0)</f>
        <v>2683118</v>
      </c>
      <c r="U1084" s="45" t="s">
        <v>2751</v>
      </c>
      <c r="V1084" s="46">
        <f t="shared" si="211"/>
        <v>2683118</v>
      </c>
      <c r="W1084" s="47" t="s">
        <v>1519</v>
      </c>
      <c r="X1084" s="46" t="str">
        <f t="shared" si="212"/>
        <v>2</v>
      </c>
      <c r="Y1084" s="47" t="s">
        <v>1518</v>
      </c>
      <c r="Z1084" s="46" t="str">
        <f t="shared" si="213"/>
        <v>V</v>
      </c>
      <c r="AA1084" s="47" t="s">
        <v>2752</v>
      </c>
      <c r="AB1084" s="46" t="str">
        <f t="shared" si="214"/>
        <v>MIERCOLES</v>
      </c>
      <c r="AC1084" s="47" t="s">
        <v>2753</v>
      </c>
      <c r="AD1084" t="str">
        <f t="shared" si="215"/>
        <v>CONTRATURNO</v>
      </c>
      <c r="AE1084" s="47" t="s">
        <v>2754</v>
      </c>
      <c r="AH1084" t="str">
        <f t="shared" si="216"/>
        <v>INSERT INTO horario_curso_materia (horario_curso_materia.FK_CUR_mat,horario_curso_materia.FK_HOR,horario_curso_materia.DIA,horario_curso_materia.tipo_turno) VALUES (  (SELECT curso_materia.ID_CUR_MAT FROM curso_materia WHERE curso_materia.CUPOF='2683118' ) ,
    (SELECT horario.ID_HOR FROM horario WHERE horario.modulo='2 ' and horario.turno='V ' ),'MIERCOLES ' , 'CONTRATURNO ' );</v>
      </c>
    </row>
    <row r="1085" spans="1:34" ht="15" hidden="1" customHeight="1" x14ac:dyDescent="0.3">
      <c r="A1085" s="1" t="str">
        <f t="shared" si="210"/>
        <v>6°4°</v>
      </c>
      <c r="B1085" s="54" t="str">
        <f t="shared" si="208"/>
        <v>6°4°1VITARDE0</v>
      </c>
      <c r="C1085" s="62">
        <f>VLOOKUP(G1085,[1]Hoja1!$A:$O,3,0)</f>
        <v>0</v>
      </c>
      <c r="D1085" s="2" t="str">
        <f t="shared" si="209"/>
        <v>1VIT</v>
      </c>
      <c r="E1085" s="62" t="s">
        <v>57</v>
      </c>
      <c r="F1085" s="62" t="s">
        <v>10</v>
      </c>
      <c r="G1085" s="62" t="s">
        <v>466</v>
      </c>
      <c r="H1085" s="8" t="str">
        <f>VLOOKUP(G1085,[1]Hoja1!$A:$O,6,0)</f>
        <v>SISTEMA PRODUCTIVO</v>
      </c>
      <c r="I1085" s="4"/>
      <c r="J1085" s="4"/>
      <c r="K1085" s="80" t="str">
        <f t="shared" si="218"/>
        <v>VI</v>
      </c>
      <c r="L1085" s="4"/>
      <c r="M1085" s="86" t="str">
        <f>VLOOKUP(G1085,[1]Hoja1!$A:$O,15,0)</f>
        <v>VERON, DAIANA A 27-34985561-0</v>
      </c>
      <c r="N1085" s="2" t="str">
        <f t="shared" si="217"/>
        <v>6°4°6ESIPROVI</v>
      </c>
      <c r="O1085" s="2"/>
      <c r="P1085" s="2" t="str">
        <f>VLOOKUP(G1085,[1]Hoja1!$A:$P,16,0)</f>
        <v xml:space="preserve"> </v>
      </c>
      <c r="Q1085" s="2"/>
      <c r="S1085">
        <f>VLOOKUP(G1085,[1]Hoja1!$A:$O,5,0)</f>
        <v>2683110</v>
      </c>
      <c r="U1085" s="45" t="s">
        <v>2751</v>
      </c>
      <c r="V1085" s="46">
        <f t="shared" si="211"/>
        <v>2683110</v>
      </c>
      <c r="W1085" s="47" t="s">
        <v>1519</v>
      </c>
      <c r="X1085" s="46" t="str">
        <f t="shared" si="212"/>
        <v>1</v>
      </c>
      <c r="Y1085" s="47" t="s">
        <v>1518</v>
      </c>
      <c r="Z1085" s="46" t="str">
        <f t="shared" si="213"/>
        <v>T</v>
      </c>
      <c r="AA1085" s="47" t="s">
        <v>2752</v>
      </c>
      <c r="AB1085" s="46" t="str">
        <f t="shared" si="214"/>
        <v>VIERNES</v>
      </c>
      <c r="AC1085" s="47" t="s">
        <v>2753</v>
      </c>
      <c r="AD1085">
        <f t="shared" si="215"/>
        <v>0</v>
      </c>
      <c r="AE1085" s="47" t="s">
        <v>2754</v>
      </c>
      <c r="AH1085" t="str">
        <f t="shared" si="216"/>
        <v>INSERT INTO horario_curso_materia (horario_curso_materia.FK_CUR_mat,horario_curso_materia.FK_HOR,horario_curso_materia.DIA,horario_curso_materia.tipo_turno) VALUES (  (SELECT curso_materia.ID_CUR_MAT FROM curso_materia WHERE curso_materia.CUPOF='2683110' ) ,
    (SELECT horario.ID_HOR FROM horario WHERE horario.modulo='1 ' and horario.turno='T ' ),'VIERNES ' , '0 ' );</v>
      </c>
    </row>
    <row r="1086" spans="1:34" ht="15" hidden="1" customHeight="1" x14ac:dyDescent="0.3">
      <c r="A1086" s="1" t="str">
        <f t="shared" si="210"/>
        <v>6°4°</v>
      </c>
      <c r="B1086" s="54" t="str">
        <f t="shared" si="208"/>
        <v>6°4°3JUVESPERTINO641</v>
      </c>
      <c r="C1086" s="62">
        <f>VLOOKUP(G1086,[1]Hoja1!$A:$O,3,0)</f>
        <v>641</v>
      </c>
      <c r="D1086" s="2" t="str">
        <f t="shared" si="209"/>
        <v>3JUV45</v>
      </c>
      <c r="E1086" s="62" t="s">
        <v>46</v>
      </c>
      <c r="F1086" s="62" t="s">
        <v>125</v>
      </c>
      <c r="G1086" s="62" t="s">
        <v>213</v>
      </c>
      <c r="H1086" s="40" t="str">
        <f>VLOOKUP(G1086,[1]Hoja1!$A:$O,6,0)</f>
        <v>APLIC ELECT ANALOG</v>
      </c>
      <c r="I1086" s="4">
        <v>45</v>
      </c>
      <c r="J1086" s="4"/>
      <c r="K1086" s="80" t="str">
        <f t="shared" si="218"/>
        <v>JU</v>
      </c>
      <c r="L1086" s="4" t="s">
        <v>512</v>
      </c>
      <c r="M1086" s="86" t="str">
        <f>VLOOKUP(G1086,[1]Hoja1!$A:$O,15,0)</f>
        <v xml:space="preserve">MARTINEZ, SILVIO </v>
      </c>
      <c r="N1086" s="2" t="str">
        <f t="shared" si="217"/>
        <v>6°4°6416EFTAE6JU</v>
      </c>
      <c r="O1086" s="2"/>
      <c r="P1086" s="2" t="str">
        <f>VLOOKUP(G1086,[1]Hoja1!$A:$P,16,0)</f>
        <v xml:space="preserve"> </v>
      </c>
      <c r="Q1086" s="2"/>
      <c r="S1086">
        <f>VLOOKUP(G1086,[1]Hoja1!$A:$O,5,0)</f>
        <v>2683113</v>
      </c>
      <c r="U1086" s="45" t="s">
        <v>2751</v>
      </c>
      <c r="V1086" s="46">
        <f t="shared" si="211"/>
        <v>2683113</v>
      </c>
      <c r="W1086" s="47" t="s">
        <v>1519</v>
      </c>
      <c r="X1086" s="46" t="str">
        <f t="shared" si="212"/>
        <v>3</v>
      </c>
      <c r="Y1086" s="47" t="s">
        <v>1518</v>
      </c>
      <c r="Z1086" s="46" t="str">
        <f t="shared" si="213"/>
        <v>V</v>
      </c>
      <c r="AA1086" s="47" t="s">
        <v>2752</v>
      </c>
      <c r="AB1086" s="46" t="str">
        <f t="shared" si="214"/>
        <v>JUEVES</v>
      </c>
      <c r="AC1086" s="47" t="s">
        <v>2753</v>
      </c>
      <c r="AD1086" t="str">
        <f t="shared" si="215"/>
        <v>CONTRATURNO</v>
      </c>
      <c r="AE1086" s="47" t="s">
        <v>2754</v>
      </c>
      <c r="AH1086" t="str">
        <f t="shared" si="216"/>
        <v>INSERT INTO horario_curso_materia (horario_curso_materia.FK_CUR_mat,horario_curso_materia.FK_HOR,horario_curso_materia.DIA,horario_curso_materia.tipo_turno) VALUES (  (SELECT curso_materia.ID_CUR_MAT FROM curso_materia WHERE curso_materia.CUPOF='2683113' ) ,
    (SELECT horario.ID_HOR FROM horario WHERE horario.modulo='3 ' and horario.turno='V ' ),'JUEVES ' , 'CONTRATURNO ' );</v>
      </c>
    </row>
    <row r="1087" spans="1:34" ht="15" hidden="1" customHeight="1" x14ac:dyDescent="0.3">
      <c r="A1087" s="1" t="str">
        <f t="shared" si="210"/>
        <v>6°4°</v>
      </c>
      <c r="B1087" s="54" t="str">
        <f t="shared" si="208"/>
        <v>6°4°3juVESPERTINO642</v>
      </c>
      <c r="C1087" s="62">
        <f>VLOOKUP(G1087,[1]Hoja1!$A:$O,3,0)</f>
        <v>642</v>
      </c>
      <c r="D1087" s="2" t="str">
        <f t="shared" si="209"/>
        <v>3juVHERRERIA</v>
      </c>
      <c r="E1087" s="62" t="s">
        <v>1350</v>
      </c>
      <c r="F1087" s="62" t="s">
        <v>125</v>
      </c>
      <c r="G1087" s="62" t="s">
        <v>218</v>
      </c>
      <c r="H1087" s="8" t="str">
        <f>VLOOKUP(G1087,[1]Hoja1!$A:$O,6,0)</f>
        <v>APLIC ELECT ANALOG</v>
      </c>
      <c r="I1087" s="4" t="s">
        <v>21</v>
      </c>
      <c r="J1087" s="4"/>
      <c r="K1087" s="80" t="str">
        <f t="shared" si="218"/>
        <v>ju</v>
      </c>
      <c r="L1087" s="4" t="s">
        <v>512</v>
      </c>
      <c r="M1087" s="86" t="str">
        <f>VLOOKUP(G1087,[1]Hoja1!$A:$O,15,0)</f>
        <v>BULACIO ARIEL</v>
      </c>
      <c r="N1087" s="2" t="str">
        <f t="shared" si="217"/>
        <v>6°4°6426EFTAE6ju</v>
      </c>
      <c r="O1087" s="2" t="s">
        <v>1512</v>
      </c>
      <c r="P1087" s="2" t="str">
        <f>VLOOKUP(G1087,[1]Hoja1!$A:$P,16,0)</f>
        <v xml:space="preserve"> </v>
      </c>
      <c r="Q1087" s="2"/>
      <c r="S1087">
        <f>VLOOKUP(G1087,[1]Hoja1!$A:$O,5,0)</f>
        <v>2683119</v>
      </c>
      <c r="U1087" s="45" t="s">
        <v>2751</v>
      </c>
      <c r="V1087" s="46">
        <f t="shared" si="211"/>
        <v>2683119</v>
      </c>
      <c r="W1087" s="47" t="s">
        <v>1519</v>
      </c>
      <c r="X1087" s="46" t="str">
        <f t="shared" si="212"/>
        <v>3</v>
      </c>
      <c r="Y1087" s="47" t="s">
        <v>1518</v>
      </c>
      <c r="Z1087" s="46" t="str">
        <f t="shared" si="213"/>
        <v>V</v>
      </c>
      <c r="AA1087" s="47" t="s">
        <v>2752</v>
      </c>
      <c r="AB1087" s="46" t="str">
        <f t="shared" si="214"/>
        <v>JUEVES</v>
      </c>
      <c r="AC1087" s="47" t="s">
        <v>2753</v>
      </c>
      <c r="AD1087" t="str">
        <f t="shared" si="215"/>
        <v>CONTRATURNO</v>
      </c>
      <c r="AE1087" s="47" t="s">
        <v>2754</v>
      </c>
      <c r="AH1087" t="str">
        <f t="shared" si="216"/>
        <v>INSERT INTO horario_curso_materia (horario_curso_materia.FK_CUR_mat,horario_curso_materia.FK_HOR,horario_curso_materia.DIA,horario_curso_materia.tipo_turno) VALUES (  (SELECT curso_materia.ID_CUR_MAT FROM curso_materia WHERE curso_materia.CUPOF='2683119' ) ,
    (SELECT horario.ID_HOR FROM horario WHERE horario.modulo='3 ' and horario.turno='V ' ),'JUEVES ' , 'CONTRATURNO ' );</v>
      </c>
    </row>
    <row r="1088" spans="1:34" ht="15" hidden="1" customHeight="1" x14ac:dyDescent="0.3">
      <c r="A1088" s="1" t="str">
        <f t="shared" si="210"/>
        <v>6°4°</v>
      </c>
      <c r="B1088" s="54" t="str">
        <f t="shared" si="208"/>
        <v>6°4°3LUMAÑANA641</v>
      </c>
      <c r="C1088" s="62">
        <f>VLOOKUP(G1088,[1]Hoja1!$A:$O,3,0)</f>
        <v>641</v>
      </c>
      <c r="D1088" s="2" t="str">
        <f t="shared" si="209"/>
        <v>3LUM44</v>
      </c>
      <c r="E1088" s="62" t="s">
        <v>29</v>
      </c>
      <c r="F1088" s="62" t="s">
        <v>27</v>
      </c>
      <c r="G1088" s="62" t="s">
        <v>211</v>
      </c>
      <c r="H1088" s="8" t="str">
        <f>VLOOKUP(G1088,[1]Hoja1!$A:$O,6,0)</f>
        <v xml:space="preserve">MONTAJE DE PROYECTO ELECTRONICOS </v>
      </c>
      <c r="I1088" s="4">
        <v>44</v>
      </c>
      <c r="J1088" s="4"/>
      <c r="K1088" s="80" t="str">
        <f t="shared" si="218"/>
        <v>LU</v>
      </c>
      <c r="L1088" s="4" t="s">
        <v>512</v>
      </c>
      <c r="M1088" s="86" t="str">
        <f>VLOOKUP(G1088,[1]Hoja1!$A:$O,15,0)</f>
        <v>SAUCEDO GUSTAVO</v>
      </c>
      <c r="N1088" s="2" t="str">
        <f t="shared" si="217"/>
        <v>6°4°6416EFTMP6LU</v>
      </c>
      <c r="O1088" s="2"/>
      <c r="P1088" s="2" t="str">
        <f>VLOOKUP(G1088,[1]Hoja1!$A:$P,16,0)</f>
        <v xml:space="preserve"> </v>
      </c>
      <c r="Q1088" s="2"/>
      <c r="S1088">
        <f>VLOOKUP(G1088,[1]Hoja1!$A:$O,5,0)</f>
        <v>2683116</v>
      </c>
      <c r="U1088" s="45" t="s">
        <v>2751</v>
      </c>
      <c r="V1088" s="46">
        <f t="shared" si="211"/>
        <v>2683116</v>
      </c>
      <c r="W1088" s="47" t="s">
        <v>1519</v>
      </c>
      <c r="X1088" s="46" t="str">
        <f t="shared" si="212"/>
        <v>3</v>
      </c>
      <c r="Y1088" s="47" t="s">
        <v>1518</v>
      </c>
      <c r="Z1088" s="46" t="str">
        <f t="shared" si="213"/>
        <v>M</v>
      </c>
      <c r="AA1088" s="47" t="s">
        <v>2752</v>
      </c>
      <c r="AB1088" s="46" t="str">
        <f t="shared" si="214"/>
        <v>LUNES</v>
      </c>
      <c r="AC1088" s="47" t="s">
        <v>2753</v>
      </c>
      <c r="AD1088" t="str">
        <f t="shared" si="215"/>
        <v>CONTRATURNO</v>
      </c>
      <c r="AE1088" s="47" t="s">
        <v>2754</v>
      </c>
      <c r="AH1088" t="str">
        <f t="shared" si="216"/>
        <v>INSERT INTO horario_curso_materia (horario_curso_materia.FK_CUR_mat,horario_curso_materia.FK_HOR,horario_curso_materia.DIA,horario_curso_materia.tipo_turno) VALUES (  (SELECT curso_materia.ID_CUR_MAT FROM curso_materia WHERE curso_materia.CUPOF='2683116' ) ,
    (SELECT horario.ID_HOR FROM horario WHERE horario.modulo='3 ' and horario.turno='M ' ),'LUNES ' , 'CONTRATURNO ' );</v>
      </c>
    </row>
    <row r="1089" spans="1:34" ht="15" hidden="1" customHeight="1" x14ac:dyDescent="0.3">
      <c r="A1089" s="1" t="str">
        <f t="shared" si="210"/>
        <v>6°4°</v>
      </c>
      <c r="B1089" s="54" t="str">
        <f t="shared" si="208"/>
        <v>6°4°3LUTARDE0</v>
      </c>
      <c r="C1089" s="62">
        <f>VLOOKUP(G1089,[1]Hoja1!$A:$O,3,0)</f>
        <v>0</v>
      </c>
      <c r="D1089" s="2" t="str">
        <f t="shared" si="209"/>
        <v>3LUT</v>
      </c>
      <c r="E1089" s="62" t="s">
        <v>29</v>
      </c>
      <c r="F1089" s="62" t="s">
        <v>10</v>
      </c>
      <c r="G1089" s="62" t="s">
        <v>460</v>
      </c>
      <c r="H1089" s="8" t="str">
        <f>VLOOKUP(G1089,[1]Hoja1!$A:$O,6,0)</f>
        <v>MATEMATICA APLICADA</v>
      </c>
      <c r="I1089" s="4"/>
      <c r="J1089" s="4"/>
      <c r="K1089" s="80" t="str">
        <f t="shared" si="218"/>
        <v>LU</v>
      </c>
      <c r="L1089" s="4"/>
      <c r="M1089" s="86" t="str">
        <f>VLOOKUP(G1089,[1]Hoja1!$A:$O,15,0)</f>
        <v>WEBBER BRIAN</v>
      </c>
      <c r="N1089" s="2" t="str">
        <f t="shared" si="217"/>
        <v>6°4°6EMATAPLU</v>
      </c>
      <c r="O1089" s="2"/>
      <c r="P1089" s="2" t="str">
        <f>VLOOKUP(G1089,[1]Hoja1!$A:$P,16,0)</f>
        <v xml:space="preserve"> </v>
      </c>
      <c r="Q1089" s="2"/>
      <c r="S1089">
        <f>VLOOKUP(G1089,[1]Hoja1!$A:$O,5,0)</f>
        <v>2683107</v>
      </c>
      <c r="U1089" s="45" t="s">
        <v>2751</v>
      </c>
      <c r="V1089" s="46">
        <f t="shared" si="211"/>
        <v>2683107</v>
      </c>
      <c r="W1089" s="47" t="s">
        <v>1519</v>
      </c>
      <c r="X1089" s="46" t="str">
        <f t="shared" si="212"/>
        <v>3</v>
      </c>
      <c r="Y1089" s="47" t="s">
        <v>1518</v>
      </c>
      <c r="Z1089" s="46" t="str">
        <f t="shared" si="213"/>
        <v>T</v>
      </c>
      <c r="AA1089" s="47" t="s">
        <v>2752</v>
      </c>
      <c r="AB1089" s="46" t="str">
        <f t="shared" si="214"/>
        <v>LUNES</v>
      </c>
      <c r="AC1089" s="47" t="s">
        <v>2753</v>
      </c>
      <c r="AD1089">
        <f t="shared" si="215"/>
        <v>0</v>
      </c>
      <c r="AE1089" s="47" t="s">
        <v>2754</v>
      </c>
      <c r="AH1089" t="str">
        <f t="shared" si="216"/>
        <v>INSERT INTO horario_curso_materia (horario_curso_materia.FK_CUR_mat,horario_curso_materia.FK_HOR,horario_curso_materia.DIA,horario_curso_materia.tipo_turno) VALUES (  (SELECT curso_materia.ID_CUR_MAT FROM curso_materia WHERE curso_materia.CUPOF='2683107' ) ,
    (SELECT horario.ID_HOR FROM horario WHERE horario.modulo='3 ' and horario.turno='T ' ),'LUNES ' , '0 ' );</v>
      </c>
    </row>
    <row r="1090" spans="1:34" ht="15" hidden="1" customHeight="1" x14ac:dyDescent="0.3">
      <c r="A1090" s="1" t="str">
        <f t="shared" si="210"/>
        <v>6°4°</v>
      </c>
      <c r="B1090" s="54" t="str">
        <f t="shared" ref="B1090:B1153" si="219">CONCATENATE(LEFT(G1090,4),E1090,F1090,C1090)</f>
        <v>6°4°3LUVESPERTINO0</v>
      </c>
      <c r="C1090" s="62">
        <f>VLOOKUP(G1090,[1]Hoja1!$A:$O,3,0)</f>
        <v>0</v>
      </c>
      <c r="D1090" s="2" t="str">
        <f t="shared" si="209"/>
        <v>3LUV33</v>
      </c>
      <c r="E1090" s="70" t="s">
        <v>29</v>
      </c>
      <c r="F1090" s="62" t="s">
        <v>125</v>
      </c>
      <c r="G1090" s="62" t="s">
        <v>461</v>
      </c>
      <c r="H1090" s="8" t="str">
        <f>VLOOKUP(G1090,[1]Hoja1!$A:$O,6,0)</f>
        <v>SISTEMA DE COMUNICACIONES</v>
      </c>
      <c r="I1090" s="4">
        <v>33</v>
      </c>
      <c r="J1090" s="4"/>
      <c r="K1090" s="80" t="str">
        <f t="shared" si="218"/>
        <v>LU</v>
      </c>
      <c r="L1090" s="4" t="s">
        <v>512</v>
      </c>
      <c r="M1090" s="86" t="str">
        <f>VLOOKUP(G1090,[1]Hoja1!$A:$O,15,0)</f>
        <v>DELGADO ARIEL</v>
      </c>
      <c r="N1090" s="2" t="str">
        <f t="shared" si="217"/>
        <v>6°4°6ESISCOLU</v>
      </c>
      <c r="O1090" s="2"/>
      <c r="P1090" s="2" t="str">
        <f>VLOOKUP(G1090,[1]Hoja1!$A:$P,16,0)</f>
        <v xml:space="preserve"> </v>
      </c>
      <c r="Q1090" s="2"/>
      <c r="S1090">
        <f>VLOOKUP(G1090,[1]Hoja1!$A:$O,5,0)</f>
        <v>2683108</v>
      </c>
      <c r="U1090" s="45" t="s">
        <v>2751</v>
      </c>
      <c r="V1090" s="46">
        <f t="shared" si="211"/>
        <v>2683108</v>
      </c>
      <c r="W1090" s="47" t="s">
        <v>1519</v>
      </c>
      <c r="X1090" s="46" t="str">
        <f t="shared" si="212"/>
        <v>3</v>
      </c>
      <c r="Y1090" s="47" t="s">
        <v>1518</v>
      </c>
      <c r="Z1090" s="46" t="str">
        <f t="shared" si="213"/>
        <v>V</v>
      </c>
      <c r="AA1090" s="47" t="s">
        <v>2752</v>
      </c>
      <c r="AB1090" s="46" t="str">
        <f t="shared" si="214"/>
        <v>LUNES</v>
      </c>
      <c r="AC1090" s="47" t="s">
        <v>2753</v>
      </c>
      <c r="AD1090" t="str">
        <f t="shared" si="215"/>
        <v>CONTRATURNO</v>
      </c>
      <c r="AE1090" s="47" t="s">
        <v>2754</v>
      </c>
      <c r="AH1090" t="str">
        <f t="shared" si="216"/>
        <v>INSERT INTO horario_curso_materia (horario_curso_materia.FK_CUR_mat,horario_curso_materia.FK_HOR,horario_curso_materia.DIA,horario_curso_materia.tipo_turno) VALUES (  (SELECT curso_materia.ID_CUR_MAT FROM curso_materia WHERE curso_materia.CUPOF='2683108' ) ,
    (SELECT horario.ID_HOR FROM horario WHERE horario.modulo='3 ' and horario.turno='V ' ),'LUNES ' , 'CONTRATURNO ' );</v>
      </c>
    </row>
    <row r="1091" spans="1:34" ht="14.25" hidden="1" customHeight="1" x14ac:dyDescent="0.3">
      <c r="A1091" s="1" t="str">
        <f t="shared" ref="A1091:A1122" si="220">LEFT(B1091,4)</f>
        <v>6°4°</v>
      </c>
      <c r="B1091" s="54" t="str">
        <f t="shared" si="219"/>
        <v>6°4°3maMAÑANA642</v>
      </c>
      <c r="C1091" s="4">
        <f>VLOOKUP(G1091,[1]Hoja1!$A:$O,3,0)</f>
        <v>642</v>
      </c>
      <c r="D1091" s="1" t="str">
        <f t="shared" si="209"/>
        <v>3maMHARDWARE</v>
      </c>
      <c r="E1091" s="62" t="s">
        <v>1334</v>
      </c>
      <c r="F1091" s="62" t="s">
        <v>27</v>
      </c>
      <c r="G1091" s="62" t="s">
        <v>214</v>
      </c>
      <c r="H1091" s="8" t="str">
        <f>VLOOKUP(G1091,[1]Hoja1!$A:$O,6,0)</f>
        <v xml:space="preserve">APLIC ELECTR DIGITAL </v>
      </c>
      <c r="I1091" s="4" t="s">
        <v>38</v>
      </c>
      <c r="J1091" s="4"/>
      <c r="K1091" s="80" t="str">
        <f t="shared" si="218"/>
        <v>ma</v>
      </c>
      <c r="L1091" s="2" t="s">
        <v>2756</v>
      </c>
      <c r="M1091" s="86" t="str">
        <f>VLOOKUP(G1091,[1]Hoja1!$A:$O,15,0)</f>
        <v>BARONI ROBERTO ALEJANDRO</v>
      </c>
      <c r="N1091" s="2" t="str">
        <f t="shared" si="217"/>
        <v>6°4°6426EFTED6ma</v>
      </c>
      <c r="O1091" s="2"/>
      <c r="P1091" s="2" t="str">
        <f>VLOOKUP(G1091,[1]Hoja1!$A:$P,16,0)</f>
        <v xml:space="preserve"> </v>
      </c>
      <c r="Q1091" s="4"/>
      <c r="S1091">
        <f>VLOOKUP(G1091,[1]Hoja1!$A:$O,5,0)</f>
        <v>2683120</v>
      </c>
      <c r="U1091" s="45" t="s">
        <v>2751</v>
      </c>
      <c r="V1091" s="46">
        <f t="shared" si="211"/>
        <v>2683120</v>
      </c>
      <c r="W1091" s="47" t="s">
        <v>1519</v>
      </c>
      <c r="X1091" s="46" t="str">
        <f t="shared" si="212"/>
        <v>3</v>
      </c>
      <c r="Y1091" s="47" t="s">
        <v>1518</v>
      </c>
      <c r="Z1091" s="46" t="str">
        <f t="shared" si="213"/>
        <v>M</v>
      </c>
      <c r="AA1091" s="47" t="s">
        <v>2752</v>
      </c>
      <c r="AB1091" s="46" t="str">
        <f t="shared" si="214"/>
        <v>MARTES</v>
      </c>
      <c r="AC1091" s="47" t="s">
        <v>2753</v>
      </c>
      <c r="AD1091" t="str">
        <f t="shared" si="215"/>
        <v xml:space="preserve"> CONTRATURNO</v>
      </c>
      <c r="AE1091" s="47" t="s">
        <v>2754</v>
      </c>
      <c r="AH1091" t="str">
        <f t="shared" si="216"/>
        <v>INSERT INTO horario_curso_materia (horario_curso_materia.FK_CUR_mat,horario_curso_materia.FK_HOR,horario_curso_materia.DIA,horario_curso_materia.tipo_turno) VALUES (  (SELECT curso_materia.ID_CUR_MAT FROM curso_materia WHERE curso_materia.CUPOF='2683120' ) ,
    (SELECT horario.ID_HOR FROM horario WHERE horario.modulo='3 ' and horario.turno='M ' ),'MARTES ' , ' CONTRATURNO ' );</v>
      </c>
    </row>
    <row r="1092" spans="1:34" ht="15" hidden="1" customHeight="1" x14ac:dyDescent="0.3">
      <c r="A1092" s="1" t="str">
        <f t="shared" si="220"/>
        <v>6°4°</v>
      </c>
      <c r="B1092" s="54" t="str">
        <f t="shared" si="219"/>
        <v>6°4°3MATARDE0</v>
      </c>
      <c r="C1092" s="62">
        <f>VLOOKUP(G1092,[1]Hoja1!$A:$O,3,0)</f>
        <v>0</v>
      </c>
      <c r="D1092" s="2" t="str">
        <f t="shared" si="209"/>
        <v>3MAT</v>
      </c>
      <c r="E1092" s="62" t="s">
        <v>13</v>
      </c>
      <c r="F1092" s="62" t="s">
        <v>10</v>
      </c>
      <c r="G1092" s="62" t="s">
        <v>462</v>
      </c>
      <c r="H1092" s="8" t="str">
        <f>VLOOKUP(G1092,[1]Hoja1!$A:$O,6,0)</f>
        <v>INSTALACIONES Y MAQUINAS ELECTRICAS</v>
      </c>
      <c r="I1092" s="4"/>
      <c r="J1092" s="4"/>
      <c r="K1092" s="80" t="str">
        <f t="shared" si="218"/>
        <v>MA</v>
      </c>
      <c r="L1092" s="4"/>
      <c r="M1092" s="86" t="str">
        <f>VLOOKUP(G1092,[1]Hoja1!$A:$O,15,0)</f>
        <v xml:space="preserve">SAUCEDO GUSTAVO </v>
      </c>
      <c r="N1092" s="2" t="str">
        <f t="shared" si="217"/>
        <v>6°4°6EINSMAMA</v>
      </c>
      <c r="O1092" s="2"/>
      <c r="P1092" s="2" t="str">
        <f>VLOOKUP(G1092,[1]Hoja1!$A:$P,16,0)</f>
        <v xml:space="preserve"> </v>
      </c>
      <c r="Q1092" s="2"/>
      <c r="S1092">
        <f>VLOOKUP(G1092,[1]Hoja1!$A:$O,5,0)</f>
        <v>2683109</v>
      </c>
      <c r="U1092" s="45" t="s">
        <v>2751</v>
      </c>
      <c r="V1092" s="46">
        <f t="shared" si="211"/>
        <v>2683109</v>
      </c>
      <c r="W1092" s="47" t="s">
        <v>1519</v>
      </c>
      <c r="X1092" s="46" t="str">
        <f t="shared" si="212"/>
        <v>3</v>
      </c>
      <c r="Y1092" s="47" t="s">
        <v>1518</v>
      </c>
      <c r="Z1092" s="46" t="str">
        <f t="shared" si="213"/>
        <v>T</v>
      </c>
      <c r="AA1092" s="47" t="s">
        <v>2752</v>
      </c>
      <c r="AB1092" s="46" t="str">
        <f t="shared" si="214"/>
        <v>MARTES</v>
      </c>
      <c r="AC1092" s="47" t="s">
        <v>2753</v>
      </c>
      <c r="AD1092">
        <f t="shared" si="215"/>
        <v>0</v>
      </c>
      <c r="AE1092" s="47" t="s">
        <v>2754</v>
      </c>
      <c r="AH1092" t="str">
        <f t="shared" si="216"/>
        <v>INSERT INTO horario_curso_materia (horario_curso_materia.FK_CUR_mat,horario_curso_materia.FK_HOR,horario_curso_materia.DIA,horario_curso_materia.tipo_turno) VALUES (  (SELECT curso_materia.ID_CUR_MAT FROM curso_materia WHERE curso_materia.CUPOF='2683109' ) ,
    (SELECT horario.ID_HOR FROM horario WHERE horario.modulo='3 ' and horario.turno='T ' ),'MARTES ' , '0 ' );</v>
      </c>
    </row>
    <row r="1093" spans="1:34" ht="15" hidden="1" customHeight="1" x14ac:dyDescent="0.3">
      <c r="A1093" s="1" t="str">
        <f t="shared" si="220"/>
        <v>6°4°</v>
      </c>
      <c r="B1093" s="54" t="str">
        <f t="shared" si="219"/>
        <v>6°4°3MIMAÑANA641</v>
      </c>
      <c r="C1093" s="62">
        <f>VLOOKUP(G1093,[1]Hoja1!$A:$O,3,0)</f>
        <v>641</v>
      </c>
      <c r="D1093" s="2" t="str">
        <f t="shared" si="209"/>
        <v>3MIM30</v>
      </c>
      <c r="E1093" s="62" t="s">
        <v>50</v>
      </c>
      <c r="F1093" s="62" t="s">
        <v>27</v>
      </c>
      <c r="G1093" s="62" t="s">
        <v>212</v>
      </c>
      <c r="H1093" s="8" t="str">
        <f>VLOOKUP(G1093,[1]Hoja1!$A:$O,6,0)</f>
        <v>LENGUAJES ELECTRONICOS</v>
      </c>
      <c r="I1093" s="4">
        <v>30</v>
      </c>
      <c r="J1093" s="4"/>
      <c r="K1093" s="80" t="str">
        <f t="shared" si="218"/>
        <v>MI</v>
      </c>
      <c r="L1093" s="4" t="s">
        <v>512</v>
      </c>
      <c r="M1093" s="86" t="str">
        <f>VLOOKUP(G1093,[1]Hoja1!$A:$O,15,0)</f>
        <v>GONANO, GERMAN S</v>
      </c>
      <c r="N1093" s="2" t="str">
        <f t="shared" si="217"/>
        <v>6°4°6416ELENE6MI</v>
      </c>
      <c r="O1093" s="2" t="s">
        <v>1510</v>
      </c>
      <c r="P1093" s="2" t="str">
        <f>VLOOKUP(G1093,[1]Hoja1!$A:$P,16,0)</f>
        <v xml:space="preserve"> </v>
      </c>
      <c r="Q1093" s="2"/>
      <c r="S1093">
        <f>VLOOKUP(G1093,[1]Hoja1!$A:$O,5,0)</f>
        <v>2683112</v>
      </c>
      <c r="U1093" s="45" t="s">
        <v>2751</v>
      </c>
      <c r="V1093" s="46">
        <f t="shared" si="211"/>
        <v>2683112</v>
      </c>
      <c r="W1093" s="47" t="s">
        <v>1519</v>
      </c>
      <c r="X1093" s="46" t="str">
        <f t="shared" si="212"/>
        <v>3</v>
      </c>
      <c r="Y1093" s="47" t="s">
        <v>1518</v>
      </c>
      <c r="Z1093" s="46" t="str">
        <f t="shared" si="213"/>
        <v>M</v>
      </c>
      <c r="AA1093" s="47" t="s">
        <v>2752</v>
      </c>
      <c r="AB1093" s="46" t="str">
        <f t="shared" si="214"/>
        <v>MIERCOLES</v>
      </c>
      <c r="AC1093" s="47" t="s">
        <v>2753</v>
      </c>
      <c r="AD1093" t="str">
        <f t="shared" si="215"/>
        <v>CONTRATURNO</v>
      </c>
      <c r="AE1093" s="47" t="s">
        <v>2754</v>
      </c>
      <c r="AH1093" t="str">
        <f t="shared" si="216"/>
        <v>INSERT INTO horario_curso_materia (horario_curso_materia.FK_CUR_mat,horario_curso_materia.FK_HOR,horario_curso_materia.DIA,horario_curso_materia.tipo_turno) VALUES (  (SELECT curso_materia.ID_CUR_MAT FROM curso_materia WHERE curso_materia.CUPOF='2683112' ) ,
    (SELECT horario.ID_HOR FROM horario WHERE horario.modulo='3 ' and horario.turno='M ' ),'MIERCOLES ' , 'CONTRATURNO ' );</v>
      </c>
    </row>
    <row r="1094" spans="1:34" ht="15" hidden="1" customHeight="1" x14ac:dyDescent="0.3">
      <c r="A1094" s="1" t="str">
        <f t="shared" si="220"/>
        <v>6°4°</v>
      </c>
      <c r="B1094" s="54" t="str">
        <f t="shared" si="219"/>
        <v>6°4°3viTARDE0</v>
      </c>
      <c r="C1094" s="62">
        <f>VLOOKUP(G1094,[1]Hoja1!$A:$O,3,0)</f>
        <v>0</v>
      </c>
      <c r="D1094" s="2" t="str">
        <f t="shared" si="209"/>
        <v>3viT</v>
      </c>
      <c r="E1094" s="62" t="s">
        <v>1336</v>
      </c>
      <c r="F1094" s="62" t="s">
        <v>10</v>
      </c>
      <c r="G1094" s="62" t="s">
        <v>464</v>
      </c>
      <c r="H1094" s="8" t="str">
        <f>VLOOKUP(G1094,[1]Hoja1!$A:$O,6,0)</f>
        <v>LITERATURA</v>
      </c>
      <c r="I1094" s="4"/>
      <c r="J1094" s="4"/>
      <c r="K1094" s="80" t="str">
        <f t="shared" si="218"/>
        <v>vi</v>
      </c>
      <c r="L1094" s="4"/>
      <c r="M1094" s="86" t="str">
        <f>VLOOKUP(G1094,[1]Hoja1!$A:$O,15,0)</f>
        <v>ALFONSO</v>
      </c>
      <c r="N1094" s="2" t="str">
        <f t="shared" si="217"/>
        <v>6°4°6ELITSvi</v>
      </c>
      <c r="O1094" s="2"/>
      <c r="P1094" s="2" t="str">
        <f>VLOOKUP(G1094,[1]Hoja1!$A:$P,16,0)</f>
        <v xml:space="preserve"> </v>
      </c>
      <c r="Q1094" s="2"/>
      <c r="S1094">
        <f>VLOOKUP(G1094,[1]Hoja1!$A:$O,5,0)</f>
        <v>2683102</v>
      </c>
      <c r="U1094" s="45" t="s">
        <v>2751</v>
      </c>
      <c r="V1094" s="46">
        <f t="shared" si="211"/>
        <v>2683102</v>
      </c>
      <c r="W1094" s="47" t="s">
        <v>1519</v>
      </c>
      <c r="X1094" s="46" t="str">
        <f t="shared" si="212"/>
        <v>3</v>
      </c>
      <c r="Y1094" s="47" t="s">
        <v>1518</v>
      </c>
      <c r="Z1094" s="46" t="str">
        <f t="shared" si="213"/>
        <v>T</v>
      </c>
      <c r="AA1094" s="47" t="s">
        <v>2752</v>
      </c>
      <c r="AB1094" s="46" t="str">
        <f t="shared" si="214"/>
        <v>VIERNES</v>
      </c>
      <c r="AC1094" s="47" t="s">
        <v>2753</v>
      </c>
      <c r="AD1094">
        <f t="shared" si="215"/>
        <v>0</v>
      </c>
      <c r="AE1094" s="47" t="s">
        <v>2754</v>
      </c>
      <c r="AH1094" t="str">
        <f t="shared" si="216"/>
        <v>INSERT INTO horario_curso_materia (horario_curso_materia.FK_CUR_mat,horario_curso_materia.FK_HOR,horario_curso_materia.DIA,horario_curso_materia.tipo_turno) VALUES (  (SELECT curso_materia.ID_CUR_MAT FROM curso_materia WHERE curso_materia.CUPOF='2683102' ) ,
    (SELECT horario.ID_HOR FROM horario WHERE horario.modulo='3 ' and horario.turno='T ' ),'VIERNES ' , '0 ' );</v>
      </c>
    </row>
    <row r="1095" spans="1:34" ht="15" hidden="1" customHeight="1" x14ac:dyDescent="0.3">
      <c r="A1095" s="1" t="str">
        <f t="shared" si="220"/>
        <v>6°4°</v>
      </c>
      <c r="B1095" s="54" t="str">
        <f t="shared" si="219"/>
        <v>6°4°3VIMAÑANA642</v>
      </c>
      <c r="C1095" s="62">
        <f>VLOOKUP(G1095,[1]Hoja1!$A:$O,3,0)</f>
        <v>642</v>
      </c>
      <c r="D1095" s="2" t="str">
        <f t="shared" si="209"/>
        <v>3VIM44</v>
      </c>
      <c r="E1095" s="62" t="s">
        <v>35</v>
      </c>
      <c r="F1095" s="62" t="s">
        <v>27</v>
      </c>
      <c r="G1095" s="62" t="s">
        <v>217</v>
      </c>
      <c r="H1095" s="8" t="str">
        <f>VLOOKUP(G1095,[1]Hoja1!$A:$O,6,0)</f>
        <v xml:space="preserve">MONTAJE DE PROYECTO ELECTRONICOS </v>
      </c>
      <c r="I1095" s="4">
        <v>44</v>
      </c>
      <c r="J1095" s="4"/>
      <c r="K1095" s="80" t="str">
        <f t="shared" si="218"/>
        <v>VI</v>
      </c>
      <c r="L1095" s="4" t="s">
        <v>512</v>
      </c>
      <c r="M1095" s="86" t="str">
        <f>VLOOKUP(G1095,[1]Hoja1!$A:$O,15,0)</f>
        <v>SAUCEDO GUSTAVO</v>
      </c>
      <c r="N1095" s="2" t="str">
        <f t="shared" si="217"/>
        <v>6°4°6426EFTMP6VI</v>
      </c>
      <c r="O1095" s="2"/>
      <c r="P1095" s="2" t="str">
        <f>VLOOKUP(G1095,[1]Hoja1!$A:$P,16,0)</f>
        <v xml:space="preserve"> </v>
      </c>
      <c r="Q1095" s="2"/>
      <c r="S1095">
        <f>VLOOKUP(G1095,[1]Hoja1!$A:$O,5,0)</f>
        <v>2683121</v>
      </c>
      <c r="U1095" s="45" t="s">
        <v>2751</v>
      </c>
      <c r="V1095" s="46">
        <f t="shared" si="211"/>
        <v>2683121</v>
      </c>
      <c r="W1095" s="47" t="s">
        <v>1519</v>
      </c>
      <c r="X1095" s="46" t="str">
        <f t="shared" si="212"/>
        <v>3</v>
      </c>
      <c r="Y1095" s="47" t="s">
        <v>1518</v>
      </c>
      <c r="Z1095" s="46" t="str">
        <f t="shared" si="213"/>
        <v>M</v>
      </c>
      <c r="AA1095" s="47" t="s">
        <v>2752</v>
      </c>
      <c r="AB1095" s="46" t="str">
        <f t="shared" si="214"/>
        <v>VIERNES</v>
      </c>
      <c r="AC1095" s="47" t="s">
        <v>2753</v>
      </c>
      <c r="AD1095" t="str">
        <f t="shared" si="215"/>
        <v>CONTRATURNO</v>
      </c>
      <c r="AE1095" s="47" t="s">
        <v>2754</v>
      </c>
      <c r="AH1095" t="str">
        <f t="shared" si="216"/>
        <v>INSERT INTO horario_curso_materia (horario_curso_materia.FK_CUR_mat,horario_curso_materia.FK_HOR,horario_curso_materia.DIA,horario_curso_materia.tipo_turno) VALUES (  (SELECT curso_materia.ID_CUR_MAT FROM curso_materia WHERE curso_materia.CUPOF='2683121' ) ,
    (SELECT horario.ID_HOR FROM horario WHERE horario.modulo='3 ' and horario.turno='M ' ),'VIERNES ' , 'CONTRATURNO ' );</v>
      </c>
    </row>
    <row r="1096" spans="1:34" ht="15" hidden="1" customHeight="1" x14ac:dyDescent="0.3">
      <c r="A1096" s="1" t="str">
        <f t="shared" si="220"/>
        <v>6°4°</v>
      </c>
      <c r="B1096" s="54" t="str">
        <f t="shared" si="219"/>
        <v>6°4°3miTARDE0</v>
      </c>
      <c r="C1096" s="62">
        <f>VLOOKUP(G1096,[1]Hoja1!$A:$O,3,0)</f>
        <v>0</v>
      </c>
      <c r="D1096" s="2" t="str">
        <f t="shared" si="209"/>
        <v>3miTPATIO</v>
      </c>
      <c r="E1096" s="62" t="s">
        <v>1331</v>
      </c>
      <c r="F1096" s="62" t="s">
        <v>10</v>
      </c>
      <c r="G1096" s="62" t="s">
        <v>468</v>
      </c>
      <c r="H1096" s="8" t="str">
        <f>VLOOKUP(G1096,[1]Hoja1!$A:$O,6,0)</f>
        <v>EDUCACIÓN FISICA</v>
      </c>
      <c r="I1096" s="4" t="s">
        <v>241</v>
      </c>
      <c r="J1096" s="4"/>
      <c r="K1096" s="80" t="str">
        <f t="shared" si="218"/>
        <v>mi</v>
      </c>
      <c r="L1096" s="4"/>
      <c r="M1096" s="86" t="str">
        <f>VLOOKUP(G1096,[1]Hoja1!$A:$O,15,0)</f>
        <v>RIOS, LEONARDO  20-34020185-0</v>
      </c>
      <c r="N1096" s="2" t="str">
        <f t="shared" si="217"/>
        <v>6°4°6EEFISmi</v>
      </c>
      <c r="O1096" s="2"/>
      <c r="P1096" s="2" t="str">
        <f>VLOOKUP(G1096,[1]Hoja1!$A:$P,16,0)</f>
        <v xml:space="preserve"> </v>
      </c>
      <c r="Q1096" s="2"/>
      <c r="S1096">
        <f>VLOOKUP(G1096,[1]Hoja1!$A:$O,5,0)</f>
        <v>2683104</v>
      </c>
      <c r="U1096" s="45" t="s">
        <v>2751</v>
      </c>
      <c r="V1096" s="46">
        <f t="shared" si="211"/>
        <v>2683104</v>
      </c>
      <c r="W1096" s="47" t="s">
        <v>1519</v>
      </c>
      <c r="X1096" s="46" t="str">
        <f t="shared" si="212"/>
        <v>3</v>
      </c>
      <c r="Y1096" s="47" t="s">
        <v>1518</v>
      </c>
      <c r="Z1096" s="46" t="str">
        <f t="shared" si="213"/>
        <v>T</v>
      </c>
      <c r="AA1096" s="47" t="s">
        <v>2752</v>
      </c>
      <c r="AB1096" s="46" t="str">
        <f t="shared" si="214"/>
        <v>MIERCOLES</v>
      </c>
      <c r="AC1096" s="47" t="s">
        <v>2753</v>
      </c>
      <c r="AD1096">
        <f t="shared" si="215"/>
        <v>0</v>
      </c>
      <c r="AE1096" s="47" t="s">
        <v>2754</v>
      </c>
      <c r="AH1096" t="str">
        <f t="shared" si="216"/>
        <v>INSERT INTO horario_curso_materia (horario_curso_materia.FK_CUR_mat,horario_curso_materia.FK_HOR,horario_curso_materia.DIA,horario_curso_materia.tipo_turno) VALUES (  (SELECT curso_materia.ID_CUR_MAT FROM curso_materia WHERE curso_materia.CUPOF='2683104' ) ,
    (SELECT horario.ID_HOR FROM horario WHERE horario.modulo='3 ' and horario.turno='T ' ),'MIERCOLES ' , '0 ' );</v>
      </c>
    </row>
    <row r="1097" spans="1:34" ht="14.25" hidden="1" customHeight="1" x14ac:dyDescent="0.3">
      <c r="A1097" s="1" t="str">
        <f t="shared" si="220"/>
        <v>6°4°</v>
      </c>
      <c r="B1097" s="54" t="str">
        <f t="shared" si="219"/>
        <v>6°4°3VIVESPERTINO641</v>
      </c>
      <c r="C1097" s="62">
        <f>VLOOKUP(G1097,[1]Hoja1!$A:$O,3,0)</f>
        <v>641</v>
      </c>
      <c r="D1097" s="2" t="str">
        <f t="shared" si="209"/>
        <v>3VIVrobotica</v>
      </c>
      <c r="E1097" s="62" t="s">
        <v>35</v>
      </c>
      <c r="F1097" s="62" t="s">
        <v>125</v>
      </c>
      <c r="G1097" s="62" t="s">
        <v>215</v>
      </c>
      <c r="H1097" s="8" t="str">
        <f>VLOOKUP(G1097,[1]Hoja1!$A:$O,6,0)</f>
        <v xml:space="preserve">APLIC ELECTR DIGITAL </v>
      </c>
      <c r="I1097" s="4" t="s">
        <v>2757</v>
      </c>
      <c r="J1097" s="4"/>
      <c r="K1097" s="80" t="str">
        <f t="shared" si="218"/>
        <v>VI</v>
      </c>
      <c r="L1097" s="4" t="s">
        <v>512</v>
      </c>
      <c r="M1097" s="86" t="str">
        <f>VLOOKUP(G1097,[1]Hoja1!$A:$O,15,0)</f>
        <v>GAUNA FEDERICO</v>
      </c>
      <c r="N1097" s="2" t="str">
        <f t="shared" si="217"/>
        <v>6°4°6416EFTED6VI</v>
      </c>
      <c r="O1097" s="2" t="s">
        <v>1362</v>
      </c>
      <c r="P1097" s="2" t="str">
        <f>VLOOKUP(G1097,[1]Hoja1!$A:$P,16,0)</f>
        <v xml:space="preserve"> </v>
      </c>
      <c r="Q1097" s="2"/>
      <c r="S1097">
        <f>VLOOKUP(G1097,[1]Hoja1!$A:$O,5,0)</f>
        <v>2683114</v>
      </c>
      <c r="U1097" s="45" t="s">
        <v>2751</v>
      </c>
      <c r="V1097" s="46">
        <f t="shared" si="211"/>
        <v>2683114</v>
      </c>
      <c r="W1097" s="47" t="s">
        <v>1519</v>
      </c>
      <c r="X1097" s="46" t="str">
        <f t="shared" si="212"/>
        <v>3</v>
      </c>
      <c r="Y1097" s="47" t="s">
        <v>1518</v>
      </c>
      <c r="Z1097" s="46" t="str">
        <f t="shared" si="213"/>
        <v>V</v>
      </c>
      <c r="AA1097" s="47" t="s">
        <v>2752</v>
      </c>
      <c r="AB1097" s="46" t="str">
        <f t="shared" si="214"/>
        <v>VIERNES</v>
      </c>
      <c r="AC1097" s="47" t="s">
        <v>2753</v>
      </c>
      <c r="AD1097" t="str">
        <f t="shared" si="215"/>
        <v>CONTRATURNO</v>
      </c>
      <c r="AE1097" s="47" t="s">
        <v>2754</v>
      </c>
      <c r="AH1097" t="str">
        <f t="shared" si="216"/>
        <v>INSERT INTO horario_curso_materia (horario_curso_materia.FK_CUR_mat,horario_curso_materia.FK_HOR,horario_curso_materia.DIA,horario_curso_materia.tipo_turno) VALUES (  (SELECT curso_materia.ID_CUR_MAT FROM curso_materia WHERE curso_materia.CUPOF='2683114' ) ,
    (SELECT horario.ID_HOR FROM horario WHERE horario.modulo='3 ' and horario.turno='V ' ),'VIERNES ' , 'CONTRATURNO ' );</v>
      </c>
    </row>
    <row r="1098" spans="1:34" ht="15" hidden="1" customHeight="1" x14ac:dyDescent="0.3">
      <c r="A1098" s="1" t="str">
        <f t="shared" si="220"/>
        <v>6°4°</v>
      </c>
      <c r="B1098" s="54" t="str">
        <f t="shared" si="219"/>
        <v>6°4°2VITARDE0</v>
      </c>
      <c r="C1098" s="62">
        <f>VLOOKUP(G1098,[1]Hoja1!$A:$O,3,0)</f>
        <v>0</v>
      </c>
      <c r="D1098" s="2" t="str">
        <f t="shared" si="209"/>
        <v>2VIT</v>
      </c>
      <c r="E1098" s="62" t="s">
        <v>59</v>
      </c>
      <c r="F1098" s="62" t="s">
        <v>10</v>
      </c>
      <c r="G1098" s="62" t="s">
        <v>466</v>
      </c>
      <c r="H1098" s="8" t="str">
        <f>VLOOKUP(G1098,[1]Hoja1!$A:$O,6,0)</f>
        <v>SISTEMA PRODUCTIVO</v>
      </c>
      <c r="I1098" s="4"/>
      <c r="J1098" s="4"/>
      <c r="K1098" s="80" t="str">
        <f t="shared" si="218"/>
        <v>VI</v>
      </c>
      <c r="L1098" s="4"/>
      <c r="M1098" s="86" t="str">
        <f>VLOOKUP(G1098,[1]Hoja1!$A:$O,15,0)</f>
        <v>VERON, DAIANA A 27-34985561-0</v>
      </c>
      <c r="N1098" s="2" t="str">
        <f t="shared" si="217"/>
        <v>6°4°6ESIPROVI</v>
      </c>
      <c r="O1098" s="2"/>
      <c r="P1098" s="2" t="str">
        <f>VLOOKUP(G1098,[1]Hoja1!$A:$P,16,0)</f>
        <v xml:space="preserve"> </v>
      </c>
      <c r="Q1098" s="2"/>
      <c r="S1098">
        <f>VLOOKUP(G1098,[1]Hoja1!$A:$O,5,0)</f>
        <v>2683110</v>
      </c>
      <c r="U1098" s="45" t="s">
        <v>2751</v>
      </c>
      <c r="V1098" s="46">
        <f t="shared" si="211"/>
        <v>2683110</v>
      </c>
      <c r="W1098" s="47" t="s">
        <v>1519</v>
      </c>
      <c r="X1098" s="46" t="str">
        <f t="shared" si="212"/>
        <v>2</v>
      </c>
      <c r="Y1098" s="47" t="s">
        <v>1518</v>
      </c>
      <c r="Z1098" s="46" t="str">
        <f t="shared" si="213"/>
        <v>T</v>
      </c>
      <c r="AA1098" s="47" t="s">
        <v>2752</v>
      </c>
      <c r="AB1098" s="46" t="str">
        <f t="shared" si="214"/>
        <v>VIERNES</v>
      </c>
      <c r="AC1098" s="47" t="s">
        <v>2753</v>
      </c>
      <c r="AD1098">
        <f t="shared" si="215"/>
        <v>0</v>
      </c>
      <c r="AE1098" s="47" t="s">
        <v>2754</v>
      </c>
      <c r="AH1098" t="str">
        <f t="shared" si="216"/>
        <v>INSERT INTO horario_curso_materia (horario_curso_materia.FK_CUR_mat,horario_curso_materia.FK_HOR,horario_curso_materia.DIA,horario_curso_materia.tipo_turno) VALUES (  (SELECT curso_materia.ID_CUR_MAT FROM curso_materia WHERE curso_materia.CUPOF='2683110' ) ,
    (SELECT horario.ID_HOR FROM horario WHERE horario.modulo='2 ' and horario.turno='T ' ),'VIERNES ' , '0 ' );</v>
      </c>
    </row>
    <row r="1099" spans="1:34" ht="15" hidden="1" customHeight="1" x14ac:dyDescent="0.3">
      <c r="A1099" s="1" t="str">
        <f t="shared" si="220"/>
        <v>6°4°</v>
      </c>
      <c r="B1099" s="54" t="str">
        <f t="shared" si="219"/>
        <v>6°4°4JUVESPERTINO641</v>
      </c>
      <c r="C1099" s="62">
        <f>VLOOKUP(G1099,[1]Hoja1!$A:$O,3,0)</f>
        <v>641</v>
      </c>
      <c r="D1099" s="2" t="str">
        <f t="shared" si="209"/>
        <v>4JUV45</v>
      </c>
      <c r="E1099" s="62" t="s">
        <v>48</v>
      </c>
      <c r="F1099" s="62" t="s">
        <v>125</v>
      </c>
      <c r="G1099" s="62" t="s">
        <v>213</v>
      </c>
      <c r="H1099" s="8" t="str">
        <f>VLOOKUP(G1099,[1]Hoja1!$A:$O,6,0)</f>
        <v>APLIC ELECT ANALOG</v>
      </c>
      <c r="I1099" s="4">
        <v>45</v>
      </c>
      <c r="J1099" s="4"/>
      <c r="K1099" s="80" t="str">
        <f t="shared" si="218"/>
        <v>JU</v>
      </c>
      <c r="L1099" s="4" t="s">
        <v>512</v>
      </c>
      <c r="M1099" s="86" t="str">
        <f>VLOOKUP(G1099,[1]Hoja1!$A:$O,15,0)</f>
        <v xml:space="preserve">MARTINEZ, SILVIO </v>
      </c>
      <c r="N1099" s="2" t="str">
        <f t="shared" si="217"/>
        <v>6°4°6416EFTAE6JU</v>
      </c>
      <c r="O1099" s="2"/>
      <c r="P1099" s="2" t="str">
        <f>VLOOKUP(G1099,[1]Hoja1!$A:$P,16,0)</f>
        <v xml:space="preserve"> </v>
      </c>
      <c r="Q1099" s="2"/>
      <c r="S1099">
        <f>VLOOKUP(G1099,[1]Hoja1!$A:$O,5,0)</f>
        <v>2683113</v>
      </c>
      <c r="U1099" s="45" t="s">
        <v>2751</v>
      </c>
      <c r="V1099" s="46">
        <f t="shared" si="211"/>
        <v>2683113</v>
      </c>
      <c r="W1099" s="47" t="s">
        <v>1519</v>
      </c>
      <c r="X1099" s="46" t="str">
        <f t="shared" si="212"/>
        <v>4</v>
      </c>
      <c r="Y1099" s="47" t="s">
        <v>1518</v>
      </c>
      <c r="Z1099" s="46" t="str">
        <f t="shared" si="213"/>
        <v>V</v>
      </c>
      <c r="AA1099" s="47" t="s">
        <v>2752</v>
      </c>
      <c r="AB1099" s="46" t="str">
        <f t="shared" si="214"/>
        <v>JUEVES</v>
      </c>
      <c r="AC1099" s="47" t="s">
        <v>2753</v>
      </c>
      <c r="AD1099" t="str">
        <f t="shared" si="215"/>
        <v>CONTRATURNO</v>
      </c>
      <c r="AE1099" s="47" t="s">
        <v>2754</v>
      </c>
      <c r="AH1099" t="str">
        <f t="shared" si="216"/>
        <v>INSERT INTO horario_curso_materia (horario_curso_materia.FK_CUR_mat,horario_curso_materia.FK_HOR,horario_curso_materia.DIA,horario_curso_materia.tipo_turno) VALUES (  (SELECT curso_materia.ID_CUR_MAT FROM curso_materia WHERE curso_materia.CUPOF='2683113' ) ,
    (SELECT horario.ID_HOR FROM horario WHERE horario.modulo='4 ' and horario.turno='V ' ),'JUEVES ' , 'CONTRATURNO ' );</v>
      </c>
    </row>
    <row r="1100" spans="1:34" ht="15" hidden="1" customHeight="1" x14ac:dyDescent="0.3">
      <c r="A1100" s="1" t="str">
        <f t="shared" si="220"/>
        <v>6°4°</v>
      </c>
      <c r="B1100" s="54" t="str">
        <f t="shared" si="219"/>
        <v>6°4°4juVESPERTINO642</v>
      </c>
      <c r="C1100" s="62">
        <f>VLOOKUP(G1100,[1]Hoja1!$A:$O,3,0)</f>
        <v>642</v>
      </c>
      <c r="D1100" s="2" t="str">
        <f t="shared" si="209"/>
        <v>4juVHERRERIA</v>
      </c>
      <c r="E1100" s="62" t="s">
        <v>1351</v>
      </c>
      <c r="F1100" s="62" t="s">
        <v>125</v>
      </c>
      <c r="G1100" s="62" t="s">
        <v>218</v>
      </c>
      <c r="H1100" s="8" t="str">
        <f>VLOOKUP(G1100,[1]Hoja1!$A:$O,6,0)</f>
        <v>APLIC ELECT ANALOG</v>
      </c>
      <c r="I1100" s="4" t="s">
        <v>21</v>
      </c>
      <c r="J1100" s="4"/>
      <c r="K1100" s="80" t="str">
        <f t="shared" si="218"/>
        <v>ju</v>
      </c>
      <c r="L1100" s="4" t="s">
        <v>512</v>
      </c>
      <c r="M1100" s="86" t="str">
        <f>VLOOKUP(G1100,[1]Hoja1!$A:$O,15,0)</f>
        <v>BULACIO ARIEL</v>
      </c>
      <c r="N1100" s="2" t="str">
        <f t="shared" si="217"/>
        <v>6°4°6426EFTAE6ju</v>
      </c>
      <c r="O1100" s="2" t="s">
        <v>1512</v>
      </c>
      <c r="P1100" s="2" t="str">
        <f>VLOOKUP(G1100,[1]Hoja1!$A:$P,16,0)</f>
        <v xml:space="preserve"> </v>
      </c>
      <c r="Q1100" s="2"/>
      <c r="S1100">
        <f>VLOOKUP(G1100,[1]Hoja1!$A:$O,5,0)</f>
        <v>2683119</v>
      </c>
      <c r="U1100" s="45" t="s">
        <v>2751</v>
      </c>
      <c r="V1100" s="46">
        <f t="shared" si="211"/>
        <v>2683119</v>
      </c>
      <c r="W1100" s="47" t="s">
        <v>1519</v>
      </c>
      <c r="X1100" s="46" t="str">
        <f t="shared" si="212"/>
        <v>4</v>
      </c>
      <c r="Y1100" s="47" t="s">
        <v>1518</v>
      </c>
      <c r="Z1100" s="46" t="str">
        <f t="shared" si="213"/>
        <v>V</v>
      </c>
      <c r="AA1100" s="47" t="s">
        <v>2752</v>
      </c>
      <c r="AB1100" s="46" t="str">
        <f t="shared" si="214"/>
        <v>JUEVES</v>
      </c>
      <c r="AC1100" s="47" t="s">
        <v>2753</v>
      </c>
      <c r="AD1100" t="str">
        <f t="shared" si="215"/>
        <v>CONTRATURNO</v>
      </c>
      <c r="AE1100" s="47" t="s">
        <v>2754</v>
      </c>
      <c r="AH1100" t="str">
        <f t="shared" si="216"/>
        <v>INSERT INTO horario_curso_materia (horario_curso_materia.FK_CUR_mat,horario_curso_materia.FK_HOR,horario_curso_materia.DIA,horario_curso_materia.tipo_turno) VALUES (  (SELECT curso_materia.ID_CUR_MAT FROM curso_materia WHERE curso_materia.CUPOF='2683119' ) ,
    (SELECT horario.ID_HOR FROM horario WHERE horario.modulo='4 ' and horario.turno='V ' ),'JUEVES ' , 'CONTRATURNO ' );</v>
      </c>
    </row>
    <row r="1101" spans="1:34" ht="15" hidden="1" customHeight="1" x14ac:dyDescent="0.3">
      <c r="A1101" s="1" t="str">
        <f t="shared" si="220"/>
        <v>6°4°</v>
      </c>
      <c r="B1101" s="54" t="str">
        <f t="shared" si="219"/>
        <v>6°4°4LUMAÑANA641</v>
      </c>
      <c r="C1101" s="62">
        <f>VLOOKUP(G1101,[1]Hoja1!$A:$O,3,0)</f>
        <v>641</v>
      </c>
      <c r="D1101" s="2" t="str">
        <f t="shared" si="209"/>
        <v>4LUM44</v>
      </c>
      <c r="E1101" s="62" t="s">
        <v>31</v>
      </c>
      <c r="F1101" s="62" t="s">
        <v>27</v>
      </c>
      <c r="G1101" s="62" t="s">
        <v>211</v>
      </c>
      <c r="H1101" s="8" t="str">
        <f>VLOOKUP(G1101,[1]Hoja1!$A:$O,6,0)</f>
        <v xml:space="preserve">MONTAJE DE PROYECTO ELECTRONICOS </v>
      </c>
      <c r="I1101" s="4">
        <v>44</v>
      </c>
      <c r="J1101" s="4"/>
      <c r="K1101" s="80" t="str">
        <f t="shared" si="218"/>
        <v>LU</v>
      </c>
      <c r="L1101" s="4" t="s">
        <v>512</v>
      </c>
      <c r="M1101" s="86" t="str">
        <f>VLOOKUP(G1101,[1]Hoja1!$A:$O,15,0)</f>
        <v>SAUCEDO GUSTAVO</v>
      </c>
      <c r="N1101" s="2" t="str">
        <f t="shared" si="217"/>
        <v>6°4°6416EFTMP6LU</v>
      </c>
      <c r="O1101" s="2"/>
      <c r="P1101" s="2" t="str">
        <f>VLOOKUP(G1101,[1]Hoja1!$A:$P,16,0)</f>
        <v xml:space="preserve"> </v>
      </c>
      <c r="Q1101" s="2"/>
      <c r="S1101">
        <f>VLOOKUP(G1101,[1]Hoja1!$A:$O,5,0)</f>
        <v>2683116</v>
      </c>
      <c r="U1101" s="45" t="s">
        <v>2751</v>
      </c>
      <c r="V1101" s="46">
        <f t="shared" si="211"/>
        <v>2683116</v>
      </c>
      <c r="W1101" s="47" t="s">
        <v>1519</v>
      </c>
      <c r="X1101" s="46" t="str">
        <f t="shared" si="212"/>
        <v>4</v>
      </c>
      <c r="Y1101" s="47" t="s">
        <v>1518</v>
      </c>
      <c r="Z1101" s="46" t="str">
        <f t="shared" si="213"/>
        <v>M</v>
      </c>
      <c r="AA1101" s="47" t="s">
        <v>2752</v>
      </c>
      <c r="AB1101" s="46" t="str">
        <f t="shared" si="214"/>
        <v>LUNES</v>
      </c>
      <c r="AC1101" s="47" t="s">
        <v>2753</v>
      </c>
      <c r="AD1101" t="str">
        <f t="shared" si="215"/>
        <v>CONTRATURNO</v>
      </c>
      <c r="AE1101" s="47" t="s">
        <v>2754</v>
      </c>
      <c r="AH1101" t="str">
        <f t="shared" si="216"/>
        <v>INSERT INTO horario_curso_materia (horario_curso_materia.FK_CUR_mat,horario_curso_materia.FK_HOR,horario_curso_materia.DIA,horario_curso_materia.tipo_turno) VALUES (  (SELECT curso_materia.ID_CUR_MAT FROM curso_materia WHERE curso_materia.CUPOF='2683116' ) ,
    (SELECT horario.ID_HOR FROM horario WHERE horario.modulo='4 ' and horario.turno='M ' ),'LUNES ' , 'CONTRATURNO ' );</v>
      </c>
    </row>
    <row r="1102" spans="1:34" ht="15" hidden="1" customHeight="1" x14ac:dyDescent="0.3">
      <c r="A1102" s="1" t="str">
        <f t="shared" si="220"/>
        <v>6°4°</v>
      </c>
      <c r="B1102" s="54" t="str">
        <f t="shared" si="219"/>
        <v>6°4°4LUTARDE0</v>
      </c>
      <c r="C1102" s="62">
        <f>VLOOKUP(G1102,[1]Hoja1!$A:$O,3,0)</f>
        <v>0</v>
      </c>
      <c r="D1102" s="2" t="str">
        <f t="shared" si="209"/>
        <v>4LUT</v>
      </c>
      <c r="E1102" s="62" t="s">
        <v>31</v>
      </c>
      <c r="F1102" s="62" t="s">
        <v>10</v>
      </c>
      <c r="G1102" s="62" t="s">
        <v>460</v>
      </c>
      <c r="H1102" s="8" t="str">
        <f>VLOOKUP(G1102,[1]Hoja1!$A:$O,6,0)</f>
        <v>MATEMATICA APLICADA</v>
      </c>
      <c r="I1102" s="4"/>
      <c r="J1102" s="4"/>
      <c r="K1102" s="80" t="str">
        <f t="shared" si="218"/>
        <v>LU</v>
      </c>
      <c r="L1102" s="4"/>
      <c r="M1102" s="86" t="str">
        <f>VLOOKUP(G1102,[1]Hoja1!$A:$O,15,0)</f>
        <v>WEBBER BRIAN</v>
      </c>
      <c r="N1102" s="2" t="str">
        <f t="shared" si="217"/>
        <v>6°4°6EMATAPLU</v>
      </c>
      <c r="O1102" s="2"/>
      <c r="P1102" s="2" t="str">
        <f>VLOOKUP(G1102,[1]Hoja1!$A:$P,16,0)</f>
        <v xml:space="preserve"> </v>
      </c>
      <c r="Q1102" s="2"/>
      <c r="S1102">
        <f>VLOOKUP(G1102,[1]Hoja1!$A:$O,5,0)</f>
        <v>2683107</v>
      </c>
      <c r="U1102" s="45" t="s">
        <v>2751</v>
      </c>
      <c r="V1102" s="46">
        <f t="shared" si="211"/>
        <v>2683107</v>
      </c>
      <c r="W1102" s="47" t="s">
        <v>1519</v>
      </c>
      <c r="X1102" s="46" t="str">
        <f t="shared" si="212"/>
        <v>4</v>
      </c>
      <c r="Y1102" s="47" t="s">
        <v>1518</v>
      </c>
      <c r="Z1102" s="46" t="str">
        <f t="shared" si="213"/>
        <v>T</v>
      </c>
      <c r="AA1102" s="47" t="s">
        <v>2752</v>
      </c>
      <c r="AB1102" s="46" t="str">
        <f t="shared" si="214"/>
        <v>LUNES</v>
      </c>
      <c r="AC1102" s="47" t="s">
        <v>2753</v>
      </c>
      <c r="AD1102">
        <f t="shared" si="215"/>
        <v>0</v>
      </c>
      <c r="AE1102" s="47" t="s">
        <v>2754</v>
      </c>
      <c r="AH1102" t="str">
        <f t="shared" si="216"/>
        <v>INSERT INTO horario_curso_materia (horario_curso_materia.FK_CUR_mat,horario_curso_materia.FK_HOR,horario_curso_materia.DIA,horario_curso_materia.tipo_turno) VALUES (  (SELECT curso_materia.ID_CUR_MAT FROM curso_materia WHERE curso_materia.CUPOF='2683107' ) ,
    (SELECT horario.ID_HOR FROM horario WHERE horario.modulo='4 ' and horario.turno='T ' ),'LUNES ' , '0 ' );</v>
      </c>
    </row>
    <row r="1103" spans="1:34" ht="14.25" hidden="1" customHeight="1" x14ac:dyDescent="0.3">
      <c r="A1103" s="1" t="str">
        <f t="shared" si="220"/>
        <v>6°4°</v>
      </c>
      <c r="B1103" s="54" t="str">
        <f t="shared" si="219"/>
        <v>6°4°4maMAÑANA642</v>
      </c>
      <c r="C1103" s="62">
        <f>VLOOKUP(G1103,[1]Hoja1!$A:$O,3,0)</f>
        <v>642</v>
      </c>
      <c r="D1103" s="2" t="str">
        <f t="shared" si="209"/>
        <v>4maMHARDWARE</v>
      </c>
      <c r="E1103" s="62" t="s">
        <v>1335</v>
      </c>
      <c r="F1103" s="62" t="s">
        <v>27</v>
      </c>
      <c r="G1103" s="62" t="s">
        <v>214</v>
      </c>
      <c r="H1103" s="8" t="str">
        <f>VLOOKUP(G1103,[1]Hoja1!$A:$O,6,0)</f>
        <v xml:space="preserve">APLIC ELECTR DIGITAL </v>
      </c>
      <c r="I1103" s="4" t="s">
        <v>38</v>
      </c>
      <c r="J1103" s="4"/>
      <c r="K1103" s="80" t="str">
        <f t="shared" si="218"/>
        <v>ma</v>
      </c>
      <c r="L1103" s="4" t="s">
        <v>512</v>
      </c>
      <c r="M1103" s="86" t="str">
        <f>VLOOKUP(G1103,[1]Hoja1!$A:$O,15,0)</f>
        <v>BARONI ROBERTO ALEJANDRO</v>
      </c>
      <c r="N1103" s="2" t="str">
        <f t="shared" si="217"/>
        <v>6°4°6426EFTED6ma</v>
      </c>
      <c r="O1103" s="2"/>
      <c r="P1103" s="2" t="str">
        <f>VLOOKUP(G1103,[1]Hoja1!$A:$P,16,0)</f>
        <v xml:space="preserve"> </v>
      </c>
      <c r="Q1103" s="2"/>
      <c r="S1103">
        <f>VLOOKUP(G1103,[1]Hoja1!$A:$O,5,0)</f>
        <v>2683120</v>
      </c>
      <c r="U1103" s="45" t="s">
        <v>2751</v>
      </c>
      <c r="V1103" s="46">
        <f t="shared" si="211"/>
        <v>2683120</v>
      </c>
      <c r="W1103" s="47" t="s">
        <v>1519</v>
      </c>
      <c r="X1103" s="46" t="str">
        <f t="shared" si="212"/>
        <v>4</v>
      </c>
      <c r="Y1103" s="47" t="s">
        <v>1518</v>
      </c>
      <c r="Z1103" s="46" t="str">
        <f t="shared" si="213"/>
        <v>M</v>
      </c>
      <c r="AA1103" s="47" t="s">
        <v>2752</v>
      </c>
      <c r="AB1103" s="46" t="str">
        <f t="shared" si="214"/>
        <v>MARTES</v>
      </c>
      <c r="AC1103" s="47" t="s">
        <v>2753</v>
      </c>
      <c r="AD1103" t="str">
        <f t="shared" si="215"/>
        <v>CONTRATURNO</v>
      </c>
      <c r="AE1103" s="47" t="s">
        <v>2754</v>
      </c>
      <c r="AH1103" t="str">
        <f t="shared" si="216"/>
        <v>INSERT INTO horario_curso_materia (horario_curso_materia.FK_CUR_mat,horario_curso_materia.FK_HOR,horario_curso_materia.DIA,horario_curso_materia.tipo_turno) VALUES (  (SELECT curso_materia.ID_CUR_MAT FROM curso_materia WHERE curso_materia.CUPOF='2683120' ) ,
    (SELECT horario.ID_HOR FROM horario WHERE horario.modulo='4 ' and horario.turno='M ' ),'MARTES ' , 'CONTRATURNO ' );</v>
      </c>
    </row>
    <row r="1104" spans="1:34" ht="15" hidden="1" customHeight="1" x14ac:dyDescent="0.3">
      <c r="A1104" s="1" t="str">
        <f t="shared" si="220"/>
        <v>6°4°</v>
      </c>
      <c r="B1104" s="54" t="str">
        <f t="shared" si="219"/>
        <v>6°4°4MATARDE0</v>
      </c>
      <c r="C1104" s="62">
        <f>VLOOKUP(G1104,[1]Hoja1!$A:$O,3,0)</f>
        <v>0</v>
      </c>
      <c r="D1104" s="2" t="str">
        <f t="shared" si="209"/>
        <v>4MAT</v>
      </c>
      <c r="E1104" s="62" t="s">
        <v>16</v>
      </c>
      <c r="F1104" s="62" t="s">
        <v>10</v>
      </c>
      <c r="G1104" s="62" t="s">
        <v>462</v>
      </c>
      <c r="H1104" s="8" t="str">
        <f>VLOOKUP(G1104,[1]Hoja1!$A:$O,6,0)</f>
        <v>INSTALACIONES Y MAQUINAS ELECTRICAS</v>
      </c>
      <c r="I1104" s="4"/>
      <c r="J1104" s="4"/>
      <c r="K1104" s="80" t="str">
        <f t="shared" si="218"/>
        <v>MA</v>
      </c>
      <c r="L1104" s="4"/>
      <c r="M1104" s="86" t="str">
        <f>VLOOKUP(G1104,[1]Hoja1!$A:$O,15,0)</f>
        <v xml:space="preserve">SAUCEDO GUSTAVO </v>
      </c>
      <c r="N1104" s="2" t="str">
        <f t="shared" si="217"/>
        <v>6°4°6EINSMAMA</v>
      </c>
      <c r="O1104" s="2"/>
      <c r="P1104" s="2" t="str">
        <f>VLOOKUP(G1104,[1]Hoja1!$A:$P,16,0)</f>
        <v xml:space="preserve"> </v>
      </c>
      <c r="Q1104" s="2"/>
      <c r="S1104">
        <f>VLOOKUP(G1104,[1]Hoja1!$A:$O,5,0)</f>
        <v>2683109</v>
      </c>
      <c r="U1104" s="45" t="s">
        <v>2751</v>
      </c>
      <c r="V1104" s="46">
        <f t="shared" si="211"/>
        <v>2683109</v>
      </c>
      <c r="W1104" s="47" t="s">
        <v>1519</v>
      </c>
      <c r="X1104" s="46" t="str">
        <f t="shared" si="212"/>
        <v>4</v>
      </c>
      <c r="Y1104" s="47" t="s">
        <v>1518</v>
      </c>
      <c r="Z1104" s="46" t="str">
        <f t="shared" si="213"/>
        <v>T</v>
      </c>
      <c r="AA1104" s="47" t="s">
        <v>2752</v>
      </c>
      <c r="AB1104" s="46" t="str">
        <f t="shared" si="214"/>
        <v>MARTES</v>
      </c>
      <c r="AC1104" s="47" t="s">
        <v>2753</v>
      </c>
      <c r="AD1104">
        <f t="shared" si="215"/>
        <v>0</v>
      </c>
      <c r="AE1104" s="47" t="s">
        <v>2754</v>
      </c>
      <c r="AH1104" t="str">
        <f t="shared" si="216"/>
        <v>INSERT INTO horario_curso_materia (horario_curso_materia.FK_CUR_mat,horario_curso_materia.FK_HOR,horario_curso_materia.DIA,horario_curso_materia.tipo_turno) VALUES (  (SELECT curso_materia.ID_CUR_MAT FROM curso_materia WHERE curso_materia.CUPOF='2683109' ) ,
    (SELECT horario.ID_HOR FROM horario WHERE horario.modulo='4 ' and horario.turno='T ' ),'MARTES ' , '0 ' );</v>
      </c>
    </row>
    <row r="1105" spans="1:34" ht="15" hidden="1" customHeight="1" x14ac:dyDescent="0.3">
      <c r="A1105" s="1" t="str">
        <f t="shared" si="220"/>
        <v>6°4°</v>
      </c>
      <c r="B1105" s="54" t="str">
        <f t="shared" si="219"/>
        <v>6°4°4MIMAÑANA641</v>
      </c>
      <c r="C1105" s="62">
        <f>VLOOKUP(G1105,[1]Hoja1!$A:$O,3,0)</f>
        <v>641</v>
      </c>
      <c r="D1105" s="2" t="str">
        <f t="shared" si="209"/>
        <v>4MIM30</v>
      </c>
      <c r="E1105" s="62" t="s">
        <v>52</v>
      </c>
      <c r="F1105" s="62" t="s">
        <v>27</v>
      </c>
      <c r="G1105" s="62" t="s">
        <v>212</v>
      </c>
      <c r="H1105" s="8" t="str">
        <f>VLOOKUP(G1105,[1]Hoja1!$A:$O,6,0)</f>
        <v>LENGUAJES ELECTRONICOS</v>
      </c>
      <c r="I1105" s="4">
        <v>30</v>
      </c>
      <c r="J1105" s="4"/>
      <c r="K1105" s="80" t="str">
        <f t="shared" si="218"/>
        <v>MI</v>
      </c>
      <c r="L1105" s="4" t="s">
        <v>512</v>
      </c>
      <c r="M1105" s="86" t="str">
        <f>VLOOKUP(G1105,[1]Hoja1!$A:$O,15,0)</f>
        <v>GONANO, GERMAN S</v>
      </c>
      <c r="N1105" s="2" t="str">
        <f t="shared" si="217"/>
        <v>6°4°6416ELENE6MI</v>
      </c>
      <c r="O1105" s="2" t="s">
        <v>1511</v>
      </c>
      <c r="P1105" s="2" t="str">
        <f>VLOOKUP(G1105,[1]Hoja1!$A:$P,16,0)</f>
        <v xml:space="preserve"> </v>
      </c>
      <c r="Q1105" s="2"/>
      <c r="S1105">
        <f>VLOOKUP(G1105,[1]Hoja1!$A:$O,5,0)</f>
        <v>2683112</v>
      </c>
      <c r="U1105" s="45" t="s">
        <v>2751</v>
      </c>
      <c r="V1105" s="46">
        <f t="shared" si="211"/>
        <v>2683112</v>
      </c>
      <c r="W1105" s="47" t="s">
        <v>1519</v>
      </c>
      <c r="X1105" s="46" t="str">
        <f t="shared" si="212"/>
        <v>4</v>
      </c>
      <c r="Y1105" s="47" t="s">
        <v>1518</v>
      </c>
      <c r="Z1105" s="46" t="str">
        <f t="shared" si="213"/>
        <v>M</v>
      </c>
      <c r="AA1105" s="47" t="s">
        <v>2752</v>
      </c>
      <c r="AB1105" s="46" t="str">
        <f t="shared" si="214"/>
        <v>MIERCOLES</v>
      </c>
      <c r="AC1105" s="47" t="s">
        <v>2753</v>
      </c>
      <c r="AD1105" t="str">
        <f t="shared" si="215"/>
        <v>CONTRATURNO</v>
      </c>
      <c r="AE1105" s="47" t="s">
        <v>2754</v>
      </c>
      <c r="AH1105" t="str">
        <f t="shared" si="216"/>
        <v>INSERT INTO horario_curso_materia (horario_curso_materia.FK_CUR_mat,horario_curso_materia.FK_HOR,horario_curso_materia.DIA,horario_curso_materia.tipo_turno) VALUES (  (SELECT curso_materia.ID_CUR_MAT FROM curso_materia WHERE curso_materia.CUPOF='2683112' ) ,
    (SELECT horario.ID_HOR FROM horario WHERE horario.modulo='4 ' and horario.turno='M ' ),'MIERCOLES ' , 'CONTRATURNO ' );</v>
      </c>
    </row>
    <row r="1106" spans="1:34" ht="15" hidden="1" customHeight="1" x14ac:dyDescent="0.3">
      <c r="A1106" s="1" t="str">
        <f t="shared" si="220"/>
        <v>6°4°</v>
      </c>
      <c r="B1106" s="54" t="str">
        <f t="shared" si="219"/>
        <v>6°4°4viTARDE0</v>
      </c>
      <c r="C1106" s="62">
        <f>VLOOKUP(G1106,[1]Hoja1!$A:$O,3,0)</f>
        <v>0</v>
      </c>
      <c r="D1106" s="2" t="str">
        <f t="shared" si="209"/>
        <v>4viT</v>
      </c>
      <c r="E1106" s="62" t="s">
        <v>1337</v>
      </c>
      <c r="F1106" s="62" t="s">
        <v>10</v>
      </c>
      <c r="G1106" s="62" t="s">
        <v>464</v>
      </c>
      <c r="H1106" s="8" t="str">
        <f>VLOOKUP(G1106,[1]Hoja1!$A:$O,6,0)</f>
        <v>LITERATURA</v>
      </c>
      <c r="I1106" s="4"/>
      <c r="J1106" s="4"/>
      <c r="K1106" s="80" t="str">
        <f t="shared" si="218"/>
        <v>vi</v>
      </c>
      <c r="L1106" s="4"/>
      <c r="M1106" s="86" t="str">
        <f>VLOOKUP(G1106,[1]Hoja1!$A:$O,15,0)</f>
        <v>ALFONSO</v>
      </c>
      <c r="N1106" s="2" t="str">
        <f t="shared" si="217"/>
        <v>6°4°6ELITSvi</v>
      </c>
      <c r="O1106" s="2"/>
      <c r="P1106" s="2" t="str">
        <f>VLOOKUP(G1106,[1]Hoja1!$A:$P,16,0)</f>
        <v xml:space="preserve"> </v>
      </c>
      <c r="Q1106" s="2"/>
      <c r="S1106">
        <f>VLOOKUP(G1106,[1]Hoja1!$A:$O,5,0)</f>
        <v>2683102</v>
      </c>
      <c r="U1106" s="45" t="s">
        <v>2751</v>
      </c>
      <c r="V1106" s="46">
        <f t="shared" si="211"/>
        <v>2683102</v>
      </c>
      <c r="W1106" s="47" t="s">
        <v>1519</v>
      </c>
      <c r="X1106" s="46" t="str">
        <f t="shared" si="212"/>
        <v>4</v>
      </c>
      <c r="Y1106" s="47" t="s">
        <v>1518</v>
      </c>
      <c r="Z1106" s="46" t="str">
        <f t="shared" si="213"/>
        <v>T</v>
      </c>
      <c r="AA1106" s="47" t="s">
        <v>2752</v>
      </c>
      <c r="AB1106" s="46" t="str">
        <f t="shared" si="214"/>
        <v>VIERNES</v>
      </c>
      <c r="AC1106" s="47" t="s">
        <v>2753</v>
      </c>
      <c r="AD1106">
        <f t="shared" si="215"/>
        <v>0</v>
      </c>
      <c r="AE1106" s="47" t="s">
        <v>2754</v>
      </c>
      <c r="AH1106" t="str">
        <f t="shared" si="216"/>
        <v>INSERT INTO horario_curso_materia (horario_curso_materia.FK_CUR_mat,horario_curso_materia.FK_HOR,horario_curso_materia.DIA,horario_curso_materia.tipo_turno) VALUES (  (SELECT curso_materia.ID_CUR_MAT FROM curso_materia WHERE curso_materia.CUPOF='2683102' ) ,
    (SELECT horario.ID_HOR FROM horario WHERE horario.modulo='4 ' and horario.turno='T ' ),'VIERNES ' , '0 ' );</v>
      </c>
    </row>
    <row r="1107" spans="1:34" ht="15" hidden="1" customHeight="1" x14ac:dyDescent="0.3">
      <c r="A1107" s="1" t="str">
        <f t="shared" si="220"/>
        <v>6°4°</v>
      </c>
      <c r="B1107" s="54" t="str">
        <f t="shared" si="219"/>
        <v>6°4°4VIMAÑANA642</v>
      </c>
      <c r="C1107" s="62">
        <f>VLOOKUP(G1107,[1]Hoja1!$A:$O,3,0)</f>
        <v>642</v>
      </c>
      <c r="D1107" s="2" t="str">
        <f t="shared" si="209"/>
        <v>4VIM44</v>
      </c>
      <c r="E1107" s="62" t="s">
        <v>36</v>
      </c>
      <c r="F1107" s="62" t="s">
        <v>27</v>
      </c>
      <c r="G1107" s="62" t="s">
        <v>217</v>
      </c>
      <c r="H1107" s="8" t="str">
        <f>VLOOKUP(G1107,[1]Hoja1!$A:$O,6,0)</f>
        <v xml:space="preserve">MONTAJE DE PROYECTO ELECTRONICOS </v>
      </c>
      <c r="I1107" s="4">
        <v>44</v>
      </c>
      <c r="J1107" s="4"/>
      <c r="K1107" s="80" t="str">
        <f t="shared" si="218"/>
        <v>VI</v>
      </c>
      <c r="L1107" s="4" t="s">
        <v>512</v>
      </c>
      <c r="M1107" s="86" t="str">
        <f>VLOOKUP(G1107,[1]Hoja1!$A:$O,15,0)</f>
        <v>SAUCEDO GUSTAVO</v>
      </c>
      <c r="N1107" s="2" t="str">
        <f t="shared" si="217"/>
        <v>6°4°6426EFTMP6VI</v>
      </c>
      <c r="O1107" s="2"/>
      <c r="P1107" s="2" t="str">
        <f>VLOOKUP(G1107,[1]Hoja1!$A:$P,16,0)</f>
        <v xml:space="preserve"> </v>
      </c>
      <c r="Q1107" s="2"/>
      <c r="S1107">
        <f>VLOOKUP(G1107,[1]Hoja1!$A:$O,5,0)</f>
        <v>2683121</v>
      </c>
      <c r="U1107" s="45" t="s">
        <v>2751</v>
      </c>
      <c r="V1107" s="46">
        <f t="shared" si="211"/>
        <v>2683121</v>
      </c>
      <c r="W1107" s="47" t="s">
        <v>1519</v>
      </c>
      <c r="X1107" s="46" t="str">
        <f t="shared" si="212"/>
        <v>4</v>
      </c>
      <c r="Y1107" s="47" t="s">
        <v>1518</v>
      </c>
      <c r="Z1107" s="46" t="str">
        <f t="shared" si="213"/>
        <v>M</v>
      </c>
      <c r="AA1107" s="47" t="s">
        <v>2752</v>
      </c>
      <c r="AB1107" s="46" t="str">
        <f t="shared" si="214"/>
        <v>VIERNES</v>
      </c>
      <c r="AC1107" s="47" t="s">
        <v>2753</v>
      </c>
      <c r="AD1107" t="str">
        <f t="shared" si="215"/>
        <v>CONTRATURNO</v>
      </c>
      <c r="AE1107" s="47" t="s">
        <v>2754</v>
      </c>
      <c r="AH1107" t="str">
        <f t="shared" si="216"/>
        <v>INSERT INTO horario_curso_materia (horario_curso_materia.FK_CUR_mat,horario_curso_materia.FK_HOR,horario_curso_materia.DIA,horario_curso_materia.tipo_turno) VALUES (  (SELECT curso_materia.ID_CUR_MAT FROM curso_materia WHERE curso_materia.CUPOF='2683121' ) ,
    (SELECT horario.ID_HOR FROM horario WHERE horario.modulo='4 ' and horario.turno='M ' ),'VIERNES ' , 'CONTRATURNO ' );</v>
      </c>
    </row>
    <row r="1108" spans="1:34" ht="15" hidden="1" customHeight="1" x14ac:dyDescent="0.3">
      <c r="A1108" s="1" t="str">
        <f t="shared" si="220"/>
        <v>6°4°</v>
      </c>
      <c r="B1108" s="54" t="str">
        <f t="shared" si="219"/>
        <v>6°4°4miTARDE0</v>
      </c>
      <c r="C1108" s="62">
        <f>VLOOKUP(G1108,[1]Hoja1!$A:$O,3,0)</f>
        <v>0</v>
      </c>
      <c r="D1108" s="2" t="str">
        <f t="shared" si="209"/>
        <v>4miTPATIO</v>
      </c>
      <c r="E1108" s="62" t="s">
        <v>1344</v>
      </c>
      <c r="F1108" s="62" t="s">
        <v>10</v>
      </c>
      <c r="G1108" s="62" t="s">
        <v>468</v>
      </c>
      <c r="H1108" s="8" t="str">
        <f>VLOOKUP(G1108,[1]Hoja1!$A:$O,6,0)</f>
        <v>EDUCACIÓN FISICA</v>
      </c>
      <c r="I1108" s="4" t="s">
        <v>241</v>
      </c>
      <c r="J1108" s="4"/>
      <c r="K1108" s="80" t="str">
        <f t="shared" si="218"/>
        <v>mi</v>
      </c>
      <c r="L1108" s="4"/>
      <c r="M1108" s="86" t="str">
        <f>VLOOKUP(G1108,[1]Hoja1!$A:$O,15,0)</f>
        <v>RIOS, LEONARDO  20-34020185-0</v>
      </c>
      <c r="N1108" s="2" t="str">
        <f t="shared" si="217"/>
        <v>6°4°6EEFISmi</v>
      </c>
      <c r="O1108" s="2"/>
      <c r="P1108" s="2" t="str">
        <f>VLOOKUP(G1108,[1]Hoja1!$A:$P,16,0)</f>
        <v xml:space="preserve"> </v>
      </c>
      <c r="Q1108" s="2"/>
      <c r="S1108">
        <f>VLOOKUP(G1108,[1]Hoja1!$A:$O,5,0)</f>
        <v>2683104</v>
      </c>
      <c r="U1108" s="45" t="s">
        <v>2751</v>
      </c>
      <c r="V1108" s="46">
        <f t="shared" si="211"/>
        <v>2683104</v>
      </c>
      <c r="W1108" s="47" t="s">
        <v>1519</v>
      </c>
      <c r="X1108" s="46" t="str">
        <f t="shared" si="212"/>
        <v>4</v>
      </c>
      <c r="Y1108" s="47" t="s">
        <v>1518</v>
      </c>
      <c r="Z1108" s="46" t="str">
        <f t="shared" si="213"/>
        <v>T</v>
      </c>
      <c r="AA1108" s="47" t="s">
        <v>2752</v>
      </c>
      <c r="AB1108" s="46" t="str">
        <f t="shared" si="214"/>
        <v>MIERCOLES</v>
      </c>
      <c r="AC1108" s="47" t="s">
        <v>2753</v>
      </c>
      <c r="AD1108">
        <f t="shared" si="215"/>
        <v>0</v>
      </c>
      <c r="AE1108" s="47" t="s">
        <v>2754</v>
      </c>
      <c r="AH1108" t="str">
        <f t="shared" si="216"/>
        <v>INSERT INTO horario_curso_materia (horario_curso_materia.FK_CUR_mat,horario_curso_materia.FK_HOR,horario_curso_materia.DIA,horario_curso_materia.tipo_turno) VALUES (  (SELECT curso_materia.ID_CUR_MAT FROM curso_materia WHERE curso_materia.CUPOF='2683104' ) ,
    (SELECT horario.ID_HOR FROM horario WHERE horario.modulo='4 ' and horario.turno='T ' ),'MIERCOLES ' , '0 ' );</v>
      </c>
    </row>
    <row r="1109" spans="1:34" ht="14.25" hidden="1" customHeight="1" x14ac:dyDescent="0.3">
      <c r="A1109" s="1" t="str">
        <f t="shared" si="220"/>
        <v>6°4°</v>
      </c>
      <c r="B1109" s="54" t="str">
        <f t="shared" si="219"/>
        <v>6°4°4VIVESPERTINO641</v>
      </c>
      <c r="C1109" s="62">
        <f>VLOOKUP(G1109,[1]Hoja1!$A:$O,3,0)</f>
        <v>641</v>
      </c>
      <c r="D1109" s="2" t="str">
        <f t="shared" si="209"/>
        <v>4VIVrobotica</v>
      </c>
      <c r="E1109" s="62" t="s">
        <v>36</v>
      </c>
      <c r="F1109" s="62" t="s">
        <v>125</v>
      </c>
      <c r="G1109" s="62" t="s">
        <v>215</v>
      </c>
      <c r="H1109" s="8" t="str">
        <f>VLOOKUP(G1109,[1]Hoja1!$A:$O,6,0)</f>
        <v xml:space="preserve">APLIC ELECTR DIGITAL </v>
      </c>
      <c r="I1109" s="4" t="s">
        <v>2757</v>
      </c>
      <c r="J1109" s="4"/>
      <c r="K1109" s="80" t="str">
        <f t="shared" si="218"/>
        <v>VI</v>
      </c>
      <c r="L1109" s="4" t="s">
        <v>512</v>
      </c>
      <c r="M1109" s="86" t="str">
        <f>VLOOKUP(G1109,[1]Hoja1!$A:$O,15,0)</f>
        <v>GAUNA FEDERICO</v>
      </c>
      <c r="N1109" s="2" t="str">
        <f t="shared" si="217"/>
        <v>6°4°6416EFTED6VI</v>
      </c>
      <c r="O1109" s="2"/>
      <c r="P1109" s="2" t="str">
        <f>VLOOKUP(G1109,[1]Hoja1!$A:$P,16,0)</f>
        <v xml:space="preserve"> </v>
      </c>
      <c r="Q1109" s="2"/>
      <c r="S1109">
        <f>VLOOKUP(G1109,[1]Hoja1!$A:$O,5,0)</f>
        <v>2683114</v>
      </c>
      <c r="U1109" s="45" t="s">
        <v>2751</v>
      </c>
      <c r="V1109" s="46">
        <f t="shared" si="211"/>
        <v>2683114</v>
      </c>
      <c r="W1109" s="47" t="s">
        <v>1519</v>
      </c>
      <c r="X1109" s="46" t="str">
        <f t="shared" si="212"/>
        <v>4</v>
      </c>
      <c r="Y1109" s="47" t="s">
        <v>1518</v>
      </c>
      <c r="Z1109" s="46" t="str">
        <f t="shared" si="213"/>
        <v>V</v>
      </c>
      <c r="AA1109" s="47" t="s">
        <v>2752</v>
      </c>
      <c r="AB1109" s="46" t="str">
        <f t="shared" si="214"/>
        <v>VIERNES</v>
      </c>
      <c r="AC1109" s="47" t="s">
        <v>2753</v>
      </c>
      <c r="AD1109" t="str">
        <f t="shared" si="215"/>
        <v>CONTRATURNO</v>
      </c>
      <c r="AE1109" s="47" t="s">
        <v>2754</v>
      </c>
      <c r="AH1109" t="str">
        <f t="shared" si="216"/>
        <v>INSERT INTO horario_curso_materia (horario_curso_materia.FK_CUR_mat,horario_curso_materia.FK_HOR,horario_curso_materia.DIA,horario_curso_materia.tipo_turno) VALUES (  (SELECT curso_materia.ID_CUR_MAT FROM curso_materia WHERE curso_materia.CUPOF='2683114' ) ,
    (SELECT horario.ID_HOR FROM horario WHERE horario.modulo='4 ' and horario.turno='V ' ),'VIERNES ' , 'CONTRATURNO ' );</v>
      </c>
    </row>
    <row r="1110" spans="1:34" ht="15" hidden="1" customHeight="1" x14ac:dyDescent="0.3">
      <c r="A1110" s="1" t="str">
        <f t="shared" si="220"/>
        <v>7°1°</v>
      </c>
      <c r="B1110" s="54" t="str">
        <f t="shared" si="219"/>
        <v>7°1°1juTARDE711</v>
      </c>
      <c r="C1110" s="62">
        <f>VLOOKUP(G1110,[1]Hoja1!$A:$O,3,0)</f>
        <v>711</v>
      </c>
      <c r="D1110" s="2" t="str">
        <f t="shared" si="209"/>
        <v>1juT40</v>
      </c>
      <c r="E1110" s="71" t="s">
        <v>1348</v>
      </c>
      <c r="F1110" s="62" t="s">
        <v>10</v>
      </c>
      <c r="G1110" s="62" t="s">
        <v>223</v>
      </c>
      <c r="H1110" s="8" t="str">
        <f>VLOOKUP(G1110,[1]Hoja1!$A:$O,6,0)</f>
        <v>INSTALACION, MANTENIMIENTO Y REPARACION DE SISTEMAS COMPUTACIONALES-</v>
      </c>
      <c r="I1110" s="4">
        <v>40</v>
      </c>
      <c r="J1110" s="4"/>
      <c r="K1110" s="80" t="str">
        <f t="shared" si="218"/>
        <v>ju</v>
      </c>
      <c r="L1110" s="4" t="s">
        <v>512</v>
      </c>
      <c r="M1110" s="86" t="str">
        <f>VLOOKUP(G1110,[1]Hoja1!$A:$O,15,0)</f>
        <v>AÑASCO, GABRIEL  20-36089659-6</v>
      </c>
      <c r="N1110" s="2" t="str">
        <f t="shared" si="217"/>
        <v>7°1°7117IIMRSCju</v>
      </c>
      <c r="O1110" s="2" t="s">
        <v>1500</v>
      </c>
      <c r="P1110" s="2" t="str">
        <f>VLOOKUP(G1110,[1]Hoja1!$A:$P,16,0)</f>
        <v xml:space="preserve"> </v>
      </c>
      <c r="Q1110" s="2"/>
      <c r="S1110">
        <f>VLOOKUP(G1110,[1]Hoja1!$A:$O,5,0)</f>
        <v>1913702</v>
      </c>
      <c r="U1110" s="45" t="s">
        <v>2751</v>
      </c>
      <c r="V1110" s="46">
        <f t="shared" si="211"/>
        <v>1913702</v>
      </c>
      <c r="W1110" s="47" t="s">
        <v>1519</v>
      </c>
      <c r="X1110" s="46" t="str">
        <f t="shared" si="212"/>
        <v>1</v>
      </c>
      <c r="Y1110" s="47" t="s">
        <v>1518</v>
      </c>
      <c r="Z1110" s="46" t="str">
        <f t="shared" si="213"/>
        <v>T</v>
      </c>
      <c r="AA1110" s="47" t="s">
        <v>2752</v>
      </c>
      <c r="AB1110" s="46" t="str">
        <f t="shared" si="214"/>
        <v>JUEVES</v>
      </c>
      <c r="AC1110" s="47" t="s">
        <v>2753</v>
      </c>
      <c r="AD1110" t="str">
        <f t="shared" si="215"/>
        <v>CONTRATURNO</v>
      </c>
      <c r="AE1110" s="47" t="s">
        <v>2754</v>
      </c>
      <c r="AH1110" t="str">
        <f t="shared" si="216"/>
        <v>INSERT INTO horario_curso_materia (horario_curso_materia.FK_CUR_mat,horario_curso_materia.FK_HOR,horario_curso_materia.DIA,horario_curso_materia.tipo_turno) VALUES (  (SELECT curso_materia.ID_CUR_MAT FROM curso_materia WHERE curso_materia.CUPOF='1913702' ) ,
    (SELECT horario.ID_HOR FROM horario WHERE horario.modulo='1 ' and horario.turno='T ' ),'JUEVES ' , 'CONTRATURNO ' );</v>
      </c>
    </row>
    <row r="1111" spans="1:34" ht="15" hidden="1" customHeight="1" x14ac:dyDescent="0.3">
      <c r="A1111" s="1" t="str">
        <f t="shared" si="220"/>
        <v>7°1°</v>
      </c>
      <c r="B1111" s="54" t="str">
        <f t="shared" si="219"/>
        <v>7°1°1JUVESPERTINO711</v>
      </c>
      <c r="C1111" s="62">
        <f>VLOOKUP(G1111,[1]Hoja1!$A:$O,3,0)</f>
        <v>711</v>
      </c>
      <c r="D1111" s="2" t="str">
        <f t="shared" si="209"/>
        <v>1JUVAULA 3</v>
      </c>
      <c r="E1111" s="62" t="s">
        <v>43</v>
      </c>
      <c r="F1111" s="62" t="s">
        <v>125</v>
      </c>
      <c r="G1111" s="62" t="s">
        <v>219</v>
      </c>
      <c r="H1111" s="8" t="str">
        <f>VLOOKUP(G1111,[1]Hoja1!$A:$O,6,0)</f>
        <v>PROYECTO, DISEÑO E IMPLEMENTACION DE SISTEMAS COMPUTACIONALES</v>
      </c>
      <c r="I1111" s="4" t="s">
        <v>1490</v>
      </c>
      <c r="J1111" s="4"/>
      <c r="K1111" s="80" t="str">
        <f t="shared" si="218"/>
        <v>JU</v>
      </c>
      <c r="L1111" s="4" t="s">
        <v>512</v>
      </c>
      <c r="M1111" s="86" t="str">
        <f>VLOOKUP(G1111,[1]Hoja1!$A:$O,15,0)</f>
        <v>CARPITELLA FABIAN</v>
      </c>
      <c r="N1111" s="2" t="str">
        <f t="shared" si="217"/>
        <v>7°1°7117IPDISCJU</v>
      </c>
      <c r="O1111" s="25">
        <v>44648</v>
      </c>
      <c r="P1111" s="2" t="str">
        <f>VLOOKUP(G1111,[1]Hoja1!$A:$P,16,0)</f>
        <v xml:space="preserve"> </v>
      </c>
      <c r="Q1111" s="2"/>
      <c r="S1111">
        <f>VLOOKUP(G1111,[1]Hoja1!$A:$O,5,0)</f>
        <v>1913696</v>
      </c>
      <c r="U1111" s="45" t="s">
        <v>2751</v>
      </c>
      <c r="V1111" s="46">
        <f t="shared" si="211"/>
        <v>1913696</v>
      </c>
      <c r="W1111" s="47" t="s">
        <v>1519</v>
      </c>
      <c r="X1111" s="46" t="str">
        <f t="shared" si="212"/>
        <v>1</v>
      </c>
      <c r="Y1111" s="47" t="s">
        <v>1518</v>
      </c>
      <c r="Z1111" s="46" t="str">
        <f t="shared" si="213"/>
        <v>V</v>
      </c>
      <c r="AA1111" s="47" t="s">
        <v>2752</v>
      </c>
      <c r="AB1111" s="46" t="str">
        <f t="shared" si="214"/>
        <v>JUEVES</v>
      </c>
      <c r="AC1111" s="47" t="s">
        <v>2753</v>
      </c>
      <c r="AD1111" t="str">
        <f t="shared" si="215"/>
        <v>CONTRATURNO</v>
      </c>
      <c r="AE1111" s="47" t="s">
        <v>2754</v>
      </c>
      <c r="AH1111" t="str">
        <f t="shared" si="216"/>
        <v>INSERT INTO horario_curso_materia (horario_curso_materia.FK_CUR_mat,horario_curso_materia.FK_HOR,horario_curso_materia.DIA,horario_curso_materia.tipo_turno) VALUES (  (SELECT curso_materia.ID_CUR_MAT FROM curso_materia WHERE curso_materia.CUPOF='1913696' ) ,
    (SELECT horario.ID_HOR FROM horario WHERE horario.modulo='1 ' and horario.turno='V ' ),'JUEVES ' , 'CONTRATURNO ' );</v>
      </c>
    </row>
    <row r="1112" spans="1:34" ht="15" hidden="1" customHeight="1" x14ac:dyDescent="0.3">
      <c r="A1112" s="1" t="str">
        <f t="shared" si="220"/>
        <v>7°1°</v>
      </c>
      <c r="B1112" s="54" t="str">
        <f t="shared" si="219"/>
        <v>7°1°1MIMAÑANA712</v>
      </c>
      <c r="C1112" s="62">
        <f>VLOOKUP(G1112,[1]Hoja1!$A:$O,3,0)</f>
        <v>712</v>
      </c>
      <c r="D1112" s="2" t="str">
        <f t="shared" si="209"/>
        <v>1MIM52</v>
      </c>
      <c r="E1112" s="62" t="s">
        <v>24</v>
      </c>
      <c r="F1112" s="62" t="s">
        <v>27</v>
      </c>
      <c r="G1112" s="62" t="s">
        <v>222</v>
      </c>
      <c r="H1112" s="8" t="str">
        <f>VLOOKUP(G1112,[1]Hoja1!$A:$O,6,0)</f>
        <v xml:space="preserve">INSTALACION, MANTENIMIENTO Y REPARACION DE REDES INFORMATICAS- </v>
      </c>
      <c r="I1112" s="4">
        <v>52</v>
      </c>
      <c r="J1112" s="4"/>
      <c r="K1112" s="80" t="str">
        <f t="shared" si="218"/>
        <v>MI</v>
      </c>
      <c r="L1112" s="4" t="s">
        <v>512</v>
      </c>
      <c r="M1112" s="86" t="str">
        <f>VLOOKUP(G1112,[1]Hoja1!$A:$O,15,0)</f>
        <v>DELLA VECCHIA I</v>
      </c>
      <c r="N1112" s="2" t="str">
        <f t="shared" si="217"/>
        <v>7°1°7127IIMRRIMI</v>
      </c>
      <c r="O1112" s="2" t="s">
        <v>1374</v>
      </c>
      <c r="P1112" s="2" t="str">
        <f>VLOOKUP(G1112,[1]Hoja1!$A:$P,16,0)</f>
        <v xml:space="preserve"> </v>
      </c>
      <c r="Q1112" s="2"/>
      <c r="S1112">
        <f>VLOOKUP(G1112,[1]Hoja1!$A:$O,5,0)</f>
        <v>1913731</v>
      </c>
      <c r="U1112" s="45" t="s">
        <v>2751</v>
      </c>
      <c r="V1112" s="46">
        <f t="shared" si="211"/>
        <v>1913731</v>
      </c>
      <c r="W1112" s="47" t="s">
        <v>1519</v>
      </c>
      <c r="X1112" s="46" t="str">
        <f t="shared" si="212"/>
        <v>1</v>
      </c>
      <c r="Y1112" s="47" t="s">
        <v>1518</v>
      </c>
      <c r="Z1112" s="46" t="str">
        <f t="shared" si="213"/>
        <v>M</v>
      </c>
      <c r="AA1112" s="47" t="s">
        <v>2752</v>
      </c>
      <c r="AB1112" s="46" t="str">
        <f t="shared" si="214"/>
        <v>MIERCOLES</v>
      </c>
      <c r="AC1112" s="47" t="s">
        <v>2753</v>
      </c>
      <c r="AD1112" t="str">
        <f t="shared" si="215"/>
        <v>CONTRATURNO</v>
      </c>
      <c r="AE1112" s="47" t="s">
        <v>2754</v>
      </c>
      <c r="AH1112" t="str">
        <f t="shared" si="216"/>
        <v>INSERT INTO horario_curso_materia (horario_curso_materia.FK_CUR_mat,horario_curso_materia.FK_HOR,horario_curso_materia.DIA,horario_curso_materia.tipo_turno) VALUES (  (SELECT curso_materia.ID_CUR_MAT FROM curso_materia WHERE curso_materia.CUPOF='1913731' ) ,
    (SELECT horario.ID_HOR FROM horario WHERE horario.modulo='1 ' and horario.turno='M ' ),'MIERCOLES ' , 'CONTRATURNO ' );</v>
      </c>
    </row>
    <row r="1113" spans="1:34" ht="15" hidden="1" customHeight="1" x14ac:dyDescent="0.3">
      <c r="A1113" s="1" t="str">
        <f t="shared" si="220"/>
        <v>7°1°</v>
      </c>
      <c r="B1113" s="54" t="str">
        <f t="shared" si="219"/>
        <v>7°1°1miVESPERTINO0</v>
      </c>
      <c r="C1113" s="62">
        <f>VLOOKUP(G1113,[1]Hoja1!$A:$O,3,0)</f>
        <v>0</v>
      </c>
      <c r="D1113" s="2" t="str">
        <f t="shared" si="209"/>
        <v>1miV</v>
      </c>
      <c r="E1113" s="62" t="s">
        <v>55</v>
      </c>
      <c r="F1113" s="62" t="s">
        <v>125</v>
      </c>
      <c r="G1113" s="62" t="s">
        <v>470</v>
      </c>
      <c r="H1113" s="8" t="str">
        <f>VLOOKUP(G1113,[1]Hoja1!$A:$O,6,0)</f>
        <v>EVALUACION DE PROYECTO</v>
      </c>
      <c r="I1113" s="4"/>
      <c r="J1113" s="4"/>
      <c r="K1113" s="80" t="str">
        <f t="shared" si="218"/>
        <v>mi</v>
      </c>
      <c r="L1113" s="4"/>
      <c r="M1113" s="86" t="str">
        <f>VLOOKUP(G1113,[1]Hoja1!$A:$O,15,0)</f>
        <v>ROCHA JULIETA</v>
      </c>
      <c r="N1113" s="2" t="str">
        <f t="shared" si="217"/>
        <v>7°1°7IEVPROmi</v>
      </c>
      <c r="O1113" s="2"/>
      <c r="P1113" s="2" t="str">
        <f>VLOOKUP(G1113,[1]Hoja1!$A:$P,16,0)</f>
        <v xml:space="preserve"> </v>
      </c>
      <c r="Q1113" s="2"/>
      <c r="S1113">
        <f>VLOOKUP(G1113,[1]Hoja1!$A:$O,5,0)</f>
        <v>1913689</v>
      </c>
      <c r="U1113" s="45" t="s">
        <v>2751</v>
      </c>
      <c r="V1113" s="46">
        <f t="shared" si="211"/>
        <v>1913689</v>
      </c>
      <c r="W1113" s="47" t="s">
        <v>1519</v>
      </c>
      <c r="X1113" s="46" t="str">
        <f t="shared" si="212"/>
        <v>1</v>
      </c>
      <c r="Y1113" s="47" t="s">
        <v>1518</v>
      </c>
      <c r="Z1113" s="46" t="str">
        <f t="shared" si="213"/>
        <v>V</v>
      </c>
      <c r="AA1113" s="47" t="s">
        <v>2752</v>
      </c>
      <c r="AB1113" s="46" t="str">
        <f t="shared" si="214"/>
        <v>MIERCOLES</v>
      </c>
      <c r="AC1113" s="47" t="s">
        <v>2753</v>
      </c>
      <c r="AD1113">
        <f t="shared" si="215"/>
        <v>0</v>
      </c>
      <c r="AE1113" s="47" t="s">
        <v>2754</v>
      </c>
      <c r="AH1113" t="str">
        <f t="shared" si="216"/>
        <v>INSERT INTO horario_curso_materia (horario_curso_materia.FK_CUR_mat,horario_curso_materia.FK_HOR,horario_curso_materia.DIA,horario_curso_materia.tipo_turno) VALUES (  (SELECT curso_materia.ID_CUR_MAT FROM curso_materia WHERE curso_materia.CUPOF='1913689' ) ,
    (SELECT horario.ID_HOR FROM horario WHERE horario.modulo='1 ' and horario.turno='V ' ),'MIERCOLES ' , '0 ' );</v>
      </c>
    </row>
    <row r="1114" spans="1:34" ht="15" hidden="1" customHeight="1" x14ac:dyDescent="0.3">
      <c r="A1114" s="1" t="str">
        <f t="shared" si="220"/>
        <v>7°1°</v>
      </c>
      <c r="B1114" s="54" t="str">
        <f t="shared" si="219"/>
        <v>7°1°1VIMAÑANA711</v>
      </c>
      <c r="C1114" s="62">
        <f>VLOOKUP(G1114,[1]Hoja1!$A:$O,3,0)</f>
        <v>711</v>
      </c>
      <c r="D1114" s="2" t="str">
        <f t="shared" si="209"/>
        <v>1VIM52</v>
      </c>
      <c r="E1114" s="62" t="s">
        <v>57</v>
      </c>
      <c r="F1114" s="62" t="s">
        <v>27</v>
      </c>
      <c r="G1114" s="62" t="s">
        <v>224</v>
      </c>
      <c r="H1114" s="8" t="str">
        <f>VLOOKUP(G1114,[1]Hoja1!$A:$O,6,0)</f>
        <v xml:space="preserve">INSTALACION, MANTENIMIENTO Y REPARACION DE REDES INFORMATICAS- </v>
      </c>
      <c r="I1114" s="4">
        <v>52</v>
      </c>
      <c r="J1114" s="4"/>
      <c r="K1114" s="80" t="str">
        <f t="shared" si="218"/>
        <v>VI</v>
      </c>
      <c r="L1114" s="4" t="s">
        <v>512</v>
      </c>
      <c r="M1114" s="86" t="str">
        <f>VLOOKUP(G1114,[1]Hoja1!$A:$O,15,0)</f>
        <v>DELLA VECCHIA</v>
      </c>
      <c r="N1114" s="2" t="str">
        <f t="shared" si="217"/>
        <v>7°1°7117IIMRRIVI</v>
      </c>
      <c r="O1114" s="2"/>
      <c r="P1114" s="2" t="str">
        <f>VLOOKUP(G1114,[1]Hoja1!$A:$P,16,0)</f>
        <v xml:space="preserve"> </v>
      </c>
      <c r="Q1114" s="2"/>
      <c r="S1114">
        <f>VLOOKUP(G1114,[1]Hoja1!$A:$O,5,0)</f>
        <v>1913707</v>
      </c>
      <c r="U1114" s="45" t="s">
        <v>2751</v>
      </c>
      <c r="V1114" s="46">
        <f t="shared" si="211"/>
        <v>1913707</v>
      </c>
      <c r="W1114" s="47" t="s">
        <v>1519</v>
      </c>
      <c r="X1114" s="46" t="str">
        <f t="shared" si="212"/>
        <v>1</v>
      </c>
      <c r="Y1114" s="47" t="s">
        <v>1518</v>
      </c>
      <c r="Z1114" s="46" t="str">
        <f t="shared" si="213"/>
        <v>M</v>
      </c>
      <c r="AA1114" s="47" t="s">
        <v>2752</v>
      </c>
      <c r="AB1114" s="46" t="str">
        <f t="shared" si="214"/>
        <v>VIERNES</v>
      </c>
      <c r="AC1114" s="47" t="s">
        <v>2753</v>
      </c>
      <c r="AD1114" t="str">
        <f t="shared" si="215"/>
        <v>CONTRATURNO</v>
      </c>
      <c r="AE1114" s="47" t="s">
        <v>2754</v>
      </c>
      <c r="AH1114" t="str">
        <f t="shared" si="216"/>
        <v>INSERT INTO horario_curso_materia (horario_curso_materia.FK_CUR_mat,horario_curso_materia.FK_HOR,horario_curso_materia.DIA,horario_curso_materia.tipo_turno) VALUES (  (SELECT curso_materia.ID_CUR_MAT FROM curso_materia WHERE curso_materia.CUPOF='1913707' ) ,
    (SELECT horario.ID_HOR FROM horario WHERE horario.modulo='1 ' and horario.turno='M ' ),'VIERNES ' , 'CONTRATURNO ' );</v>
      </c>
    </row>
    <row r="1115" spans="1:34" ht="15" hidden="1" customHeight="1" x14ac:dyDescent="0.3">
      <c r="A1115" s="5" t="str">
        <f t="shared" si="220"/>
        <v>7°1°</v>
      </c>
      <c r="B1115" s="54" t="str">
        <f t="shared" si="219"/>
        <v>7°1°1VIMAÑANA712</v>
      </c>
      <c r="C1115" s="65">
        <f>VLOOKUP(G1115,[1]Hoja1!$A:$O,3,0)</f>
        <v>712</v>
      </c>
      <c r="D1115" s="21" t="str">
        <f t="shared" si="209"/>
        <v>1VIM40</v>
      </c>
      <c r="E1115" s="65" t="s">
        <v>57</v>
      </c>
      <c r="F1115" s="62" t="s">
        <v>27</v>
      </c>
      <c r="G1115" s="65" t="s">
        <v>220</v>
      </c>
      <c r="H1115" s="5" t="str">
        <f>VLOOKUP(G1115,[1]Hoja1!$A:$O,6,0)</f>
        <v>INSTALACION, MANTENIMIENTO Y REPARACION DE SISTEMAS COMPUTACIONALES-</v>
      </c>
      <c r="I1115" s="22">
        <v>40</v>
      </c>
      <c r="J1115" s="22"/>
      <c r="K1115" s="83" t="str">
        <f t="shared" si="218"/>
        <v>VI</v>
      </c>
      <c r="L1115" s="22" t="s">
        <v>512</v>
      </c>
      <c r="M1115" s="86" t="str">
        <f>VLOOKUP(G1115,[1]Hoja1!$A:$O,15,0)</f>
        <v>MELGARJO. VERONICA</v>
      </c>
      <c r="N1115" s="21" t="str">
        <f t="shared" si="217"/>
        <v>7°1°7127IIMRSCVI</v>
      </c>
      <c r="O1115" s="21" t="s">
        <v>1436</v>
      </c>
      <c r="P1115" s="2" t="str">
        <f>VLOOKUP(G1115,[1]Hoja1!$A:$P,16,0)</f>
        <v xml:space="preserve"> </v>
      </c>
      <c r="Q1115" s="2"/>
      <c r="S1115">
        <f>VLOOKUP(G1115,[1]Hoja1!$A:$O,5,0)</f>
        <v>1913725</v>
      </c>
      <c r="U1115" s="45" t="s">
        <v>2751</v>
      </c>
      <c r="V1115" s="46">
        <f t="shared" si="211"/>
        <v>1913725</v>
      </c>
      <c r="W1115" s="47" t="s">
        <v>1519</v>
      </c>
      <c r="X1115" s="46" t="str">
        <f t="shared" si="212"/>
        <v>1</v>
      </c>
      <c r="Y1115" s="47" t="s">
        <v>1518</v>
      </c>
      <c r="Z1115" s="46" t="str">
        <f t="shared" si="213"/>
        <v>M</v>
      </c>
      <c r="AA1115" s="47" t="s">
        <v>2752</v>
      </c>
      <c r="AB1115" s="46" t="str">
        <f t="shared" si="214"/>
        <v>VIERNES</v>
      </c>
      <c r="AC1115" s="47" t="s">
        <v>2753</v>
      </c>
      <c r="AD1115" t="str">
        <f t="shared" si="215"/>
        <v>CONTRATURNO</v>
      </c>
      <c r="AE1115" s="47" t="s">
        <v>2754</v>
      </c>
      <c r="AH1115" t="str">
        <f t="shared" si="216"/>
        <v>INSERT INTO horario_curso_materia (horario_curso_materia.FK_CUR_mat,horario_curso_materia.FK_HOR,horario_curso_materia.DIA,horario_curso_materia.tipo_turno) VALUES (  (SELECT curso_materia.ID_CUR_MAT FROM curso_materia WHERE curso_materia.CUPOF='1913725' ) ,
    (SELECT horario.ID_HOR FROM horario WHERE horario.modulo='1 ' and horario.turno='M ' ),'VIERNES ' , 'CONTRATURNO ' );</v>
      </c>
    </row>
    <row r="1116" spans="1:34" ht="15" hidden="1" customHeight="1" x14ac:dyDescent="0.3">
      <c r="A1116" s="1" t="str">
        <f t="shared" si="220"/>
        <v>7°1°</v>
      </c>
      <c r="B1116" s="54" t="str">
        <f t="shared" si="219"/>
        <v>7°1°1VIVESPERTINO712</v>
      </c>
      <c r="C1116" s="62">
        <f>VLOOKUP(G1116,[1]Hoja1!$A:$O,3,0)</f>
        <v>712</v>
      </c>
      <c r="D1116" s="2" t="str">
        <f t="shared" si="209"/>
        <v>1VIV41</v>
      </c>
      <c r="E1116" s="62" t="s">
        <v>57</v>
      </c>
      <c r="F1116" s="62" t="s">
        <v>125</v>
      </c>
      <c r="G1116" s="62" t="s">
        <v>225</v>
      </c>
      <c r="H1116" s="8" t="str">
        <f>VLOOKUP(G1116,[1]Hoja1!$A:$O,6,0)</f>
        <v>PROYECTO, DISEÑO E IMPLEMENTACION DE SISTEMAS COMPUTACIONALES</v>
      </c>
      <c r="I1116" s="4">
        <v>41</v>
      </c>
      <c r="J1116" s="4"/>
      <c r="K1116" s="80" t="str">
        <f t="shared" si="218"/>
        <v>VI</v>
      </c>
      <c r="L1116" s="4" t="s">
        <v>512</v>
      </c>
      <c r="M1116" s="86" t="str">
        <f>VLOOKUP(G1116,[1]Hoja1!$A:$O,15,0)</f>
        <v>CARPITELLA FABIAN</v>
      </c>
      <c r="N1116" s="2" t="str">
        <f t="shared" si="217"/>
        <v>7°1°7127IPDISCVI</v>
      </c>
      <c r="O1116" s="2"/>
      <c r="P1116" s="2"/>
      <c r="Q1116" s="2" t="str">
        <f>VLOOKUP(G1115,[1]Hoja1!$A:$P,16,0)</f>
        <v xml:space="preserve"> </v>
      </c>
      <c r="S1116">
        <f>VLOOKUP(G1116,[1]Hoja1!$A:$O,5,0)</f>
        <v>1913712</v>
      </c>
      <c r="U1116" s="45" t="s">
        <v>2751</v>
      </c>
      <c r="V1116" s="46">
        <f t="shared" si="211"/>
        <v>1913712</v>
      </c>
      <c r="W1116" s="47" t="s">
        <v>1519</v>
      </c>
      <c r="X1116" s="46" t="str">
        <f t="shared" si="212"/>
        <v>1</v>
      </c>
      <c r="Y1116" s="47" t="s">
        <v>1518</v>
      </c>
      <c r="Z1116" s="46" t="str">
        <f t="shared" si="213"/>
        <v>V</v>
      </c>
      <c r="AA1116" s="47" t="s">
        <v>2752</v>
      </c>
      <c r="AB1116" s="46" t="str">
        <f t="shared" si="214"/>
        <v>VIERNES</v>
      </c>
      <c r="AC1116" s="47" t="s">
        <v>2753</v>
      </c>
      <c r="AD1116" t="str">
        <f t="shared" si="215"/>
        <v>CONTRATURNO</v>
      </c>
      <c r="AE1116" s="47" t="s">
        <v>2754</v>
      </c>
      <c r="AH1116" t="str">
        <f t="shared" si="216"/>
        <v>INSERT INTO horario_curso_materia (horario_curso_materia.FK_CUR_mat,horario_curso_materia.FK_HOR,horario_curso_materia.DIA,horario_curso_materia.tipo_turno) VALUES (  (SELECT curso_materia.ID_CUR_MAT FROM curso_materia WHERE curso_materia.CUPOF='1913712' ) ,
    (SELECT horario.ID_HOR FROM horario WHERE horario.modulo='1 ' and horario.turno='V ' ),'VIERNES ' , 'CONTRATURNO ' );</v>
      </c>
    </row>
    <row r="1117" spans="1:34" ht="15" hidden="1" customHeight="1" x14ac:dyDescent="0.3">
      <c r="A1117" s="1" t="str">
        <f t="shared" si="220"/>
        <v>7°1°</v>
      </c>
      <c r="B1117" s="54" t="str">
        <f t="shared" si="219"/>
        <v>7°1°2juTARDE711</v>
      </c>
      <c r="C1117" s="62">
        <f>VLOOKUP(G1117,[1]Hoja1!$A:$O,3,0)</f>
        <v>711</v>
      </c>
      <c r="D1117" s="2" t="str">
        <f t="shared" ref="D1117:D1178" si="221">CONCATENATE(E1117,LEFT(F1117,1),I1117)</f>
        <v>2juT40</v>
      </c>
      <c r="E1117" s="71" t="s">
        <v>1349</v>
      </c>
      <c r="F1117" s="62" t="s">
        <v>10</v>
      </c>
      <c r="G1117" s="62" t="s">
        <v>223</v>
      </c>
      <c r="H1117" s="8" t="str">
        <f>VLOOKUP(G1117,[1]Hoja1!$A:$O,6,0)</f>
        <v>INSTALACION, MANTENIMIENTO Y REPARACION DE SISTEMAS COMPUTACIONALES-</v>
      </c>
      <c r="I1117" s="4">
        <v>40</v>
      </c>
      <c r="J1117" s="4"/>
      <c r="K1117" s="80" t="str">
        <f t="shared" si="218"/>
        <v>ju</v>
      </c>
      <c r="L1117" s="4" t="s">
        <v>512</v>
      </c>
      <c r="M1117" s="86" t="str">
        <f>VLOOKUP(G1117,[1]Hoja1!$A:$O,15,0)</f>
        <v>AÑASCO, GABRIEL  20-36089659-6</v>
      </c>
      <c r="N1117" s="2" t="str">
        <f t="shared" si="217"/>
        <v>7°1°7117IIMRSCju</v>
      </c>
      <c r="O1117" s="2" t="s">
        <v>1500</v>
      </c>
      <c r="P1117" s="2" t="str">
        <f>VLOOKUP(G1117,[1]Hoja1!$A:$P,16,0)</f>
        <v xml:space="preserve"> </v>
      </c>
      <c r="Q1117" s="2"/>
      <c r="S1117">
        <f>VLOOKUP(G1117,[1]Hoja1!$A:$O,5,0)</f>
        <v>1913702</v>
      </c>
      <c r="U1117" s="45" t="s">
        <v>2751</v>
      </c>
      <c r="V1117" s="46">
        <f t="shared" si="211"/>
        <v>1913702</v>
      </c>
      <c r="W1117" s="47" t="s">
        <v>1519</v>
      </c>
      <c r="X1117" s="46" t="str">
        <f t="shared" si="212"/>
        <v>2</v>
      </c>
      <c r="Y1117" s="47" t="s">
        <v>1518</v>
      </c>
      <c r="Z1117" s="46" t="str">
        <f t="shared" si="213"/>
        <v>T</v>
      </c>
      <c r="AA1117" s="47" t="s">
        <v>2752</v>
      </c>
      <c r="AB1117" s="46" t="str">
        <f t="shared" si="214"/>
        <v>JUEVES</v>
      </c>
      <c r="AC1117" s="47" t="s">
        <v>2753</v>
      </c>
      <c r="AD1117" t="str">
        <f t="shared" si="215"/>
        <v>CONTRATURNO</v>
      </c>
      <c r="AE1117" s="47" t="s">
        <v>2754</v>
      </c>
      <c r="AH1117" t="str">
        <f t="shared" si="216"/>
        <v>INSERT INTO horario_curso_materia (horario_curso_materia.FK_CUR_mat,horario_curso_materia.FK_HOR,horario_curso_materia.DIA,horario_curso_materia.tipo_turno) VALUES (  (SELECT curso_materia.ID_CUR_MAT FROM curso_materia WHERE curso_materia.CUPOF='1913702' ) ,
    (SELECT horario.ID_HOR FROM horario WHERE horario.modulo='2 ' and horario.turno='T ' ),'JUEVES ' , 'CONTRATURNO ' );</v>
      </c>
    </row>
    <row r="1118" spans="1:34" ht="15" hidden="1" customHeight="1" x14ac:dyDescent="0.3">
      <c r="A1118" s="1" t="str">
        <f t="shared" si="220"/>
        <v>7°1°</v>
      </c>
      <c r="B1118" s="54" t="str">
        <f t="shared" si="219"/>
        <v>7°1°2JUVESPERTINO711</v>
      </c>
      <c r="C1118" s="62">
        <f>VLOOKUP(G1118,[1]Hoja1!$A:$O,3,0)</f>
        <v>711</v>
      </c>
      <c r="D1118" s="2" t="str">
        <f t="shared" si="221"/>
        <v>2JUVAULA 3</v>
      </c>
      <c r="E1118" s="62" t="s">
        <v>45</v>
      </c>
      <c r="F1118" s="62" t="s">
        <v>125</v>
      </c>
      <c r="G1118" s="62" t="s">
        <v>219</v>
      </c>
      <c r="H1118" s="8" t="str">
        <f>VLOOKUP(G1118,[1]Hoja1!$A:$O,6,0)</f>
        <v>PROYECTO, DISEÑO E IMPLEMENTACION DE SISTEMAS COMPUTACIONALES</v>
      </c>
      <c r="I1118" s="4" t="s">
        <v>1490</v>
      </c>
      <c r="J1118" s="4"/>
      <c r="K1118" s="80" t="str">
        <f t="shared" si="218"/>
        <v>JU</v>
      </c>
      <c r="L1118" s="4" t="s">
        <v>512</v>
      </c>
      <c r="M1118" s="86" t="str">
        <f>VLOOKUP(G1118,[1]Hoja1!$A:$O,15,0)</f>
        <v>CARPITELLA FABIAN</v>
      </c>
      <c r="N1118" s="2" t="str">
        <f t="shared" si="217"/>
        <v>7°1°7117IPDISCJU</v>
      </c>
      <c r="O1118" s="2"/>
      <c r="P1118" s="2" t="str">
        <f>VLOOKUP(G1118,[1]Hoja1!$A:$P,16,0)</f>
        <v xml:space="preserve"> </v>
      </c>
      <c r="Q1118" s="2"/>
      <c r="S1118">
        <f>VLOOKUP(G1118,[1]Hoja1!$A:$O,5,0)</f>
        <v>1913696</v>
      </c>
      <c r="U1118" s="45" t="s">
        <v>2751</v>
      </c>
      <c r="V1118" s="46">
        <f t="shared" si="211"/>
        <v>1913696</v>
      </c>
      <c r="W1118" s="47" t="s">
        <v>1519</v>
      </c>
      <c r="X1118" s="46" t="str">
        <f t="shared" si="212"/>
        <v>2</v>
      </c>
      <c r="Y1118" s="47" t="s">
        <v>1518</v>
      </c>
      <c r="Z1118" s="46" t="str">
        <f t="shared" si="213"/>
        <v>V</v>
      </c>
      <c r="AA1118" s="47" t="s">
        <v>2752</v>
      </c>
      <c r="AB1118" s="46" t="str">
        <f t="shared" si="214"/>
        <v>JUEVES</v>
      </c>
      <c r="AC1118" s="47" t="s">
        <v>2753</v>
      </c>
      <c r="AD1118" t="str">
        <f t="shared" si="215"/>
        <v>CONTRATURNO</v>
      </c>
      <c r="AE1118" s="47" t="s">
        <v>2754</v>
      </c>
      <c r="AH1118" t="str">
        <f t="shared" si="216"/>
        <v>INSERT INTO horario_curso_materia (horario_curso_materia.FK_CUR_mat,horario_curso_materia.FK_HOR,horario_curso_materia.DIA,horario_curso_materia.tipo_turno) VALUES (  (SELECT curso_materia.ID_CUR_MAT FROM curso_materia WHERE curso_materia.CUPOF='1913696' ) ,
    (SELECT horario.ID_HOR FROM horario WHERE horario.modulo='2 ' and horario.turno='V ' ),'JUEVES ' , 'CONTRATURNO ' );</v>
      </c>
    </row>
    <row r="1119" spans="1:34" ht="15" hidden="1" customHeight="1" x14ac:dyDescent="0.3">
      <c r="A1119" s="1" t="str">
        <f t="shared" si="220"/>
        <v>7°1°</v>
      </c>
      <c r="B1119" s="54" t="str">
        <f t="shared" si="219"/>
        <v>7°1°2MIMAÑANA712</v>
      </c>
      <c r="C1119" s="62">
        <f>VLOOKUP(G1119,[1]Hoja1!$A:$O,3,0)</f>
        <v>712</v>
      </c>
      <c r="D1119" s="2" t="str">
        <f t="shared" si="221"/>
        <v>2MIM52</v>
      </c>
      <c r="E1119" s="62" t="s">
        <v>26</v>
      </c>
      <c r="F1119" s="62" t="s">
        <v>27</v>
      </c>
      <c r="G1119" s="62" t="s">
        <v>222</v>
      </c>
      <c r="H1119" s="8" t="str">
        <f>VLOOKUP(G1119,[1]Hoja1!$A:$O,6,0)</f>
        <v xml:space="preserve">INSTALACION, MANTENIMIENTO Y REPARACION DE REDES INFORMATICAS- </v>
      </c>
      <c r="I1119" s="4">
        <v>52</v>
      </c>
      <c r="J1119" s="4"/>
      <c r="K1119" s="80" t="str">
        <f t="shared" si="218"/>
        <v>MI</v>
      </c>
      <c r="L1119" s="4" t="s">
        <v>512</v>
      </c>
      <c r="M1119" s="86" t="str">
        <f>VLOOKUP(G1119,[1]Hoja1!$A:$O,15,0)</f>
        <v>DELLA VECCHIA I</v>
      </c>
      <c r="N1119" s="2" t="str">
        <f t="shared" si="217"/>
        <v>7°1°7127IIMRRIMI</v>
      </c>
      <c r="O1119" s="2" t="s">
        <v>1374</v>
      </c>
      <c r="P1119" s="2" t="str">
        <f>VLOOKUP(G1119,[1]Hoja1!$A:$P,16,0)</f>
        <v xml:space="preserve"> </v>
      </c>
      <c r="Q1119" s="2"/>
      <c r="S1119">
        <f>VLOOKUP(G1119,[1]Hoja1!$A:$O,5,0)</f>
        <v>1913731</v>
      </c>
      <c r="U1119" s="45" t="s">
        <v>2751</v>
      </c>
      <c r="V1119" s="46">
        <f t="shared" si="211"/>
        <v>1913731</v>
      </c>
      <c r="W1119" s="47" t="s">
        <v>1519</v>
      </c>
      <c r="X1119" s="46" t="str">
        <f t="shared" si="212"/>
        <v>2</v>
      </c>
      <c r="Y1119" s="47" t="s">
        <v>1518</v>
      </c>
      <c r="Z1119" s="46" t="str">
        <f t="shared" si="213"/>
        <v>M</v>
      </c>
      <c r="AA1119" s="47" t="s">
        <v>2752</v>
      </c>
      <c r="AB1119" s="46" t="str">
        <f t="shared" si="214"/>
        <v>MIERCOLES</v>
      </c>
      <c r="AC1119" s="47" t="s">
        <v>2753</v>
      </c>
      <c r="AD1119" t="str">
        <f t="shared" si="215"/>
        <v>CONTRATURNO</v>
      </c>
      <c r="AE1119" s="47" t="s">
        <v>2754</v>
      </c>
      <c r="AH1119" t="str">
        <f t="shared" si="216"/>
        <v>INSERT INTO horario_curso_materia (horario_curso_materia.FK_CUR_mat,horario_curso_materia.FK_HOR,horario_curso_materia.DIA,horario_curso_materia.tipo_turno) VALUES (  (SELECT curso_materia.ID_CUR_MAT FROM curso_materia WHERE curso_materia.CUPOF='1913731' ) ,
    (SELECT horario.ID_HOR FROM horario WHERE horario.modulo='2 ' and horario.turno='M ' ),'MIERCOLES ' , 'CONTRATURNO ' );</v>
      </c>
    </row>
    <row r="1120" spans="1:34" ht="15" hidden="1" customHeight="1" x14ac:dyDescent="0.3">
      <c r="A1120" s="1" t="str">
        <f t="shared" si="220"/>
        <v>7°1°</v>
      </c>
      <c r="B1120" s="54" t="str">
        <f t="shared" si="219"/>
        <v>7°1°2miVESPERTINO0</v>
      </c>
      <c r="C1120" s="62">
        <f>VLOOKUP(G1120,[1]Hoja1!$A:$O,3,0)</f>
        <v>0</v>
      </c>
      <c r="D1120" s="2" t="str">
        <f t="shared" si="221"/>
        <v>2miV</v>
      </c>
      <c r="E1120" s="62" t="s">
        <v>1343</v>
      </c>
      <c r="F1120" s="62" t="s">
        <v>125</v>
      </c>
      <c r="G1120" s="62" t="s">
        <v>470</v>
      </c>
      <c r="H1120" s="8" t="str">
        <f>VLOOKUP(G1120,[1]Hoja1!$A:$O,6,0)</f>
        <v>EVALUACION DE PROYECTO</v>
      </c>
      <c r="I1120" s="4"/>
      <c r="J1120" s="4"/>
      <c r="K1120" s="80" t="str">
        <f t="shared" si="218"/>
        <v>mi</v>
      </c>
      <c r="L1120" s="4"/>
      <c r="M1120" s="86" t="str">
        <f>VLOOKUP(G1120,[1]Hoja1!$A:$O,15,0)</f>
        <v>ROCHA JULIETA</v>
      </c>
      <c r="N1120" s="2" t="str">
        <f t="shared" si="217"/>
        <v>7°1°7IEVPROmi</v>
      </c>
      <c r="O1120" s="2"/>
      <c r="P1120" s="2" t="str">
        <f>VLOOKUP(G1120,[1]Hoja1!$A:$P,16,0)</f>
        <v xml:space="preserve"> </v>
      </c>
      <c r="Q1120" s="2"/>
      <c r="S1120">
        <f>VLOOKUP(G1120,[1]Hoja1!$A:$O,5,0)</f>
        <v>1913689</v>
      </c>
      <c r="U1120" s="45" t="s">
        <v>2751</v>
      </c>
      <c r="V1120" s="46">
        <f t="shared" si="211"/>
        <v>1913689</v>
      </c>
      <c r="W1120" s="47" t="s">
        <v>1519</v>
      </c>
      <c r="X1120" s="46" t="str">
        <f t="shared" si="212"/>
        <v>2</v>
      </c>
      <c r="Y1120" s="47" t="s">
        <v>1518</v>
      </c>
      <c r="Z1120" s="46" t="str">
        <f t="shared" si="213"/>
        <v>V</v>
      </c>
      <c r="AA1120" s="47" t="s">
        <v>2752</v>
      </c>
      <c r="AB1120" s="46" t="str">
        <f t="shared" si="214"/>
        <v>MIERCOLES</v>
      </c>
      <c r="AC1120" s="47" t="s">
        <v>2753</v>
      </c>
      <c r="AD1120">
        <f t="shared" si="215"/>
        <v>0</v>
      </c>
      <c r="AE1120" s="47" t="s">
        <v>2754</v>
      </c>
      <c r="AH1120" t="str">
        <f t="shared" si="216"/>
        <v>INSERT INTO horario_curso_materia (horario_curso_materia.FK_CUR_mat,horario_curso_materia.FK_HOR,horario_curso_materia.DIA,horario_curso_materia.tipo_turno) VALUES (  (SELECT curso_materia.ID_CUR_MAT FROM curso_materia WHERE curso_materia.CUPOF='1913689' ) ,
    (SELECT horario.ID_HOR FROM horario WHERE horario.modulo='2 ' and horario.turno='V ' ),'MIERCOLES ' , '0 ' );</v>
      </c>
    </row>
    <row r="1121" spans="1:34" ht="15" hidden="1" customHeight="1" x14ac:dyDescent="0.3">
      <c r="A1121" s="1" t="str">
        <f t="shared" si="220"/>
        <v>7°1°</v>
      </c>
      <c r="B1121" s="54" t="str">
        <f t="shared" si="219"/>
        <v>7°1°2VIMAÑANA711</v>
      </c>
      <c r="C1121" s="62">
        <f>VLOOKUP(G1121,[1]Hoja1!$A:$O,3,0)</f>
        <v>711</v>
      </c>
      <c r="D1121" s="2" t="str">
        <f t="shared" si="221"/>
        <v>2VIM52</v>
      </c>
      <c r="E1121" s="62" t="s">
        <v>59</v>
      </c>
      <c r="F1121" s="62" t="s">
        <v>27</v>
      </c>
      <c r="G1121" s="62" t="s">
        <v>224</v>
      </c>
      <c r="H1121" s="8" t="str">
        <f>VLOOKUP(G1121,[1]Hoja1!$A:$O,6,0)</f>
        <v xml:space="preserve">INSTALACION, MANTENIMIENTO Y REPARACION DE REDES INFORMATICAS- </v>
      </c>
      <c r="I1121" s="4">
        <v>52</v>
      </c>
      <c r="J1121" s="4"/>
      <c r="K1121" s="80" t="str">
        <f t="shared" si="218"/>
        <v>VI</v>
      </c>
      <c r="L1121" s="4" t="s">
        <v>512</v>
      </c>
      <c r="M1121" s="86" t="str">
        <f>VLOOKUP(G1121,[1]Hoja1!$A:$O,15,0)</f>
        <v>DELLA VECCHIA</v>
      </c>
      <c r="N1121" s="2" t="str">
        <f t="shared" si="217"/>
        <v>7°1°7117IIMRRIVI</v>
      </c>
      <c r="O1121" s="2"/>
      <c r="P1121" s="2" t="str">
        <f>VLOOKUP(G1121,[1]Hoja1!$A:$P,16,0)</f>
        <v xml:space="preserve"> </v>
      </c>
      <c r="Q1121" s="2"/>
      <c r="S1121">
        <f>VLOOKUP(G1121,[1]Hoja1!$A:$O,5,0)</f>
        <v>1913707</v>
      </c>
      <c r="U1121" s="45" t="s">
        <v>2751</v>
      </c>
      <c r="V1121" s="46">
        <f t="shared" si="211"/>
        <v>1913707</v>
      </c>
      <c r="W1121" s="47" t="s">
        <v>1519</v>
      </c>
      <c r="X1121" s="46" t="str">
        <f t="shared" si="212"/>
        <v>2</v>
      </c>
      <c r="Y1121" s="47" t="s">
        <v>1518</v>
      </c>
      <c r="Z1121" s="46" t="str">
        <f t="shared" si="213"/>
        <v>M</v>
      </c>
      <c r="AA1121" s="47" t="s">
        <v>2752</v>
      </c>
      <c r="AB1121" s="46" t="str">
        <f t="shared" si="214"/>
        <v>VIERNES</v>
      </c>
      <c r="AC1121" s="47" t="s">
        <v>2753</v>
      </c>
      <c r="AD1121" t="str">
        <f t="shared" si="215"/>
        <v>CONTRATURNO</v>
      </c>
      <c r="AE1121" s="47" t="s">
        <v>2754</v>
      </c>
      <c r="AH1121" t="str">
        <f t="shared" si="216"/>
        <v>INSERT INTO horario_curso_materia (horario_curso_materia.FK_CUR_mat,horario_curso_materia.FK_HOR,horario_curso_materia.DIA,horario_curso_materia.tipo_turno) VALUES (  (SELECT curso_materia.ID_CUR_MAT FROM curso_materia WHERE curso_materia.CUPOF='1913707' ) ,
    (SELECT horario.ID_HOR FROM horario WHERE horario.modulo='2 ' and horario.turno='M ' ),'VIERNES ' , 'CONTRATURNO ' );</v>
      </c>
    </row>
    <row r="1122" spans="1:34" ht="15" hidden="1" customHeight="1" x14ac:dyDescent="0.3">
      <c r="A1122" s="5" t="str">
        <f t="shared" si="220"/>
        <v>7°1°</v>
      </c>
      <c r="B1122" s="54" t="str">
        <f t="shared" si="219"/>
        <v>7°1°2VIMAÑANA712</v>
      </c>
      <c r="C1122" s="65">
        <f>VLOOKUP(G1122,[1]Hoja1!$A:$O,3,0)</f>
        <v>712</v>
      </c>
      <c r="D1122" s="21" t="str">
        <f t="shared" si="221"/>
        <v>2VIM40</v>
      </c>
      <c r="E1122" s="65" t="s">
        <v>59</v>
      </c>
      <c r="F1122" s="62" t="s">
        <v>27</v>
      </c>
      <c r="G1122" s="65" t="s">
        <v>220</v>
      </c>
      <c r="H1122" s="5" t="str">
        <f>VLOOKUP(G1122,[1]Hoja1!$A:$O,6,0)</f>
        <v>INSTALACION, MANTENIMIENTO Y REPARACION DE SISTEMAS COMPUTACIONALES-</v>
      </c>
      <c r="I1122" s="22">
        <v>40</v>
      </c>
      <c r="J1122" s="22"/>
      <c r="K1122" s="83" t="str">
        <f t="shared" si="218"/>
        <v>VI</v>
      </c>
      <c r="L1122" s="22" t="s">
        <v>512</v>
      </c>
      <c r="M1122" s="86" t="str">
        <f>VLOOKUP(G1122,[1]Hoja1!$A:$O,15,0)</f>
        <v>MELGARJO. VERONICA</v>
      </c>
      <c r="N1122" s="21" t="str">
        <f t="shared" si="217"/>
        <v>7°1°7127IIMRSCVI</v>
      </c>
      <c r="O1122" s="21" t="s">
        <v>1436</v>
      </c>
      <c r="P1122" s="2" t="str">
        <f>VLOOKUP(G1122,[1]Hoja1!$A:$P,16,0)</f>
        <v xml:space="preserve"> </v>
      </c>
      <c r="Q1122" s="2"/>
      <c r="S1122">
        <f>VLOOKUP(G1122,[1]Hoja1!$A:$O,5,0)</f>
        <v>1913725</v>
      </c>
      <c r="U1122" s="45" t="s">
        <v>2751</v>
      </c>
      <c r="V1122" s="46">
        <f t="shared" si="211"/>
        <v>1913725</v>
      </c>
      <c r="W1122" s="47" t="s">
        <v>1519</v>
      </c>
      <c r="X1122" s="46" t="str">
        <f t="shared" si="212"/>
        <v>2</v>
      </c>
      <c r="Y1122" s="47" t="s">
        <v>1518</v>
      </c>
      <c r="Z1122" s="46" t="str">
        <f t="shared" si="213"/>
        <v>M</v>
      </c>
      <c r="AA1122" s="47" t="s">
        <v>2752</v>
      </c>
      <c r="AB1122" s="46" t="str">
        <f t="shared" si="214"/>
        <v>VIERNES</v>
      </c>
      <c r="AC1122" s="47" t="s">
        <v>2753</v>
      </c>
      <c r="AD1122" t="str">
        <f t="shared" si="215"/>
        <v>CONTRATURNO</v>
      </c>
      <c r="AE1122" s="47" t="s">
        <v>2754</v>
      </c>
      <c r="AH1122" t="str">
        <f t="shared" si="216"/>
        <v>INSERT INTO horario_curso_materia (horario_curso_materia.FK_CUR_mat,horario_curso_materia.FK_HOR,horario_curso_materia.DIA,horario_curso_materia.tipo_turno) VALUES (  (SELECT curso_materia.ID_CUR_MAT FROM curso_materia WHERE curso_materia.CUPOF='1913725' ) ,
    (SELECT horario.ID_HOR FROM horario WHERE horario.modulo='2 ' and horario.turno='M ' ),'VIERNES ' , 'CONTRATURNO ' );</v>
      </c>
    </row>
    <row r="1123" spans="1:34" ht="15" hidden="1" customHeight="1" x14ac:dyDescent="0.3">
      <c r="A1123" s="1" t="str">
        <f t="shared" ref="A1123:A1155" si="222">LEFT(B1123,4)</f>
        <v>7°1°</v>
      </c>
      <c r="B1123" s="54" t="str">
        <f t="shared" si="219"/>
        <v>7°1°2VIVESPERTINO712</v>
      </c>
      <c r="C1123" s="62">
        <f>VLOOKUP(G1123,[1]Hoja1!$A:$O,3,0)</f>
        <v>712</v>
      </c>
      <c r="D1123" s="2" t="str">
        <f t="shared" si="221"/>
        <v>2VIV41</v>
      </c>
      <c r="E1123" s="62" t="s">
        <v>59</v>
      </c>
      <c r="F1123" s="62" t="s">
        <v>125</v>
      </c>
      <c r="G1123" s="62" t="s">
        <v>225</v>
      </c>
      <c r="H1123" s="8" t="str">
        <f>VLOOKUP(G1123,[1]Hoja1!$A:$O,6,0)</f>
        <v>PROYECTO, DISEÑO E IMPLEMENTACION DE SISTEMAS COMPUTACIONALES</v>
      </c>
      <c r="I1123" s="4">
        <v>41</v>
      </c>
      <c r="J1123" s="4"/>
      <c r="K1123" s="80" t="str">
        <f t="shared" si="218"/>
        <v>VI</v>
      </c>
      <c r="L1123" s="4" t="s">
        <v>512</v>
      </c>
      <c r="M1123" s="86" t="str">
        <f>VLOOKUP(G1123,[1]Hoja1!$A:$O,15,0)</f>
        <v>CARPITELLA FABIAN</v>
      </c>
      <c r="N1123" s="2" t="str">
        <f t="shared" si="217"/>
        <v>7°1°7127IPDISCVI</v>
      </c>
      <c r="O1123" s="2"/>
      <c r="P1123" s="2"/>
      <c r="Q1123" s="2" t="str">
        <f>VLOOKUP(G1122,[1]Hoja1!$A:$P,16,0)</f>
        <v xml:space="preserve"> </v>
      </c>
      <c r="S1123">
        <f>VLOOKUP(G1123,[1]Hoja1!$A:$O,5,0)</f>
        <v>1913712</v>
      </c>
      <c r="U1123" s="45" t="s">
        <v>2751</v>
      </c>
      <c r="V1123" s="46">
        <f t="shared" si="211"/>
        <v>1913712</v>
      </c>
      <c r="W1123" s="47" t="s">
        <v>1519</v>
      </c>
      <c r="X1123" s="46" t="str">
        <f t="shared" si="212"/>
        <v>2</v>
      </c>
      <c r="Y1123" s="47" t="s">
        <v>1518</v>
      </c>
      <c r="Z1123" s="46" t="str">
        <f t="shared" si="213"/>
        <v>V</v>
      </c>
      <c r="AA1123" s="47" t="s">
        <v>2752</v>
      </c>
      <c r="AB1123" s="46" t="str">
        <f t="shared" si="214"/>
        <v>VIERNES</v>
      </c>
      <c r="AC1123" s="47" t="s">
        <v>2753</v>
      </c>
      <c r="AD1123" t="str">
        <f t="shared" si="215"/>
        <v>CONTRATURNO</v>
      </c>
      <c r="AE1123" s="47" t="s">
        <v>2754</v>
      </c>
      <c r="AH1123" t="str">
        <f t="shared" si="216"/>
        <v>INSERT INTO horario_curso_materia (horario_curso_materia.FK_CUR_mat,horario_curso_materia.FK_HOR,horario_curso_materia.DIA,horario_curso_materia.tipo_turno) VALUES (  (SELECT curso_materia.ID_CUR_MAT FROM curso_materia WHERE curso_materia.CUPOF='1913712' ) ,
    (SELECT horario.ID_HOR FROM horario WHERE horario.modulo='2 ' and horario.turno='V ' ),'VIERNES ' , 'CONTRATURNO ' );</v>
      </c>
    </row>
    <row r="1124" spans="1:34" ht="15" hidden="1" customHeight="1" x14ac:dyDescent="0.3">
      <c r="A1124" s="1" t="str">
        <f t="shared" si="222"/>
        <v>7°1°</v>
      </c>
      <c r="B1124" s="54" t="str">
        <f t="shared" si="219"/>
        <v>7°1°3juTARDE711</v>
      </c>
      <c r="C1124" s="62">
        <f>VLOOKUP(G1124,[1]Hoja1!$A:$O,3,0)</f>
        <v>711</v>
      </c>
      <c r="D1124" s="2" t="str">
        <f t="shared" si="221"/>
        <v>3juT40</v>
      </c>
      <c r="E1124" s="71" t="s">
        <v>1350</v>
      </c>
      <c r="F1124" s="62" t="s">
        <v>10</v>
      </c>
      <c r="G1124" s="62" t="s">
        <v>223</v>
      </c>
      <c r="H1124" s="8" t="str">
        <f>VLOOKUP(G1124,[1]Hoja1!$A:$O,6,0)</f>
        <v>INSTALACION, MANTENIMIENTO Y REPARACION DE SISTEMAS COMPUTACIONALES-</v>
      </c>
      <c r="I1124" s="4">
        <v>40</v>
      </c>
      <c r="J1124" s="4"/>
      <c r="K1124" s="80" t="str">
        <f t="shared" si="218"/>
        <v>ju</v>
      </c>
      <c r="L1124" s="4" t="s">
        <v>512</v>
      </c>
      <c r="M1124" s="86" t="str">
        <f>VLOOKUP(G1124,[1]Hoja1!$A:$O,15,0)</f>
        <v>AÑASCO, GABRIEL  20-36089659-6</v>
      </c>
      <c r="N1124" s="2" t="str">
        <f t="shared" si="217"/>
        <v>7°1°7117IIMRSCju</v>
      </c>
      <c r="O1124" s="2" t="s">
        <v>1500</v>
      </c>
      <c r="P1124" s="2" t="str">
        <f>VLOOKUP(G1124,[1]Hoja1!$A:$P,16,0)</f>
        <v xml:space="preserve"> </v>
      </c>
      <c r="Q1124" s="2"/>
      <c r="S1124">
        <f>VLOOKUP(G1124,[1]Hoja1!$A:$O,5,0)</f>
        <v>1913702</v>
      </c>
      <c r="U1124" s="45" t="s">
        <v>2751</v>
      </c>
      <c r="V1124" s="46">
        <f t="shared" si="211"/>
        <v>1913702</v>
      </c>
      <c r="W1124" s="47" t="s">
        <v>1519</v>
      </c>
      <c r="X1124" s="46" t="str">
        <f t="shared" si="212"/>
        <v>3</v>
      </c>
      <c r="Y1124" s="47" t="s">
        <v>1518</v>
      </c>
      <c r="Z1124" s="46" t="str">
        <f t="shared" si="213"/>
        <v>T</v>
      </c>
      <c r="AA1124" s="47" t="s">
        <v>2752</v>
      </c>
      <c r="AB1124" s="46" t="str">
        <f t="shared" si="214"/>
        <v>JUEVES</v>
      </c>
      <c r="AC1124" s="47" t="s">
        <v>2753</v>
      </c>
      <c r="AD1124" t="str">
        <f t="shared" si="215"/>
        <v>CONTRATURNO</v>
      </c>
      <c r="AE1124" s="47" t="s">
        <v>2754</v>
      </c>
      <c r="AH1124" t="str">
        <f t="shared" si="216"/>
        <v>INSERT INTO horario_curso_materia (horario_curso_materia.FK_CUR_mat,horario_curso_materia.FK_HOR,horario_curso_materia.DIA,horario_curso_materia.tipo_turno) VALUES (  (SELECT curso_materia.ID_CUR_MAT FROM curso_materia WHERE curso_materia.CUPOF='1913702' ) ,
    (SELECT horario.ID_HOR FROM horario WHERE horario.modulo='3 ' and horario.turno='T ' ),'JUEVES ' , 'CONTRATURNO ' );</v>
      </c>
    </row>
    <row r="1125" spans="1:34" ht="15" hidden="1" customHeight="1" x14ac:dyDescent="0.3">
      <c r="A1125" s="1" t="str">
        <f t="shared" si="222"/>
        <v>7°1°</v>
      </c>
      <c r="B1125" s="54" t="str">
        <f t="shared" si="219"/>
        <v>7°1°3JUVESPERTINO711</v>
      </c>
      <c r="C1125" s="62">
        <f>VLOOKUP(G1125,[1]Hoja1!$A:$O,3,0)</f>
        <v>711</v>
      </c>
      <c r="D1125" s="2" t="str">
        <f t="shared" si="221"/>
        <v>3JUVAULA 3</v>
      </c>
      <c r="E1125" s="62" t="s">
        <v>46</v>
      </c>
      <c r="F1125" s="62" t="s">
        <v>125</v>
      </c>
      <c r="G1125" s="62" t="s">
        <v>219</v>
      </c>
      <c r="H1125" s="8" t="str">
        <f>VLOOKUP(G1125,[1]Hoja1!$A:$O,6,0)</f>
        <v>PROYECTO, DISEÑO E IMPLEMENTACION DE SISTEMAS COMPUTACIONALES</v>
      </c>
      <c r="I1125" s="4" t="s">
        <v>1490</v>
      </c>
      <c r="J1125" s="4"/>
      <c r="K1125" s="80" t="str">
        <f t="shared" si="218"/>
        <v>JU</v>
      </c>
      <c r="L1125" s="4" t="s">
        <v>512</v>
      </c>
      <c r="M1125" s="86" t="str">
        <f>VLOOKUP(G1125,[1]Hoja1!$A:$O,15,0)</f>
        <v>CARPITELLA FABIAN</v>
      </c>
      <c r="N1125" s="2" t="str">
        <f t="shared" si="217"/>
        <v>7°1°7117IPDISCJU</v>
      </c>
      <c r="O1125" s="2"/>
      <c r="P1125" s="2" t="str">
        <f>VLOOKUP(G1125,[1]Hoja1!$A:$P,16,0)</f>
        <v xml:space="preserve"> </v>
      </c>
      <c r="Q1125" s="2"/>
      <c r="S1125">
        <f>VLOOKUP(G1125,[1]Hoja1!$A:$O,5,0)</f>
        <v>1913696</v>
      </c>
      <c r="U1125" s="45" t="s">
        <v>2751</v>
      </c>
      <c r="V1125" s="46">
        <f t="shared" si="211"/>
        <v>1913696</v>
      </c>
      <c r="W1125" s="47" t="s">
        <v>1519</v>
      </c>
      <c r="X1125" s="46" t="str">
        <f t="shared" si="212"/>
        <v>3</v>
      </c>
      <c r="Y1125" s="47" t="s">
        <v>1518</v>
      </c>
      <c r="Z1125" s="46" t="str">
        <f t="shared" si="213"/>
        <v>V</v>
      </c>
      <c r="AA1125" s="47" t="s">
        <v>2752</v>
      </c>
      <c r="AB1125" s="46" t="str">
        <f t="shared" si="214"/>
        <v>JUEVES</v>
      </c>
      <c r="AC1125" s="47" t="s">
        <v>2753</v>
      </c>
      <c r="AD1125" t="str">
        <f t="shared" si="215"/>
        <v>CONTRATURNO</v>
      </c>
      <c r="AE1125" s="47" t="s">
        <v>2754</v>
      </c>
      <c r="AH1125" t="str">
        <f t="shared" si="216"/>
        <v>INSERT INTO horario_curso_materia (horario_curso_materia.FK_CUR_mat,horario_curso_materia.FK_HOR,horario_curso_materia.DIA,horario_curso_materia.tipo_turno) VALUES (  (SELECT curso_materia.ID_CUR_MAT FROM curso_materia WHERE curso_materia.CUPOF='1913696' ) ,
    (SELECT horario.ID_HOR FROM horario WHERE horario.modulo='3 ' and horario.turno='V ' ),'JUEVES ' , 'CONTRATURNO ' );</v>
      </c>
    </row>
    <row r="1126" spans="1:34" ht="15" hidden="1" customHeight="1" x14ac:dyDescent="0.3">
      <c r="A1126" s="1" t="str">
        <f t="shared" ref="A1126" si="223">LEFT(B1126,4)</f>
        <v>7°1°</v>
      </c>
      <c r="B1126" s="54" t="str">
        <f t="shared" si="219"/>
        <v>7°1°1LUMAÑANA0</v>
      </c>
      <c r="C1126" s="62">
        <f>VLOOKUP(G1126,[1]Hoja1!$A:$O,3,0)</f>
        <v>0</v>
      </c>
      <c r="D1126" s="2" t="str">
        <f t="shared" ref="D1126" si="224">CONCATENATE(E1126,LEFT(F1126,1),I1126)</f>
        <v>1LUM</v>
      </c>
      <c r="E1126" s="62" t="s">
        <v>9</v>
      </c>
      <c r="F1126" s="62" t="s">
        <v>27</v>
      </c>
      <c r="G1126" s="62" t="s">
        <v>469</v>
      </c>
      <c r="H1126" s="8" t="str">
        <f>VLOOKUP(G1126,[1]Hoja1!$A:$O,6,0)</f>
        <v>BASE DE DATOS</v>
      </c>
      <c r="I1126" s="4"/>
      <c r="J1126" s="4"/>
      <c r="K1126" s="80" t="str">
        <f t="shared" ref="K1126" si="225">RIGHT(E1126,2)</f>
        <v>LU</v>
      </c>
      <c r="L1126" s="4" t="s">
        <v>512</v>
      </c>
      <c r="M1126" s="86" t="str">
        <f>VLOOKUP(G1126,[1]Hoja1!$A:$O,15,0)</f>
        <v>WITT  GERARDO</v>
      </c>
      <c r="N1126" s="2" t="str">
        <f t="shared" ref="N1126" si="226">CONCATENATE(G1126,LEFT(K1126,2))</f>
        <v>7°1°7IBADATLU</v>
      </c>
      <c r="O1126" s="2"/>
      <c r="P1126" s="2" t="str">
        <f>VLOOKUP(G1126,[1]Hoja1!$A:$P,16,0)</f>
        <v xml:space="preserve"> </v>
      </c>
      <c r="Q1126" s="2"/>
      <c r="S1126">
        <f>VLOOKUP(G1126,[1]Hoja1!$A:$O,5,0)</f>
        <v>1913695</v>
      </c>
      <c r="U1126" s="45" t="s">
        <v>2751</v>
      </c>
      <c r="V1126" s="46">
        <f t="shared" ref="V1126" si="227">S1126</f>
        <v>1913695</v>
      </c>
      <c r="W1126" s="47" t="s">
        <v>1519</v>
      </c>
      <c r="X1126" s="46" t="str">
        <f t="shared" ref="X1126" si="228">IF(LEFT(E1126,1)="p","prehora",LEFT(E1126,1))</f>
        <v>1</v>
      </c>
      <c r="Y1126" s="47" t="s">
        <v>1518</v>
      </c>
      <c r="Z1126" s="46" t="str">
        <f t="shared" ref="Z1126" si="229">LEFT(F1126,1)</f>
        <v>M</v>
      </c>
      <c r="AA1126" s="47" t="s">
        <v>2752</v>
      </c>
      <c r="AB1126" s="46" t="str">
        <f t="shared" ref="AB1126" si="230">IF(IF(LEFT(E1126,1)="p",MID(E1126,8,2),MID(E1126,2,2))="lu","LUNES",IF(IF(LEFT(E1126,1)="p",MID(E1126,8,2),MID(E1126,2,2))="ma","MARTES",IF(IF(LEFT(E1126,1)="p",MID(E1126,8,2),MID(E1126,2,2))="MI","MIERCOLES",IF(IF(LEFT(E1126,1)="p",MID(E1126,8,2),MID(E1126,2,2))="JU","JUEVES",IF(IF(LEFT(E1126,1)="p",MID(E1126,8,2),MID(E1126,2,2))="vi","VIERNES","")))))</f>
        <v>LUNES</v>
      </c>
      <c r="AC1126" s="47" t="s">
        <v>2753</v>
      </c>
      <c r="AD1126" t="str">
        <f t="shared" ref="AD1126" si="231">L1126</f>
        <v>CONTRATURNO</v>
      </c>
      <c r="AE1126" s="47" t="s">
        <v>2754</v>
      </c>
      <c r="AH1126" t="str">
        <f t="shared" ref="AH1126" si="232">U1126&amp;V1126&amp;W1126&amp;X1126&amp;Y1126&amp;Z1126&amp;AA1126&amp;AB1126&amp;AC1126&amp;AD1126&amp;AE1126</f>
        <v>INSERT INTO horario_curso_materia (horario_curso_materia.FK_CUR_mat,horario_curso_materia.FK_HOR,horario_curso_materia.DIA,horario_curso_materia.tipo_turno) VALUES (  (SELECT curso_materia.ID_CUR_MAT FROM curso_materia WHERE curso_materia.CUPOF='1913695' ) ,
    (SELECT horario.ID_HOR FROM horario WHERE horario.modulo='1 ' and horario.turno='M ' ),'LUNES ' , 'CONTRATURNO ' );</v>
      </c>
    </row>
    <row r="1127" spans="1:34" ht="15" hidden="1" customHeight="1" x14ac:dyDescent="0.3">
      <c r="A1127" s="1" t="str">
        <f t="shared" si="222"/>
        <v>7°1°</v>
      </c>
      <c r="B1127" s="54" t="str">
        <f t="shared" si="219"/>
        <v>7°1°2LUMAÑANA0</v>
      </c>
      <c r="C1127" s="62">
        <f>VLOOKUP(G1127,[1]Hoja1!$A:$O,3,0)</f>
        <v>0</v>
      </c>
      <c r="D1127" s="2" t="str">
        <f t="shared" si="221"/>
        <v>2LUM</v>
      </c>
      <c r="E1127" s="62" t="s">
        <v>12</v>
      </c>
      <c r="F1127" s="62" t="s">
        <v>27</v>
      </c>
      <c r="G1127" s="62" t="s">
        <v>469</v>
      </c>
      <c r="H1127" s="8" t="str">
        <f>VLOOKUP(G1127,[1]Hoja1!$A:$O,6,0)</f>
        <v>BASE DE DATOS</v>
      </c>
      <c r="I1127" s="4"/>
      <c r="J1127" s="4"/>
      <c r="K1127" s="80" t="str">
        <f t="shared" si="218"/>
        <v>LU</v>
      </c>
      <c r="L1127" s="4" t="s">
        <v>512</v>
      </c>
      <c r="M1127" s="86" t="str">
        <f>VLOOKUP(G1127,[1]Hoja1!$A:$O,15,0)</f>
        <v>WITT  GERARDO</v>
      </c>
      <c r="N1127" s="2" t="str">
        <f t="shared" si="217"/>
        <v>7°1°7IBADATLU</v>
      </c>
      <c r="O1127" s="2"/>
      <c r="P1127" s="2" t="str">
        <f>VLOOKUP(G1127,[1]Hoja1!$A:$P,16,0)</f>
        <v xml:space="preserve"> </v>
      </c>
      <c r="Q1127" s="2"/>
      <c r="S1127">
        <f>VLOOKUP(G1127,[1]Hoja1!$A:$O,5,0)</f>
        <v>1913695</v>
      </c>
      <c r="U1127" s="45" t="s">
        <v>2751</v>
      </c>
      <c r="V1127" s="46">
        <f t="shared" si="211"/>
        <v>1913695</v>
      </c>
      <c r="W1127" s="47" t="s">
        <v>1519</v>
      </c>
      <c r="X1127" s="46" t="str">
        <f t="shared" si="212"/>
        <v>2</v>
      </c>
      <c r="Y1127" s="47" t="s">
        <v>1518</v>
      </c>
      <c r="Z1127" s="46" t="str">
        <f t="shared" si="213"/>
        <v>M</v>
      </c>
      <c r="AA1127" s="47" t="s">
        <v>2752</v>
      </c>
      <c r="AB1127" s="46" t="str">
        <f t="shared" si="214"/>
        <v>LUNES</v>
      </c>
      <c r="AC1127" s="47" t="s">
        <v>2753</v>
      </c>
      <c r="AD1127" t="str">
        <f t="shared" si="215"/>
        <v>CONTRATURNO</v>
      </c>
      <c r="AE1127" s="47" t="s">
        <v>2754</v>
      </c>
      <c r="AH1127" t="str">
        <f t="shared" si="216"/>
        <v>INSERT INTO horario_curso_materia (horario_curso_materia.FK_CUR_mat,horario_curso_materia.FK_HOR,horario_curso_materia.DIA,horario_curso_materia.tipo_turno) VALUES (  (SELECT curso_materia.ID_CUR_MAT FROM curso_materia WHERE curso_materia.CUPOF='1913695' ) ,
    (SELECT horario.ID_HOR FROM horario WHERE horario.modulo='2 ' and horario.turno='M ' ),'LUNES ' , 'CONTRATURNO ' );</v>
      </c>
    </row>
    <row r="1128" spans="1:34" ht="15" hidden="1" customHeight="1" x14ac:dyDescent="0.3">
      <c r="A1128" s="1" t="str">
        <f t="shared" si="222"/>
        <v>7°1°</v>
      </c>
      <c r="B1128" s="54" t="str">
        <f t="shared" si="219"/>
        <v>7°1°3luVESPERTINO0</v>
      </c>
      <c r="C1128" s="62">
        <f>VLOOKUP(G1128,[1]Hoja1!$A:$O,3,0)</f>
        <v>0</v>
      </c>
      <c r="D1128" s="2" t="str">
        <f t="shared" si="221"/>
        <v>3luV</v>
      </c>
      <c r="E1128" s="62" t="s">
        <v>1514</v>
      </c>
      <c r="F1128" s="62" t="s">
        <v>125</v>
      </c>
      <c r="G1128" s="62" t="s">
        <v>472</v>
      </c>
      <c r="H1128" s="8" t="str">
        <f>VLOOKUP(G1128,[1]Hoja1!$A:$O,6,0)</f>
        <v>EMPRENDIMIENTO PRODUCTIVO Y DESARROLLO LOCAL</v>
      </c>
      <c r="I1128" s="4"/>
      <c r="K1128" s="80" t="str">
        <f t="shared" si="218"/>
        <v>lu</v>
      </c>
      <c r="L1128" s="4"/>
      <c r="M1128" s="86" t="str">
        <f>VLOOKUP(G1128,[1]Hoja1!$A:$O,15,0)</f>
        <v>CARPITELLA FABIAN</v>
      </c>
      <c r="N1128" s="2" t="str">
        <f t="shared" si="217"/>
        <v>7°1°7IPPDLOlu</v>
      </c>
      <c r="O1128" s="2"/>
      <c r="P1128" t="str">
        <f>VLOOKUP(G1128,[1]Hoja1!$A:$P,16,0)</f>
        <v xml:space="preserve"> </v>
      </c>
      <c r="S1128">
        <f>VLOOKUP(G1128,[1]Hoja1!$A:$O,5,0)</f>
        <v>1913687</v>
      </c>
      <c r="U1128" s="45" t="s">
        <v>2751</v>
      </c>
      <c r="V1128" s="46">
        <f t="shared" si="211"/>
        <v>1913687</v>
      </c>
      <c r="W1128" s="47" t="s">
        <v>1519</v>
      </c>
      <c r="X1128" s="46" t="str">
        <f t="shared" si="212"/>
        <v>3</v>
      </c>
      <c r="Y1128" s="47" t="s">
        <v>1518</v>
      </c>
      <c r="Z1128" s="46" t="str">
        <f t="shared" si="213"/>
        <v>V</v>
      </c>
      <c r="AA1128" s="47" t="s">
        <v>2752</v>
      </c>
      <c r="AB1128" s="46" t="str">
        <f t="shared" si="214"/>
        <v>LUNES</v>
      </c>
      <c r="AC1128" s="47" t="s">
        <v>2753</v>
      </c>
      <c r="AD1128">
        <f t="shared" si="215"/>
        <v>0</v>
      </c>
      <c r="AE1128" s="47" t="s">
        <v>2754</v>
      </c>
      <c r="AH1128" t="str">
        <f t="shared" si="216"/>
        <v>INSERT INTO horario_curso_materia (horario_curso_materia.FK_CUR_mat,horario_curso_materia.FK_HOR,horario_curso_materia.DIA,horario_curso_materia.tipo_turno) VALUES (  (SELECT curso_materia.ID_CUR_MAT FROM curso_materia WHERE curso_materia.CUPOF='1913687' ) ,
    (SELECT horario.ID_HOR FROM horario WHERE horario.modulo='3 ' and horario.turno='V ' ),'LUNES ' , '0 ' );</v>
      </c>
    </row>
    <row r="1129" spans="1:34" ht="15" hidden="1" customHeight="1" x14ac:dyDescent="0.3">
      <c r="A1129" s="1" t="str">
        <f t="shared" si="222"/>
        <v>7°1°</v>
      </c>
      <c r="B1129" s="54" t="str">
        <f t="shared" si="219"/>
        <v>7°1°3MIMAÑANA712</v>
      </c>
      <c r="C1129" s="62">
        <f>VLOOKUP(G1129,[1]Hoja1!$A:$O,3,0)</f>
        <v>712</v>
      </c>
      <c r="D1129" s="2" t="str">
        <f t="shared" si="221"/>
        <v>3MIM52</v>
      </c>
      <c r="E1129" s="62" t="s">
        <v>50</v>
      </c>
      <c r="F1129" s="62" t="s">
        <v>27</v>
      </c>
      <c r="G1129" s="62" t="s">
        <v>222</v>
      </c>
      <c r="H1129" s="8" t="str">
        <f>VLOOKUP(G1129,[1]Hoja1!$A:$O,6,0)</f>
        <v xml:space="preserve">INSTALACION, MANTENIMIENTO Y REPARACION DE REDES INFORMATICAS- </v>
      </c>
      <c r="I1129" s="4">
        <v>52</v>
      </c>
      <c r="J1129" s="4"/>
      <c r="K1129" s="80" t="str">
        <f t="shared" si="218"/>
        <v>MI</v>
      </c>
      <c r="L1129" s="4" t="s">
        <v>512</v>
      </c>
      <c r="M1129" s="86" t="str">
        <f>VLOOKUP(G1129,[1]Hoja1!$A:$O,15,0)</f>
        <v>DELLA VECCHIA I</v>
      </c>
      <c r="N1129" s="2" t="str">
        <f t="shared" si="217"/>
        <v>7°1°7127IIMRRIMI</v>
      </c>
      <c r="O1129" s="2" t="s">
        <v>1374</v>
      </c>
      <c r="P1129" s="2" t="str">
        <f>VLOOKUP(G1129,[1]Hoja1!$A:$P,16,0)</f>
        <v xml:space="preserve"> </v>
      </c>
      <c r="Q1129" s="2"/>
      <c r="S1129">
        <f>VLOOKUP(G1129,[1]Hoja1!$A:$O,5,0)</f>
        <v>1913731</v>
      </c>
      <c r="U1129" s="45" t="s">
        <v>2751</v>
      </c>
      <c r="V1129" s="46">
        <f t="shared" si="211"/>
        <v>1913731</v>
      </c>
      <c r="W1129" s="47" t="s">
        <v>1519</v>
      </c>
      <c r="X1129" s="46" t="str">
        <f t="shared" si="212"/>
        <v>3</v>
      </c>
      <c r="Y1129" s="47" t="s">
        <v>1518</v>
      </c>
      <c r="Z1129" s="46" t="str">
        <f t="shared" si="213"/>
        <v>M</v>
      </c>
      <c r="AA1129" s="47" t="s">
        <v>2752</v>
      </c>
      <c r="AB1129" s="46" t="str">
        <f t="shared" si="214"/>
        <v>MIERCOLES</v>
      </c>
      <c r="AC1129" s="47" t="s">
        <v>2753</v>
      </c>
      <c r="AD1129" t="str">
        <f t="shared" si="215"/>
        <v>CONTRATURNO</v>
      </c>
      <c r="AE1129" s="47" t="s">
        <v>2754</v>
      </c>
      <c r="AH1129" t="str">
        <f t="shared" si="216"/>
        <v>INSERT INTO horario_curso_materia (horario_curso_materia.FK_CUR_mat,horario_curso_materia.FK_HOR,horario_curso_materia.DIA,horario_curso_materia.tipo_turno) VALUES (  (SELECT curso_materia.ID_CUR_MAT FROM curso_materia WHERE curso_materia.CUPOF='1913731' ) ,
    (SELECT horario.ID_HOR FROM horario WHERE horario.modulo='3 ' and horario.turno='M ' ),'MIERCOLES ' , 'CONTRATURNO ' );</v>
      </c>
    </row>
    <row r="1130" spans="1:34" ht="15" hidden="1" customHeight="1" x14ac:dyDescent="0.3">
      <c r="A1130" s="1" t="str">
        <f t="shared" si="222"/>
        <v>7°1°</v>
      </c>
      <c r="B1130" s="54" t="str">
        <f t="shared" si="219"/>
        <v>7°1°3MIVESPERTINO0</v>
      </c>
      <c r="C1130" s="62">
        <f>VLOOKUP(G1130,[1]Hoja1!$A:$O,3,0)</f>
        <v>0</v>
      </c>
      <c r="D1130" s="2" t="str">
        <f t="shared" si="221"/>
        <v>3MIV</v>
      </c>
      <c r="E1130" s="6" t="s">
        <v>50</v>
      </c>
      <c r="F1130" s="62" t="s">
        <v>125</v>
      </c>
      <c r="G1130" s="62" t="s">
        <v>471</v>
      </c>
      <c r="H1130" s="8" t="str">
        <f>VLOOKUP(G1130,[1]Hoja1!$A:$O,6,0)</f>
        <v>MODELOS Y SISTEMAS</v>
      </c>
      <c r="I1130" s="4"/>
      <c r="J1130" s="4"/>
      <c r="K1130" s="80" t="str">
        <f t="shared" si="218"/>
        <v>MI</v>
      </c>
      <c r="L1130" s="4"/>
      <c r="M1130" s="86" t="str">
        <f>VLOOKUP(G1130,[1]Hoja1!$A:$O,15,0)</f>
        <v>ROCHA JULIETA</v>
      </c>
      <c r="N1130" s="2" t="str">
        <f t="shared" si="217"/>
        <v>7°1°7IMOSISMI</v>
      </c>
      <c r="O1130" s="2" t="s">
        <v>1374</v>
      </c>
      <c r="P1130" s="2" t="str">
        <f>VLOOKUP(G1130,[1]Hoja1!$A:$P,16,0)</f>
        <v xml:space="preserve"> </v>
      </c>
      <c r="Q1130" s="2"/>
      <c r="S1130">
        <f>VLOOKUP(G1130,[1]Hoja1!$A:$O,5,0)</f>
        <v>1913692</v>
      </c>
      <c r="U1130" s="45" t="s">
        <v>2751</v>
      </c>
      <c r="V1130" s="46">
        <f t="shared" si="211"/>
        <v>1913692</v>
      </c>
      <c r="W1130" s="47" t="s">
        <v>1519</v>
      </c>
      <c r="X1130" s="46" t="str">
        <f t="shared" si="212"/>
        <v>3</v>
      </c>
      <c r="Y1130" s="47" t="s">
        <v>1518</v>
      </c>
      <c r="Z1130" s="46" t="str">
        <f t="shared" si="213"/>
        <v>V</v>
      </c>
      <c r="AA1130" s="47" t="s">
        <v>2752</v>
      </c>
      <c r="AB1130" s="46" t="str">
        <f t="shared" si="214"/>
        <v>MIERCOLES</v>
      </c>
      <c r="AC1130" s="47" t="s">
        <v>2753</v>
      </c>
      <c r="AD1130">
        <f t="shared" si="215"/>
        <v>0</v>
      </c>
      <c r="AE1130" s="47" t="s">
        <v>2754</v>
      </c>
      <c r="AH1130" t="str">
        <f t="shared" si="216"/>
        <v>INSERT INTO horario_curso_materia (horario_curso_materia.FK_CUR_mat,horario_curso_materia.FK_HOR,horario_curso_materia.DIA,horario_curso_materia.tipo_turno) VALUES (  (SELECT curso_materia.ID_CUR_MAT FROM curso_materia WHERE curso_materia.CUPOF='1913692' ) ,
    (SELECT horario.ID_HOR FROM horario WHERE horario.modulo='3 ' and horario.turno='V ' ),'MIERCOLES ' , '0 ' );</v>
      </c>
    </row>
    <row r="1131" spans="1:34" ht="15" hidden="1" customHeight="1" x14ac:dyDescent="0.3">
      <c r="A1131" s="1" t="str">
        <f t="shared" si="222"/>
        <v>7°1°</v>
      </c>
      <c r="B1131" s="54" t="str">
        <f t="shared" si="219"/>
        <v>7°1°3VIMAÑANA711</v>
      </c>
      <c r="C1131" s="62">
        <f>VLOOKUP(G1131,[1]Hoja1!$A:$O,3,0)</f>
        <v>711</v>
      </c>
      <c r="D1131" s="2" t="str">
        <f t="shared" si="221"/>
        <v>3VIM52</v>
      </c>
      <c r="E1131" s="62" t="s">
        <v>35</v>
      </c>
      <c r="F1131" s="62" t="s">
        <v>27</v>
      </c>
      <c r="G1131" s="62" t="s">
        <v>224</v>
      </c>
      <c r="H1131" s="8" t="str">
        <f>VLOOKUP(G1131,[1]Hoja1!$A:$O,6,0)</f>
        <v xml:space="preserve">INSTALACION, MANTENIMIENTO Y REPARACION DE REDES INFORMATICAS- </v>
      </c>
      <c r="I1131" s="4">
        <v>52</v>
      </c>
      <c r="J1131" s="4"/>
      <c r="K1131" s="80" t="str">
        <f t="shared" si="218"/>
        <v>VI</v>
      </c>
      <c r="L1131" s="4" t="s">
        <v>512</v>
      </c>
      <c r="M1131" s="86" t="str">
        <f>VLOOKUP(G1131,[1]Hoja1!$A:$O,15,0)</f>
        <v>DELLA VECCHIA</v>
      </c>
      <c r="N1131" s="2" t="str">
        <f t="shared" si="217"/>
        <v>7°1°7117IIMRRIVI</v>
      </c>
      <c r="O1131" s="2"/>
      <c r="P1131" s="2"/>
      <c r="Q1131" s="2"/>
      <c r="S1131">
        <f>VLOOKUP(G1131,[1]Hoja1!$A:$O,5,0)</f>
        <v>1913707</v>
      </c>
      <c r="U1131" s="45" t="s">
        <v>2751</v>
      </c>
      <c r="V1131" s="46">
        <f t="shared" si="211"/>
        <v>1913707</v>
      </c>
      <c r="W1131" s="47" t="s">
        <v>1519</v>
      </c>
      <c r="X1131" s="46" t="str">
        <f t="shared" si="212"/>
        <v>3</v>
      </c>
      <c r="Y1131" s="47" t="s">
        <v>1518</v>
      </c>
      <c r="Z1131" s="46" t="str">
        <f t="shared" si="213"/>
        <v>M</v>
      </c>
      <c r="AA1131" s="47" t="s">
        <v>2752</v>
      </c>
      <c r="AB1131" s="46" t="str">
        <f t="shared" si="214"/>
        <v>VIERNES</v>
      </c>
      <c r="AC1131" s="47" t="s">
        <v>2753</v>
      </c>
      <c r="AD1131" t="str">
        <f t="shared" si="215"/>
        <v>CONTRATURNO</v>
      </c>
      <c r="AE1131" s="47" t="s">
        <v>2754</v>
      </c>
      <c r="AH1131" t="str">
        <f t="shared" si="216"/>
        <v>INSERT INTO horario_curso_materia (horario_curso_materia.FK_CUR_mat,horario_curso_materia.FK_HOR,horario_curso_materia.DIA,horario_curso_materia.tipo_turno) VALUES (  (SELECT curso_materia.ID_CUR_MAT FROM curso_materia WHERE curso_materia.CUPOF='1913707' ) ,
    (SELECT horario.ID_HOR FROM horario WHERE horario.modulo='3 ' and horario.turno='M ' ),'VIERNES ' , 'CONTRATURNO ' );</v>
      </c>
    </row>
    <row r="1132" spans="1:34" ht="15" hidden="1" customHeight="1" x14ac:dyDescent="0.3">
      <c r="A1132" s="5" t="str">
        <f t="shared" si="222"/>
        <v>7°1°</v>
      </c>
      <c r="B1132" s="54" t="str">
        <f t="shared" si="219"/>
        <v>7°1°3VIMAÑANA712</v>
      </c>
      <c r="C1132" s="65">
        <f>VLOOKUP(G1132,[1]Hoja1!$A:$O,3,0)</f>
        <v>712</v>
      </c>
      <c r="D1132" s="21" t="str">
        <f t="shared" si="221"/>
        <v>3VIM40</v>
      </c>
      <c r="E1132" s="65" t="s">
        <v>35</v>
      </c>
      <c r="F1132" s="62" t="s">
        <v>27</v>
      </c>
      <c r="G1132" s="65" t="s">
        <v>220</v>
      </c>
      <c r="H1132" s="5" t="str">
        <f>VLOOKUP(G1132,[1]Hoja1!$A:$O,6,0)</f>
        <v>INSTALACION, MANTENIMIENTO Y REPARACION DE SISTEMAS COMPUTACIONALES-</v>
      </c>
      <c r="I1132" s="22">
        <v>40</v>
      </c>
      <c r="J1132" s="22"/>
      <c r="K1132" s="83" t="str">
        <f t="shared" si="218"/>
        <v>VI</v>
      </c>
      <c r="L1132" s="22" t="s">
        <v>512</v>
      </c>
      <c r="M1132" s="86" t="str">
        <f>VLOOKUP(G1132,[1]Hoja1!$A:$O,15,0)</f>
        <v>MELGARJO. VERONICA</v>
      </c>
      <c r="N1132" s="21" t="str">
        <f t="shared" si="217"/>
        <v>7°1°7127IIMRSCVI</v>
      </c>
      <c r="O1132" s="21" t="s">
        <v>1436</v>
      </c>
      <c r="P1132" s="2" t="str">
        <f>VLOOKUP(G1132,[1]Hoja1!$A:$P,16,0)</f>
        <v xml:space="preserve"> </v>
      </c>
      <c r="Q1132" s="2"/>
      <c r="S1132">
        <f>VLOOKUP(G1132,[1]Hoja1!$A:$O,5,0)</f>
        <v>1913725</v>
      </c>
      <c r="U1132" s="45" t="s">
        <v>2751</v>
      </c>
      <c r="V1132" s="46">
        <f t="shared" si="211"/>
        <v>1913725</v>
      </c>
      <c r="W1132" s="47" t="s">
        <v>1519</v>
      </c>
      <c r="X1132" s="46" t="str">
        <f t="shared" si="212"/>
        <v>3</v>
      </c>
      <c r="Y1132" s="47" t="s">
        <v>1518</v>
      </c>
      <c r="Z1132" s="46" t="str">
        <f t="shared" si="213"/>
        <v>M</v>
      </c>
      <c r="AA1132" s="47" t="s">
        <v>2752</v>
      </c>
      <c r="AB1132" s="46" t="str">
        <f t="shared" si="214"/>
        <v>VIERNES</v>
      </c>
      <c r="AC1132" s="47" t="s">
        <v>2753</v>
      </c>
      <c r="AD1132" t="str">
        <f t="shared" si="215"/>
        <v>CONTRATURNO</v>
      </c>
      <c r="AE1132" s="47" t="s">
        <v>2754</v>
      </c>
      <c r="AH1132" t="str">
        <f t="shared" si="216"/>
        <v>INSERT INTO horario_curso_materia (horario_curso_materia.FK_CUR_mat,horario_curso_materia.FK_HOR,horario_curso_materia.DIA,horario_curso_materia.tipo_turno) VALUES (  (SELECT curso_materia.ID_CUR_MAT FROM curso_materia WHERE curso_materia.CUPOF='1913725' ) ,
    (SELECT horario.ID_HOR FROM horario WHERE horario.modulo='3 ' and horario.turno='M ' ),'VIERNES ' , 'CONTRATURNO ' );</v>
      </c>
    </row>
    <row r="1133" spans="1:34" ht="15" hidden="1" customHeight="1" x14ac:dyDescent="0.3">
      <c r="A1133" s="1" t="str">
        <f t="shared" si="222"/>
        <v>7°1°</v>
      </c>
      <c r="B1133" s="54" t="str">
        <f t="shared" si="219"/>
        <v>7°1°3VIVESPERTINO712</v>
      </c>
      <c r="C1133" s="62">
        <f>VLOOKUP(G1133,[1]Hoja1!$A:$O,3,0)</f>
        <v>712</v>
      </c>
      <c r="D1133" s="2" t="str">
        <f t="shared" si="221"/>
        <v>3VIV41</v>
      </c>
      <c r="E1133" s="62" t="s">
        <v>35</v>
      </c>
      <c r="F1133" s="62" t="s">
        <v>125</v>
      </c>
      <c r="G1133" s="62" t="s">
        <v>225</v>
      </c>
      <c r="H1133" s="8" t="str">
        <f>VLOOKUP(G1133,[1]Hoja1!$A:$O,6,0)</f>
        <v>PROYECTO, DISEÑO E IMPLEMENTACION DE SISTEMAS COMPUTACIONALES</v>
      </c>
      <c r="I1133" s="4">
        <v>41</v>
      </c>
      <c r="J1133" s="4"/>
      <c r="K1133" s="80" t="str">
        <f t="shared" si="218"/>
        <v>VI</v>
      </c>
      <c r="L1133" s="4" t="s">
        <v>512</v>
      </c>
      <c r="M1133" s="86" t="str">
        <f>VLOOKUP(G1133,[1]Hoja1!$A:$O,15,0)</f>
        <v>CARPITELLA FABIAN</v>
      </c>
      <c r="N1133" s="2" t="str">
        <f t="shared" si="217"/>
        <v>7°1°7127IPDISCVI</v>
      </c>
      <c r="O1133" s="2"/>
      <c r="P1133" s="2"/>
      <c r="Q1133" s="2" t="str">
        <f>VLOOKUP(G1132,[1]Hoja1!$A:$P,16,0)</f>
        <v xml:space="preserve"> </v>
      </c>
      <c r="S1133">
        <f>VLOOKUP(G1133,[1]Hoja1!$A:$O,5,0)</f>
        <v>1913712</v>
      </c>
      <c r="U1133" s="45" t="s">
        <v>2751</v>
      </c>
      <c r="V1133" s="46">
        <f t="shared" si="211"/>
        <v>1913712</v>
      </c>
      <c r="W1133" s="47" t="s">
        <v>1519</v>
      </c>
      <c r="X1133" s="46" t="str">
        <f t="shared" si="212"/>
        <v>3</v>
      </c>
      <c r="Y1133" s="47" t="s">
        <v>1518</v>
      </c>
      <c r="Z1133" s="46" t="str">
        <f t="shared" si="213"/>
        <v>V</v>
      </c>
      <c r="AA1133" s="47" t="s">
        <v>2752</v>
      </c>
      <c r="AB1133" s="46" t="str">
        <f t="shared" si="214"/>
        <v>VIERNES</v>
      </c>
      <c r="AC1133" s="47" t="s">
        <v>2753</v>
      </c>
      <c r="AD1133" t="str">
        <f t="shared" si="215"/>
        <v>CONTRATURNO</v>
      </c>
      <c r="AE1133" s="47" t="s">
        <v>2754</v>
      </c>
      <c r="AH1133" t="str">
        <f t="shared" si="216"/>
        <v>INSERT INTO horario_curso_materia (horario_curso_materia.FK_CUR_mat,horario_curso_materia.FK_HOR,horario_curso_materia.DIA,horario_curso_materia.tipo_turno) VALUES (  (SELECT curso_materia.ID_CUR_MAT FROM curso_materia WHERE curso_materia.CUPOF='1913712' ) ,
    (SELECT horario.ID_HOR FROM horario WHERE horario.modulo='3 ' and horario.turno='V ' ),'VIERNES ' , 'CONTRATURNO ' );</v>
      </c>
    </row>
    <row r="1134" spans="1:34" ht="15" hidden="1" customHeight="1" x14ac:dyDescent="0.3">
      <c r="A1134" s="1" t="str">
        <f t="shared" si="222"/>
        <v>7°1°</v>
      </c>
      <c r="B1134" s="54" t="str">
        <f t="shared" si="219"/>
        <v>7°1°4juTARDE711</v>
      </c>
      <c r="C1134" s="62">
        <f>VLOOKUP(G1134,[1]Hoja1!$A:$O,3,0)</f>
        <v>711</v>
      </c>
      <c r="D1134" s="2" t="str">
        <f t="shared" si="221"/>
        <v>4juT40</v>
      </c>
      <c r="E1134" s="71" t="s">
        <v>1351</v>
      </c>
      <c r="F1134" s="62" t="s">
        <v>10</v>
      </c>
      <c r="G1134" s="62" t="s">
        <v>223</v>
      </c>
      <c r="H1134" s="8" t="str">
        <f>VLOOKUP(G1134,[1]Hoja1!$A:$O,6,0)</f>
        <v>INSTALACION, MANTENIMIENTO Y REPARACION DE SISTEMAS COMPUTACIONALES-</v>
      </c>
      <c r="I1134" s="4">
        <v>40</v>
      </c>
      <c r="J1134" s="4"/>
      <c r="K1134" s="80" t="str">
        <f t="shared" si="218"/>
        <v>ju</v>
      </c>
      <c r="L1134" s="4" t="s">
        <v>512</v>
      </c>
      <c r="M1134" s="86" t="str">
        <f>VLOOKUP(G1134,[1]Hoja1!$A:$O,15,0)</f>
        <v>AÑASCO, GABRIEL  20-36089659-6</v>
      </c>
      <c r="N1134" s="2" t="str">
        <f t="shared" si="217"/>
        <v>7°1°7117IIMRSCju</v>
      </c>
      <c r="O1134" s="2" t="s">
        <v>1500</v>
      </c>
      <c r="P1134" s="2" t="str">
        <f>VLOOKUP(G1134,[1]Hoja1!$A:$P,16,0)</f>
        <v xml:space="preserve"> </v>
      </c>
      <c r="Q1134" s="2"/>
      <c r="S1134">
        <f>VLOOKUP(G1134,[1]Hoja1!$A:$O,5,0)</f>
        <v>1913702</v>
      </c>
      <c r="U1134" s="45" t="s">
        <v>2751</v>
      </c>
      <c r="V1134" s="46">
        <f t="shared" ref="V1134:V1178" si="233">S1134</f>
        <v>1913702</v>
      </c>
      <c r="W1134" s="47" t="s">
        <v>1519</v>
      </c>
      <c r="X1134" s="46" t="str">
        <f t="shared" ref="X1134:X1178" si="234">IF(LEFT(E1134,1)="p","prehora",LEFT(E1134,1))</f>
        <v>4</v>
      </c>
      <c r="Y1134" s="47" t="s">
        <v>1518</v>
      </c>
      <c r="Z1134" s="46" t="str">
        <f t="shared" ref="Z1134:Z1178" si="235">LEFT(F1134,1)</f>
        <v>T</v>
      </c>
      <c r="AA1134" s="47" t="s">
        <v>2752</v>
      </c>
      <c r="AB1134" s="46" t="str">
        <f t="shared" ref="AB1134:AB1178" si="236">IF(IF(LEFT(E1134,1)="p",MID(E1134,8,2),MID(E1134,2,2))="lu","LUNES",IF(IF(LEFT(E1134,1)="p",MID(E1134,8,2),MID(E1134,2,2))="ma","MARTES",IF(IF(LEFT(E1134,1)="p",MID(E1134,8,2),MID(E1134,2,2))="MI","MIERCOLES",IF(IF(LEFT(E1134,1)="p",MID(E1134,8,2),MID(E1134,2,2))="JU","JUEVES",IF(IF(LEFT(E1134,1)="p",MID(E1134,8,2),MID(E1134,2,2))="vi","VIERNES","")))))</f>
        <v>JUEVES</v>
      </c>
      <c r="AC1134" s="47" t="s">
        <v>2753</v>
      </c>
      <c r="AD1134" t="str">
        <f t="shared" ref="AD1134:AD1178" si="237">L1134</f>
        <v>CONTRATURNO</v>
      </c>
      <c r="AE1134" s="47" t="s">
        <v>2754</v>
      </c>
      <c r="AH1134" t="str">
        <f t="shared" ref="AH1134:AH1178" si="238">U1134&amp;V1134&amp;W1134&amp;X1134&amp;Y1134&amp;Z1134&amp;AA1134&amp;AB1134&amp;AC1134&amp;AD1134&amp;AE1134</f>
        <v>INSERT INTO horario_curso_materia (horario_curso_materia.FK_CUR_mat,horario_curso_materia.FK_HOR,horario_curso_materia.DIA,horario_curso_materia.tipo_turno) VALUES (  (SELECT curso_materia.ID_CUR_MAT FROM curso_materia WHERE curso_materia.CUPOF='1913702' ) ,
    (SELECT horario.ID_HOR FROM horario WHERE horario.modulo='4 ' and horario.turno='T ' ),'JUEVES ' , 'CONTRATURNO ' );</v>
      </c>
    </row>
    <row r="1135" spans="1:34" ht="15" hidden="1" customHeight="1" x14ac:dyDescent="0.3">
      <c r="A1135" s="1" t="str">
        <f t="shared" si="222"/>
        <v>7°1°</v>
      </c>
      <c r="B1135" s="54" t="str">
        <f t="shared" si="219"/>
        <v>7°1°4JUVESPERTINO711</v>
      </c>
      <c r="C1135" s="62">
        <f>VLOOKUP(G1135,[1]Hoja1!$A:$O,3,0)</f>
        <v>711</v>
      </c>
      <c r="D1135" s="2" t="str">
        <f t="shared" si="221"/>
        <v>4JUVAULA 3</v>
      </c>
      <c r="E1135" s="62" t="s">
        <v>48</v>
      </c>
      <c r="F1135" s="62" t="s">
        <v>125</v>
      </c>
      <c r="G1135" s="62" t="s">
        <v>219</v>
      </c>
      <c r="H1135" s="8" t="str">
        <f>VLOOKUP(G1135,[1]Hoja1!$A:$O,6,0)</f>
        <v>PROYECTO, DISEÑO E IMPLEMENTACION DE SISTEMAS COMPUTACIONALES</v>
      </c>
      <c r="I1135" s="4" t="s">
        <v>1490</v>
      </c>
      <c r="J1135" s="4"/>
      <c r="K1135" s="80" t="str">
        <f t="shared" si="218"/>
        <v>JU</v>
      </c>
      <c r="L1135" s="4" t="s">
        <v>512</v>
      </c>
      <c r="M1135" s="86" t="str">
        <f>VLOOKUP(G1135,[1]Hoja1!$A:$O,15,0)</f>
        <v>CARPITELLA FABIAN</v>
      </c>
      <c r="N1135" s="2" t="str">
        <f t="shared" si="217"/>
        <v>7°1°7117IPDISCJU</v>
      </c>
      <c r="O1135" s="2"/>
      <c r="P1135" s="2" t="str">
        <f>VLOOKUP(G1135,[1]Hoja1!$A:$P,16,0)</f>
        <v xml:space="preserve"> </v>
      </c>
      <c r="Q1135" s="2"/>
      <c r="S1135">
        <f>VLOOKUP(G1135,[1]Hoja1!$A:$O,5,0)</f>
        <v>1913696</v>
      </c>
      <c r="U1135" s="45" t="s">
        <v>2751</v>
      </c>
      <c r="V1135" s="46">
        <f t="shared" si="233"/>
        <v>1913696</v>
      </c>
      <c r="W1135" s="47" t="s">
        <v>1519</v>
      </c>
      <c r="X1135" s="46" t="str">
        <f t="shared" si="234"/>
        <v>4</v>
      </c>
      <c r="Y1135" s="47" t="s">
        <v>1518</v>
      </c>
      <c r="Z1135" s="46" t="str">
        <f t="shared" si="235"/>
        <v>V</v>
      </c>
      <c r="AA1135" s="47" t="s">
        <v>2752</v>
      </c>
      <c r="AB1135" s="46" t="str">
        <f t="shared" si="236"/>
        <v>JUEVES</v>
      </c>
      <c r="AC1135" s="47" t="s">
        <v>2753</v>
      </c>
      <c r="AD1135" t="str">
        <f t="shared" si="237"/>
        <v>CONTRATURNO</v>
      </c>
      <c r="AE1135" s="47" t="s">
        <v>2754</v>
      </c>
      <c r="AH1135" t="str">
        <f t="shared" si="238"/>
        <v>INSERT INTO horario_curso_materia (horario_curso_materia.FK_CUR_mat,horario_curso_materia.FK_HOR,horario_curso_materia.DIA,horario_curso_materia.tipo_turno) VALUES (  (SELECT curso_materia.ID_CUR_MAT FROM curso_materia WHERE curso_materia.CUPOF='1913696' ) ,
    (SELECT horario.ID_HOR FROM horario WHERE horario.modulo='4 ' and horario.turno='V ' ),'JUEVES ' , 'CONTRATURNO ' );</v>
      </c>
    </row>
    <row r="1136" spans="1:34" ht="15" hidden="1" customHeight="1" x14ac:dyDescent="0.3">
      <c r="A1136" s="1" t="str">
        <f t="shared" si="222"/>
        <v>7°1°</v>
      </c>
      <c r="B1136" s="54" t="str">
        <f t="shared" si="219"/>
        <v>7°1°3LUMAÑANA0</v>
      </c>
      <c r="C1136" s="62">
        <f>VLOOKUP(G1136,[1]Hoja1!$A:$O,3,0)</f>
        <v>0</v>
      </c>
      <c r="D1136" s="2" t="str">
        <f t="shared" si="221"/>
        <v>3LUM</v>
      </c>
      <c r="E1136" s="62" t="s">
        <v>29</v>
      </c>
      <c r="F1136" s="62" t="s">
        <v>27</v>
      </c>
      <c r="G1136" s="62" t="s">
        <v>469</v>
      </c>
      <c r="H1136" s="8" t="str">
        <f>VLOOKUP(G1136,[1]Hoja1!$A:$O,6,0)</f>
        <v>BASE DE DATOS</v>
      </c>
      <c r="I1136" s="4"/>
      <c r="J1136" s="4"/>
      <c r="K1136" s="80" t="str">
        <f t="shared" si="218"/>
        <v>LU</v>
      </c>
      <c r="L1136" s="4" t="s">
        <v>512</v>
      </c>
      <c r="M1136" s="86" t="str">
        <f>VLOOKUP(G1136,[1]Hoja1!$A:$O,15,0)</f>
        <v>WITT  GERARDO</v>
      </c>
      <c r="N1136" s="2" t="str">
        <f t="shared" si="217"/>
        <v>7°1°7IBADATLU</v>
      </c>
      <c r="O1136" s="2"/>
      <c r="P1136" s="2" t="str">
        <f>VLOOKUP(G1136,[1]Hoja1!$A:$P,16,0)</f>
        <v xml:space="preserve"> </v>
      </c>
      <c r="Q1136" s="2"/>
      <c r="S1136">
        <f>VLOOKUP(G1136,[1]Hoja1!$A:$O,5,0)</f>
        <v>1913695</v>
      </c>
      <c r="U1136" s="45" t="s">
        <v>2751</v>
      </c>
      <c r="V1136" s="46">
        <f t="shared" si="233"/>
        <v>1913695</v>
      </c>
      <c r="W1136" s="47" t="s">
        <v>1519</v>
      </c>
      <c r="X1136" s="46" t="str">
        <f t="shared" si="234"/>
        <v>3</v>
      </c>
      <c r="Y1136" s="47" t="s">
        <v>1518</v>
      </c>
      <c r="Z1136" s="46" t="str">
        <f t="shared" si="235"/>
        <v>M</v>
      </c>
      <c r="AA1136" s="47" t="s">
        <v>2752</v>
      </c>
      <c r="AB1136" s="46" t="str">
        <f t="shared" si="236"/>
        <v>LUNES</v>
      </c>
      <c r="AC1136" s="47" t="s">
        <v>2753</v>
      </c>
      <c r="AD1136" t="str">
        <f t="shared" si="237"/>
        <v>CONTRATURNO</v>
      </c>
      <c r="AE1136" s="47" t="s">
        <v>2754</v>
      </c>
      <c r="AH1136" t="str">
        <f t="shared" si="238"/>
        <v>INSERT INTO horario_curso_materia (horario_curso_materia.FK_CUR_mat,horario_curso_materia.FK_HOR,horario_curso_materia.DIA,horario_curso_materia.tipo_turno) VALUES (  (SELECT curso_materia.ID_CUR_MAT FROM curso_materia WHERE curso_materia.CUPOF='1913695' ) ,
    (SELECT horario.ID_HOR FROM horario WHERE horario.modulo='3 ' and horario.turno='M ' ),'LUNES ' , 'CONTRATURNO ' );</v>
      </c>
    </row>
    <row r="1137" spans="1:34" ht="15" hidden="1" customHeight="1" x14ac:dyDescent="0.3">
      <c r="A1137" s="1" t="str">
        <f t="shared" si="222"/>
        <v>7°1°</v>
      </c>
      <c r="B1137" s="54" t="str">
        <f t="shared" si="219"/>
        <v>7°1°4luVESPERTINO0</v>
      </c>
      <c r="C1137" s="62">
        <f>VLOOKUP(G1137,[1]Hoja1!$A:$O,3,0)</f>
        <v>0</v>
      </c>
      <c r="D1137" s="2" t="str">
        <f t="shared" si="221"/>
        <v>4luV</v>
      </c>
      <c r="E1137" s="62" t="s">
        <v>1515</v>
      </c>
      <c r="F1137" s="62" t="s">
        <v>125</v>
      </c>
      <c r="G1137" s="62" t="s">
        <v>472</v>
      </c>
      <c r="H1137" s="8" t="str">
        <f>VLOOKUP(G1137,[1]Hoja1!$A:$O,6,0)</f>
        <v>EMPRENDIMIENTO PRODUCTIVO Y DESARROLLO LOCAL</v>
      </c>
      <c r="I1137" s="4"/>
      <c r="J1137" s="4"/>
      <c r="K1137" s="80" t="str">
        <f t="shared" si="218"/>
        <v>lu</v>
      </c>
      <c r="L1137" s="4"/>
      <c r="M1137" s="86" t="str">
        <f>VLOOKUP(G1137,[1]Hoja1!$A:$O,15,0)</f>
        <v>CARPITELLA FABIAN</v>
      </c>
      <c r="N1137" s="2" t="str">
        <f t="shared" ref="N1137:N1173" si="239">CONCATENATE(G1137,LEFT(K1137,2))</f>
        <v>7°1°7IPPDLOlu</v>
      </c>
      <c r="O1137" s="2"/>
      <c r="P1137" s="2" t="str">
        <f>VLOOKUP(G1137,[1]Hoja1!$A:$P,16,0)</f>
        <v xml:space="preserve"> </v>
      </c>
      <c r="Q1137" s="2"/>
      <c r="S1137">
        <f>VLOOKUP(G1137,[1]Hoja1!$A:$O,5,0)</f>
        <v>1913687</v>
      </c>
      <c r="U1137" s="45" t="s">
        <v>2751</v>
      </c>
      <c r="V1137" s="46">
        <f t="shared" si="233"/>
        <v>1913687</v>
      </c>
      <c r="W1137" s="47" t="s">
        <v>1519</v>
      </c>
      <c r="X1137" s="46" t="str">
        <f t="shared" si="234"/>
        <v>4</v>
      </c>
      <c r="Y1137" s="47" t="s">
        <v>1518</v>
      </c>
      <c r="Z1137" s="46" t="str">
        <f t="shared" si="235"/>
        <v>V</v>
      </c>
      <c r="AA1137" s="47" t="s">
        <v>2752</v>
      </c>
      <c r="AB1137" s="46" t="str">
        <f t="shared" si="236"/>
        <v>LUNES</v>
      </c>
      <c r="AC1137" s="47" t="s">
        <v>2753</v>
      </c>
      <c r="AD1137">
        <f t="shared" si="237"/>
        <v>0</v>
      </c>
      <c r="AE1137" s="47" t="s">
        <v>2754</v>
      </c>
      <c r="AH1137" t="str">
        <f t="shared" si="238"/>
        <v>INSERT INTO horario_curso_materia (horario_curso_materia.FK_CUR_mat,horario_curso_materia.FK_HOR,horario_curso_materia.DIA,horario_curso_materia.tipo_turno) VALUES (  (SELECT curso_materia.ID_CUR_MAT FROM curso_materia WHERE curso_materia.CUPOF='1913687' ) ,
    (SELECT horario.ID_HOR FROM horario WHERE horario.modulo='4 ' and horario.turno='V ' ),'LUNES ' , '0 ' );</v>
      </c>
    </row>
    <row r="1138" spans="1:34" ht="15" hidden="1" customHeight="1" x14ac:dyDescent="0.3">
      <c r="A1138" s="1" t="str">
        <f t="shared" si="222"/>
        <v>7°1°</v>
      </c>
      <c r="B1138" s="54" t="str">
        <f t="shared" si="219"/>
        <v>7°1°4MIMAÑANA712</v>
      </c>
      <c r="C1138" s="62">
        <f>VLOOKUP(G1138,[1]Hoja1!$A:$O,3,0)</f>
        <v>712</v>
      </c>
      <c r="D1138" s="2" t="str">
        <f t="shared" si="221"/>
        <v>4MIM52</v>
      </c>
      <c r="E1138" s="62" t="s">
        <v>52</v>
      </c>
      <c r="F1138" s="62" t="s">
        <v>27</v>
      </c>
      <c r="G1138" s="62" t="s">
        <v>222</v>
      </c>
      <c r="H1138" s="8" t="str">
        <f>VLOOKUP(G1138,[1]Hoja1!$A:$O,6,0)</f>
        <v xml:space="preserve">INSTALACION, MANTENIMIENTO Y REPARACION DE REDES INFORMATICAS- </v>
      </c>
      <c r="I1138" s="4">
        <v>52</v>
      </c>
      <c r="J1138" s="4"/>
      <c r="K1138" s="80" t="str">
        <f t="shared" si="218"/>
        <v>MI</v>
      </c>
      <c r="L1138" s="4" t="s">
        <v>512</v>
      </c>
      <c r="M1138" s="86" t="str">
        <f>VLOOKUP(G1138,[1]Hoja1!$A:$O,15,0)</f>
        <v>DELLA VECCHIA I</v>
      </c>
      <c r="N1138" s="2" t="str">
        <f t="shared" si="239"/>
        <v>7°1°7127IIMRRIMI</v>
      </c>
      <c r="O1138" s="2" t="s">
        <v>1374</v>
      </c>
      <c r="P1138" s="2" t="str">
        <f>VLOOKUP(G1138,[1]Hoja1!$A:$P,16,0)</f>
        <v xml:space="preserve"> </v>
      </c>
      <c r="Q1138" s="2"/>
      <c r="S1138">
        <f>VLOOKUP(G1138,[1]Hoja1!$A:$O,5,0)</f>
        <v>1913731</v>
      </c>
      <c r="U1138" s="45" t="s">
        <v>2751</v>
      </c>
      <c r="V1138" s="46">
        <f t="shared" si="233"/>
        <v>1913731</v>
      </c>
      <c r="W1138" s="47" t="s">
        <v>1519</v>
      </c>
      <c r="X1138" s="46" t="str">
        <f t="shared" si="234"/>
        <v>4</v>
      </c>
      <c r="Y1138" s="47" t="s">
        <v>1518</v>
      </c>
      <c r="Z1138" s="46" t="str">
        <f t="shared" si="235"/>
        <v>M</v>
      </c>
      <c r="AA1138" s="47" t="s">
        <v>2752</v>
      </c>
      <c r="AB1138" s="46" t="str">
        <f t="shared" si="236"/>
        <v>MIERCOLES</v>
      </c>
      <c r="AC1138" s="47" t="s">
        <v>2753</v>
      </c>
      <c r="AD1138" t="str">
        <f t="shared" si="237"/>
        <v>CONTRATURNO</v>
      </c>
      <c r="AE1138" s="47" t="s">
        <v>2754</v>
      </c>
      <c r="AH1138" t="str">
        <f t="shared" si="238"/>
        <v>INSERT INTO horario_curso_materia (horario_curso_materia.FK_CUR_mat,horario_curso_materia.FK_HOR,horario_curso_materia.DIA,horario_curso_materia.tipo_turno) VALUES (  (SELECT curso_materia.ID_CUR_MAT FROM curso_materia WHERE curso_materia.CUPOF='1913731' ) ,
    (SELECT horario.ID_HOR FROM horario WHERE horario.modulo='4 ' and horario.turno='M ' ),'MIERCOLES ' , 'CONTRATURNO ' );</v>
      </c>
    </row>
    <row r="1139" spans="1:34" ht="15" hidden="1" customHeight="1" x14ac:dyDescent="0.3">
      <c r="A1139" s="1" t="str">
        <f t="shared" si="222"/>
        <v>7°1°</v>
      </c>
      <c r="B1139" s="54" t="str">
        <f t="shared" si="219"/>
        <v>7°1°4MIVESPERTINO0</v>
      </c>
      <c r="C1139" s="62">
        <f>VLOOKUP(G1139,[1]Hoja1!$A:$O,3,0)</f>
        <v>0</v>
      </c>
      <c r="D1139" s="2" t="str">
        <f t="shared" si="221"/>
        <v>4MIV</v>
      </c>
      <c r="E1139" s="6" t="s">
        <v>52</v>
      </c>
      <c r="F1139" s="62" t="s">
        <v>125</v>
      </c>
      <c r="G1139" s="62" t="s">
        <v>471</v>
      </c>
      <c r="H1139" s="8" t="str">
        <f>VLOOKUP(G1139,[1]Hoja1!$A:$O,6,0)</f>
        <v>MODELOS Y SISTEMAS</v>
      </c>
      <c r="I1139" s="4"/>
      <c r="J1139" s="4"/>
      <c r="K1139" s="80" t="str">
        <f t="shared" si="218"/>
        <v>MI</v>
      </c>
      <c r="L1139" s="4"/>
      <c r="M1139" s="86" t="str">
        <f>VLOOKUP(G1139,[1]Hoja1!$A:$O,15,0)</f>
        <v>ROCHA JULIETA</v>
      </c>
      <c r="N1139" s="2" t="str">
        <f t="shared" si="239"/>
        <v>7°1°7IMOSISMI</v>
      </c>
      <c r="O1139" s="2" t="s">
        <v>1374</v>
      </c>
      <c r="P1139" s="2" t="str">
        <f>VLOOKUP(G1139,[1]Hoja1!$A:$P,16,0)</f>
        <v xml:space="preserve"> </v>
      </c>
      <c r="Q1139" s="2"/>
      <c r="S1139">
        <f>VLOOKUP(G1139,[1]Hoja1!$A:$O,5,0)</f>
        <v>1913692</v>
      </c>
      <c r="U1139" s="45" t="s">
        <v>2751</v>
      </c>
      <c r="V1139" s="46">
        <f t="shared" si="233"/>
        <v>1913692</v>
      </c>
      <c r="W1139" s="47" t="s">
        <v>1519</v>
      </c>
      <c r="X1139" s="46" t="str">
        <f t="shared" si="234"/>
        <v>4</v>
      </c>
      <c r="Y1139" s="47" t="s">
        <v>1518</v>
      </c>
      <c r="Z1139" s="46" t="str">
        <f t="shared" si="235"/>
        <v>V</v>
      </c>
      <c r="AA1139" s="47" t="s">
        <v>2752</v>
      </c>
      <c r="AB1139" s="46" t="str">
        <f t="shared" si="236"/>
        <v>MIERCOLES</v>
      </c>
      <c r="AC1139" s="47" t="s">
        <v>2753</v>
      </c>
      <c r="AD1139">
        <f t="shared" si="237"/>
        <v>0</v>
      </c>
      <c r="AE1139" s="47" t="s">
        <v>2754</v>
      </c>
      <c r="AH1139" t="str">
        <f t="shared" si="238"/>
        <v>INSERT INTO horario_curso_materia (horario_curso_materia.FK_CUR_mat,horario_curso_materia.FK_HOR,horario_curso_materia.DIA,horario_curso_materia.tipo_turno) VALUES (  (SELECT curso_materia.ID_CUR_MAT FROM curso_materia WHERE curso_materia.CUPOF='1913692' ) ,
    (SELECT horario.ID_HOR FROM horario WHERE horario.modulo='4 ' and horario.turno='V ' ),'MIERCOLES ' , '0 ' );</v>
      </c>
    </row>
    <row r="1140" spans="1:34" ht="15" hidden="1" customHeight="1" x14ac:dyDescent="0.3">
      <c r="A1140" s="1" t="str">
        <f t="shared" si="222"/>
        <v>7°1°</v>
      </c>
      <c r="B1140" s="54" t="str">
        <f t="shared" si="219"/>
        <v>7°1°4VIMAÑANA711</v>
      </c>
      <c r="C1140" s="62">
        <f>VLOOKUP(G1140,[1]Hoja1!$A:$O,3,0)</f>
        <v>711</v>
      </c>
      <c r="D1140" s="2" t="str">
        <f t="shared" si="221"/>
        <v>4VIM52</v>
      </c>
      <c r="E1140" s="62" t="s">
        <v>36</v>
      </c>
      <c r="F1140" s="62" t="s">
        <v>27</v>
      </c>
      <c r="G1140" s="62" t="s">
        <v>224</v>
      </c>
      <c r="H1140" s="8" t="str">
        <f>VLOOKUP(G1140,[1]Hoja1!$A:$O,6,0)</f>
        <v xml:space="preserve">INSTALACION, MANTENIMIENTO Y REPARACION DE REDES INFORMATICAS- </v>
      </c>
      <c r="I1140" s="4">
        <v>52</v>
      </c>
      <c r="J1140" s="4">
        <v>41</v>
      </c>
      <c r="K1140" s="80" t="str">
        <f t="shared" si="218"/>
        <v>VI</v>
      </c>
      <c r="L1140" s="4" t="s">
        <v>512</v>
      </c>
      <c r="M1140" s="86" t="str">
        <f>VLOOKUP(G1140,[1]Hoja1!$A:$O,15,0)</f>
        <v>DELLA VECCHIA</v>
      </c>
      <c r="N1140" s="2" t="str">
        <f t="shared" si="239"/>
        <v>7°1°7117IIMRRIVI</v>
      </c>
      <c r="O1140" s="2"/>
      <c r="P1140" s="2"/>
      <c r="Q1140" s="2" t="str">
        <f>VLOOKUP(G1139,[1]Hoja1!$A:$P,16,0)</f>
        <v xml:space="preserve"> </v>
      </c>
      <c r="S1140">
        <f>VLOOKUP(G1140,[1]Hoja1!$A:$O,5,0)</f>
        <v>1913707</v>
      </c>
      <c r="U1140" s="45" t="s">
        <v>2751</v>
      </c>
      <c r="V1140" s="46">
        <f t="shared" si="233"/>
        <v>1913707</v>
      </c>
      <c r="W1140" s="47" t="s">
        <v>1519</v>
      </c>
      <c r="X1140" s="46" t="str">
        <f t="shared" si="234"/>
        <v>4</v>
      </c>
      <c r="Y1140" s="47" t="s">
        <v>1518</v>
      </c>
      <c r="Z1140" s="46" t="str">
        <f t="shared" si="235"/>
        <v>M</v>
      </c>
      <c r="AA1140" s="47" t="s">
        <v>2752</v>
      </c>
      <c r="AB1140" s="46" t="str">
        <f t="shared" si="236"/>
        <v>VIERNES</v>
      </c>
      <c r="AC1140" s="47" t="s">
        <v>2753</v>
      </c>
      <c r="AD1140" t="str">
        <f t="shared" si="237"/>
        <v>CONTRATURNO</v>
      </c>
      <c r="AE1140" s="47" t="s">
        <v>2754</v>
      </c>
      <c r="AH1140" t="str">
        <f t="shared" si="238"/>
        <v>INSERT INTO horario_curso_materia (horario_curso_materia.FK_CUR_mat,horario_curso_materia.FK_HOR,horario_curso_materia.DIA,horario_curso_materia.tipo_turno) VALUES (  (SELECT curso_materia.ID_CUR_MAT FROM curso_materia WHERE curso_materia.CUPOF='1913707' ) ,
    (SELECT horario.ID_HOR FROM horario WHERE horario.modulo='4 ' and horario.turno='M ' ),'VIERNES ' , 'CONTRATURNO ' );</v>
      </c>
    </row>
    <row r="1141" spans="1:34" ht="15" hidden="1" customHeight="1" x14ac:dyDescent="0.3">
      <c r="A1141" s="5" t="str">
        <f t="shared" si="222"/>
        <v>7°1°</v>
      </c>
      <c r="B1141" s="54" t="str">
        <f t="shared" si="219"/>
        <v>7°1°4VIMAÑANA712</v>
      </c>
      <c r="C1141" s="65">
        <f>VLOOKUP(G1141,[1]Hoja1!$A:$O,3,0)</f>
        <v>712</v>
      </c>
      <c r="D1141" s="21" t="str">
        <f t="shared" si="221"/>
        <v>4VIM40</v>
      </c>
      <c r="E1141" s="65" t="s">
        <v>36</v>
      </c>
      <c r="F1141" s="62" t="s">
        <v>27</v>
      </c>
      <c r="G1141" s="65" t="s">
        <v>220</v>
      </c>
      <c r="H1141" s="5" t="str">
        <f>VLOOKUP(G1141,[1]Hoja1!$A:$O,6,0)</f>
        <v>INSTALACION, MANTENIMIENTO Y REPARACION DE SISTEMAS COMPUTACIONALES-</v>
      </c>
      <c r="I1141" s="22">
        <v>40</v>
      </c>
      <c r="J1141" s="22"/>
      <c r="K1141" s="83" t="str">
        <f t="shared" si="218"/>
        <v>VI</v>
      </c>
      <c r="L1141" s="22" t="s">
        <v>512</v>
      </c>
      <c r="M1141" s="86" t="str">
        <f>VLOOKUP(G1141,[1]Hoja1!$A:$O,15,0)</f>
        <v>MELGARJO. VERONICA</v>
      </c>
      <c r="N1141" s="21" t="str">
        <f t="shared" si="239"/>
        <v>7°1°7127IIMRSCVI</v>
      </c>
      <c r="O1141" s="21" t="s">
        <v>1436</v>
      </c>
      <c r="P1141" s="2" t="str">
        <f>VLOOKUP(G1141,[1]Hoja1!$A:$P,16,0)</f>
        <v xml:space="preserve"> </v>
      </c>
      <c r="Q1141" s="2"/>
      <c r="S1141">
        <f>VLOOKUP(G1141,[1]Hoja1!$A:$O,5,0)</f>
        <v>1913725</v>
      </c>
      <c r="U1141" s="45" t="s">
        <v>2751</v>
      </c>
      <c r="V1141" s="46">
        <f t="shared" si="233"/>
        <v>1913725</v>
      </c>
      <c r="W1141" s="47" t="s">
        <v>1519</v>
      </c>
      <c r="X1141" s="46" t="str">
        <f t="shared" si="234"/>
        <v>4</v>
      </c>
      <c r="Y1141" s="47" t="s">
        <v>1518</v>
      </c>
      <c r="Z1141" s="46" t="str">
        <f t="shared" si="235"/>
        <v>M</v>
      </c>
      <c r="AA1141" s="47" t="s">
        <v>2752</v>
      </c>
      <c r="AB1141" s="46" t="str">
        <f t="shared" si="236"/>
        <v>VIERNES</v>
      </c>
      <c r="AC1141" s="47" t="s">
        <v>2753</v>
      </c>
      <c r="AD1141" t="str">
        <f t="shared" si="237"/>
        <v>CONTRATURNO</v>
      </c>
      <c r="AE1141" s="47" t="s">
        <v>2754</v>
      </c>
      <c r="AH1141" t="str">
        <f t="shared" si="238"/>
        <v>INSERT INTO horario_curso_materia (horario_curso_materia.FK_CUR_mat,horario_curso_materia.FK_HOR,horario_curso_materia.DIA,horario_curso_materia.tipo_turno) VALUES (  (SELECT curso_materia.ID_CUR_MAT FROM curso_materia WHERE curso_materia.CUPOF='1913725' ) ,
    (SELECT horario.ID_HOR FROM horario WHERE horario.modulo='4 ' and horario.turno='M ' ),'VIERNES ' , 'CONTRATURNO ' );</v>
      </c>
    </row>
    <row r="1142" spans="1:34" ht="15" hidden="1" customHeight="1" x14ac:dyDescent="0.3">
      <c r="A1142" s="1" t="str">
        <f t="shared" si="222"/>
        <v>7°1°</v>
      </c>
      <c r="B1142" s="54" t="str">
        <f t="shared" si="219"/>
        <v>7°1°4VIVESPERTINO712</v>
      </c>
      <c r="C1142" s="62">
        <f>VLOOKUP(G1142,[1]Hoja1!$A:$O,3,0)</f>
        <v>712</v>
      </c>
      <c r="D1142" s="2" t="str">
        <f t="shared" si="221"/>
        <v>4VIV41</v>
      </c>
      <c r="E1142" s="62" t="s">
        <v>36</v>
      </c>
      <c r="F1142" s="62" t="s">
        <v>125</v>
      </c>
      <c r="G1142" s="62" t="s">
        <v>225</v>
      </c>
      <c r="H1142" s="8" t="str">
        <f>VLOOKUP(G1142,[1]Hoja1!$A:$O,6,0)</f>
        <v>PROYECTO, DISEÑO E IMPLEMENTACION DE SISTEMAS COMPUTACIONALES</v>
      </c>
      <c r="I1142" s="4">
        <v>41</v>
      </c>
      <c r="J1142" s="4"/>
      <c r="K1142" s="80" t="str">
        <f t="shared" si="218"/>
        <v>VI</v>
      </c>
      <c r="L1142" s="4" t="s">
        <v>512</v>
      </c>
      <c r="M1142" s="86" t="str">
        <f>VLOOKUP(G1142,[1]Hoja1!$A:$O,15,0)</f>
        <v>CARPITELLA FABIAN</v>
      </c>
      <c r="N1142" s="2" t="str">
        <f t="shared" si="239"/>
        <v>7°1°7127IPDISCVI</v>
      </c>
      <c r="O1142" s="2"/>
      <c r="P1142" s="2"/>
      <c r="Q1142" s="2" t="str">
        <f>VLOOKUP(G1141,[1]Hoja1!$A:$P,16,0)</f>
        <v xml:space="preserve"> </v>
      </c>
      <c r="S1142">
        <f>VLOOKUP(G1142,[1]Hoja1!$A:$O,5,0)</f>
        <v>1913712</v>
      </c>
      <c r="U1142" s="45" t="s">
        <v>2751</v>
      </c>
      <c r="V1142" s="46">
        <f t="shared" si="233"/>
        <v>1913712</v>
      </c>
      <c r="W1142" s="47" t="s">
        <v>1519</v>
      </c>
      <c r="X1142" s="46" t="str">
        <f t="shared" si="234"/>
        <v>4</v>
      </c>
      <c r="Y1142" s="47" t="s">
        <v>1518</v>
      </c>
      <c r="Z1142" s="46" t="str">
        <f t="shared" si="235"/>
        <v>V</v>
      </c>
      <c r="AA1142" s="47" t="s">
        <v>2752</v>
      </c>
      <c r="AB1142" s="46" t="str">
        <f t="shared" si="236"/>
        <v>VIERNES</v>
      </c>
      <c r="AC1142" s="47" t="s">
        <v>2753</v>
      </c>
      <c r="AD1142" t="str">
        <f t="shared" si="237"/>
        <v>CONTRATURNO</v>
      </c>
      <c r="AE1142" s="47" t="s">
        <v>2754</v>
      </c>
      <c r="AH1142" t="str">
        <f t="shared" si="238"/>
        <v>INSERT INTO horario_curso_materia (horario_curso_materia.FK_CUR_mat,horario_curso_materia.FK_HOR,horario_curso_materia.DIA,horario_curso_materia.tipo_turno) VALUES (  (SELECT curso_materia.ID_CUR_MAT FROM curso_materia WHERE curso_materia.CUPOF='1913712' ) ,
    (SELECT horario.ID_HOR FROM horario WHERE horario.modulo='4 ' and horario.turno='V ' ),'VIERNES ' , 'CONTRATURNO ' );</v>
      </c>
    </row>
    <row r="1143" spans="1:34" ht="15" hidden="1" customHeight="1" x14ac:dyDescent="0.3">
      <c r="A1143" s="1" t="str">
        <f t="shared" si="222"/>
        <v>7°2°</v>
      </c>
      <c r="B1143" s="54" t="str">
        <f t="shared" si="219"/>
        <v>7°2°1JUMAÑANA721</v>
      </c>
      <c r="C1143" s="62">
        <f>VLOOKUP(G1143,[1]Hoja1!$A:$O,3,0)</f>
        <v>721</v>
      </c>
      <c r="D1143" s="2" t="str">
        <f t="shared" si="221"/>
        <v>1JUM44</v>
      </c>
      <c r="E1143" s="62" t="s">
        <v>43</v>
      </c>
      <c r="F1143" s="62" t="s">
        <v>27</v>
      </c>
      <c r="G1143" s="62" t="s">
        <v>229</v>
      </c>
      <c r="H1143" s="8" t="str">
        <f>VLOOKUP(G1143,[1]Hoja1!$A:$O,6,0)</f>
        <v>INSTALACIONES INDUSTRIALES</v>
      </c>
      <c r="I1143" s="4">
        <v>44</v>
      </c>
      <c r="J1143" s="4"/>
      <c r="K1143" s="80" t="str">
        <f t="shared" si="218"/>
        <v>JU</v>
      </c>
      <c r="L1143" s="4" t="s">
        <v>512</v>
      </c>
      <c r="M1143" s="86" t="str">
        <f>VLOOKUP(G1143,[1]Hoja1!$A:$O,15,0)</f>
        <v>SAUCEDO GUSTAVO</v>
      </c>
      <c r="N1143" s="2" t="str">
        <f t="shared" si="239"/>
        <v>7°2°7217EINSINJU</v>
      </c>
      <c r="O1143" s="2"/>
      <c r="P1143" s="2" t="str">
        <f>VLOOKUP(G1143,[1]Hoja1!$A:$P,16,0)</f>
        <v xml:space="preserve"> </v>
      </c>
      <c r="Q1143" s="2"/>
      <c r="S1143">
        <f>VLOOKUP(G1143,[1]Hoja1!$A:$O,5,0)</f>
        <v>1913852</v>
      </c>
      <c r="U1143" s="45" t="s">
        <v>2751</v>
      </c>
      <c r="V1143" s="46">
        <f t="shared" si="233"/>
        <v>1913852</v>
      </c>
      <c r="W1143" s="47" t="s">
        <v>1519</v>
      </c>
      <c r="X1143" s="46" t="str">
        <f t="shared" si="234"/>
        <v>1</v>
      </c>
      <c r="Y1143" s="47" t="s">
        <v>1518</v>
      </c>
      <c r="Z1143" s="46" t="str">
        <f t="shared" si="235"/>
        <v>M</v>
      </c>
      <c r="AA1143" s="47" t="s">
        <v>2752</v>
      </c>
      <c r="AB1143" s="46" t="str">
        <f t="shared" si="236"/>
        <v>JUEVES</v>
      </c>
      <c r="AC1143" s="47" t="s">
        <v>2753</v>
      </c>
      <c r="AD1143" t="str">
        <f t="shared" si="237"/>
        <v>CONTRATURNO</v>
      </c>
      <c r="AE1143" s="47" t="s">
        <v>2754</v>
      </c>
      <c r="AH1143" t="str">
        <f t="shared" si="238"/>
        <v>INSERT INTO horario_curso_materia (horario_curso_materia.FK_CUR_mat,horario_curso_materia.FK_HOR,horario_curso_materia.DIA,horario_curso_materia.tipo_turno) VALUES (  (SELECT curso_materia.ID_CUR_MAT FROM curso_materia WHERE curso_materia.CUPOF='1913852' ) ,
    (SELECT horario.ID_HOR FROM horario WHERE horario.modulo='1 ' and horario.turno='M ' ),'JUEVES ' , 'CONTRATURNO ' );</v>
      </c>
    </row>
    <row r="1144" spans="1:34" ht="15" hidden="1" customHeight="1" x14ac:dyDescent="0.3">
      <c r="A1144" s="1" t="str">
        <f t="shared" si="222"/>
        <v>7°2°</v>
      </c>
      <c r="B1144" s="54" t="str">
        <f t="shared" si="219"/>
        <v>7°2°1juVESPERTINO722</v>
      </c>
      <c r="C1144" s="62">
        <f>VLOOKUP(G1144,[1]Hoja1!$A:$O,3,0)</f>
        <v>722</v>
      </c>
      <c r="D1144" s="2" t="str">
        <f t="shared" si="221"/>
        <v>1juV33</v>
      </c>
      <c r="E1144" s="62" t="s">
        <v>1348</v>
      </c>
      <c r="F1144" s="62" t="s">
        <v>125</v>
      </c>
      <c r="G1144" s="62" t="s">
        <v>231</v>
      </c>
      <c r="H1144" s="8" t="str">
        <f>VLOOKUP(G1144,[1]Hoja1!$A:$O,6,0)</f>
        <v>INSTALACIONES INDUSTRIALES</v>
      </c>
      <c r="I1144" s="4">
        <v>33</v>
      </c>
      <c r="J1144" s="4"/>
      <c r="K1144" s="80" t="str">
        <f t="shared" si="218"/>
        <v>ju</v>
      </c>
      <c r="L1144" s="4" t="s">
        <v>512</v>
      </c>
      <c r="M1144" s="86" t="str">
        <f>VLOOKUP(G1144,[1]Hoja1!$A:$O,15,0)</f>
        <v>SERENO, LEONEL</v>
      </c>
      <c r="N1144" s="2" t="str">
        <f t="shared" si="239"/>
        <v>7°2°7227EINSINju</v>
      </c>
      <c r="O1144" s="2"/>
      <c r="P1144" s="2" t="str">
        <f>VLOOKUP(G1144,[1]Hoja1!$A:$P,16,0)</f>
        <v xml:space="preserve"> </v>
      </c>
      <c r="Q1144" s="2"/>
      <c r="S1144">
        <f>VLOOKUP(G1144,[1]Hoja1!$A:$O,5,0)</f>
        <v>1913857</v>
      </c>
      <c r="U1144" s="45" t="s">
        <v>2751</v>
      </c>
      <c r="V1144" s="46">
        <f t="shared" si="233"/>
        <v>1913857</v>
      </c>
      <c r="W1144" s="47" t="s">
        <v>1519</v>
      </c>
      <c r="X1144" s="46" t="str">
        <f t="shared" si="234"/>
        <v>1</v>
      </c>
      <c r="Y1144" s="47" t="s">
        <v>1518</v>
      </c>
      <c r="Z1144" s="46" t="str">
        <f t="shared" si="235"/>
        <v>V</v>
      </c>
      <c r="AA1144" s="47" t="s">
        <v>2752</v>
      </c>
      <c r="AB1144" s="46" t="str">
        <f t="shared" si="236"/>
        <v>JUEVES</v>
      </c>
      <c r="AC1144" s="47" t="s">
        <v>2753</v>
      </c>
      <c r="AD1144" t="str">
        <f t="shared" si="237"/>
        <v>CONTRATURNO</v>
      </c>
      <c r="AE1144" s="47" t="s">
        <v>2754</v>
      </c>
      <c r="AH1144" t="str">
        <f t="shared" si="238"/>
        <v>INSERT INTO horario_curso_materia (horario_curso_materia.FK_CUR_mat,horario_curso_materia.FK_HOR,horario_curso_materia.DIA,horario_curso_materia.tipo_turno) VALUES (  (SELECT curso_materia.ID_CUR_MAT FROM curso_materia WHERE curso_materia.CUPOF='1913857' ) ,
    (SELECT horario.ID_HOR FROM horario WHERE horario.modulo='1 ' and horario.turno='V ' ),'JUEVES ' , 'CONTRATURNO ' );</v>
      </c>
    </row>
    <row r="1145" spans="1:34" ht="15" hidden="1" customHeight="1" x14ac:dyDescent="0.3">
      <c r="A1145" s="1" t="str">
        <f t="shared" si="222"/>
        <v>7°2°</v>
      </c>
      <c r="B1145" s="54" t="str">
        <f t="shared" si="219"/>
        <v>7°2°1MITARDE721</v>
      </c>
      <c r="C1145" s="62">
        <f>VLOOKUP(G1145,[1]Hoja1!$A:$O,3,0)</f>
        <v>721</v>
      </c>
      <c r="D1145" s="2" t="str">
        <f t="shared" si="221"/>
        <v>1MITROBOTICA</v>
      </c>
      <c r="E1145" s="62" t="s">
        <v>24</v>
      </c>
      <c r="F1145" s="62" t="s">
        <v>10</v>
      </c>
      <c r="G1145" s="62" t="s">
        <v>228</v>
      </c>
      <c r="H1145" s="8" t="str">
        <f>VLOOKUP(G1145,[1]Hoja1!$A:$O,6,0)</f>
        <v xml:space="preserve">PROYECTO Y DISEÑO ELECTRONICO </v>
      </c>
      <c r="I1145" s="4" t="s">
        <v>2759</v>
      </c>
      <c r="J1145" s="4"/>
      <c r="K1145" s="80" t="str">
        <f t="shared" si="218"/>
        <v>MI</v>
      </c>
      <c r="L1145" s="4" t="s">
        <v>512</v>
      </c>
      <c r="M1145" s="86" t="str">
        <f>VLOOKUP(G1145,[1]Hoja1!$A:$O,15,0)</f>
        <v>GUTIERREZ NICOLAS</v>
      </c>
      <c r="N1145" s="2" t="str">
        <f t="shared" si="239"/>
        <v>7°2°7217EPRODEMI</v>
      </c>
      <c r="O1145" s="2"/>
      <c r="P1145" s="2" t="str">
        <f>VLOOKUP(G1145,[1]Hoja1!$A:$P,16,0)</f>
        <v xml:space="preserve"> </v>
      </c>
      <c r="Q1145" s="2"/>
      <c r="S1145">
        <f>VLOOKUP(G1145,[1]Hoja1!$A:$O,5,0)</f>
        <v>1913842</v>
      </c>
      <c r="U1145" s="45" t="s">
        <v>2751</v>
      </c>
      <c r="V1145" s="46">
        <f t="shared" si="233"/>
        <v>1913842</v>
      </c>
      <c r="W1145" s="47" t="s">
        <v>1519</v>
      </c>
      <c r="X1145" s="46" t="str">
        <f t="shared" si="234"/>
        <v>1</v>
      </c>
      <c r="Y1145" s="47" t="s">
        <v>1518</v>
      </c>
      <c r="Z1145" s="46" t="str">
        <f t="shared" si="235"/>
        <v>T</v>
      </c>
      <c r="AA1145" s="47" t="s">
        <v>2752</v>
      </c>
      <c r="AB1145" s="46" t="str">
        <f t="shared" si="236"/>
        <v>MIERCOLES</v>
      </c>
      <c r="AC1145" s="47" t="s">
        <v>2753</v>
      </c>
      <c r="AD1145" t="str">
        <f t="shared" si="237"/>
        <v>CONTRATURNO</v>
      </c>
      <c r="AE1145" s="47" t="s">
        <v>2754</v>
      </c>
      <c r="AH1145" t="str">
        <f t="shared" si="238"/>
        <v>INSERT INTO horario_curso_materia (horario_curso_materia.FK_CUR_mat,horario_curso_materia.FK_HOR,horario_curso_materia.DIA,horario_curso_materia.tipo_turno) VALUES (  (SELECT curso_materia.ID_CUR_MAT FROM curso_materia WHERE curso_materia.CUPOF='1913842' ) ,
    (SELECT horario.ID_HOR FROM horario WHERE horario.modulo='1 ' and horario.turno='T ' ),'MIERCOLES ' , 'CONTRATURNO ' );</v>
      </c>
    </row>
    <row r="1146" spans="1:34" ht="15" hidden="1" customHeight="1" x14ac:dyDescent="0.3">
      <c r="A1146" s="1" t="str">
        <f t="shared" si="222"/>
        <v>7°2°</v>
      </c>
      <c r="B1146" s="54" t="str">
        <f t="shared" si="219"/>
        <v>7°2°1LUVESPERTINO722</v>
      </c>
      <c r="C1146" s="62">
        <f>VLOOKUP(G1146,[1]Hoja1!$A:$O,3,0)</f>
        <v>722</v>
      </c>
      <c r="D1146" s="2" t="str">
        <f t="shared" si="221"/>
        <v>1LUV46</v>
      </c>
      <c r="E1146" s="62" t="s">
        <v>9</v>
      </c>
      <c r="F1146" s="62" t="s">
        <v>125</v>
      </c>
      <c r="G1146" s="62" t="s">
        <v>227</v>
      </c>
      <c r="H1146" s="8" t="str">
        <f>VLOOKUP(G1146,[1]Hoja1!$A:$O,6,0)</f>
        <v xml:space="preserve">PROYECTO Y DISEÑO ELECTRONICO </v>
      </c>
      <c r="I1146" s="4">
        <v>46</v>
      </c>
      <c r="J1146" s="4"/>
      <c r="K1146" s="80" t="str">
        <f t="shared" si="218"/>
        <v>LU</v>
      </c>
      <c r="L1146" s="4" t="s">
        <v>512</v>
      </c>
      <c r="M1146" s="86" t="str">
        <f>VLOOKUP(G1146,[1]Hoja1!$A:$O,15,0)</f>
        <v>CORDOBA ALEJANDRO</v>
      </c>
      <c r="N1146" s="2" t="str">
        <f t="shared" si="239"/>
        <v>7°2°7227EPRODELU</v>
      </c>
      <c r="O1146" s="2"/>
      <c r="P1146" s="2" t="str">
        <f>VLOOKUP(G1146,[1]Hoja1!$A:$P,16,0)</f>
        <v xml:space="preserve"> </v>
      </c>
      <c r="Q1146" s="2"/>
      <c r="S1146">
        <f>VLOOKUP(G1146,[1]Hoja1!$A:$O,5,0)</f>
        <v>1913848</v>
      </c>
      <c r="U1146" s="45" t="s">
        <v>2751</v>
      </c>
      <c r="V1146" s="46">
        <f t="shared" si="233"/>
        <v>1913848</v>
      </c>
      <c r="W1146" s="47" t="s">
        <v>1519</v>
      </c>
      <c r="X1146" s="46" t="str">
        <f t="shared" si="234"/>
        <v>1</v>
      </c>
      <c r="Y1146" s="47" t="s">
        <v>1518</v>
      </c>
      <c r="Z1146" s="46" t="str">
        <f t="shared" si="235"/>
        <v>V</v>
      </c>
      <c r="AA1146" s="47" t="s">
        <v>2752</v>
      </c>
      <c r="AB1146" s="46" t="str">
        <f t="shared" si="236"/>
        <v>LUNES</v>
      </c>
      <c r="AC1146" s="47" t="s">
        <v>2753</v>
      </c>
      <c r="AD1146" t="str">
        <f t="shared" si="237"/>
        <v>CONTRATURNO</v>
      </c>
      <c r="AE1146" s="47" t="s">
        <v>2754</v>
      </c>
      <c r="AH1146" t="str">
        <f t="shared" si="238"/>
        <v>INSERT INTO horario_curso_materia (horario_curso_materia.FK_CUR_mat,horario_curso_materia.FK_HOR,horario_curso_materia.DIA,horario_curso_materia.tipo_turno) VALUES (  (SELECT curso_materia.ID_CUR_MAT FROM curso_materia WHERE curso_materia.CUPOF='1913848' ) ,
    (SELECT horario.ID_HOR FROM horario WHERE horario.modulo='1 ' and horario.turno='V ' ),'LUNES ' , 'CONTRATURNO ' );</v>
      </c>
    </row>
    <row r="1147" spans="1:34" ht="15" hidden="1" customHeight="1" x14ac:dyDescent="0.3">
      <c r="A1147" s="50" t="str">
        <f t="shared" si="222"/>
        <v>7°2°</v>
      </c>
      <c r="B1147" s="54" t="str">
        <f t="shared" si="219"/>
        <v>7°2°1MATARDE722</v>
      </c>
      <c r="C1147" s="66">
        <f>VLOOKUP(G1147,[1]Hoja1!$A:$O,3,0)</f>
        <v>722</v>
      </c>
      <c r="D1147" s="51" t="str">
        <f t="shared" si="221"/>
        <v>1MATrobotica</v>
      </c>
      <c r="E1147" s="66" t="s">
        <v>17</v>
      </c>
      <c r="F1147" s="66" t="s">
        <v>10</v>
      </c>
      <c r="G1147" s="66" t="s">
        <v>230</v>
      </c>
      <c r="H1147" s="50" t="str">
        <f>VLOOKUP(G1147,[1]Hoja1!$A:$O,6,0)</f>
        <v>ELECTRONICA APLICADA</v>
      </c>
      <c r="I1147" s="76" t="s">
        <v>2757</v>
      </c>
      <c r="J1147" s="52"/>
      <c r="K1147" s="84" t="str">
        <f t="shared" si="218"/>
        <v>MA</v>
      </c>
      <c r="L1147" s="52" t="s">
        <v>512</v>
      </c>
      <c r="M1147" s="86" t="str">
        <f>VLOOKUP(G1147,[1]Hoja1!$A:$O,15,0)</f>
        <v>GUTIERREZ NICOLAS</v>
      </c>
      <c r="N1147" s="51" t="str">
        <f t="shared" si="239"/>
        <v>7°2°7227EELEAPMA</v>
      </c>
      <c r="O1147" s="51" t="s">
        <v>1358</v>
      </c>
      <c r="P1147" s="51" t="str">
        <f>VLOOKUP(G1147,[1]Hoja1!$A:$P,16,0)</f>
        <v xml:space="preserve"> </v>
      </c>
      <c r="Q1147" s="51"/>
      <c r="S1147">
        <f>VLOOKUP(G1147,[1]Hoja1!$A:$O,5,0)</f>
        <v>1913864</v>
      </c>
      <c r="U1147" s="45" t="s">
        <v>2751</v>
      </c>
      <c r="V1147" s="46">
        <f t="shared" si="233"/>
        <v>1913864</v>
      </c>
      <c r="W1147" s="47" t="s">
        <v>1519</v>
      </c>
      <c r="X1147" s="46" t="str">
        <f t="shared" si="234"/>
        <v>1</v>
      </c>
      <c r="Y1147" s="47" t="s">
        <v>1518</v>
      </c>
      <c r="Z1147" s="46" t="str">
        <f t="shared" si="235"/>
        <v>T</v>
      </c>
      <c r="AA1147" s="47" t="s">
        <v>2752</v>
      </c>
      <c r="AB1147" s="46" t="str">
        <f t="shared" si="236"/>
        <v>MARTES</v>
      </c>
      <c r="AC1147" s="47" t="s">
        <v>2753</v>
      </c>
      <c r="AD1147" t="str">
        <f t="shared" si="237"/>
        <v>CONTRATURNO</v>
      </c>
      <c r="AE1147" s="47" t="s">
        <v>2754</v>
      </c>
      <c r="AH1147" t="str">
        <f t="shared" si="238"/>
        <v>INSERT INTO horario_curso_materia (horario_curso_materia.FK_CUR_mat,horario_curso_materia.FK_HOR,horario_curso_materia.DIA,horario_curso_materia.tipo_turno) VALUES (  (SELECT curso_materia.ID_CUR_MAT FROM curso_materia WHERE curso_materia.CUPOF='1913864' ) ,
    (SELECT horario.ID_HOR FROM horario WHERE horario.modulo='1 ' and horario.turno='T ' ),'MARTES ' , 'CONTRATURNO ' );</v>
      </c>
    </row>
    <row r="1148" spans="1:34" ht="15" hidden="1" customHeight="1" x14ac:dyDescent="0.3">
      <c r="A1148" s="1" t="str">
        <f t="shared" si="222"/>
        <v>7°2°</v>
      </c>
      <c r="B1148" s="54" t="str">
        <f t="shared" si="219"/>
        <v>7°2°1MAVESPERTINO0</v>
      </c>
      <c r="C1148" s="62">
        <f>VLOOKUP(G1148,[1]Hoja1!$A:$O,3,0)</f>
        <v>0</v>
      </c>
      <c r="D1148" s="2" t="str">
        <f t="shared" si="221"/>
        <v>1MAVAULA 4</v>
      </c>
      <c r="E1148" s="62" t="s">
        <v>17</v>
      </c>
      <c r="F1148" s="62" t="s">
        <v>125</v>
      </c>
      <c r="G1148" s="62" t="s">
        <v>473</v>
      </c>
      <c r="H1148" s="8" t="str">
        <f>VLOOKUP(G1148,[1]Hoja1!$A:$O,6,0)</f>
        <v>SISTEMAS DE COMUNICACIONES</v>
      </c>
      <c r="I1148" s="4" t="s">
        <v>1485</v>
      </c>
      <c r="J1148" s="4"/>
      <c r="K1148" s="80" t="str">
        <f t="shared" ref="K1148:K1211" si="240">RIGHT(E1148,2)</f>
        <v>MA</v>
      </c>
      <c r="L1148" s="4" t="s">
        <v>512</v>
      </c>
      <c r="M1148" s="86" t="str">
        <f>VLOOKUP(G1148,[1]Hoja1!$A:$O,15,0)</f>
        <v>SERENO, LEONEL</v>
      </c>
      <c r="N1148" s="2" t="str">
        <f t="shared" si="239"/>
        <v>7°2°7ESISDCMA</v>
      </c>
      <c r="O1148" s="2"/>
      <c r="P1148" s="2" t="str">
        <f>VLOOKUP(G1148,[1]Hoja1!$A:$P,16,0)</f>
        <v xml:space="preserve"> </v>
      </c>
      <c r="Q1148" s="2"/>
      <c r="S1148">
        <f>VLOOKUP(G1148,[1]Hoja1!$A:$O,5,0)</f>
        <v>1913836</v>
      </c>
      <c r="U1148" s="45" t="s">
        <v>2751</v>
      </c>
      <c r="V1148" s="46">
        <f t="shared" si="233"/>
        <v>1913836</v>
      </c>
      <c r="W1148" s="47" t="s">
        <v>1519</v>
      </c>
      <c r="X1148" s="46" t="str">
        <f t="shared" si="234"/>
        <v>1</v>
      </c>
      <c r="Y1148" s="47" t="s">
        <v>1518</v>
      </c>
      <c r="Z1148" s="46" t="str">
        <f t="shared" si="235"/>
        <v>V</v>
      </c>
      <c r="AA1148" s="47" t="s">
        <v>2752</v>
      </c>
      <c r="AB1148" s="46" t="str">
        <f t="shared" si="236"/>
        <v>MARTES</v>
      </c>
      <c r="AC1148" s="47" t="s">
        <v>2753</v>
      </c>
      <c r="AD1148" t="str">
        <f t="shared" si="237"/>
        <v>CONTRATURNO</v>
      </c>
      <c r="AE1148" s="47" t="s">
        <v>2754</v>
      </c>
      <c r="AH1148" t="str">
        <f t="shared" si="238"/>
        <v>INSERT INTO horario_curso_materia (horario_curso_materia.FK_CUR_mat,horario_curso_materia.FK_HOR,horario_curso_materia.DIA,horario_curso_materia.tipo_turno) VALUES (  (SELECT curso_materia.ID_CUR_MAT FROM curso_materia WHERE curso_materia.CUPOF='1913836' ) ,
    (SELECT horario.ID_HOR FROM horario WHERE horario.modulo='1 ' and horario.turno='V ' ),'MARTES ' , 'CONTRATURNO ' );</v>
      </c>
    </row>
    <row r="1149" spans="1:34" ht="15" hidden="1" customHeight="1" x14ac:dyDescent="0.3">
      <c r="A1149" s="1" t="str">
        <f t="shared" si="222"/>
        <v>7°2°</v>
      </c>
      <c r="B1149" s="54" t="str">
        <f t="shared" si="219"/>
        <v>7°2°1VIVESPERTINO0</v>
      </c>
      <c r="C1149" s="62">
        <f>VLOOKUP(G1149,[1]Hoja1!$A:$O,3,0)</f>
        <v>0</v>
      </c>
      <c r="D1149" s="2" t="str">
        <f t="shared" si="221"/>
        <v>1VIV44</v>
      </c>
      <c r="E1149" s="62" t="s">
        <v>57</v>
      </c>
      <c r="F1149" s="62" t="s">
        <v>125</v>
      </c>
      <c r="G1149" s="62" t="s">
        <v>476</v>
      </c>
      <c r="H1149" s="8" t="str">
        <f>VLOOKUP(G1149,[1]Hoja1!$A:$O,6,0)</f>
        <v>SISTEMA DE CONTROL</v>
      </c>
      <c r="I1149" s="4">
        <v>44</v>
      </c>
      <c r="J1149" s="4"/>
      <c r="K1149" s="80" t="str">
        <f t="shared" si="240"/>
        <v>VI</v>
      </c>
      <c r="L1149" s="4"/>
      <c r="M1149" s="86" t="str">
        <f>VLOOKUP(G1149,[1]Hoja1!$A:$O,15,0)</f>
        <v>SAUCEDO GUSTAVO</v>
      </c>
      <c r="N1149" s="2" t="str">
        <f t="shared" si="239"/>
        <v>7°2°7ESIDCOVI</v>
      </c>
      <c r="O1149" s="2"/>
      <c r="P1149" s="2" t="str">
        <f>VLOOKUP(G1149,[1]Hoja1!$A:$P,16,0)</f>
        <v xml:space="preserve"> </v>
      </c>
      <c r="Q1149" s="2"/>
      <c r="S1149">
        <f>VLOOKUP(G1149,[1]Hoja1!$A:$O,5,0)</f>
        <v>1913831</v>
      </c>
      <c r="U1149" s="45" t="s">
        <v>2751</v>
      </c>
      <c r="V1149" s="46">
        <f t="shared" si="233"/>
        <v>1913831</v>
      </c>
      <c r="W1149" s="47" t="s">
        <v>1519</v>
      </c>
      <c r="X1149" s="46" t="str">
        <f t="shared" si="234"/>
        <v>1</v>
      </c>
      <c r="Y1149" s="47" t="s">
        <v>1518</v>
      </c>
      <c r="Z1149" s="46" t="str">
        <f t="shared" si="235"/>
        <v>V</v>
      </c>
      <c r="AA1149" s="47" t="s">
        <v>2752</v>
      </c>
      <c r="AB1149" s="46" t="str">
        <f t="shared" si="236"/>
        <v>VIERNES</v>
      </c>
      <c r="AC1149" s="47" t="s">
        <v>2753</v>
      </c>
      <c r="AD1149">
        <f t="shared" si="237"/>
        <v>0</v>
      </c>
      <c r="AE1149" s="47" t="s">
        <v>2754</v>
      </c>
      <c r="AH1149" t="str">
        <f t="shared" si="238"/>
        <v>INSERT INTO horario_curso_materia (horario_curso_materia.FK_CUR_mat,horario_curso_materia.FK_HOR,horario_curso_materia.DIA,horario_curso_materia.tipo_turno) VALUES (  (SELECT curso_materia.ID_CUR_MAT FROM curso_materia WHERE curso_materia.CUPOF='1913831' ) ,
    (SELECT horario.ID_HOR FROM horario WHERE horario.modulo='1 ' and horario.turno='V ' ),'VIERNES ' , '0 ' );</v>
      </c>
    </row>
    <row r="1150" spans="1:34" ht="15" hidden="1" customHeight="1" x14ac:dyDescent="0.3">
      <c r="A1150" s="1" t="str">
        <f t="shared" si="222"/>
        <v>7°2°</v>
      </c>
      <c r="B1150" s="54" t="str">
        <f t="shared" si="219"/>
        <v>7°2°2JUMAÑANA721</v>
      </c>
      <c r="C1150" s="62">
        <f>VLOOKUP(G1150,[1]Hoja1!$A:$O,3,0)</f>
        <v>721</v>
      </c>
      <c r="D1150" s="2" t="str">
        <f t="shared" si="221"/>
        <v>2JUM44</v>
      </c>
      <c r="E1150" s="62" t="s">
        <v>45</v>
      </c>
      <c r="F1150" s="62" t="s">
        <v>27</v>
      </c>
      <c r="G1150" s="62" t="s">
        <v>229</v>
      </c>
      <c r="H1150" s="8" t="str">
        <f>VLOOKUP(G1150,[1]Hoja1!$A:$O,6,0)</f>
        <v>INSTALACIONES INDUSTRIALES</v>
      </c>
      <c r="I1150" s="4">
        <v>44</v>
      </c>
      <c r="J1150" s="4"/>
      <c r="K1150" s="80" t="str">
        <f t="shared" si="240"/>
        <v>JU</v>
      </c>
      <c r="L1150" s="4" t="s">
        <v>512</v>
      </c>
      <c r="M1150" s="86" t="str">
        <f>VLOOKUP(G1150,[1]Hoja1!$A:$O,15,0)</f>
        <v>SAUCEDO GUSTAVO</v>
      </c>
      <c r="N1150" s="2" t="str">
        <f t="shared" si="239"/>
        <v>7°2°7217EINSINJU</v>
      </c>
      <c r="O1150" s="2"/>
      <c r="P1150" s="2" t="str">
        <f>VLOOKUP(G1150,[1]Hoja1!$A:$P,16,0)</f>
        <v xml:space="preserve"> </v>
      </c>
      <c r="Q1150" s="2"/>
      <c r="S1150">
        <f>VLOOKUP(G1150,[1]Hoja1!$A:$O,5,0)</f>
        <v>1913852</v>
      </c>
      <c r="U1150" s="45" t="s">
        <v>2751</v>
      </c>
      <c r="V1150" s="46">
        <f t="shared" si="233"/>
        <v>1913852</v>
      </c>
      <c r="W1150" s="47" t="s">
        <v>1519</v>
      </c>
      <c r="X1150" s="46" t="str">
        <f t="shared" si="234"/>
        <v>2</v>
      </c>
      <c r="Y1150" s="47" t="s">
        <v>1518</v>
      </c>
      <c r="Z1150" s="46" t="str">
        <f t="shared" si="235"/>
        <v>M</v>
      </c>
      <c r="AA1150" s="47" t="s">
        <v>2752</v>
      </c>
      <c r="AB1150" s="46" t="str">
        <f t="shared" si="236"/>
        <v>JUEVES</v>
      </c>
      <c r="AC1150" s="47" t="s">
        <v>2753</v>
      </c>
      <c r="AD1150" t="str">
        <f t="shared" si="237"/>
        <v>CONTRATURNO</v>
      </c>
      <c r="AE1150" s="47" t="s">
        <v>2754</v>
      </c>
      <c r="AH1150" t="str">
        <f t="shared" si="238"/>
        <v>INSERT INTO horario_curso_materia (horario_curso_materia.FK_CUR_mat,horario_curso_materia.FK_HOR,horario_curso_materia.DIA,horario_curso_materia.tipo_turno) VALUES (  (SELECT curso_materia.ID_CUR_MAT FROM curso_materia WHERE curso_materia.CUPOF='1913852' ) ,
    (SELECT horario.ID_HOR FROM horario WHERE horario.modulo='2 ' and horario.turno='M ' ),'JUEVES ' , 'CONTRATURNO ' );</v>
      </c>
    </row>
    <row r="1151" spans="1:34" ht="15" hidden="1" customHeight="1" thickBot="1" x14ac:dyDescent="0.35">
      <c r="A1151" s="1" t="str">
        <f t="shared" si="222"/>
        <v>7°2°</v>
      </c>
      <c r="B1151" s="54" t="str">
        <f t="shared" si="219"/>
        <v>7°2°2juVESPERTINO722</v>
      </c>
      <c r="C1151" s="62">
        <f>VLOOKUP(G1151,[1]Hoja1!$A:$O,3,0)</f>
        <v>722</v>
      </c>
      <c r="D1151" s="2" t="str">
        <f t="shared" si="221"/>
        <v>2juV33</v>
      </c>
      <c r="E1151" s="62" t="s">
        <v>1349</v>
      </c>
      <c r="F1151" s="62" t="s">
        <v>125</v>
      </c>
      <c r="G1151" s="62" t="s">
        <v>231</v>
      </c>
      <c r="H1151" s="8" t="str">
        <f>VLOOKUP(G1151,[1]Hoja1!$A:$O,6,0)</f>
        <v>INSTALACIONES INDUSTRIALES</v>
      </c>
      <c r="I1151" s="77">
        <v>33</v>
      </c>
      <c r="J1151" s="4"/>
      <c r="K1151" s="80" t="str">
        <f t="shared" si="240"/>
        <v>ju</v>
      </c>
      <c r="L1151" s="4" t="s">
        <v>512</v>
      </c>
      <c r="M1151" s="86" t="str">
        <f>VLOOKUP(G1151,[1]Hoja1!$A:$O,15,0)</f>
        <v>SERENO, LEONEL</v>
      </c>
      <c r="N1151" s="2" t="str">
        <f t="shared" si="239"/>
        <v>7°2°7227EINSINju</v>
      </c>
      <c r="O1151" s="2"/>
      <c r="P1151" s="2" t="str">
        <f>VLOOKUP(G1151,[1]Hoja1!$A:$P,16,0)</f>
        <v xml:space="preserve"> </v>
      </c>
      <c r="Q1151" s="2"/>
      <c r="S1151">
        <f>VLOOKUP(G1151,[1]Hoja1!$A:$O,5,0)</f>
        <v>1913857</v>
      </c>
      <c r="U1151" s="45" t="s">
        <v>2751</v>
      </c>
      <c r="V1151" s="46">
        <f t="shared" si="233"/>
        <v>1913857</v>
      </c>
      <c r="W1151" s="47" t="s">
        <v>1519</v>
      </c>
      <c r="X1151" s="46" t="str">
        <f t="shared" si="234"/>
        <v>2</v>
      </c>
      <c r="Y1151" s="47" t="s">
        <v>1518</v>
      </c>
      <c r="Z1151" s="46" t="str">
        <f t="shared" si="235"/>
        <v>V</v>
      </c>
      <c r="AA1151" s="47" t="s">
        <v>2752</v>
      </c>
      <c r="AB1151" s="46" t="str">
        <f t="shared" si="236"/>
        <v>JUEVES</v>
      </c>
      <c r="AC1151" s="47" t="s">
        <v>2753</v>
      </c>
      <c r="AD1151" t="str">
        <f t="shared" si="237"/>
        <v>CONTRATURNO</v>
      </c>
      <c r="AE1151" s="47" t="s">
        <v>2754</v>
      </c>
      <c r="AH1151" t="str">
        <f t="shared" si="238"/>
        <v>INSERT INTO horario_curso_materia (horario_curso_materia.FK_CUR_mat,horario_curso_materia.FK_HOR,horario_curso_materia.DIA,horario_curso_materia.tipo_turno) VALUES (  (SELECT curso_materia.ID_CUR_MAT FROM curso_materia WHERE curso_materia.CUPOF='1913857' ) ,
    (SELECT horario.ID_HOR FROM horario WHERE horario.modulo='2 ' and horario.turno='V ' ),'JUEVES ' , 'CONTRATURNO ' );</v>
      </c>
    </row>
    <row r="1152" spans="1:34" ht="15" hidden="1" customHeight="1" x14ac:dyDescent="0.3">
      <c r="A1152" s="1" t="str">
        <f t="shared" si="222"/>
        <v>7°2°</v>
      </c>
      <c r="B1152" s="54" t="str">
        <f t="shared" si="219"/>
        <v>7°2°2MITARDE721</v>
      </c>
      <c r="C1152" s="62">
        <f>VLOOKUP(G1152,[1]Hoja1!$A:$O,3,0)</f>
        <v>721</v>
      </c>
      <c r="D1152" s="2" t="str">
        <f t="shared" si="221"/>
        <v>2MITROBOTICA</v>
      </c>
      <c r="E1152" s="62" t="s">
        <v>26</v>
      </c>
      <c r="F1152" s="62" t="s">
        <v>10</v>
      </c>
      <c r="G1152" s="62" t="s">
        <v>228</v>
      </c>
      <c r="H1152" s="8" t="str">
        <f>VLOOKUP(G1152,[1]Hoja1!$A:$O,6,0)</f>
        <v xml:space="preserve">PROYECTO Y DISEÑO ELECTRONICO </v>
      </c>
      <c r="I1152" s="4" t="s">
        <v>2759</v>
      </c>
      <c r="J1152" s="4"/>
      <c r="K1152" s="80" t="str">
        <f t="shared" si="240"/>
        <v>MI</v>
      </c>
      <c r="L1152" s="4" t="s">
        <v>512</v>
      </c>
      <c r="M1152" s="86" t="str">
        <f>VLOOKUP(G1152,[1]Hoja1!$A:$O,15,0)</f>
        <v>GUTIERREZ NICOLAS</v>
      </c>
      <c r="N1152" s="2" t="str">
        <f t="shared" si="239"/>
        <v>7°2°7217EPRODEMI</v>
      </c>
      <c r="O1152" s="2"/>
      <c r="P1152" s="2" t="str">
        <f>VLOOKUP(G1152,[1]Hoja1!$A:$P,16,0)</f>
        <v xml:space="preserve"> </v>
      </c>
      <c r="Q1152" s="2"/>
      <c r="S1152">
        <f>VLOOKUP(G1152,[1]Hoja1!$A:$O,5,0)</f>
        <v>1913842</v>
      </c>
      <c r="U1152" s="45" t="s">
        <v>2751</v>
      </c>
      <c r="V1152" s="46">
        <f t="shared" si="233"/>
        <v>1913842</v>
      </c>
      <c r="W1152" s="47" t="s">
        <v>1519</v>
      </c>
      <c r="X1152" s="46" t="str">
        <f t="shared" si="234"/>
        <v>2</v>
      </c>
      <c r="Y1152" s="47" t="s">
        <v>1518</v>
      </c>
      <c r="Z1152" s="46" t="str">
        <f t="shared" si="235"/>
        <v>T</v>
      </c>
      <c r="AA1152" s="47" t="s">
        <v>2752</v>
      </c>
      <c r="AB1152" s="46" t="str">
        <f t="shared" si="236"/>
        <v>MIERCOLES</v>
      </c>
      <c r="AC1152" s="47" t="s">
        <v>2753</v>
      </c>
      <c r="AD1152" t="str">
        <f t="shared" si="237"/>
        <v>CONTRATURNO</v>
      </c>
      <c r="AE1152" s="47" t="s">
        <v>2754</v>
      </c>
      <c r="AH1152" t="str">
        <f t="shared" si="238"/>
        <v>INSERT INTO horario_curso_materia (horario_curso_materia.FK_CUR_mat,horario_curso_materia.FK_HOR,horario_curso_materia.DIA,horario_curso_materia.tipo_turno) VALUES (  (SELECT curso_materia.ID_CUR_MAT FROM curso_materia WHERE curso_materia.CUPOF='1913842' ) ,
    (SELECT horario.ID_HOR FROM horario WHERE horario.modulo='2 ' and horario.turno='T ' ),'MIERCOLES ' , 'CONTRATURNO ' );</v>
      </c>
    </row>
    <row r="1153" spans="1:34" ht="15" hidden="1" customHeight="1" x14ac:dyDescent="0.3">
      <c r="A1153" s="1" t="str">
        <f t="shared" si="222"/>
        <v>7°2°</v>
      </c>
      <c r="B1153" s="54" t="str">
        <f t="shared" si="219"/>
        <v>7°2°2LUVESPERTINO721</v>
      </c>
      <c r="C1153" s="62">
        <f>VLOOKUP(G1153,[1]Hoja1!$A:$O,3,0)</f>
        <v>721</v>
      </c>
      <c r="D1153" s="2" t="str">
        <f t="shared" si="221"/>
        <v>2LUV44</v>
      </c>
      <c r="E1153" s="68" t="s">
        <v>12</v>
      </c>
      <c r="F1153" s="62" t="s">
        <v>125</v>
      </c>
      <c r="G1153" s="62" t="s">
        <v>226</v>
      </c>
      <c r="H1153" s="8" t="str">
        <f>VLOOKUP(G1153,[1]Hoja1!$A:$O,6,0)</f>
        <v>ELECTRONICA APLICADA</v>
      </c>
      <c r="I1153" s="4">
        <v>44</v>
      </c>
      <c r="J1153" s="4"/>
      <c r="K1153" s="80" t="str">
        <f t="shared" si="240"/>
        <v>LU</v>
      </c>
      <c r="L1153" s="4" t="s">
        <v>512</v>
      </c>
      <c r="M1153" s="86" t="str">
        <f>VLOOKUP(G1153,[1]Hoja1!$A:$O,15,0)</f>
        <v>GUTIERREZ NICOLAS</v>
      </c>
      <c r="N1153" s="2" t="str">
        <f t="shared" si="239"/>
        <v>7°2°7217EELEAPLU</v>
      </c>
      <c r="O1153" s="2"/>
      <c r="P1153" s="2" t="str">
        <f>VLOOKUP(G1153,[1]Hoja1!$A:$P,16,0)</f>
        <v xml:space="preserve"> </v>
      </c>
      <c r="Q1153" s="2"/>
      <c r="S1153">
        <f>VLOOKUP(G1153,[1]Hoja1!$A:$O,5,0)</f>
        <v>1913862</v>
      </c>
      <c r="U1153" s="45" t="s">
        <v>2751</v>
      </c>
      <c r="V1153" s="46">
        <f t="shared" si="233"/>
        <v>1913862</v>
      </c>
      <c r="W1153" s="47" t="s">
        <v>1519</v>
      </c>
      <c r="X1153" s="46" t="str">
        <f t="shared" si="234"/>
        <v>2</v>
      </c>
      <c r="Y1153" s="47" t="s">
        <v>1518</v>
      </c>
      <c r="Z1153" s="46" t="str">
        <f t="shared" si="235"/>
        <v>V</v>
      </c>
      <c r="AA1153" s="47" t="s">
        <v>2752</v>
      </c>
      <c r="AB1153" s="46" t="str">
        <f t="shared" si="236"/>
        <v>LUNES</v>
      </c>
      <c r="AC1153" s="47" t="s">
        <v>2753</v>
      </c>
      <c r="AD1153" t="str">
        <f t="shared" si="237"/>
        <v>CONTRATURNO</v>
      </c>
      <c r="AE1153" s="47" t="s">
        <v>2754</v>
      </c>
      <c r="AH1153" t="str">
        <f t="shared" si="238"/>
        <v>INSERT INTO horario_curso_materia (horario_curso_materia.FK_CUR_mat,horario_curso_materia.FK_HOR,horario_curso_materia.DIA,horario_curso_materia.tipo_turno) VALUES (  (SELECT curso_materia.ID_CUR_MAT FROM curso_materia WHERE curso_materia.CUPOF='1913862' ) ,
    (SELECT horario.ID_HOR FROM horario WHERE horario.modulo='2 ' and horario.turno='V ' ),'LUNES ' , 'CONTRATURNO ' );</v>
      </c>
    </row>
    <row r="1154" spans="1:34" ht="15" hidden="1" customHeight="1" x14ac:dyDescent="0.3">
      <c r="A1154" s="1" t="str">
        <f t="shared" si="222"/>
        <v>7°2°</v>
      </c>
      <c r="B1154" s="54" t="str">
        <f t="shared" ref="B1154:B1211" si="241">CONCATENATE(LEFT(G1154,4),E1154,F1154,C1154)</f>
        <v>7°2°2LUVESPERTINO722</v>
      </c>
      <c r="C1154" s="62">
        <f>VLOOKUP(G1154,[1]Hoja1!$A:$O,3,0)</f>
        <v>722</v>
      </c>
      <c r="D1154" s="2" t="str">
        <f t="shared" si="221"/>
        <v>2LUV46</v>
      </c>
      <c r="E1154" s="62" t="s">
        <v>12</v>
      </c>
      <c r="F1154" s="62" t="s">
        <v>125</v>
      </c>
      <c r="G1154" s="62" t="s">
        <v>227</v>
      </c>
      <c r="H1154" s="8" t="str">
        <f>VLOOKUP(G1154,[1]Hoja1!$A:$O,6,0)</f>
        <v xml:space="preserve">PROYECTO Y DISEÑO ELECTRONICO </v>
      </c>
      <c r="I1154" s="4">
        <v>46</v>
      </c>
      <c r="J1154" s="4"/>
      <c r="K1154" s="80" t="str">
        <f t="shared" si="240"/>
        <v>LU</v>
      </c>
      <c r="L1154" s="4" t="s">
        <v>512</v>
      </c>
      <c r="M1154" s="86" t="str">
        <f>VLOOKUP(G1154,[1]Hoja1!$A:$O,15,0)</f>
        <v>CORDOBA ALEJANDRO</v>
      </c>
      <c r="N1154" s="2" t="str">
        <f t="shared" si="239"/>
        <v>7°2°7227EPRODELU</v>
      </c>
      <c r="O1154" s="2"/>
      <c r="P1154" s="2" t="str">
        <f>VLOOKUP(G1154,[1]Hoja1!$A:$P,16,0)</f>
        <v xml:space="preserve"> </v>
      </c>
      <c r="Q1154" s="2"/>
      <c r="S1154">
        <f>VLOOKUP(G1154,[1]Hoja1!$A:$O,5,0)</f>
        <v>1913848</v>
      </c>
      <c r="U1154" s="45" t="s">
        <v>2751</v>
      </c>
      <c r="V1154" s="46">
        <f t="shared" si="233"/>
        <v>1913848</v>
      </c>
      <c r="W1154" s="47" t="s">
        <v>1519</v>
      </c>
      <c r="X1154" s="46" t="str">
        <f t="shared" si="234"/>
        <v>2</v>
      </c>
      <c r="Y1154" s="47" t="s">
        <v>1518</v>
      </c>
      <c r="Z1154" s="46" t="str">
        <f t="shared" si="235"/>
        <v>V</v>
      </c>
      <c r="AA1154" s="47" t="s">
        <v>2752</v>
      </c>
      <c r="AB1154" s="46" t="str">
        <f t="shared" si="236"/>
        <v>LUNES</v>
      </c>
      <c r="AC1154" s="47" t="s">
        <v>2753</v>
      </c>
      <c r="AD1154" t="str">
        <f t="shared" si="237"/>
        <v>CONTRATURNO</v>
      </c>
      <c r="AE1154" s="47" t="s">
        <v>2754</v>
      </c>
      <c r="AH1154" t="str">
        <f t="shared" si="238"/>
        <v>INSERT INTO horario_curso_materia (horario_curso_materia.FK_CUR_mat,horario_curso_materia.FK_HOR,horario_curso_materia.DIA,horario_curso_materia.tipo_turno) VALUES (  (SELECT curso_materia.ID_CUR_MAT FROM curso_materia WHERE curso_materia.CUPOF='1913848' ) ,
    (SELECT horario.ID_HOR FROM horario WHERE horario.modulo='2 ' and horario.turno='V ' ),'LUNES ' , 'CONTRATURNO ' );</v>
      </c>
    </row>
    <row r="1155" spans="1:34" ht="15" hidden="1" customHeight="1" x14ac:dyDescent="0.3">
      <c r="A1155" s="50" t="str">
        <f t="shared" si="222"/>
        <v>7°2°</v>
      </c>
      <c r="B1155" s="54" t="str">
        <f t="shared" si="241"/>
        <v>7°2°2MATARDE722</v>
      </c>
      <c r="C1155" s="66">
        <f>VLOOKUP(G1155,[1]Hoja1!$A:$O,3,0)</f>
        <v>722</v>
      </c>
      <c r="D1155" s="51" t="str">
        <f t="shared" si="221"/>
        <v>2MATrobotica</v>
      </c>
      <c r="E1155" s="66" t="s">
        <v>19</v>
      </c>
      <c r="F1155" s="66" t="s">
        <v>10</v>
      </c>
      <c r="G1155" s="66" t="s">
        <v>230</v>
      </c>
      <c r="H1155" s="50" t="str">
        <f>VLOOKUP(G1155,[1]Hoja1!$A:$O,6,0)</f>
        <v>ELECTRONICA APLICADA</v>
      </c>
      <c r="I1155" s="76" t="s">
        <v>2757</v>
      </c>
      <c r="J1155" s="52"/>
      <c r="K1155" s="84" t="str">
        <f t="shared" si="240"/>
        <v>MA</v>
      </c>
      <c r="L1155" s="52" t="s">
        <v>512</v>
      </c>
      <c r="M1155" s="86" t="str">
        <f>VLOOKUP(G1155,[1]Hoja1!$A:$O,15,0)</f>
        <v>GUTIERREZ NICOLAS</v>
      </c>
      <c r="N1155" s="51" t="str">
        <f t="shared" si="239"/>
        <v>7°2°7227EELEAPMA</v>
      </c>
      <c r="O1155" s="51" t="s">
        <v>1359</v>
      </c>
      <c r="P1155" s="51" t="str">
        <f>VLOOKUP(G1155,[1]Hoja1!$A:$P,16,0)</f>
        <v xml:space="preserve"> </v>
      </c>
      <c r="Q1155" s="51"/>
      <c r="S1155">
        <f>VLOOKUP(G1155,[1]Hoja1!$A:$O,5,0)</f>
        <v>1913864</v>
      </c>
      <c r="U1155" s="45" t="s">
        <v>2751</v>
      </c>
      <c r="V1155" s="46">
        <f t="shared" si="233"/>
        <v>1913864</v>
      </c>
      <c r="W1155" s="47" t="s">
        <v>1519</v>
      </c>
      <c r="X1155" s="46" t="str">
        <f t="shared" si="234"/>
        <v>2</v>
      </c>
      <c r="Y1155" s="47" t="s">
        <v>1518</v>
      </c>
      <c r="Z1155" s="46" t="str">
        <f t="shared" si="235"/>
        <v>T</v>
      </c>
      <c r="AA1155" s="47" t="s">
        <v>2752</v>
      </c>
      <c r="AB1155" s="46" t="str">
        <f t="shared" si="236"/>
        <v>MARTES</v>
      </c>
      <c r="AC1155" s="47" t="s">
        <v>2753</v>
      </c>
      <c r="AD1155" t="str">
        <f t="shared" si="237"/>
        <v>CONTRATURNO</v>
      </c>
      <c r="AE1155" s="47" t="s">
        <v>2754</v>
      </c>
      <c r="AH1155" t="str">
        <f t="shared" si="238"/>
        <v>INSERT INTO horario_curso_materia (horario_curso_materia.FK_CUR_mat,horario_curso_materia.FK_HOR,horario_curso_materia.DIA,horario_curso_materia.tipo_turno) VALUES (  (SELECT curso_materia.ID_CUR_MAT FROM curso_materia WHERE curso_materia.CUPOF='1913864' ) ,
    (SELECT horario.ID_HOR FROM horario WHERE horario.modulo='2 ' and horario.turno='T ' ),'MARTES ' , 'CONTRATURNO ' );</v>
      </c>
    </row>
    <row r="1156" spans="1:34" ht="15" hidden="1" customHeight="1" x14ac:dyDescent="0.3">
      <c r="A1156" s="1" t="str">
        <f t="shared" ref="A1156:A1187" si="242">LEFT(B1156,4)</f>
        <v>7°2°</v>
      </c>
      <c r="B1156" s="54" t="str">
        <f t="shared" si="241"/>
        <v>7°2°2MAVESPERTINO0</v>
      </c>
      <c r="C1156" s="62">
        <f>VLOOKUP(G1156,[1]Hoja1!$A:$O,3,0)</f>
        <v>0</v>
      </c>
      <c r="D1156" s="2" t="str">
        <f t="shared" si="221"/>
        <v>2MAVAULA 4</v>
      </c>
      <c r="E1156" s="62" t="s">
        <v>19</v>
      </c>
      <c r="F1156" s="62" t="s">
        <v>125</v>
      </c>
      <c r="G1156" s="62" t="s">
        <v>473</v>
      </c>
      <c r="H1156" s="8" t="str">
        <f>VLOOKUP(G1156,[1]Hoja1!$A:$O,6,0)</f>
        <v>SISTEMAS DE COMUNICACIONES</v>
      </c>
      <c r="I1156" s="4" t="s">
        <v>1485</v>
      </c>
      <c r="J1156" s="4"/>
      <c r="K1156" s="80" t="str">
        <f t="shared" si="240"/>
        <v>MA</v>
      </c>
      <c r="L1156" s="4" t="s">
        <v>512</v>
      </c>
      <c r="M1156" s="86" t="str">
        <f>VLOOKUP(G1156,[1]Hoja1!$A:$O,15,0)</f>
        <v>SERENO, LEONEL</v>
      </c>
      <c r="N1156" s="2" t="str">
        <f t="shared" si="239"/>
        <v>7°2°7ESISDCMA</v>
      </c>
      <c r="O1156" s="2"/>
      <c r="P1156" s="2" t="str">
        <f>VLOOKUP(G1156,[1]Hoja1!$A:$P,16,0)</f>
        <v xml:space="preserve"> </v>
      </c>
      <c r="Q1156" s="2"/>
      <c r="S1156">
        <f>VLOOKUP(G1156,[1]Hoja1!$A:$O,5,0)</f>
        <v>1913836</v>
      </c>
      <c r="U1156" s="45" t="s">
        <v>2751</v>
      </c>
      <c r="V1156" s="46">
        <f t="shared" si="233"/>
        <v>1913836</v>
      </c>
      <c r="W1156" s="47" t="s">
        <v>1519</v>
      </c>
      <c r="X1156" s="46" t="str">
        <f t="shared" si="234"/>
        <v>2</v>
      </c>
      <c r="Y1156" s="47" t="s">
        <v>1518</v>
      </c>
      <c r="Z1156" s="46" t="str">
        <f t="shared" si="235"/>
        <v>V</v>
      </c>
      <c r="AA1156" s="47" t="s">
        <v>2752</v>
      </c>
      <c r="AB1156" s="46" t="str">
        <f t="shared" si="236"/>
        <v>MARTES</v>
      </c>
      <c r="AC1156" s="47" t="s">
        <v>2753</v>
      </c>
      <c r="AD1156" t="str">
        <f t="shared" si="237"/>
        <v>CONTRATURNO</v>
      </c>
      <c r="AE1156" s="47" t="s">
        <v>2754</v>
      </c>
      <c r="AH1156" t="str">
        <f t="shared" si="238"/>
        <v>INSERT INTO horario_curso_materia (horario_curso_materia.FK_CUR_mat,horario_curso_materia.FK_HOR,horario_curso_materia.DIA,horario_curso_materia.tipo_turno) VALUES (  (SELECT curso_materia.ID_CUR_MAT FROM curso_materia WHERE curso_materia.CUPOF='1913836' ) ,
    (SELECT horario.ID_HOR FROM horario WHERE horario.modulo='2 ' and horario.turno='V ' ),'MARTES ' , 'CONTRATURNO ' );</v>
      </c>
    </row>
    <row r="1157" spans="1:34" ht="15" hidden="1" customHeight="1" x14ac:dyDescent="0.3">
      <c r="A1157" s="1" t="str">
        <f t="shared" si="242"/>
        <v>7°2°</v>
      </c>
      <c r="B1157" s="54" t="str">
        <f t="shared" si="241"/>
        <v>7°2°1miVESPERTINO0</v>
      </c>
      <c r="C1157" s="62">
        <f>VLOOKUP(G1157,[1]Hoja1!$A:$O,3,0)</f>
        <v>0</v>
      </c>
      <c r="D1157" s="2" t="str">
        <f t="shared" si="221"/>
        <v>1miV</v>
      </c>
      <c r="E1157" s="62" t="s">
        <v>55</v>
      </c>
      <c r="F1157" s="62" t="s">
        <v>125</v>
      </c>
      <c r="G1157" s="62" t="s">
        <v>474</v>
      </c>
      <c r="H1157" s="8" t="str">
        <f>VLOOKUP(G1157,[1]Hoja1!$A:$O,6,0)</f>
        <v>SEGURIDAD, HIGIENE Y PROTECCION AMBIENTAL</v>
      </c>
      <c r="I1157" s="4"/>
      <c r="J1157" s="4"/>
      <c r="K1157" s="80" t="str">
        <f t="shared" si="240"/>
        <v>mi</v>
      </c>
      <c r="L1157" s="4"/>
      <c r="M1157" s="86" t="str">
        <f>VLOOKUP(G1157,[1]Hoja1!$A:$O,15,0)</f>
        <v>ARGAÑARAZ ANGEL</v>
      </c>
      <c r="N1157" s="2" t="str">
        <f t="shared" si="239"/>
        <v>7°2°7ESEHPAmi</v>
      </c>
      <c r="O1157" s="2"/>
      <c r="P1157" s="2" t="str">
        <f>VLOOKUP(G1157,[1]Hoja1!$A:$P,16,0)</f>
        <v xml:space="preserve"> </v>
      </c>
      <c r="Q1157" s="2"/>
      <c r="S1157">
        <f>VLOOKUP(G1157,[1]Hoja1!$A:$O,5,0)</f>
        <v>1913839</v>
      </c>
      <c r="U1157" s="45" t="s">
        <v>2751</v>
      </c>
      <c r="V1157" s="46">
        <f t="shared" si="233"/>
        <v>1913839</v>
      </c>
      <c r="W1157" s="47" t="s">
        <v>1519</v>
      </c>
      <c r="X1157" s="46" t="str">
        <f t="shared" si="234"/>
        <v>1</v>
      </c>
      <c r="Y1157" s="47" t="s">
        <v>1518</v>
      </c>
      <c r="Z1157" s="46" t="str">
        <f t="shared" si="235"/>
        <v>V</v>
      </c>
      <c r="AA1157" s="47" t="s">
        <v>2752</v>
      </c>
      <c r="AB1157" s="46" t="str">
        <f t="shared" si="236"/>
        <v>MIERCOLES</v>
      </c>
      <c r="AC1157" s="47" t="s">
        <v>2753</v>
      </c>
      <c r="AD1157">
        <f t="shared" si="237"/>
        <v>0</v>
      </c>
      <c r="AE1157" s="47" t="s">
        <v>2754</v>
      </c>
      <c r="AH1157" t="str">
        <f t="shared" si="238"/>
        <v>INSERT INTO horario_curso_materia (horario_curso_materia.FK_CUR_mat,horario_curso_materia.FK_HOR,horario_curso_materia.DIA,horario_curso_materia.tipo_turno) VALUES (  (SELECT curso_materia.ID_CUR_MAT FROM curso_materia WHERE curso_materia.CUPOF='1913839' ) ,
    (SELECT horario.ID_HOR FROM horario WHERE horario.modulo='1 ' and horario.turno='V ' ),'MIERCOLES ' , '0 ' );</v>
      </c>
    </row>
    <row r="1158" spans="1:34" ht="15" hidden="1" customHeight="1" x14ac:dyDescent="0.3">
      <c r="A1158" s="1" t="str">
        <f t="shared" si="242"/>
        <v>7°2°</v>
      </c>
      <c r="B1158" s="54" t="str">
        <f t="shared" si="241"/>
        <v>7°2°2VIVESPERTINO0</v>
      </c>
      <c r="C1158" s="62">
        <f>VLOOKUP(G1158,[1]Hoja1!$A:$O,3,0)</f>
        <v>0</v>
      </c>
      <c r="D1158" s="2" t="str">
        <f t="shared" si="221"/>
        <v>2VIV44</v>
      </c>
      <c r="E1158" s="62" t="s">
        <v>59</v>
      </c>
      <c r="F1158" s="62" t="s">
        <v>125</v>
      </c>
      <c r="G1158" s="62" t="s">
        <v>476</v>
      </c>
      <c r="H1158" s="8" t="str">
        <f>VLOOKUP(G1158,[1]Hoja1!$A:$O,6,0)</f>
        <v>SISTEMA DE CONTROL</v>
      </c>
      <c r="I1158" s="4">
        <v>44</v>
      </c>
      <c r="J1158" s="4"/>
      <c r="K1158" s="80" t="str">
        <f t="shared" si="240"/>
        <v>VI</v>
      </c>
      <c r="L1158" s="4"/>
      <c r="M1158" s="86" t="str">
        <f>VLOOKUP(G1158,[1]Hoja1!$A:$O,15,0)</f>
        <v>SAUCEDO GUSTAVO</v>
      </c>
      <c r="N1158" s="2" t="str">
        <f t="shared" si="239"/>
        <v>7°2°7ESIDCOVI</v>
      </c>
      <c r="O1158" s="2"/>
      <c r="P1158" s="2" t="str">
        <f>VLOOKUP(G1158,[1]Hoja1!$A:$P,16,0)</f>
        <v xml:space="preserve"> </v>
      </c>
      <c r="Q1158" s="2"/>
      <c r="S1158">
        <f>VLOOKUP(G1158,[1]Hoja1!$A:$O,5,0)</f>
        <v>1913831</v>
      </c>
      <c r="U1158" s="45" t="s">
        <v>2751</v>
      </c>
      <c r="V1158" s="46">
        <f t="shared" si="233"/>
        <v>1913831</v>
      </c>
      <c r="W1158" s="47" t="s">
        <v>1519</v>
      </c>
      <c r="X1158" s="46" t="str">
        <f t="shared" si="234"/>
        <v>2</v>
      </c>
      <c r="Y1158" s="47" t="s">
        <v>1518</v>
      </c>
      <c r="Z1158" s="46" t="str">
        <f t="shared" si="235"/>
        <v>V</v>
      </c>
      <c r="AA1158" s="47" t="s">
        <v>2752</v>
      </c>
      <c r="AB1158" s="46" t="str">
        <f t="shared" si="236"/>
        <v>VIERNES</v>
      </c>
      <c r="AC1158" s="47" t="s">
        <v>2753</v>
      </c>
      <c r="AD1158">
        <f t="shared" si="237"/>
        <v>0</v>
      </c>
      <c r="AE1158" s="47" t="s">
        <v>2754</v>
      </c>
      <c r="AH1158" t="str">
        <f t="shared" si="238"/>
        <v>INSERT INTO horario_curso_materia (horario_curso_materia.FK_CUR_mat,horario_curso_materia.FK_HOR,horario_curso_materia.DIA,horario_curso_materia.tipo_turno) VALUES (  (SELECT curso_materia.ID_CUR_MAT FROM curso_materia WHERE curso_materia.CUPOF='1913831' ) ,
    (SELECT horario.ID_HOR FROM horario WHERE horario.modulo='2 ' and horario.turno='V ' ),'VIERNES ' , '0 ' );</v>
      </c>
    </row>
    <row r="1159" spans="1:34" ht="15" hidden="1" customHeight="1" thickBot="1" x14ac:dyDescent="0.35">
      <c r="A1159" s="1" t="str">
        <f t="shared" si="242"/>
        <v>7°2°</v>
      </c>
      <c r="B1159" s="54" t="str">
        <f t="shared" si="241"/>
        <v>7°2°3JUMAÑANA721</v>
      </c>
      <c r="C1159" s="62">
        <f>VLOOKUP(G1159,[1]Hoja1!$A:$O,3,0)</f>
        <v>721</v>
      </c>
      <c r="D1159" s="2" t="str">
        <f t="shared" si="221"/>
        <v>3JUM44</v>
      </c>
      <c r="E1159" s="62" t="s">
        <v>46</v>
      </c>
      <c r="F1159" s="62" t="s">
        <v>27</v>
      </c>
      <c r="G1159" s="62" t="s">
        <v>229</v>
      </c>
      <c r="H1159" s="8" t="str">
        <f>VLOOKUP(G1159,[1]Hoja1!$A:$O,6,0)</f>
        <v>INSTALACIONES INDUSTRIALES</v>
      </c>
      <c r="I1159" s="77">
        <v>44</v>
      </c>
      <c r="J1159" s="4"/>
      <c r="K1159" s="80" t="str">
        <f t="shared" si="240"/>
        <v>JU</v>
      </c>
      <c r="L1159" s="4" t="s">
        <v>512</v>
      </c>
      <c r="M1159" s="86" t="str">
        <f>VLOOKUP(G1159,[1]Hoja1!$A:$O,15,0)</f>
        <v>SAUCEDO GUSTAVO</v>
      </c>
      <c r="N1159" s="2" t="str">
        <f t="shared" si="239"/>
        <v>7°2°7217EINSINJU</v>
      </c>
      <c r="O1159" s="2"/>
      <c r="P1159" s="2" t="str">
        <f>VLOOKUP(G1159,[1]Hoja1!$A:$P,16,0)</f>
        <v xml:space="preserve"> </v>
      </c>
      <c r="Q1159" s="2"/>
      <c r="S1159">
        <f>VLOOKUP(G1159,[1]Hoja1!$A:$O,5,0)</f>
        <v>1913852</v>
      </c>
      <c r="U1159" s="45" t="s">
        <v>2751</v>
      </c>
      <c r="V1159" s="46">
        <f t="shared" si="233"/>
        <v>1913852</v>
      </c>
      <c r="W1159" s="47" t="s">
        <v>1519</v>
      </c>
      <c r="X1159" s="46" t="str">
        <f t="shared" si="234"/>
        <v>3</v>
      </c>
      <c r="Y1159" s="47" t="s">
        <v>1518</v>
      </c>
      <c r="Z1159" s="46" t="str">
        <f t="shared" si="235"/>
        <v>M</v>
      </c>
      <c r="AA1159" s="47" t="s">
        <v>2752</v>
      </c>
      <c r="AB1159" s="46" t="str">
        <f t="shared" si="236"/>
        <v>JUEVES</v>
      </c>
      <c r="AC1159" s="47" t="s">
        <v>2753</v>
      </c>
      <c r="AD1159" t="str">
        <f t="shared" si="237"/>
        <v>CONTRATURNO</v>
      </c>
      <c r="AE1159" s="47" t="s">
        <v>2754</v>
      </c>
      <c r="AH1159" t="str">
        <f t="shared" si="238"/>
        <v>INSERT INTO horario_curso_materia (horario_curso_materia.FK_CUR_mat,horario_curso_materia.FK_HOR,horario_curso_materia.DIA,horario_curso_materia.tipo_turno) VALUES (  (SELECT curso_materia.ID_CUR_MAT FROM curso_materia WHERE curso_materia.CUPOF='1913852' ) ,
    (SELECT horario.ID_HOR FROM horario WHERE horario.modulo='3 ' and horario.turno='M ' ),'JUEVES ' , 'CONTRATURNO ' );</v>
      </c>
    </row>
    <row r="1160" spans="1:34" ht="15" hidden="1" customHeight="1" x14ac:dyDescent="0.3">
      <c r="A1160" s="1" t="str">
        <f t="shared" si="242"/>
        <v>7°2°</v>
      </c>
      <c r="B1160" s="54" t="str">
        <f t="shared" si="241"/>
        <v>7°2°3juVESPERTINO722</v>
      </c>
      <c r="C1160" s="62">
        <f>VLOOKUP(G1160,[1]Hoja1!$A:$O,3,0)</f>
        <v>722</v>
      </c>
      <c r="D1160" s="2" t="str">
        <f t="shared" si="221"/>
        <v>3juV33</v>
      </c>
      <c r="E1160" s="62" t="s">
        <v>1350</v>
      </c>
      <c r="F1160" s="62" t="s">
        <v>125</v>
      </c>
      <c r="G1160" s="62" t="s">
        <v>231</v>
      </c>
      <c r="H1160" s="8" t="str">
        <f>VLOOKUP(G1160,[1]Hoja1!$A:$O,6,0)</f>
        <v>INSTALACIONES INDUSTRIALES</v>
      </c>
      <c r="I1160" s="4">
        <v>33</v>
      </c>
      <c r="J1160" s="4"/>
      <c r="K1160" s="80" t="str">
        <f t="shared" si="240"/>
        <v>ju</v>
      </c>
      <c r="L1160" s="4" t="s">
        <v>512</v>
      </c>
      <c r="M1160" s="86" t="str">
        <f>VLOOKUP(G1160,[1]Hoja1!$A:$O,15,0)</f>
        <v>SERENO, LEONEL</v>
      </c>
      <c r="N1160" s="2" t="str">
        <f t="shared" si="239"/>
        <v>7°2°7227EINSINju</v>
      </c>
      <c r="O1160" s="2"/>
      <c r="P1160" s="2" t="str">
        <f>VLOOKUP(G1160,[1]Hoja1!$A:$P,16,0)</f>
        <v xml:space="preserve"> </v>
      </c>
      <c r="Q1160" s="2"/>
      <c r="S1160">
        <f>VLOOKUP(G1160,[1]Hoja1!$A:$O,5,0)</f>
        <v>1913857</v>
      </c>
      <c r="U1160" s="45" t="s">
        <v>2751</v>
      </c>
      <c r="V1160" s="46">
        <f t="shared" si="233"/>
        <v>1913857</v>
      </c>
      <c r="W1160" s="47" t="s">
        <v>1519</v>
      </c>
      <c r="X1160" s="46" t="str">
        <f t="shared" si="234"/>
        <v>3</v>
      </c>
      <c r="Y1160" s="47" t="s">
        <v>1518</v>
      </c>
      <c r="Z1160" s="46" t="str">
        <f t="shared" si="235"/>
        <v>V</v>
      </c>
      <c r="AA1160" s="47" t="s">
        <v>2752</v>
      </c>
      <c r="AB1160" s="46" t="str">
        <f t="shared" si="236"/>
        <v>JUEVES</v>
      </c>
      <c r="AC1160" s="47" t="s">
        <v>2753</v>
      </c>
      <c r="AD1160" t="str">
        <f t="shared" si="237"/>
        <v>CONTRATURNO</v>
      </c>
      <c r="AE1160" s="47" t="s">
        <v>2754</v>
      </c>
      <c r="AH1160" t="str">
        <f t="shared" si="238"/>
        <v>INSERT INTO horario_curso_materia (horario_curso_materia.FK_CUR_mat,horario_curso_materia.FK_HOR,horario_curso_materia.DIA,horario_curso_materia.tipo_turno) VALUES (  (SELECT curso_materia.ID_CUR_MAT FROM curso_materia WHERE curso_materia.CUPOF='1913857' ) ,
    (SELECT horario.ID_HOR FROM horario WHERE horario.modulo='3 ' and horario.turno='V ' ),'JUEVES ' , 'CONTRATURNO ' );</v>
      </c>
    </row>
    <row r="1161" spans="1:34" ht="15" hidden="1" customHeight="1" x14ac:dyDescent="0.3">
      <c r="A1161" s="1" t="str">
        <f t="shared" si="242"/>
        <v>7°2°</v>
      </c>
      <c r="B1161" s="54" t="str">
        <f t="shared" si="241"/>
        <v>7°2°3MITARDE721</v>
      </c>
      <c r="C1161" s="62">
        <f>VLOOKUP(G1161,[1]Hoja1!$A:$O,3,0)</f>
        <v>721</v>
      </c>
      <c r="D1161" s="2" t="str">
        <f t="shared" si="221"/>
        <v>3MITROBOTICA</v>
      </c>
      <c r="E1161" s="62" t="s">
        <v>50</v>
      </c>
      <c r="F1161" s="62" t="s">
        <v>10</v>
      </c>
      <c r="G1161" s="62" t="s">
        <v>228</v>
      </c>
      <c r="H1161" s="8" t="str">
        <f>VLOOKUP(G1161,[1]Hoja1!$A:$O,6,0)</f>
        <v xml:space="preserve">PROYECTO Y DISEÑO ELECTRONICO </v>
      </c>
      <c r="I1161" s="4" t="s">
        <v>2759</v>
      </c>
      <c r="J1161" s="4"/>
      <c r="K1161" s="80" t="str">
        <f t="shared" si="240"/>
        <v>MI</v>
      </c>
      <c r="L1161" s="4" t="s">
        <v>512</v>
      </c>
      <c r="M1161" s="86" t="str">
        <f>VLOOKUP(G1161,[1]Hoja1!$A:$O,15,0)</f>
        <v>GUTIERREZ NICOLAS</v>
      </c>
      <c r="N1161" s="2" t="str">
        <f t="shared" si="239"/>
        <v>7°2°7217EPRODEMI</v>
      </c>
      <c r="O1161" s="2"/>
      <c r="P1161" s="2" t="str">
        <f>VLOOKUP(G1161,[1]Hoja1!$A:$P,16,0)</f>
        <v xml:space="preserve"> </v>
      </c>
      <c r="Q1161" s="2"/>
      <c r="S1161">
        <f>VLOOKUP(G1161,[1]Hoja1!$A:$O,5,0)</f>
        <v>1913842</v>
      </c>
      <c r="U1161" s="45" t="s">
        <v>2751</v>
      </c>
      <c r="V1161" s="46">
        <f t="shared" si="233"/>
        <v>1913842</v>
      </c>
      <c r="W1161" s="47" t="s">
        <v>1519</v>
      </c>
      <c r="X1161" s="46" t="str">
        <f t="shared" si="234"/>
        <v>3</v>
      </c>
      <c r="Y1161" s="47" t="s">
        <v>1518</v>
      </c>
      <c r="Z1161" s="46" t="str">
        <f t="shared" si="235"/>
        <v>T</v>
      </c>
      <c r="AA1161" s="47" t="s">
        <v>2752</v>
      </c>
      <c r="AB1161" s="46" t="str">
        <f t="shared" si="236"/>
        <v>MIERCOLES</v>
      </c>
      <c r="AC1161" s="47" t="s">
        <v>2753</v>
      </c>
      <c r="AD1161" t="str">
        <f t="shared" si="237"/>
        <v>CONTRATURNO</v>
      </c>
      <c r="AE1161" s="47" t="s">
        <v>2754</v>
      </c>
      <c r="AH1161" t="str">
        <f t="shared" si="238"/>
        <v>INSERT INTO horario_curso_materia (horario_curso_materia.FK_CUR_mat,horario_curso_materia.FK_HOR,horario_curso_materia.DIA,horario_curso_materia.tipo_turno) VALUES (  (SELECT curso_materia.ID_CUR_MAT FROM curso_materia WHERE curso_materia.CUPOF='1913842' ) ,
    (SELECT horario.ID_HOR FROM horario WHERE horario.modulo='3 ' and horario.turno='T ' ),'MIERCOLES ' , 'CONTRATURNO ' );</v>
      </c>
    </row>
    <row r="1162" spans="1:34" ht="15" hidden="1" customHeight="1" x14ac:dyDescent="0.3">
      <c r="A1162" s="1" t="str">
        <f t="shared" si="242"/>
        <v>7°2°</v>
      </c>
      <c r="B1162" s="54" t="str">
        <f t="shared" si="241"/>
        <v>7°2°3LUVESPERTINO721</v>
      </c>
      <c r="C1162" s="62">
        <f>VLOOKUP(G1162,[1]Hoja1!$A:$O,3,0)</f>
        <v>721</v>
      </c>
      <c r="D1162" s="2" t="str">
        <f t="shared" si="221"/>
        <v>3LUV44</v>
      </c>
      <c r="E1162" s="62" t="s">
        <v>29</v>
      </c>
      <c r="F1162" s="62" t="s">
        <v>125</v>
      </c>
      <c r="G1162" s="62" t="s">
        <v>226</v>
      </c>
      <c r="H1162" s="8" t="str">
        <f>VLOOKUP(G1162,[1]Hoja1!$A:$O,6,0)</f>
        <v>ELECTRONICA APLICADA</v>
      </c>
      <c r="I1162" s="4">
        <v>44</v>
      </c>
      <c r="J1162" s="4"/>
      <c r="K1162" s="80" t="str">
        <f t="shared" si="240"/>
        <v>LU</v>
      </c>
      <c r="L1162" s="4" t="s">
        <v>512</v>
      </c>
      <c r="M1162" s="86" t="str">
        <f>VLOOKUP(G1162,[1]Hoja1!$A:$O,15,0)</f>
        <v>GUTIERREZ NICOLAS</v>
      </c>
      <c r="N1162" s="2" t="str">
        <f t="shared" si="239"/>
        <v>7°2°7217EELEAPLU</v>
      </c>
      <c r="O1162" s="2"/>
      <c r="P1162" s="2" t="str">
        <f>VLOOKUP(G1162,[1]Hoja1!$A:$P,16,0)</f>
        <v xml:space="preserve"> </v>
      </c>
      <c r="Q1162" s="2"/>
      <c r="S1162">
        <f>VLOOKUP(G1162,[1]Hoja1!$A:$O,5,0)</f>
        <v>1913862</v>
      </c>
      <c r="U1162" s="45" t="s">
        <v>2751</v>
      </c>
      <c r="V1162" s="46">
        <f t="shared" si="233"/>
        <v>1913862</v>
      </c>
      <c r="W1162" s="47" t="s">
        <v>1519</v>
      </c>
      <c r="X1162" s="46" t="str">
        <f t="shared" si="234"/>
        <v>3</v>
      </c>
      <c r="Y1162" s="47" t="s">
        <v>1518</v>
      </c>
      <c r="Z1162" s="46" t="str">
        <f t="shared" si="235"/>
        <v>V</v>
      </c>
      <c r="AA1162" s="47" t="s">
        <v>2752</v>
      </c>
      <c r="AB1162" s="46" t="str">
        <f t="shared" si="236"/>
        <v>LUNES</v>
      </c>
      <c r="AC1162" s="47" t="s">
        <v>2753</v>
      </c>
      <c r="AD1162" t="str">
        <f t="shared" si="237"/>
        <v>CONTRATURNO</v>
      </c>
      <c r="AE1162" s="47" t="s">
        <v>2754</v>
      </c>
      <c r="AH1162" t="str">
        <f t="shared" si="238"/>
        <v>INSERT INTO horario_curso_materia (horario_curso_materia.FK_CUR_mat,horario_curso_materia.FK_HOR,horario_curso_materia.DIA,horario_curso_materia.tipo_turno) VALUES (  (SELECT curso_materia.ID_CUR_MAT FROM curso_materia WHERE curso_materia.CUPOF='1913862' ) ,
    (SELECT horario.ID_HOR FROM horario WHERE horario.modulo='3 ' and horario.turno='V ' ),'LUNES ' , 'CONTRATURNO ' );</v>
      </c>
    </row>
    <row r="1163" spans="1:34" ht="15" hidden="1" customHeight="1" x14ac:dyDescent="0.3">
      <c r="A1163" s="1" t="str">
        <f t="shared" si="242"/>
        <v>7°2°</v>
      </c>
      <c r="B1163" s="54" t="str">
        <f t="shared" si="241"/>
        <v>7°2°3LUVESPERTINO722</v>
      </c>
      <c r="C1163" s="62">
        <f>VLOOKUP(G1163,[1]Hoja1!$A:$O,3,0)</f>
        <v>722</v>
      </c>
      <c r="D1163" s="41" t="str">
        <f t="shared" si="221"/>
        <v>3LUV46</v>
      </c>
      <c r="E1163" s="62" t="s">
        <v>29</v>
      </c>
      <c r="F1163" s="62" t="s">
        <v>125</v>
      </c>
      <c r="G1163" s="62" t="s">
        <v>227</v>
      </c>
      <c r="H1163" s="8" t="str">
        <f>VLOOKUP(G1163,[1]Hoja1!$A:$O,6,0)</f>
        <v xml:space="preserve">PROYECTO Y DISEÑO ELECTRONICO </v>
      </c>
      <c r="I1163" s="4">
        <v>46</v>
      </c>
      <c r="J1163" s="4"/>
      <c r="K1163" s="80" t="str">
        <f t="shared" si="240"/>
        <v>LU</v>
      </c>
      <c r="L1163" s="4" t="s">
        <v>512</v>
      </c>
      <c r="M1163" s="86" t="str">
        <f>VLOOKUP(G1163,[1]Hoja1!$A:$O,15,0)</f>
        <v>CORDOBA ALEJANDRO</v>
      </c>
      <c r="N1163" s="2" t="str">
        <f t="shared" si="239"/>
        <v>7°2°7227EPRODELU</v>
      </c>
      <c r="O1163" s="2"/>
      <c r="P1163" s="2" t="str">
        <f>VLOOKUP(G1163,[1]Hoja1!$A:$P,16,0)</f>
        <v xml:space="preserve"> </v>
      </c>
      <c r="Q1163" s="2"/>
      <c r="S1163">
        <f>VLOOKUP(G1163,[1]Hoja1!$A:$O,5,0)</f>
        <v>1913848</v>
      </c>
      <c r="U1163" s="45" t="s">
        <v>2751</v>
      </c>
      <c r="V1163" s="46">
        <f t="shared" si="233"/>
        <v>1913848</v>
      </c>
      <c r="W1163" s="47" t="s">
        <v>1519</v>
      </c>
      <c r="X1163" s="46" t="str">
        <f t="shared" si="234"/>
        <v>3</v>
      </c>
      <c r="Y1163" s="47" t="s">
        <v>1518</v>
      </c>
      <c r="Z1163" s="46" t="str">
        <f t="shared" si="235"/>
        <v>V</v>
      </c>
      <c r="AA1163" s="47" t="s">
        <v>2752</v>
      </c>
      <c r="AB1163" s="46" t="str">
        <f t="shared" si="236"/>
        <v>LUNES</v>
      </c>
      <c r="AC1163" s="47" t="s">
        <v>2753</v>
      </c>
      <c r="AD1163" t="str">
        <f t="shared" si="237"/>
        <v>CONTRATURNO</v>
      </c>
      <c r="AE1163" s="47" t="s">
        <v>2754</v>
      </c>
      <c r="AH1163" t="str">
        <f t="shared" si="238"/>
        <v>INSERT INTO horario_curso_materia (horario_curso_materia.FK_CUR_mat,horario_curso_materia.FK_HOR,horario_curso_materia.DIA,horario_curso_materia.tipo_turno) VALUES (  (SELECT curso_materia.ID_CUR_MAT FROM curso_materia WHERE curso_materia.CUPOF='1913848' ) ,
    (SELECT horario.ID_HOR FROM horario WHERE horario.modulo='3 ' and horario.turno='V ' ),'LUNES ' , 'CONTRATURNO ' );</v>
      </c>
    </row>
    <row r="1164" spans="1:34" ht="15" hidden="1" customHeight="1" x14ac:dyDescent="0.3">
      <c r="A1164" s="1" t="str">
        <f t="shared" si="242"/>
        <v>7°2°</v>
      </c>
      <c r="B1164" s="54" t="str">
        <f t="shared" si="241"/>
        <v>7°2°3miVESPERTINO0</v>
      </c>
      <c r="C1164" s="62">
        <f>VLOOKUP(G1164,[1]Hoja1!$A:$O,3,0)</f>
        <v>0</v>
      </c>
      <c r="D1164" s="2" t="str">
        <f t="shared" si="221"/>
        <v>3miVROBOTICA</v>
      </c>
      <c r="E1164" s="62" t="s">
        <v>1331</v>
      </c>
      <c r="F1164" s="62" t="s">
        <v>125</v>
      </c>
      <c r="G1164" s="62" t="s">
        <v>475</v>
      </c>
      <c r="H1164" s="8" t="str">
        <f>VLOOKUP(G1164,[1]Hoja1!$A:$O,6,0)</f>
        <v>EMPRENDIMIENTO PRODUCTIVO Y DESARROLLO LOCAL</v>
      </c>
      <c r="I1164" s="4" t="s">
        <v>2759</v>
      </c>
      <c r="J1164" s="4"/>
      <c r="K1164" s="80" t="str">
        <f t="shared" si="240"/>
        <v>mi</v>
      </c>
      <c r="L1164" s="4" t="s">
        <v>512</v>
      </c>
      <c r="M1164" s="86" t="str">
        <f>VLOOKUP(G1164,[1]Hoja1!$A:$O,15,0)</f>
        <v>GUTIERREZ NICOLAS</v>
      </c>
      <c r="N1164" s="2" t="str">
        <f t="shared" si="239"/>
        <v>7°2°7EPPDLOmi</v>
      </c>
      <c r="O1164" s="2" t="s">
        <v>1508</v>
      </c>
      <c r="P1164" s="2" t="str">
        <f>VLOOKUP(G1164,[1]Hoja1!$A:$P,16,0)</f>
        <v xml:space="preserve"> </v>
      </c>
      <c r="Q1164" s="2"/>
      <c r="S1164">
        <f>VLOOKUP(G1164,[1]Hoja1!$A:$O,5,0)</f>
        <v>1913829</v>
      </c>
      <c r="U1164" s="45" t="s">
        <v>2751</v>
      </c>
      <c r="V1164" s="46">
        <f t="shared" si="233"/>
        <v>1913829</v>
      </c>
      <c r="W1164" s="47" t="s">
        <v>1519</v>
      </c>
      <c r="X1164" s="46" t="str">
        <f t="shared" si="234"/>
        <v>3</v>
      </c>
      <c r="Y1164" s="47" t="s">
        <v>1518</v>
      </c>
      <c r="Z1164" s="46" t="str">
        <f t="shared" si="235"/>
        <v>V</v>
      </c>
      <c r="AA1164" s="47" t="s">
        <v>2752</v>
      </c>
      <c r="AB1164" s="46" t="str">
        <f t="shared" si="236"/>
        <v>MIERCOLES</v>
      </c>
      <c r="AC1164" s="47" t="s">
        <v>2753</v>
      </c>
      <c r="AD1164" t="str">
        <f t="shared" si="237"/>
        <v>CONTRATURNO</v>
      </c>
      <c r="AE1164" s="47" t="s">
        <v>2754</v>
      </c>
      <c r="AH1164" t="str">
        <f t="shared" si="238"/>
        <v>INSERT INTO horario_curso_materia (horario_curso_materia.FK_CUR_mat,horario_curso_materia.FK_HOR,horario_curso_materia.DIA,horario_curso_materia.tipo_turno) VALUES (  (SELECT curso_materia.ID_CUR_MAT FROM curso_materia WHERE curso_materia.CUPOF='1913829' ) ,
    (SELECT horario.ID_HOR FROM horario WHERE horario.modulo='3 ' and horario.turno='V ' ),'MIERCOLES ' , 'CONTRATURNO ' );</v>
      </c>
    </row>
    <row r="1165" spans="1:34" ht="15" hidden="1" customHeight="1" x14ac:dyDescent="0.3">
      <c r="A1165" s="50" t="str">
        <f t="shared" si="242"/>
        <v>7°2°</v>
      </c>
      <c r="B1165" s="54" t="str">
        <f t="shared" si="241"/>
        <v>7°2°3MATARDE722</v>
      </c>
      <c r="C1165" s="66">
        <f>VLOOKUP(G1165,[1]Hoja1!$A:$O,3,0)</f>
        <v>722</v>
      </c>
      <c r="D1165" s="51" t="str">
        <f t="shared" si="221"/>
        <v>3MATrobotica</v>
      </c>
      <c r="E1165" s="66" t="s">
        <v>13</v>
      </c>
      <c r="F1165" s="66" t="s">
        <v>10</v>
      </c>
      <c r="G1165" s="66" t="s">
        <v>230</v>
      </c>
      <c r="H1165" s="50" t="str">
        <f>VLOOKUP(G1165,[1]Hoja1!$A:$O,6,0)</f>
        <v>ELECTRONICA APLICADA</v>
      </c>
      <c r="I1165" s="76" t="s">
        <v>2757</v>
      </c>
      <c r="J1165" s="52"/>
      <c r="K1165" s="84" t="str">
        <f t="shared" si="240"/>
        <v>MA</v>
      </c>
      <c r="L1165" s="52" t="s">
        <v>512</v>
      </c>
      <c r="M1165" s="86" t="str">
        <f>VLOOKUP(G1165,[1]Hoja1!$A:$O,15,0)</f>
        <v>GUTIERREZ NICOLAS</v>
      </c>
      <c r="N1165" s="51" t="str">
        <f t="shared" si="239"/>
        <v>7°2°7227EELEAPMA</v>
      </c>
      <c r="O1165" s="51" t="s">
        <v>1360</v>
      </c>
      <c r="P1165" s="51" t="str">
        <f>VLOOKUP(G1165,[1]Hoja1!$A:$P,16,0)</f>
        <v xml:space="preserve"> </v>
      </c>
      <c r="Q1165" s="51"/>
      <c r="S1165">
        <f>VLOOKUP(G1165,[1]Hoja1!$A:$O,5,0)</f>
        <v>1913864</v>
      </c>
      <c r="U1165" s="45" t="s">
        <v>2751</v>
      </c>
      <c r="V1165" s="46">
        <f t="shared" si="233"/>
        <v>1913864</v>
      </c>
      <c r="W1165" s="47" t="s">
        <v>1519</v>
      </c>
      <c r="X1165" s="46" t="str">
        <f t="shared" si="234"/>
        <v>3</v>
      </c>
      <c r="Y1165" s="47" t="s">
        <v>1518</v>
      </c>
      <c r="Z1165" s="46" t="str">
        <f t="shared" si="235"/>
        <v>T</v>
      </c>
      <c r="AA1165" s="47" t="s">
        <v>2752</v>
      </c>
      <c r="AB1165" s="46" t="str">
        <f t="shared" si="236"/>
        <v>MARTES</v>
      </c>
      <c r="AC1165" s="47" t="s">
        <v>2753</v>
      </c>
      <c r="AD1165" t="str">
        <f t="shared" si="237"/>
        <v>CONTRATURNO</v>
      </c>
      <c r="AE1165" s="47" t="s">
        <v>2754</v>
      </c>
      <c r="AH1165" t="str">
        <f t="shared" si="238"/>
        <v>INSERT INTO horario_curso_materia (horario_curso_materia.FK_CUR_mat,horario_curso_materia.FK_HOR,horario_curso_materia.DIA,horario_curso_materia.tipo_turno) VALUES (  (SELECT curso_materia.ID_CUR_MAT FROM curso_materia WHERE curso_materia.CUPOF='1913864' ) ,
    (SELECT horario.ID_HOR FROM horario WHERE horario.modulo='3 ' and horario.turno='T ' ),'MARTES ' , 'CONTRATURNO ' );</v>
      </c>
    </row>
    <row r="1166" spans="1:34" ht="15" hidden="1" customHeight="1" x14ac:dyDescent="0.3">
      <c r="A1166" s="1" t="str">
        <f t="shared" si="242"/>
        <v>7°2°</v>
      </c>
      <c r="B1166" s="54" t="str">
        <f t="shared" si="241"/>
        <v>7°2°3MAVESPERTINO0</v>
      </c>
      <c r="C1166" s="62">
        <f>VLOOKUP(G1166,[1]Hoja1!$A:$O,3,0)</f>
        <v>0</v>
      </c>
      <c r="D1166" s="2" t="str">
        <f t="shared" si="221"/>
        <v>3MAVAULA 4</v>
      </c>
      <c r="E1166" s="62" t="s">
        <v>13</v>
      </c>
      <c r="F1166" s="62" t="s">
        <v>125</v>
      </c>
      <c r="G1166" s="62" t="s">
        <v>473</v>
      </c>
      <c r="H1166" s="8" t="str">
        <f>VLOOKUP(G1166,[1]Hoja1!$A:$O,6,0)</f>
        <v>SISTEMAS DE COMUNICACIONES</v>
      </c>
      <c r="I1166" s="4" t="s">
        <v>1485</v>
      </c>
      <c r="J1166" s="4"/>
      <c r="K1166" s="80" t="str">
        <f t="shared" si="240"/>
        <v>MA</v>
      </c>
      <c r="L1166" s="4" t="s">
        <v>512</v>
      </c>
      <c r="M1166" s="86" t="str">
        <f>VLOOKUP(G1166,[1]Hoja1!$A:$O,15,0)</f>
        <v>SERENO, LEONEL</v>
      </c>
      <c r="N1166" s="2" t="str">
        <f t="shared" si="239"/>
        <v>7°2°7ESISDCMA</v>
      </c>
      <c r="O1166" s="2"/>
      <c r="P1166" s="2" t="str">
        <f>VLOOKUP(G1166,[1]Hoja1!$A:$P,16,0)</f>
        <v xml:space="preserve"> </v>
      </c>
      <c r="Q1166" s="2"/>
      <c r="S1166">
        <f>VLOOKUP(G1166,[1]Hoja1!$A:$O,5,0)</f>
        <v>1913836</v>
      </c>
      <c r="U1166" s="45" t="s">
        <v>2751</v>
      </c>
      <c r="V1166" s="46">
        <f t="shared" si="233"/>
        <v>1913836</v>
      </c>
      <c r="W1166" s="47" t="s">
        <v>1519</v>
      </c>
      <c r="X1166" s="46" t="str">
        <f t="shared" si="234"/>
        <v>3</v>
      </c>
      <c r="Y1166" s="47" t="s">
        <v>1518</v>
      </c>
      <c r="Z1166" s="46" t="str">
        <f t="shared" si="235"/>
        <v>V</v>
      </c>
      <c r="AA1166" s="47" t="s">
        <v>2752</v>
      </c>
      <c r="AB1166" s="46" t="str">
        <f t="shared" si="236"/>
        <v>MARTES</v>
      </c>
      <c r="AC1166" s="47" t="s">
        <v>2753</v>
      </c>
      <c r="AD1166" t="str">
        <f t="shared" si="237"/>
        <v>CONTRATURNO</v>
      </c>
      <c r="AE1166" s="47" t="s">
        <v>2754</v>
      </c>
      <c r="AH1166" t="str">
        <f t="shared" si="238"/>
        <v>INSERT INTO horario_curso_materia (horario_curso_materia.FK_CUR_mat,horario_curso_materia.FK_HOR,horario_curso_materia.DIA,horario_curso_materia.tipo_turno) VALUES (  (SELECT curso_materia.ID_CUR_MAT FROM curso_materia WHERE curso_materia.CUPOF='1913836' ) ,
    (SELECT horario.ID_HOR FROM horario WHERE horario.modulo='3 ' and horario.turno='V ' ),'MARTES ' , 'CONTRATURNO ' );</v>
      </c>
    </row>
    <row r="1167" spans="1:34" ht="15" hidden="1" customHeight="1" thickBot="1" x14ac:dyDescent="0.35">
      <c r="A1167" s="1" t="str">
        <f t="shared" si="242"/>
        <v>7°2°</v>
      </c>
      <c r="B1167" s="54" t="str">
        <f t="shared" si="241"/>
        <v>7°2°2miVESPERTINO0</v>
      </c>
      <c r="C1167" s="62">
        <f>VLOOKUP(G1167,[1]Hoja1!$A:$O,3,0)</f>
        <v>0</v>
      </c>
      <c r="D1167" s="2" t="str">
        <f t="shared" si="221"/>
        <v>2miV</v>
      </c>
      <c r="E1167" s="62" t="s">
        <v>1343</v>
      </c>
      <c r="F1167" s="62" t="s">
        <v>125</v>
      </c>
      <c r="G1167" s="62" t="s">
        <v>474</v>
      </c>
      <c r="H1167" s="8" t="str">
        <f>VLOOKUP(G1167,[1]Hoja1!$A:$O,6,0)</f>
        <v>SEGURIDAD, HIGIENE Y PROTECCION AMBIENTAL</v>
      </c>
      <c r="I1167" s="77"/>
      <c r="J1167" s="4"/>
      <c r="K1167" s="80" t="str">
        <f t="shared" si="240"/>
        <v>mi</v>
      </c>
      <c r="L1167" s="4"/>
      <c r="M1167" s="86" t="str">
        <f>VLOOKUP(G1167,[1]Hoja1!$A:$O,15,0)</f>
        <v>ARGAÑARAZ ANGEL</v>
      </c>
      <c r="N1167" s="2" t="str">
        <f t="shared" si="239"/>
        <v>7°2°7ESEHPAmi</v>
      </c>
      <c r="O1167" s="2"/>
      <c r="P1167" s="2" t="str">
        <f>VLOOKUP(G1167,[1]Hoja1!$A:$P,16,0)</f>
        <v xml:space="preserve"> </v>
      </c>
      <c r="Q1167" s="2"/>
      <c r="S1167">
        <f>VLOOKUP(G1167,[1]Hoja1!$A:$O,5,0)</f>
        <v>1913839</v>
      </c>
      <c r="U1167" s="45" t="s">
        <v>2751</v>
      </c>
      <c r="V1167" s="46">
        <f t="shared" si="233"/>
        <v>1913839</v>
      </c>
      <c r="W1167" s="47" t="s">
        <v>1519</v>
      </c>
      <c r="X1167" s="46" t="str">
        <f t="shared" si="234"/>
        <v>2</v>
      </c>
      <c r="Y1167" s="47" t="s">
        <v>1518</v>
      </c>
      <c r="Z1167" s="46" t="str">
        <f t="shared" si="235"/>
        <v>V</v>
      </c>
      <c r="AA1167" s="47" t="s">
        <v>2752</v>
      </c>
      <c r="AB1167" s="46" t="str">
        <f t="shared" si="236"/>
        <v>MIERCOLES</v>
      </c>
      <c r="AC1167" s="47" t="s">
        <v>2753</v>
      </c>
      <c r="AD1167">
        <f t="shared" si="237"/>
        <v>0</v>
      </c>
      <c r="AE1167" s="47" t="s">
        <v>2754</v>
      </c>
      <c r="AH1167" t="str">
        <f t="shared" si="238"/>
        <v>INSERT INTO horario_curso_materia (horario_curso_materia.FK_CUR_mat,horario_curso_materia.FK_HOR,horario_curso_materia.DIA,horario_curso_materia.tipo_turno) VALUES (  (SELECT curso_materia.ID_CUR_MAT FROM curso_materia WHERE curso_materia.CUPOF='1913839' ) ,
    (SELECT horario.ID_HOR FROM horario WHERE horario.modulo='2 ' and horario.turno='V ' ),'MIERCOLES ' , '0 ' );</v>
      </c>
    </row>
    <row r="1168" spans="1:34" ht="15" hidden="1" customHeight="1" x14ac:dyDescent="0.3">
      <c r="A1168" s="1" t="str">
        <f t="shared" si="242"/>
        <v>7°2°</v>
      </c>
      <c r="B1168" s="54" t="str">
        <f t="shared" si="241"/>
        <v>7°2°3VIVESPERTINO0</v>
      </c>
      <c r="C1168" s="62">
        <f>VLOOKUP(G1168,[1]Hoja1!$A:$O,3,0)</f>
        <v>0</v>
      </c>
      <c r="D1168" s="2" t="str">
        <f t="shared" si="221"/>
        <v>3VIV44</v>
      </c>
      <c r="E1168" s="62" t="s">
        <v>35</v>
      </c>
      <c r="F1168" s="62" t="s">
        <v>125</v>
      </c>
      <c r="G1168" s="62" t="s">
        <v>476</v>
      </c>
      <c r="H1168" s="8" t="str">
        <f>VLOOKUP(G1168,[1]Hoja1!$A:$O,6,0)</f>
        <v>SISTEMA DE CONTROL</v>
      </c>
      <c r="I1168" s="4">
        <v>44</v>
      </c>
      <c r="J1168" s="4"/>
      <c r="K1168" s="80" t="str">
        <f t="shared" si="240"/>
        <v>VI</v>
      </c>
      <c r="L1168" s="4"/>
      <c r="M1168" s="86" t="str">
        <f>VLOOKUP(G1168,[1]Hoja1!$A:$O,15,0)</f>
        <v>SAUCEDO GUSTAVO</v>
      </c>
      <c r="N1168" s="2" t="str">
        <f t="shared" si="239"/>
        <v>7°2°7ESIDCOVI</v>
      </c>
      <c r="O1168" s="2"/>
      <c r="P1168" s="2" t="str">
        <f>VLOOKUP(G1168,[1]Hoja1!$A:$P,16,0)</f>
        <v xml:space="preserve"> </v>
      </c>
      <c r="Q1168" s="2"/>
      <c r="S1168">
        <f>VLOOKUP(G1168,[1]Hoja1!$A:$O,5,0)</f>
        <v>1913831</v>
      </c>
      <c r="U1168" s="45" t="s">
        <v>2751</v>
      </c>
      <c r="V1168" s="46">
        <f t="shared" si="233"/>
        <v>1913831</v>
      </c>
      <c r="W1168" s="47" t="s">
        <v>1519</v>
      </c>
      <c r="X1168" s="46" t="str">
        <f t="shared" si="234"/>
        <v>3</v>
      </c>
      <c r="Y1168" s="47" t="s">
        <v>1518</v>
      </c>
      <c r="Z1168" s="46" t="str">
        <f t="shared" si="235"/>
        <v>V</v>
      </c>
      <c r="AA1168" s="47" t="s">
        <v>2752</v>
      </c>
      <c r="AB1168" s="46" t="str">
        <f t="shared" si="236"/>
        <v>VIERNES</v>
      </c>
      <c r="AC1168" s="47" t="s">
        <v>2753</v>
      </c>
      <c r="AD1168">
        <f t="shared" si="237"/>
        <v>0</v>
      </c>
      <c r="AE1168" s="47" t="s">
        <v>2754</v>
      </c>
      <c r="AH1168" t="str">
        <f t="shared" si="238"/>
        <v>INSERT INTO horario_curso_materia (horario_curso_materia.FK_CUR_mat,horario_curso_materia.FK_HOR,horario_curso_materia.DIA,horario_curso_materia.tipo_turno) VALUES (  (SELECT curso_materia.ID_CUR_MAT FROM curso_materia WHERE curso_materia.CUPOF='1913831' ) ,
    (SELECT horario.ID_HOR FROM horario WHERE horario.modulo='3 ' and horario.turno='V ' ),'VIERNES ' , '0 ' );</v>
      </c>
    </row>
    <row r="1169" spans="1:34" ht="15" hidden="1" customHeight="1" x14ac:dyDescent="0.3">
      <c r="A1169" s="1" t="str">
        <f t="shared" si="242"/>
        <v>7°2°</v>
      </c>
      <c r="B1169" s="54" t="str">
        <f t="shared" si="241"/>
        <v>7°2°4JUMAÑANA721</v>
      </c>
      <c r="C1169" s="62">
        <f>VLOOKUP(G1169,[1]Hoja1!$A:$O,3,0)</f>
        <v>721</v>
      </c>
      <c r="D1169" s="2" t="str">
        <f t="shared" si="221"/>
        <v>4JUM44</v>
      </c>
      <c r="E1169" s="62" t="s">
        <v>48</v>
      </c>
      <c r="F1169" s="62" t="s">
        <v>27</v>
      </c>
      <c r="G1169" s="62" t="s">
        <v>229</v>
      </c>
      <c r="H1169" s="8" t="str">
        <f>VLOOKUP(G1169,[1]Hoja1!$A:$O,6,0)</f>
        <v>INSTALACIONES INDUSTRIALES</v>
      </c>
      <c r="I1169" s="4">
        <v>44</v>
      </c>
      <c r="J1169" s="4"/>
      <c r="K1169" s="80" t="str">
        <f t="shared" si="240"/>
        <v>JU</v>
      </c>
      <c r="L1169" s="4" t="s">
        <v>512</v>
      </c>
      <c r="M1169" s="86" t="str">
        <f>VLOOKUP(G1169,[1]Hoja1!$A:$O,15,0)</f>
        <v>SAUCEDO GUSTAVO</v>
      </c>
      <c r="N1169" s="2" t="str">
        <f t="shared" si="239"/>
        <v>7°2°7217EINSINJU</v>
      </c>
      <c r="O1169" s="2"/>
      <c r="P1169" s="2" t="str">
        <f>VLOOKUP(G1169,[1]Hoja1!$A:$P,16,0)</f>
        <v xml:space="preserve"> </v>
      </c>
      <c r="Q1169" s="2"/>
      <c r="S1169">
        <f>VLOOKUP(G1169,[1]Hoja1!$A:$O,5,0)</f>
        <v>1913852</v>
      </c>
      <c r="U1169" s="45" t="s">
        <v>2751</v>
      </c>
      <c r="V1169" s="46">
        <f t="shared" si="233"/>
        <v>1913852</v>
      </c>
      <c r="W1169" s="47" t="s">
        <v>1519</v>
      </c>
      <c r="X1169" s="46" t="str">
        <f t="shared" si="234"/>
        <v>4</v>
      </c>
      <c r="Y1169" s="47" t="s">
        <v>1518</v>
      </c>
      <c r="Z1169" s="46" t="str">
        <f t="shared" si="235"/>
        <v>M</v>
      </c>
      <c r="AA1169" s="47" t="s">
        <v>2752</v>
      </c>
      <c r="AB1169" s="46" t="str">
        <f t="shared" si="236"/>
        <v>JUEVES</v>
      </c>
      <c r="AC1169" s="47" t="s">
        <v>2753</v>
      </c>
      <c r="AD1169" t="str">
        <f t="shared" si="237"/>
        <v>CONTRATURNO</v>
      </c>
      <c r="AE1169" s="47" t="s">
        <v>2754</v>
      </c>
      <c r="AH1169" t="str">
        <f t="shared" si="238"/>
        <v>INSERT INTO horario_curso_materia (horario_curso_materia.FK_CUR_mat,horario_curso_materia.FK_HOR,horario_curso_materia.DIA,horario_curso_materia.tipo_turno) VALUES (  (SELECT curso_materia.ID_CUR_MAT FROM curso_materia WHERE curso_materia.CUPOF='1913852' ) ,
    (SELECT horario.ID_HOR FROM horario WHERE horario.modulo='4 ' and horario.turno='M ' ),'JUEVES ' , 'CONTRATURNO ' );</v>
      </c>
    </row>
    <row r="1170" spans="1:34" ht="15" hidden="1" customHeight="1" x14ac:dyDescent="0.3">
      <c r="A1170" s="1" t="str">
        <f t="shared" si="242"/>
        <v>7°2°</v>
      </c>
      <c r="B1170" s="54" t="str">
        <f t="shared" si="241"/>
        <v>7°2°4juVESPERTINO722</v>
      </c>
      <c r="C1170" s="62">
        <f>VLOOKUP(G1170,[1]Hoja1!$A:$O,3,0)</f>
        <v>722</v>
      </c>
      <c r="D1170" s="2" t="str">
        <f t="shared" si="221"/>
        <v>4juV33</v>
      </c>
      <c r="E1170" s="62" t="s">
        <v>1351</v>
      </c>
      <c r="F1170" s="62" t="s">
        <v>125</v>
      </c>
      <c r="G1170" s="62" t="s">
        <v>231</v>
      </c>
      <c r="H1170" s="8" t="str">
        <f>VLOOKUP(G1170,[1]Hoja1!$A:$O,6,0)</f>
        <v>INSTALACIONES INDUSTRIALES</v>
      </c>
      <c r="I1170" s="4">
        <v>33</v>
      </c>
      <c r="J1170" s="4"/>
      <c r="K1170" s="80" t="str">
        <f t="shared" si="240"/>
        <v>ju</v>
      </c>
      <c r="L1170" s="4" t="s">
        <v>512</v>
      </c>
      <c r="M1170" s="86" t="str">
        <f>VLOOKUP(G1170,[1]Hoja1!$A:$O,15,0)</f>
        <v>SERENO, LEONEL</v>
      </c>
      <c r="N1170" s="2" t="str">
        <f t="shared" si="239"/>
        <v>7°2°7227EINSINju</v>
      </c>
      <c r="O1170" s="2"/>
      <c r="P1170" s="2" t="str">
        <f>VLOOKUP(G1170,[1]Hoja1!$A:$P,16,0)</f>
        <v xml:space="preserve"> </v>
      </c>
      <c r="Q1170" s="2"/>
      <c r="S1170">
        <f>VLOOKUP(G1170,[1]Hoja1!$A:$O,5,0)</f>
        <v>1913857</v>
      </c>
      <c r="U1170" s="45" t="s">
        <v>2751</v>
      </c>
      <c r="V1170" s="46">
        <f t="shared" si="233"/>
        <v>1913857</v>
      </c>
      <c r="W1170" s="47" t="s">
        <v>1519</v>
      </c>
      <c r="X1170" s="46" t="str">
        <f t="shared" si="234"/>
        <v>4</v>
      </c>
      <c r="Y1170" s="47" t="s">
        <v>1518</v>
      </c>
      <c r="Z1170" s="46" t="str">
        <f t="shared" si="235"/>
        <v>V</v>
      </c>
      <c r="AA1170" s="47" t="s">
        <v>2752</v>
      </c>
      <c r="AB1170" s="46" t="str">
        <f t="shared" si="236"/>
        <v>JUEVES</v>
      </c>
      <c r="AC1170" s="47" t="s">
        <v>2753</v>
      </c>
      <c r="AD1170" t="str">
        <f t="shared" si="237"/>
        <v>CONTRATURNO</v>
      </c>
      <c r="AE1170" s="47" t="s">
        <v>2754</v>
      </c>
      <c r="AH1170" t="str">
        <f t="shared" si="238"/>
        <v>INSERT INTO horario_curso_materia (horario_curso_materia.FK_CUR_mat,horario_curso_materia.FK_HOR,horario_curso_materia.DIA,horario_curso_materia.tipo_turno) VALUES (  (SELECT curso_materia.ID_CUR_MAT FROM curso_materia WHERE curso_materia.CUPOF='1913857' ) ,
    (SELECT horario.ID_HOR FROM horario WHERE horario.modulo='4 ' and horario.turno='V ' ),'JUEVES ' , 'CONTRATURNO ' );</v>
      </c>
    </row>
    <row r="1171" spans="1:34" ht="15" hidden="1" customHeight="1" x14ac:dyDescent="0.3">
      <c r="A1171" s="1" t="str">
        <f t="shared" si="242"/>
        <v>7°2°</v>
      </c>
      <c r="B1171" s="54" t="str">
        <f t="shared" si="241"/>
        <v>7°2°4MITARDE721</v>
      </c>
      <c r="C1171" s="62">
        <f>VLOOKUP(G1171,[1]Hoja1!$A:$O,3,0)</f>
        <v>721</v>
      </c>
      <c r="D1171" s="2" t="str">
        <f t="shared" si="221"/>
        <v>4MITROBOTICA</v>
      </c>
      <c r="E1171" s="62" t="s">
        <v>52</v>
      </c>
      <c r="F1171" s="62" t="s">
        <v>10</v>
      </c>
      <c r="G1171" s="62" t="s">
        <v>228</v>
      </c>
      <c r="H1171" s="8" t="str">
        <f>VLOOKUP(G1171,[1]Hoja1!$A:$O,6,0)</f>
        <v xml:space="preserve">PROYECTO Y DISEÑO ELECTRONICO </v>
      </c>
      <c r="I1171" s="4" t="s">
        <v>2759</v>
      </c>
      <c r="J1171" s="4"/>
      <c r="K1171" s="80" t="str">
        <f t="shared" si="240"/>
        <v>MI</v>
      </c>
      <c r="L1171" s="4" t="s">
        <v>512</v>
      </c>
      <c r="M1171" s="86" t="str">
        <f>VLOOKUP(G1171,[1]Hoja1!$A:$O,15,0)</f>
        <v>GUTIERREZ NICOLAS</v>
      </c>
      <c r="N1171" s="2" t="str">
        <f t="shared" si="239"/>
        <v>7°2°7217EPRODEMI</v>
      </c>
      <c r="O1171" s="2"/>
      <c r="P1171" s="2" t="str">
        <f>VLOOKUP(G1171,[1]Hoja1!$A:$P,16,0)</f>
        <v xml:space="preserve"> </v>
      </c>
      <c r="Q1171" s="2"/>
      <c r="S1171">
        <f>VLOOKUP(G1171,[1]Hoja1!$A:$O,5,0)</f>
        <v>1913842</v>
      </c>
      <c r="U1171" s="45" t="s">
        <v>2751</v>
      </c>
      <c r="V1171" s="46">
        <f t="shared" si="233"/>
        <v>1913842</v>
      </c>
      <c r="W1171" s="47" t="s">
        <v>1519</v>
      </c>
      <c r="X1171" s="46" t="str">
        <f t="shared" si="234"/>
        <v>4</v>
      </c>
      <c r="Y1171" s="47" t="s">
        <v>1518</v>
      </c>
      <c r="Z1171" s="46" t="str">
        <f t="shared" si="235"/>
        <v>T</v>
      </c>
      <c r="AA1171" s="47" t="s">
        <v>2752</v>
      </c>
      <c r="AB1171" s="46" t="str">
        <f t="shared" si="236"/>
        <v>MIERCOLES</v>
      </c>
      <c r="AC1171" s="47" t="s">
        <v>2753</v>
      </c>
      <c r="AD1171" t="str">
        <f t="shared" si="237"/>
        <v>CONTRATURNO</v>
      </c>
      <c r="AE1171" s="47" t="s">
        <v>2754</v>
      </c>
      <c r="AH1171" t="str">
        <f t="shared" si="238"/>
        <v>INSERT INTO horario_curso_materia (horario_curso_materia.FK_CUR_mat,horario_curso_materia.FK_HOR,horario_curso_materia.DIA,horario_curso_materia.tipo_turno) VALUES (  (SELECT curso_materia.ID_CUR_MAT FROM curso_materia WHERE curso_materia.CUPOF='1913842' ) ,
    (SELECT horario.ID_HOR FROM horario WHERE horario.modulo='4 ' and horario.turno='T ' ),'MIERCOLES ' , 'CONTRATURNO ' );</v>
      </c>
    </row>
    <row r="1172" spans="1:34" ht="15" hidden="1" customHeight="1" x14ac:dyDescent="0.3">
      <c r="A1172" s="1" t="str">
        <f t="shared" si="242"/>
        <v>7°2°</v>
      </c>
      <c r="B1172" s="54" t="str">
        <f t="shared" si="241"/>
        <v>7°2°4LUVESPERTINO721</v>
      </c>
      <c r="C1172" s="62">
        <f>VLOOKUP(G1172,[1]Hoja1!$A:$O,3,0)</f>
        <v>721</v>
      </c>
      <c r="D1172" s="2" t="str">
        <f t="shared" si="221"/>
        <v>4LUV44</v>
      </c>
      <c r="E1172" s="62" t="s">
        <v>31</v>
      </c>
      <c r="F1172" s="62" t="s">
        <v>125</v>
      </c>
      <c r="G1172" s="62" t="s">
        <v>226</v>
      </c>
      <c r="H1172" s="8" t="str">
        <f>VLOOKUP(G1172,[1]Hoja1!$A:$O,6,0)</f>
        <v>ELECTRONICA APLICADA</v>
      </c>
      <c r="I1172" s="4">
        <v>44</v>
      </c>
      <c r="J1172" s="4"/>
      <c r="K1172" s="80" t="str">
        <f t="shared" si="240"/>
        <v>LU</v>
      </c>
      <c r="L1172" s="4" t="s">
        <v>512</v>
      </c>
      <c r="M1172" s="86" t="str">
        <f>VLOOKUP(G1172,[1]Hoja1!$A:$O,15,0)</f>
        <v>GUTIERREZ NICOLAS</v>
      </c>
      <c r="N1172" s="2" t="str">
        <f t="shared" si="239"/>
        <v>7°2°7217EELEAPLU</v>
      </c>
      <c r="O1172" s="2"/>
      <c r="P1172" s="2" t="str">
        <f>VLOOKUP(G1172,[1]Hoja1!$A:$P,16,0)</f>
        <v xml:space="preserve"> </v>
      </c>
      <c r="Q1172" s="2"/>
      <c r="S1172">
        <f>VLOOKUP(G1172,[1]Hoja1!$A:$O,5,0)</f>
        <v>1913862</v>
      </c>
      <c r="U1172" s="45" t="s">
        <v>2751</v>
      </c>
      <c r="V1172" s="46">
        <f t="shared" si="233"/>
        <v>1913862</v>
      </c>
      <c r="W1172" s="47" t="s">
        <v>1519</v>
      </c>
      <c r="X1172" s="46" t="str">
        <f t="shared" si="234"/>
        <v>4</v>
      </c>
      <c r="Y1172" s="47" t="s">
        <v>1518</v>
      </c>
      <c r="Z1172" s="46" t="str">
        <f t="shared" si="235"/>
        <v>V</v>
      </c>
      <c r="AA1172" s="47" t="s">
        <v>2752</v>
      </c>
      <c r="AB1172" s="46" t="str">
        <f t="shared" si="236"/>
        <v>LUNES</v>
      </c>
      <c r="AC1172" s="47" t="s">
        <v>2753</v>
      </c>
      <c r="AD1172" t="str">
        <f t="shared" si="237"/>
        <v>CONTRATURNO</v>
      </c>
      <c r="AE1172" s="47" t="s">
        <v>2754</v>
      </c>
      <c r="AH1172" t="str">
        <f t="shared" si="238"/>
        <v>INSERT INTO horario_curso_materia (horario_curso_materia.FK_CUR_mat,horario_curso_materia.FK_HOR,horario_curso_materia.DIA,horario_curso_materia.tipo_turno) VALUES (  (SELECT curso_materia.ID_CUR_MAT FROM curso_materia WHERE curso_materia.CUPOF='1913862' ) ,
    (SELECT horario.ID_HOR FROM horario WHERE horario.modulo='4 ' and horario.turno='V ' ),'LUNES ' , 'CONTRATURNO ' );</v>
      </c>
    </row>
    <row r="1173" spans="1:34" ht="15" hidden="1" customHeight="1" x14ac:dyDescent="0.3">
      <c r="A1173" s="1" t="str">
        <f t="shared" si="242"/>
        <v>7°2°</v>
      </c>
      <c r="B1173" s="54" t="str">
        <f t="shared" si="241"/>
        <v>7°2°4LUVESPERTINO722</v>
      </c>
      <c r="C1173" s="62">
        <f>VLOOKUP(G1173,[1]Hoja1!$A:$O,3,0)</f>
        <v>722</v>
      </c>
      <c r="D1173" s="2" t="str">
        <f t="shared" si="221"/>
        <v>4LUV46</v>
      </c>
      <c r="E1173" s="62" t="s">
        <v>31</v>
      </c>
      <c r="F1173" s="62" t="s">
        <v>125</v>
      </c>
      <c r="G1173" s="62" t="s">
        <v>227</v>
      </c>
      <c r="H1173" s="8" t="str">
        <f>VLOOKUP(G1173,[1]Hoja1!$A:$O,6,0)</f>
        <v xml:space="preserve">PROYECTO Y DISEÑO ELECTRONICO </v>
      </c>
      <c r="I1173" s="4">
        <v>46</v>
      </c>
      <c r="J1173" s="4"/>
      <c r="K1173" s="80" t="str">
        <f t="shared" si="240"/>
        <v>LU</v>
      </c>
      <c r="L1173" s="4" t="s">
        <v>512</v>
      </c>
      <c r="M1173" s="86" t="str">
        <f>VLOOKUP(G1173,[1]Hoja1!$A:$O,15,0)</f>
        <v>CORDOBA ALEJANDRO</v>
      </c>
      <c r="N1173" s="2" t="str">
        <f t="shared" si="239"/>
        <v>7°2°7227EPRODELU</v>
      </c>
      <c r="O1173" s="2"/>
      <c r="P1173" s="2" t="str">
        <f>VLOOKUP(G1173,[1]Hoja1!$A:$P,16,0)</f>
        <v xml:space="preserve"> </v>
      </c>
      <c r="Q1173" s="2"/>
      <c r="S1173">
        <f>VLOOKUP(G1173,[1]Hoja1!$A:$O,5,0)</f>
        <v>1913848</v>
      </c>
      <c r="U1173" s="45" t="s">
        <v>2751</v>
      </c>
      <c r="V1173" s="46">
        <f t="shared" si="233"/>
        <v>1913848</v>
      </c>
      <c r="W1173" s="47" t="s">
        <v>1519</v>
      </c>
      <c r="X1173" s="46" t="str">
        <f t="shared" si="234"/>
        <v>4</v>
      </c>
      <c r="Y1173" s="47" t="s">
        <v>1518</v>
      </c>
      <c r="Z1173" s="46" t="str">
        <f t="shared" si="235"/>
        <v>V</v>
      </c>
      <c r="AA1173" s="47" t="s">
        <v>2752</v>
      </c>
      <c r="AB1173" s="46" t="str">
        <f t="shared" si="236"/>
        <v>LUNES</v>
      </c>
      <c r="AC1173" s="47" t="s">
        <v>2753</v>
      </c>
      <c r="AD1173" t="str">
        <f t="shared" si="237"/>
        <v>CONTRATURNO</v>
      </c>
      <c r="AE1173" s="47" t="s">
        <v>2754</v>
      </c>
      <c r="AH1173" t="str">
        <f t="shared" si="238"/>
        <v>INSERT INTO horario_curso_materia (horario_curso_materia.FK_CUR_mat,horario_curso_materia.FK_HOR,horario_curso_materia.DIA,horario_curso_materia.tipo_turno) VALUES (  (SELECT curso_materia.ID_CUR_MAT FROM curso_materia WHERE curso_materia.CUPOF='1913848' ) ,
    (SELECT horario.ID_HOR FROM horario WHERE horario.modulo='4 ' and horario.turno='V ' ),'LUNES ' , 'CONTRATURNO ' );</v>
      </c>
    </row>
    <row r="1174" spans="1:34" ht="15" hidden="1" customHeight="1" thickBot="1" x14ac:dyDescent="0.35">
      <c r="A1174" s="1" t="str">
        <f t="shared" si="242"/>
        <v>7°2°</v>
      </c>
      <c r="B1174" s="54" t="str">
        <f t="shared" si="241"/>
        <v>7°2°4miVESPERTINO0</v>
      </c>
      <c r="C1174" s="62">
        <v>0</v>
      </c>
      <c r="D1174" s="2" t="str">
        <f t="shared" si="221"/>
        <v>4miVROBOTICA</v>
      </c>
      <c r="E1174" s="62" t="s">
        <v>1344</v>
      </c>
      <c r="F1174" s="62" t="s">
        <v>125</v>
      </c>
      <c r="G1174" s="62" t="s">
        <v>475</v>
      </c>
      <c r="H1174" s="8" t="str">
        <f>VLOOKUP(G1174,[1]Hoja1!$A:$O,6,0)</f>
        <v>EMPRENDIMIENTO PRODUCTIVO Y DESARROLLO LOCAL</v>
      </c>
      <c r="I1174" s="77" t="s">
        <v>2759</v>
      </c>
      <c r="J1174" s="4"/>
      <c r="K1174" s="80" t="str">
        <f t="shared" si="240"/>
        <v>mi</v>
      </c>
      <c r="L1174" s="4" t="s">
        <v>512</v>
      </c>
      <c r="M1174" s="86" t="str">
        <f>VLOOKUP(G1174,[1]Hoja1!$A:$O,15,0)</f>
        <v>GUTIERREZ NICOLAS</v>
      </c>
      <c r="N1174" s="2"/>
      <c r="O1174" s="2" t="s">
        <v>1509</v>
      </c>
      <c r="P1174" s="2" t="str">
        <f>VLOOKUP(G1174,[1]Hoja1!$A:$P,16,0)</f>
        <v xml:space="preserve"> </v>
      </c>
      <c r="Q1174" s="2"/>
      <c r="S1174">
        <f>VLOOKUP(G1174,[1]Hoja1!$A:$O,5,0)</f>
        <v>1913829</v>
      </c>
      <c r="U1174" s="45" t="s">
        <v>2751</v>
      </c>
      <c r="V1174" s="46">
        <f t="shared" si="233"/>
        <v>1913829</v>
      </c>
      <c r="W1174" s="47" t="s">
        <v>1519</v>
      </c>
      <c r="X1174" s="46" t="str">
        <f t="shared" si="234"/>
        <v>4</v>
      </c>
      <c r="Y1174" s="47" t="s">
        <v>1518</v>
      </c>
      <c r="Z1174" s="46" t="str">
        <f t="shared" si="235"/>
        <v>V</v>
      </c>
      <c r="AA1174" s="47" t="s">
        <v>2752</v>
      </c>
      <c r="AB1174" s="46" t="str">
        <f t="shared" si="236"/>
        <v>MIERCOLES</v>
      </c>
      <c r="AC1174" s="47" t="s">
        <v>2753</v>
      </c>
      <c r="AD1174" t="str">
        <f t="shared" si="237"/>
        <v>CONTRATURNO</v>
      </c>
      <c r="AE1174" s="47" t="s">
        <v>2754</v>
      </c>
      <c r="AH1174" t="str">
        <f t="shared" si="238"/>
        <v>INSERT INTO horario_curso_materia (horario_curso_materia.FK_CUR_mat,horario_curso_materia.FK_HOR,horario_curso_materia.DIA,horario_curso_materia.tipo_turno) VALUES (  (SELECT curso_materia.ID_CUR_MAT FROM curso_materia WHERE curso_materia.CUPOF='1913829' ) ,
    (SELECT horario.ID_HOR FROM horario WHERE horario.modulo='4 ' and horario.turno='V ' ),'MIERCOLES ' , 'CONTRATURNO ' );</v>
      </c>
    </row>
    <row r="1175" spans="1:34" ht="15" hidden="1" customHeight="1" x14ac:dyDescent="0.3">
      <c r="A1175" s="50" t="str">
        <f t="shared" si="242"/>
        <v>7°2°</v>
      </c>
      <c r="B1175" s="54" t="str">
        <f t="shared" si="241"/>
        <v>7°2°4MATARDE722</v>
      </c>
      <c r="C1175" s="66">
        <f>VLOOKUP(G1175,[1]Hoja1!$A:$O,3,0)</f>
        <v>722</v>
      </c>
      <c r="D1175" s="51" t="str">
        <f t="shared" si="221"/>
        <v>4MATrobotica</v>
      </c>
      <c r="E1175" s="66" t="s">
        <v>16</v>
      </c>
      <c r="F1175" s="66" t="s">
        <v>10</v>
      </c>
      <c r="G1175" s="66" t="s">
        <v>230</v>
      </c>
      <c r="H1175" s="50" t="str">
        <f>VLOOKUP(G1175,[1]Hoja1!$A:$O,6,0)</f>
        <v>ELECTRONICA APLICADA</v>
      </c>
      <c r="I1175" s="76" t="s">
        <v>2757</v>
      </c>
      <c r="J1175" s="52"/>
      <c r="K1175" s="84" t="str">
        <f t="shared" si="240"/>
        <v>MA</v>
      </c>
      <c r="L1175" s="52" t="s">
        <v>512</v>
      </c>
      <c r="M1175" s="88" t="str">
        <f>VLOOKUP(G1175,[1]Hoja1!$A:$O,15,0)</f>
        <v>GUTIERREZ NICOLAS</v>
      </c>
      <c r="N1175" s="51" t="str">
        <f t="shared" ref="N1175:N1211" si="243">CONCATENATE(G1175,LEFT(K1175,2))</f>
        <v>7°2°7227EELEAPMA</v>
      </c>
      <c r="O1175" s="51" t="s">
        <v>1361</v>
      </c>
      <c r="P1175" s="51" t="str">
        <f>VLOOKUP(G1175,[1]Hoja1!$A:$P,16,0)</f>
        <v xml:space="preserve"> </v>
      </c>
      <c r="Q1175" s="51"/>
      <c r="S1175">
        <f>VLOOKUP(G1175,[1]Hoja1!$A:$O,5,0)</f>
        <v>1913864</v>
      </c>
      <c r="U1175" s="45" t="s">
        <v>2751</v>
      </c>
      <c r="V1175" s="46">
        <f t="shared" si="233"/>
        <v>1913864</v>
      </c>
      <c r="W1175" s="47" t="s">
        <v>1519</v>
      </c>
      <c r="X1175" s="46" t="str">
        <f t="shared" si="234"/>
        <v>4</v>
      </c>
      <c r="Y1175" s="47" t="s">
        <v>1518</v>
      </c>
      <c r="Z1175" s="46" t="str">
        <f t="shared" si="235"/>
        <v>T</v>
      </c>
      <c r="AA1175" s="47" t="s">
        <v>2752</v>
      </c>
      <c r="AB1175" s="46" t="str">
        <f t="shared" si="236"/>
        <v>MARTES</v>
      </c>
      <c r="AC1175" s="47" t="s">
        <v>2753</v>
      </c>
      <c r="AD1175" t="str">
        <f t="shared" si="237"/>
        <v>CONTRATURNO</v>
      </c>
      <c r="AE1175" s="47" t="s">
        <v>2754</v>
      </c>
      <c r="AH1175" t="str">
        <f t="shared" si="238"/>
        <v>INSERT INTO horario_curso_materia (horario_curso_materia.FK_CUR_mat,horario_curso_materia.FK_HOR,horario_curso_materia.DIA,horario_curso_materia.tipo_turno) VALUES (  (SELECT curso_materia.ID_CUR_MAT FROM curso_materia WHERE curso_materia.CUPOF='1913864' ) ,
    (SELECT horario.ID_HOR FROM horario WHERE horario.modulo='4 ' and horario.turno='T ' ),'MARTES ' , 'CONTRATURNO ' );</v>
      </c>
    </row>
    <row r="1176" spans="1:34" ht="15" hidden="1" customHeight="1" x14ac:dyDescent="0.3">
      <c r="A1176" s="1" t="str">
        <f t="shared" si="242"/>
        <v>7°2°</v>
      </c>
      <c r="B1176" s="54" t="str">
        <f t="shared" si="241"/>
        <v>7°2°4MAVESPERTINO0</v>
      </c>
      <c r="C1176" s="62">
        <f>VLOOKUP(G1176,[1]Hoja1!$A:$O,3,0)</f>
        <v>0</v>
      </c>
      <c r="D1176" s="2" t="str">
        <f t="shared" si="221"/>
        <v>4MAVAULA 4</v>
      </c>
      <c r="E1176" s="62" t="s">
        <v>16</v>
      </c>
      <c r="F1176" s="62" t="s">
        <v>125</v>
      </c>
      <c r="G1176" s="62" t="s">
        <v>473</v>
      </c>
      <c r="H1176" s="8" t="str">
        <f>VLOOKUP(G1176,[1]Hoja1!$A:$O,6,0)</f>
        <v>SISTEMAS DE COMUNICACIONES</v>
      </c>
      <c r="I1176" s="4" t="s">
        <v>1485</v>
      </c>
      <c r="J1176" s="4"/>
      <c r="K1176" s="80" t="str">
        <f t="shared" si="240"/>
        <v>MA</v>
      </c>
      <c r="L1176" s="4" t="s">
        <v>512</v>
      </c>
      <c r="M1176" s="86" t="str">
        <f>VLOOKUP(G1176,[1]Hoja1!$A:$O,15,0)</f>
        <v>SERENO, LEONEL</v>
      </c>
      <c r="N1176" s="2" t="str">
        <f t="shared" si="243"/>
        <v>7°2°7ESISDCMA</v>
      </c>
      <c r="O1176" s="2"/>
      <c r="P1176" s="2" t="str">
        <f>VLOOKUP(G1176,[1]Hoja1!$A:$P,16,0)</f>
        <v xml:space="preserve"> </v>
      </c>
      <c r="Q1176" s="2"/>
      <c r="S1176">
        <f>VLOOKUP(G1176,[1]Hoja1!$A:$O,5,0)</f>
        <v>1913836</v>
      </c>
      <c r="U1176" s="45" t="s">
        <v>2751</v>
      </c>
      <c r="V1176" s="46">
        <f t="shared" si="233"/>
        <v>1913836</v>
      </c>
      <c r="W1176" s="47" t="s">
        <v>1519</v>
      </c>
      <c r="X1176" s="46" t="str">
        <f t="shared" si="234"/>
        <v>4</v>
      </c>
      <c r="Y1176" s="47" t="s">
        <v>1518</v>
      </c>
      <c r="Z1176" s="46" t="str">
        <f t="shared" si="235"/>
        <v>V</v>
      </c>
      <c r="AA1176" s="47" t="s">
        <v>2752</v>
      </c>
      <c r="AB1176" s="46" t="str">
        <f t="shared" si="236"/>
        <v>MARTES</v>
      </c>
      <c r="AC1176" s="47" t="s">
        <v>2753</v>
      </c>
      <c r="AD1176" t="str">
        <f t="shared" si="237"/>
        <v>CONTRATURNO</v>
      </c>
      <c r="AE1176" s="47" t="s">
        <v>2754</v>
      </c>
      <c r="AH1176" t="str">
        <f t="shared" si="238"/>
        <v>INSERT INTO horario_curso_materia (horario_curso_materia.FK_CUR_mat,horario_curso_materia.FK_HOR,horario_curso_materia.DIA,horario_curso_materia.tipo_turno) VALUES (  (SELECT curso_materia.ID_CUR_MAT FROM curso_materia WHERE curso_materia.CUPOF='1913836' ) ,
    (SELECT horario.ID_HOR FROM horario WHERE horario.modulo='4 ' and horario.turno='V ' ),'MARTES ' , 'CONTRATURNO ' );</v>
      </c>
    </row>
    <row r="1177" spans="1:34" ht="15" hidden="1" customHeight="1" x14ac:dyDescent="0.3">
      <c r="A1177" s="1" t="str">
        <f t="shared" si="242"/>
        <v>7°2°</v>
      </c>
      <c r="B1177" s="54" t="str">
        <f t="shared" si="241"/>
        <v>7°2°4VIVESPERTINO0</v>
      </c>
      <c r="C1177" s="62">
        <f>VLOOKUP(G1177,[1]Hoja1!$A:$O,3,0)</f>
        <v>0</v>
      </c>
      <c r="D1177" s="2" t="str">
        <f t="shared" si="221"/>
        <v>4VIV44</v>
      </c>
      <c r="E1177" s="62" t="s">
        <v>36</v>
      </c>
      <c r="F1177" s="62" t="s">
        <v>125</v>
      </c>
      <c r="G1177" s="62" t="s">
        <v>476</v>
      </c>
      <c r="H1177" s="8" t="str">
        <f>VLOOKUP(G1177,[1]Hoja1!$A:$O,6,0)</f>
        <v>SISTEMA DE CONTROL</v>
      </c>
      <c r="I1177" s="4">
        <v>44</v>
      </c>
      <c r="J1177" s="4"/>
      <c r="K1177" s="80" t="str">
        <f t="shared" si="240"/>
        <v>VI</v>
      </c>
      <c r="L1177" s="4"/>
      <c r="M1177" s="86" t="str">
        <f>VLOOKUP(G1177,[1]Hoja1!$A:$O,15,0)</f>
        <v>SAUCEDO GUSTAVO</v>
      </c>
      <c r="N1177" s="2" t="str">
        <f t="shared" si="243"/>
        <v>7°2°7ESIDCOVI</v>
      </c>
      <c r="O1177" s="2"/>
      <c r="P1177" s="2" t="str">
        <f>VLOOKUP(G1177,[1]Hoja1!$A:$P,16,0)</f>
        <v xml:space="preserve"> </v>
      </c>
      <c r="Q1177" s="2"/>
      <c r="S1177">
        <f>VLOOKUP(G1177,[1]Hoja1!$A:$O,5,0)</f>
        <v>1913831</v>
      </c>
      <c r="U1177" s="45" t="s">
        <v>2751</v>
      </c>
      <c r="V1177" s="46">
        <f t="shared" si="233"/>
        <v>1913831</v>
      </c>
      <c r="W1177" s="47" t="s">
        <v>1519</v>
      </c>
      <c r="X1177" s="46" t="str">
        <f t="shared" si="234"/>
        <v>4</v>
      </c>
      <c r="Y1177" s="47" t="s">
        <v>1518</v>
      </c>
      <c r="Z1177" s="46" t="str">
        <f t="shared" si="235"/>
        <v>V</v>
      </c>
      <c r="AA1177" s="47" t="s">
        <v>2752</v>
      </c>
      <c r="AB1177" s="46" t="str">
        <f t="shared" si="236"/>
        <v>VIERNES</v>
      </c>
      <c r="AC1177" s="47" t="s">
        <v>2753</v>
      </c>
      <c r="AD1177">
        <f t="shared" si="237"/>
        <v>0</v>
      </c>
      <c r="AE1177" s="47" t="s">
        <v>2754</v>
      </c>
      <c r="AH1177" t="str">
        <f t="shared" si="238"/>
        <v>INSERT INTO horario_curso_materia (horario_curso_materia.FK_CUR_mat,horario_curso_materia.FK_HOR,horario_curso_materia.DIA,horario_curso_materia.tipo_turno) VALUES (  (SELECT curso_materia.ID_CUR_MAT FROM curso_materia WHERE curso_materia.CUPOF='1913831' ) ,
    (SELECT horario.ID_HOR FROM horario WHERE horario.modulo='4 ' and horario.turno='V ' ),'VIERNES ' , '0 ' );</v>
      </c>
    </row>
    <row r="1178" spans="1:34" ht="15" hidden="1" customHeight="1" x14ac:dyDescent="0.3">
      <c r="A1178" s="1" t="str">
        <f t="shared" si="242"/>
        <v>7°2°</v>
      </c>
      <c r="B1178" s="54" t="str">
        <f t="shared" si="241"/>
        <v>7°2°1LUVESPERTINO721</v>
      </c>
      <c r="C1178" s="62">
        <f>VLOOKUP(G1178,[1]Hoja1!$A:$O,3,0)</f>
        <v>721</v>
      </c>
      <c r="D1178" s="51" t="str">
        <f t="shared" si="221"/>
        <v>1LUV46</v>
      </c>
      <c r="E1178" s="62" t="s">
        <v>9</v>
      </c>
      <c r="F1178" s="62" t="s">
        <v>125</v>
      </c>
      <c r="G1178" s="62" t="s">
        <v>226</v>
      </c>
      <c r="H1178" s="8" t="str">
        <f>VLOOKUP(G1178,[1]Hoja1!$A:$O,6,0)</f>
        <v>ELECTRONICA APLICADA</v>
      </c>
      <c r="I1178" s="4">
        <v>46</v>
      </c>
      <c r="J1178" s="4"/>
      <c r="K1178" s="80" t="str">
        <f t="shared" si="240"/>
        <v>LU</v>
      </c>
      <c r="L1178" s="4" t="s">
        <v>512</v>
      </c>
      <c r="M1178" s="86" t="str">
        <f>VLOOKUP(G1178,[1]Hoja1!$A:$O,15,0)</f>
        <v>GUTIERREZ NICOLAS</v>
      </c>
      <c r="N1178" s="2" t="str">
        <f t="shared" si="243"/>
        <v>7°2°7217EELEAPLU</v>
      </c>
      <c r="O1178" s="2"/>
      <c r="P1178" s="2" t="str">
        <f>VLOOKUP(G1178,[1]Hoja1!$A:$P,16,0)</f>
        <v xml:space="preserve"> </v>
      </c>
      <c r="Q1178" s="2"/>
      <c r="S1178">
        <f>VLOOKUP(G1178,[1]Hoja1!$A:$O,5,0)</f>
        <v>1913862</v>
      </c>
      <c r="U1178" s="45" t="s">
        <v>2751</v>
      </c>
      <c r="V1178" s="46">
        <f t="shared" si="233"/>
        <v>1913862</v>
      </c>
      <c r="W1178" s="47" t="s">
        <v>1519</v>
      </c>
      <c r="X1178" s="46" t="str">
        <f t="shared" si="234"/>
        <v>1</v>
      </c>
      <c r="Y1178" s="47" t="s">
        <v>1518</v>
      </c>
      <c r="Z1178" s="46" t="str">
        <f t="shared" si="235"/>
        <v>V</v>
      </c>
      <c r="AA1178" s="47" t="s">
        <v>2752</v>
      </c>
      <c r="AB1178" s="46" t="str">
        <f t="shared" si="236"/>
        <v>LUNES</v>
      </c>
      <c r="AC1178" s="47" t="s">
        <v>2753</v>
      </c>
      <c r="AD1178" t="str">
        <f t="shared" si="237"/>
        <v>CONTRATURNO</v>
      </c>
      <c r="AE1178" s="47" t="s">
        <v>2754</v>
      </c>
      <c r="AH1178" t="str">
        <f t="shared" si="238"/>
        <v>INSERT INTO horario_curso_materia (horario_curso_materia.FK_CUR_mat,horario_curso_materia.FK_HOR,horario_curso_materia.DIA,horario_curso_materia.tipo_turno) VALUES (  (SELECT curso_materia.ID_CUR_MAT FROM curso_materia WHERE curso_materia.CUPOF='1913862' ) ,
    (SELECT horario.ID_HOR FROM horario WHERE horario.modulo='1 ' and horario.turno='V ' ),'LUNES ' , 'CONTRATURNO ' );</v>
      </c>
    </row>
    <row r="1179" spans="1:34" ht="14.25" hidden="1" customHeight="1" x14ac:dyDescent="0.3">
      <c r="A1179" s="1" t="str">
        <f t="shared" si="242"/>
        <v>7°3°</v>
      </c>
      <c r="B1179" s="54" t="str">
        <f t="shared" si="241"/>
        <v>7°3°1juVESPERTINO731</v>
      </c>
      <c r="C1179" s="62">
        <f>VLOOKUP(G1179,[1]Hoja1!$A:$O,3,0)</f>
        <v>731</v>
      </c>
      <c r="D1179" s="2" t="str">
        <f t="shared" ref="D1179:D1211" si="244">CONCATENATE(E1179,LEFT(F1179,1),I1179)</f>
        <v>1juV</v>
      </c>
      <c r="E1179" s="7" t="s">
        <v>1348</v>
      </c>
      <c r="F1179" s="7" t="s">
        <v>125</v>
      </c>
      <c r="G1179" s="62" t="s">
        <v>2770</v>
      </c>
      <c r="H1179" s="8" t="str">
        <f>VLOOKUP(G1179,[1]Hoja1!$A:$O,6,0)</f>
        <v xml:space="preserve">INSTALACION, MANTENIMIENTO Y REPARACION DE REDES INFORMATICAS- </v>
      </c>
      <c r="I1179" s="4"/>
      <c r="J1179" s="4"/>
      <c r="K1179" s="80" t="str">
        <f t="shared" si="240"/>
        <v>ju</v>
      </c>
      <c r="L1179" s="4" t="s">
        <v>512</v>
      </c>
      <c r="M1179" s="86" t="str">
        <f>VLOOKUP(G1179,[1]Hoja1!$A:$O,15,0)</f>
        <v xml:space="preserve">BECERRO MARIO </v>
      </c>
      <c r="N1179" s="2" t="str">
        <f t="shared" si="243"/>
        <v>7°3°7317IIMRRIju</v>
      </c>
      <c r="O1179" s="2"/>
      <c r="P1179" s="2">
        <f>VLOOKUP(G1179,[1]Hoja1!$A:$P,16,0)</f>
        <v>0</v>
      </c>
      <c r="Q1179" s="2"/>
    </row>
    <row r="1180" spans="1:34" ht="14.25" hidden="1" customHeight="1" x14ac:dyDescent="0.3">
      <c r="A1180" s="1" t="str">
        <f t="shared" si="242"/>
        <v>7°3°</v>
      </c>
      <c r="B1180" s="54" t="str">
        <f t="shared" si="241"/>
        <v>7°3°1JUVESPERTINO732</v>
      </c>
      <c r="C1180" s="62">
        <f>VLOOKUP(G1180,[1]Hoja1!$A:$O,3,0)</f>
        <v>732</v>
      </c>
      <c r="D1180" s="2" t="str">
        <f t="shared" si="244"/>
        <v>1JUV40</v>
      </c>
      <c r="E1180" s="7" t="s">
        <v>43</v>
      </c>
      <c r="F1180" s="7" t="s">
        <v>125</v>
      </c>
      <c r="G1180" s="65" t="s">
        <v>2768</v>
      </c>
      <c r="H1180" s="8" t="str">
        <f>VLOOKUP(G1180,[1]Hoja1!$A:$O,6,0)</f>
        <v>INSTALACION, MANTENIMIENTO Y REPARACION DE SISTEMAS COMPUTACIONALES-</v>
      </c>
      <c r="I1180" s="4">
        <v>40</v>
      </c>
      <c r="J1180" s="4"/>
      <c r="K1180" s="80" t="str">
        <f t="shared" si="240"/>
        <v>JU</v>
      </c>
      <c r="L1180" s="4" t="s">
        <v>512</v>
      </c>
      <c r="M1180" s="86" t="str">
        <f>VLOOKUP(G1180,[1]Hoja1!$A:$O,15,0)</f>
        <v>VILLALVA ESTEBAN</v>
      </c>
      <c r="N1180" s="2" t="str">
        <f t="shared" si="243"/>
        <v>7°3°7327IIMRSCJU</v>
      </c>
      <c r="O1180" s="2"/>
      <c r="P1180" s="2">
        <f>VLOOKUP(G1180,[1]Hoja1!$A:$P,16,0)</f>
        <v>0</v>
      </c>
      <c r="Q1180" s="2"/>
    </row>
    <row r="1181" spans="1:34" ht="14.25" hidden="1" customHeight="1" x14ac:dyDescent="0.3">
      <c r="A1181" s="1" t="str">
        <f t="shared" si="242"/>
        <v>7°3°</v>
      </c>
      <c r="B1181" s="54" t="str">
        <f t="shared" si="241"/>
        <v>7°3°1LUVESPERTINO0</v>
      </c>
      <c r="C1181" s="62">
        <f>VLOOKUP(G1181,[1]Hoja1!$A:$O,3,0)</f>
        <v>0</v>
      </c>
      <c r="D1181" s="2" t="str">
        <f t="shared" si="244"/>
        <v>1LUV</v>
      </c>
      <c r="E1181" s="7" t="s">
        <v>9</v>
      </c>
      <c r="F1181" s="7" t="s">
        <v>125</v>
      </c>
      <c r="G1181" s="62" t="s">
        <v>2763</v>
      </c>
      <c r="H1181" s="8" t="str">
        <f>VLOOKUP(G1181,[1]Hoja1!$A:$O,6,0)</f>
        <v>MODELOS Y SISTEMAS</v>
      </c>
      <c r="I1181" s="4"/>
      <c r="J1181" s="4"/>
      <c r="K1181" s="80" t="str">
        <f t="shared" si="240"/>
        <v>LU</v>
      </c>
      <c r="L1181" s="4"/>
      <c r="M1181" s="86" t="str">
        <f>VLOOKUP(G1181,[1]Hoja1!$A:$O,15,0)</f>
        <v xml:space="preserve">MONTENEGRO CLAUDIA </v>
      </c>
      <c r="N1181" s="2" t="str">
        <f t="shared" si="243"/>
        <v>7°3°7IMOSISLU</v>
      </c>
      <c r="O1181" s="2"/>
      <c r="P1181" s="2">
        <f>VLOOKUP(G1181,[1]Hoja1!$A:$P,16,0)</f>
        <v>0</v>
      </c>
      <c r="Q1181" s="2"/>
    </row>
    <row r="1182" spans="1:34" ht="14.25" hidden="1" customHeight="1" x14ac:dyDescent="0.3">
      <c r="A1182" s="1" t="str">
        <f t="shared" si="242"/>
        <v>7°3°</v>
      </c>
      <c r="B1182" s="54" t="str">
        <f t="shared" si="241"/>
        <v>7°3°1MAVESPERTINO0</v>
      </c>
      <c r="C1182" s="62">
        <f>VLOOKUP(G1182,[1]Hoja1!$A:$O,3,0)</f>
        <v>0</v>
      </c>
      <c r="D1182" s="2" t="str">
        <f t="shared" si="244"/>
        <v>1MAV</v>
      </c>
      <c r="E1182" s="7" t="s">
        <v>17</v>
      </c>
      <c r="F1182" s="7" t="s">
        <v>125</v>
      </c>
      <c r="G1182" s="62" t="s">
        <v>2762</v>
      </c>
      <c r="H1182" s="8" t="str">
        <f>VLOOKUP(G1182,[1]Hoja1!$A:$O,6,0)</f>
        <v>EVALUACION DE PROYECTO</v>
      </c>
      <c r="I1182" s="4"/>
      <c r="J1182" s="4"/>
      <c r="K1182" s="80" t="str">
        <f t="shared" si="240"/>
        <v>MA</v>
      </c>
      <c r="L1182" s="4"/>
      <c r="M1182" s="86" t="str">
        <f>VLOOKUP(G1182,[1]Hoja1!$A:$O,15,0)</f>
        <v xml:space="preserve">ROCHA JULIETA </v>
      </c>
      <c r="N1182" s="2" t="str">
        <f t="shared" si="243"/>
        <v>7°3°7IEVPROMA</v>
      </c>
      <c r="O1182" s="2"/>
      <c r="P1182" s="2">
        <f>VLOOKUP(G1182,[1]Hoja1!$A:$P,16,0)</f>
        <v>0</v>
      </c>
      <c r="Q1182" s="2"/>
    </row>
    <row r="1183" spans="1:34" ht="14.25" hidden="1" customHeight="1" x14ac:dyDescent="0.3">
      <c r="A1183" s="1" t="str">
        <f t="shared" si="242"/>
        <v>7°3°</v>
      </c>
      <c r="B1183" s="54" t="str">
        <f t="shared" si="241"/>
        <v>7°3°1mimañana0</v>
      </c>
      <c r="C1183" s="62">
        <f>VLOOKUP(G1183,[1]Hoja1!$A:$O,3,0)</f>
        <v>0</v>
      </c>
      <c r="D1183" s="2" t="str">
        <f t="shared" si="244"/>
        <v>1mim</v>
      </c>
      <c r="E1183" s="7" t="s">
        <v>55</v>
      </c>
      <c r="F1183" s="7" t="s">
        <v>2772</v>
      </c>
      <c r="G1183" s="62" t="s">
        <v>2771</v>
      </c>
      <c r="H1183" s="8" t="str">
        <f>VLOOKUP(G1183,[1]Hoja1!$A:$O,6,0)</f>
        <v>BASE DE DATOS</v>
      </c>
      <c r="I1183" s="4"/>
      <c r="J1183" s="4"/>
      <c r="K1183" s="80" t="str">
        <f t="shared" si="240"/>
        <v>mi</v>
      </c>
      <c r="L1183" s="4" t="s">
        <v>512</v>
      </c>
      <c r="M1183" s="86" t="str">
        <f>VLOOKUP(G1183,[1]Hoja1!$A:$O,15,0)</f>
        <v xml:space="preserve">WITT GERARDO </v>
      </c>
      <c r="N1183" s="2" t="str">
        <f t="shared" si="243"/>
        <v>7°3°7IBADATmi</v>
      </c>
      <c r="O1183" s="2"/>
      <c r="P1183" s="2">
        <f>VLOOKUP(G1183,[1]Hoja1!$A:$P,16,0)</f>
        <v>0</v>
      </c>
      <c r="Q1183" s="2"/>
    </row>
    <row r="1184" spans="1:34" ht="14.25" hidden="1" customHeight="1" x14ac:dyDescent="0.3">
      <c r="A1184" s="1" t="str">
        <f t="shared" si="242"/>
        <v>7°3°</v>
      </c>
      <c r="B1184" s="54" t="str">
        <f t="shared" si="241"/>
        <v>7°3°1miVESPERTINO731</v>
      </c>
      <c r="C1184" s="62">
        <f>VLOOKUP(G1184,[1]Hoja1!$A:$O,3,0)</f>
        <v>731</v>
      </c>
      <c r="D1184" s="2" t="str">
        <f t="shared" si="244"/>
        <v>1miV40</v>
      </c>
      <c r="E1184" s="7" t="s">
        <v>55</v>
      </c>
      <c r="F1184" s="7" t="s">
        <v>125</v>
      </c>
      <c r="G1184" s="62" t="s">
        <v>2767</v>
      </c>
      <c r="H1184" s="8" t="str">
        <f>VLOOKUP(G1184,[1]Hoja1!$A:$O,6,0)</f>
        <v>INSTALACION, MANTENIMIENTO Y REPARACION DE SISTEMAS COMPUTACIONALES-</v>
      </c>
      <c r="I1184" s="4">
        <v>40</v>
      </c>
      <c r="J1184" s="4"/>
      <c r="K1184" s="80" t="str">
        <f t="shared" si="240"/>
        <v>mi</v>
      </c>
      <c r="L1184" s="4" t="s">
        <v>512</v>
      </c>
      <c r="M1184" s="86" t="str">
        <f>VLOOKUP(G1184,[1]Hoja1!$A:$O,15,0)</f>
        <v xml:space="preserve"> GUZZO HUGO DANIEL</v>
      </c>
      <c r="N1184" s="2" t="str">
        <f t="shared" si="243"/>
        <v>7°3°7317IIMRSCmi</v>
      </c>
      <c r="O1184" s="2"/>
      <c r="P1184" s="2">
        <f>VLOOKUP(G1184,[1]Hoja1!$A:$P,16,0)</f>
        <v>0</v>
      </c>
      <c r="Q1184" s="2"/>
    </row>
    <row r="1185" spans="1:21" ht="14.25" hidden="1" customHeight="1" x14ac:dyDescent="0.3">
      <c r="A1185" s="1" t="str">
        <f t="shared" si="242"/>
        <v>7°3°</v>
      </c>
      <c r="B1185" s="54" t="str">
        <f t="shared" si="241"/>
        <v>7°3°1MIVESPERTINO732</v>
      </c>
      <c r="C1185" s="62">
        <f>VLOOKUP(G1185,[1]Hoja1!$A:$O,3,0)</f>
        <v>732</v>
      </c>
      <c r="D1185" s="2" t="str">
        <f t="shared" si="244"/>
        <v>1MIVROBOTICA</v>
      </c>
      <c r="E1185" s="7" t="s">
        <v>24</v>
      </c>
      <c r="F1185" s="7" t="s">
        <v>125</v>
      </c>
      <c r="G1185" s="62" t="s">
        <v>2766</v>
      </c>
      <c r="H1185" s="8" t="str">
        <f>VLOOKUP(G1185,[1]Hoja1!$A:$O,6,0)</f>
        <v>PROYECTO, DISEÑO E IMPLEMENTACION DE SISTEMAS COMPUTACIONALES</v>
      </c>
      <c r="I1185" s="4" t="s">
        <v>2759</v>
      </c>
      <c r="J1185" s="4"/>
      <c r="K1185" s="80" t="str">
        <f t="shared" si="240"/>
        <v>MI</v>
      </c>
      <c r="L1185" s="4" t="s">
        <v>512</v>
      </c>
      <c r="M1185" s="86" t="str">
        <f>VLOOKUP(G1185,[1]Hoja1!$A:$O,15,0)</f>
        <v>GUTIERREZ ANGEL</v>
      </c>
      <c r="N1185" s="2" t="str">
        <f t="shared" si="243"/>
        <v>7°3°7327IPDISCMI</v>
      </c>
      <c r="O1185" s="2"/>
      <c r="P1185" s="2">
        <f>VLOOKUP(G1185,[1]Hoja1!$A:$P,16,0)</f>
        <v>0</v>
      </c>
      <c r="Q1185" s="2"/>
    </row>
    <row r="1186" spans="1:21" ht="14.25" hidden="1" customHeight="1" x14ac:dyDescent="0.3">
      <c r="A1186" s="1" t="str">
        <f t="shared" si="242"/>
        <v>7°3°</v>
      </c>
      <c r="B1186" s="54" t="str">
        <f t="shared" si="241"/>
        <v>7°3°1VIVESPERTINO731</v>
      </c>
      <c r="C1186" s="62">
        <f>VLOOKUP(G1186,[1]Hoja1!$A:$O,3,0)</f>
        <v>731</v>
      </c>
      <c r="D1186" s="2" t="str">
        <f t="shared" si="244"/>
        <v>1VIV</v>
      </c>
      <c r="E1186" s="7" t="s">
        <v>57</v>
      </c>
      <c r="F1186" s="7" t="s">
        <v>125</v>
      </c>
      <c r="G1186" s="62" t="s">
        <v>2764</v>
      </c>
      <c r="H1186" s="8" t="str">
        <f>VLOOKUP(G1186,[1]Hoja1!$A:$O,6,0)</f>
        <v>PROYECTO, DISEÑO E IMPLEMENTACION DE SISTEMAS COMPUTACIONALES</v>
      </c>
      <c r="I1186" s="4"/>
      <c r="J1186" s="4"/>
      <c r="K1186" s="80" t="str">
        <f t="shared" si="240"/>
        <v>VI</v>
      </c>
      <c r="L1186" s="4" t="s">
        <v>512</v>
      </c>
      <c r="M1186" s="86" t="str">
        <f>VLOOKUP(G1186,[1]Hoja1!$A:$O,15,0)</f>
        <v>GUTIERREZ ANGEL</v>
      </c>
      <c r="N1186" s="2" t="str">
        <f t="shared" si="243"/>
        <v>7°3°7317IPDISCVI</v>
      </c>
      <c r="O1186" s="2"/>
      <c r="P1186" s="2">
        <f>VLOOKUP(G1186,[1]Hoja1!$A:$P,16,0)</f>
        <v>0</v>
      </c>
      <c r="Q1186" s="2"/>
    </row>
    <row r="1187" spans="1:21" ht="14.25" hidden="1" customHeight="1" x14ac:dyDescent="0.3">
      <c r="A1187" s="1" t="str">
        <f t="shared" si="242"/>
        <v>7°3°</v>
      </c>
      <c r="B1187" s="54" t="str">
        <f t="shared" si="241"/>
        <v>7°3°1VIVESPERTINO732</v>
      </c>
      <c r="C1187" s="62">
        <f>VLOOKUP(G1187,[1]Hoja1!$A:$O,3,0)</f>
        <v>732</v>
      </c>
      <c r="D1187" s="2" t="str">
        <f t="shared" si="244"/>
        <v>1VIV40</v>
      </c>
      <c r="E1187" s="7" t="s">
        <v>57</v>
      </c>
      <c r="F1187" s="7" t="s">
        <v>125</v>
      </c>
      <c r="G1187" s="62" t="s">
        <v>2769</v>
      </c>
      <c r="H1187" s="8" t="str">
        <f>VLOOKUP(G1187,[1]Hoja1!$A:$O,6,0)</f>
        <v xml:space="preserve">INSTALACION, MANTENIMIENTO Y REPARACION DE REDES INFORMATICAS- </v>
      </c>
      <c r="I1187" s="4">
        <v>40</v>
      </c>
      <c r="J1187" s="4"/>
      <c r="K1187" s="80" t="str">
        <f t="shared" si="240"/>
        <v>VI</v>
      </c>
      <c r="L1187" s="4" t="s">
        <v>512</v>
      </c>
      <c r="M1187" s="86" t="str">
        <f>VLOOKUP(G1187,[1]Hoja1!$A:$O,15,0)</f>
        <v xml:space="preserve">BECERRO MARIO </v>
      </c>
      <c r="N1187" s="2" t="str">
        <f t="shared" si="243"/>
        <v>7°3°7327IIMRRIVI</v>
      </c>
      <c r="O1187" s="2"/>
      <c r="P1187" s="2">
        <f>VLOOKUP(G1187,[1]Hoja1!$A:$P,16,0)</f>
        <v>0</v>
      </c>
      <c r="Q1187" s="2"/>
    </row>
    <row r="1188" spans="1:21" ht="14.25" hidden="1" customHeight="1" x14ac:dyDescent="0.3">
      <c r="A1188" s="1" t="str">
        <f t="shared" ref="A1188:A1211" si="245">LEFT(B1188,4)</f>
        <v>7°3°</v>
      </c>
      <c r="B1188" s="54" t="str">
        <f t="shared" si="241"/>
        <v>7°3°2juVESPERTINO731</v>
      </c>
      <c r="C1188" s="62">
        <f>VLOOKUP(G1188,[1]Hoja1!$A:$O,3,0)</f>
        <v>731</v>
      </c>
      <c r="D1188" s="2" t="str">
        <f t="shared" si="244"/>
        <v>2juV</v>
      </c>
      <c r="E1188" s="7" t="s">
        <v>1349</v>
      </c>
      <c r="F1188" s="7" t="s">
        <v>125</v>
      </c>
      <c r="G1188" s="62" t="s">
        <v>2770</v>
      </c>
      <c r="H1188" s="8" t="str">
        <f>VLOOKUP(G1188,[1]Hoja1!$A:$O,6,0)</f>
        <v xml:space="preserve">INSTALACION, MANTENIMIENTO Y REPARACION DE REDES INFORMATICAS- </v>
      </c>
      <c r="I1188" s="4"/>
      <c r="J1188" s="4"/>
      <c r="K1188" s="80" t="str">
        <f t="shared" si="240"/>
        <v>ju</v>
      </c>
      <c r="L1188" s="4" t="s">
        <v>512</v>
      </c>
      <c r="M1188" s="86" t="str">
        <f>VLOOKUP(G1188,[1]Hoja1!$A:$O,15,0)</f>
        <v xml:space="preserve">BECERRO MARIO </v>
      </c>
      <c r="N1188" s="2" t="str">
        <f t="shared" si="243"/>
        <v>7°3°7317IIMRRIju</v>
      </c>
      <c r="O1188" s="2"/>
      <c r="P1188" s="2">
        <f>VLOOKUP(G1188,[1]Hoja1!$A:$P,16,0)</f>
        <v>0</v>
      </c>
      <c r="Q1188" s="2"/>
    </row>
    <row r="1189" spans="1:21" ht="14.25" hidden="1" customHeight="1" x14ac:dyDescent="0.3">
      <c r="A1189" s="1" t="str">
        <f t="shared" si="245"/>
        <v>7°3°</v>
      </c>
      <c r="B1189" s="54" t="str">
        <f t="shared" si="241"/>
        <v>7°3°2JUVESPERTINO732</v>
      </c>
      <c r="C1189" s="62">
        <f>VLOOKUP(G1189,[1]Hoja1!$A:$O,3,0)</f>
        <v>732</v>
      </c>
      <c r="D1189" s="2" t="str">
        <f t="shared" si="244"/>
        <v>2JUV40</v>
      </c>
      <c r="E1189" s="7" t="s">
        <v>45</v>
      </c>
      <c r="F1189" s="7" t="s">
        <v>125</v>
      </c>
      <c r="G1189" s="65" t="s">
        <v>2768</v>
      </c>
      <c r="H1189" s="8" t="str">
        <f>VLOOKUP(G1189,[1]Hoja1!$A:$O,6,0)</f>
        <v>INSTALACION, MANTENIMIENTO Y REPARACION DE SISTEMAS COMPUTACIONALES-</v>
      </c>
      <c r="I1189" s="4">
        <v>40</v>
      </c>
      <c r="J1189" s="4"/>
      <c r="K1189" s="80" t="str">
        <f t="shared" si="240"/>
        <v>JU</v>
      </c>
      <c r="L1189" s="4" t="s">
        <v>512</v>
      </c>
      <c r="M1189" s="86" t="str">
        <f>VLOOKUP(G1189,[1]Hoja1!$A:$O,15,0)</f>
        <v>VILLALVA ESTEBAN</v>
      </c>
      <c r="N1189" s="2" t="str">
        <f t="shared" si="243"/>
        <v>7°3°7327IIMRSCJU</v>
      </c>
      <c r="O1189" s="2"/>
      <c r="P1189" s="2">
        <f>VLOOKUP(G1189,[1]Hoja1!$A:$P,16,0)</f>
        <v>0</v>
      </c>
      <c r="Q1189" s="2"/>
    </row>
    <row r="1190" spans="1:21" ht="14.25" hidden="1" customHeight="1" x14ac:dyDescent="0.3">
      <c r="A1190" s="1" t="str">
        <f t="shared" si="245"/>
        <v>7°3°</v>
      </c>
      <c r="B1190" s="54" t="str">
        <f t="shared" si="241"/>
        <v>7°3°2LUVESPERTINO0</v>
      </c>
      <c r="C1190" s="62">
        <f>VLOOKUP(G1190,[1]Hoja1!$A:$O,3,0)</f>
        <v>0</v>
      </c>
      <c r="D1190" s="2" t="str">
        <f t="shared" si="244"/>
        <v>2LUV</v>
      </c>
      <c r="E1190" s="7" t="s">
        <v>12</v>
      </c>
      <c r="F1190" s="7" t="s">
        <v>125</v>
      </c>
      <c r="G1190" s="62" t="s">
        <v>2763</v>
      </c>
      <c r="H1190" s="8" t="str">
        <f>VLOOKUP(G1190,[1]Hoja1!$A:$O,6,0)</f>
        <v>MODELOS Y SISTEMAS</v>
      </c>
      <c r="I1190" s="4"/>
      <c r="J1190" s="4"/>
      <c r="K1190" s="80" t="str">
        <f t="shared" si="240"/>
        <v>LU</v>
      </c>
      <c r="L1190" s="4"/>
      <c r="M1190" s="86" t="str">
        <f>VLOOKUP(G1190,[1]Hoja1!$A:$O,15,0)</f>
        <v xml:space="preserve">MONTENEGRO CLAUDIA </v>
      </c>
      <c r="N1190" s="2" t="str">
        <f t="shared" si="243"/>
        <v>7°3°7IMOSISLU</v>
      </c>
      <c r="O1190" s="2"/>
      <c r="P1190" s="2">
        <f>VLOOKUP(G1190,[1]Hoja1!$A:$P,16,0)</f>
        <v>0</v>
      </c>
      <c r="Q1190" s="2"/>
    </row>
    <row r="1191" spans="1:21" ht="14.25" hidden="1" customHeight="1" x14ac:dyDescent="0.3">
      <c r="A1191" s="1" t="str">
        <f t="shared" si="245"/>
        <v>7°3°</v>
      </c>
      <c r="B1191" s="54" t="str">
        <f t="shared" si="241"/>
        <v>7°3°2MAVESPERTINO0</v>
      </c>
      <c r="C1191" s="62">
        <f>VLOOKUP(G1191,[1]Hoja1!$A:$O,3,0)</f>
        <v>0</v>
      </c>
      <c r="D1191" s="2" t="str">
        <f t="shared" si="244"/>
        <v>2MAV</v>
      </c>
      <c r="E1191" s="7" t="s">
        <v>19</v>
      </c>
      <c r="F1191" s="7" t="s">
        <v>125</v>
      </c>
      <c r="G1191" s="62" t="s">
        <v>2762</v>
      </c>
      <c r="H1191" s="8" t="str">
        <f>VLOOKUP(G1191,[1]Hoja1!$A:$O,6,0)</f>
        <v>EVALUACION DE PROYECTO</v>
      </c>
      <c r="I1191" s="4"/>
      <c r="J1191" s="4"/>
      <c r="K1191" s="80" t="str">
        <f t="shared" si="240"/>
        <v>MA</v>
      </c>
      <c r="L1191" s="4"/>
      <c r="M1191" s="86" t="str">
        <f>VLOOKUP(G1191,[1]Hoja1!$A:$O,15,0)</f>
        <v xml:space="preserve">ROCHA JULIETA </v>
      </c>
      <c r="N1191" s="2" t="str">
        <f t="shared" si="243"/>
        <v>7°3°7IEVPROMA</v>
      </c>
      <c r="O1191" s="2"/>
      <c r="P1191" s="2">
        <f>VLOOKUP(G1191,[1]Hoja1!$A:$P,16,0)</f>
        <v>0</v>
      </c>
      <c r="Q1191" s="2"/>
      <c r="U1191" s="45"/>
    </row>
    <row r="1192" spans="1:21" ht="14.25" hidden="1" customHeight="1" x14ac:dyDescent="0.3">
      <c r="A1192" s="1" t="str">
        <f t="shared" si="245"/>
        <v>7°3°</v>
      </c>
      <c r="B1192" s="54" t="str">
        <f t="shared" si="241"/>
        <v>7°3°2mimañana0</v>
      </c>
      <c r="C1192" s="62">
        <f>VLOOKUP(G1192,[1]Hoja1!$A:$O,3,0)</f>
        <v>0</v>
      </c>
      <c r="D1192" s="2" t="str">
        <f t="shared" si="244"/>
        <v>2mim</v>
      </c>
      <c r="E1192" s="7" t="s">
        <v>1343</v>
      </c>
      <c r="F1192" s="7" t="s">
        <v>2772</v>
      </c>
      <c r="G1192" s="62" t="s">
        <v>2771</v>
      </c>
      <c r="H1192" s="8" t="str">
        <f>VLOOKUP(G1192,[1]Hoja1!$A:$O,6,0)</f>
        <v>BASE DE DATOS</v>
      </c>
      <c r="I1192" s="4"/>
      <c r="J1192" s="4"/>
      <c r="K1192" s="80" t="str">
        <f t="shared" si="240"/>
        <v>mi</v>
      </c>
      <c r="L1192" s="4" t="s">
        <v>512</v>
      </c>
      <c r="M1192" s="86" t="str">
        <f>VLOOKUP(G1192,[1]Hoja1!$A:$O,15,0)</f>
        <v xml:space="preserve">WITT GERARDO </v>
      </c>
      <c r="N1192" s="2" t="str">
        <f t="shared" si="243"/>
        <v>7°3°7IBADATmi</v>
      </c>
      <c r="O1192" s="2"/>
      <c r="P1192" s="2">
        <f>VLOOKUP(G1192,[1]Hoja1!$A:$P,16,0)</f>
        <v>0</v>
      </c>
      <c r="Q1192" s="2"/>
    </row>
    <row r="1193" spans="1:21" ht="14.25" hidden="1" customHeight="1" x14ac:dyDescent="0.3">
      <c r="A1193" s="1" t="str">
        <f t="shared" si="245"/>
        <v>7°3°</v>
      </c>
      <c r="B1193" s="54" t="str">
        <f t="shared" si="241"/>
        <v>7°3°2miVESPERTINO731</v>
      </c>
      <c r="C1193" s="62">
        <f>VLOOKUP(G1193,[1]Hoja1!$A:$O,3,0)</f>
        <v>731</v>
      </c>
      <c r="D1193" s="2" t="str">
        <f t="shared" si="244"/>
        <v>2miV40</v>
      </c>
      <c r="E1193" s="7" t="s">
        <v>1343</v>
      </c>
      <c r="F1193" s="7" t="s">
        <v>125</v>
      </c>
      <c r="G1193" s="62" t="s">
        <v>2767</v>
      </c>
      <c r="H1193" s="8" t="str">
        <f>VLOOKUP(G1193,[1]Hoja1!$A:$O,6,0)</f>
        <v>INSTALACION, MANTENIMIENTO Y REPARACION DE SISTEMAS COMPUTACIONALES-</v>
      </c>
      <c r="I1193" s="4">
        <v>40</v>
      </c>
      <c r="J1193" s="4"/>
      <c r="K1193" s="80" t="str">
        <f t="shared" si="240"/>
        <v>mi</v>
      </c>
      <c r="L1193" s="4" t="s">
        <v>512</v>
      </c>
      <c r="M1193" s="86" t="str">
        <f>VLOOKUP(G1193,[1]Hoja1!$A:$O,15,0)</f>
        <v xml:space="preserve"> GUZZO HUGO DANIEL</v>
      </c>
      <c r="N1193" s="2" t="str">
        <f t="shared" si="243"/>
        <v>7°3°7317IIMRSCmi</v>
      </c>
      <c r="O1193" s="2"/>
      <c r="P1193" s="2">
        <f>VLOOKUP(G1193,[1]Hoja1!$A:$P,16,0)</f>
        <v>0</v>
      </c>
      <c r="Q1193" s="2"/>
    </row>
    <row r="1194" spans="1:21" ht="14.25" hidden="1" customHeight="1" x14ac:dyDescent="0.3">
      <c r="A1194" s="1" t="str">
        <f t="shared" si="245"/>
        <v>7°3°</v>
      </c>
      <c r="B1194" s="54" t="str">
        <f t="shared" si="241"/>
        <v>7°3°2MIVESPERTINO732</v>
      </c>
      <c r="C1194" s="62">
        <f>VLOOKUP(G1194,[1]Hoja1!$A:$O,3,0)</f>
        <v>732</v>
      </c>
      <c r="D1194" s="2" t="str">
        <f t="shared" si="244"/>
        <v>2MIVROBOTICA</v>
      </c>
      <c r="E1194" s="7" t="s">
        <v>26</v>
      </c>
      <c r="F1194" s="7" t="s">
        <v>125</v>
      </c>
      <c r="G1194" s="62" t="s">
        <v>2766</v>
      </c>
      <c r="H1194" s="8" t="str">
        <f>VLOOKUP(G1194,[1]Hoja1!$A:$O,6,0)</f>
        <v>PROYECTO, DISEÑO E IMPLEMENTACION DE SISTEMAS COMPUTACIONALES</v>
      </c>
      <c r="I1194" s="4" t="s">
        <v>2759</v>
      </c>
      <c r="J1194" s="4"/>
      <c r="K1194" s="80" t="str">
        <f t="shared" si="240"/>
        <v>MI</v>
      </c>
      <c r="L1194" s="4" t="s">
        <v>512</v>
      </c>
      <c r="M1194" s="86" t="str">
        <f>VLOOKUP(G1194,[1]Hoja1!$A:$O,15,0)</f>
        <v>GUTIERREZ ANGEL</v>
      </c>
      <c r="N1194" s="2" t="str">
        <f t="shared" si="243"/>
        <v>7°3°7327IPDISCMI</v>
      </c>
      <c r="O1194" s="2"/>
      <c r="P1194" s="2">
        <f>VLOOKUP(G1194,[1]Hoja1!$A:$P,16,0)</f>
        <v>0</v>
      </c>
      <c r="Q1194" s="2"/>
    </row>
    <row r="1195" spans="1:21" ht="14.25" hidden="1" customHeight="1" x14ac:dyDescent="0.3">
      <c r="A1195" s="1" t="str">
        <f t="shared" si="245"/>
        <v>7°3°</v>
      </c>
      <c r="B1195" s="54" t="str">
        <f t="shared" si="241"/>
        <v>7°3°2VIVESPERTINO731</v>
      </c>
      <c r="C1195" s="62">
        <f>VLOOKUP(G1195,[1]Hoja1!$A:$O,3,0)</f>
        <v>731</v>
      </c>
      <c r="D1195" s="2" t="str">
        <f t="shared" si="244"/>
        <v>2VIV</v>
      </c>
      <c r="E1195" s="7" t="s">
        <v>59</v>
      </c>
      <c r="F1195" s="7" t="s">
        <v>125</v>
      </c>
      <c r="G1195" s="62" t="s">
        <v>2764</v>
      </c>
      <c r="H1195" s="8" t="str">
        <f>VLOOKUP(G1195,[1]Hoja1!$A:$O,6,0)</f>
        <v>PROYECTO, DISEÑO E IMPLEMENTACION DE SISTEMAS COMPUTACIONALES</v>
      </c>
      <c r="I1195" s="4"/>
      <c r="J1195" s="4"/>
      <c r="K1195" s="80" t="str">
        <f t="shared" si="240"/>
        <v>VI</v>
      </c>
      <c r="L1195" s="4" t="s">
        <v>512</v>
      </c>
      <c r="M1195" s="86" t="str">
        <f>VLOOKUP(G1195,[1]Hoja1!$A:$O,15,0)</f>
        <v>GUTIERREZ ANGEL</v>
      </c>
      <c r="N1195" s="2" t="str">
        <f t="shared" si="243"/>
        <v>7°3°7317IPDISCVI</v>
      </c>
      <c r="O1195" s="2"/>
      <c r="P1195" s="2">
        <f>VLOOKUP(G1195,[1]Hoja1!$A:$P,16,0)</f>
        <v>0</v>
      </c>
      <c r="Q1195" s="2"/>
    </row>
    <row r="1196" spans="1:21" ht="14.25" hidden="1" customHeight="1" x14ac:dyDescent="0.3">
      <c r="A1196" s="1" t="str">
        <f t="shared" si="245"/>
        <v>7°3°</v>
      </c>
      <c r="B1196" s="54" t="str">
        <f t="shared" si="241"/>
        <v>7°3°2VIVESPERTINO732</v>
      </c>
      <c r="C1196" s="62">
        <f>VLOOKUP(G1196,[1]Hoja1!$A:$O,3,0)</f>
        <v>732</v>
      </c>
      <c r="D1196" s="2" t="str">
        <f t="shared" si="244"/>
        <v>2VIV40</v>
      </c>
      <c r="E1196" s="7" t="s">
        <v>59</v>
      </c>
      <c r="F1196" s="7" t="s">
        <v>125</v>
      </c>
      <c r="G1196" s="62" t="s">
        <v>2769</v>
      </c>
      <c r="H1196" s="8" t="str">
        <f>VLOOKUP(G1196,[1]Hoja1!$A:$O,6,0)</f>
        <v xml:space="preserve">INSTALACION, MANTENIMIENTO Y REPARACION DE REDES INFORMATICAS- </v>
      </c>
      <c r="I1196" s="4">
        <v>40</v>
      </c>
      <c r="J1196" s="4"/>
      <c r="K1196" s="80" t="str">
        <f t="shared" si="240"/>
        <v>VI</v>
      </c>
      <c r="L1196" s="4" t="s">
        <v>512</v>
      </c>
      <c r="M1196" s="86" t="str">
        <f>VLOOKUP(G1196,[1]Hoja1!$A:$O,15,0)</f>
        <v xml:space="preserve">BECERRO MARIO </v>
      </c>
      <c r="N1196" s="2" t="str">
        <f t="shared" si="243"/>
        <v>7°3°7327IIMRRIVI</v>
      </c>
      <c r="O1196" s="2"/>
      <c r="P1196" s="2">
        <f>VLOOKUP(G1196,[1]Hoja1!$A:$P,16,0)</f>
        <v>0</v>
      </c>
      <c r="Q1196" s="2"/>
    </row>
    <row r="1197" spans="1:21" ht="14.25" hidden="1" customHeight="1" x14ac:dyDescent="0.3">
      <c r="A1197" s="1" t="str">
        <f t="shared" si="245"/>
        <v>7°3°</v>
      </c>
      <c r="B1197" s="54" t="str">
        <f t="shared" si="241"/>
        <v>7°3°3juVESPERTINO731</v>
      </c>
      <c r="C1197" s="62">
        <f>VLOOKUP(G1197,[1]Hoja1!$A:$O,3,0)</f>
        <v>731</v>
      </c>
      <c r="D1197" s="2" t="str">
        <f t="shared" si="244"/>
        <v>3juV</v>
      </c>
      <c r="E1197" s="7" t="s">
        <v>1350</v>
      </c>
      <c r="F1197" s="7" t="s">
        <v>125</v>
      </c>
      <c r="G1197" s="62" t="s">
        <v>2770</v>
      </c>
      <c r="H1197" s="8" t="str">
        <f>VLOOKUP(G1197,[1]Hoja1!$A:$O,6,0)</f>
        <v xml:space="preserve">INSTALACION, MANTENIMIENTO Y REPARACION DE REDES INFORMATICAS- </v>
      </c>
      <c r="I1197" s="4"/>
      <c r="J1197" s="4"/>
      <c r="K1197" s="80" t="str">
        <f t="shared" si="240"/>
        <v>ju</v>
      </c>
      <c r="L1197" s="4" t="s">
        <v>512</v>
      </c>
      <c r="M1197" s="86" t="str">
        <f>VLOOKUP(G1197,[1]Hoja1!$A:$O,15,0)</f>
        <v xml:space="preserve">BECERRO MARIO </v>
      </c>
      <c r="N1197" s="2" t="str">
        <f t="shared" si="243"/>
        <v>7°3°7317IIMRRIju</v>
      </c>
      <c r="O1197" s="2"/>
      <c r="P1197" s="2">
        <f>VLOOKUP(G1197,[1]Hoja1!$A:$P,16,0)</f>
        <v>0</v>
      </c>
      <c r="Q1197" s="2"/>
    </row>
    <row r="1198" spans="1:21" ht="14.25" hidden="1" customHeight="1" x14ac:dyDescent="0.3">
      <c r="A1198" s="1" t="str">
        <f t="shared" si="245"/>
        <v>7°3°</v>
      </c>
      <c r="B1198" s="54" t="str">
        <f t="shared" si="241"/>
        <v>7°3°3JUVESPERTINO732</v>
      </c>
      <c r="C1198" s="62">
        <f>VLOOKUP(G1198,[1]Hoja1!$A:$O,3,0)</f>
        <v>732</v>
      </c>
      <c r="D1198" s="2" t="str">
        <f t="shared" si="244"/>
        <v>3JUV40</v>
      </c>
      <c r="E1198" s="7" t="s">
        <v>46</v>
      </c>
      <c r="F1198" s="7" t="s">
        <v>125</v>
      </c>
      <c r="G1198" s="65" t="s">
        <v>2768</v>
      </c>
      <c r="H1198" s="8" t="str">
        <f>VLOOKUP(G1198,[1]Hoja1!$A:$O,6,0)</f>
        <v>INSTALACION, MANTENIMIENTO Y REPARACION DE SISTEMAS COMPUTACIONALES-</v>
      </c>
      <c r="I1198" s="4">
        <v>40</v>
      </c>
      <c r="J1198" s="4"/>
      <c r="K1198" s="80" t="str">
        <f t="shared" si="240"/>
        <v>JU</v>
      </c>
      <c r="L1198" s="4" t="s">
        <v>512</v>
      </c>
      <c r="M1198" s="86" t="str">
        <f>VLOOKUP(G1198,[1]Hoja1!$A:$O,15,0)</f>
        <v>VILLALVA ESTEBAN</v>
      </c>
      <c r="N1198" s="2" t="str">
        <f t="shared" si="243"/>
        <v>7°3°7327IIMRSCJU</v>
      </c>
      <c r="O1198" s="2"/>
      <c r="P1198" s="2">
        <f>VLOOKUP(G1198,[1]Hoja1!$A:$P,16,0)</f>
        <v>0</v>
      </c>
      <c r="Q1198" s="2"/>
    </row>
    <row r="1199" spans="1:21" ht="14.25" hidden="1" customHeight="1" x14ac:dyDescent="0.3">
      <c r="A1199" s="1" t="str">
        <f t="shared" si="245"/>
        <v>7°3°</v>
      </c>
      <c r="B1199" s="54" t="str">
        <f t="shared" si="241"/>
        <v>7°3°3MAVESPERTINO0</v>
      </c>
      <c r="C1199" s="62">
        <f>VLOOKUP(G1199,[1]Hoja1!$A:$O,3,0)</f>
        <v>0</v>
      </c>
      <c r="D1199" s="2" t="str">
        <f t="shared" si="244"/>
        <v>3MAV</v>
      </c>
      <c r="E1199" s="7" t="s">
        <v>13</v>
      </c>
      <c r="F1199" s="7" t="s">
        <v>125</v>
      </c>
      <c r="G1199" s="62" t="s">
        <v>2765</v>
      </c>
      <c r="H1199" s="8" t="str">
        <f>VLOOKUP(G1199,[1]Hoja1!$A:$O,6,0)</f>
        <v>EMPRENDIMIENTO PRODUCTIVO Y DESARROLLO LOCAL</v>
      </c>
      <c r="I1199" s="4"/>
      <c r="J1199" s="4"/>
      <c r="K1199" s="80" t="str">
        <f t="shared" si="240"/>
        <v>MA</v>
      </c>
      <c r="L1199" s="4"/>
      <c r="M1199" s="86" t="str">
        <f>VLOOKUP(G1199,[1]Hoja1!$A:$O,15,0)</f>
        <v xml:space="preserve">ROCHA JULIETA </v>
      </c>
      <c r="N1199" s="2" t="str">
        <f t="shared" si="243"/>
        <v>7°3°7IPPDLOMA</v>
      </c>
      <c r="O1199" s="2"/>
      <c r="P1199" s="2">
        <f>VLOOKUP(G1199,[1]Hoja1!$A:$P,16,0)</f>
        <v>0</v>
      </c>
      <c r="Q1199" s="2"/>
    </row>
    <row r="1200" spans="1:21" ht="14.25" hidden="1" customHeight="1" x14ac:dyDescent="0.3">
      <c r="A1200" s="1" t="str">
        <f t="shared" si="245"/>
        <v>7°3°</v>
      </c>
      <c r="B1200" s="54" t="str">
        <f t="shared" si="241"/>
        <v>7°3°3mimañana0</v>
      </c>
      <c r="C1200" s="62">
        <f>VLOOKUP(G1200,[1]Hoja1!$A:$O,3,0)</f>
        <v>0</v>
      </c>
      <c r="D1200" s="2" t="str">
        <f t="shared" si="244"/>
        <v>3mim</v>
      </c>
      <c r="E1200" s="7" t="s">
        <v>1331</v>
      </c>
      <c r="F1200" s="7" t="s">
        <v>2772</v>
      </c>
      <c r="G1200" s="62" t="s">
        <v>2771</v>
      </c>
      <c r="H1200" s="8" t="str">
        <f>VLOOKUP(G1200,[1]Hoja1!$A:$O,6,0)</f>
        <v>BASE DE DATOS</v>
      </c>
      <c r="I1200" s="4"/>
      <c r="J1200" s="4"/>
      <c r="K1200" s="80" t="str">
        <f t="shared" si="240"/>
        <v>mi</v>
      </c>
      <c r="L1200" s="4" t="s">
        <v>512</v>
      </c>
      <c r="M1200" s="86" t="str">
        <f>VLOOKUP(G1200,[1]Hoja1!$A:$O,15,0)</f>
        <v xml:space="preserve">WITT GERARDO </v>
      </c>
      <c r="N1200" s="2" t="str">
        <f t="shared" si="243"/>
        <v>7°3°7IBADATmi</v>
      </c>
      <c r="O1200" s="2"/>
      <c r="P1200" s="2">
        <f>VLOOKUP(G1200,[1]Hoja1!$A:$P,16,0)</f>
        <v>0</v>
      </c>
      <c r="Q1200" s="2"/>
    </row>
    <row r="1201" spans="1:17" ht="14.25" hidden="1" customHeight="1" x14ac:dyDescent="0.3">
      <c r="A1201" s="1" t="str">
        <f t="shared" si="245"/>
        <v>7°3°</v>
      </c>
      <c r="B1201" s="54" t="str">
        <f t="shared" si="241"/>
        <v>7°3°3miVESPERTINO731</v>
      </c>
      <c r="C1201" s="62">
        <f>VLOOKUP(G1201,[1]Hoja1!$A:$O,3,0)</f>
        <v>731</v>
      </c>
      <c r="D1201" s="2" t="str">
        <f t="shared" si="244"/>
        <v>3miV40</v>
      </c>
      <c r="E1201" s="7" t="s">
        <v>1331</v>
      </c>
      <c r="F1201" s="7" t="s">
        <v>125</v>
      </c>
      <c r="G1201" s="62" t="s">
        <v>2767</v>
      </c>
      <c r="H1201" s="8" t="str">
        <f>VLOOKUP(G1201,[1]Hoja1!$A:$O,6,0)</f>
        <v>INSTALACION, MANTENIMIENTO Y REPARACION DE SISTEMAS COMPUTACIONALES-</v>
      </c>
      <c r="I1201" s="4">
        <v>40</v>
      </c>
      <c r="J1201" s="4"/>
      <c r="K1201" s="80" t="str">
        <f t="shared" si="240"/>
        <v>mi</v>
      </c>
      <c r="L1201" s="4" t="s">
        <v>512</v>
      </c>
      <c r="M1201" s="86" t="str">
        <f>VLOOKUP(G1201,[1]Hoja1!$A:$O,15,0)</f>
        <v xml:space="preserve"> GUZZO HUGO DANIEL</v>
      </c>
      <c r="N1201" s="2" t="str">
        <f t="shared" si="243"/>
        <v>7°3°7317IIMRSCmi</v>
      </c>
      <c r="O1201" s="2"/>
      <c r="P1201" s="2">
        <f>VLOOKUP(G1201,[1]Hoja1!$A:$P,16,0)</f>
        <v>0</v>
      </c>
      <c r="Q1201" s="2"/>
    </row>
    <row r="1202" spans="1:17" ht="17.25" hidden="1" customHeight="1" x14ac:dyDescent="0.3">
      <c r="A1202" s="1" t="str">
        <f t="shared" si="245"/>
        <v>7°3°</v>
      </c>
      <c r="B1202" s="54" t="str">
        <f t="shared" si="241"/>
        <v>7°3°3MIMAÑANA732</v>
      </c>
      <c r="C1202" s="62">
        <f>VLOOKUP(G1202,[1]Hoja1!$A:$O,3,0)</f>
        <v>732</v>
      </c>
      <c r="D1202" s="2" t="str">
        <f t="shared" si="244"/>
        <v>3MIMROBOTICA</v>
      </c>
      <c r="E1202" s="7" t="s">
        <v>50</v>
      </c>
      <c r="F1202" s="7" t="s">
        <v>27</v>
      </c>
      <c r="G1202" s="62" t="s">
        <v>2766</v>
      </c>
      <c r="H1202" s="8" t="str">
        <f>VLOOKUP(G1202,[1]Hoja1!$A:$O,6,0)</f>
        <v>PROYECTO, DISEÑO E IMPLEMENTACION DE SISTEMAS COMPUTACIONALES</v>
      </c>
      <c r="I1202" s="4" t="s">
        <v>2759</v>
      </c>
      <c r="J1202" s="4"/>
      <c r="K1202" s="80" t="str">
        <f t="shared" si="240"/>
        <v>MI</v>
      </c>
      <c r="L1202" s="4" t="s">
        <v>512</v>
      </c>
      <c r="M1202" s="86" t="str">
        <f>VLOOKUP(G1202,[1]Hoja1!$A:$O,15,0)</f>
        <v>GUTIERREZ ANGEL</v>
      </c>
      <c r="N1202" s="2" t="str">
        <f t="shared" si="243"/>
        <v>7°3°7327IPDISCMI</v>
      </c>
      <c r="O1202" s="2"/>
      <c r="P1202" s="2">
        <f>VLOOKUP(G1202,[1]Hoja1!$A:$P,16,0)</f>
        <v>0</v>
      </c>
      <c r="Q1202" s="2"/>
    </row>
    <row r="1203" spans="1:17" ht="14.25" hidden="1" customHeight="1" x14ac:dyDescent="0.3">
      <c r="A1203" s="1" t="str">
        <f t="shared" si="245"/>
        <v>7°3°</v>
      </c>
      <c r="B1203" s="54" t="str">
        <f t="shared" si="241"/>
        <v>7°3°3VIVESPERTINO731</v>
      </c>
      <c r="C1203" s="62">
        <f>VLOOKUP(G1203,[1]Hoja1!$A:$O,3,0)</f>
        <v>731</v>
      </c>
      <c r="D1203" s="2" t="str">
        <f t="shared" si="244"/>
        <v>3VIV</v>
      </c>
      <c r="E1203" s="7" t="s">
        <v>35</v>
      </c>
      <c r="F1203" s="7" t="s">
        <v>125</v>
      </c>
      <c r="G1203" s="62" t="s">
        <v>2764</v>
      </c>
      <c r="H1203" s="8" t="str">
        <f>VLOOKUP(G1203,[1]Hoja1!$A:$O,6,0)</f>
        <v>PROYECTO, DISEÑO E IMPLEMENTACION DE SISTEMAS COMPUTACIONALES</v>
      </c>
      <c r="I1203" s="4"/>
      <c r="J1203" s="4"/>
      <c r="K1203" s="80" t="str">
        <f t="shared" si="240"/>
        <v>VI</v>
      </c>
      <c r="L1203" s="4" t="s">
        <v>512</v>
      </c>
      <c r="M1203" s="86" t="str">
        <f>VLOOKUP(G1203,[1]Hoja1!$A:$O,15,0)</f>
        <v>GUTIERREZ ANGEL</v>
      </c>
      <c r="N1203" s="2" t="str">
        <f t="shared" si="243"/>
        <v>7°3°7317IPDISCVI</v>
      </c>
      <c r="O1203" s="2"/>
      <c r="P1203" s="2">
        <f>VLOOKUP(G1203,[1]Hoja1!$A:$P,16,0)</f>
        <v>0</v>
      </c>
      <c r="Q1203" s="2"/>
    </row>
    <row r="1204" spans="1:17" ht="14.25" hidden="1" customHeight="1" x14ac:dyDescent="0.3">
      <c r="A1204" s="1" t="str">
        <f t="shared" si="245"/>
        <v>7°3°</v>
      </c>
      <c r="B1204" s="54" t="str">
        <f t="shared" si="241"/>
        <v>7°3°3VIVESPERTINO732</v>
      </c>
      <c r="C1204" s="62">
        <f>VLOOKUP(G1204,[1]Hoja1!$A:$O,3,0)</f>
        <v>732</v>
      </c>
      <c r="D1204" s="2" t="str">
        <f t="shared" si="244"/>
        <v>3VIV40</v>
      </c>
      <c r="E1204" s="7" t="s">
        <v>35</v>
      </c>
      <c r="F1204" s="7" t="s">
        <v>125</v>
      </c>
      <c r="G1204" s="62" t="s">
        <v>2769</v>
      </c>
      <c r="H1204" s="8" t="str">
        <f>VLOOKUP(G1204,[1]Hoja1!$A:$O,6,0)</f>
        <v xml:space="preserve">INSTALACION, MANTENIMIENTO Y REPARACION DE REDES INFORMATICAS- </v>
      </c>
      <c r="I1204" s="4">
        <v>40</v>
      </c>
      <c r="J1204" s="4"/>
      <c r="K1204" s="80" t="str">
        <f t="shared" si="240"/>
        <v>VI</v>
      </c>
      <c r="L1204" s="4" t="s">
        <v>512</v>
      </c>
      <c r="M1204" s="86" t="str">
        <f>VLOOKUP(G1204,[1]Hoja1!$A:$O,15,0)</f>
        <v xml:space="preserve">BECERRO MARIO </v>
      </c>
      <c r="N1204" s="2" t="str">
        <f t="shared" si="243"/>
        <v>7°3°7327IIMRRIVI</v>
      </c>
      <c r="O1204" s="2"/>
      <c r="P1204" s="2">
        <f>VLOOKUP(G1204,[1]Hoja1!$A:$P,16,0)</f>
        <v>0</v>
      </c>
      <c r="Q1204" s="2"/>
    </row>
    <row r="1205" spans="1:17" ht="14.25" hidden="1" customHeight="1" x14ac:dyDescent="0.3">
      <c r="A1205" s="1" t="str">
        <f t="shared" si="245"/>
        <v>7°3°</v>
      </c>
      <c r="B1205" s="54" t="str">
        <f t="shared" si="241"/>
        <v>7°3°4juVESPERTINO731</v>
      </c>
      <c r="C1205" s="62">
        <f>VLOOKUP(G1205,[1]Hoja1!$A:$O,3,0)</f>
        <v>731</v>
      </c>
      <c r="D1205" s="2" t="str">
        <f t="shared" si="244"/>
        <v>4juV</v>
      </c>
      <c r="E1205" s="7" t="s">
        <v>1351</v>
      </c>
      <c r="F1205" s="7" t="s">
        <v>125</v>
      </c>
      <c r="G1205" s="62" t="s">
        <v>2770</v>
      </c>
      <c r="H1205" s="8" t="str">
        <f>VLOOKUP(G1205,[1]Hoja1!$A:$O,6,0)</f>
        <v xml:space="preserve">INSTALACION, MANTENIMIENTO Y REPARACION DE REDES INFORMATICAS- </v>
      </c>
      <c r="I1205" s="4"/>
      <c r="J1205" s="4"/>
      <c r="K1205" s="80" t="str">
        <f t="shared" si="240"/>
        <v>ju</v>
      </c>
      <c r="L1205" s="4" t="s">
        <v>512</v>
      </c>
      <c r="M1205" s="86" t="str">
        <f>VLOOKUP(G1205,[1]Hoja1!$A:$O,15,0)</f>
        <v xml:space="preserve">BECERRO MARIO </v>
      </c>
      <c r="N1205" s="2" t="str">
        <f t="shared" si="243"/>
        <v>7°3°7317IIMRRIju</v>
      </c>
      <c r="O1205" s="2"/>
      <c r="P1205" s="2">
        <f>VLOOKUP(G1205,[1]Hoja1!$A:$P,16,0)</f>
        <v>0</v>
      </c>
      <c r="Q1205" s="2"/>
    </row>
    <row r="1206" spans="1:17" ht="14.25" hidden="1" customHeight="1" x14ac:dyDescent="0.3">
      <c r="A1206" s="1" t="str">
        <f t="shared" si="245"/>
        <v>7°3°</v>
      </c>
      <c r="B1206" s="54" t="str">
        <f t="shared" si="241"/>
        <v>7°3°4JUVESPERTINO732</v>
      </c>
      <c r="C1206" s="62">
        <f>VLOOKUP(G1206,[1]Hoja1!$A:$O,3,0)</f>
        <v>732</v>
      </c>
      <c r="D1206" s="2" t="str">
        <f t="shared" si="244"/>
        <v>4JUV40</v>
      </c>
      <c r="E1206" s="7" t="s">
        <v>48</v>
      </c>
      <c r="F1206" s="7" t="s">
        <v>125</v>
      </c>
      <c r="G1206" s="65" t="s">
        <v>2768</v>
      </c>
      <c r="H1206" s="8" t="str">
        <f>VLOOKUP(G1206,[1]Hoja1!$A:$O,6,0)</f>
        <v>INSTALACION, MANTENIMIENTO Y REPARACION DE SISTEMAS COMPUTACIONALES-</v>
      </c>
      <c r="I1206" s="4">
        <v>40</v>
      </c>
      <c r="J1206" s="4"/>
      <c r="K1206" s="80" t="str">
        <f t="shared" si="240"/>
        <v>JU</v>
      </c>
      <c r="L1206" s="4" t="s">
        <v>512</v>
      </c>
      <c r="M1206" s="86" t="str">
        <f>VLOOKUP(G1206,[1]Hoja1!$A:$O,15,0)</f>
        <v>VILLALVA ESTEBAN</v>
      </c>
      <c r="N1206" s="2" t="str">
        <f t="shared" si="243"/>
        <v>7°3°7327IIMRSCJU</v>
      </c>
      <c r="O1206" s="2"/>
      <c r="P1206" s="2">
        <f>VLOOKUP(G1206,[1]Hoja1!$A:$P,16,0)</f>
        <v>0</v>
      </c>
      <c r="Q1206" s="2"/>
    </row>
    <row r="1207" spans="1:17" ht="14.25" hidden="1" customHeight="1" x14ac:dyDescent="0.3">
      <c r="A1207" s="1" t="str">
        <f t="shared" si="245"/>
        <v>7°3°</v>
      </c>
      <c r="B1207" s="54" t="str">
        <f t="shared" si="241"/>
        <v>7°3°4MAVESPERTINO0</v>
      </c>
      <c r="C1207" s="62">
        <f>VLOOKUP(G1207,[1]Hoja1!$A:$O,3,0)</f>
        <v>0</v>
      </c>
      <c r="D1207" s="2" t="str">
        <f t="shared" si="244"/>
        <v>4MAV</v>
      </c>
      <c r="E1207" s="7" t="s">
        <v>16</v>
      </c>
      <c r="F1207" s="7" t="s">
        <v>125</v>
      </c>
      <c r="G1207" s="62" t="s">
        <v>2765</v>
      </c>
      <c r="H1207" s="8" t="str">
        <f>VLOOKUP(G1207,[1]Hoja1!$A:$O,6,0)</f>
        <v>EMPRENDIMIENTO PRODUCTIVO Y DESARROLLO LOCAL</v>
      </c>
      <c r="I1207" s="4"/>
      <c r="J1207" s="4"/>
      <c r="K1207" s="80" t="str">
        <f t="shared" si="240"/>
        <v>MA</v>
      </c>
      <c r="L1207" s="4"/>
      <c r="M1207" s="86" t="str">
        <f>VLOOKUP(G1207,[1]Hoja1!$A:$O,15,0)</f>
        <v xml:space="preserve">ROCHA JULIETA </v>
      </c>
      <c r="N1207" s="2" t="str">
        <f t="shared" si="243"/>
        <v>7°3°7IPPDLOMA</v>
      </c>
      <c r="O1207" s="2"/>
      <c r="P1207" s="2">
        <f>VLOOKUP(G1207,[1]Hoja1!$A:$P,16,0)</f>
        <v>0</v>
      </c>
      <c r="Q1207" s="2"/>
    </row>
    <row r="1208" spans="1:17" ht="14.25" hidden="1" customHeight="1" x14ac:dyDescent="0.3">
      <c r="A1208" s="1" t="str">
        <f t="shared" si="245"/>
        <v>7°3°</v>
      </c>
      <c r="B1208" s="54" t="str">
        <f t="shared" si="241"/>
        <v>7°3°4miVESPERTINO731</v>
      </c>
      <c r="C1208" s="62">
        <f>VLOOKUP(G1208,[1]Hoja1!$A:$O,3,0)</f>
        <v>731</v>
      </c>
      <c r="D1208" s="2" t="str">
        <f t="shared" si="244"/>
        <v>4miV40</v>
      </c>
      <c r="E1208" s="7" t="s">
        <v>1344</v>
      </c>
      <c r="F1208" s="7" t="s">
        <v>125</v>
      </c>
      <c r="G1208" s="62" t="s">
        <v>2767</v>
      </c>
      <c r="H1208" s="8" t="str">
        <f>VLOOKUP(G1208,[1]Hoja1!$A:$O,6,0)</f>
        <v>INSTALACION, MANTENIMIENTO Y REPARACION DE SISTEMAS COMPUTACIONALES-</v>
      </c>
      <c r="I1208" s="4">
        <v>40</v>
      </c>
      <c r="J1208" s="4"/>
      <c r="K1208" s="80" t="str">
        <f t="shared" si="240"/>
        <v>mi</v>
      </c>
      <c r="L1208" s="4" t="s">
        <v>512</v>
      </c>
      <c r="M1208" s="86" t="str">
        <f>VLOOKUP(G1208,[1]Hoja1!$A:$O,15,0)</f>
        <v xml:space="preserve"> GUZZO HUGO DANIEL</v>
      </c>
      <c r="N1208" s="2" t="str">
        <f t="shared" si="243"/>
        <v>7°3°7317IIMRSCmi</v>
      </c>
      <c r="O1208" s="2"/>
      <c r="P1208" s="2">
        <f>VLOOKUP(G1208,[1]Hoja1!$A:$P,16,0)</f>
        <v>0</v>
      </c>
      <c r="Q1208" s="2"/>
    </row>
    <row r="1209" spans="1:17" ht="14.25" hidden="1" customHeight="1" x14ac:dyDescent="0.3">
      <c r="A1209" s="1" t="str">
        <f t="shared" si="245"/>
        <v>7°3°</v>
      </c>
      <c r="B1209" s="54" t="str">
        <f t="shared" si="241"/>
        <v>7°3°4MIMAÑANA732</v>
      </c>
      <c r="C1209" s="62">
        <f>VLOOKUP(G1209,[1]Hoja1!$A:$O,3,0)</f>
        <v>732</v>
      </c>
      <c r="D1209" s="2" t="str">
        <f t="shared" si="244"/>
        <v>4MIMROBOTICA</v>
      </c>
      <c r="E1209" s="7" t="s">
        <v>52</v>
      </c>
      <c r="F1209" s="7" t="s">
        <v>27</v>
      </c>
      <c r="G1209" s="62" t="s">
        <v>2766</v>
      </c>
      <c r="H1209" s="8" t="str">
        <f>VLOOKUP(G1209,[1]Hoja1!$A:$O,6,0)</f>
        <v>PROYECTO, DISEÑO E IMPLEMENTACION DE SISTEMAS COMPUTACIONALES</v>
      </c>
      <c r="I1209" s="4" t="s">
        <v>2759</v>
      </c>
      <c r="J1209" s="4"/>
      <c r="K1209" s="80" t="str">
        <f t="shared" si="240"/>
        <v>MI</v>
      </c>
      <c r="L1209" s="4" t="s">
        <v>512</v>
      </c>
      <c r="M1209" s="86" t="str">
        <f>VLOOKUP(G1209,[1]Hoja1!$A:$O,15,0)</f>
        <v>GUTIERREZ ANGEL</v>
      </c>
      <c r="N1209" s="2" t="str">
        <f t="shared" si="243"/>
        <v>7°3°7327IPDISCMI</v>
      </c>
      <c r="O1209" s="2"/>
      <c r="P1209" s="2">
        <f>VLOOKUP(G1209,[1]Hoja1!$A:$P,16,0)</f>
        <v>0</v>
      </c>
      <c r="Q1209" s="2"/>
    </row>
    <row r="1210" spans="1:17" ht="25.5" hidden="1" customHeight="1" x14ac:dyDescent="0.3">
      <c r="A1210" s="1" t="str">
        <f t="shared" si="245"/>
        <v>7°3°</v>
      </c>
      <c r="B1210" s="54" t="str">
        <f t="shared" si="241"/>
        <v>7°3°4VIVESPERTINO731</v>
      </c>
      <c r="C1210" s="62">
        <f>VLOOKUP(G1210,[1]Hoja1!$A:$O,3,0)</f>
        <v>731</v>
      </c>
      <c r="D1210" s="2" t="str">
        <f t="shared" si="244"/>
        <v>4VIV</v>
      </c>
      <c r="E1210" s="7" t="s">
        <v>36</v>
      </c>
      <c r="F1210" s="7" t="s">
        <v>125</v>
      </c>
      <c r="G1210" s="62" t="s">
        <v>2764</v>
      </c>
      <c r="H1210" s="8" t="str">
        <f>VLOOKUP(G1210,[1]Hoja1!$A:$O,6,0)</f>
        <v>PROYECTO, DISEÑO E IMPLEMENTACION DE SISTEMAS COMPUTACIONALES</v>
      </c>
      <c r="I1210" s="4"/>
      <c r="J1210" s="4"/>
      <c r="K1210" s="80" t="str">
        <f t="shared" si="240"/>
        <v>VI</v>
      </c>
      <c r="L1210" s="4" t="s">
        <v>512</v>
      </c>
      <c r="M1210" s="86" t="str">
        <f>VLOOKUP(G1210,[1]Hoja1!$A:$O,15,0)</f>
        <v>GUTIERREZ ANGEL</v>
      </c>
      <c r="N1210" s="2" t="str">
        <f t="shared" si="243"/>
        <v>7°3°7317IPDISCVI</v>
      </c>
      <c r="O1210" s="2"/>
      <c r="P1210" s="2">
        <f>VLOOKUP(G1210,[1]Hoja1!$A:$P,16,0)</f>
        <v>0</v>
      </c>
      <c r="Q1210" s="2"/>
    </row>
    <row r="1211" spans="1:17" ht="14.4" hidden="1" x14ac:dyDescent="0.3">
      <c r="A1211" s="1" t="str">
        <f t="shared" si="245"/>
        <v>7°3°</v>
      </c>
      <c r="B1211" s="54" t="str">
        <f t="shared" si="241"/>
        <v>7°3°4VIVESPERTINO732</v>
      </c>
      <c r="C1211" s="62">
        <f>VLOOKUP(G1211,[1]Hoja1!$A:$O,3,0)</f>
        <v>732</v>
      </c>
      <c r="D1211" s="2" t="str">
        <f t="shared" si="244"/>
        <v>4VIV40</v>
      </c>
      <c r="E1211" s="7" t="s">
        <v>36</v>
      </c>
      <c r="F1211" s="7" t="s">
        <v>125</v>
      </c>
      <c r="G1211" s="62" t="s">
        <v>2769</v>
      </c>
      <c r="H1211" s="8" t="str">
        <f>VLOOKUP(G1211,[1]Hoja1!$A:$O,6,0)</f>
        <v xml:space="preserve">INSTALACION, MANTENIMIENTO Y REPARACION DE REDES INFORMATICAS- </v>
      </c>
      <c r="I1211" s="4">
        <v>40</v>
      </c>
      <c r="J1211" s="4"/>
      <c r="K1211" s="80" t="str">
        <f t="shared" si="240"/>
        <v>VI</v>
      </c>
      <c r="L1211" s="4" t="s">
        <v>512</v>
      </c>
      <c r="M1211" s="86" t="str">
        <f>VLOOKUP(G1211,[1]Hoja1!$A:$O,15,0)</f>
        <v xml:space="preserve">BECERRO MARIO </v>
      </c>
      <c r="N1211" s="2" t="str">
        <f t="shared" si="243"/>
        <v>7°3°7327IIMRRIVI</v>
      </c>
      <c r="O1211" s="2"/>
      <c r="P1211" s="2">
        <f>VLOOKUP(G1211,[1]Hoja1!$A:$P,16,0)</f>
        <v>0</v>
      </c>
      <c r="Q1211" s="2"/>
    </row>
  </sheetData>
  <autoFilter ref="A1:XFD1211" xr:uid="{00000000-0009-0000-0000-000006000000}">
    <filterColumn colId="0">
      <filters>
        <filter val="2°2°"/>
      </filters>
    </filterColumn>
    <filterColumn colId="5">
      <filters>
        <filter val="MAÑANA"/>
      </filters>
    </filterColumn>
    <filterColumn colId="7">
      <filters>
        <filter val="EDUCACIÓN FISICA"/>
      </filters>
    </filterColumn>
  </autoFilter>
  <sortState xmlns:xlrd2="http://schemas.microsoft.com/office/spreadsheetml/2017/richdata2" ref="A983:XFD1020">
    <sortCondition ref="C2:C1233"/>
    <sortCondition ref="B2:B1233"/>
    <sortCondition ref="F2:F1233"/>
    <sortCondition ref="K2:K1233"/>
    <sortCondition ref="E2:E1233"/>
  </sortState>
  <pageMargins left="0.70866141732283472" right="0.70866141732283472" top="0.74803149606299213" bottom="0.74803149606299213" header="0.31496062992125984" footer="0.31496062992125984"/>
  <pageSetup paperSize="5" scale="75" orientation="landscape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>
      <selection activeCell="F8" sqref="F8:F9"/>
    </sheetView>
  </sheetViews>
  <sheetFormatPr baseColWidth="10" defaultRowHeight="14.4" x14ac:dyDescent="0.3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5:A1299"/>
  <sheetViews>
    <sheetView tabSelected="1" zoomScale="70" zoomScaleNormal="70" workbookViewId="0">
      <selection activeCell="A591" sqref="A591:XFD591"/>
    </sheetView>
  </sheetViews>
  <sheetFormatPr baseColWidth="10" defaultRowHeight="14.4" x14ac:dyDescent="0.3"/>
  <cols>
    <col min="1" max="1" width="225.44140625" customWidth="1"/>
  </cols>
  <sheetData>
    <row r="5" spans="1:1" x14ac:dyDescent="0.3">
      <c r="A5" t="s">
        <v>1520</v>
      </c>
    </row>
    <row r="6" spans="1:1" x14ac:dyDescent="0.3">
      <c r="A6" t="s">
        <v>1521</v>
      </c>
    </row>
    <row r="7" spans="1:1" x14ac:dyDescent="0.3">
      <c r="A7" t="s">
        <v>1522</v>
      </c>
    </row>
    <row r="8" spans="1:1" x14ac:dyDescent="0.3">
      <c r="A8" t="s">
        <v>1523</v>
      </c>
    </row>
    <row r="9" spans="1:1" x14ac:dyDescent="0.3">
      <c r="A9" t="s">
        <v>1524</v>
      </c>
    </row>
    <row r="10" spans="1:1" x14ac:dyDescent="0.3">
      <c r="A10" t="s">
        <v>1525</v>
      </c>
    </row>
    <row r="11" spans="1:1" x14ac:dyDescent="0.3">
      <c r="A11" t="s">
        <v>1526</v>
      </c>
    </row>
    <row r="12" spans="1:1" x14ac:dyDescent="0.3">
      <c r="A12" t="s">
        <v>1527</v>
      </c>
    </row>
    <row r="13" spans="1:1" x14ac:dyDescent="0.3">
      <c r="A13" t="s">
        <v>1528</v>
      </c>
    </row>
    <row r="14" spans="1:1" x14ac:dyDescent="0.3">
      <c r="A14" t="s">
        <v>1529</v>
      </c>
    </row>
    <row r="15" spans="1:1" x14ac:dyDescent="0.3">
      <c r="A15" t="s">
        <v>1530</v>
      </c>
    </row>
    <row r="16" spans="1:1" x14ac:dyDescent="0.3">
      <c r="A16" t="s">
        <v>1531</v>
      </c>
    </row>
    <row r="17" spans="1:1" x14ac:dyDescent="0.3">
      <c r="A17" t="s">
        <v>1532</v>
      </c>
    </row>
    <row r="18" spans="1:1" x14ac:dyDescent="0.3">
      <c r="A18" t="s">
        <v>1533</v>
      </c>
    </row>
    <row r="19" spans="1:1" x14ac:dyDescent="0.3">
      <c r="A19" t="s">
        <v>1534</v>
      </c>
    </row>
    <row r="20" spans="1:1" x14ac:dyDescent="0.3">
      <c r="A20" t="s">
        <v>1535</v>
      </c>
    </row>
    <row r="21" spans="1:1" x14ac:dyDescent="0.3">
      <c r="A21" t="s">
        <v>1536</v>
      </c>
    </row>
    <row r="22" spans="1:1" x14ac:dyDescent="0.3">
      <c r="A22" t="s">
        <v>1537</v>
      </c>
    </row>
    <row r="23" spans="1:1" x14ac:dyDescent="0.3">
      <c r="A23" t="s">
        <v>1538</v>
      </c>
    </row>
    <row r="24" spans="1:1" x14ac:dyDescent="0.3">
      <c r="A24" t="s">
        <v>1539</v>
      </c>
    </row>
    <row r="25" spans="1:1" x14ac:dyDescent="0.3">
      <c r="A25" t="s">
        <v>1540</v>
      </c>
    </row>
    <row r="26" spans="1:1" x14ac:dyDescent="0.3">
      <c r="A26" t="s">
        <v>1541</v>
      </c>
    </row>
    <row r="27" spans="1:1" x14ac:dyDescent="0.3">
      <c r="A27" t="s">
        <v>1542</v>
      </c>
    </row>
    <row r="28" spans="1:1" x14ac:dyDescent="0.3">
      <c r="A28" t="s">
        <v>1543</v>
      </c>
    </row>
    <row r="29" spans="1:1" x14ac:dyDescent="0.3">
      <c r="A29" t="s">
        <v>1544</v>
      </c>
    </row>
    <row r="30" spans="1:1" x14ac:dyDescent="0.3">
      <c r="A30" t="s">
        <v>1545</v>
      </c>
    </row>
    <row r="31" spans="1:1" x14ac:dyDescent="0.3">
      <c r="A31" t="s">
        <v>1546</v>
      </c>
    </row>
    <row r="32" spans="1:1" x14ac:dyDescent="0.3">
      <c r="A32" t="s">
        <v>1547</v>
      </c>
    </row>
    <row r="33" spans="1:1" x14ac:dyDescent="0.3">
      <c r="A33" t="s">
        <v>1548</v>
      </c>
    </row>
    <row r="34" spans="1:1" x14ac:dyDescent="0.3">
      <c r="A34" t="s">
        <v>1549</v>
      </c>
    </row>
    <row r="35" spans="1:1" x14ac:dyDescent="0.3">
      <c r="A35" t="s">
        <v>1550</v>
      </c>
    </row>
    <row r="36" spans="1:1" x14ac:dyDescent="0.3">
      <c r="A36" t="s">
        <v>1551</v>
      </c>
    </row>
    <row r="37" spans="1:1" x14ac:dyDescent="0.3">
      <c r="A37" t="s">
        <v>1552</v>
      </c>
    </row>
    <row r="38" spans="1:1" x14ac:dyDescent="0.3">
      <c r="A38" t="s">
        <v>1553</v>
      </c>
    </row>
    <row r="39" spans="1:1" x14ac:dyDescent="0.3">
      <c r="A39" t="s">
        <v>1554</v>
      </c>
    </row>
    <row r="40" spans="1:1" x14ac:dyDescent="0.3">
      <c r="A40" t="s">
        <v>1555</v>
      </c>
    </row>
    <row r="41" spans="1:1" x14ac:dyDescent="0.3">
      <c r="A41" t="s">
        <v>1556</v>
      </c>
    </row>
    <row r="42" spans="1:1" x14ac:dyDescent="0.3">
      <c r="A42" t="s">
        <v>1557</v>
      </c>
    </row>
    <row r="43" spans="1:1" x14ac:dyDescent="0.3">
      <c r="A43" t="s">
        <v>1558</v>
      </c>
    </row>
    <row r="44" spans="1:1" x14ac:dyDescent="0.3">
      <c r="A44" t="s">
        <v>1559</v>
      </c>
    </row>
    <row r="45" spans="1:1" x14ac:dyDescent="0.3">
      <c r="A45" t="s">
        <v>1560</v>
      </c>
    </row>
    <row r="46" spans="1:1" x14ac:dyDescent="0.3">
      <c r="A46" t="s">
        <v>1561</v>
      </c>
    </row>
    <row r="47" spans="1:1" x14ac:dyDescent="0.3">
      <c r="A47" t="s">
        <v>1562</v>
      </c>
    </row>
    <row r="48" spans="1:1" x14ac:dyDescent="0.3">
      <c r="A48" t="s">
        <v>1563</v>
      </c>
    </row>
    <row r="49" spans="1:1" x14ac:dyDescent="0.3">
      <c r="A49" t="s">
        <v>1564</v>
      </c>
    </row>
    <row r="50" spans="1:1" x14ac:dyDescent="0.3">
      <c r="A50" t="s">
        <v>1565</v>
      </c>
    </row>
    <row r="51" spans="1:1" x14ac:dyDescent="0.3">
      <c r="A51" t="s">
        <v>1566</v>
      </c>
    </row>
    <row r="52" spans="1:1" x14ac:dyDescent="0.3">
      <c r="A52" t="s">
        <v>1567</v>
      </c>
    </row>
    <row r="53" spans="1:1" x14ac:dyDescent="0.3">
      <c r="A53" t="s">
        <v>1568</v>
      </c>
    </row>
    <row r="54" spans="1:1" x14ac:dyDescent="0.3">
      <c r="A54" t="s">
        <v>1569</v>
      </c>
    </row>
    <row r="55" spans="1:1" x14ac:dyDescent="0.3">
      <c r="A55" t="s">
        <v>1570</v>
      </c>
    </row>
    <row r="56" spans="1:1" x14ac:dyDescent="0.3">
      <c r="A56" t="s">
        <v>1571</v>
      </c>
    </row>
    <row r="57" spans="1:1" x14ac:dyDescent="0.3">
      <c r="A57" t="s">
        <v>1572</v>
      </c>
    </row>
    <row r="58" spans="1:1" x14ac:dyDescent="0.3">
      <c r="A58" t="s">
        <v>1573</v>
      </c>
    </row>
    <row r="59" spans="1:1" x14ac:dyDescent="0.3">
      <c r="A59" t="s">
        <v>1574</v>
      </c>
    </row>
    <row r="60" spans="1:1" x14ac:dyDescent="0.3">
      <c r="A60" t="s">
        <v>1575</v>
      </c>
    </row>
    <row r="61" spans="1:1" x14ac:dyDescent="0.3">
      <c r="A61" t="s">
        <v>1576</v>
      </c>
    </row>
    <row r="62" spans="1:1" x14ac:dyDescent="0.3">
      <c r="A62" t="s">
        <v>1577</v>
      </c>
    </row>
    <row r="63" spans="1:1" x14ac:dyDescent="0.3">
      <c r="A63" t="s">
        <v>1578</v>
      </c>
    </row>
    <row r="64" spans="1:1" x14ac:dyDescent="0.3">
      <c r="A64" t="s">
        <v>1579</v>
      </c>
    </row>
    <row r="65" spans="1:1" x14ac:dyDescent="0.3">
      <c r="A65" t="s">
        <v>1580</v>
      </c>
    </row>
    <row r="66" spans="1:1" x14ac:dyDescent="0.3">
      <c r="A66" t="s">
        <v>1581</v>
      </c>
    </row>
    <row r="67" spans="1:1" x14ac:dyDescent="0.3">
      <c r="A67" t="s">
        <v>1582</v>
      </c>
    </row>
    <row r="68" spans="1:1" x14ac:dyDescent="0.3">
      <c r="A68" t="s">
        <v>1583</v>
      </c>
    </row>
    <row r="69" spans="1:1" x14ac:dyDescent="0.3">
      <c r="A69" t="s">
        <v>1574</v>
      </c>
    </row>
    <row r="70" spans="1:1" x14ac:dyDescent="0.3">
      <c r="A70" t="s">
        <v>1584</v>
      </c>
    </row>
    <row r="71" spans="1:1" x14ac:dyDescent="0.3">
      <c r="A71" t="s">
        <v>1585</v>
      </c>
    </row>
    <row r="72" spans="1:1" x14ac:dyDescent="0.3">
      <c r="A72" t="s">
        <v>1586</v>
      </c>
    </row>
    <row r="73" spans="1:1" x14ac:dyDescent="0.3">
      <c r="A73" t="s">
        <v>1587</v>
      </c>
    </row>
    <row r="74" spans="1:1" x14ac:dyDescent="0.3">
      <c r="A74" t="s">
        <v>1588</v>
      </c>
    </row>
    <row r="75" spans="1:1" x14ac:dyDescent="0.3">
      <c r="A75" t="s">
        <v>1589</v>
      </c>
    </row>
    <row r="76" spans="1:1" x14ac:dyDescent="0.3">
      <c r="A76" t="s">
        <v>1590</v>
      </c>
    </row>
    <row r="77" spans="1:1" x14ac:dyDescent="0.3">
      <c r="A77" t="s">
        <v>1591</v>
      </c>
    </row>
    <row r="78" spans="1:1" x14ac:dyDescent="0.3">
      <c r="A78" t="s">
        <v>1592</v>
      </c>
    </row>
    <row r="79" spans="1:1" x14ac:dyDescent="0.3">
      <c r="A79" t="s">
        <v>1593</v>
      </c>
    </row>
    <row r="80" spans="1:1" x14ac:dyDescent="0.3">
      <c r="A80" t="s">
        <v>1594</v>
      </c>
    </row>
    <row r="81" spans="1:1" x14ac:dyDescent="0.3">
      <c r="A81" t="s">
        <v>1595</v>
      </c>
    </row>
    <row r="82" spans="1:1" x14ac:dyDescent="0.3">
      <c r="A82" t="s">
        <v>1596</v>
      </c>
    </row>
    <row r="83" spans="1:1" x14ac:dyDescent="0.3">
      <c r="A83" t="s">
        <v>1597</v>
      </c>
    </row>
    <row r="84" spans="1:1" x14ac:dyDescent="0.3">
      <c r="A84" t="s">
        <v>1598</v>
      </c>
    </row>
    <row r="85" spans="1:1" x14ac:dyDescent="0.3">
      <c r="A85" t="s">
        <v>1599</v>
      </c>
    </row>
    <row r="86" spans="1:1" x14ac:dyDescent="0.3">
      <c r="A86" t="s">
        <v>1600</v>
      </c>
    </row>
    <row r="87" spans="1:1" x14ac:dyDescent="0.3">
      <c r="A87" t="s">
        <v>1601</v>
      </c>
    </row>
    <row r="88" spans="1:1" x14ac:dyDescent="0.3">
      <c r="A88" t="s">
        <v>1602</v>
      </c>
    </row>
    <row r="89" spans="1:1" x14ac:dyDescent="0.3">
      <c r="A89" t="s">
        <v>1603</v>
      </c>
    </row>
    <row r="90" spans="1:1" x14ac:dyDescent="0.3">
      <c r="A90" t="s">
        <v>1604</v>
      </c>
    </row>
    <row r="91" spans="1:1" x14ac:dyDescent="0.3">
      <c r="A91" t="s">
        <v>1605</v>
      </c>
    </row>
    <row r="92" spans="1:1" x14ac:dyDescent="0.3">
      <c r="A92" t="s">
        <v>1606</v>
      </c>
    </row>
    <row r="93" spans="1:1" x14ac:dyDescent="0.3">
      <c r="A93" t="s">
        <v>1607</v>
      </c>
    </row>
    <row r="94" spans="1:1" x14ac:dyDescent="0.3">
      <c r="A94" t="s">
        <v>1608</v>
      </c>
    </row>
    <row r="95" spans="1:1" x14ac:dyDescent="0.3">
      <c r="A95" t="s">
        <v>1609</v>
      </c>
    </row>
    <row r="96" spans="1:1" x14ac:dyDescent="0.3">
      <c r="A96" t="s">
        <v>1610</v>
      </c>
    </row>
    <row r="97" spans="1:1" x14ac:dyDescent="0.3">
      <c r="A97" t="s">
        <v>1611</v>
      </c>
    </row>
    <row r="98" spans="1:1" x14ac:dyDescent="0.3">
      <c r="A98" t="s">
        <v>1612</v>
      </c>
    </row>
    <row r="99" spans="1:1" x14ac:dyDescent="0.3">
      <c r="A99" t="s">
        <v>1613</v>
      </c>
    </row>
    <row r="100" spans="1:1" x14ac:dyDescent="0.3">
      <c r="A100" t="s">
        <v>1614</v>
      </c>
    </row>
    <row r="101" spans="1:1" x14ac:dyDescent="0.3">
      <c r="A101" t="s">
        <v>1615</v>
      </c>
    </row>
    <row r="102" spans="1:1" x14ac:dyDescent="0.3">
      <c r="A102" t="s">
        <v>1616</v>
      </c>
    </row>
    <row r="103" spans="1:1" x14ac:dyDescent="0.3">
      <c r="A103" t="s">
        <v>1617</v>
      </c>
    </row>
    <row r="104" spans="1:1" x14ac:dyDescent="0.3">
      <c r="A104" t="s">
        <v>1618</v>
      </c>
    </row>
    <row r="105" spans="1:1" x14ac:dyDescent="0.3">
      <c r="A105" t="s">
        <v>1619</v>
      </c>
    </row>
    <row r="106" spans="1:1" x14ac:dyDescent="0.3">
      <c r="A106" t="s">
        <v>1620</v>
      </c>
    </row>
    <row r="107" spans="1:1" x14ac:dyDescent="0.3">
      <c r="A107" t="s">
        <v>1621</v>
      </c>
    </row>
    <row r="108" spans="1:1" x14ac:dyDescent="0.3">
      <c r="A108" t="s">
        <v>1622</v>
      </c>
    </row>
    <row r="109" spans="1:1" x14ac:dyDescent="0.3">
      <c r="A109" t="s">
        <v>1623</v>
      </c>
    </row>
    <row r="110" spans="1:1" x14ac:dyDescent="0.3">
      <c r="A110" t="s">
        <v>1624</v>
      </c>
    </row>
    <row r="111" spans="1:1" x14ac:dyDescent="0.3">
      <c r="A111" t="s">
        <v>1625</v>
      </c>
    </row>
    <row r="112" spans="1:1" x14ac:dyDescent="0.3">
      <c r="A112" t="s">
        <v>1626</v>
      </c>
    </row>
    <row r="113" spans="1:1" x14ac:dyDescent="0.3">
      <c r="A113" t="s">
        <v>1627</v>
      </c>
    </row>
    <row r="114" spans="1:1" x14ac:dyDescent="0.3">
      <c r="A114" t="s">
        <v>1628</v>
      </c>
    </row>
    <row r="115" spans="1:1" x14ac:dyDescent="0.3">
      <c r="A115" t="s">
        <v>1629</v>
      </c>
    </row>
    <row r="116" spans="1:1" x14ac:dyDescent="0.3">
      <c r="A116" t="s">
        <v>1630</v>
      </c>
    </row>
    <row r="117" spans="1:1" x14ac:dyDescent="0.3">
      <c r="A117" t="s">
        <v>1631</v>
      </c>
    </row>
    <row r="118" spans="1:1" x14ac:dyDescent="0.3">
      <c r="A118" t="s">
        <v>1632</v>
      </c>
    </row>
    <row r="119" spans="1:1" x14ac:dyDescent="0.3">
      <c r="A119" t="s">
        <v>1633</v>
      </c>
    </row>
    <row r="120" spans="1:1" x14ac:dyDescent="0.3">
      <c r="A120" t="s">
        <v>1634</v>
      </c>
    </row>
    <row r="121" spans="1:1" x14ac:dyDescent="0.3">
      <c r="A121" t="s">
        <v>1635</v>
      </c>
    </row>
    <row r="122" spans="1:1" x14ac:dyDescent="0.3">
      <c r="A122" t="s">
        <v>1636</v>
      </c>
    </row>
    <row r="123" spans="1:1" x14ac:dyDescent="0.3">
      <c r="A123" t="s">
        <v>1637</v>
      </c>
    </row>
    <row r="124" spans="1:1" x14ac:dyDescent="0.3">
      <c r="A124" t="s">
        <v>1638</v>
      </c>
    </row>
    <row r="125" spans="1:1" x14ac:dyDescent="0.3">
      <c r="A125" t="s">
        <v>1639</v>
      </c>
    </row>
    <row r="126" spans="1:1" x14ac:dyDescent="0.3">
      <c r="A126" t="s">
        <v>1640</v>
      </c>
    </row>
    <row r="127" spans="1:1" x14ac:dyDescent="0.3">
      <c r="A127" t="s">
        <v>1641</v>
      </c>
    </row>
    <row r="128" spans="1:1" x14ac:dyDescent="0.3">
      <c r="A128" t="s">
        <v>1642</v>
      </c>
    </row>
    <row r="129" spans="1:1" x14ac:dyDescent="0.3">
      <c r="A129" t="s">
        <v>1643</v>
      </c>
    </row>
    <row r="130" spans="1:1" x14ac:dyDescent="0.3">
      <c r="A130" t="s">
        <v>1644</v>
      </c>
    </row>
    <row r="131" spans="1:1" x14ac:dyDescent="0.3">
      <c r="A131" t="s">
        <v>1645</v>
      </c>
    </row>
    <row r="132" spans="1:1" x14ac:dyDescent="0.3">
      <c r="A132" t="s">
        <v>1646</v>
      </c>
    </row>
    <row r="133" spans="1:1" x14ac:dyDescent="0.3">
      <c r="A133" t="s">
        <v>1647</v>
      </c>
    </row>
    <row r="134" spans="1:1" x14ac:dyDescent="0.3">
      <c r="A134" t="s">
        <v>1648</v>
      </c>
    </row>
    <row r="135" spans="1:1" x14ac:dyDescent="0.3">
      <c r="A135" t="s">
        <v>1649</v>
      </c>
    </row>
    <row r="136" spans="1:1" x14ac:dyDescent="0.3">
      <c r="A136" t="s">
        <v>1650</v>
      </c>
    </row>
    <row r="137" spans="1:1" x14ac:dyDescent="0.3">
      <c r="A137" t="s">
        <v>1651</v>
      </c>
    </row>
    <row r="138" spans="1:1" x14ac:dyDescent="0.3">
      <c r="A138" t="s">
        <v>1652</v>
      </c>
    </row>
    <row r="139" spans="1:1" x14ac:dyDescent="0.3">
      <c r="A139" t="s">
        <v>1653</v>
      </c>
    </row>
    <row r="140" spans="1:1" x14ac:dyDescent="0.3">
      <c r="A140" t="s">
        <v>1654</v>
      </c>
    </row>
    <row r="141" spans="1:1" x14ac:dyDescent="0.3">
      <c r="A141" t="s">
        <v>1655</v>
      </c>
    </row>
    <row r="142" spans="1:1" x14ac:dyDescent="0.3">
      <c r="A142" t="s">
        <v>1656</v>
      </c>
    </row>
    <row r="143" spans="1:1" x14ac:dyDescent="0.3">
      <c r="A143" t="s">
        <v>1657</v>
      </c>
    </row>
    <row r="144" spans="1:1" x14ac:dyDescent="0.3">
      <c r="A144" t="s">
        <v>1658</v>
      </c>
    </row>
    <row r="145" spans="1:1" x14ac:dyDescent="0.3">
      <c r="A145" t="s">
        <v>1659</v>
      </c>
    </row>
    <row r="146" spans="1:1" x14ac:dyDescent="0.3">
      <c r="A146" t="s">
        <v>1660</v>
      </c>
    </row>
    <row r="147" spans="1:1" x14ac:dyDescent="0.3">
      <c r="A147" t="s">
        <v>1661</v>
      </c>
    </row>
    <row r="148" spans="1:1" x14ac:dyDescent="0.3">
      <c r="A148" t="s">
        <v>1662</v>
      </c>
    </row>
    <row r="149" spans="1:1" x14ac:dyDescent="0.3">
      <c r="A149" t="s">
        <v>1663</v>
      </c>
    </row>
    <row r="150" spans="1:1" x14ac:dyDescent="0.3">
      <c r="A150" t="s">
        <v>1664</v>
      </c>
    </row>
    <row r="151" spans="1:1" x14ac:dyDescent="0.3">
      <c r="A151" t="s">
        <v>1665</v>
      </c>
    </row>
    <row r="152" spans="1:1" x14ac:dyDescent="0.3">
      <c r="A152" t="s">
        <v>1666</v>
      </c>
    </row>
    <row r="153" spans="1:1" s="48" customFormat="1" ht="57.6" x14ac:dyDescent="0.3">
      <c r="A153" s="49" t="s">
        <v>2749</v>
      </c>
    </row>
    <row r="154" spans="1:1" x14ac:dyDescent="0.3">
      <c r="A154" t="s">
        <v>1667</v>
      </c>
    </row>
    <row r="155" spans="1:1" s="16" customFormat="1" x14ac:dyDescent="0.3">
      <c r="A155" s="16" t="s">
        <v>1668</v>
      </c>
    </row>
    <row r="156" spans="1:1" x14ac:dyDescent="0.3">
      <c r="A156" t="s">
        <v>1669</v>
      </c>
    </row>
    <row r="157" spans="1:1" x14ac:dyDescent="0.3">
      <c r="A157" t="s">
        <v>1670</v>
      </c>
    </row>
    <row r="158" spans="1:1" x14ac:dyDescent="0.3">
      <c r="A158" t="s">
        <v>1671</v>
      </c>
    </row>
    <row r="159" spans="1:1" x14ac:dyDescent="0.3">
      <c r="A159" t="s">
        <v>1672</v>
      </c>
    </row>
    <row r="160" spans="1:1" x14ac:dyDescent="0.3">
      <c r="A160" t="s">
        <v>1673</v>
      </c>
    </row>
    <row r="161" spans="1:1" x14ac:dyDescent="0.3">
      <c r="A161" t="s">
        <v>1674</v>
      </c>
    </row>
    <row r="162" spans="1:1" ht="57.6" x14ac:dyDescent="0.3">
      <c r="A162" s="49" t="s">
        <v>2750</v>
      </c>
    </row>
    <row r="163" spans="1:1" x14ac:dyDescent="0.3">
      <c r="A163" t="s">
        <v>1675</v>
      </c>
    </row>
    <row r="164" spans="1:1" s="16" customFormat="1" x14ac:dyDescent="0.3">
      <c r="A164" s="16" t="s">
        <v>1676</v>
      </c>
    </row>
    <row r="165" spans="1:1" x14ac:dyDescent="0.3">
      <c r="A165" t="s">
        <v>1677</v>
      </c>
    </row>
    <row r="166" spans="1:1" x14ac:dyDescent="0.3">
      <c r="A166" t="s">
        <v>1678</v>
      </c>
    </row>
    <row r="167" spans="1:1" x14ac:dyDescent="0.3">
      <c r="A167" t="s">
        <v>1679</v>
      </c>
    </row>
    <row r="168" spans="1:1" x14ac:dyDescent="0.3">
      <c r="A168" t="s">
        <v>1680</v>
      </c>
    </row>
    <row r="169" spans="1:1" x14ac:dyDescent="0.3">
      <c r="A169" t="s">
        <v>1681</v>
      </c>
    </row>
    <row r="170" spans="1:1" x14ac:dyDescent="0.3">
      <c r="A170" t="s">
        <v>1682</v>
      </c>
    </row>
    <row r="171" spans="1:1" x14ac:dyDescent="0.3">
      <c r="A171" t="s">
        <v>1683</v>
      </c>
    </row>
    <row r="172" spans="1:1" x14ac:dyDescent="0.3">
      <c r="A172" t="s">
        <v>1684</v>
      </c>
    </row>
    <row r="173" spans="1:1" x14ac:dyDescent="0.3">
      <c r="A173" t="s">
        <v>1685</v>
      </c>
    </row>
    <row r="174" spans="1:1" x14ac:dyDescent="0.3">
      <c r="A174" t="s">
        <v>1686</v>
      </c>
    </row>
    <row r="175" spans="1:1" x14ac:dyDescent="0.3">
      <c r="A175" t="s">
        <v>1687</v>
      </c>
    </row>
    <row r="176" spans="1:1" x14ac:dyDescent="0.3">
      <c r="A176" t="s">
        <v>1688</v>
      </c>
    </row>
    <row r="177" spans="1:1" x14ac:dyDescent="0.3">
      <c r="A177" t="s">
        <v>1689</v>
      </c>
    </row>
    <row r="178" spans="1:1" x14ac:dyDescent="0.3">
      <c r="A178" t="s">
        <v>1690</v>
      </c>
    </row>
    <row r="179" spans="1:1" x14ac:dyDescent="0.3">
      <c r="A179" t="s">
        <v>1691</v>
      </c>
    </row>
    <row r="180" spans="1:1" x14ac:dyDescent="0.3">
      <c r="A180" t="s">
        <v>1692</v>
      </c>
    </row>
    <row r="181" spans="1:1" x14ac:dyDescent="0.3">
      <c r="A181" t="s">
        <v>1693</v>
      </c>
    </row>
    <row r="182" spans="1:1" x14ac:dyDescent="0.3">
      <c r="A182" t="s">
        <v>1694</v>
      </c>
    </row>
    <row r="183" spans="1:1" x14ac:dyDescent="0.3">
      <c r="A183" t="s">
        <v>1695</v>
      </c>
    </row>
    <row r="184" spans="1:1" x14ac:dyDescent="0.3">
      <c r="A184" t="s">
        <v>1696</v>
      </c>
    </row>
    <row r="185" spans="1:1" x14ac:dyDescent="0.3">
      <c r="A185" t="s">
        <v>1697</v>
      </c>
    </row>
    <row r="186" spans="1:1" x14ac:dyDescent="0.3">
      <c r="A186" t="s">
        <v>1698</v>
      </c>
    </row>
    <row r="187" spans="1:1" x14ac:dyDescent="0.3">
      <c r="A187" t="s">
        <v>1699</v>
      </c>
    </row>
    <row r="188" spans="1:1" x14ac:dyDescent="0.3">
      <c r="A188" t="s">
        <v>1700</v>
      </c>
    </row>
    <row r="189" spans="1:1" x14ac:dyDescent="0.3">
      <c r="A189" t="s">
        <v>1701</v>
      </c>
    </row>
    <row r="190" spans="1:1" x14ac:dyDescent="0.3">
      <c r="A190" t="s">
        <v>1702</v>
      </c>
    </row>
    <row r="191" spans="1:1" x14ac:dyDescent="0.3">
      <c r="A191" t="s">
        <v>1703</v>
      </c>
    </row>
    <row r="192" spans="1:1" x14ac:dyDescent="0.3">
      <c r="A192" t="s">
        <v>1704</v>
      </c>
    </row>
    <row r="193" spans="1:1" x14ac:dyDescent="0.3">
      <c r="A193" t="s">
        <v>1705</v>
      </c>
    </row>
    <row r="194" spans="1:1" x14ac:dyDescent="0.3">
      <c r="A194" t="s">
        <v>1706</v>
      </c>
    </row>
    <row r="195" spans="1:1" x14ac:dyDescent="0.3">
      <c r="A195" t="s">
        <v>1707</v>
      </c>
    </row>
    <row r="196" spans="1:1" x14ac:dyDescent="0.3">
      <c r="A196" t="s">
        <v>1708</v>
      </c>
    </row>
    <row r="197" spans="1:1" x14ac:dyDescent="0.3">
      <c r="A197" t="s">
        <v>1709</v>
      </c>
    </row>
    <row r="198" spans="1:1" x14ac:dyDescent="0.3">
      <c r="A198" t="s">
        <v>1710</v>
      </c>
    </row>
    <row r="199" spans="1:1" x14ac:dyDescent="0.3">
      <c r="A199" t="s">
        <v>1711</v>
      </c>
    </row>
    <row r="200" spans="1:1" x14ac:dyDescent="0.3">
      <c r="A200" t="s">
        <v>1712</v>
      </c>
    </row>
    <row r="201" spans="1:1" x14ac:dyDescent="0.3">
      <c r="A201" t="s">
        <v>1713</v>
      </c>
    </row>
    <row r="202" spans="1:1" x14ac:dyDescent="0.3">
      <c r="A202" t="s">
        <v>1714</v>
      </c>
    </row>
    <row r="203" spans="1:1" x14ac:dyDescent="0.3">
      <c r="A203" t="s">
        <v>1715</v>
      </c>
    </row>
    <row r="204" spans="1:1" x14ac:dyDescent="0.3">
      <c r="A204" t="s">
        <v>1716</v>
      </c>
    </row>
    <row r="205" spans="1:1" x14ac:dyDescent="0.3">
      <c r="A205" t="s">
        <v>1717</v>
      </c>
    </row>
    <row r="206" spans="1:1" x14ac:dyDescent="0.3">
      <c r="A206" t="s">
        <v>1718</v>
      </c>
    </row>
    <row r="207" spans="1:1" x14ac:dyDescent="0.3">
      <c r="A207" t="s">
        <v>1719</v>
      </c>
    </row>
    <row r="208" spans="1:1" x14ac:dyDescent="0.3">
      <c r="A208" t="s">
        <v>1720</v>
      </c>
    </row>
    <row r="209" spans="1:1" x14ac:dyDescent="0.3">
      <c r="A209" t="s">
        <v>1721</v>
      </c>
    </row>
    <row r="210" spans="1:1" x14ac:dyDescent="0.3">
      <c r="A210" t="s">
        <v>1722</v>
      </c>
    </row>
    <row r="211" spans="1:1" x14ac:dyDescent="0.3">
      <c r="A211" t="s">
        <v>1723</v>
      </c>
    </row>
    <row r="212" spans="1:1" x14ac:dyDescent="0.3">
      <c r="A212" t="s">
        <v>1724</v>
      </c>
    </row>
    <row r="213" spans="1:1" x14ac:dyDescent="0.3">
      <c r="A213" t="s">
        <v>1725</v>
      </c>
    </row>
    <row r="214" spans="1:1" x14ac:dyDescent="0.3">
      <c r="A214" t="s">
        <v>1726</v>
      </c>
    </row>
    <row r="215" spans="1:1" x14ac:dyDescent="0.3">
      <c r="A215" t="s">
        <v>1727</v>
      </c>
    </row>
    <row r="216" spans="1:1" x14ac:dyDescent="0.3">
      <c r="A216" t="s">
        <v>1728</v>
      </c>
    </row>
    <row r="217" spans="1:1" x14ac:dyDescent="0.3">
      <c r="A217" t="s">
        <v>1729</v>
      </c>
    </row>
    <row r="218" spans="1:1" x14ac:dyDescent="0.3">
      <c r="A218" t="s">
        <v>1730</v>
      </c>
    </row>
    <row r="219" spans="1:1" x14ac:dyDescent="0.3">
      <c r="A219" t="s">
        <v>1731</v>
      </c>
    </row>
    <row r="220" spans="1:1" x14ac:dyDescent="0.3">
      <c r="A220" t="s">
        <v>1732</v>
      </c>
    </row>
    <row r="221" spans="1:1" x14ac:dyDescent="0.3">
      <c r="A221" t="s">
        <v>1733</v>
      </c>
    </row>
    <row r="222" spans="1:1" x14ac:dyDescent="0.3">
      <c r="A222" t="s">
        <v>1734</v>
      </c>
    </row>
    <row r="223" spans="1:1" x14ac:dyDescent="0.3">
      <c r="A223" t="s">
        <v>1735</v>
      </c>
    </row>
    <row r="224" spans="1:1" x14ac:dyDescent="0.3">
      <c r="A224" t="s">
        <v>1736</v>
      </c>
    </row>
    <row r="225" spans="1:1" x14ac:dyDescent="0.3">
      <c r="A225" t="s">
        <v>1737</v>
      </c>
    </row>
    <row r="226" spans="1:1" x14ac:dyDescent="0.3">
      <c r="A226" t="s">
        <v>1738</v>
      </c>
    </row>
    <row r="227" spans="1:1" x14ac:dyDescent="0.3">
      <c r="A227" t="s">
        <v>1739</v>
      </c>
    </row>
    <row r="228" spans="1:1" x14ac:dyDescent="0.3">
      <c r="A228" t="s">
        <v>1740</v>
      </c>
    </row>
    <row r="229" spans="1:1" x14ac:dyDescent="0.3">
      <c r="A229" t="s">
        <v>1741</v>
      </c>
    </row>
    <row r="230" spans="1:1" x14ac:dyDescent="0.3">
      <c r="A230" t="s">
        <v>1742</v>
      </c>
    </row>
    <row r="231" spans="1:1" x14ac:dyDescent="0.3">
      <c r="A231" t="s">
        <v>1743</v>
      </c>
    </row>
    <row r="232" spans="1:1" x14ac:dyDescent="0.3">
      <c r="A232" t="s">
        <v>1744</v>
      </c>
    </row>
    <row r="233" spans="1:1" x14ac:dyDescent="0.3">
      <c r="A233" t="s">
        <v>1745</v>
      </c>
    </row>
    <row r="234" spans="1:1" x14ac:dyDescent="0.3">
      <c r="A234" t="s">
        <v>1746</v>
      </c>
    </row>
    <row r="235" spans="1:1" x14ac:dyDescent="0.3">
      <c r="A235" t="s">
        <v>1747</v>
      </c>
    </row>
    <row r="236" spans="1:1" x14ac:dyDescent="0.3">
      <c r="A236" t="s">
        <v>1748</v>
      </c>
    </row>
    <row r="237" spans="1:1" x14ac:dyDescent="0.3">
      <c r="A237" t="s">
        <v>1749</v>
      </c>
    </row>
    <row r="238" spans="1:1" x14ac:dyDescent="0.3">
      <c r="A238" t="s">
        <v>1750</v>
      </c>
    </row>
    <row r="239" spans="1:1" x14ac:dyDescent="0.3">
      <c r="A239" t="s">
        <v>1751</v>
      </c>
    </row>
    <row r="240" spans="1:1" x14ac:dyDescent="0.3">
      <c r="A240" t="s">
        <v>1752</v>
      </c>
    </row>
    <row r="241" spans="1:1" x14ac:dyDescent="0.3">
      <c r="A241" t="s">
        <v>1753</v>
      </c>
    </row>
    <row r="242" spans="1:1" x14ac:dyDescent="0.3">
      <c r="A242" t="s">
        <v>1754</v>
      </c>
    </row>
    <row r="243" spans="1:1" x14ac:dyDescent="0.3">
      <c r="A243" t="s">
        <v>1755</v>
      </c>
    </row>
    <row r="244" spans="1:1" x14ac:dyDescent="0.3">
      <c r="A244" t="s">
        <v>1756</v>
      </c>
    </row>
    <row r="245" spans="1:1" x14ac:dyDescent="0.3">
      <c r="A245" t="s">
        <v>1757</v>
      </c>
    </row>
    <row r="246" spans="1:1" x14ac:dyDescent="0.3">
      <c r="A246" t="s">
        <v>1758</v>
      </c>
    </row>
    <row r="247" spans="1:1" x14ac:dyDescent="0.3">
      <c r="A247" t="s">
        <v>1759</v>
      </c>
    </row>
    <row r="248" spans="1:1" x14ac:dyDescent="0.3">
      <c r="A248" t="s">
        <v>1760</v>
      </c>
    </row>
    <row r="249" spans="1:1" x14ac:dyDescent="0.3">
      <c r="A249" t="s">
        <v>1761</v>
      </c>
    </row>
    <row r="250" spans="1:1" x14ac:dyDescent="0.3">
      <c r="A250" t="s">
        <v>1762</v>
      </c>
    </row>
    <row r="251" spans="1:1" x14ac:dyDescent="0.3">
      <c r="A251" t="s">
        <v>1763</v>
      </c>
    </row>
    <row r="252" spans="1:1" x14ac:dyDescent="0.3">
      <c r="A252" t="s">
        <v>1764</v>
      </c>
    </row>
    <row r="253" spans="1:1" x14ac:dyDescent="0.3">
      <c r="A253" t="s">
        <v>1765</v>
      </c>
    </row>
    <row r="254" spans="1:1" x14ac:dyDescent="0.3">
      <c r="A254" t="s">
        <v>1766</v>
      </c>
    </row>
    <row r="255" spans="1:1" x14ac:dyDescent="0.3">
      <c r="A255" t="s">
        <v>1767</v>
      </c>
    </row>
    <row r="256" spans="1:1" x14ac:dyDescent="0.3">
      <c r="A256" t="s">
        <v>1768</v>
      </c>
    </row>
    <row r="257" spans="1:1" x14ac:dyDescent="0.3">
      <c r="A257" t="s">
        <v>1769</v>
      </c>
    </row>
    <row r="258" spans="1:1" x14ac:dyDescent="0.3">
      <c r="A258" t="s">
        <v>1770</v>
      </c>
    </row>
    <row r="259" spans="1:1" x14ac:dyDescent="0.3">
      <c r="A259" t="s">
        <v>1771</v>
      </c>
    </row>
    <row r="260" spans="1:1" x14ac:dyDescent="0.3">
      <c r="A260" t="s">
        <v>1772</v>
      </c>
    </row>
    <row r="261" spans="1:1" x14ac:dyDescent="0.3">
      <c r="A261" t="s">
        <v>1773</v>
      </c>
    </row>
    <row r="262" spans="1:1" x14ac:dyDescent="0.3">
      <c r="A262" t="s">
        <v>1774</v>
      </c>
    </row>
    <row r="263" spans="1:1" x14ac:dyDescent="0.3">
      <c r="A263" t="s">
        <v>1775</v>
      </c>
    </row>
    <row r="264" spans="1:1" x14ac:dyDescent="0.3">
      <c r="A264" t="s">
        <v>1776</v>
      </c>
    </row>
    <row r="265" spans="1:1" x14ac:dyDescent="0.3">
      <c r="A265" t="s">
        <v>1777</v>
      </c>
    </row>
    <row r="266" spans="1:1" x14ac:dyDescent="0.3">
      <c r="A266" t="s">
        <v>1778</v>
      </c>
    </row>
    <row r="267" spans="1:1" x14ac:dyDescent="0.3">
      <c r="A267" t="s">
        <v>1779</v>
      </c>
    </row>
    <row r="268" spans="1:1" x14ac:dyDescent="0.3">
      <c r="A268" t="s">
        <v>1780</v>
      </c>
    </row>
    <row r="269" spans="1:1" x14ac:dyDescent="0.3">
      <c r="A269" t="s">
        <v>1781</v>
      </c>
    </row>
    <row r="270" spans="1:1" x14ac:dyDescent="0.3">
      <c r="A270" t="s">
        <v>1782</v>
      </c>
    </row>
    <row r="271" spans="1:1" x14ac:dyDescent="0.3">
      <c r="A271" t="s">
        <v>1783</v>
      </c>
    </row>
    <row r="272" spans="1:1" x14ac:dyDescent="0.3">
      <c r="A272" t="s">
        <v>1784</v>
      </c>
    </row>
    <row r="273" spans="1:1" x14ac:dyDescent="0.3">
      <c r="A273" t="s">
        <v>1785</v>
      </c>
    </row>
    <row r="274" spans="1:1" x14ac:dyDescent="0.3">
      <c r="A274" t="s">
        <v>1786</v>
      </c>
    </row>
    <row r="275" spans="1:1" x14ac:dyDescent="0.3">
      <c r="A275" t="s">
        <v>1787</v>
      </c>
    </row>
    <row r="276" spans="1:1" x14ac:dyDescent="0.3">
      <c r="A276" t="s">
        <v>1788</v>
      </c>
    </row>
    <row r="277" spans="1:1" x14ac:dyDescent="0.3">
      <c r="A277" t="s">
        <v>1789</v>
      </c>
    </row>
    <row r="278" spans="1:1" x14ac:dyDescent="0.3">
      <c r="A278" t="s">
        <v>1790</v>
      </c>
    </row>
    <row r="279" spans="1:1" x14ac:dyDescent="0.3">
      <c r="A279" t="s">
        <v>1791</v>
      </c>
    </row>
    <row r="280" spans="1:1" x14ac:dyDescent="0.3">
      <c r="A280" t="s">
        <v>1792</v>
      </c>
    </row>
    <row r="281" spans="1:1" x14ac:dyDescent="0.3">
      <c r="A281" t="s">
        <v>1793</v>
      </c>
    </row>
    <row r="282" spans="1:1" x14ac:dyDescent="0.3">
      <c r="A282" t="s">
        <v>1794</v>
      </c>
    </row>
    <row r="283" spans="1:1" x14ac:dyDescent="0.3">
      <c r="A283" t="s">
        <v>1795</v>
      </c>
    </row>
    <row r="284" spans="1:1" x14ac:dyDescent="0.3">
      <c r="A284" t="s">
        <v>1796</v>
      </c>
    </row>
    <row r="285" spans="1:1" x14ac:dyDescent="0.3">
      <c r="A285" t="s">
        <v>1797</v>
      </c>
    </row>
    <row r="286" spans="1:1" x14ac:dyDescent="0.3">
      <c r="A286" t="s">
        <v>1798</v>
      </c>
    </row>
    <row r="287" spans="1:1" x14ac:dyDescent="0.3">
      <c r="A287" t="s">
        <v>1799</v>
      </c>
    </row>
    <row r="288" spans="1:1" x14ac:dyDescent="0.3">
      <c r="A288" t="s">
        <v>1800</v>
      </c>
    </row>
    <row r="289" spans="1:1" x14ac:dyDescent="0.3">
      <c r="A289" t="s">
        <v>1801</v>
      </c>
    </row>
    <row r="290" spans="1:1" x14ac:dyDescent="0.3">
      <c r="A290" t="s">
        <v>1802</v>
      </c>
    </row>
    <row r="291" spans="1:1" x14ac:dyDescent="0.3">
      <c r="A291" t="s">
        <v>1803</v>
      </c>
    </row>
    <row r="292" spans="1:1" x14ac:dyDescent="0.3">
      <c r="A292" t="s">
        <v>1804</v>
      </c>
    </row>
    <row r="293" spans="1:1" x14ac:dyDescent="0.3">
      <c r="A293" t="s">
        <v>1805</v>
      </c>
    </row>
    <row r="294" spans="1:1" x14ac:dyDescent="0.3">
      <c r="A294" t="s">
        <v>1806</v>
      </c>
    </row>
    <row r="295" spans="1:1" x14ac:dyDescent="0.3">
      <c r="A295" t="s">
        <v>1807</v>
      </c>
    </row>
    <row r="296" spans="1:1" x14ac:dyDescent="0.3">
      <c r="A296" t="s">
        <v>1808</v>
      </c>
    </row>
    <row r="297" spans="1:1" x14ac:dyDescent="0.3">
      <c r="A297" t="s">
        <v>1809</v>
      </c>
    </row>
    <row r="298" spans="1:1" x14ac:dyDescent="0.3">
      <c r="A298" t="s">
        <v>1810</v>
      </c>
    </row>
    <row r="299" spans="1:1" x14ac:dyDescent="0.3">
      <c r="A299" t="s">
        <v>1811</v>
      </c>
    </row>
    <row r="300" spans="1:1" x14ac:dyDescent="0.3">
      <c r="A300" t="s">
        <v>1812</v>
      </c>
    </row>
    <row r="301" spans="1:1" x14ac:dyDescent="0.3">
      <c r="A301" t="s">
        <v>1813</v>
      </c>
    </row>
    <row r="302" spans="1:1" x14ac:dyDescent="0.3">
      <c r="A302" t="s">
        <v>1814</v>
      </c>
    </row>
    <row r="303" spans="1:1" x14ac:dyDescent="0.3">
      <c r="A303" t="s">
        <v>1815</v>
      </c>
    </row>
    <row r="304" spans="1:1" x14ac:dyDescent="0.3">
      <c r="A304" t="s">
        <v>1816</v>
      </c>
    </row>
    <row r="305" spans="1:1" x14ac:dyDescent="0.3">
      <c r="A305" t="s">
        <v>1817</v>
      </c>
    </row>
    <row r="306" spans="1:1" x14ac:dyDescent="0.3">
      <c r="A306" t="s">
        <v>1818</v>
      </c>
    </row>
    <row r="307" spans="1:1" x14ac:dyDescent="0.3">
      <c r="A307" t="s">
        <v>1819</v>
      </c>
    </row>
    <row r="308" spans="1:1" x14ac:dyDescent="0.3">
      <c r="A308" t="s">
        <v>1820</v>
      </c>
    </row>
    <row r="309" spans="1:1" x14ac:dyDescent="0.3">
      <c r="A309" t="s">
        <v>1821</v>
      </c>
    </row>
    <row r="310" spans="1:1" x14ac:dyDescent="0.3">
      <c r="A310" t="s">
        <v>1822</v>
      </c>
    </row>
    <row r="311" spans="1:1" x14ac:dyDescent="0.3">
      <c r="A311" t="s">
        <v>1823</v>
      </c>
    </row>
    <row r="312" spans="1:1" x14ac:dyDescent="0.3">
      <c r="A312" t="s">
        <v>1824</v>
      </c>
    </row>
    <row r="313" spans="1:1" x14ac:dyDescent="0.3">
      <c r="A313" t="s">
        <v>1825</v>
      </c>
    </row>
    <row r="314" spans="1:1" x14ac:dyDescent="0.3">
      <c r="A314" t="s">
        <v>1826</v>
      </c>
    </row>
    <row r="315" spans="1:1" x14ac:dyDescent="0.3">
      <c r="A315" t="s">
        <v>1827</v>
      </c>
    </row>
    <row r="316" spans="1:1" x14ac:dyDescent="0.3">
      <c r="A316" t="s">
        <v>1828</v>
      </c>
    </row>
    <row r="317" spans="1:1" x14ac:dyDescent="0.3">
      <c r="A317" t="s">
        <v>1829</v>
      </c>
    </row>
    <row r="318" spans="1:1" x14ac:dyDescent="0.3">
      <c r="A318" t="s">
        <v>1830</v>
      </c>
    </row>
    <row r="319" spans="1:1" x14ac:dyDescent="0.3">
      <c r="A319" t="s">
        <v>1831</v>
      </c>
    </row>
    <row r="320" spans="1:1" x14ac:dyDescent="0.3">
      <c r="A320" t="s">
        <v>1832</v>
      </c>
    </row>
    <row r="321" spans="1:1" x14ac:dyDescent="0.3">
      <c r="A321" t="s">
        <v>1833</v>
      </c>
    </row>
    <row r="322" spans="1:1" x14ac:dyDescent="0.3">
      <c r="A322" t="s">
        <v>1834</v>
      </c>
    </row>
    <row r="323" spans="1:1" x14ac:dyDescent="0.3">
      <c r="A323" t="s">
        <v>1835</v>
      </c>
    </row>
    <row r="324" spans="1:1" x14ac:dyDescent="0.3">
      <c r="A324" t="s">
        <v>1836</v>
      </c>
    </row>
    <row r="325" spans="1:1" x14ac:dyDescent="0.3">
      <c r="A325" t="s">
        <v>1837</v>
      </c>
    </row>
    <row r="326" spans="1:1" x14ac:dyDescent="0.3">
      <c r="A326" t="s">
        <v>1838</v>
      </c>
    </row>
    <row r="327" spans="1:1" x14ac:dyDescent="0.3">
      <c r="A327" t="s">
        <v>1839</v>
      </c>
    </row>
    <row r="328" spans="1:1" x14ac:dyDescent="0.3">
      <c r="A328" t="s">
        <v>1840</v>
      </c>
    </row>
    <row r="329" spans="1:1" x14ac:dyDescent="0.3">
      <c r="A329" t="s">
        <v>1841</v>
      </c>
    </row>
    <row r="330" spans="1:1" x14ac:dyDescent="0.3">
      <c r="A330" t="s">
        <v>1842</v>
      </c>
    </row>
    <row r="331" spans="1:1" x14ac:dyDescent="0.3">
      <c r="A331" t="s">
        <v>1843</v>
      </c>
    </row>
    <row r="332" spans="1:1" x14ac:dyDescent="0.3">
      <c r="A332" t="s">
        <v>1844</v>
      </c>
    </row>
    <row r="333" spans="1:1" x14ac:dyDescent="0.3">
      <c r="A333" t="s">
        <v>1845</v>
      </c>
    </row>
    <row r="334" spans="1:1" x14ac:dyDescent="0.3">
      <c r="A334" t="s">
        <v>1846</v>
      </c>
    </row>
    <row r="335" spans="1:1" x14ac:dyDescent="0.3">
      <c r="A335" t="s">
        <v>1847</v>
      </c>
    </row>
    <row r="336" spans="1:1" x14ac:dyDescent="0.3">
      <c r="A336" t="s">
        <v>1848</v>
      </c>
    </row>
    <row r="337" spans="1:1" x14ac:dyDescent="0.3">
      <c r="A337" t="s">
        <v>1849</v>
      </c>
    </row>
    <row r="338" spans="1:1" x14ac:dyDescent="0.3">
      <c r="A338" t="s">
        <v>1850</v>
      </c>
    </row>
    <row r="339" spans="1:1" x14ac:dyDescent="0.3">
      <c r="A339" t="s">
        <v>1851</v>
      </c>
    </row>
    <row r="340" spans="1:1" x14ac:dyDescent="0.3">
      <c r="A340" t="s">
        <v>1852</v>
      </c>
    </row>
    <row r="341" spans="1:1" x14ac:dyDescent="0.3">
      <c r="A341" t="s">
        <v>1853</v>
      </c>
    </row>
    <row r="342" spans="1:1" x14ac:dyDescent="0.3">
      <c r="A342" t="s">
        <v>1854</v>
      </c>
    </row>
    <row r="343" spans="1:1" x14ac:dyDescent="0.3">
      <c r="A343" t="s">
        <v>1855</v>
      </c>
    </row>
    <row r="344" spans="1:1" x14ac:dyDescent="0.3">
      <c r="A344" t="s">
        <v>1856</v>
      </c>
    </row>
    <row r="345" spans="1:1" x14ac:dyDescent="0.3">
      <c r="A345" t="s">
        <v>1857</v>
      </c>
    </row>
    <row r="346" spans="1:1" x14ac:dyDescent="0.3">
      <c r="A346" t="s">
        <v>1858</v>
      </c>
    </row>
    <row r="347" spans="1:1" x14ac:dyDescent="0.3">
      <c r="A347" t="s">
        <v>1859</v>
      </c>
    </row>
    <row r="348" spans="1:1" x14ac:dyDescent="0.3">
      <c r="A348" t="s">
        <v>1860</v>
      </c>
    </row>
    <row r="349" spans="1:1" x14ac:dyDescent="0.3">
      <c r="A349" t="s">
        <v>1861</v>
      </c>
    </row>
    <row r="350" spans="1:1" x14ac:dyDescent="0.3">
      <c r="A350" t="s">
        <v>1862</v>
      </c>
    </row>
    <row r="351" spans="1:1" x14ac:dyDescent="0.3">
      <c r="A351" t="s">
        <v>1863</v>
      </c>
    </row>
    <row r="352" spans="1:1" x14ac:dyDescent="0.3">
      <c r="A352" t="s">
        <v>1864</v>
      </c>
    </row>
    <row r="353" spans="1:1" x14ac:dyDescent="0.3">
      <c r="A353" t="s">
        <v>1865</v>
      </c>
    </row>
    <row r="354" spans="1:1" x14ac:dyDescent="0.3">
      <c r="A354" t="s">
        <v>1866</v>
      </c>
    </row>
    <row r="355" spans="1:1" x14ac:dyDescent="0.3">
      <c r="A355" t="s">
        <v>1867</v>
      </c>
    </row>
    <row r="356" spans="1:1" x14ac:dyDescent="0.3">
      <c r="A356" t="s">
        <v>1868</v>
      </c>
    </row>
    <row r="357" spans="1:1" x14ac:dyDescent="0.3">
      <c r="A357" t="s">
        <v>1869</v>
      </c>
    </row>
    <row r="358" spans="1:1" x14ac:dyDescent="0.3">
      <c r="A358" t="s">
        <v>1870</v>
      </c>
    </row>
    <row r="359" spans="1:1" x14ac:dyDescent="0.3">
      <c r="A359" t="s">
        <v>1871</v>
      </c>
    </row>
    <row r="360" spans="1:1" x14ac:dyDescent="0.3">
      <c r="A360" t="s">
        <v>1872</v>
      </c>
    </row>
    <row r="361" spans="1:1" x14ac:dyDescent="0.3">
      <c r="A361" t="s">
        <v>1873</v>
      </c>
    </row>
    <row r="362" spans="1:1" x14ac:dyDescent="0.3">
      <c r="A362" t="s">
        <v>1874</v>
      </c>
    </row>
    <row r="363" spans="1:1" x14ac:dyDescent="0.3">
      <c r="A363" t="s">
        <v>1875</v>
      </c>
    </row>
    <row r="364" spans="1:1" x14ac:dyDescent="0.3">
      <c r="A364" t="s">
        <v>1876</v>
      </c>
    </row>
    <row r="365" spans="1:1" x14ac:dyDescent="0.3">
      <c r="A365" t="s">
        <v>1877</v>
      </c>
    </row>
    <row r="366" spans="1:1" x14ac:dyDescent="0.3">
      <c r="A366" t="s">
        <v>1878</v>
      </c>
    </row>
    <row r="367" spans="1:1" x14ac:dyDescent="0.3">
      <c r="A367" t="s">
        <v>1879</v>
      </c>
    </row>
    <row r="368" spans="1:1" x14ac:dyDescent="0.3">
      <c r="A368" t="s">
        <v>1880</v>
      </c>
    </row>
    <row r="369" spans="1:1" x14ac:dyDescent="0.3">
      <c r="A369" t="s">
        <v>1881</v>
      </c>
    </row>
    <row r="370" spans="1:1" x14ac:dyDescent="0.3">
      <c r="A370" t="s">
        <v>1882</v>
      </c>
    </row>
    <row r="371" spans="1:1" x14ac:dyDescent="0.3">
      <c r="A371" t="s">
        <v>1883</v>
      </c>
    </row>
    <row r="372" spans="1:1" x14ac:dyDescent="0.3">
      <c r="A372" t="s">
        <v>1884</v>
      </c>
    </row>
    <row r="373" spans="1:1" x14ac:dyDescent="0.3">
      <c r="A373" t="s">
        <v>1885</v>
      </c>
    </row>
    <row r="374" spans="1:1" x14ac:dyDescent="0.3">
      <c r="A374" t="s">
        <v>1886</v>
      </c>
    </row>
    <row r="375" spans="1:1" x14ac:dyDescent="0.3">
      <c r="A375" t="s">
        <v>1887</v>
      </c>
    </row>
    <row r="376" spans="1:1" x14ac:dyDescent="0.3">
      <c r="A376" t="s">
        <v>1888</v>
      </c>
    </row>
    <row r="377" spans="1:1" x14ac:dyDescent="0.3">
      <c r="A377" t="s">
        <v>1889</v>
      </c>
    </row>
    <row r="378" spans="1:1" x14ac:dyDescent="0.3">
      <c r="A378" t="s">
        <v>1890</v>
      </c>
    </row>
    <row r="379" spans="1:1" x14ac:dyDescent="0.3">
      <c r="A379" t="s">
        <v>1891</v>
      </c>
    </row>
    <row r="380" spans="1:1" x14ac:dyDescent="0.3">
      <c r="A380" t="s">
        <v>1892</v>
      </c>
    </row>
    <row r="381" spans="1:1" x14ac:dyDescent="0.3">
      <c r="A381" t="s">
        <v>1893</v>
      </c>
    </row>
    <row r="382" spans="1:1" x14ac:dyDescent="0.3">
      <c r="A382" t="s">
        <v>1894</v>
      </c>
    </row>
    <row r="383" spans="1:1" x14ac:dyDescent="0.3">
      <c r="A383" t="s">
        <v>1895</v>
      </c>
    </row>
    <row r="384" spans="1:1" x14ac:dyDescent="0.3">
      <c r="A384" t="s">
        <v>1896</v>
      </c>
    </row>
    <row r="385" spans="1:1" x14ac:dyDescent="0.3">
      <c r="A385" t="s">
        <v>1897</v>
      </c>
    </row>
    <row r="386" spans="1:1" x14ac:dyDescent="0.3">
      <c r="A386" t="s">
        <v>1898</v>
      </c>
    </row>
    <row r="387" spans="1:1" x14ac:dyDescent="0.3">
      <c r="A387" t="s">
        <v>1899</v>
      </c>
    </row>
    <row r="388" spans="1:1" x14ac:dyDescent="0.3">
      <c r="A388" t="s">
        <v>1900</v>
      </c>
    </row>
    <row r="389" spans="1:1" x14ac:dyDescent="0.3">
      <c r="A389" t="s">
        <v>1901</v>
      </c>
    </row>
    <row r="390" spans="1:1" x14ac:dyDescent="0.3">
      <c r="A390" t="s">
        <v>1902</v>
      </c>
    </row>
    <row r="391" spans="1:1" x14ac:dyDescent="0.3">
      <c r="A391" t="s">
        <v>1903</v>
      </c>
    </row>
    <row r="392" spans="1:1" x14ac:dyDescent="0.3">
      <c r="A392" t="s">
        <v>1904</v>
      </c>
    </row>
    <row r="393" spans="1:1" x14ac:dyDescent="0.3">
      <c r="A393" t="s">
        <v>1905</v>
      </c>
    </row>
    <row r="394" spans="1:1" x14ac:dyDescent="0.3">
      <c r="A394" t="s">
        <v>1906</v>
      </c>
    </row>
    <row r="395" spans="1:1" x14ac:dyDescent="0.3">
      <c r="A395" t="s">
        <v>1907</v>
      </c>
    </row>
    <row r="396" spans="1:1" x14ac:dyDescent="0.3">
      <c r="A396" t="s">
        <v>1908</v>
      </c>
    </row>
    <row r="397" spans="1:1" x14ac:dyDescent="0.3">
      <c r="A397" t="s">
        <v>1909</v>
      </c>
    </row>
    <row r="398" spans="1:1" x14ac:dyDescent="0.3">
      <c r="A398" t="s">
        <v>1910</v>
      </c>
    </row>
    <row r="399" spans="1:1" x14ac:dyDescent="0.3">
      <c r="A399" t="s">
        <v>1911</v>
      </c>
    </row>
    <row r="400" spans="1:1" x14ac:dyDescent="0.3">
      <c r="A400" t="s">
        <v>1912</v>
      </c>
    </row>
    <row r="401" spans="1:1" x14ac:dyDescent="0.3">
      <c r="A401" t="s">
        <v>1913</v>
      </c>
    </row>
    <row r="402" spans="1:1" x14ac:dyDescent="0.3">
      <c r="A402" t="s">
        <v>1914</v>
      </c>
    </row>
    <row r="403" spans="1:1" x14ac:dyDescent="0.3">
      <c r="A403" t="s">
        <v>1915</v>
      </c>
    </row>
    <row r="404" spans="1:1" x14ac:dyDescent="0.3">
      <c r="A404" t="s">
        <v>1916</v>
      </c>
    </row>
    <row r="405" spans="1:1" x14ac:dyDescent="0.3">
      <c r="A405" t="s">
        <v>1917</v>
      </c>
    </row>
    <row r="406" spans="1:1" x14ac:dyDescent="0.3">
      <c r="A406" t="s">
        <v>1918</v>
      </c>
    </row>
    <row r="407" spans="1:1" x14ac:dyDescent="0.3">
      <c r="A407" t="s">
        <v>1919</v>
      </c>
    </row>
    <row r="408" spans="1:1" x14ac:dyDescent="0.3">
      <c r="A408" t="s">
        <v>1920</v>
      </c>
    </row>
    <row r="409" spans="1:1" x14ac:dyDescent="0.3">
      <c r="A409" t="s">
        <v>1921</v>
      </c>
    </row>
    <row r="410" spans="1:1" x14ac:dyDescent="0.3">
      <c r="A410" t="s">
        <v>1922</v>
      </c>
    </row>
    <row r="411" spans="1:1" x14ac:dyDescent="0.3">
      <c r="A411" t="s">
        <v>1923</v>
      </c>
    </row>
    <row r="412" spans="1:1" x14ac:dyDescent="0.3">
      <c r="A412" t="s">
        <v>1924</v>
      </c>
    </row>
    <row r="413" spans="1:1" x14ac:dyDescent="0.3">
      <c r="A413" t="s">
        <v>1925</v>
      </c>
    </row>
    <row r="414" spans="1:1" x14ac:dyDescent="0.3">
      <c r="A414" t="s">
        <v>1926</v>
      </c>
    </row>
    <row r="415" spans="1:1" x14ac:dyDescent="0.3">
      <c r="A415" t="s">
        <v>1927</v>
      </c>
    </row>
    <row r="416" spans="1:1" x14ac:dyDescent="0.3">
      <c r="A416" t="s">
        <v>1928</v>
      </c>
    </row>
    <row r="417" spans="1:1" x14ac:dyDescent="0.3">
      <c r="A417" t="s">
        <v>1929</v>
      </c>
    </row>
    <row r="418" spans="1:1" x14ac:dyDescent="0.3">
      <c r="A418" t="s">
        <v>1930</v>
      </c>
    </row>
    <row r="419" spans="1:1" x14ac:dyDescent="0.3">
      <c r="A419" t="s">
        <v>1931</v>
      </c>
    </row>
    <row r="420" spans="1:1" x14ac:dyDescent="0.3">
      <c r="A420" t="s">
        <v>1932</v>
      </c>
    </row>
    <row r="421" spans="1:1" x14ac:dyDescent="0.3">
      <c r="A421" t="s">
        <v>1933</v>
      </c>
    </row>
    <row r="422" spans="1:1" x14ac:dyDescent="0.3">
      <c r="A422" t="s">
        <v>1934</v>
      </c>
    </row>
    <row r="423" spans="1:1" x14ac:dyDescent="0.3">
      <c r="A423" t="s">
        <v>1935</v>
      </c>
    </row>
    <row r="424" spans="1:1" x14ac:dyDescent="0.3">
      <c r="A424" t="s">
        <v>1936</v>
      </c>
    </row>
    <row r="425" spans="1:1" x14ac:dyDescent="0.3">
      <c r="A425" t="s">
        <v>1937</v>
      </c>
    </row>
    <row r="426" spans="1:1" x14ac:dyDescent="0.3">
      <c r="A426" t="s">
        <v>1938</v>
      </c>
    </row>
    <row r="427" spans="1:1" x14ac:dyDescent="0.3">
      <c r="A427" t="s">
        <v>1939</v>
      </c>
    </row>
    <row r="428" spans="1:1" x14ac:dyDescent="0.3">
      <c r="A428" t="s">
        <v>1940</v>
      </c>
    </row>
    <row r="429" spans="1:1" x14ac:dyDescent="0.3">
      <c r="A429" t="s">
        <v>1941</v>
      </c>
    </row>
    <row r="430" spans="1:1" x14ac:dyDescent="0.3">
      <c r="A430" t="s">
        <v>1942</v>
      </c>
    </row>
    <row r="431" spans="1:1" x14ac:dyDescent="0.3">
      <c r="A431" t="s">
        <v>1943</v>
      </c>
    </row>
    <row r="432" spans="1:1" x14ac:dyDescent="0.3">
      <c r="A432" t="s">
        <v>1944</v>
      </c>
    </row>
    <row r="433" spans="1:1" x14ac:dyDescent="0.3">
      <c r="A433" t="s">
        <v>1945</v>
      </c>
    </row>
    <row r="434" spans="1:1" x14ac:dyDescent="0.3">
      <c r="A434" t="s">
        <v>1946</v>
      </c>
    </row>
    <row r="435" spans="1:1" x14ac:dyDescent="0.3">
      <c r="A435" t="s">
        <v>1947</v>
      </c>
    </row>
    <row r="436" spans="1:1" x14ac:dyDescent="0.3">
      <c r="A436" t="s">
        <v>1948</v>
      </c>
    </row>
    <row r="437" spans="1:1" x14ac:dyDescent="0.3">
      <c r="A437" t="s">
        <v>1949</v>
      </c>
    </row>
    <row r="438" spans="1:1" x14ac:dyDescent="0.3">
      <c r="A438" t="s">
        <v>1950</v>
      </c>
    </row>
    <row r="439" spans="1:1" x14ac:dyDescent="0.3">
      <c r="A439" t="s">
        <v>1951</v>
      </c>
    </row>
    <row r="440" spans="1:1" x14ac:dyDescent="0.3">
      <c r="A440" t="s">
        <v>1952</v>
      </c>
    </row>
    <row r="441" spans="1:1" x14ac:dyDescent="0.3">
      <c r="A441" t="s">
        <v>1953</v>
      </c>
    </row>
    <row r="442" spans="1:1" x14ac:dyDescent="0.3">
      <c r="A442" t="s">
        <v>1954</v>
      </c>
    </row>
    <row r="443" spans="1:1" x14ac:dyDescent="0.3">
      <c r="A443" t="s">
        <v>1955</v>
      </c>
    </row>
    <row r="444" spans="1:1" x14ac:dyDescent="0.3">
      <c r="A444" t="s">
        <v>1956</v>
      </c>
    </row>
    <row r="445" spans="1:1" x14ac:dyDescent="0.3">
      <c r="A445" t="s">
        <v>1957</v>
      </c>
    </row>
    <row r="446" spans="1:1" x14ac:dyDescent="0.3">
      <c r="A446" t="s">
        <v>1958</v>
      </c>
    </row>
    <row r="447" spans="1:1" x14ac:dyDescent="0.3">
      <c r="A447" t="s">
        <v>1959</v>
      </c>
    </row>
    <row r="448" spans="1:1" x14ac:dyDescent="0.3">
      <c r="A448" t="s">
        <v>1960</v>
      </c>
    </row>
    <row r="449" spans="1:1" x14ac:dyDescent="0.3">
      <c r="A449" t="s">
        <v>1961</v>
      </c>
    </row>
    <row r="450" spans="1:1" x14ac:dyDescent="0.3">
      <c r="A450" t="s">
        <v>1962</v>
      </c>
    </row>
    <row r="451" spans="1:1" x14ac:dyDescent="0.3">
      <c r="A451" t="s">
        <v>1963</v>
      </c>
    </row>
    <row r="452" spans="1:1" x14ac:dyDescent="0.3">
      <c r="A452" t="s">
        <v>1964</v>
      </c>
    </row>
    <row r="453" spans="1:1" x14ac:dyDescent="0.3">
      <c r="A453" t="s">
        <v>1965</v>
      </c>
    </row>
    <row r="454" spans="1:1" x14ac:dyDescent="0.3">
      <c r="A454" t="s">
        <v>1966</v>
      </c>
    </row>
    <row r="455" spans="1:1" x14ac:dyDescent="0.3">
      <c r="A455" t="s">
        <v>1967</v>
      </c>
    </row>
    <row r="456" spans="1:1" x14ac:dyDescent="0.3">
      <c r="A456" t="s">
        <v>1968</v>
      </c>
    </row>
    <row r="457" spans="1:1" x14ac:dyDescent="0.3">
      <c r="A457" t="s">
        <v>1969</v>
      </c>
    </row>
    <row r="458" spans="1:1" x14ac:dyDescent="0.3">
      <c r="A458" t="s">
        <v>1970</v>
      </c>
    </row>
    <row r="459" spans="1:1" x14ac:dyDescent="0.3">
      <c r="A459" t="s">
        <v>1971</v>
      </c>
    </row>
    <row r="460" spans="1:1" x14ac:dyDescent="0.3">
      <c r="A460" t="s">
        <v>1972</v>
      </c>
    </row>
    <row r="461" spans="1:1" x14ac:dyDescent="0.3">
      <c r="A461" t="s">
        <v>1973</v>
      </c>
    </row>
    <row r="462" spans="1:1" x14ac:dyDescent="0.3">
      <c r="A462" t="s">
        <v>1974</v>
      </c>
    </row>
    <row r="463" spans="1:1" x14ac:dyDescent="0.3">
      <c r="A463" t="s">
        <v>1975</v>
      </c>
    </row>
    <row r="464" spans="1:1" x14ac:dyDescent="0.3">
      <c r="A464" t="s">
        <v>1976</v>
      </c>
    </row>
    <row r="465" spans="1:1" x14ac:dyDescent="0.3">
      <c r="A465" t="s">
        <v>1977</v>
      </c>
    </row>
    <row r="466" spans="1:1" x14ac:dyDescent="0.3">
      <c r="A466" t="s">
        <v>1978</v>
      </c>
    </row>
    <row r="467" spans="1:1" x14ac:dyDescent="0.3">
      <c r="A467" t="s">
        <v>1979</v>
      </c>
    </row>
    <row r="468" spans="1:1" x14ac:dyDescent="0.3">
      <c r="A468" t="s">
        <v>1980</v>
      </c>
    </row>
    <row r="469" spans="1:1" x14ac:dyDescent="0.3">
      <c r="A469" t="s">
        <v>1981</v>
      </c>
    </row>
    <row r="470" spans="1:1" x14ac:dyDescent="0.3">
      <c r="A470" t="s">
        <v>1982</v>
      </c>
    </row>
    <row r="471" spans="1:1" x14ac:dyDescent="0.3">
      <c r="A471" t="s">
        <v>1983</v>
      </c>
    </row>
    <row r="472" spans="1:1" x14ac:dyDescent="0.3">
      <c r="A472" t="s">
        <v>1984</v>
      </c>
    </row>
    <row r="473" spans="1:1" x14ac:dyDescent="0.3">
      <c r="A473" t="s">
        <v>1985</v>
      </c>
    </row>
    <row r="474" spans="1:1" x14ac:dyDescent="0.3">
      <c r="A474" t="s">
        <v>1986</v>
      </c>
    </row>
    <row r="475" spans="1:1" x14ac:dyDescent="0.3">
      <c r="A475" t="s">
        <v>1987</v>
      </c>
    </row>
    <row r="476" spans="1:1" x14ac:dyDescent="0.3">
      <c r="A476" t="s">
        <v>1988</v>
      </c>
    </row>
    <row r="477" spans="1:1" x14ac:dyDescent="0.3">
      <c r="A477" t="s">
        <v>1989</v>
      </c>
    </row>
    <row r="478" spans="1:1" x14ac:dyDescent="0.3">
      <c r="A478" t="s">
        <v>1990</v>
      </c>
    </row>
    <row r="479" spans="1:1" x14ac:dyDescent="0.3">
      <c r="A479" t="s">
        <v>1991</v>
      </c>
    </row>
    <row r="480" spans="1:1" x14ac:dyDescent="0.3">
      <c r="A480" t="s">
        <v>1992</v>
      </c>
    </row>
    <row r="481" spans="1:1" x14ac:dyDescent="0.3">
      <c r="A481" t="s">
        <v>1993</v>
      </c>
    </row>
    <row r="482" spans="1:1" x14ac:dyDescent="0.3">
      <c r="A482" t="s">
        <v>1994</v>
      </c>
    </row>
    <row r="483" spans="1:1" x14ac:dyDescent="0.3">
      <c r="A483" t="s">
        <v>1995</v>
      </c>
    </row>
    <row r="484" spans="1:1" x14ac:dyDescent="0.3">
      <c r="A484" t="s">
        <v>1996</v>
      </c>
    </row>
    <row r="485" spans="1:1" x14ac:dyDescent="0.3">
      <c r="A485" t="s">
        <v>1997</v>
      </c>
    </row>
    <row r="486" spans="1:1" x14ac:dyDescent="0.3">
      <c r="A486" t="s">
        <v>1998</v>
      </c>
    </row>
    <row r="487" spans="1:1" x14ac:dyDescent="0.3">
      <c r="A487" t="s">
        <v>1999</v>
      </c>
    </row>
    <row r="488" spans="1:1" x14ac:dyDescent="0.3">
      <c r="A488" t="s">
        <v>2000</v>
      </c>
    </row>
    <row r="489" spans="1:1" x14ac:dyDescent="0.3">
      <c r="A489" t="s">
        <v>2001</v>
      </c>
    </row>
    <row r="490" spans="1:1" x14ac:dyDescent="0.3">
      <c r="A490" t="s">
        <v>2002</v>
      </c>
    </row>
    <row r="491" spans="1:1" x14ac:dyDescent="0.3">
      <c r="A491" t="s">
        <v>2003</v>
      </c>
    </row>
    <row r="492" spans="1:1" x14ac:dyDescent="0.3">
      <c r="A492" t="s">
        <v>2004</v>
      </c>
    </row>
    <row r="493" spans="1:1" x14ac:dyDescent="0.3">
      <c r="A493" t="s">
        <v>2005</v>
      </c>
    </row>
    <row r="494" spans="1:1" x14ac:dyDescent="0.3">
      <c r="A494" t="s">
        <v>2006</v>
      </c>
    </row>
    <row r="495" spans="1:1" x14ac:dyDescent="0.3">
      <c r="A495" t="s">
        <v>2007</v>
      </c>
    </row>
    <row r="496" spans="1:1" x14ac:dyDescent="0.3">
      <c r="A496" t="s">
        <v>2008</v>
      </c>
    </row>
    <row r="497" spans="1:1" x14ac:dyDescent="0.3">
      <c r="A497" t="s">
        <v>2009</v>
      </c>
    </row>
    <row r="498" spans="1:1" x14ac:dyDescent="0.3">
      <c r="A498" t="s">
        <v>2010</v>
      </c>
    </row>
    <row r="499" spans="1:1" x14ac:dyDescent="0.3">
      <c r="A499" t="s">
        <v>2011</v>
      </c>
    </row>
    <row r="500" spans="1:1" x14ac:dyDescent="0.3">
      <c r="A500" t="s">
        <v>2012</v>
      </c>
    </row>
    <row r="501" spans="1:1" x14ac:dyDescent="0.3">
      <c r="A501" t="s">
        <v>2013</v>
      </c>
    </row>
    <row r="502" spans="1:1" x14ac:dyDescent="0.3">
      <c r="A502" t="s">
        <v>2014</v>
      </c>
    </row>
    <row r="503" spans="1:1" x14ac:dyDescent="0.3">
      <c r="A503" t="s">
        <v>2015</v>
      </c>
    </row>
    <row r="504" spans="1:1" x14ac:dyDescent="0.3">
      <c r="A504" t="s">
        <v>2016</v>
      </c>
    </row>
    <row r="505" spans="1:1" x14ac:dyDescent="0.3">
      <c r="A505" t="s">
        <v>2017</v>
      </c>
    </row>
    <row r="506" spans="1:1" x14ac:dyDescent="0.3">
      <c r="A506" t="s">
        <v>2018</v>
      </c>
    </row>
    <row r="507" spans="1:1" x14ac:dyDescent="0.3">
      <c r="A507" t="s">
        <v>2019</v>
      </c>
    </row>
    <row r="508" spans="1:1" x14ac:dyDescent="0.3">
      <c r="A508" t="s">
        <v>2020</v>
      </c>
    </row>
    <row r="509" spans="1:1" x14ac:dyDescent="0.3">
      <c r="A509" t="s">
        <v>2021</v>
      </c>
    </row>
    <row r="510" spans="1:1" x14ac:dyDescent="0.3">
      <c r="A510" t="s">
        <v>2022</v>
      </c>
    </row>
    <row r="511" spans="1:1" x14ac:dyDescent="0.3">
      <c r="A511" t="s">
        <v>2023</v>
      </c>
    </row>
    <row r="512" spans="1:1" x14ac:dyDescent="0.3">
      <c r="A512" t="s">
        <v>2024</v>
      </c>
    </row>
    <row r="513" spans="1:1" x14ac:dyDescent="0.3">
      <c r="A513" t="s">
        <v>2025</v>
      </c>
    </row>
    <row r="514" spans="1:1" x14ac:dyDescent="0.3">
      <c r="A514" t="s">
        <v>2026</v>
      </c>
    </row>
    <row r="515" spans="1:1" x14ac:dyDescent="0.3">
      <c r="A515" t="s">
        <v>2027</v>
      </c>
    </row>
    <row r="516" spans="1:1" x14ac:dyDescent="0.3">
      <c r="A516" t="s">
        <v>2028</v>
      </c>
    </row>
    <row r="517" spans="1:1" x14ac:dyDescent="0.3">
      <c r="A517" t="s">
        <v>2029</v>
      </c>
    </row>
    <row r="518" spans="1:1" x14ac:dyDescent="0.3">
      <c r="A518" t="s">
        <v>2030</v>
      </c>
    </row>
    <row r="519" spans="1:1" x14ac:dyDescent="0.3">
      <c r="A519" t="s">
        <v>2031</v>
      </c>
    </row>
    <row r="520" spans="1:1" x14ac:dyDescent="0.3">
      <c r="A520" t="s">
        <v>2032</v>
      </c>
    </row>
    <row r="521" spans="1:1" x14ac:dyDescent="0.3">
      <c r="A521" t="s">
        <v>2033</v>
      </c>
    </row>
    <row r="522" spans="1:1" x14ac:dyDescent="0.3">
      <c r="A522" t="s">
        <v>2034</v>
      </c>
    </row>
    <row r="523" spans="1:1" x14ac:dyDescent="0.3">
      <c r="A523" t="s">
        <v>2035</v>
      </c>
    </row>
    <row r="524" spans="1:1" x14ac:dyDescent="0.3">
      <c r="A524" t="s">
        <v>2036</v>
      </c>
    </row>
    <row r="525" spans="1:1" x14ac:dyDescent="0.3">
      <c r="A525" t="s">
        <v>2037</v>
      </c>
    </row>
    <row r="526" spans="1:1" x14ac:dyDescent="0.3">
      <c r="A526" t="s">
        <v>2038</v>
      </c>
    </row>
    <row r="527" spans="1:1" x14ac:dyDescent="0.3">
      <c r="A527" t="s">
        <v>2039</v>
      </c>
    </row>
    <row r="528" spans="1:1" x14ac:dyDescent="0.3">
      <c r="A528" t="s">
        <v>2040</v>
      </c>
    </row>
    <row r="529" spans="1:1" x14ac:dyDescent="0.3">
      <c r="A529" t="s">
        <v>2041</v>
      </c>
    </row>
    <row r="530" spans="1:1" x14ac:dyDescent="0.3">
      <c r="A530" t="s">
        <v>2042</v>
      </c>
    </row>
    <row r="531" spans="1:1" x14ac:dyDescent="0.3">
      <c r="A531" t="s">
        <v>2043</v>
      </c>
    </row>
    <row r="532" spans="1:1" x14ac:dyDescent="0.3">
      <c r="A532" t="s">
        <v>2044</v>
      </c>
    </row>
    <row r="533" spans="1:1" x14ac:dyDescent="0.3">
      <c r="A533" t="s">
        <v>2045</v>
      </c>
    </row>
    <row r="534" spans="1:1" x14ac:dyDescent="0.3">
      <c r="A534" t="s">
        <v>2046</v>
      </c>
    </row>
    <row r="535" spans="1:1" x14ac:dyDescent="0.3">
      <c r="A535" t="s">
        <v>2047</v>
      </c>
    </row>
    <row r="536" spans="1:1" x14ac:dyDescent="0.3">
      <c r="A536" t="s">
        <v>2048</v>
      </c>
    </row>
    <row r="537" spans="1:1" x14ac:dyDescent="0.3">
      <c r="A537" t="s">
        <v>2049</v>
      </c>
    </row>
    <row r="538" spans="1:1" x14ac:dyDescent="0.3">
      <c r="A538" t="s">
        <v>2050</v>
      </c>
    </row>
    <row r="539" spans="1:1" x14ac:dyDescent="0.3">
      <c r="A539" t="s">
        <v>2051</v>
      </c>
    </row>
    <row r="540" spans="1:1" x14ac:dyDescent="0.3">
      <c r="A540" t="s">
        <v>2052</v>
      </c>
    </row>
    <row r="541" spans="1:1" x14ac:dyDescent="0.3">
      <c r="A541" t="s">
        <v>2053</v>
      </c>
    </row>
    <row r="542" spans="1:1" x14ac:dyDescent="0.3">
      <c r="A542" t="s">
        <v>2054</v>
      </c>
    </row>
    <row r="543" spans="1:1" x14ac:dyDescent="0.3">
      <c r="A543" t="s">
        <v>2055</v>
      </c>
    </row>
    <row r="544" spans="1:1" x14ac:dyDescent="0.3">
      <c r="A544" t="s">
        <v>2056</v>
      </c>
    </row>
    <row r="545" spans="1:1" x14ac:dyDescent="0.3">
      <c r="A545" t="s">
        <v>2057</v>
      </c>
    </row>
    <row r="546" spans="1:1" x14ac:dyDescent="0.3">
      <c r="A546" t="s">
        <v>2058</v>
      </c>
    </row>
    <row r="547" spans="1:1" x14ac:dyDescent="0.3">
      <c r="A547" t="s">
        <v>2059</v>
      </c>
    </row>
    <row r="548" spans="1:1" x14ac:dyDescent="0.3">
      <c r="A548" t="s">
        <v>2060</v>
      </c>
    </row>
    <row r="549" spans="1:1" x14ac:dyDescent="0.3">
      <c r="A549" t="s">
        <v>2061</v>
      </c>
    </row>
    <row r="550" spans="1:1" x14ac:dyDescent="0.3">
      <c r="A550" t="s">
        <v>2062</v>
      </c>
    </row>
    <row r="551" spans="1:1" x14ac:dyDescent="0.3">
      <c r="A551" t="s">
        <v>2063</v>
      </c>
    </row>
    <row r="552" spans="1:1" x14ac:dyDescent="0.3">
      <c r="A552" t="s">
        <v>2064</v>
      </c>
    </row>
    <row r="553" spans="1:1" x14ac:dyDescent="0.3">
      <c r="A553" t="s">
        <v>2065</v>
      </c>
    </row>
    <row r="554" spans="1:1" x14ac:dyDescent="0.3">
      <c r="A554" t="s">
        <v>2066</v>
      </c>
    </row>
    <row r="555" spans="1:1" x14ac:dyDescent="0.3">
      <c r="A555" t="s">
        <v>2067</v>
      </c>
    </row>
    <row r="556" spans="1:1" x14ac:dyDescent="0.3">
      <c r="A556" t="s">
        <v>2068</v>
      </c>
    </row>
    <row r="557" spans="1:1" x14ac:dyDescent="0.3">
      <c r="A557" t="s">
        <v>2069</v>
      </c>
    </row>
    <row r="558" spans="1:1" x14ac:dyDescent="0.3">
      <c r="A558" t="s">
        <v>2070</v>
      </c>
    </row>
    <row r="559" spans="1:1" x14ac:dyDescent="0.3">
      <c r="A559" t="s">
        <v>2071</v>
      </c>
    </row>
    <row r="560" spans="1:1" x14ac:dyDescent="0.3">
      <c r="A560" t="s">
        <v>2072</v>
      </c>
    </row>
    <row r="561" spans="1:1" x14ac:dyDescent="0.3">
      <c r="A561" t="s">
        <v>2073</v>
      </c>
    </row>
    <row r="562" spans="1:1" x14ac:dyDescent="0.3">
      <c r="A562" t="s">
        <v>2074</v>
      </c>
    </row>
    <row r="563" spans="1:1" x14ac:dyDescent="0.3">
      <c r="A563" t="s">
        <v>2075</v>
      </c>
    </row>
    <row r="564" spans="1:1" x14ac:dyDescent="0.3">
      <c r="A564" t="s">
        <v>2076</v>
      </c>
    </row>
    <row r="565" spans="1:1" x14ac:dyDescent="0.3">
      <c r="A565" t="s">
        <v>2077</v>
      </c>
    </row>
    <row r="566" spans="1:1" x14ac:dyDescent="0.3">
      <c r="A566" t="s">
        <v>2078</v>
      </c>
    </row>
    <row r="567" spans="1:1" x14ac:dyDescent="0.3">
      <c r="A567" t="s">
        <v>2079</v>
      </c>
    </row>
    <row r="568" spans="1:1" x14ac:dyDescent="0.3">
      <c r="A568" t="s">
        <v>2080</v>
      </c>
    </row>
    <row r="569" spans="1:1" x14ac:dyDescent="0.3">
      <c r="A569" t="s">
        <v>2081</v>
      </c>
    </row>
    <row r="570" spans="1:1" x14ac:dyDescent="0.3">
      <c r="A570" t="s">
        <v>2082</v>
      </c>
    </row>
    <row r="571" spans="1:1" x14ac:dyDescent="0.3">
      <c r="A571" t="s">
        <v>2083</v>
      </c>
    </row>
    <row r="572" spans="1:1" x14ac:dyDescent="0.3">
      <c r="A572" t="s">
        <v>2084</v>
      </c>
    </row>
    <row r="573" spans="1:1" x14ac:dyDescent="0.3">
      <c r="A573" t="s">
        <v>2085</v>
      </c>
    </row>
    <row r="574" spans="1:1" x14ac:dyDescent="0.3">
      <c r="A574" t="s">
        <v>2086</v>
      </c>
    </row>
    <row r="575" spans="1:1" x14ac:dyDescent="0.3">
      <c r="A575" t="s">
        <v>2087</v>
      </c>
    </row>
    <row r="576" spans="1:1" x14ac:dyDescent="0.3">
      <c r="A576" t="s">
        <v>2088</v>
      </c>
    </row>
    <row r="577" spans="1:1" x14ac:dyDescent="0.3">
      <c r="A577" t="s">
        <v>2089</v>
      </c>
    </row>
    <row r="578" spans="1:1" x14ac:dyDescent="0.3">
      <c r="A578" t="s">
        <v>2090</v>
      </c>
    </row>
    <row r="579" spans="1:1" x14ac:dyDescent="0.3">
      <c r="A579" t="s">
        <v>2091</v>
      </c>
    </row>
    <row r="580" spans="1:1" x14ac:dyDescent="0.3">
      <c r="A580" t="s">
        <v>2092</v>
      </c>
    </row>
    <row r="581" spans="1:1" x14ac:dyDescent="0.3">
      <c r="A581" t="s">
        <v>2093</v>
      </c>
    </row>
    <row r="582" spans="1:1" x14ac:dyDescent="0.3">
      <c r="A582" t="s">
        <v>2094</v>
      </c>
    </row>
    <row r="583" spans="1:1" x14ac:dyDescent="0.3">
      <c r="A583" t="s">
        <v>2095</v>
      </c>
    </row>
    <row r="584" spans="1:1" x14ac:dyDescent="0.3">
      <c r="A584" t="s">
        <v>2096</v>
      </c>
    </row>
    <row r="585" spans="1:1" x14ac:dyDescent="0.3">
      <c r="A585" t="s">
        <v>2097</v>
      </c>
    </row>
    <row r="586" spans="1:1" x14ac:dyDescent="0.3">
      <c r="A586" t="s">
        <v>2098</v>
      </c>
    </row>
    <row r="587" spans="1:1" x14ac:dyDescent="0.3">
      <c r="A587" t="s">
        <v>2099</v>
      </c>
    </row>
    <row r="588" spans="1:1" x14ac:dyDescent="0.3">
      <c r="A588" t="s">
        <v>2100</v>
      </c>
    </row>
    <row r="589" spans="1:1" x14ac:dyDescent="0.3">
      <c r="A589" t="s">
        <v>2101</v>
      </c>
    </row>
    <row r="590" spans="1:1" x14ac:dyDescent="0.3">
      <c r="A590" t="s">
        <v>2102</v>
      </c>
    </row>
    <row r="591" spans="1:1" x14ac:dyDescent="0.3">
      <c r="A591" t="s">
        <v>2103</v>
      </c>
    </row>
    <row r="592" spans="1:1" s="16" customFormat="1" x14ac:dyDescent="0.3">
      <c r="A592" s="16" t="s">
        <v>2104</v>
      </c>
    </row>
    <row r="593" spans="1:1" x14ac:dyDescent="0.3">
      <c r="A593" t="s">
        <v>2105</v>
      </c>
    </row>
    <row r="594" spans="1:1" x14ac:dyDescent="0.3">
      <c r="A594" t="s">
        <v>2102</v>
      </c>
    </row>
    <row r="595" spans="1:1" x14ac:dyDescent="0.3">
      <c r="A595" t="s">
        <v>2106</v>
      </c>
    </row>
    <row r="596" spans="1:1" s="16" customFormat="1" x14ac:dyDescent="0.3">
      <c r="A596" s="16" t="s">
        <v>2107</v>
      </c>
    </row>
    <row r="597" spans="1:1" x14ac:dyDescent="0.3">
      <c r="A597" t="s">
        <v>2108</v>
      </c>
    </row>
    <row r="598" spans="1:1" x14ac:dyDescent="0.3">
      <c r="A598" t="s">
        <v>2109</v>
      </c>
    </row>
    <row r="599" spans="1:1" s="16" customFormat="1" x14ac:dyDescent="0.3">
      <c r="A599" s="16" t="s">
        <v>2110</v>
      </c>
    </row>
    <row r="600" spans="1:1" x14ac:dyDescent="0.3">
      <c r="A600" t="s">
        <v>2111</v>
      </c>
    </row>
    <row r="601" spans="1:1" x14ac:dyDescent="0.3">
      <c r="A601" t="s">
        <v>2112</v>
      </c>
    </row>
    <row r="602" spans="1:1" x14ac:dyDescent="0.3">
      <c r="A602" t="s">
        <v>2113</v>
      </c>
    </row>
    <row r="603" spans="1:1" x14ac:dyDescent="0.3">
      <c r="A603" t="s">
        <v>2114</v>
      </c>
    </row>
    <row r="604" spans="1:1" x14ac:dyDescent="0.3">
      <c r="A604" t="s">
        <v>2115</v>
      </c>
    </row>
    <row r="605" spans="1:1" x14ac:dyDescent="0.3">
      <c r="A605" t="s">
        <v>2102</v>
      </c>
    </row>
    <row r="606" spans="1:1" x14ac:dyDescent="0.3">
      <c r="A606" t="s">
        <v>2116</v>
      </c>
    </row>
    <row r="607" spans="1:1" s="16" customFormat="1" x14ac:dyDescent="0.3">
      <c r="A607" s="16" t="s">
        <v>2117</v>
      </c>
    </row>
    <row r="608" spans="1:1" x14ac:dyDescent="0.3">
      <c r="A608" t="s">
        <v>2118</v>
      </c>
    </row>
    <row r="609" spans="1:1" x14ac:dyDescent="0.3">
      <c r="A609" t="s">
        <v>2102</v>
      </c>
    </row>
    <row r="610" spans="1:1" x14ac:dyDescent="0.3">
      <c r="A610" t="s">
        <v>2119</v>
      </c>
    </row>
    <row r="611" spans="1:1" s="16" customFormat="1" x14ac:dyDescent="0.3">
      <c r="A611" s="16" t="s">
        <v>2120</v>
      </c>
    </row>
    <row r="612" spans="1:1" x14ac:dyDescent="0.3">
      <c r="A612" t="s">
        <v>2108</v>
      </c>
    </row>
    <row r="613" spans="1:1" x14ac:dyDescent="0.3">
      <c r="A613" t="s">
        <v>2121</v>
      </c>
    </row>
    <row r="614" spans="1:1" s="16" customFormat="1" x14ac:dyDescent="0.3">
      <c r="A614" s="16" t="s">
        <v>2122</v>
      </c>
    </row>
    <row r="615" spans="1:1" x14ac:dyDescent="0.3">
      <c r="A615" t="s">
        <v>2123</v>
      </c>
    </row>
    <row r="616" spans="1:1" x14ac:dyDescent="0.3">
      <c r="A616" t="s">
        <v>2124</v>
      </c>
    </row>
    <row r="617" spans="1:1" x14ac:dyDescent="0.3">
      <c r="A617" t="s">
        <v>2125</v>
      </c>
    </row>
    <row r="618" spans="1:1" x14ac:dyDescent="0.3">
      <c r="A618" t="s">
        <v>2126</v>
      </c>
    </row>
    <row r="619" spans="1:1" x14ac:dyDescent="0.3">
      <c r="A619" t="s">
        <v>2127</v>
      </c>
    </row>
    <row r="620" spans="1:1" x14ac:dyDescent="0.3">
      <c r="A620" t="s">
        <v>2102</v>
      </c>
    </row>
    <row r="621" spans="1:1" x14ac:dyDescent="0.3">
      <c r="A621" t="s">
        <v>2128</v>
      </c>
    </row>
    <row r="622" spans="1:1" s="16" customFormat="1" x14ac:dyDescent="0.3">
      <c r="A622" s="16" t="s">
        <v>2129</v>
      </c>
    </row>
    <row r="623" spans="1:1" x14ac:dyDescent="0.3">
      <c r="A623" t="s">
        <v>2102</v>
      </c>
    </row>
    <row r="624" spans="1:1" x14ac:dyDescent="0.3">
      <c r="A624" t="s">
        <v>2130</v>
      </c>
    </row>
    <row r="625" spans="1:1" s="16" customFormat="1" x14ac:dyDescent="0.3">
      <c r="A625" s="16" t="s">
        <v>2131</v>
      </c>
    </row>
    <row r="626" spans="1:1" x14ac:dyDescent="0.3">
      <c r="A626" t="s">
        <v>2108</v>
      </c>
    </row>
    <row r="627" spans="1:1" x14ac:dyDescent="0.3">
      <c r="A627" t="s">
        <v>2132</v>
      </c>
    </row>
    <row r="628" spans="1:1" s="16" customFormat="1" x14ac:dyDescent="0.3">
      <c r="A628" s="16" t="s">
        <v>2133</v>
      </c>
    </row>
    <row r="629" spans="1:1" x14ac:dyDescent="0.3">
      <c r="A629" t="s">
        <v>2134</v>
      </c>
    </row>
    <row r="630" spans="1:1" x14ac:dyDescent="0.3">
      <c r="A630" t="s">
        <v>2135</v>
      </c>
    </row>
    <row r="631" spans="1:1" x14ac:dyDescent="0.3">
      <c r="A631" t="s">
        <v>2136</v>
      </c>
    </row>
    <row r="632" spans="1:1" x14ac:dyDescent="0.3">
      <c r="A632" t="s">
        <v>2137</v>
      </c>
    </row>
    <row r="633" spans="1:1" x14ac:dyDescent="0.3">
      <c r="A633" t="s">
        <v>2138</v>
      </c>
    </row>
    <row r="634" spans="1:1" x14ac:dyDescent="0.3">
      <c r="A634" t="s">
        <v>2102</v>
      </c>
    </row>
    <row r="635" spans="1:1" x14ac:dyDescent="0.3">
      <c r="A635" t="s">
        <v>2139</v>
      </c>
    </row>
    <row r="636" spans="1:1" s="16" customFormat="1" x14ac:dyDescent="0.3">
      <c r="A636" s="16" t="s">
        <v>2140</v>
      </c>
    </row>
    <row r="637" spans="1:1" x14ac:dyDescent="0.3">
      <c r="A637" t="s">
        <v>2102</v>
      </c>
    </row>
    <row r="638" spans="1:1" x14ac:dyDescent="0.3">
      <c r="A638" t="s">
        <v>2141</v>
      </c>
    </row>
    <row r="639" spans="1:1" s="16" customFormat="1" x14ac:dyDescent="0.3">
      <c r="A639" s="16" t="s">
        <v>2142</v>
      </c>
    </row>
    <row r="640" spans="1:1" x14ac:dyDescent="0.3">
      <c r="A640" t="s">
        <v>2108</v>
      </c>
    </row>
    <row r="641" spans="1:1" x14ac:dyDescent="0.3">
      <c r="A641" t="s">
        <v>2143</v>
      </c>
    </row>
    <row r="642" spans="1:1" s="16" customFormat="1" x14ac:dyDescent="0.3">
      <c r="A642" s="16" t="s">
        <v>2144</v>
      </c>
    </row>
    <row r="643" spans="1:1" x14ac:dyDescent="0.3">
      <c r="A643" t="s">
        <v>2145</v>
      </c>
    </row>
    <row r="644" spans="1:1" x14ac:dyDescent="0.3">
      <c r="A644" t="s">
        <v>2146</v>
      </c>
    </row>
    <row r="645" spans="1:1" x14ac:dyDescent="0.3">
      <c r="A645" t="s">
        <v>2147</v>
      </c>
    </row>
    <row r="646" spans="1:1" x14ac:dyDescent="0.3">
      <c r="A646" t="s">
        <v>2148</v>
      </c>
    </row>
    <row r="647" spans="1:1" x14ac:dyDescent="0.3">
      <c r="A647" t="s">
        <v>2149</v>
      </c>
    </row>
    <row r="648" spans="1:1" x14ac:dyDescent="0.3">
      <c r="A648" t="s">
        <v>2150</v>
      </c>
    </row>
    <row r="649" spans="1:1" x14ac:dyDescent="0.3">
      <c r="A649" t="s">
        <v>2151</v>
      </c>
    </row>
    <row r="650" spans="1:1" x14ac:dyDescent="0.3">
      <c r="A650" t="s">
        <v>2152</v>
      </c>
    </row>
    <row r="651" spans="1:1" x14ac:dyDescent="0.3">
      <c r="A651" t="s">
        <v>2102</v>
      </c>
    </row>
    <row r="652" spans="1:1" x14ac:dyDescent="0.3">
      <c r="A652" t="s">
        <v>2153</v>
      </c>
    </row>
    <row r="653" spans="1:1" s="16" customFormat="1" x14ac:dyDescent="0.3">
      <c r="A653" s="16" t="s">
        <v>2154</v>
      </c>
    </row>
    <row r="654" spans="1:1" x14ac:dyDescent="0.3">
      <c r="A654" t="s">
        <v>2155</v>
      </c>
    </row>
    <row r="655" spans="1:1" x14ac:dyDescent="0.3">
      <c r="A655" t="s">
        <v>2156</v>
      </c>
    </row>
    <row r="656" spans="1:1" x14ac:dyDescent="0.3">
      <c r="A656" t="s">
        <v>2157</v>
      </c>
    </row>
    <row r="657" spans="1:1" x14ac:dyDescent="0.3">
      <c r="A657" t="s">
        <v>2158</v>
      </c>
    </row>
    <row r="658" spans="1:1" x14ac:dyDescent="0.3">
      <c r="A658" t="s">
        <v>2159</v>
      </c>
    </row>
    <row r="659" spans="1:1" x14ac:dyDescent="0.3">
      <c r="A659" t="s">
        <v>2160</v>
      </c>
    </row>
    <row r="660" spans="1:1" x14ac:dyDescent="0.3">
      <c r="A660" t="s">
        <v>2161</v>
      </c>
    </row>
    <row r="661" spans="1:1" x14ac:dyDescent="0.3">
      <c r="A661" t="s">
        <v>2162</v>
      </c>
    </row>
    <row r="662" spans="1:1" x14ac:dyDescent="0.3">
      <c r="A662" t="s">
        <v>2163</v>
      </c>
    </row>
    <row r="663" spans="1:1" x14ac:dyDescent="0.3">
      <c r="A663" t="s">
        <v>2164</v>
      </c>
    </row>
    <row r="664" spans="1:1" x14ac:dyDescent="0.3">
      <c r="A664" t="s">
        <v>2165</v>
      </c>
    </row>
    <row r="665" spans="1:1" x14ac:dyDescent="0.3">
      <c r="A665" t="s">
        <v>2102</v>
      </c>
    </row>
    <row r="666" spans="1:1" x14ac:dyDescent="0.3">
      <c r="A666" t="s">
        <v>2166</v>
      </c>
    </row>
    <row r="667" spans="1:1" s="16" customFormat="1" x14ac:dyDescent="0.3">
      <c r="A667" s="16" t="s">
        <v>2167</v>
      </c>
    </row>
    <row r="668" spans="1:1" x14ac:dyDescent="0.3">
      <c r="A668" t="s">
        <v>2168</v>
      </c>
    </row>
    <row r="669" spans="1:1" x14ac:dyDescent="0.3">
      <c r="A669" t="s">
        <v>2169</v>
      </c>
    </row>
    <row r="670" spans="1:1" x14ac:dyDescent="0.3">
      <c r="A670" t="s">
        <v>2170</v>
      </c>
    </row>
    <row r="671" spans="1:1" x14ac:dyDescent="0.3">
      <c r="A671" t="s">
        <v>2171</v>
      </c>
    </row>
    <row r="672" spans="1:1" x14ac:dyDescent="0.3">
      <c r="A672" t="s">
        <v>2172</v>
      </c>
    </row>
    <row r="673" spans="1:1" x14ac:dyDescent="0.3">
      <c r="A673" t="s">
        <v>2173</v>
      </c>
    </row>
    <row r="674" spans="1:1" x14ac:dyDescent="0.3">
      <c r="A674" t="s">
        <v>2174</v>
      </c>
    </row>
    <row r="675" spans="1:1" x14ac:dyDescent="0.3">
      <c r="A675" t="s">
        <v>2175</v>
      </c>
    </row>
    <row r="676" spans="1:1" x14ac:dyDescent="0.3">
      <c r="A676" t="s">
        <v>2176</v>
      </c>
    </row>
    <row r="677" spans="1:1" x14ac:dyDescent="0.3">
      <c r="A677" t="s">
        <v>2177</v>
      </c>
    </row>
    <row r="678" spans="1:1" x14ac:dyDescent="0.3">
      <c r="A678" t="s">
        <v>2178</v>
      </c>
    </row>
    <row r="679" spans="1:1" x14ac:dyDescent="0.3">
      <c r="A679" t="s">
        <v>2102</v>
      </c>
    </row>
    <row r="680" spans="1:1" x14ac:dyDescent="0.3">
      <c r="A680" t="s">
        <v>2179</v>
      </c>
    </row>
    <row r="681" spans="1:1" s="16" customFormat="1" ht="15.75" customHeight="1" x14ac:dyDescent="0.3">
      <c r="A681" s="16" t="s">
        <v>2180</v>
      </c>
    </row>
    <row r="682" spans="1:1" x14ac:dyDescent="0.3">
      <c r="A682" t="s">
        <v>2181</v>
      </c>
    </row>
    <row r="683" spans="1:1" x14ac:dyDescent="0.3">
      <c r="A683" t="s">
        <v>2182</v>
      </c>
    </row>
    <row r="684" spans="1:1" x14ac:dyDescent="0.3">
      <c r="A684" t="s">
        <v>2183</v>
      </c>
    </row>
    <row r="685" spans="1:1" x14ac:dyDescent="0.3">
      <c r="A685" t="s">
        <v>2184</v>
      </c>
    </row>
    <row r="686" spans="1:1" x14ac:dyDescent="0.3">
      <c r="A686" t="s">
        <v>2185</v>
      </c>
    </row>
    <row r="687" spans="1:1" x14ac:dyDescent="0.3">
      <c r="A687" t="s">
        <v>2186</v>
      </c>
    </row>
    <row r="688" spans="1:1" x14ac:dyDescent="0.3">
      <c r="A688" t="s">
        <v>2187</v>
      </c>
    </row>
    <row r="689" spans="1:1" x14ac:dyDescent="0.3">
      <c r="A689" t="s">
        <v>2188</v>
      </c>
    </row>
    <row r="690" spans="1:1" x14ac:dyDescent="0.3">
      <c r="A690" t="s">
        <v>2189</v>
      </c>
    </row>
    <row r="691" spans="1:1" x14ac:dyDescent="0.3">
      <c r="A691" t="s">
        <v>2190</v>
      </c>
    </row>
    <row r="692" spans="1:1" x14ac:dyDescent="0.3">
      <c r="A692" t="s">
        <v>2102</v>
      </c>
    </row>
    <row r="693" spans="1:1" x14ac:dyDescent="0.3">
      <c r="A693" t="s">
        <v>2191</v>
      </c>
    </row>
    <row r="694" spans="1:1" s="16" customFormat="1" x14ac:dyDescent="0.3">
      <c r="A694" s="16" t="s">
        <v>2192</v>
      </c>
    </row>
    <row r="695" spans="1:1" x14ac:dyDescent="0.3">
      <c r="A695" t="s">
        <v>2193</v>
      </c>
    </row>
    <row r="696" spans="1:1" x14ac:dyDescent="0.3">
      <c r="A696" t="s">
        <v>2194</v>
      </c>
    </row>
    <row r="697" spans="1:1" x14ac:dyDescent="0.3">
      <c r="A697" t="s">
        <v>2195</v>
      </c>
    </row>
    <row r="698" spans="1:1" x14ac:dyDescent="0.3">
      <c r="A698" t="s">
        <v>2196</v>
      </c>
    </row>
    <row r="699" spans="1:1" x14ac:dyDescent="0.3">
      <c r="A699" t="s">
        <v>2197</v>
      </c>
    </row>
    <row r="700" spans="1:1" x14ac:dyDescent="0.3">
      <c r="A700" t="s">
        <v>2198</v>
      </c>
    </row>
    <row r="701" spans="1:1" x14ac:dyDescent="0.3">
      <c r="A701" t="s">
        <v>2199</v>
      </c>
    </row>
    <row r="702" spans="1:1" x14ac:dyDescent="0.3">
      <c r="A702" t="s">
        <v>2200</v>
      </c>
    </row>
    <row r="703" spans="1:1" x14ac:dyDescent="0.3">
      <c r="A703" t="s">
        <v>2201</v>
      </c>
    </row>
    <row r="704" spans="1:1" x14ac:dyDescent="0.3">
      <c r="A704" t="s">
        <v>2202</v>
      </c>
    </row>
    <row r="705" spans="1:1" x14ac:dyDescent="0.3">
      <c r="A705" t="s">
        <v>2203</v>
      </c>
    </row>
    <row r="706" spans="1:1" x14ac:dyDescent="0.3">
      <c r="A706" t="s">
        <v>2204</v>
      </c>
    </row>
    <row r="707" spans="1:1" x14ac:dyDescent="0.3">
      <c r="A707" t="s">
        <v>2205</v>
      </c>
    </row>
    <row r="708" spans="1:1" x14ac:dyDescent="0.3">
      <c r="A708" t="s">
        <v>2206</v>
      </c>
    </row>
    <row r="709" spans="1:1" x14ac:dyDescent="0.3">
      <c r="A709" t="s">
        <v>2207</v>
      </c>
    </row>
    <row r="710" spans="1:1" x14ac:dyDescent="0.3">
      <c r="A710" t="s">
        <v>2208</v>
      </c>
    </row>
    <row r="711" spans="1:1" x14ac:dyDescent="0.3">
      <c r="A711" t="s">
        <v>2209</v>
      </c>
    </row>
    <row r="712" spans="1:1" x14ac:dyDescent="0.3">
      <c r="A712" t="s">
        <v>2210</v>
      </c>
    </row>
    <row r="713" spans="1:1" x14ac:dyDescent="0.3">
      <c r="A713" t="s">
        <v>2211</v>
      </c>
    </row>
    <row r="714" spans="1:1" x14ac:dyDescent="0.3">
      <c r="A714" t="s">
        <v>2212</v>
      </c>
    </row>
    <row r="715" spans="1:1" x14ac:dyDescent="0.3">
      <c r="A715" t="s">
        <v>2213</v>
      </c>
    </row>
    <row r="716" spans="1:1" x14ac:dyDescent="0.3">
      <c r="A716" t="s">
        <v>2214</v>
      </c>
    </row>
    <row r="717" spans="1:1" x14ac:dyDescent="0.3">
      <c r="A717" t="s">
        <v>2215</v>
      </c>
    </row>
    <row r="718" spans="1:1" x14ac:dyDescent="0.3">
      <c r="A718" t="s">
        <v>2216</v>
      </c>
    </row>
    <row r="719" spans="1:1" x14ac:dyDescent="0.3">
      <c r="A719" t="s">
        <v>2217</v>
      </c>
    </row>
    <row r="720" spans="1:1" x14ac:dyDescent="0.3">
      <c r="A720" t="s">
        <v>2218</v>
      </c>
    </row>
    <row r="721" spans="1:1" x14ac:dyDescent="0.3">
      <c r="A721" t="s">
        <v>2219</v>
      </c>
    </row>
    <row r="722" spans="1:1" x14ac:dyDescent="0.3">
      <c r="A722" t="s">
        <v>2220</v>
      </c>
    </row>
    <row r="723" spans="1:1" x14ac:dyDescent="0.3">
      <c r="A723" t="s">
        <v>2221</v>
      </c>
    </row>
    <row r="724" spans="1:1" x14ac:dyDescent="0.3">
      <c r="A724" t="s">
        <v>2222</v>
      </c>
    </row>
    <row r="725" spans="1:1" x14ac:dyDescent="0.3">
      <c r="A725" t="s">
        <v>2223</v>
      </c>
    </row>
    <row r="726" spans="1:1" x14ac:dyDescent="0.3">
      <c r="A726" t="s">
        <v>2224</v>
      </c>
    </row>
    <row r="727" spans="1:1" x14ac:dyDescent="0.3">
      <c r="A727" t="s">
        <v>2225</v>
      </c>
    </row>
    <row r="728" spans="1:1" x14ac:dyDescent="0.3">
      <c r="A728" t="s">
        <v>2226</v>
      </c>
    </row>
    <row r="729" spans="1:1" x14ac:dyDescent="0.3">
      <c r="A729" t="s">
        <v>2227</v>
      </c>
    </row>
    <row r="730" spans="1:1" x14ac:dyDescent="0.3">
      <c r="A730" t="s">
        <v>2228</v>
      </c>
    </row>
    <row r="731" spans="1:1" x14ac:dyDescent="0.3">
      <c r="A731" t="s">
        <v>2229</v>
      </c>
    </row>
    <row r="732" spans="1:1" x14ac:dyDescent="0.3">
      <c r="A732" t="s">
        <v>2230</v>
      </c>
    </row>
    <row r="733" spans="1:1" x14ac:dyDescent="0.3">
      <c r="A733" t="s">
        <v>2231</v>
      </c>
    </row>
    <row r="734" spans="1:1" x14ac:dyDescent="0.3">
      <c r="A734" t="s">
        <v>2232</v>
      </c>
    </row>
    <row r="735" spans="1:1" x14ac:dyDescent="0.3">
      <c r="A735" t="s">
        <v>2233</v>
      </c>
    </row>
    <row r="736" spans="1:1" x14ac:dyDescent="0.3">
      <c r="A736" t="s">
        <v>2234</v>
      </c>
    </row>
    <row r="737" spans="1:1" x14ac:dyDescent="0.3">
      <c r="A737" t="s">
        <v>2235</v>
      </c>
    </row>
    <row r="738" spans="1:1" x14ac:dyDescent="0.3">
      <c r="A738" t="s">
        <v>2236</v>
      </c>
    </row>
    <row r="739" spans="1:1" x14ac:dyDescent="0.3">
      <c r="A739" t="s">
        <v>2237</v>
      </c>
    </row>
    <row r="740" spans="1:1" x14ac:dyDescent="0.3">
      <c r="A740" t="s">
        <v>2238</v>
      </c>
    </row>
    <row r="741" spans="1:1" x14ac:dyDescent="0.3">
      <c r="A741" t="s">
        <v>2239</v>
      </c>
    </row>
    <row r="742" spans="1:1" x14ac:dyDescent="0.3">
      <c r="A742" t="s">
        <v>2240</v>
      </c>
    </row>
    <row r="743" spans="1:1" x14ac:dyDescent="0.3">
      <c r="A743" t="s">
        <v>2241</v>
      </c>
    </row>
    <row r="744" spans="1:1" x14ac:dyDescent="0.3">
      <c r="A744" t="s">
        <v>2242</v>
      </c>
    </row>
    <row r="745" spans="1:1" x14ac:dyDescent="0.3">
      <c r="A745" t="s">
        <v>2243</v>
      </c>
    </row>
    <row r="746" spans="1:1" x14ac:dyDescent="0.3">
      <c r="A746" t="s">
        <v>2244</v>
      </c>
    </row>
    <row r="747" spans="1:1" x14ac:dyDescent="0.3">
      <c r="A747" t="s">
        <v>2245</v>
      </c>
    </row>
    <row r="748" spans="1:1" x14ac:dyDescent="0.3">
      <c r="A748" t="s">
        <v>2246</v>
      </c>
    </row>
    <row r="749" spans="1:1" x14ac:dyDescent="0.3">
      <c r="A749" t="s">
        <v>2247</v>
      </c>
    </row>
    <row r="750" spans="1:1" x14ac:dyDescent="0.3">
      <c r="A750" t="s">
        <v>2248</v>
      </c>
    </row>
    <row r="751" spans="1:1" x14ac:dyDescent="0.3">
      <c r="A751" t="s">
        <v>2249</v>
      </c>
    </row>
    <row r="752" spans="1:1" x14ac:dyDescent="0.3">
      <c r="A752" t="s">
        <v>2250</v>
      </c>
    </row>
    <row r="753" spans="1:1" x14ac:dyDescent="0.3">
      <c r="A753" t="s">
        <v>2251</v>
      </c>
    </row>
    <row r="754" spans="1:1" x14ac:dyDescent="0.3">
      <c r="A754" t="s">
        <v>2252</v>
      </c>
    </row>
    <row r="755" spans="1:1" x14ac:dyDescent="0.3">
      <c r="A755" t="s">
        <v>2253</v>
      </c>
    </row>
    <row r="756" spans="1:1" x14ac:dyDescent="0.3">
      <c r="A756" t="s">
        <v>2254</v>
      </c>
    </row>
    <row r="757" spans="1:1" x14ac:dyDescent="0.3">
      <c r="A757" t="s">
        <v>2255</v>
      </c>
    </row>
    <row r="758" spans="1:1" x14ac:dyDescent="0.3">
      <c r="A758" t="s">
        <v>2256</v>
      </c>
    </row>
    <row r="759" spans="1:1" x14ac:dyDescent="0.3">
      <c r="A759" t="s">
        <v>2257</v>
      </c>
    </row>
    <row r="760" spans="1:1" x14ac:dyDescent="0.3">
      <c r="A760" t="s">
        <v>2258</v>
      </c>
    </row>
    <row r="761" spans="1:1" x14ac:dyDescent="0.3">
      <c r="A761" t="s">
        <v>2259</v>
      </c>
    </row>
    <row r="762" spans="1:1" x14ac:dyDescent="0.3">
      <c r="A762" t="s">
        <v>2260</v>
      </c>
    </row>
    <row r="763" spans="1:1" x14ac:dyDescent="0.3">
      <c r="A763" t="s">
        <v>2261</v>
      </c>
    </row>
    <row r="764" spans="1:1" x14ac:dyDescent="0.3">
      <c r="A764" t="s">
        <v>2262</v>
      </c>
    </row>
    <row r="765" spans="1:1" x14ac:dyDescent="0.3">
      <c r="A765" t="s">
        <v>2263</v>
      </c>
    </row>
    <row r="766" spans="1:1" x14ac:dyDescent="0.3">
      <c r="A766" t="s">
        <v>2264</v>
      </c>
    </row>
    <row r="767" spans="1:1" x14ac:dyDescent="0.3">
      <c r="A767" t="s">
        <v>2265</v>
      </c>
    </row>
    <row r="768" spans="1:1" x14ac:dyDescent="0.3">
      <c r="A768" t="s">
        <v>2266</v>
      </c>
    </row>
    <row r="769" spans="1:1" x14ac:dyDescent="0.3">
      <c r="A769" t="s">
        <v>2267</v>
      </c>
    </row>
    <row r="770" spans="1:1" x14ac:dyDescent="0.3">
      <c r="A770" t="s">
        <v>2268</v>
      </c>
    </row>
    <row r="771" spans="1:1" x14ac:dyDescent="0.3">
      <c r="A771" t="s">
        <v>2269</v>
      </c>
    </row>
    <row r="772" spans="1:1" x14ac:dyDescent="0.3">
      <c r="A772" t="s">
        <v>2270</v>
      </c>
    </row>
    <row r="773" spans="1:1" x14ac:dyDescent="0.3">
      <c r="A773" t="s">
        <v>2271</v>
      </c>
    </row>
    <row r="774" spans="1:1" x14ac:dyDescent="0.3">
      <c r="A774" t="s">
        <v>2272</v>
      </c>
    </row>
    <row r="775" spans="1:1" x14ac:dyDescent="0.3">
      <c r="A775" t="s">
        <v>2273</v>
      </c>
    </row>
    <row r="776" spans="1:1" x14ac:dyDescent="0.3">
      <c r="A776" t="s">
        <v>2274</v>
      </c>
    </row>
    <row r="777" spans="1:1" x14ac:dyDescent="0.3">
      <c r="A777" t="s">
        <v>2275</v>
      </c>
    </row>
    <row r="778" spans="1:1" x14ac:dyDescent="0.3">
      <c r="A778" t="s">
        <v>2276</v>
      </c>
    </row>
    <row r="779" spans="1:1" x14ac:dyDescent="0.3">
      <c r="A779" t="s">
        <v>2277</v>
      </c>
    </row>
    <row r="780" spans="1:1" x14ac:dyDescent="0.3">
      <c r="A780" t="s">
        <v>2278</v>
      </c>
    </row>
    <row r="781" spans="1:1" x14ac:dyDescent="0.3">
      <c r="A781" t="s">
        <v>2279</v>
      </c>
    </row>
    <row r="782" spans="1:1" x14ac:dyDescent="0.3">
      <c r="A782" t="s">
        <v>2280</v>
      </c>
    </row>
    <row r="783" spans="1:1" x14ac:dyDescent="0.3">
      <c r="A783" t="s">
        <v>2281</v>
      </c>
    </row>
    <row r="784" spans="1:1" x14ac:dyDescent="0.3">
      <c r="A784" t="s">
        <v>2282</v>
      </c>
    </row>
    <row r="785" spans="1:1" x14ac:dyDescent="0.3">
      <c r="A785" t="s">
        <v>2283</v>
      </c>
    </row>
    <row r="786" spans="1:1" x14ac:dyDescent="0.3">
      <c r="A786" t="s">
        <v>2284</v>
      </c>
    </row>
    <row r="787" spans="1:1" x14ac:dyDescent="0.3">
      <c r="A787" t="s">
        <v>2285</v>
      </c>
    </row>
    <row r="788" spans="1:1" x14ac:dyDescent="0.3">
      <c r="A788" t="s">
        <v>2286</v>
      </c>
    </row>
    <row r="789" spans="1:1" x14ac:dyDescent="0.3">
      <c r="A789" t="s">
        <v>2287</v>
      </c>
    </row>
    <row r="790" spans="1:1" x14ac:dyDescent="0.3">
      <c r="A790" t="s">
        <v>2288</v>
      </c>
    </row>
    <row r="791" spans="1:1" x14ac:dyDescent="0.3">
      <c r="A791" t="s">
        <v>2289</v>
      </c>
    </row>
    <row r="792" spans="1:1" x14ac:dyDescent="0.3">
      <c r="A792" t="s">
        <v>2290</v>
      </c>
    </row>
    <row r="793" spans="1:1" x14ac:dyDescent="0.3">
      <c r="A793" t="s">
        <v>2291</v>
      </c>
    </row>
    <row r="794" spans="1:1" x14ac:dyDescent="0.3">
      <c r="A794" t="s">
        <v>2292</v>
      </c>
    </row>
    <row r="795" spans="1:1" x14ac:dyDescent="0.3">
      <c r="A795" t="s">
        <v>2293</v>
      </c>
    </row>
    <row r="796" spans="1:1" x14ac:dyDescent="0.3">
      <c r="A796" t="s">
        <v>2294</v>
      </c>
    </row>
    <row r="797" spans="1:1" x14ac:dyDescent="0.3">
      <c r="A797" t="s">
        <v>2295</v>
      </c>
    </row>
    <row r="798" spans="1:1" x14ac:dyDescent="0.3">
      <c r="A798" t="s">
        <v>2296</v>
      </c>
    </row>
    <row r="799" spans="1:1" x14ac:dyDescent="0.3">
      <c r="A799" t="s">
        <v>2297</v>
      </c>
    </row>
    <row r="800" spans="1:1" x14ac:dyDescent="0.3">
      <c r="A800" t="s">
        <v>2298</v>
      </c>
    </row>
    <row r="801" spans="1:1" x14ac:dyDescent="0.3">
      <c r="A801" t="s">
        <v>2299</v>
      </c>
    </row>
    <row r="802" spans="1:1" x14ac:dyDescent="0.3">
      <c r="A802" t="s">
        <v>2300</v>
      </c>
    </row>
    <row r="803" spans="1:1" x14ac:dyDescent="0.3">
      <c r="A803" t="s">
        <v>2301</v>
      </c>
    </row>
    <row r="804" spans="1:1" x14ac:dyDescent="0.3">
      <c r="A804" t="s">
        <v>2302</v>
      </c>
    </row>
    <row r="805" spans="1:1" x14ac:dyDescent="0.3">
      <c r="A805" t="s">
        <v>2303</v>
      </c>
    </row>
    <row r="806" spans="1:1" x14ac:dyDescent="0.3">
      <c r="A806" t="s">
        <v>2304</v>
      </c>
    </row>
    <row r="807" spans="1:1" x14ac:dyDescent="0.3">
      <c r="A807" t="s">
        <v>2305</v>
      </c>
    </row>
    <row r="808" spans="1:1" x14ac:dyDescent="0.3">
      <c r="A808" t="s">
        <v>2306</v>
      </c>
    </row>
    <row r="809" spans="1:1" x14ac:dyDescent="0.3">
      <c r="A809" t="s">
        <v>2307</v>
      </c>
    </row>
    <row r="810" spans="1:1" x14ac:dyDescent="0.3">
      <c r="A810" t="s">
        <v>2308</v>
      </c>
    </row>
    <row r="811" spans="1:1" x14ac:dyDescent="0.3">
      <c r="A811" t="s">
        <v>2309</v>
      </c>
    </row>
    <row r="812" spans="1:1" x14ac:dyDescent="0.3">
      <c r="A812" t="s">
        <v>2310</v>
      </c>
    </row>
    <row r="813" spans="1:1" x14ac:dyDescent="0.3">
      <c r="A813" t="s">
        <v>2311</v>
      </c>
    </row>
    <row r="814" spans="1:1" x14ac:dyDescent="0.3">
      <c r="A814" t="s">
        <v>2312</v>
      </c>
    </row>
    <row r="815" spans="1:1" x14ac:dyDescent="0.3">
      <c r="A815" t="s">
        <v>2313</v>
      </c>
    </row>
    <row r="816" spans="1:1" x14ac:dyDescent="0.3">
      <c r="A816" t="s">
        <v>2314</v>
      </c>
    </row>
    <row r="817" spans="1:1" x14ac:dyDescent="0.3">
      <c r="A817" t="s">
        <v>2315</v>
      </c>
    </row>
    <row r="818" spans="1:1" x14ac:dyDescent="0.3">
      <c r="A818" t="s">
        <v>2316</v>
      </c>
    </row>
    <row r="819" spans="1:1" x14ac:dyDescent="0.3">
      <c r="A819" t="s">
        <v>2317</v>
      </c>
    </row>
    <row r="820" spans="1:1" x14ac:dyDescent="0.3">
      <c r="A820" t="s">
        <v>2318</v>
      </c>
    </row>
    <row r="821" spans="1:1" x14ac:dyDescent="0.3">
      <c r="A821" t="s">
        <v>2319</v>
      </c>
    </row>
    <row r="822" spans="1:1" x14ac:dyDescent="0.3">
      <c r="A822" t="s">
        <v>2320</v>
      </c>
    </row>
    <row r="823" spans="1:1" x14ac:dyDescent="0.3">
      <c r="A823" t="s">
        <v>2321</v>
      </c>
    </row>
    <row r="824" spans="1:1" x14ac:dyDescent="0.3">
      <c r="A824" t="s">
        <v>2322</v>
      </c>
    </row>
    <row r="825" spans="1:1" x14ac:dyDescent="0.3">
      <c r="A825" t="s">
        <v>2323</v>
      </c>
    </row>
    <row r="826" spans="1:1" x14ac:dyDescent="0.3">
      <c r="A826" t="s">
        <v>2324</v>
      </c>
    </row>
    <row r="827" spans="1:1" x14ac:dyDescent="0.3">
      <c r="A827" t="s">
        <v>2325</v>
      </c>
    </row>
    <row r="828" spans="1:1" x14ac:dyDescent="0.3">
      <c r="A828" t="s">
        <v>2326</v>
      </c>
    </row>
    <row r="829" spans="1:1" x14ac:dyDescent="0.3">
      <c r="A829" t="s">
        <v>2327</v>
      </c>
    </row>
    <row r="830" spans="1:1" x14ac:dyDescent="0.3">
      <c r="A830" t="s">
        <v>2328</v>
      </c>
    </row>
    <row r="831" spans="1:1" x14ac:dyDescent="0.3">
      <c r="A831" t="s">
        <v>2329</v>
      </c>
    </row>
    <row r="832" spans="1:1" x14ac:dyDescent="0.3">
      <c r="A832" t="s">
        <v>2330</v>
      </c>
    </row>
    <row r="833" spans="1:1" x14ac:dyDescent="0.3">
      <c r="A833" t="s">
        <v>2331</v>
      </c>
    </row>
    <row r="834" spans="1:1" x14ac:dyDescent="0.3">
      <c r="A834" t="s">
        <v>2332</v>
      </c>
    </row>
    <row r="835" spans="1:1" x14ac:dyDescent="0.3">
      <c r="A835" t="s">
        <v>2333</v>
      </c>
    </row>
    <row r="836" spans="1:1" x14ac:dyDescent="0.3">
      <c r="A836" t="s">
        <v>2334</v>
      </c>
    </row>
    <row r="837" spans="1:1" x14ac:dyDescent="0.3">
      <c r="A837" t="s">
        <v>2335</v>
      </c>
    </row>
    <row r="838" spans="1:1" x14ac:dyDescent="0.3">
      <c r="A838" t="s">
        <v>2336</v>
      </c>
    </row>
    <row r="839" spans="1:1" x14ac:dyDescent="0.3">
      <c r="A839" t="s">
        <v>2337</v>
      </c>
    </row>
    <row r="840" spans="1:1" x14ac:dyDescent="0.3">
      <c r="A840" t="s">
        <v>2338</v>
      </c>
    </row>
    <row r="841" spans="1:1" x14ac:dyDescent="0.3">
      <c r="A841" t="s">
        <v>2339</v>
      </c>
    </row>
    <row r="842" spans="1:1" x14ac:dyDescent="0.3">
      <c r="A842" t="s">
        <v>2340</v>
      </c>
    </row>
    <row r="843" spans="1:1" x14ac:dyDescent="0.3">
      <c r="A843" t="s">
        <v>2341</v>
      </c>
    </row>
    <row r="844" spans="1:1" x14ac:dyDescent="0.3">
      <c r="A844" t="s">
        <v>2341</v>
      </c>
    </row>
    <row r="845" spans="1:1" s="16" customFormat="1" x14ac:dyDescent="0.3">
      <c r="A845" s="16" t="s">
        <v>2341</v>
      </c>
    </row>
    <row r="846" spans="1:1" s="16" customFormat="1" x14ac:dyDescent="0.3">
      <c r="A846" s="16" t="s">
        <v>2341</v>
      </c>
    </row>
    <row r="847" spans="1:1" s="16" customFormat="1" x14ac:dyDescent="0.3">
      <c r="A847" s="16" t="s">
        <v>2341</v>
      </c>
    </row>
    <row r="848" spans="1:1" s="16" customFormat="1" x14ac:dyDescent="0.3">
      <c r="A848" s="16" t="s">
        <v>2341</v>
      </c>
    </row>
    <row r="849" spans="1:1" s="16" customFormat="1" x14ac:dyDescent="0.3">
      <c r="A849" s="16" t="s">
        <v>2341</v>
      </c>
    </row>
    <row r="850" spans="1:1" s="16" customFormat="1" x14ac:dyDescent="0.3">
      <c r="A850" s="16" t="s">
        <v>2341</v>
      </c>
    </row>
    <row r="851" spans="1:1" s="16" customFormat="1" x14ac:dyDescent="0.3">
      <c r="A851" s="16" t="s">
        <v>2341</v>
      </c>
    </row>
    <row r="852" spans="1:1" s="16" customFormat="1" x14ac:dyDescent="0.3">
      <c r="A852" s="16" t="s">
        <v>2341</v>
      </c>
    </row>
    <row r="853" spans="1:1" s="16" customFormat="1" x14ac:dyDescent="0.3">
      <c r="A853" s="16" t="s">
        <v>2341</v>
      </c>
    </row>
    <row r="854" spans="1:1" s="16" customFormat="1" x14ac:dyDescent="0.3">
      <c r="A854" s="16" t="s">
        <v>2341</v>
      </c>
    </row>
    <row r="855" spans="1:1" s="16" customFormat="1" x14ac:dyDescent="0.3">
      <c r="A855" s="16" t="s">
        <v>2341</v>
      </c>
    </row>
    <row r="856" spans="1:1" s="16" customFormat="1" x14ac:dyDescent="0.3">
      <c r="A856" s="16" t="s">
        <v>2341</v>
      </c>
    </row>
    <row r="857" spans="1:1" s="16" customFormat="1" x14ac:dyDescent="0.3">
      <c r="A857" s="16" t="s">
        <v>2341</v>
      </c>
    </row>
    <row r="858" spans="1:1" s="16" customFormat="1" x14ac:dyDescent="0.3">
      <c r="A858" s="16" t="s">
        <v>2341</v>
      </c>
    </row>
    <row r="859" spans="1:1" s="16" customFormat="1" x14ac:dyDescent="0.3">
      <c r="A859" s="16" t="s">
        <v>2341</v>
      </c>
    </row>
    <row r="860" spans="1:1" s="16" customFormat="1" x14ac:dyDescent="0.3">
      <c r="A860" s="16" t="s">
        <v>2341</v>
      </c>
    </row>
    <row r="861" spans="1:1" s="16" customFormat="1" x14ac:dyDescent="0.3">
      <c r="A861" s="16" t="s">
        <v>2341</v>
      </c>
    </row>
    <row r="862" spans="1:1" s="16" customFormat="1" x14ac:dyDescent="0.3">
      <c r="A862" s="16" t="s">
        <v>2341</v>
      </c>
    </row>
    <row r="863" spans="1:1" s="16" customFormat="1" x14ac:dyDescent="0.3">
      <c r="A863" s="16" t="s">
        <v>2341</v>
      </c>
    </row>
    <row r="864" spans="1:1" s="16" customFormat="1" x14ac:dyDescent="0.3">
      <c r="A864" s="16" t="s">
        <v>2102</v>
      </c>
    </row>
    <row r="865" spans="1:1" s="16" customFormat="1" x14ac:dyDescent="0.3">
      <c r="A865" s="16" t="s">
        <v>2102</v>
      </c>
    </row>
    <row r="866" spans="1:1" s="16" customFormat="1" x14ac:dyDescent="0.3">
      <c r="A866" s="16" t="s">
        <v>2102</v>
      </c>
    </row>
    <row r="867" spans="1:1" s="16" customFormat="1" x14ac:dyDescent="0.3">
      <c r="A867" s="16" t="s">
        <v>2102</v>
      </c>
    </row>
    <row r="868" spans="1:1" s="16" customFormat="1" x14ac:dyDescent="0.3">
      <c r="A868" s="16" t="s">
        <v>2102</v>
      </c>
    </row>
    <row r="869" spans="1:1" s="16" customFormat="1" x14ac:dyDescent="0.3">
      <c r="A869" s="16" t="s">
        <v>2102</v>
      </c>
    </row>
    <row r="870" spans="1:1" s="16" customFormat="1" x14ac:dyDescent="0.3">
      <c r="A870" s="16" t="s">
        <v>2102</v>
      </c>
    </row>
    <row r="871" spans="1:1" s="16" customFormat="1" x14ac:dyDescent="0.3">
      <c r="A871" s="16" t="s">
        <v>2102</v>
      </c>
    </row>
    <row r="872" spans="1:1" s="16" customFormat="1" x14ac:dyDescent="0.3">
      <c r="A872" s="16" t="s">
        <v>2102</v>
      </c>
    </row>
    <row r="873" spans="1:1" s="16" customFormat="1" x14ac:dyDescent="0.3">
      <c r="A873" s="16" t="s">
        <v>2102</v>
      </c>
    </row>
    <row r="874" spans="1:1" s="16" customFormat="1" x14ac:dyDescent="0.3">
      <c r="A874" s="16" t="s">
        <v>2102</v>
      </c>
    </row>
    <row r="875" spans="1:1" s="16" customFormat="1" x14ac:dyDescent="0.3">
      <c r="A875" s="16" t="s">
        <v>2102</v>
      </c>
    </row>
    <row r="876" spans="1:1" s="16" customFormat="1" x14ac:dyDescent="0.3">
      <c r="A876" s="16" t="s">
        <v>2102</v>
      </c>
    </row>
    <row r="877" spans="1:1" s="16" customFormat="1" x14ac:dyDescent="0.3">
      <c r="A877" s="16" t="s">
        <v>2102</v>
      </c>
    </row>
    <row r="878" spans="1:1" s="16" customFormat="1" x14ac:dyDescent="0.3">
      <c r="A878" s="16" t="s">
        <v>2102</v>
      </c>
    </row>
    <row r="879" spans="1:1" s="16" customFormat="1" x14ac:dyDescent="0.3">
      <c r="A879" s="16" t="s">
        <v>2102</v>
      </c>
    </row>
    <row r="880" spans="1:1" s="16" customFormat="1" x14ac:dyDescent="0.3">
      <c r="A880" s="16" t="s">
        <v>2102</v>
      </c>
    </row>
    <row r="881" spans="1:1" s="16" customFormat="1" x14ac:dyDescent="0.3">
      <c r="A881" s="16" t="s">
        <v>2102</v>
      </c>
    </row>
    <row r="882" spans="1:1" s="16" customFormat="1" x14ac:dyDescent="0.3">
      <c r="A882" s="16" t="s">
        <v>2102</v>
      </c>
    </row>
    <row r="883" spans="1:1" s="16" customFormat="1" x14ac:dyDescent="0.3">
      <c r="A883" s="16" t="s">
        <v>2102</v>
      </c>
    </row>
    <row r="884" spans="1:1" s="16" customFormat="1" x14ac:dyDescent="0.3">
      <c r="A884" s="16" t="s">
        <v>2102</v>
      </c>
    </row>
    <row r="885" spans="1:1" s="16" customFormat="1" x14ac:dyDescent="0.3">
      <c r="A885" s="16" t="s">
        <v>2102</v>
      </c>
    </row>
    <row r="886" spans="1:1" s="16" customFormat="1" x14ac:dyDescent="0.3">
      <c r="A886" s="16" t="s">
        <v>2102</v>
      </c>
    </row>
    <row r="887" spans="1:1" s="16" customFormat="1" x14ac:dyDescent="0.3">
      <c r="A887" s="16" t="s">
        <v>2102</v>
      </c>
    </row>
    <row r="888" spans="1:1" s="16" customFormat="1" x14ac:dyDescent="0.3">
      <c r="A888" s="16" t="s">
        <v>2102</v>
      </c>
    </row>
    <row r="889" spans="1:1" s="16" customFormat="1" x14ac:dyDescent="0.3">
      <c r="A889" s="16" t="s">
        <v>2102</v>
      </c>
    </row>
    <row r="890" spans="1:1" s="16" customFormat="1" x14ac:dyDescent="0.3">
      <c r="A890" s="16" t="s">
        <v>2342</v>
      </c>
    </row>
    <row r="891" spans="1:1" s="16" customFormat="1" x14ac:dyDescent="0.3">
      <c r="A891" s="16" t="s">
        <v>2343</v>
      </c>
    </row>
    <row r="892" spans="1:1" x14ac:dyDescent="0.3">
      <c r="A892" t="s">
        <v>2344</v>
      </c>
    </row>
    <row r="893" spans="1:1" x14ac:dyDescent="0.3">
      <c r="A893" t="s">
        <v>2345</v>
      </c>
    </row>
    <row r="894" spans="1:1" x14ac:dyDescent="0.3">
      <c r="A894" t="s">
        <v>2346</v>
      </c>
    </row>
    <row r="895" spans="1:1" x14ac:dyDescent="0.3">
      <c r="A895" t="s">
        <v>2347</v>
      </c>
    </row>
    <row r="896" spans="1:1" x14ac:dyDescent="0.3">
      <c r="A896" t="s">
        <v>2348</v>
      </c>
    </row>
    <row r="897" spans="1:1" x14ac:dyDescent="0.3">
      <c r="A897" t="s">
        <v>2349</v>
      </c>
    </row>
    <row r="898" spans="1:1" x14ac:dyDescent="0.3">
      <c r="A898" t="s">
        <v>2350</v>
      </c>
    </row>
    <row r="899" spans="1:1" x14ac:dyDescent="0.3">
      <c r="A899" t="s">
        <v>2351</v>
      </c>
    </row>
    <row r="900" spans="1:1" x14ac:dyDescent="0.3">
      <c r="A900" t="s">
        <v>2352</v>
      </c>
    </row>
    <row r="901" spans="1:1" x14ac:dyDescent="0.3">
      <c r="A901" t="s">
        <v>2353</v>
      </c>
    </row>
    <row r="902" spans="1:1" x14ac:dyDescent="0.3">
      <c r="A902" t="s">
        <v>2354</v>
      </c>
    </row>
    <row r="903" spans="1:1" x14ac:dyDescent="0.3">
      <c r="A903" t="s">
        <v>2355</v>
      </c>
    </row>
    <row r="904" spans="1:1" x14ac:dyDescent="0.3">
      <c r="A904" t="s">
        <v>2356</v>
      </c>
    </row>
    <row r="905" spans="1:1" x14ac:dyDescent="0.3">
      <c r="A905" t="s">
        <v>2357</v>
      </c>
    </row>
    <row r="906" spans="1:1" x14ac:dyDescent="0.3">
      <c r="A906" t="s">
        <v>2358</v>
      </c>
    </row>
    <row r="907" spans="1:1" x14ac:dyDescent="0.3">
      <c r="A907" t="s">
        <v>2359</v>
      </c>
    </row>
    <row r="908" spans="1:1" x14ac:dyDescent="0.3">
      <c r="A908" t="s">
        <v>2360</v>
      </c>
    </row>
    <row r="909" spans="1:1" x14ac:dyDescent="0.3">
      <c r="A909" t="s">
        <v>2361</v>
      </c>
    </row>
    <row r="910" spans="1:1" x14ac:dyDescent="0.3">
      <c r="A910" t="s">
        <v>2362</v>
      </c>
    </row>
    <row r="911" spans="1:1" x14ac:dyDescent="0.3">
      <c r="A911" t="s">
        <v>2363</v>
      </c>
    </row>
    <row r="912" spans="1:1" x14ac:dyDescent="0.3">
      <c r="A912" t="s">
        <v>2364</v>
      </c>
    </row>
    <row r="913" spans="1:1" x14ac:dyDescent="0.3">
      <c r="A913" t="s">
        <v>2365</v>
      </c>
    </row>
    <row r="914" spans="1:1" x14ac:dyDescent="0.3">
      <c r="A914" t="s">
        <v>2366</v>
      </c>
    </row>
    <row r="915" spans="1:1" x14ac:dyDescent="0.3">
      <c r="A915" t="s">
        <v>2367</v>
      </c>
    </row>
    <row r="916" spans="1:1" x14ac:dyDescent="0.3">
      <c r="A916" t="s">
        <v>2368</v>
      </c>
    </row>
    <row r="917" spans="1:1" x14ac:dyDescent="0.3">
      <c r="A917" t="s">
        <v>2369</v>
      </c>
    </row>
    <row r="918" spans="1:1" x14ac:dyDescent="0.3">
      <c r="A918" t="s">
        <v>2370</v>
      </c>
    </row>
    <row r="919" spans="1:1" x14ac:dyDescent="0.3">
      <c r="A919" t="s">
        <v>2371</v>
      </c>
    </row>
    <row r="920" spans="1:1" x14ac:dyDescent="0.3">
      <c r="A920" t="s">
        <v>2372</v>
      </c>
    </row>
    <row r="921" spans="1:1" x14ac:dyDescent="0.3">
      <c r="A921" t="s">
        <v>2373</v>
      </c>
    </row>
    <row r="922" spans="1:1" x14ac:dyDescent="0.3">
      <c r="A922" t="s">
        <v>2374</v>
      </c>
    </row>
    <row r="923" spans="1:1" x14ac:dyDescent="0.3">
      <c r="A923" t="s">
        <v>2375</v>
      </c>
    </row>
    <row r="924" spans="1:1" x14ac:dyDescent="0.3">
      <c r="A924" t="s">
        <v>2376</v>
      </c>
    </row>
    <row r="925" spans="1:1" x14ac:dyDescent="0.3">
      <c r="A925" t="s">
        <v>2377</v>
      </c>
    </row>
    <row r="926" spans="1:1" x14ac:dyDescent="0.3">
      <c r="A926" t="s">
        <v>2378</v>
      </c>
    </row>
    <row r="927" spans="1:1" x14ac:dyDescent="0.3">
      <c r="A927" t="s">
        <v>2379</v>
      </c>
    </row>
    <row r="928" spans="1:1" x14ac:dyDescent="0.3">
      <c r="A928" t="s">
        <v>2380</v>
      </c>
    </row>
    <row r="929" spans="1:1" x14ac:dyDescent="0.3">
      <c r="A929" t="s">
        <v>2381</v>
      </c>
    </row>
    <row r="930" spans="1:1" x14ac:dyDescent="0.3">
      <c r="A930" t="s">
        <v>2382</v>
      </c>
    </row>
    <row r="931" spans="1:1" x14ac:dyDescent="0.3">
      <c r="A931" t="s">
        <v>2383</v>
      </c>
    </row>
    <row r="932" spans="1:1" x14ac:dyDescent="0.3">
      <c r="A932" t="s">
        <v>2384</v>
      </c>
    </row>
    <row r="933" spans="1:1" x14ac:dyDescent="0.3">
      <c r="A933" t="s">
        <v>2385</v>
      </c>
    </row>
    <row r="934" spans="1:1" x14ac:dyDescent="0.3">
      <c r="A934" t="s">
        <v>2386</v>
      </c>
    </row>
    <row r="935" spans="1:1" x14ac:dyDescent="0.3">
      <c r="A935" t="s">
        <v>2387</v>
      </c>
    </row>
    <row r="936" spans="1:1" x14ac:dyDescent="0.3">
      <c r="A936" t="s">
        <v>2388</v>
      </c>
    </row>
    <row r="937" spans="1:1" x14ac:dyDescent="0.3">
      <c r="A937" t="s">
        <v>2389</v>
      </c>
    </row>
    <row r="938" spans="1:1" x14ac:dyDescent="0.3">
      <c r="A938" t="s">
        <v>2390</v>
      </c>
    </row>
    <row r="939" spans="1:1" x14ac:dyDescent="0.3">
      <c r="A939" t="s">
        <v>2391</v>
      </c>
    </row>
    <row r="940" spans="1:1" x14ac:dyDescent="0.3">
      <c r="A940" t="s">
        <v>2392</v>
      </c>
    </row>
    <row r="941" spans="1:1" x14ac:dyDescent="0.3">
      <c r="A941" t="s">
        <v>2393</v>
      </c>
    </row>
    <row r="942" spans="1:1" x14ac:dyDescent="0.3">
      <c r="A942" t="s">
        <v>2394</v>
      </c>
    </row>
    <row r="943" spans="1:1" x14ac:dyDescent="0.3">
      <c r="A943" t="s">
        <v>2395</v>
      </c>
    </row>
    <row r="944" spans="1:1" x14ac:dyDescent="0.3">
      <c r="A944" t="s">
        <v>2396</v>
      </c>
    </row>
    <row r="945" spans="1:1" x14ac:dyDescent="0.3">
      <c r="A945" t="s">
        <v>2397</v>
      </c>
    </row>
    <row r="946" spans="1:1" x14ac:dyDescent="0.3">
      <c r="A946" t="s">
        <v>2398</v>
      </c>
    </row>
    <row r="947" spans="1:1" x14ac:dyDescent="0.3">
      <c r="A947" t="s">
        <v>2399</v>
      </c>
    </row>
    <row r="948" spans="1:1" x14ac:dyDescent="0.3">
      <c r="A948" t="s">
        <v>2400</v>
      </c>
    </row>
    <row r="949" spans="1:1" x14ac:dyDescent="0.3">
      <c r="A949" t="s">
        <v>2401</v>
      </c>
    </row>
    <row r="950" spans="1:1" x14ac:dyDescent="0.3">
      <c r="A950" t="s">
        <v>2402</v>
      </c>
    </row>
    <row r="951" spans="1:1" x14ac:dyDescent="0.3">
      <c r="A951" t="s">
        <v>2403</v>
      </c>
    </row>
    <row r="952" spans="1:1" x14ac:dyDescent="0.3">
      <c r="A952" t="s">
        <v>2404</v>
      </c>
    </row>
    <row r="953" spans="1:1" x14ac:dyDescent="0.3">
      <c r="A953" t="s">
        <v>2405</v>
      </c>
    </row>
    <row r="954" spans="1:1" x14ac:dyDescent="0.3">
      <c r="A954" t="s">
        <v>2406</v>
      </c>
    </row>
    <row r="955" spans="1:1" x14ac:dyDescent="0.3">
      <c r="A955" t="s">
        <v>2407</v>
      </c>
    </row>
    <row r="956" spans="1:1" x14ac:dyDescent="0.3">
      <c r="A956" t="s">
        <v>2408</v>
      </c>
    </row>
    <row r="957" spans="1:1" x14ac:dyDescent="0.3">
      <c r="A957" t="s">
        <v>2409</v>
      </c>
    </row>
    <row r="958" spans="1:1" x14ac:dyDescent="0.3">
      <c r="A958" t="s">
        <v>2410</v>
      </c>
    </row>
    <row r="959" spans="1:1" x14ac:dyDescent="0.3">
      <c r="A959" t="s">
        <v>2411</v>
      </c>
    </row>
    <row r="960" spans="1:1" x14ac:dyDescent="0.3">
      <c r="A960" t="s">
        <v>2412</v>
      </c>
    </row>
    <row r="961" spans="1:1" x14ac:dyDescent="0.3">
      <c r="A961" t="s">
        <v>2413</v>
      </c>
    </row>
    <row r="962" spans="1:1" x14ac:dyDescent="0.3">
      <c r="A962" t="s">
        <v>2414</v>
      </c>
    </row>
    <row r="963" spans="1:1" x14ac:dyDescent="0.3">
      <c r="A963" t="s">
        <v>2415</v>
      </c>
    </row>
    <row r="964" spans="1:1" x14ac:dyDescent="0.3">
      <c r="A964" t="s">
        <v>2416</v>
      </c>
    </row>
    <row r="965" spans="1:1" x14ac:dyDescent="0.3">
      <c r="A965" t="s">
        <v>2417</v>
      </c>
    </row>
    <row r="966" spans="1:1" x14ac:dyDescent="0.3">
      <c r="A966" t="s">
        <v>2418</v>
      </c>
    </row>
    <row r="967" spans="1:1" x14ac:dyDescent="0.3">
      <c r="A967" t="s">
        <v>2419</v>
      </c>
    </row>
    <row r="968" spans="1:1" x14ac:dyDescent="0.3">
      <c r="A968" t="s">
        <v>2420</v>
      </c>
    </row>
    <row r="969" spans="1:1" x14ac:dyDescent="0.3">
      <c r="A969" t="s">
        <v>2421</v>
      </c>
    </row>
    <row r="970" spans="1:1" x14ac:dyDescent="0.3">
      <c r="A970" t="s">
        <v>2422</v>
      </c>
    </row>
    <row r="971" spans="1:1" x14ac:dyDescent="0.3">
      <c r="A971" t="s">
        <v>2423</v>
      </c>
    </row>
    <row r="972" spans="1:1" x14ac:dyDescent="0.3">
      <c r="A972" t="s">
        <v>2424</v>
      </c>
    </row>
    <row r="973" spans="1:1" x14ac:dyDescent="0.3">
      <c r="A973" t="s">
        <v>2425</v>
      </c>
    </row>
    <row r="974" spans="1:1" x14ac:dyDescent="0.3">
      <c r="A974" t="s">
        <v>2426</v>
      </c>
    </row>
    <row r="975" spans="1:1" x14ac:dyDescent="0.3">
      <c r="A975" t="s">
        <v>2427</v>
      </c>
    </row>
    <row r="976" spans="1:1" x14ac:dyDescent="0.3">
      <c r="A976" t="s">
        <v>2428</v>
      </c>
    </row>
    <row r="977" spans="1:1" x14ac:dyDescent="0.3">
      <c r="A977" t="s">
        <v>2429</v>
      </c>
    </row>
    <row r="978" spans="1:1" x14ac:dyDescent="0.3">
      <c r="A978" t="s">
        <v>2430</v>
      </c>
    </row>
    <row r="979" spans="1:1" x14ac:dyDescent="0.3">
      <c r="A979" t="s">
        <v>2431</v>
      </c>
    </row>
    <row r="980" spans="1:1" x14ac:dyDescent="0.3">
      <c r="A980" t="s">
        <v>2432</v>
      </c>
    </row>
    <row r="981" spans="1:1" x14ac:dyDescent="0.3">
      <c r="A981" t="s">
        <v>2433</v>
      </c>
    </row>
    <row r="982" spans="1:1" x14ac:dyDescent="0.3">
      <c r="A982" t="s">
        <v>2434</v>
      </c>
    </row>
    <row r="983" spans="1:1" x14ac:dyDescent="0.3">
      <c r="A983" t="s">
        <v>2435</v>
      </c>
    </row>
    <row r="984" spans="1:1" x14ac:dyDescent="0.3">
      <c r="A984" t="s">
        <v>2436</v>
      </c>
    </row>
    <row r="985" spans="1:1" x14ac:dyDescent="0.3">
      <c r="A985" t="s">
        <v>2437</v>
      </c>
    </row>
    <row r="986" spans="1:1" x14ac:dyDescent="0.3">
      <c r="A986" t="s">
        <v>2438</v>
      </c>
    </row>
    <row r="987" spans="1:1" x14ac:dyDescent="0.3">
      <c r="A987" t="s">
        <v>2439</v>
      </c>
    </row>
    <row r="988" spans="1:1" x14ac:dyDescent="0.3">
      <c r="A988" t="s">
        <v>2440</v>
      </c>
    </row>
    <row r="989" spans="1:1" x14ac:dyDescent="0.3">
      <c r="A989" t="s">
        <v>2441</v>
      </c>
    </row>
    <row r="990" spans="1:1" x14ac:dyDescent="0.3">
      <c r="A990" t="s">
        <v>2442</v>
      </c>
    </row>
    <row r="991" spans="1:1" x14ac:dyDescent="0.3">
      <c r="A991" t="s">
        <v>2443</v>
      </c>
    </row>
    <row r="992" spans="1:1" x14ac:dyDescent="0.3">
      <c r="A992" t="s">
        <v>2444</v>
      </c>
    </row>
    <row r="993" spans="1:1" x14ac:dyDescent="0.3">
      <c r="A993" t="s">
        <v>2445</v>
      </c>
    </row>
    <row r="994" spans="1:1" x14ac:dyDescent="0.3">
      <c r="A994" t="s">
        <v>2446</v>
      </c>
    </row>
    <row r="995" spans="1:1" x14ac:dyDescent="0.3">
      <c r="A995" t="s">
        <v>2447</v>
      </c>
    </row>
    <row r="996" spans="1:1" x14ac:dyDescent="0.3">
      <c r="A996" t="s">
        <v>2448</v>
      </c>
    </row>
    <row r="997" spans="1:1" x14ac:dyDescent="0.3">
      <c r="A997" t="s">
        <v>2449</v>
      </c>
    </row>
    <row r="998" spans="1:1" x14ac:dyDescent="0.3">
      <c r="A998" t="s">
        <v>2450</v>
      </c>
    </row>
    <row r="999" spans="1:1" x14ac:dyDescent="0.3">
      <c r="A999" t="s">
        <v>2451</v>
      </c>
    </row>
    <row r="1000" spans="1:1" x14ac:dyDescent="0.3">
      <c r="A1000" t="s">
        <v>2452</v>
      </c>
    </row>
    <row r="1001" spans="1:1" x14ac:dyDescent="0.3">
      <c r="A1001" t="s">
        <v>2453</v>
      </c>
    </row>
    <row r="1002" spans="1:1" x14ac:dyDescent="0.3">
      <c r="A1002" t="s">
        <v>2454</v>
      </c>
    </row>
    <row r="1003" spans="1:1" x14ac:dyDescent="0.3">
      <c r="A1003" t="s">
        <v>2455</v>
      </c>
    </row>
    <row r="1004" spans="1:1" x14ac:dyDescent="0.3">
      <c r="A1004" t="s">
        <v>2456</v>
      </c>
    </row>
    <row r="1005" spans="1:1" x14ac:dyDescent="0.3">
      <c r="A1005" t="s">
        <v>2457</v>
      </c>
    </row>
    <row r="1006" spans="1:1" x14ac:dyDescent="0.3">
      <c r="A1006" t="s">
        <v>2458</v>
      </c>
    </row>
    <row r="1007" spans="1:1" x14ac:dyDescent="0.3">
      <c r="A1007" t="s">
        <v>2459</v>
      </c>
    </row>
    <row r="1008" spans="1:1" x14ac:dyDescent="0.3">
      <c r="A1008" t="s">
        <v>2460</v>
      </c>
    </row>
    <row r="1009" spans="1:1" x14ac:dyDescent="0.3">
      <c r="A1009" t="s">
        <v>2461</v>
      </c>
    </row>
    <row r="1010" spans="1:1" x14ac:dyDescent="0.3">
      <c r="A1010" t="s">
        <v>2462</v>
      </c>
    </row>
    <row r="1011" spans="1:1" x14ac:dyDescent="0.3">
      <c r="A1011" t="s">
        <v>2463</v>
      </c>
    </row>
    <row r="1012" spans="1:1" x14ac:dyDescent="0.3">
      <c r="A1012" t="s">
        <v>2464</v>
      </c>
    </row>
    <row r="1013" spans="1:1" x14ac:dyDescent="0.3">
      <c r="A1013" t="s">
        <v>2465</v>
      </c>
    </row>
    <row r="1014" spans="1:1" x14ac:dyDescent="0.3">
      <c r="A1014" t="s">
        <v>2466</v>
      </c>
    </row>
    <row r="1015" spans="1:1" x14ac:dyDescent="0.3">
      <c r="A1015" t="s">
        <v>2467</v>
      </c>
    </row>
    <row r="1016" spans="1:1" x14ac:dyDescent="0.3">
      <c r="A1016" t="s">
        <v>2468</v>
      </c>
    </row>
    <row r="1017" spans="1:1" x14ac:dyDescent="0.3">
      <c r="A1017" t="s">
        <v>2469</v>
      </c>
    </row>
    <row r="1018" spans="1:1" x14ac:dyDescent="0.3">
      <c r="A1018" t="s">
        <v>2470</v>
      </c>
    </row>
    <row r="1019" spans="1:1" x14ac:dyDescent="0.3">
      <c r="A1019" t="s">
        <v>2471</v>
      </c>
    </row>
    <row r="1020" spans="1:1" x14ac:dyDescent="0.3">
      <c r="A1020" t="s">
        <v>2472</v>
      </c>
    </row>
    <row r="1021" spans="1:1" x14ac:dyDescent="0.3">
      <c r="A1021" t="s">
        <v>2473</v>
      </c>
    </row>
    <row r="1022" spans="1:1" x14ac:dyDescent="0.3">
      <c r="A1022" t="s">
        <v>2474</v>
      </c>
    </row>
    <row r="1023" spans="1:1" x14ac:dyDescent="0.3">
      <c r="A1023" t="s">
        <v>2475</v>
      </c>
    </row>
    <row r="1024" spans="1:1" x14ac:dyDescent="0.3">
      <c r="A1024" t="s">
        <v>2476</v>
      </c>
    </row>
    <row r="1025" spans="1:1" x14ac:dyDescent="0.3">
      <c r="A1025" t="s">
        <v>2477</v>
      </c>
    </row>
    <row r="1026" spans="1:1" x14ac:dyDescent="0.3">
      <c r="A1026" t="s">
        <v>2478</v>
      </c>
    </row>
    <row r="1027" spans="1:1" x14ac:dyDescent="0.3">
      <c r="A1027" t="s">
        <v>2479</v>
      </c>
    </row>
    <row r="1028" spans="1:1" x14ac:dyDescent="0.3">
      <c r="A1028" t="s">
        <v>2480</v>
      </c>
    </row>
    <row r="1029" spans="1:1" x14ac:dyDescent="0.3">
      <c r="A1029" t="s">
        <v>2481</v>
      </c>
    </row>
    <row r="1030" spans="1:1" x14ac:dyDescent="0.3">
      <c r="A1030" t="s">
        <v>2482</v>
      </c>
    </row>
    <row r="1031" spans="1:1" x14ac:dyDescent="0.3">
      <c r="A1031" t="s">
        <v>2483</v>
      </c>
    </row>
    <row r="1032" spans="1:1" x14ac:dyDescent="0.3">
      <c r="A1032" t="s">
        <v>2484</v>
      </c>
    </row>
    <row r="1033" spans="1:1" x14ac:dyDescent="0.3">
      <c r="A1033" t="s">
        <v>2485</v>
      </c>
    </row>
    <row r="1034" spans="1:1" x14ac:dyDescent="0.3">
      <c r="A1034" t="s">
        <v>2486</v>
      </c>
    </row>
    <row r="1035" spans="1:1" x14ac:dyDescent="0.3">
      <c r="A1035" t="s">
        <v>2487</v>
      </c>
    </row>
    <row r="1036" spans="1:1" x14ac:dyDescent="0.3">
      <c r="A1036" t="s">
        <v>2488</v>
      </c>
    </row>
    <row r="1037" spans="1:1" x14ac:dyDescent="0.3">
      <c r="A1037" t="s">
        <v>2489</v>
      </c>
    </row>
    <row r="1038" spans="1:1" x14ac:dyDescent="0.3">
      <c r="A1038" t="s">
        <v>2490</v>
      </c>
    </row>
    <row r="1039" spans="1:1" x14ac:dyDescent="0.3">
      <c r="A1039" t="s">
        <v>2491</v>
      </c>
    </row>
    <row r="1040" spans="1:1" x14ac:dyDescent="0.3">
      <c r="A1040" t="s">
        <v>2492</v>
      </c>
    </row>
    <row r="1041" spans="1:1" x14ac:dyDescent="0.3">
      <c r="A1041" t="s">
        <v>2493</v>
      </c>
    </row>
    <row r="1042" spans="1:1" x14ac:dyDescent="0.3">
      <c r="A1042" t="s">
        <v>2494</v>
      </c>
    </row>
    <row r="1043" spans="1:1" s="16" customFormat="1" x14ac:dyDescent="0.3">
      <c r="A1043" s="16" t="s">
        <v>2495</v>
      </c>
    </row>
    <row r="1044" spans="1:1" x14ac:dyDescent="0.3">
      <c r="A1044" t="s">
        <v>2496</v>
      </c>
    </row>
    <row r="1045" spans="1:1" x14ac:dyDescent="0.3">
      <c r="A1045" t="s">
        <v>2497</v>
      </c>
    </row>
    <row r="1046" spans="1:1" x14ac:dyDescent="0.3">
      <c r="A1046" t="s">
        <v>2498</v>
      </c>
    </row>
    <row r="1047" spans="1:1" x14ac:dyDescent="0.3">
      <c r="A1047" t="s">
        <v>2499</v>
      </c>
    </row>
    <row r="1048" spans="1:1" x14ac:dyDescent="0.3">
      <c r="A1048" t="s">
        <v>2500</v>
      </c>
    </row>
    <row r="1049" spans="1:1" x14ac:dyDescent="0.3">
      <c r="A1049" t="s">
        <v>2501</v>
      </c>
    </row>
    <row r="1050" spans="1:1" x14ac:dyDescent="0.3">
      <c r="A1050" t="s">
        <v>2502</v>
      </c>
    </row>
    <row r="1051" spans="1:1" x14ac:dyDescent="0.3">
      <c r="A1051" t="s">
        <v>2503</v>
      </c>
    </row>
    <row r="1052" spans="1:1" x14ac:dyDescent="0.3">
      <c r="A1052" t="s">
        <v>2504</v>
      </c>
    </row>
    <row r="1053" spans="1:1" x14ac:dyDescent="0.3">
      <c r="A1053" t="s">
        <v>2505</v>
      </c>
    </row>
    <row r="1054" spans="1:1" x14ac:dyDescent="0.3">
      <c r="A1054" t="s">
        <v>2506</v>
      </c>
    </row>
    <row r="1055" spans="1:1" x14ac:dyDescent="0.3">
      <c r="A1055" t="s">
        <v>2507</v>
      </c>
    </row>
    <row r="1056" spans="1:1" x14ac:dyDescent="0.3">
      <c r="A1056" t="s">
        <v>2508</v>
      </c>
    </row>
    <row r="1057" spans="1:1" s="16" customFormat="1" x14ac:dyDescent="0.3">
      <c r="A1057" s="16" t="s">
        <v>2509</v>
      </c>
    </row>
    <row r="1058" spans="1:1" x14ac:dyDescent="0.3">
      <c r="A1058" t="s">
        <v>2510</v>
      </c>
    </row>
    <row r="1059" spans="1:1" x14ac:dyDescent="0.3">
      <c r="A1059" t="s">
        <v>2511</v>
      </c>
    </row>
    <row r="1060" spans="1:1" x14ac:dyDescent="0.3">
      <c r="A1060" t="s">
        <v>2512</v>
      </c>
    </row>
    <row r="1061" spans="1:1" x14ac:dyDescent="0.3">
      <c r="A1061" t="s">
        <v>2513</v>
      </c>
    </row>
    <row r="1062" spans="1:1" x14ac:dyDescent="0.3">
      <c r="A1062" t="s">
        <v>2514</v>
      </c>
    </row>
    <row r="1063" spans="1:1" x14ac:dyDescent="0.3">
      <c r="A1063" t="s">
        <v>2515</v>
      </c>
    </row>
    <row r="1064" spans="1:1" x14ac:dyDescent="0.3">
      <c r="A1064" t="s">
        <v>2516</v>
      </c>
    </row>
    <row r="1065" spans="1:1" x14ac:dyDescent="0.3">
      <c r="A1065" t="s">
        <v>2517</v>
      </c>
    </row>
    <row r="1066" spans="1:1" x14ac:dyDescent="0.3">
      <c r="A1066" t="s">
        <v>2518</v>
      </c>
    </row>
    <row r="1067" spans="1:1" x14ac:dyDescent="0.3">
      <c r="A1067" t="s">
        <v>2519</v>
      </c>
    </row>
    <row r="1068" spans="1:1" x14ac:dyDescent="0.3">
      <c r="A1068" t="s">
        <v>2520</v>
      </c>
    </row>
    <row r="1069" spans="1:1" s="16" customFormat="1" x14ac:dyDescent="0.3">
      <c r="A1069" s="16" t="s">
        <v>2521</v>
      </c>
    </row>
    <row r="1070" spans="1:1" x14ac:dyDescent="0.3">
      <c r="A1070" t="s">
        <v>2522</v>
      </c>
    </row>
    <row r="1071" spans="1:1" x14ac:dyDescent="0.3">
      <c r="A1071" t="s">
        <v>2523</v>
      </c>
    </row>
    <row r="1072" spans="1:1" x14ac:dyDescent="0.3">
      <c r="A1072" t="s">
        <v>2524</v>
      </c>
    </row>
    <row r="1073" spans="1:1" x14ac:dyDescent="0.3">
      <c r="A1073" t="s">
        <v>2525</v>
      </c>
    </row>
    <row r="1074" spans="1:1" x14ac:dyDescent="0.3">
      <c r="A1074" t="s">
        <v>2526</v>
      </c>
    </row>
    <row r="1075" spans="1:1" x14ac:dyDescent="0.3">
      <c r="A1075" t="s">
        <v>2527</v>
      </c>
    </row>
    <row r="1076" spans="1:1" x14ac:dyDescent="0.3">
      <c r="A1076" t="s">
        <v>2528</v>
      </c>
    </row>
    <row r="1077" spans="1:1" x14ac:dyDescent="0.3">
      <c r="A1077" t="s">
        <v>2529</v>
      </c>
    </row>
    <row r="1078" spans="1:1" x14ac:dyDescent="0.3">
      <c r="A1078" t="s">
        <v>2530</v>
      </c>
    </row>
    <row r="1079" spans="1:1" ht="16.5" customHeight="1" x14ac:dyDescent="0.3">
      <c r="A1079" t="s">
        <v>2531</v>
      </c>
    </row>
    <row r="1080" spans="1:1" s="16" customFormat="1" x14ac:dyDescent="0.3">
      <c r="A1080" s="16" t="s">
        <v>2532</v>
      </c>
    </row>
    <row r="1081" spans="1:1" x14ac:dyDescent="0.3">
      <c r="A1081" t="s">
        <v>2533</v>
      </c>
    </row>
    <row r="1082" spans="1:1" x14ac:dyDescent="0.3">
      <c r="A1082" t="s">
        <v>2534</v>
      </c>
    </row>
    <row r="1083" spans="1:1" x14ac:dyDescent="0.3">
      <c r="A1083" t="s">
        <v>2535</v>
      </c>
    </row>
    <row r="1084" spans="1:1" x14ac:dyDescent="0.3">
      <c r="A1084" t="s">
        <v>2536</v>
      </c>
    </row>
    <row r="1085" spans="1:1" x14ac:dyDescent="0.3">
      <c r="A1085" t="s">
        <v>2537</v>
      </c>
    </row>
    <row r="1086" spans="1:1" x14ac:dyDescent="0.3">
      <c r="A1086" t="s">
        <v>2538</v>
      </c>
    </row>
    <row r="1087" spans="1:1" x14ac:dyDescent="0.3">
      <c r="A1087" t="s">
        <v>2539</v>
      </c>
    </row>
    <row r="1088" spans="1:1" x14ac:dyDescent="0.3">
      <c r="A1088" t="s">
        <v>2540</v>
      </c>
    </row>
    <row r="1089" spans="1:1" x14ac:dyDescent="0.3">
      <c r="A1089" t="s">
        <v>2541</v>
      </c>
    </row>
    <row r="1090" spans="1:1" x14ac:dyDescent="0.3">
      <c r="A1090" t="s">
        <v>2542</v>
      </c>
    </row>
    <row r="1091" spans="1:1" x14ac:dyDescent="0.3">
      <c r="A1091" t="s">
        <v>2543</v>
      </c>
    </row>
    <row r="1092" spans="1:1" x14ac:dyDescent="0.3">
      <c r="A1092" t="s">
        <v>2544</v>
      </c>
    </row>
    <row r="1093" spans="1:1" x14ac:dyDescent="0.3">
      <c r="A1093" t="s">
        <v>2545</v>
      </c>
    </row>
    <row r="1094" spans="1:1" x14ac:dyDescent="0.3">
      <c r="A1094" t="s">
        <v>2546</v>
      </c>
    </row>
    <row r="1095" spans="1:1" x14ac:dyDescent="0.3">
      <c r="A1095" t="s">
        <v>2547</v>
      </c>
    </row>
    <row r="1096" spans="1:1" x14ac:dyDescent="0.3">
      <c r="A1096" t="s">
        <v>2548</v>
      </c>
    </row>
    <row r="1097" spans="1:1" x14ac:dyDescent="0.3">
      <c r="A1097" t="s">
        <v>2549</v>
      </c>
    </row>
    <row r="1098" spans="1:1" x14ac:dyDescent="0.3">
      <c r="A1098" t="s">
        <v>2550</v>
      </c>
    </row>
    <row r="1099" spans="1:1" x14ac:dyDescent="0.3">
      <c r="A1099" t="s">
        <v>2551</v>
      </c>
    </row>
    <row r="1100" spans="1:1" x14ac:dyDescent="0.3">
      <c r="A1100" t="s">
        <v>2552</v>
      </c>
    </row>
    <row r="1101" spans="1:1" x14ac:dyDescent="0.3">
      <c r="A1101" t="s">
        <v>2553</v>
      </c>
    </row>
    <row r="1102" spans="1:1" x14ac:dyDescent="0.3">
      <c r="A1102" t="s">
        <v>2554</v>
      </c>
    </row>
    <row r="1103" spans="1:1" x14ac:dyDescent="0.3">
      <c r="A1103" t="s">
        <v>2555</v>
      </c>
    </row>
    <row r="1104" spans="1:1" x14ac:dyDescent="0.3">
      <c r="A1104" t="s">
        <v>2556</v>
      </c>
    </row>
    <row r="1105" spans="1:1" x14ac:dyDescent="0.3">
      <c r="A1105" t="s">
        <v>2557</v>
      </c>
    </row>
    <row r="1106" spans="1:1" x14ac:dyDescent="0.3">
      <c r="A1106" t="s">
        <v>2558</v>
      </c>
    </row>
    <row r="1107" spans="1:1" x14ac:dyDescent="0.3">
      <c r="A1107" t="s">
        <v>2559</v>
      </c>
    </row>
    <row r="1108" spans="1:1" x14ac:dyDescent="0.3">
      <c r="A1108" t="s">
        <v>2560</v>
      </c>
    </row>
    <row r="1109" spans="1:1" x14ac:dyDescent="0.3">
      <c r="A1109" t="s">
        <v>2561</v>
      </c>
    </row>
    <row r="1110" spans="1:1" x14ac:dyDescent="0.3">
      <c r="A1110" t="s">
        <v>2562</v>
      </c>
    </row>
    <row r="1111" spans="1:1" x14ac:dyDescent="0.3">
      <c r="A1111" t="s">
        <v>2563</v>
      </c>
    </row>
    <row r="1112" spans="1:1" x14ac:dyDescent="0.3">
      <c r="A1112" t="s">
        <v>2564</v>
      </c>
    </row>
    <row r="1113" spans="1:1" x14ac:dyDescent="0.3">
      <c r="A1113" t="s">
        <v>2565</v>
      </c>
    </row>
    <row r="1114" spans="1:1" x14ac:dyDescent="0.3">
      <c r="A1114" t="s">
        <v>2566</v>
      </c>
    </row>
    <row r="1115" spans="1:1" x14ac:dyDescent="0.3">
      <c r="A1115" t="s">
        <v>2567</v>
      </c>
    </row>
    <row r="1116" spans="1:1" x14ac:dyDescent="0.3">
      <c r="A1116" t="s">
        <v>2568</v>
      </c>
    </row>
    <row r="1117" spans="1:1" x14ac:dyDescent="0.3">
      <c r="A1117" t="s">
        <v>2569</v>
      </c>
    </row>
    <row r="1118" spans="1:1" x14ac:dyDescent="0.3">
      <c r="A1118" t="s">
        <v>2570</v>
      </c>
    </row>
    <row r="1119" spans="1:1" x14ac:dyDescent="0.3">
      <c r="A1119" t="s">
        <v>2571</v>
      </c>
    </row>
    <row r="1120" spans="1:1" x14ac:dyDescent="0.3">
      <c r="A1120" t="s">
        <v>2572</v>
      </c>
    </row>
    <row r="1121" spans="1:1" x14ac:dyDescent="0.3">
      <c r="A1121" t="s">
        <v>2573</v>
      </c>
    </row>
    <row r="1122" spans="1:1" x14ac:dyDescent="0.3">
      <c r="A1122" t="s">
        <v>2574</v>
      </c>
    </row>
    <row r="1123" spans="1:1" x14ac:dyDescent="0.3">
      <c r="A1123" t="s">
        <v>2575</v>
      </c>
    </row>
    <row r="1124" spans="1:1" x14ac:dyDescent="0.3">
      <c r="A1124" t="s">
        <v>2576</v>
      </c>
    </row>
    <row r="1125" spans="1:1" x14ac:dyDescent="0.3">
      <c r="A1125" t="s">
        <v>2577</v>
      </c>
    </row>
    <row r="1126" spans="1:1" x14ac:dyDescent="0.3">
      <c r="A1126" t="s">
        <v>2578</v>
      </c>
    </row>
    <row r="1127" spans="1:1" x14ac:dyDescent="0.3">
      <c r="A1127" t="s">
        <v>2579</v>
      </c>
    </row>
    <row r="1128" spans="1:1" x14ac:dyDescent="0.3">
      <c r="A1128" t="s">
        <v>2580</v>
      </c>
    </row>
    <row r="1129" spans="1:1" x14ac:dyDescent="0.3">
      <c r="A1129" t="s">
        <v>2581</v>
      </c>
    </row>
    <row r="1130" spans="1:1" x14ac:dyDescent="0.3">
      <c r="A1130" t="s">
        <v>2582</v>
      </c>
    </row>
    <row r="1131" spans="1:1" x14ac:dyDescent="0.3">
      <c r="A1131" t="s">
        <v>2583</v>
      </c>
    </row>
    <row r="1132" spans="1:1" x14ac:dyDescent="0.3">
      <c r="A1132" t="s">
        <v>2584</v>
      </c>
    </row>
    <row r="1133" spans="1:1" x14ac:dyDescent="0.3">
      <c r="A1133" t="s">
        <v>2585</v>
      </c>
    </row>
    <row r="1134" spans="1:1" x14ac:dyDescent="0.3">
      <c r="A1134" t="s">
        <v>2586</v>
      </c>
    </row>
    <row r="1135" spans="1:1" x14ac:dyDescent="0.3">
      <c r="A1135" t="s">
        <v>2587</v>
      </c>
    </row>
    <row r="1136" spans="1:1" x14ac:dyDescent="0.3">
      <c r="A1136" t="s">
        <v>2588</v>
      </c>
    </row>
    <row r="1137" spans="1:1" x14ac:dyDescent="0.3">
      <c r="A1137" t="s">
        <v>2589</v>
      </c>
    </row>
    <row r="1138" spans="1:1" x14ac:dyDescent="0.3">
      <c r="A1138" t="s">
        <v>2590</v>
      </c>
    </row>
    <row r="1139" spans="1:1" x14ac:dyDescent="0.3">
      <c r="A1139" t="s">
        <v>2591</v>
      </c>
    </row>
    <row r="1140" spans="1:1" x14ac:dyDescent="0.3">
      <c r="A1140" t="s">
        <v>2592</v>
      </c>
    </row>
    <row r="1141" spans="1:1" x14ac:dyDescent="0.3">
      <c r="A1141" t="s">
        <v>2593</v>
      </c>
    </row>
    <row r="1142" spans="1:1" x14ac:dyDescent="0.3">
      <c r="A1142" t="s">
        <v>2594</v>
      </c>
    </row>
    <row r="1143" spans="1:1" x14ac:dyDescent="0.3">
      <c r="A1143" t="s">
        <v>2595</v>
      </c>
    </row>
    <row r="1144" spans="1:1" x14ac:dyDescent="0.3">
      <c r="A1144" t="s">
        <v>2596</v>
      </c>
    </row>
    <row r="1145" spans="1:1" x14ac:dyDescent="0.3">
      <c r="A1145" t="s">
        <v>2597</v>
      </c>
    </row>
    <row r="1146" spans="1:1" x14ac:dyDescent="0.3">
      <c r="A1146" t="s">
        <v>2598</v>
      </c>
    </row>
    <row r="1147" spans="1:1" x14ac:dyDescent="0.3">
      <c r="A1147" t="s">
        <v>2599</v>
      </c>
    </row>
    <row r="1148" spans="1:1" x14ac:dyDescent="0.3">
      <c r="A1148" t="s">
        <v>2600</v>
      </c>
    </row>
    <row r="1149" spans="1:1" x14ac:dyDescent="0.3">
      <c r="A1149" t="s">
        <v>2601</v>
      </c>
    </row>
    <row r="1150" spans="1:1" x14ac:dyDescent="0.3">
      <c r="A1150" t="s">
        <v>2602</v>
      </c>
    </row>
    <row r="1151" spans="1:1" x14ac:dyDescent="0.3">
      <c r="A1151" t="s">
        <v>2603</v>
      </c>
    </row>
    <row r="1152" spans="1:1" x14ac:dyDescent="0.3">
      <c r="A1152" t="s">
        <v>2604</v>
      </c>
    </row>
    <row r="1153" spans="1:1" x14ac:dyDescent="0.3">
      <c r="A1153" t="s">
        <v>2605</v>
      </c>
    </row>
    <row r="1154" spans="1:1" x14ac:dyDescent="0.3">
      <c r="A1154" t="s">
        <v>2606</v>
      </c>
    </row>
    <row r="1155" spans="1:1" x14ac:dyDescent="0.3">
      <c r="A1155" t="s">
        <v>2593</v>
      </c>
    </row>
    <row r="1156" spans="1:1" x14ac:dyDescent="0.3">
      <c r="A1156" t="s">
        <v>2607</v>
      </c>
    </row>
    <row r="1157" spans="1:1" x14ac:dyDescent="0.3">
      <c r="A1157" t="s">
        <v>2608</v>
      </c>
    </row>
    <row r="1158" spans="1:1" x14ac:dyDescent="0.3">
      <c r="A1158" t="s">
        <v>2609</v>
      </c>
    </row>
    <row r="1159" spans="1:1" x14ac:dyDescent="0.3">
      <c r="A1159" t="s">
        <v>2610</v>
      </c>
    </row>
    <row r="1160" spans="1:1" x14ac:dyDescent="0.3">
      <c r="A1160" t="s">
        <v>2611</v>
      </c>
    </row>
    <row r="1161" spans="1:1" x14ac:dyDescent="0.3">
      <c r="A1161" t="s">
        <v>2612</v>
      </c>
    </row>
    <row r="1162" spans="1:1" x14ac:dyDescent="0.3">
      <c r="A1162" t="s">
        <v>2613</v>
      </c>
    </row>
    <row r="1163" spans="1:1" x14ac:dyDescent="0.3">
      <c r="A1163" t="s">
        <v>2614</v>
      </c>
    </row>
    <row r="1164" spans="1:1" x14ac:dyDescent="0.3">
      <c r="A1164" t="s">
        <v>2615</v>
      </c>
    </row>
    <row r="1165" spans="1:1" x14ac:dyDescent="0.3">
      <c r="A1165" t="s">
        <v>2616</v>
      </c>
    </row>
    <row r="1166" spans="1:1" x14ac:dyDescent="0.3">
      <c r="A1166" t="s">
        <v>2617</v>
      </c>
    </row>
    <row r="1167" spans="1:1" x14ac:dyDescent="0.3">
      <c r="A1167" t="s">
        <v>2593</v>
      </c>
    </row>
    <row r="1168" spans="1:1" x14ac:dyDescent="0.3">
      <c r="A1168" t="s">
        <v>2618</v>
      </c>
    </row>
    <row r="1169" spans="1:1" x14ac:dyDescent="0.3">
      <c r="A1169" t="s">
        <v>2619</v>
      </c>
    </row>
    <row r="1170" spans="1:1" x14ac:dyDescent="0.3">
      <c r="A1170" t="s">
        <v>2620</v>
      </c>
    </row>
    <row r="1171" spans="1:1" x14ac:dyDescent="0.3">
      <c r="A1171" t="s">
        <v>2621</v>
      </c>
    </row>
    <row r="1172" spans="1:1" x14ac:dyDescent="0.3">
      <c r="A1172" t="s">
        <v>2622</v>
      </c>
    </row>
    <row r="1173" spans="1:1" x14ac:dyDescent="0.3">
      <c r="A1173" t="s">
        <v>2623</v>
      </c>
    </row>
    <row r="1174" spans="1:1" x14ac:dyDescent="0.3">
      <c r="A1174" t="s">
        <v>2624</v>
      </c>
    </row>
    <row r="1175" spans="1:1" x14ac:dyDescent="0.3">
      <c r="A1175" t="s">
        <v>2625</v>
      </c>
    </row>
    <row r="1176" spans="1:1" x14ac:dyDescent="0.3">
      <c r="A1176" t="s">
        <v>2626</v>
      </c>
    </row>
    <row r="1177" spans="1:1" x14ac:dyDescent="0.3">
      <c r="A1177" t="s">
        <v>2627</v>
      </c>
    </row>
    <row r="1178" spans="1:1" x14ac:dyDescent="0.3">
      <c r="A1178" t="s">
        <v>2593</v>
      </c>
    </row>
    <row r="1179" spans="1:1" x14ac:dyDescent="0.3">
      <c r="A1179" t="s">
        <v>2628</v>
      </c>
    </row>
    <row r="1180" spans="1:1" x14ac:dyDescent="0.3">
      <c r="A1180" t="s">
        <v>2629</v>
      </c>
    </row>
    <row r="1181" spans="1:1" x14ac:dyDescent="0.3">
      <c r="A1181" t="s">
        <v>2630</v>
      </c>
    </row>
    <row r="1182" spans="1:1" x14ac:dyDescent="0.3">
      <c r="A1182" t="s">
        <v>2631</v>
      </c>
    </row>
    <row r="1183" spans="1:1" x14ac:dyDescent="0.3">
      <c r="A1183" t="s">
        <v>2632</v>
      </c>
    </row>
    <row r="1184" spans="1:1" x14ac:dyDescent="0.3">
      <c r="A1184" t="s">
        <v>2633</v>
      </c>
    </row>
    <row r="1185" spans="1:1" x14ac:dyDescent="0.3">
      <c r="A1185" t="s">
        <v>2634</v>
      </c>
    </row>
    <row r="1186" spans="1:1" x14ac:dyDescent="0.3">
      <c r="A1186" t="s">
        <v>2635</v>
      </c>
    </row>
    <row r="1187" spans="1:1" x14ac:dyDescent="0.3">
      <c r="A1187" t="s">
        <v>2636</v>
      </c>
    </row>
    <row r="1188" spans="1:1" x14ac:dyDescent="0.3">
      <c r="A1188" t="s">
        <v>2637</v>
      </c>
    </row>
    <row r="1189" spans="1:1" x14ac:dyDescent="0.3">
      <c r="A1189" t="s">
        <v>2638</v>
      </c>
    </row>
    <row r="1190" spans="1:1" x14ac:dyDescent="0.3">
      <c r="A1190" t="s">
        <v>2639</v>
      </c>
    </row>
    <row r="1191" spans="1:1" x14ac:dyDescent="0.3">
      <c r="A1191" t="s">
        <v>2640</v>
      </c>
    </row>
    <row r="1192" spans="1:1" x14ac:dyDescent="0.3">
      <c r="A1192" t="s">
        <v>2641</v>
      </c>
    </row>
    <row r="1193" spans="1:1" x14ac:dyDescent="0.3">
      <c r="A1193" t="s">
        <v>2642</v>
      </c>
    </row>
    <row r="1194" spans="1:1" x14ac:dyDescent="0.3">
      <c r="A1194" t="s">
        <v>2643</v>
      </c>
    </row>
    <row r="1195" spans="1:1" x14ac:dyDescent="0.3">
      <c r="A1195" t="s">
        <v>2644</v>
      </c>
    </row>
    <row r="1196" spans="1:1" x14ac:dyDescent="0.3">
      <c r="A1196" t="s">
        <v>2645</v>
      </c>
    </row>
    <row r="1197" spans="1:1" x14ac:dyDescent="0.3">
      <c r="A1197" t="s">
        <v>2646</v>
      </c>
    </row>
    <row r="1198" spans="1:1" x14ac:dyDescent="0.3">
      <c r="A1198" t="s">
        <v>2647</v>
      </c>
    </row>
    <row r="1199" spans="1:1" x14ac:dyDescent="0.3">
      <c r="A1199" t="s">
        <v>2648</v>
      </c>
    </row>
    <row r="1200" spans="1:1" x14ac:dyDescent="0.3">
      <c r="A1200" t="s">
        <v>2649</v>
      </c>
    </row>
    <row r="1201" spans="1:1" x14ac:dyDescent="0.3">
      <c r="A1201" t="s">
        <v>2650</v>
      </c>
    </row>
    <row r="1202" spans="1:1" x14ac:dyDescent="0.3">
      <c r="A1202" t="s">
        <v>2651</v>
      </c>
    </row>
    <row r="1203" spans="1:1" x14ac:dyDescent="0.3">
      <c r="A1203" t="s">
        <v>2652</v>
      </c>
    </row>
    <row r="1204" spans="1:1" x14ac:dyDescent="0.3">
      <c r="A1204" t="s">
        <v>2653</v>
      </c>
    </row>
    <row r="1205" spans="1:1" x14ac:dyDescent="0.3">
      <c r="A1205" t="s">
        <v>2654</v>
      </c>
    </row>
    <row r="1206" spans="1:1" x14ac:dyDescent="0.3">
      <c r="A1206" t="s">
        <v>2655</v>
      </c>
    </row>
    <row r="1207" spans="1:1" x14ac:dyDescent="0.3">
      <c r="A1207" t="s">
        <v>2656</v>
      </c>
    </row>
    <row r="1208" spans="1:1" x14ac:dyDescent="0.3">
      <c r="A1208" t="s">
        <v>2657</v>
      </c>
    </row>
    <row r="1209" spans="1:1" x14ac:dyDescent="0.3">
      <c r="A1209" t="s">
        <v>2658</v>
      </c>
    </row>
    <row r="1210" spans="1:1" x14ac:dyDescent="0.3">
      <c r="A1210" t="s">
        <v>2659</v>
      </c>
    </row>
    <row r="1211" spans="1:1" x14ac:dyDescent="0.3">
      <c r="A1211" t="s">
        <v>2660</v>
      </c>
    </row>
    <row r="1212" spans="1:1" x14ac:dyDescent="0.3">
      <c r="A1212" t="s">
        <v>2661</v>
      </c>
    </row>
    <row r="1213" spans="1:1" x14ac:dyDescent="0.3">
      <c r="A1213" t="s">
        <v>2662</v>
      </c>
    </row>
    <row r="1214" spans="1:1" x14ac:dyDescent="0.3">
      <c r="A1214" t="s">
        <v>2663</v>
      </c>
    </row>
    <row r="1215" spans="1:1" x14ac:dyDescent="0.3">
      <c r="A1215" t="s">
        <v>2664</v>
      </c>
    </row>
    <row r="1216" spans="1:1" x14ac:dyDescent="0.3">
      <c r="A1216" t="s">
        <v>2665</v>
      </c>
    </row>
    <row r="1217" spans="1:1" x14ac:dyDescent="0.3">
      <c r="A1217" t="s">
        <v>2666</v>
      </c>
    </row>
    <row r="1218" spans="1:1" x14ac:dyDescent="0.3">
      <c r="A1218" t="s">
        <v>2667</v>
      </c>
    </row>
    <row r="1219" spans="1:1" x14ac:dyDescent="0.3">
      <c r="A1219" t="s">
        <v>2668</v>
      </c>
    </row>
    <row r="1220" spans="1:1" x14ac:dyDescent="0.3">
      <c r="A1220" t="s">
        <v>2669</v>
      </c>
    </row>
    <row r="1221" spans="1:1" x14ac:dyDescent="0.3">
      <c r="A1221" t="s">
        <v>2670</v>
      </c>
    </row>
    <row r="1222" spans="1:1" x14ac:dyDescent="0.3">
      <c r="A1222" t="s">
        <v>2671</v>
      </c>
    </row>
    <row r="1223" spans="1:1" x14ac:dyDescent="0.3">
      <c r="A1223" t="s">
        <v>2672</v>
      </c>
    </row>
    <row r="1224" spans="1:1" x14ac:dyDescent="0.3">
      <c r="A1224" t="s">
        <v>2673</v>
      </c>
    </row>
    <row r="1225" spans="1:1" x14ac:dyDescent="0.3">
      <c r="A1225" t="s">
        <v>2674</v>
      </c>
    </row>
    <row r="1226" spans="1:1" x14ac:dyDescent="0.3">
      <c r="A1226" t="s">
        <v>2675</v>
      </c>
    </row>
    <row r="1227" spans="1:1" x14ac:dyDescent="0.3">
      <c r="A1227" t="s">
        <v>2676</v>
      </c>
    </row>
    <row r="1228" spans="1:1" x14ac:dyDescent="0.3">
      <c r="A1228" t="s">
        <v>2677</v>
      </c>
    </row>
    <row r="1229" spans="1:1" x14ac:dyDescent="0.3">
      <c r="A1229" t="s">
        <v>2678</v>
      </c>
    </row>
    <row r="1230" spans="1:1" x14ac:dyDescent="0.3">
      <c r="A1230" t="s">
        <v>2679</v>
      </c>
    </row>
    <row r="1231" spans="1:1" x14ac:dyDescent="0.3">
      <c r="A1231" t="s">
        <v>2680</v>
      </c>
    </row>
    <row r="1232" spans="1:1" x14ac:dyDescent="0.3">
      <c r="A1232" t="s">
        <v>2681</v>
      </c>
    </row>
    <row r="1233" spans="1:1" x14ac:dyDescent="0.3">
      <c r="A1233" t="s">
        <v>2682</v>
      </c>
    </row>
    <row r="1234" spans="1:1" x14ac:dyDescent="0.3">
      <c r="A1234" t="s">
        <v>2683</v>
      </c>
    </row>
    <row r="1235" spans="1:1" x14ac:dyDescent="0.3">
      <c r="A1235" t="s">
        <v>2684</v>
      </c>
    </row>
    <row r="1236" spans="1:1" x14ac:dyDescent="0.3">
      <c r="A1236" t="s">
        <v>2685</v>
      </c>
    </row>
    <row r="1237" spans="1:1" x14ac:dyDescent="0.3">
      <c r="A1237" t="s">
        <v>2686</v>
      </c>
    </row>
    <row r="1238" spans="1:1" x14ac:dyDescent="0.3">
      <c r="A1238" t="s">
        <v>2687</v>
      </c>
    </row>
    <row r="1239" spans="1:1" x14ac:dyDescent="0.3">
      <c r="A1239" t="s">
        <v>2688</v>
      </c>
    </row>
    <row r="1240" spans="1:1" x14ac:dyDescent="0.3">
      <c r="A1240" t="s">
        <v>2689</v>
      </c>
    </row>
    <row r="1241" spans="1:1" x14ac:dyDescent="0.3">
      <c r="A1241" t="s">
        <v>2690</v>
      </c>
    </row>
    <row r="1242" spans="1:1" x14ac:dyDescent="0.3">
      <c r="A1242" t="s">
        <v>2691</v>
      </c>
    </row>
    <row r="1243" spans="1:1" x14ac:dyDescent="0.3">
      <c r="A1243" t="s">
        <v>2692</v>
      </c>
    </row>
    <row r="1244" spans="1:1" x14ac:dyDescent="0.3">
      <c r="A1244" t="s">
        <v>2693</v>
      </c>
    </row>
    <row r="1245" spans="1:1" x14ac:dyDescent="0.3">
      <c r="A1245" t="s">
        <v>2694</v>
      </c>
    </row>
    <row r="1246" spans="1:1" x14ac:dyDescent="0.3">
      <c r="A1246" t="s">
        <v>2695</v>
      </c>
    </row>
    <row r="1247" spans="1:1" x14ac:dyDescent="0.3">
      <c r="A1247" t="s">
        <v>2696</v>
      </c>
    </row>
    <row r="1248" spans="1:1" x14ac:dyDescent="0.3">
      <c r="A1248" t="s">
        <v>2697</v>
      </c>
    </row>
    <row r="1249" spans="1:1" x14ac:dyDescent="0.3">
      <c r="A1249" t="s">
        <v>2698</v>
      </c>
    </row>
    <row r="1250" spans="1:1" x14ac:dyDescent="0.3">
      <c r="A1250" t="s">
        <v>2699</v>
      </c>
    </row>
    <row r="1251" spans="1:1" x14ac:dyDescent="0.3">
      <c r="A1251" t="s">
        <v>2700</v>
      </c>
    </row>
    <row r="1252" spans="1:1" x14ac:dyDescent="0.3">
      <c r="A1252" t="s">
        <v>2701</v>
      </c>
    </row>
    <row r="1253" spans="1:1" x14ac:dyDescent="0.3">
      <c r="A1253" t="s">
        <v>2702</v>
      </c>
    </row>
    <row r="1254" spans="1:1" x14ac:dyDescent="0.3">
      <c r="A1254" t="s">
        <v>2703</v>
      </c>
    </row>
    <row r="1255" spans="1:1" x14ac:dyDescent="0.3">
      <c r="A1255" t="s">
        <v>2704</v>
      </c>
    </row>
    <row r="1256" spans="1:1" x14ac:dyDescent="0.3">
      <c r="A1256" t="s">
        <v>2705</v>
      </c>
    </row>
    <row r="1257" spans="1:1" x14ac:dyDescent="0.3">
      <c r="A1257" t="s">
        <v>2706</v>
      </c>
    </row>
    <row r="1258" spans="1:1" x14ac:dyDescent="0.3">
      <c r="A1258" t="s">
        <v>2707</v>
      </c>
    </row>
    <row r="1259" spans="1:1" x14ac:dyDescent="0.3">
      <c r="A1259" t="s">
        <v>2708</v>
      </c>
    </row>
    <row r="1260" spans="1:1" x14ac:dyDescent="0.3">
      <c r="A1260" t="s">
        <v>2709</v>
      </c>
    </row>
    <row r="1261" spans="1:1" x14ac:dyDescent="0.3">
      <c r="A1261" t="s">
        <v>2710</v>
      </c>
    </row>
    <row r="1262" spans="1:1" x14ac:dyDescent="0.3">
      <c r="A1262" t="s">
        <v>2711</v>
      </c>
    </row>
    <row r="1263" spans="1:1" x14ac:dyDescent="0.3">
      <c r="A1263" t="s">
        <v>2712</v>
      </c>
    </row>
    <row r="1264" spans="1:1" x14ac:dyDescent="0.3">
      <c r="A1264" t="s">
        <v>2713</v>
      </c>
    </row>
    <row r="1265" spans="1:1" x14ac:dyDescent="0.3">
      <c r="A1265" t="s">
        <v>2714</v>
      </c>
    </row>
    <row r="1266" spans="1:1" x14ac:dyDescent="0.3">
      <c r="A1266" t="s">
        <v>2715</v>
      </c>
    </row>
    <row r="1267" spans="1:1" x14ac:dyDescent="0.3">
      <c r="A1267" t="s">
        <v>2716</v>
      </c>
    </row>
    <row r="1268" spans="1:1" x14ac:dyDescent="0.3">
      <c r="A1268" t="s">
        <v>2717</v>
      </c>
    </row>
    <row r="1269" spans="1:1" x14ac:dyDescent="0.3">
      <c r="A1269" t="s">
        <v>2718</v>
      </c>
    </row>
    <row r="1270" spans="1:1" x14ac:dyDescent="0.3">
      <c r="A1270" t="s">
        <v>2719</v>
      </c>
    </row>
    <row r="1271" spans="1:1" x14ac:dyDescent="0.3">
      <c r="A1271" t="s">
        <v>2720</v>
      </c>
    </row>
    <row r="1272" spans="1:1" x14ac:dyDescent="0.3">
      <c r="A1272" t="s">
        <v>2721</v>
      </c>
    </row>
    <row r="1273" spans="1:1" x14ac:dyDescent="0.3">
      <c r="A1273" t="s">
        <v>2722</v>
      </c>
    </row>
    <row r="1274" spans="1:1" x14ac:dyDescent="0.3">
      <c r="A1274" t="s">
        <v>2723</v>
      </c>
    </row>
    <row r="1275" spans="1:1" x14ac:dyDescent="0.3">
      <c r="A1275" t="s">
        <v>2724</v>
      </c>
    </row>
    <row r="1276" spans="1:1" x14ac:dyDescent="0.3">
      <c r="A1276" t="s">
        <v>2725</v>
      </c>
    </row>
    <row r="1277" spans="1:1" x14ac:dyDescent="0.3">
      <c r="A1277" t="s">
        <v>2726</v>
      </c>
    </row>
    <row r="1278" spans="1:1" x14ac:dyDescent="0.3">
      <c r="A1278" t="s">
        <v>2727</v>
      </c>
    </row>
    <row r="1279" spans="1:1" x14ac:dyDescent="0.3">
      <c r="A1279" t="s">
        <v>2728</v>
      </c>
    </row>
    <row r="1280" spans="1:1" x14ac:dyDescent="0.3">
      <c r="A1280" t="s">
        <v>2729</v>
      </c>
    </row>
    <row r="1281" spans="1:1" x14ac:dyDescent="0.3">
      <c r="A1281" t="s">
        <v>2730</v>
      </c>
    </row>
    <row r="1282" spans="1:1" x14ac:dyDescent="0.3">
      <c r="A1282" t="s">
        <v>2731</v>
      </c>
    </row>
    <row r="1283" spans="1:1" x14ac:dyDescent="0.3">
      <c r="A1283" t="s">
        <v>2732</v>
      </c>
    </row>
    <row r="1284" spans="1:1" x14ac:dyDescent="0.3">
      <c r="A1284" t="s">
        <v>2733</v>
      </c>
    </row>
    <row r="1285" spans="1:1" x14ac:dyDescent="0.3">
      <c r="A1285" t="s">
        <v>2734</v>
      </c>
    </row>
    <row r="1286" spans="1:1" x14ac:dyDescent="0.3">
      <c r="A1286" t="s">
        <v>2735</v>
      </c>
    </row>
    <row r="1287" spans="1:1" x14ac:dyDescent="0.3">
      <c r="A1287" t="s">
        <v>2736</v>
      </c>
    </row>
    <row r="1288" spans="1:1" x14ac:dyDescent="0.3">
      <c r="A1288" t="s">
        <v>2737</v>
      </c>
    </row>
    <row r="1289" spans="1:1" x14ac:dyDescent="0.3">
      <c r="A1289" t="s">
        <v>2738</v>
      </c>
    </row>
    <row r="1290" spans="1:1" x14ac:dyDescent="0.3">
      <c r="A1290" t="s">
        <v>2739</v>
      </c>
    </row>
    <row r="1291" spans="1:1" x14ac:dyDescent="0.3">
      <c r="A1291" t="s">
        <v>2740</v>
      </c>
    </row>
    <row r="1292" spans="1:1" x14ac:dyDescent="0.3">
      <c r="A1292" t="s">
        <v>2741</v>
      </c>
    </row>
    <row r="1293" spans="1:1" x14ac:dyDescent="0.3">
      <c r="A1293" t="s">
        <v>2742</v>
      </c>
    </row>
    <row r="1294" spans="1:1" x14ac:dyDescent="0.3">
      <c r="A1294" t="s">
        <v>2743</v>
      </c>
    </row>
    <row r="1295" spans="1:1" x14ac:dyDescent="0.3">
      <c r="A1295" t="s">
        <v>2744</v>
      </c>
    </row>
    <row r="1296" spans="1:1" x14ac:dyDescent="0.3">
      <c r="A1296" t="s">
        <v>2745</v>
      </c>
    </row>
    <row r="1297" spans="1:1" x14ac:dyDescent="0.3">
      <c r="A1297" t="s">
        <v>2746</v>
      </c>
    </row>
    <row r="1298" spans="1:1" x14ac:dyDescent="0.3">
      <c r="A1298" t="s">
        <v>2747</v>
      </c>
    </row>
    <row r="1299" spans="1:1" x14ac:dyDescent="0.3">
      <c r="A1299" t="s">
        <v>2748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7" filterMode="1"/>
  <dimension ref="A2:O217"/>
  <sheetViews>
    <sheetView workbookViewId="0">
      <selection activeCell="G240" sqref="G240"/>
    </sheetView>
  </sheetViews>
  <sheetFormatPr baseColWidth="10" defaultRowHeight="14.4" x14ac:dyDescent="0.3"/>
  <cols>
    <col min="1" max="1" width="7" bestFit="1" customWidth="1"/>
    <col min="2" max="2" width="25.88671875" bestFit="1" customWidth="1"/>
    <col min="3" max="3" width="5.33203125" bestFit="1" customWidth="1"/>
    <col min="4" max="4" width="18.5546875" bestFit="1" customWidth="1"/>
    <col min="5" max="5" width="13.44140625" bestFit="1" customWidth="1"/>
    <col min="6" max="6" width="12" bestFit="1" customWidth="1"/>
    <col min="7" max="7" width="15.44140625" bestFit="1" customWidth="1"/>
    <col min="8" max="8" width="38.33203125" customWidth="1"/>
    <col min="9" max="10" width="13.44140625" bestFit="1" customWidth="1"/>
    <col min="11" max="11" width="4" bestFit="1" customWidth="1"/>
    <col min="12" max="12" width="14.6640625" bestFit="1" customWidth="1"/>
    <col min="13" max="13" width="33.6640625" bestFit="1" customWidth="1"/>
    <col min="14" max="14" width="18.44140625" bestFit="1" customWidth="1"/>
    <col min="15" max="15" width="59.44140625" bestFit="1" customWidth="1"/>
  </cols>
  <sheetData>
    <row r="2" spans="1:14" x14ac:dyDescent="0.3">
      <c r="A2" t="s">
        <v>0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506</v>
      </c>
      <c r="L2" t="s">
        <v>513</v>
      </c>
      <c r="M2" t="s">
        <v>516</v>
      </c>
      <c r="N2" t="s">
        <v>554</v>
      </c>
    </row>
    <row r="3" spans="1:14" hidden="1" x14ac:dyDescent="0.3">
      <c r="A3" t="s">
        <v>478</v>
      </c>
      <c r="B3" t="s">
        <v>564</v>
      </c>
      <c r="C3">
        <v>111</v>
      </c>
      <c r="D3" t="s">
        <v>565</v>
      </c>
      <c r="E3" t="s">
        <v>9</v>
      </c>
      <c r="F3" t="s">
        <v>10</v>
      </c>
      <c r="G3" t="s">
        <v>11</v>
      </c>
      <c r="H3" t="s">
        <v>1326</v>
      </c>
      <c r="I3">
        <v>45</v>
      </c>
      <c r="K3" t="s">
        <v>508</v>
      </c>
      <c r="L3" t="s">
        <v>512</v>
      </c>
      <c r="M3" t="s">
        <v>566</v>
      </c>
      <c r="N3" t="s">
        <v>567</v>
      </c>
    </row>
    <row r="4" spans="1:14" hidden="1" x14ac:dyDescent="0.3">
      <c r="A4" t="s">
        <v>478</v>
      </c>
      <c r="B4" t="s">
        <v>568</v>
      </c>
      <c r="C4">
        <v>112</v>
      </c>
      <c r="D4" t="s">
        <v>569</v>
      </c>
      <c r="E4" t="s">
        <v>13</v>
      </c>
      <c r="F4" t="s">
        <v>10</v>
      </c>
      <c r="G4" t="s">
        <v>14</v>
      </c>
      <c r="H4" t="s">
        <v>520</v>
      </c>
      <c r="I4" t="s">
        <v>15</v>
      </c>
      <c r="K4" t="s">
        <v>509</v>
      </c>
      <c r="L4" t="s">
        <v>512</v>
      </c>
      <c r="M4" t="s">
        <v>570</v>
      </c>
      <c r="N4" t="s">
        <v>571</v>
      </c>
    </row>
    <row r="5" spans="1:14" hidden="1" x14ac:dyDescent="0.3">
      <c r="A5" t="s">
        <v>478</v>
      </c>
      <c r="B5" t="s">
        <v>572</v>
      </c>
      <c r="C5">
        <v>111</v>
      </c>
      <c r="D5" t="s">
        <v>573</v>
      </c>
      <c r="E5" t="s">
        <v>17</v>
      </c>
      <c r="F5" t="s">
        <v>10</v>
      </c>
      <c r="G5" t="s">
        <v>18</v>
      </c>
      <c r="H5" t="s">
        <v>520</v>
      </c>
      <c r="I5" t="s">
        <v>15</v>
      </c>
      <c r="K5" t="s">
        <v>509</v>
      </c>
      <c r="L5" t="s">
        <v>512</v>
      </c>
      <c r="M5" t="s">
        <v>574</v>
      </c>
      <c r="N5" t="s">
        <v>575</v>
      </c>
    </row>
    <row r="6" spans="1:14" hidden="1" x14ac:dyDescent="0.3">
      <c r="A6" t="s">
        <v>478</v>
      </c>
      <c r="B6" t="s">
        <v>576</v>
      </c>
      <c r="C6">
        <v>112</v>
      </c>
      <c r="D6" t="s">
        <v>577</v>
      </c>
      <c r="E6" t="s">
        <v>17</v>
      </c>
      <c r="F6" t="s">
        <v>10</v>
      </c>
      <c r="G6" t="s">
        <v>20</v>
      </c>
      <c r="H6" t="s">
        <v>519</v>
      </c>
      <c r="I6" t="s">
        <v>21</v>
      </c>
      <c r="K6" t="s">
        <v>509</v>
      </c>
      <c r="L6" t="s">
        <v>512</v>
      </c>
      <c r="M6" t="s">
        <v>578</v>
      </c>
      <c r="N6" t="s">
        <v>579</v>
      </c>
    </row>
    <row r="7" spans="1:14" hidden="1" x14ac:dyDescent="0.3">
      <c r="A7" t="s">
        <v>478</v>
      </c>
      <c r="B7" t="s">
        <v>580</v>
      </c>
      <c r="C7">
        <v>111</v>
      </c>
      <c r="D7" t="s">
        <v>581</v>
      </c>
      <c r="E7" t="s">
        <v>13</v>
      </c>
      <c r="F7" t="s">
        <v>10</v>
      </c>
      <c r="G7" t="s">
        <v>22</v>
      </c>
      <c r="H7" t="s">
        <v>519</v>
      </c>
      <c r="I7" t="s">
        <v>23</v>
      </c>
      <c r="K7" t="s">
        <v>509</v>
      </c>
      <c r="L7" t="s">
        <v>512</v>
      </c>
      <c r="M7" t="s">
        <v>582</v>
      </c>
      <c r="N7" t="s">
        <v>583</v>
      </c>
    </row>
    <row r="8" spans="1:14" hidden="1" x14ac:dyDescent="0.3">
      <c r="A8" t="s">
        <v>478</v>
      </c>
      <c r="B8" t="s">
        <v>584</v>
      </c>
      <c r="C8">
        <v>112</v>
      </c>
      <c r="D8" t="s">
        <v>585</v>
      </c>
      <c r="E8" t="s">
        <v>24</v>
      </c>
      <c r="F8" t="s">
        <v>10</v>
      </c>
      <c r="G8" t="s">
        <v>25</v>
      </c>
      <c r="H8" t="s">
        <v>1326</v>
      </c>
      <c r="I8">
        <v>12</v>
      </c>
      <c r="K8" t="s">
        <v>510</v>
      </c>
      <c r="L8" t="s">
        <v>512</v>
      </c>
      <c r="M8" t="s">
        <v>586</v>
      </c>
      <c r="N8" t="s">
        <v>587</v>
      </c>
    </row>
    <row r="9" spans="1:14" hidden="1" x14ac:dyDescent="0.3">
      <c r="A9" t="s">
        <v>479</v>
      </c>
      <c r="B9" t="s">
        <v>588</v>
      </c>
      <c r="C9">
        <v>121</v>
      </c>
      <c r="D9" t="s">
        <v>589</v>
      </c>
      <c r="E9" t="s">
        <v>9</v>
      </c>
      <c r="F9" t="s">
        <v>27</v>
      </c>
      <c r="G9" t="s">
        <v>28</v>
      </c>
      <c r="H9" t="s">
        <v>520</v>
      </c>
      <c r="I9" t="s">
        <v>15</v>
      </c>
      <c r="K9" t="s">
        <v>508</v>
      </c>
      <c r="L9" t="s">
        <v>512</v>
      </c>
      <c r="M9" t="s">
        <v>590</v>
      </c>
      <c r="N9" t="s">
        <v>591</v>
      </c>
    </row>
    <row r="10" spans="1:14" hidden="1" x14ac:dyDescent="0.3">
      <c r="A10" t="s">
        <v>479</v>
      </c>
      <c r="B10" t="s">
        <v>592</v>
      </c>
      <c r="C10">
        <v>122</v>
      </c>
      <c r="D10" t="s">
        <v>593</v>
      </c>
      <c r="E10" t="s">
        <v>29</v>
      </c>
      <c r="F10" t="s">
        <v>27</v>
      </c>
      <c r="G10" t="s">
        <v>30</v>
      </c>
      <c r="H10" t="s">
        <v>520</v>
      </c>
      <c r="I10" t="s">
        <v>15</v>
      </c>
      <c r="K10" t="s">
        <v>508</v>
      </c>
      <c r="L10" t="s">
        <v>512</v>
      </c>
      <c r="M10" t="s">
        <v>594</v>
      </c>
      <c r="N10" t="s">
        <v>595</v>
      </c>
    </row>
    <row r="11" spans="1:14" hidden="1" x14ac:dyDescent="0.3">
      <c r="A11" t="s">
        <v>479</v>
      </c>
      <c r="B11" t="s">
        <v>596</v>
      </c>
      <c r="C11">
        <v>121</v>
      </c>
      <c r="D11" t="s">
        <v>597</v>
      </c>
      <c r="E11" t="s">
        <v>29</v>
      </c>
      <c r="F11" t="s">
        <v>27</v>
      </c>
      <c r="G11" t="s">
        <v>32</v>
      </c>
      <c r="H11" t="s">
        <v>1326</v>
      </c>
      <c r="I11">
        <v>52</v>
      </c>
      <c r="K11" t="s">
        <v>508</v>
      </c>
      <c r="L11" t="s">
        <v>512</v>
      </c>
      <c r="M11" t="s">
        <v>517</v>
      </c>
      <c r="N11" t="s">
        <v>598</v>
      </c>
    </row>
    <row r="12" spans="1:14" hidden="1" x14ac:dyDescent="0.3">
      <c r="A12" t="s">
        <v>479</v>
      </c>
      <c r="B12" t="s">
        <v>599</v>
      </c>
      <c r="C12">
        <v>122</v>
      </c>
      <c r="D12" t="s">
        <v>600</v>
      </c>
      <c r="E12" t="s">
        <v>17</v>
      </c>
      <c r="F12" t="s">
        <v>27</v>
      </c>
      <c r="G12" t="s">
        <v>33</v>
      </c>
      <c r="H12" t="s">
        <v>519</v>
      </c>
      <c r="I12" t="s">
        <v>23</v>
      </c>
      <c r="K12" t="s">
        <v>509</v>
      </c>
      <c r="L12" t="s">
        <v>512</v>
      </c>
      <c r="M12" t="s">
        <v>517</v>
      </c>
      <c r="N12" t="s">
        <v>601</v>
      </c>
    </row>
    <row r="13" spans="1:14" hidden="1" x14ac:dyDescent="0.3">
      <c r="A13" t="s">
        <v>479</v>
      </c>
      <c r="B13" t="s">
        <v>602</v>
      </c>
      <c r="C13">
        <v>122</v>
      </c>
      <c r="D13" t="s">
        <v>603</v>
      </c>
      <c r="E13" t="s">
        <v>13</v>
      </c>
      <c r="F13" t="s">
        <v>27</v>
      </c>
      <c r="G13" t="s">
        <v>34</v>
      </c>
      <c r="H13" t="s">
        <v>1326</v>
      </c>
      <c r="I13" t="s">
        <v>23</v>
      </c>
      <c r="K13" t="s">
        <v>509</v>
      </c>
      <c r="L13" t="s">
        <v>512</v>
      </c>
      <c r="M13" t="s">
        <v>604</v>
      </c>
      <c r="N13" t="s">
        <v>605</v>
      </c>
    </row>
    <row r="14" spans="1:14" hidden="1" x14ac:dyDescent="0.3">
      <c r="A14" t="s">
        <v>479</v>
      </c>
      <c r="B14" t="s">
        <v>606</v>
      </c>
      <c r="C14">
        <v>121</v>
      </c>
      <c r="D14" t="s">
        <v>607</v>
      </c>
      <c r="E14" t="s">
        <v>35</v>
      </c>
      <c r="F14" t="s">
        <v>27</v>
      </c>
      <c r="G14" t="s">
        <v>553</v>
      </c>
      <c r="H14" t="s">
        <v>519</v>
      </c>
      <c r="I14" t="s">
        <v>23</v>
      </c>
      <c r="K14" t="s">
        <v>511</v>
      </c>
      <c r="L14" t="s">
        <v>512</v>
      </c>
      <c r="M14" t="s">
        <v>517</v>
      </c>
      <c r="N14" t="s">
        <v>608</v>
      </c>
    </row>
    <row r="15" spans="1:14" hidden="1" x14ac:dyDescent="0.3">
      <c r="A15" t="s">
        <v>480</v>
      </c>
      <c r="B15" t="s">
        <v>609</v>
      </c>
      <c r="C15">
        <v>131</v>
      </c>
      <c r="D15" t="s">
        <v>610</v>
      </c>
      <c r="E15" t="s">
        <v>9</v>
      </c>
      <c r="F15" t="s">
        <v>10</v>
      </c>
      <c r="G15" t="s">
        <v>37</v>
      </c>
      <c r="H15" t="s">
        <v>1326</v>
      </c>
      <c r="I15" t="s">
        <v>38</v>
      </c>
      <c r="K15" t="s">
        <v>508</v>
      </c>
      <c r="L15" t="s">
        <v>512</v>
      </c>
      <c r="M15" t="s">
        <v>611</v>
      </c>
      <c r="N15" t="s">
        <v>612</v>
      </c>
    </row>
    <row r="16" spans="1:14" hidden="1" x14ac:dyDescent="0.3">
      <c r="A16" t="s">
        <v>480</v>
      </c>
      <c r="B16" t="s">
        <v>613</v>
      </c>
      <c r="C16">
        <v>132</v>
      </c>
      <c r="D16" t="s">
        <v>614</v>
      </c>
      <c r="E16" t="s">
        <v>9</v>
      </c>
      <c r="F16" t="s">
        <v>10</v>
      </c>
      <c r="G16" t="s">
        <v>39</v>
      </c>
      <c r="H16" t="s">
        <v>520</v>
      </c>
      <c r="I16" t="s">
        <v>40</v>
      </c>
      <c r="K16" t="s">
        <v>508</v>
      </c>
      <c r="L16" t="s">
        <v>512</v>
      </c>
      <c r="M16" t="s">
        <v>615</v>
      </c>
      <c r="N16" t="s">
        <v>616</v>
      </c>
    </row>
    <row r="17" spans="1:15" hidden="1" x14ac:dyDescent="0.3">
      <c r="A17" t="s">
        <v>480</v>
      </c>
      <c r="B17" t="s">
        <v>617</v>
      </c>
      <c r="C17">
        <v>131</v>
      </c>
      <c r="D17" t="s">
        <v>618</v>
      </c>
      <c r="E17" t="s">
        <v>29</v>
      </c>
      <c r="F17" t="s">
        <v>10</v>
      </c>
      <c r="G17" t="s">
        <v>41</v>
      </c>
      <c r="H17" t="s">
        <v>520</v>
      </c>
      <c r="I17" t="s">
        <v>38</v>
      </c>
      <c r="K17" t="s">
        <v>508</v>
      </c>
      <c r="L17" t="s">
        <v>512</v>
      </c>
      <c r="M17" t="s">
        <v>619</v>
      </c>
      <c r="N17" t="s">
        <v>620</v>
      </c>
    </row>
    <row r="18" spans="1:15" hidden="1" x14ac:dyDescent="0.3">
      <c r="A18" t="s">
        <v>480</v>
      </c>
      <c r="B18" t="s">
        <v>621</v>
      </c>
      <c r="C18">
        <v>132</v>
      </c>
      <c r="D18" t="s">
        <v>622</v>
      </c>
      <c r="E18" t="s">
        <v>17</v>
      </c>
      <c r="F18" t="s">
        <v>10</v>
      </c>
      <c r="G18" t="s">
        <v>42</v>
      </c>
      <c r="H18" t="s">
        <v>1326</v>
      </c>
      <c r="I18">
        <v>45</v>
      </c>
      <c r="K18" t="s">
        <v>509</v>
      </c>
      <c r="L18" t="s">
        <v>512</v>
      </c>
      <c r="M18" t="s">
        <v>623</v>
      </c>
      <c r="N18" t="s">
        <v>624</v>
      </c>
    </row>
    <row r="19" spans="1:15" hidden="1" x14ac:dyDescent="0.3">
      <c r="A19" t="s">
        <v>480</v>
      </c>
      <c r="B19" t="s">
        <v>625</v>
      </c>
      <c r="C19">
        <v>132</v>
      </c>
      <c r="D19" t="s">
        <v>626</v>
      </c>
      <c r="E19" t="s">
        <v>43</v>
      </c>
      <c r="F19" t="s">
        <v>10</v>
      </c>
      <c r="G19" t="s">
        <v>44</v>
      </c>
      <c r="H19" t="s">
        <v>519</v>
      </c>
      <c r="I19" t="s">
        <v>23</v>
      </c>
      <c r="K19" t="s">
        <v>507</v>
      </c>
      <c r="L19" t="s">
        <v>512</v>
      </c>
      <c r="M19" t="s">
        <v>627</v>
      </c>
      <c r="N19" t="s">
        <v>628</v>
      </c>
    </row>
    <row r="20" spans="1:15" hidden="1" x14ac:dyDescent="0.3">
      <c r="A20" t="s">
        <v>480</v>
      </c>
      <c r="B20" t="s">
        <v>629</v>
      </c>
      <c r="C20">
        <v>131</v>
      </c>
      <c r="D20" t="s">
        <v>630</v>
      </c>
      <c r="E20" t="s">
        <v>46</v>
      </c>
      <c r="F20" t="s">
        <v>10</v>
      </c>
      <c r="G20" t="s">
        <v>47</v>
      </c>
      <c r="H20" t="s">
        <v>519</v>
      </c>
      <c r="I20" t="s">
        <v>21</v>
      </c>
      <c r="K20" t="s">
        <v>507</v>
      </c>
      <c r="L20" t="s">
        <v>512</v>
      </c>
      <c r="M20" t="s">
        <v>631</v>
      </c>
      <c r="N20" t="s">
        <v>632</v>
      </c>
    </row>
    <row r="21" spans="1:15" hidden="1" x14ac:dyDescent="0.3">
      <c r="A21" t="s">
        <v>481</v>
      </c>
      <c r="B21" t="s">
        <v>633</v>
      </c>
      <c r="C21">
        <v>141</v>
      </c>
      <c r="D21" t="s">
        <v>634</v>
      </c>
      <c r="E21" t="s">
        <v>24</v>
      </c>
      <c r="F21" t="s">
        <v>27</v>
      </c>
      <c r="G21" t="s">
        <v>49</v>
      </c>
      <c r="H21" t="s">
        <v>519</v>
      </c>
      <c r="I21" t="s">
        <v>23</v>
      </c>
      <c r="K21" t="s">
        <v>510</v>
      </c>
      <c r="L21" t="s">
        <v>512</v>
      </c>
      <c r="M21" t="s">
        <v>635</v>
      </c>
      <c r="N21" t="s">
        <v>636</v>
      </c>
    </row>
    <row r="22" spans="1:15" hidden="1" x14ac:dyDescent="0.3">
      <c r="A22" t="s">
        <v>481</v>
      </c>
      <c r="B22" t="s">
        <v>637</v>
      </c>
      <c r="C22">
        <v>142</v>
      </c>
      <c r="D22" t="s">
        <v>638</v>
      </c>
      <c r="E22" t="s">
        <v>50</v>
      </c>
      <c r="F22" t="s">
        <v>27</v>
      </c>
      <c r="G22" t="s">
        <v>51</v>
      </c>
      <c r="H22" t="s">
        <v>519</v>
      </c>
      <c r="I22" t="s">
        <v>23</v>
      </c>
      <c r="K22" t="s">
        <v>510</v>
      </c>
      <c r="L22" t="s">
        <v>512</v>
      </c>
      <c r="M22" t="s">
        <v>635</v>
      </c>
      <c r="N22" t="s">
        <v>639</v>
      </c>
    </row>
    <row r="23" spans="1:15" hidden="1" x14ac:dyDescent="0.3">
      <c r="A23" t="s">
        <v>481</v>
      </c>
      <c r="B23" t="s">
        <v>640</v>
      </c>
      <c r="C23">
        <v>142</v>
      </c>
      <c r="D23" t="s">
        <v>641</v>
      </c>
      <c r="E23" t="s">
        <v>43</v>
      </c>
      <c r="F23" t="s">
        <v>27</v>
      </c>
      <c r="G23" t="s">
        <v>53</v>
      </c>
      <c r="H23" t="s">
        <v>520</v>
      </c>
      <c r="I23" t="s">
        <v>15</v>
      </c>
      <c r="K23" t="s">
        <v>507</v>
      </c>
      <c r="L23" t="s">
        <v>512</v>
      </c>
      <c r="M23" t="s">
        <v>642</v>
      </c>
      <c r="N23" t="s">
        <v>643</v>
      </c>
    </row>
    <row r="24" spans="1:15" hidden="1" x14ac:dyDescent="0.3">
      <c r="A24" t="s">
        <v>481</v>
      </c>
      <c r="B24" t="s">
        <v>644</v>
      </c>
      <c r="C24">
        <v>141</v>
      </c>
      <c r="D24" t="s">
        <v>645</v>
      </c>
      <c r="E24" t="s">
        <v>46</v>
      </c>
      <c r="F24" t="s">
        <v>27</v>
      </c>
      <c r="G24" t="s">
        <v>54</v>
      </c>
      <c r="H24" t="s">
        <v>520</v>
      </c>
      <c r="I24" t="s">
        <v>15</v>
      </c>
      <c r="K24" t="s">
        <v>507</v>
      </c>
      <c r="L24" t="s">
        <v>512</v>
      </c>
      <c r="M24" t="s">
        <v>646</v>
      </c>
      <c r="N24" t="s">
        <v>647</v>
      </c>
    </row>
    <row r="25" spans="1:15" hidden="1" x14ac:dyDescent="0.3">
      <c r="A25" t="s">
        <v>481</v>
      </c>
      <c r="B25" t="s">
        <v>648</v>
      </c>
      <c r="C25">
        <v>142</v>
      </c>
      <c r="D25" t="s">
        <v>649</v>
      </c>
      <c r="E25" t="s">
        <v>55</v>
      </c>
      <c r="F25" t="s">
        <v>27</v>
      </c>
      <c r="G25" t="s">
        <v>56</v>
      </c>
      <c r="H25" t="s">
        <v>1326</v>
      </c>
      <c r="I25">
        <v>30</v>
      </c>
      <c r="K25" t="s">
        <v>515</v>
      </c>
      <c r="L25" t="s">
        <v>512</v>
      </c>
      <c r="M25" t="s">
        <v>650</v>
      </c>
      <c r="N25" t="s">
        <v>651</v>
      </c>
    </row>
    <row r="26" spans="1:15" hidden="1" x14ac:dyDescent="0.3">
      <c r="A26" t="s">
        <v>481</v>
      </c>
      <c r="B26" t="s">
        <v>652</v>
      </c>
      <c r="C26">
        <v>141</v>
      </c>
      <c r="D26" t="s">
        <v>653</v>
      </c>
      <c r="E26" t="s">
        <v>9</v>
      </c>
      <c r="F26" t="s">
        <v>27</v>
      </c>
      <c r="G26" t="s">
        <v>58</v>
      </c>
      <c r="H26" t="s">
        <v>1326</v>
      </c>
      <c r="I26">
        <v>52</v>
      </c>
      <c r="K26" t="s">
        <v>508</v>
      </c>
      <c r="L26" t="s">
        <v>512</v>
      </c>
      <c r="M26" t="s">
        <v>654</v>
      </c>
      <c r="N26" t="s">
        <v>655</v>
      </c>
      <c r="O26" t="s">
        <v>556</v>
      </c>
    </row>
    <row r="27" spans="1:15" hidden="1" x14ac:dyDescent="0.3">
      <c r="A27" t="s">
        <v>482</v>
      </c>
      <c r="B27" t="s">
        <v>656</v>
      </c>
      <c r="C27">
        <v>161</v>
      </c>
      <c r="D27" t="s">
        <v>657</v>
      </c>
      <c r="E27" t="s">
        <v>9</v>
      </c>
      <c r="F27" t="s">
        <v>27</v>
      </c>
      <c r="G27" t="s">
        <v>61</v>
      </c>
      <c r="H27" t="s">
        <v>1326</v>
      </c>
      <c r="I27">
        <v>45</v>
      </c>
      <c r="K27" t="s">
        <v>508</v>
      </c>
      <c r="L27" t="s">
        <v>512</v>
      </c>
      <c r="M27" t="s">
        <v>658</v>
      </c>
      <c r="N27" t="s">
        <v>659</v>
      </c>
    </row>
    <row r="28" spans="1:15" hidden="1" x14ac:dyDescent="0.3">
      <c r="A28" t="s">
        <v>482</v>
      </c>
      <c r="B28" t="s">
        <v>660</v>
      </c>
      <c r="C28">
        <v>162</v>
      </c>
      <c r="D28" t="s">
        <v>661</v>
      </c>
      <c r="E28" t="s">
        <v>29</v>
      </c>
      <c r="F28" t="s">
        <v>27</v>
      </c>
      <c r="G28" t="s">
        <v>62</v>
      </c>
      <c r="H28" t="s">
        <v>1326</v>
      </c>
      <c r="I28">
        <v>45</v>
      </c>
      <c r="K28" t="s">
        <v>508</v>
      </c>
      <c r="L28" t="s">
        <v>512</v>
      </c>
      <c r="M28" t="s">
        <v>662</v>
      </c>
      <c r="N28" t="s">
        <v>663</v>
      </c>
    </row>
    <row r="29" spans="1:15" hidden="1" x14ac:dyDescent="0.3">
      <c r="A29" t="s">
        <v>482</v>
      </c>
      <c r="B29" t="s">
        <v>664</v>
      </c>
      <c r="C29">
        <v>161</v>
      </c>
      <c r="D29" t="s">
        <v>665</v>
      </c>
      <c r="E29" t="s">
        <v>43</v>
      </c>
      <c r="F29" t="s">
        <v>27</v>
      </c>
      <c r="G29" t="s">
        <v>63</v>
      </c>
      <c r="H29" t="s">
        <v>520</v>
      </c>
      <c r="I29">
        <v>12</v>
      </c>
      <c r="K29" t="s">
        <v>507</v>
      </c>
      <c r="L29" t="s">
        <v>512</v>
      </c>
      <c r="M29" t="s">
        <v>658</v>
      </c>
      <c r="N29" t="s">
        <v>666</v>
      </c>
    </row>
    <row r="30" spans="1:15" hidden="1" x14ac:dyDescent="0.3">
      <c r="A30" t="s">
        <v>482</v>
      </c>
      <c r="B30" t="s">
        <v>667</v>
      </c>
      <c r="C30">
        <v>162</v>
      </c>
      <c r="D30" t="s">
        <v>668</v>
      </c>
      <c r="E30" t="s">
        <v>43</v>
      </c>
      <c r="F30" t="s">
        <v>27</v>
      </c>
      <c r="G30" t="s">
        <v>64</v>
      </c>
      <c r="H30" t="s">
        <v>519</v>
      </c>
      <c r="I30" t="s">
        <v>23</v>
      </c>
      <c r="K30" t="s">
        <v>507</v>
      </c>
      <c r="L30" t="s">
        <v>512</v>
      </c>
      <c r="M30" t="s">
        <v>669</v>
      </c>
      <c r="N30" t="s">
        <v>670</v>
      </c>
    </row>
    <row r="31" spans="1:15" hidden="1" x14ac:dyDescent="0.3">
      <c r="A31" t="s">
        <v>482</v>
      </c>
      <c r="B31" t="s">
        <v>671</v>
      </c>
      <c r="C31">
        <v>161</v>
      </c>
      <c r="D31" t="s">
        <v>672</v>
      </c>
      <c r="E31" t="s">
        <v>46</v>
      </c>
      <c r="F31" t="s">
        <v>27</v>
      </c>
      <c r="G31" t="s">
        <v>65</v>
      </c>
      <c r="H31" t="s">
        <v>519</v>
      </c>
      <c r="I31" t="s">
        <v>23</v>
      </c>
      <c r="K31" t="s">
        <v>507</v>
      </c>
      <c r="L31" t="s">
        <v>512</v>
      </c>
      <c r="M31" t="s">
        <v>669</v>
      </c>
      <c r="N31" t="s">
        <v>673</v>
      </c>
    </row>
    <row r="32" spans="1:15" hidden="1" x14ac:dyDescent="0.3">
      <c r="A32" t="s">
        <v>482</v>
      </c>
      <c r="B32" t="s">
        <v>674</v>
      </c>
      <c r="C32">
        <v>162</v>
      </c>
      <c r="D32" t="s">
        <v>675</v>
      </c>
      <c r="E32" t="s">
        <v>46</v>
      </c>
      <c r="F32" t="s">
        <v>27</v>
      </c>
      <c r="G32" t="s">
        <v>66</v>
      </c>
      <c r="H32" t="s">
        <v>520</v>
      </c>
      <c r="I32">
        <v>12</v>
      </c>
      <c r="K32" t="s">
        <v>507</v>
      </c>
      <c r="L32" t="s">
        <v>512</v>
      </c>
      <c r="M32" t="s">
        <v>658</v>
      </c>
      <c r="N32" t="s">
        <v>676</v>
      </c>
    </row>
    <row r="33" spans="1:14" hidden="1" x14ac:dyDescent="0.3">
      <c r="A33" t="s">
        <v>483</v>
      </c>
      <c r="B33" t="s">
        <v>677</v>
      </c>
      <c r="C33">
        <v>211</v>
      </c>
      <c r="D33" t="s">
        <v>678</v>
      </c>
      <c r="E33" t="s">
        <v>29</v>
      </c>
      <c r="F33" t="s">
        <v>10</v>
      </c>
      <c r="G33" t="s">
        <v>68</v>
      </c>
      <c r="H33" t="s">
        <v>519</v>
      </c>
      <c r="I33" t="s">
        <v>21</v>
      </c>
      <c r="K33" t="s">
        <v>508</v>
      </c>
      <c r="L33" t="s">
        <v>512</v>
      </c>
      <c r="M33" t="s">
        <v>679</v>
      </c>
      <c r="N33" t="s">
        <v>680</v>
      </c>
    </row>
    <row r="34" spans="1:14" hidden="1" x14ac:dyDescent="0.3">
      <c r="A34" t="s">
        <v>483</v>
      </c>
      <c r="B34" t="s">
        <v>681</v>
      </c>
      <c r="C34">
        <v>211</v>
      </c>
      <c r="D34" t="s">
        <v>682</v>
      </c>
      <c r="E34" t="s">
        <v>24</v>
      </c>
      <c r="F34" t="s">
        <v>10</v>
      </c>
      <c r="G34" t="s">
        <v>69</v>
      </c>
      <c r="H34" t="s">
        <v>520</v>
      </c>
      <c r="I34" t="s">
        <v>15</v>
      </c>
      <c r="K34" t="s">
        <v>510</v>
      </c>
      <c r="L34" t="s">
        <v>512</v>
      </c>
      <c r="M34" t="s">
        <v>683</v>
      </c>
      <c r="N34" t="s">
        <v>684</v>
      </c>
    </row>
    <row r="35" spans="1:14" hidden="1" x14ac:dyDescent="0.3">
      <c r="A35" t="s">
        <v>483</v>
      </c>
      <c r="B35" t="s">
        <v>685</v>
      </c>
      <c r="C35">
        <v>212</v>
      </c>
      <c r="D35" t="s">
        <v>686</v>
      </c>
      <c r="E35" t="s">
        <v>24</v>
      </c>
      <c r="F35" t="s">
        <v>10</v>
      </c>
      <c r="G35" t="s">
        <v>70</v>
      </c>
      <c r="H35" t="s">
        <v>1326</v>
      </c>
      <c r="I35">
        <v>45</v>
      </c>
      <c r="K35" t="s">
        <v>510</v>
      </c>
      <c r="L35" t="s">
        <v>512</v>
      </c>
      <c r="M35" t="s">
        <v>687</v>
      </c>
      <c r="N35" t="s">
        <v>688</v>
      </c>
    </row>
    <row r="36" spans="1:14" hidden="1" x14ac:dyDescent="0.3">
      <c r="A36" t="s">
        <v>483</v>
      </c>
      <c r="B36" t="s">
        <v>689</v>
      </c>
      <c r="C36">
        <v>212</v>
      </c>
      <c r="D36" t="s">
        <v>690</v>
      </c>
      <c r="E36" t="s">
        <v>50</v>
      </c>
      <c r="F36" t="s">
        <v>10</v>
      </c>
      <c r="G36" t="s">
        <v>71</v>
      </c>
      <c r="H36" t="s">
        <v>519</v>
      </c>
      <c r="I36" t="s">
        <v>23</v>
      </c>
      <c r="K36" t="s">
        <v>510</v>
      </c>
      <c r="L36" t="s">
        <v>512</v>
      </c>
      <c r="M36" t="s">
        <v>691</v>
      </c>
      <c r="N36" t="s">
        <v>692</v>
      </c>
    </row>
    <row r="37" spans="1:14" hidden="1" x14ac:dyDescent="0.3">
      <c r="A37" t="s">
        <v>483</v>
      </c>
      <c r="B37" t="s">
        <v>693</v>
      </c>
      <c r="C37">
        <v>211</v>
      </c>
      <c r="D37" t="s">
        <v>694</v>
      </c>
      <c r="E37" t="s">
        <v>57</v>
      </c>
      <c r="F37" t="s">
        <v>10</v>
      </c>
      <c r="G37" t="s">
        <v>72</v>
      </c>
      <c r="H37" t="s">
        <v>1326</v>
      </c>
      <c r="I37">
        <v>12</v>
      </c>
      <c r="K37" t="s">
        <v>511</v>
      </c>
      <c r="L37" t="s">
        <v>512</v>
      </c>
      <c r="M37" t="s">
        <v>695</v>
      </c>
      <c r="N37" t="s">
        <v>696</v>
      </c>
    </row>
    <row r="38" spans="1:14" hidden="1" x14ac:dyDescent="0.3">
      <c r="A38" t="s">
        <v>483</v>
      </c>
      <c r="B38" t="s">
        <v>697</v>
      </c>
      <c r="C38">
        <v>212</v>
      </c>
      <c r="D38" t="s">
        <v>698</v>
      </c>
      <c r="E38" t="s">
        <v>35</v>
      </c>
      <c r="F38" t="s">
        <v>10</v>
      </c>
      <c r="G38" t="s">
        <v>73</v>
      </c>
      <c r="H38" t="s">
        <v>520</v>
      </c>
      <c r="I38" t="s">
        <v>15</v>
      </c>
      <c r="K38" t="s">
        <v>511</v>
      </c>
      <c r="L38" t="s">
        <v>512</v>
      </c>
      <c r="M38" t="s">
        <v>699</v>
      </c>
      <c r="N38" t="s">
        <v>700</v>
      </c>
    </row>
    <row r="39" spans="1:14" hidden="1" x14ac:dyDescent="0.3">
      <c r="A39" t="s">
        <v>484</v>
      </c>
      <c r="B39" t="s">
        <v>701</v>
      </c>
      <c r="C39">
        <v>221</v>
      </c>
      <c r="D39" t="s">
        <v>702</v>
      </c>
      <c r="E39" t="s">
        <v>9</v>
      </c>
      <c r="F39" t="s">
        <v>27</v>
      </c>
      <c r="G39" t="s">
        <v>74</v>
      </c>
      <c r="H39" t="s">
        <v>519</v>
      </c>
      <c r="I39" t="s">
        <v>23</v>
      </c>
      <c r="K39" t="s">
        <v>508</v>
      </c>
      <c r="L39" t="s">
        <v>512</v>
      </c>
      <c r="M39" t="s">
        <v>703</v>
      </c>
      <c r="N39" t="s">
        <v>704</v>
      </c>
    </row>
    <row r="40" spans="1:14" hidden="1" x14ac:dyDescent="0.3">
      <c r="A40" t="s">
        <v>484</v>
      </c>
      <c r="B40" t="s">
        <v>705</v>
      </c>
      <c r="C40">
        <v>221</v>
      </c>
      <c r="D40" t="s">
        <v>706</v>
      </c>
      <c r="E40" t="s">
        <v>13</v>
      </c>
      <c r="F40" t="s">
        <v>27</v>
      </c>
      <c r="G40" t="s">
        <v>75</v>
      </c>
      <c r="H40" t="s">
        <v>1326</v>
      </c>
      <c r="I40">
        <v>52</v>
      </c>
      <c r="K40" t="s">
        <v>509</v>
      </c>
      <c r="L40" t="s">
        <v>512</v>
      </c>
      <c r="M40" t="s">
        <v>707</v>
      </c>
      <c r="N40" t="s">
        <v>708</v>
      </c>
    </row>
    <row r="41" spans="1:14" hidden="1" x14ac:dyDescent="0.3">
      <c r="A41" t="s">
        <v>484</v>
      </c>
      <c r="B41" t="s">
        <v>709</v>
      </c>
      <c r="C41">
        <v>222</v>
      </c>
      <c r="D41" t="s">
        <v>710</v>
      </c>
      <c r="E41" t="s">
        <v>24</v>
      </c>
      <c r="F41" t="s">
        <v>27</v>
      </c>
      <c r="G41" t="s">
        <v>76</v>
      </c>
      <c r="H41" t="s">
        <v>520</v>
      </c>
      <c r="I41" t="s">
        <v>15</v>
      </c>
      <c r="K41" t="s">
        <v>510</v>
      </c>
      <c r="L41" t="s">
        <v>512</v>
      </c>
      <c r="M41" t="s">
        <v>594</v>
      </c>
      <c r="N41" t="s">
        <v>711</v>
      </c>
    </row>
    <row r="42" spans="1:14" hidden="1" x14ac:dyDescent="0.3">
      <c r="A42" t="s">
        <v>484</v>
      </c>
      <c r="B42" t="s">
        <v>712</v>
      </c>
      <c r="C42">
        <v>221</v>
      </c>
      <c r="D42" t="s">
        <v>713</v>
      </c>
      <c r="E42" t="s">
        <v>50</v>
      </c>
      <c r="F42" t="s">
        <v>27</v>
      </c>
      <c r="G42" t="s">
        <v>77</v>
      </c>
      <c r="H42" t="s">
        <v>520</v>
      </c>
      <c r="I42" t="s">
        <v>15</v>
      </c>
      <c r="K42" t="s">
        <v>510</v>
      </c>
      <c r="L42" t="s">
        <v>512</v>
      </c>
      <c r="M42" t="s">
        <v>714</v>
      </c>
      <c r="N42" t="s">
        <v>715</v>
      </c>
    </row>
    <row r="43" spans="1:14" hidden="1" x14ac:dyDescent="0.3">
      <c r="A43" t="s">
        <v>484</v>
      </c>
      <c r="B43" t="s">
        <v>716</v>
      </c>
      <c r="C43">
        <v>222</v>
      </c>
      <c r="D43" t="s">
        <v>717</v>
      </c>
      <c r="E43" t="s">
        <v>50</v>
      </c>
      <c r="F43" t="s">
        <v>27</v>
      </c>
      <c r="G43" t="s">
        <v>78</v>
      </c>
      <c r="H43" t="s">
        <v>1326</v>
      </c>
      <c r="I43">
        <v>52</v>
      </c>
      <c r="K43" t="s">
        <v>510</v>
      </c>
      <c r="L43" t="s">
        <v>512</v>
      </c>
      <c r="M43" t="s">
        <v>695</v>
      </c>
      <c r="N43" t="s">
        <v>718</v>
      </c>
    </row>
    <row r="44" spans="1:14" hidden="1" x14ac:dyDescent="0.3">
      <c r="A44" t="s">
        <v>484</v>
      </c>
      <c r="B44" t="s">
        <v>719</v>
      </c>
      <c r="C44">
        <v>222</v>
      </c>
      <c r="D44" t="s">
        <v>720</v>
      </c>
      <c r="E44" t="s">
        <v>43</v>
      </c>
      <c r="F44" t="s">
        <v>27</v>
      </c>
      <c r="G44" t="s">
        <v>79</v>
      </c>
      <c r="H44" t="s">
        <v>519</v>
      </c>
      <c r="I44" t="s">
        <v>21</v>
      </c>
      <c r="K44" t="s">
        <v>507</v>
      </c>
      <c r="L44" t="s">
        <v>512</v>
      </c>
      <c r="M44" t="s">
        <v>517</v>
      </c>
      <c r="N44" t="s">
        <v>721</v>
      </c>
    </row>
    <row r="45" spans="1:14" hidden="1" x14ac:dyDescent="0.3">
      <c r="A45" t="s">
        <v>485</v>
      </c>
      <c r="B45" t="s">
        <v>722</v>
      </c>
      <c r="C45">
        <v>231</v>
      </c>
      <c r="D45" t="s">
        <v>723</v>
      </c>
      <c r="E45" t="s">
        <v>17</v>
      </c>
      <c r="F45" t="s">
        <v>10</v>
      </c>
      <c r="G45" t="s">
        <v>80</v>
      </c>
      <c r="H45" t="s">
        <v>1326</v>
      </c>
      <c r="I45">
        <v>30</v>
      </c>
      <c r="K45" t="s">
        <v>509</v>
      </c>
      <c r="L45" t="s">
        <v>512</v>
      </c>
      <c r="M45" t="s">
        <v>724</v>
      </c>
      <c r="N45" t="s">
        <v>725</v>
      </c>
    </row>
    <row r="46" spans="1:14" hidden="1" x14ac:dyDescent="0.3">
      <c r="A46" t="s">
        <v>485</v>
      </c>
      <c r="B46" t="s">
        <v>726</v>
      </c>
      <c r="C46">
        <v>231</v>
      </c>
      <c r="D46" t="s">
        <v>727</v>
      </c>
      <c r="E46" t="s">
        <v>24</v>
      </c>
      <c r="F46" t="s">
        <v>10</v>
      </c>
      <c r="G46" t="s">
        <v>81</v>
      </c>
      <c r="H46" t="s">
        <v>519</v>
      </c>
      <c r="I46" t="s">
        <v>23</v>
      </c>
      <c r="K46" t="s">
        <v>510</v>
      </c>
      <c r="L46" t="s">
        <v>512</v>
      </c>
      <c r="M46" t="s">
        <v>728</v>
      </c>
      <c r="N46" t="s">
        <v>729</v>
      </c>
    </row>
    <row r="47" spans="1:14" hidden="1" x14ac:dyDescent="0.3">
      <c r="A47" t="s">
        <v>485</v>
      </c>
      <c r="B47" t="s">
        <v>730</v>
      </c>
      <c r="C47">
        <v>232</v>
      </c>
      <c r="D47" t="s">
        <v>731</v>
      </c>
      <c r="E47" t="s">
        <v>50</v>
      </c>
      <c r="F47" t="s">
        <v>10</v>
      </c>
      <c r="G47" t="s">
        <v>82</v>
      </c>
      <c r="H47" t="s">
        <v>519</v>
      </c>
      <c r="I47" t="s">
        <v>21</v>
      </c>
      <c r="K47" t="s">
        <v>510</v>
      </c>
      <c r="L47" t="s">
        <v>512</v>
      </c>
      <c r="M47" t="s">
        <v>732</v>
      </c>
      <c r="N47" t="s">
        <v>733</v>
      </c>
    </row>
    <row r="48" spans="1:14" hidden="1" x14ac:dyDescent="0.3">
      <c r="A48" t="s">
        <v>485</v>
      </c>
      <c r="B48" t="s">
        <v>735</v>
      </c>
      <c r="C48">
        <v>231</v>
      </c>
      <c r="D48" t="s">
        <v>736</v>
      </c>
      <c r="E48" t="s">
        <v>50</v>
      </c>
      <c r="F48" t="s">
        <v>10</v>
      </c>
      <c r="G48" t="s">
        <v>83</v>
      </c>
      <c r="H48" t="s">
        <v>520</v>
      </c>
      <c r="I48" t="s">
        <v>15</v>
      </c>
      <c r="K48" t="s">
        <v>510</v>
      </c>
      <c r="L48" t="s">
        <v>512</v>
      </c>
      <c r="M48" t="s">
        <v>737</v>
      </c>
      <c r="N48" t="s">
        <v>738</v>
      </c>
    </row>
    <row r="49" spans="1:14" hidden="1" x14ac:dyDescent="0.3">
      <c r="A49" t="s">
        <v>485</v>
      </c>
      <c r="B49" t="s">
        <v>739</v>
      </c>
      <c r="C49">
        <v>232</v>
      </c>
      <c r="D49" t="s">
        <v>740</v>
      </c>
      <c r="E49" t="s">
        <v>43</v>
      </c>
      <c r="F49" t="s">
        <v>10</v>
      </c>
      <c r="G49" t="s">
        <v>84</v>
      </c>
      <c r="H49" t="s">
        <v>1326</v>
      </c>
      <c r="I49">
        <v>30</v>
      </c>
      <c r="K49" t="s">
        <v>507</v>
      </c>
      <c r="L49" t="s">
        <v>512</v>
      </c>
      <c r="M49" t="s">
        <v>741</v>
      </c>
      <c r="N49" t="s">
        <v>742</v>
      </c>
    </row>
    <row r="50" spans="1:14" hidden="1" x14ac:dyDescent="0.3">
      <c r="A50" t="s">
        <v>485</v>
      </c>
      <c r="B50" t="s">
        <v>743</v>
      </c>
      <c r="C50">
        <v>232</v>
      </c>
      <c r="D50" t="s">
        <v>744</v>
      </c>
      <c r="E50" t="s">
        <v>57</v>
      </c>
      <c r="F50" t="s">
        <v>10</v>
      </c>
      <c r="G50" t="s">
        <v>85</v>
      </c>
      <c r="H50" t="s">
        <v>520</v>
      </c>
      <c r="I50" t="s">
        <v>15</v>
      </c>
      <c r="K50" t="s">
        <v>511</v>
      </c>
      <c r="L50" t="s">
        <v>512</v>
      </c>
      <c r="M50" t="s">
        <v>745</v>
      </c>
      <c r="N50" t="s">
        <v>746</v>
      </c>
    </row>
    <row r="51" spans="1:14" hidden="1" x14ac:dyDescent="0.3">
      <c r="A51" t="s">
        <v>486</v>
      </c>
      <c r="B51" t="s">
        <v>747</v>
      </c>
      <c r="C51">
        <v>242</v>
      </c>
      <c r="D51" t="s">
        <v>748</v>
      </c>
      <c r="E51" t="s">
        <v>17</v>
      </c>
      <c r="F51" t="s">
        <v>27</v>
      </c>
      <c r="G51" t="s">
        <v>86</v>
      </c>
      <c r="H51" t="s">
        <v>519</v>
      </c>
      <c r="I51" t="s">
        <v>21</v>
      </c>
      <c r="K51" t="s">
        <v>509</v>
      </c>
      <c r="L51" t="s">
        <v>512</v>
      </c>
      <c r="M51" t="s">
        <v>749</v>
      </c>
      <c r="N51" t="s">
        <v>750</v>
      </c>
    </row>
    <row r="52" spans="1:14" hidden="1" x14ac:dyDescent="0.3">
      <c r="A52" t="s">
        <v>486</v>
      </c>
      <c r="B52" t="s">
        <v>751</v>
      </c>
      <c r="C52">
        <v>241</v>
      </c>
      <c r="D52" t="s">
        <v>752</v>
      </c>
      <c r="E52" t="s">
        <v>24</v>
      </c>
      <c r="F52" t="s">
        <v>27</v>
      </c>
      <c r="G52" t="s">
        <v>87</v>
      </c>
      <c r="H52" t="s">
        <v>520</v>
      </c>
      <c r="I52">
        <v>52</v>
      </c>
      <c r="K52" t="s">
        <v>510</v>
      </c>
      <c r="L52" t="s">
        <v>512</v>
      </c>
      <c r="M52" t="s">
        <v>753</v>
      </c>
      <c r="N52" t="s">
        <v>754</v>
      </c>
    </row>
    <row r="53" spans="1:14" hidden="1" x14ac:dyDescent="0.3">
      <c r="A53" t="s">
        <v>486</v>
      </c>
      <c r="B53" t="s">
        <v>755</v>
      </c>
      <c r="C53">
        <v>241</v>
      </c>
      <c r="D53" t="s">
        <v>756</v>
      </c>
      <c r="E53" t="s">
        <v>88</v>
      </c>
      <c r="F53" t="s">
        <v>27</v>
      </c>
      <c r="G53" t="s">
        <v>89</v>
      </c>
      <c r="H53" t="s">
        <v>1326</v>
      </c>
      <c r="I53">
        <v>52</v>
      </c>
      <c r="K53" t="s">
        <v>514</v>
      </c>
      <c r="L53" t="s">
        <v>512</v>
      </c>
      <c r="M53" t="s">
        <v>757</v>
      </c>
      <c r="N53" t="s">
        <v>758</v>
      </c>
    </row>
    <row r="54" spans="1:14" hidden="1" x14ac:dyDescent="0.3">
      <c r="A54" t="s">
        <v>486</v>
      </c>
      <c r="B54" t="s">
        <v>759</v>
      </c>
      <c r="C54">
        <v>242</v>
      </c>
      <c r="D54" t="s">
        <v>760</v>
      </c>
      <c r="E54" t="s">
        <v>50</v>
      </c>
      <c r="F54" t="s">
        <v>27</v>
      </c>
      <c r="G54" t="s">
        <v>91</v>
      </c>
      <c r="H54" t="s">
        <v>1326</v>
      </c>
      <c r="I54" t="s">
        <v>21</v>
      </c>
      <c r="K54" t="s">
        <v>510</v>
      </c>
      <c r="L54" t="s">
        <v>512</v>
      </c>
      <c r="M54" t="s">
        <v>761</v>
      </c>
      <c r="N54" t="s">
        <v>762</v>
      </c>
    </row>
    <row r="55" spans="1:14" hidden="1" x14ac:dyDescent="0.3">
      <c r="A55" t="s">
        <v>486</v>
      </c>
      <c r="B55" t="s">
        <v>763</v>
      </c>
      <c r="C55">
        <v>242</v>
      </c>
      <c r="D55" t="s">
        <v>764</v>
      </c>
      <c r="E55" t="s">
        <v>46</v>
      </c>
      <c r="F55" t="s">
        <v>27</v>
      </c>
      <c r="G55" t="s">
        <v>92</v>
      </c>
      <c r="H55" t="s">
        <v>520</v>
      </c>
      <c r="I55">
        <v>52</v>
      </c>
      <c r="K55" t="s">
        <v>507</v>
      </c>
      <c r="L55" t="s">
        <v>512</v>
      </c>
      <c r="M55" t="s">
        <v>765</v>
      </c>
      <c r="N55" t="s">
        <v>766</v>
      </c>
    </row>
    <row r="56" spans="1:14" hidden="1" x14ac:dyDescent="0.3">
      <c r="A56" t="s">
        <v>486</v>
      </c>
      <c r="B56" t="s">
        <v>767</v>
      </c>
      <c r="C56">
        <v>241</v>
      </c>
      <c r="D56" t="s">
        <v>768</v>
      </c>
      <c r="E56" t="s">
        <v>57</v>
      </c>
      <c r="F56" t="s">
        <v>27</v>
      </c>
      <c r="G56" t="s">
        <v>93</v>
      </c>
      <c r="H56" t="s">
        <v>519</v>
      </c>
      <c r="I56" t="s">
        <v>23</v>
      </c>
      <c r="K56" t="s">
        <v>511</v>
      </c>
      <c r="L56" t="s">
        <v>512</v>
      </c>
      <c r="M56" t="s">
        <v>769</v>
      </c>
      <c r="N56" t="s">
        <v>770</v>
      </c>
    </row>
    <row r="57" spans="1:14" hidden="1" x14ac:dyDescent="0.3">
      <c r="A57" t="s">
        <v>487</v>
      </c>
      <c r="B57" t="s">
        <v>771</v>
      </c>
      <c r="C57">
        <v>251</v>
      </c>
      <c r="D57" t="s">
        <v>772</v>
      </c>
      <c r="E57" t="s">
        <v>9</v>
      </c>
      <c r="F57" t="s">
        <v>10</v>
      </c>
      <c r="G57" t="s">
        <v>94</v>
      </c>
      <c r="H57" t="s">
        <v>519</v>
      </c>
      <c r="I57" t="s">
        <v>23</v>
      </c>
      <c r="K57" t="s">
        <v>508</v>
      </c>
      <c r="L57" t="s">
        <v>512</v>
      </c>
      <c r="M57" t="s">
        <v>773</v>
      </c>
      <c r="N57" t="s">
        <v>774</v>
      </c>
    </row>
    <row r="58" spans="1:14" hidden="1" x14ac:dyDescent="0.3">
      <c r="A58" t="s">
        <v>487</v>
      </c>
      <c r="B58" t="s">
        <v>775</v>
      </c>
      <c r="C58">
        <v>251</v>
      </c>
      <c r="D58" t="s">
        <v>776</v>
      </c>
      <c r="E58" t="s">
        <v>17</v>
      </c>
      <c r="F58" t="s">
        <v>10</v>
      </c>
      <c r="G58" t="s">
        <v>95</v>
      </c>
      <c r="H58" t="s">
        <v>520</v>
      </c>
      <c r="I58">
        <v>12</v>
      </c>
      <c r="K58" t="s">
        <v>509</v>
      </c>
      <c r="L58" t="s">
        <v>512</v>
      </c>
      <c r="M58" t="s">
        <v>777</v>
      </c>
      <c r="N58" t="s">
        <v>778</v>
      </c>
    </row>
    <row r="59" spans="1:14" hidden="1" x14ac:dyDescent="0.3">
      <c r="A59" t="s">
        <v>487</v>
      </c>
      <c r="B59" t="s">
        <v>779</v>
      </c>
      <c r="C59">
        <v>252</v>
      </c>
      <c r="D59" t="s">
        <v>518</v>
      </c>
      <c r="E59" t="s">
        <v>13</v>
      </c>
      <c r="F59" t="s">
        <v>10</v>
      </c>
      <c r="G59" t="s">
        <v>96</v>
      </c>
      <c r="H59" t="s">
        <v>519</v>
      </c>
      <c r="I59" t="s">
        <v>21</v>
      </c>
      <c r="K59" t="s">
        <v>509</v>
      </c>
      <c r="L59" t="s">
        <v>512</v>
      </c>
      <c r="M59" t="s">
        <v>780</v>
      </c>
      <c r="N59" t="s">
        <v>781</v>
      </c>
    </row>
    <row r="60" spans="1:14" hidden="1" x14ac:dyDescent="0.3">
      <c r="A60" t="s">
        <v>487</v>
      </c>
      <c r="B60" t="s">
        <v>783</v>
      </c>
      <c r="C60">
        <v>252</v>
      </c>
      <c r="D60" t="s">
        <v>784</v>
      </c>
      <c r="E60" t="s">
        <v>50</v>
      </c>
      <c r="F60" t="s">
        <v>10</v>
      </c>
      <c r="G60" t="s">
        <v>97</v>
      </c>
      <c r="H60" t="s">
        <v>1326</v>
      </c>
      <c r="I60">
        <v>45</v>
      </c>
      <c r="K60" t="s">
        <v>510</v>
      </c>
      <c r="L60" t="s">
        <v>512</v>
      </c>
      <c r="M60" t="s">
        <v>785</v>
      </c>
      <c r="N60" t="s">
        <v>786</v>
      </c>
    </row>
    <row r="61" spans="1:14" hidden="1" x14ac:dyDescent="0.3">
      <c r="A61" t="s">
        <v>487</v>
      </c>
      <c r="B61" t="s">
        <v>787</v>
      </c>
      <c r="C61">
        <v>251</v>
      </c>
      <c r="D61" t="s">
        <v>788</v>
      </c>
      <c r="E61" t="s">
        <v>57</v>
      </c>
      <c r="F61" t="s">
        <v>10</v>
      </c>
      <c r="G61" t="s">
        <v>98</v>
      </c>
      <c r="H61" t="s">
        <v>1326</v>
      </c>
      <c r="I61" t="s">
        <v>23</v>
      </c>
      <c r="K61" t="s">
        <v>511</v>
      </c>
      <c r="L61" t="s">
        <v>512</v>
      </c>
      <c r="M61" t="s">
        <v>789</v>
      </c>
      <c r="N61" t="s">
        <v>790</v>
      </c>
    </row>
    <row r="62" spans="1:14" hidden="1" x14ac:dyDescent="0.3">
      <c r="A62" t="s">
        <v>487</v>
      </c>
      <c r="B62" t="s">
        <v>791</v>
      </c>
      <c r="C62">
        <v>252</v>
      </c>
      <c r="D62" t="s">
        <v>792</v>
      </c>
      <c r="E62" t="s">
        <v>35</v>
      </c>
      <c r="F62" t="s">
        <v>10</v>
      </c>
      <c r="G62" t="s">
        <v>99</v>
      </c>
      <c r="H62" t="s">
        <v>520</v>
      </c>
      <c r="I62">
        <v>12</v>
      </c>
      <c r="K62" t="s">
        <v>511</v>
      </c>
      <c r="L62" t="s">
        <v>512</v>
      </c>
      <c r="M62" t="s">
        <v>793</v>
      </c>
      <c r="N62" t="s">
        <v>794</v>
      </c>
    </row>
    <row r="63" spans="1:14" hidden="1" x14ac:dyDescent="0.3">
      <c r="A63" t="s">
        <v>488</v>
      </c>
      <c r="B63" t="s">
        <v>795</v>
      </c>
      <c r="C63">
        <v>311</v>
      </c>
      <c r="D63" t="s">
        <v>796</v>
      </c>
      <c r="E63" t="s">
        <v>9</v>
      </c>
      <c r="F63" t="s">
        <v>10</v>
      </c>
      <c r="G63" t="s">
        <v>100</v>
      </c>
      <c r="H63" t="s">
        <v>1326</v>
      </c>
      <c r="I63" t="s">
        <v>15</v>
      </c>
      <c r="K63" t="s">
        <v>508</v>
      </c>
      <c r="L63" t="s">
        <v>512</v>
      </c>
      <c r="M63" t="s">
        <v>797</v>
      </c>
      <c r="N63" t="s">
        <v>798</v>
      </c>
    </row>
    <row r="64" spans="1:14" hidden="1" x14ac:dyDescent="0.3">
      <c r="A64" t="s">
        <v>488</v>
      </c>
      <c r="B64" t="s">
        <v>799</v>
      </c>
      <c r="C64">
        <v>312</v>
      </c>
      <c r="D64" t="s">
        <v>800</v>
      </c>
      <c r="E64" t="s">
        <v>31</v>
      </c>
      <c r="F64" t="s">
        <v>10</v>
      </c>
      <c r="G64" t="s">
        <v>101</v>
      </c>
      <c r="H64" t="s">
        <v>1326</v>
      </c>
      <c r="I64">
        <v>45</v>
      </c>
      <c r="K64" t="s">
        <v>508</v>
      </c>
      <c r="L64" t="s">
        <v>512</v>
      </c>
      <c r="M64" t="s">
        <v>801</v>
      </c>
      <c r="N64" t="s">
        <v>802</v>
      </c>
    </row>
    <row r="65" spans="1:15" hidden="1" x14ac:dyDescent="0.3">
      <c r="A65" t="s">
        <v>488</v>
      </c>
      <c r="B65" t="s">
        <v>803</v>
      </c>
      <c r="C65">
        <v>312</v>
      </c>
      <c r="D65" t="s">
        <v>804</v>
      </c>
      <c r="E65" t="s">
        <v>24</v>
      </c>
      <c r="F65" t="s">
        <v>27</v>
      </c>
      <c r="G65" t="s">
        <v>104</v>
      </c>
      <c r="H65" t="s">
        <v>520</v>
      </c>
      <c r="I65">
        <v>40</v>
      </c>
      <c r="K65" t="s">
        <v>510</v>
      </c>
      <c r="L65" t="s">
        <v>512</v>
      </c>
      <c r="M65" t="s">
        <v>805</v>
      </c>
      <c r="N65" t="s">
        <v>806</v>
      </c>
    </row>
    <row r="66" spans="1:15" hidden="1" x14ac:dyDescent="0.3">
      <c r="A66" t="s">
        <v>488</v>
      </c>
      <c r="B66" t="s">
        <v>807</v>
      </c>
      <c r="C66">
        <v>311</v>
      </c>
      <c r="D66" t="s">
        <v>808</v>
      </c>
      <c r="E66" t="s">
        <v>50</v>
      </c>
      <c r="F66" t="s">
        <v>27</v>
      </c>
      <c r="G66" t="s">
        <v>105</v>
      </c>
      <c r="H66" t="s">
        <v>520</v>
      </c>
      <c r="I66">
        <v>40</v>
      </c>
      <c r="K66" t="s">
        <v>510</v>
      </c>
      <c r="L66" t="s">
        <v>512</v>
      </c>
      <c r="M66" t="s">
        <v>809</v>
      </c>
      <c r="N66" t="s">
        <v>810</v>
      </c>
    </row>
    <row r="67" spans="1:15" hidden="1" x14ac:dyDescent="0.3">
      <c r="A67" t="s">
        <v>488</v>
      </c>
      <c r="B67" t="s">
        <v>811</v>
      </c>
      <c r="C67">
        <v>312</v>
      </c>
      <c r="D67" t="s">
        <v>782</v>
      </c>
      <c r="E67" t="s">
        <v>43</v>
      </c>
      <c r="F67" t="s">
        <v>10</v>
      </c>
      <c r="G67" t="s">
        <v>106</v>
      </c>
      <c r="H67" t="s">
        <v>519</v>
      </c>
      <c r="I67" t="s">
        <v>60</v>
      </c>
      <c r="J67" t="s">
        <v>60</v>
      </c>
      <c r="K67" t="s">
        <v>507</v>
      </c>
      <c r="L67" t="s">
        <v>512</v>
      </c>
      <c r="M67" t="s">
        <v>812</v>
      </c>
      <c r="N67" t="s">
        <v>813</v>
      </c>
      <c r="O67" t="s">
        <v>555</v>
      </c>
    </row>
    <row r="68" spans="1:15" hidden="1" x14ac:dyDescent="0.3">
      <c r="A68" t="s">
        <v>488</v>
      </c>
      <c r="B68" t="s">
        <v>814</v>
      </c>
      <c r="C68">
        <v>311</v>
      </c>
      <c r="D68" t="s">
        <v>815</v>
      </c>
      <c r="E68" t="s">
        <v>57</v>
      </c>
      <c r="F68" t="s">
        <v>10</v>
      </c>
      <c r="G68" t="s">
        <v>107</v>
      </c>
      <c r="H68" t="s">
        <v>519</v>
      </c>
      <c r="I68" t="s">
        <v>60</v>
      </c>
      <c r="J68" t="s">
        <v>60</v>
      </c>
      <c r="K68" t="s">
        <v>511</v>
      </c>
      <c r="L68" t="s">
        <v>512</v>
      </c>
      <c r="M68" t="s">
        <v>816</v>
      </c>
      <c r="N68" t="s">
        <v>817</v>
      </c>
    </row>
    <row r="69" spans="1:15" hidden="1" x14ac:dyDescent="0.3">
      <c r="A69" t="s">
        <v>489</v>
      </c>
      <c r="B69" t="s">
        <v>818</v>
      </c>
      <c r="C69">
        <v>321</v>
      </c>
      <c r="D69" t="s">
        <v>819</v>
      </c>
      <c r="E69" t="s">
        <v>9</v>
      </c>
      <c r="F69" t="s">
        <v>27</v>
      </c>
      <c r="G69" t="s">
        <v>108</v>
      </c>
      <c r="H69" t="s">
        <v>519</v>
      </c>
      <c r="I69" t="s">
        <v>21</v>
      </c>
      <c r="K69" t="s">
        <v>508</v>
      </c>
      <c r="L69" t="s">
        <v>512</v>
      </c>
      <c r="M69" t="s">
        <v>820</v>
      </c>
      <c r="N69" t="s">
        <v>821</v>
      </c>
    </row>
    <row r="70" spans="1:15" hidden="1" x14ac:dyDescent="0.3">
      <c r="A70" t="s">
        <v>489</v>
      </c>
      <c r="B70" t="s">
        <v>822</v>
      </c>
      <c r="C70">
        <v>322</v>
      </c>
      <c r="D70" t="s">
        <v>823</v>
      </c>
      <c r="E70" t="s">
        <v>9</v>
      </c>
      <c r="F70" t="s">
        <v>27</v>
      </c>
      <c r="G70" t="s">
        <v>109</v>
      </c>
      <c r="H70" t="s">
        <v>1326</v>
      </c>
      <c r="I70">
        <v>41</v>
      </c>
      <c r="K70" t="s">
        <v>508</v>
      </c>
      <c r="L70" t="s">
        <v>512</v>
      </c>
      <c r="M70" t="s">
        <v>824</v>
      </c>
      <c r="N70" t="s">
        <v>825</v>
      </c>
    </row>
    <row r="71" spans="1:15" hidden="1" x14ac:dyDescent="0.3">
      <c r="A71" t="s">
        <v>489</v>
      </c>
      <c r="B71" t="s">
        <v>826</v>
      </c>
      <c r="C71">
        <v>321</v>
      </c>
      <c r="D71" t="s">
        <v>827</v>
      </c>
      <c r="E71" t="s">
        <v>17</v>
      </c>
      <c r="F71" t="s">
        <v>27</v>
      </c>
      <c r="G71" t="s">
        <v>110</v>
      </c>
      <c r="H71" t="s">
        <v>1326</v>
      </c>
      <c r="I71">
        <v>30</v>
      </c>
      <c r="K71" t="s">
        <v>509</v>
      </c>
      <c r="L71" t="s">
        <v>512</v>
      </c>
      <c r="M71" t="s">
        <v>824</v>
      </c>
      <c r="N71" t="s">
        <v>828</v>
      </c>
    </row>
    <row r="72" spans="1:15" hidden="1" x14ac:dyDescent="0.3">
      <c r="A72" t="s">
        <v>489</v>
      </c>
      <c r="B72" t="s">
        <v>829</v>
      </c>
      <c r="C72">
        <v>322</v>
      </c>
      <c r="D72" t="s">
        <v>830</v>
      </c>
      <c r="E72" t="s">
        <v>17</v>
      </c>
      <c r="F72" t="s">
        <v>27</v>
      </c>
      <c r="G72" t="s">
        <v>111</v>
      </c>
      <c r="H72" t="s">
        <v>520</v>
      </c>
      <c r="I72">
        <v>41</v>
      </c>
      <c r="K72" t="s">
        <v>509</v>
      </c>
      <c r="L72" t="s">
        <v>512</v>
      </c>
      <c r="M72" t="s">
        <v>831</v>
      </c>
      <c r="N72" t="s">
        <v>832</v>
      </c>
    </row>
    <row r="73" spans="1:15" hidden="1" x14ac:dyDescent="0.3">
      <c r="A73" t="s">
        <v>489</v>
      </c>
      <c r="B73" t="s">
        <v>833</v>
      </c>
      <c r="C73">
        <v>321</v>
      </c>
      <c r="D73" t="s">
        <v>834</v>
      </c>
      <c r="E73" t="s">
        <v>57</v>
      </c>
      <c r="F73" t="s">
        <v>27</v>
      </c>
      <c r="G73" t="s">
        <v>112</v>
      </c>
      <c r="H73" t="s">
        <v>520</v>
      </c>
      <c r="I73">
        <v>40</v>
      </c>
      <c r="K73" t="s">
        <v>511</v>
      </c>
      <c r="L73" t="s">
        <v>512</v>
      </c>
      <c r="M73" t="s">
        <v>695</v>
      </c>
      <c r="N73" t="s">
        <v>835</v>
      </c>
    </row>
    <row r="74" spans="1:15" hidden="1" x14ac:dyDescent="0.3">
      <c r="A74" t="s">
        <v>489</v>
      </c>
      <c r="B74" t="s">
        <v>836</v>
      </c>
      <c r="C74">
        <v>322</v>
      </c>
      <c r="D74" t="s">
        <v>837</v>
      </c>
      <c r="E74" t="s">
        <v>57</v>
      </c>
      <c r="F74" t="s">
        <v>27</v>
      </c>
      <c r="G74" t="s">
        <v>113</v>
      </c>
      <c r="H74" t="s">
        <v>519</v>
      </c>
      <c r="I74" t="s">
        <v>21</v>
      </c>
      <c r="K74" t="s">
        <v>511</v>
      </c>
      <c r="L74" t="s">
        <v>512</v>
      </c>
      <c r="M74" t="s">
        <v>517</v>
      </c>
      <c r="N74" t="s">
        <v>838</v>
      </c>
    </row>
    <row r="75" spans="1:15" hidden="1" x14ac:dyDescent="0.3">
      <c r="A75" t="s">
        <v>490</v>
      </c>
      <c r="B75" t="s">
        <v>839</v>
      </c>
      <c r="C75">
        <v>331</v>
      </c>
      <c r="D75" t="s">
        <v>840</v>
      </c>
      <c r="E75" t="s">
        <v>9</v>
      </c>
      <c r="F75" t="s">
        <v>10</v>
      </c>
      <c r="G75" t="s">
        <v>114</v>
      </c>
      <c r="H75" t="s">
        <v>519</v>
      </c>
      <c r="I75" t="s">
        <v>21</v>
      </c>
      <c r="K75" t="s">
        <v>508</v>
      </c>
      <c r="L75" t="s">
        <v>512</v>
      </c>
      <c r="M75" t="s">
        <v>841</v>
      </c>
      <c r="N75" t="s">
        <v>842</v>
      </c>
    </row>
    <row r="76" spans="1:15" hidden="1" x14ac:dyDescent="0.3">
      <c r="A76" t="s">
        <v>490</v>
      </c>
      <c r="B76" t="s">
        <v>843</v>
      </c>
      <c r="C76">
        <v>331</v>
      </c>
      <c r="D76" t="s">
        <v>844</v>
      </c>
      <c r="E76" t="s">
        <v>17</v>
      </c>
      <c r="F76" t="s">
        <v>10</v>
      </c>
      <c r="G76" t="s">
        <v>115</v>
      </c>
      <c r="H76" t="s">
        <v>520</v>
      </c>
      <c r="I76">
        <v>40</v>
      </c>
      <c r="K76" t="s">
        <v>509</v>
      </c>
      <c r="L76" t="s">
        <v>512</v>
      </c>
      <c r="M76" t="s">
        <v>582</v>
      </c>
      <c r="N76" t="s">
        <v>845</v>
      </c>
    </row>
    <row r="77" spans="1:15" hidden="1" x14ac:dyDescent="0.3">
      <c r="A77" t="s">
        <v>490</v>
      </c>
      <c r="B77" t="s">
        <v>846</v>
      </c>
      <c r="C77">
        <v>332</v>
      </c>
      <c r="D77" t="s">
        <v>847</v>
      </c>
      <c r="E77" t="s">
        <v>17</v>
      </c>
      <c r="F77" t="s">
        <v>10</v>
      </c>
      <c r="G77" t="s">
        <v>116</v>
      </c>
      <c r="H77" t="s">
        <v>1326</v>
      </c>
      <c r="I77">
        <v>46</v>
      </c>
      <c r="K77" t="s">
        <v>509</v>
      </c>
      <c r="L77" t="s">
        <v>512</v>
      </c>
      <c r="M77" t="s">
        <v>848</v>
      </c>
      <c r="N77" t="s">
        <v>849</v>
      </c>
    </row>
    <row r="78" spans="1:15" hidden="1" x14ac:dyDescent="0.3">
      <c r="A78" t="s">
        <v>490</v>
      </c>
      <c r="B78" t="s">
        <v>850</v>
      </c>
      <c r="C78">
        <v>332</v>
      </c>
      <c r="D78" t="s">
        <v>851</v>
      </c>
      <c r="E78" t="s">
        <v>50</v>
      </c>
      <c r="F78" t="s">
        <v>10</v>
      </c>
      <c r="G78" t="s">
        <v>117</v>
      </c>
      <c r="H78" t="s">
        <v>519</v>
      </c>
      <c r="I78" t="s">
        <v>60</v>
      </c>
      <c r="J78" t="s">
        <v>60</v>
      </c>
      <c r="K78" t="s">
        <v>510</v>
      </c>
      <c r="L78" t="s">
        <v>512</v>
      </c>
      <c r="M78" t="s">
        <v>852</v>
      </c>
      <c r="N78" t="s">
        <v>853</v>
      </c>
    </row>
    <row r="79" spans="1:15" hidden="1" x14ac:dyDescent="0.3">
      <c r="A79" t="s">
        <v>490</v>
      </c>
      <c r="B79" t="s">
        <v>854</v>
      </c>
      <c r="C79">
        <v>331</v>
      </c>
      <c r="D79" t="s">
        <v>734</v>
      </c>
      <c r="E79" t="s">
        <v>24</v>
      </c>
      <c r="F79" t="s">
        <v>10</v>
      </c>
      <c r="G79" t="s">
        <v>118</v>
      </c>
      <c r="H79" t="s">
        <v>1326</v>
      </c>
      <c r="I79" t="s">
        <v>21</v>
      </c>
      <c r="K79" t="s">
        <v>510</v>
      </c>
      <c r="L79" t="s">
        <v>512</v>
      </c>
      <c r="M79" t="s">
        <v>855</v>
      </c>
      <c r="N79" t="s">
        <v>856</v>
      </c>
    </row>
    <row r="80" spans="1:15" hidden="1" x14ac:dyDescent="0.3">
      <c r="A80" t="s">
        <v>490</v>
      </c>
      <c r="B80" t="s">
        <v>857</v>
      </c>
      <c r="C80">
        <v>332</v>
      </c>
      <c r="D80" t="s">
        <v>858</v>
      </c>
      <c r="E80" t="s">
        <v>57</v>
      </c>
      <c r="F80" t="s">
        <v>10</v>
      </c>
      <c r="G80" t="s">
        <v>119</v>
      </c>
      <c r="H80" t="s">
        <v>520</v>
      </c>
      <c r="I80">
        <v>30</v>
      </c>
      <c r="K80" t="s">
        <v>511</v>
      </c>
      <c r="L80" t="s">
        <v>512</v>
      </c>
      <c r="M80" t="s">
        <v>859</v>
      </c>
      <c r="N80" t="s">
        <v>860</v>
      </c>
    </row>
    <row r="81" spans="1:14" hidden="1" x14ac:dyDescent="0.3">
      <c r="A81" t="s">
        <v>491</v>
      </c>
      <c r="B81" t="s">
        <v>861</v>
      </c>
      <c r="C81">
        <v>341</v>
      </c>
      <c r="D81" t="s">
        <v>862</v>
      </c>
      <c r="E81" t="s">
        <v>9</v>
      </c>
      <c r="F81" t="s">
        <v>27</v>
      </c>
      <c r="G81" t="s">
        <v>120</v>
      </c>
      <c r="H81" t="s">
        <v>1326</v>
      </c>
      <c r="I81">
        <v>30</v>
      </c>
      <c r="K81" t="s">
        <v>508</v>
      </c>
      <c r="L81" t="s">
        <v>512</v>
      </c>
      <c r="M81" t="s">
        <v>863</v>
      </c>
      <c r="N81" t="s">
        <v>864</v>
      </c>
    </row>
    <row r="82" spans="1:14" hidden="1" x14ac:dyDescent="0.3">
      <c r="A82" t="s">
        <v>491</v>
      </c>
      <c r="B82" t="s">
        <v>865</v>
      </c>
      <c r="C82">
        <v>342</v>
      </c>
      <c r="D82" t="s">
        <v>866</v>
      </c>
      <c r="E82" t="s">
        <v>29</v>
      </c>
      <c r="F82" t="s">
        <v>27</v>
      </c>
      <c r="G82" t="s">
        <v>121</v>
      </c>
      <c r="H82" t="s">
        <v>519</v>
      </c>
      <c r="I82" t="s">
        <v>21</v>
      </c>
      <c r="K82" t="s">
        <v>508</v>
      </c>
      <c r="L82" t="s">
        <v>512</v>
      </c>
      <c r="M82" t="s">
        <v>820</v>
      </c>
      <c r="N82" t="s">
        <v>867</v>
      </c>
    </row>
    <row r="83" spans="1:14" hidden="1" x14ac:dyDescent="0.3">
      <c r="A83" t="s">
        <v>491</v>
      </c>
      <c r="B83" t="s">
        <v>868</v>
      </c>
      <c r="C83">
        <v>341</v>
      </c>
      <c r="D83" t="s">
        <v>869</v>
      </c>
      <c r="E83" t="s">
        <v>17</v>
      </c>
      <c r="F83" t="s">
        <v>27</v>
      </c>
      <c r="G83" t="s">
        <v>122</v>
      </c>
      <c r="H83" t="s">
        <v>520</v>
      </c>
      <c r="I83">
        <v>40</v>
      </c>
      <c r="K83" t="s">
        <v>509</v>
      </c>
      <c r="L83" t="s">
        <v>512</v>
      </c>
      <c r="M83" t="s">
        <v>737</v>
      </c>
      <c r="N83" t="s">
        <v>870</v>
      </c>
    </row>
    <row r="84" spans="1:14" hidden="1" x14ac:dyDescent="0.3">
      <c r="A84" t="s">
        <v>491</v>
      </c>
      <c r="B84" t="s">
        <v>871</v>
      </c>
      <c r="C84">
        <v>342</v>
      </c>
      <c r="D84" t="s">
        <v>872</v>
      </c>
      <c r="E84" t="s">
        <v>13</v>
      </c>
      <c r="F84" t="s">
        <v>27</v>
      </c>
      <c r="G84" t="s">
        <v>123</v>
      </c>
      <c r="H84" t="s">
        <v>520</v>
      </c>
      <c r="I84">
        <v>40</v>
      </c>
      <c r="K84" t="s">
        <v>509</v>
      </c>
      <c r="L84" t="s">
        <v>512</v>
      </c>
      <c r="M84" t="s">
        <v>737</v>
      </c>
      <c r="N84" t="s">
        <v>873</v>
      </c>
    </row>
    <row r="85" spans="1:14" hidden="1" x14ac:dyDescent="0.3">
      <c r="A85" t="s">
        <v>491</v>
      </c>
      <c r="B85" t="s">
        <v>874</v>
      </c>
      <c r="C85">
        <v>341</v>
      </c>
      <c r="D85" t="s">
        <v>875</v>
      </c>
      <c r="E85" t="s">
        <v>24</v>
      </c>
      <c r="F85" t="s">
        <v>27</v>
      </c>
      <c r="G85" t="s">
        <v>124</v>
      </c>
      <c r="H85" t="s">
        <v>519</v>
      </c>
      <c r="I85" t="s">
        <v>21</v>
      </c>
      <c r="K85" t="s">
        <v>510</v>
      </c>
      <c r="L85" t="s">
        <v>512</v>
      </c>
      <c r="M85" t="s">
        <v>848</v>
      </c>
      <c r="N85" t="s">
        <v>876</v>
      </c>
    </row>
    <row r="86" spans="1:14" hidden="1" x14ac:dyDescent="0.3">
      <c r="A86" t="s">
        <v>491</v>
      </c>
      <c r="B86" t="s">
        <v>877</v>
      </c>
      <c r="C86">
        <v>342</v>
      </c>
      <c r="D86" t="s">
        <v>878</v>
      </c>
      <c r="E86" t="s">
        <v>43</v>
      </c>
      <c r="F86" t="s">
        <v>125</v>
      </c>
      <c r="G86" t="s">
        <v>126</v>
      </c>
      <c r="H86" t="s">
        <v>1326</v>
      </c>
      <c r="I86">
        <v>30</v>
      </c>
      <c r="K86" t="s">
        <v>507</v>
      </c>
      <c r="L86" t="s">
        <v>512</v>
      </c>
      <c r="M86" t="s">
        <v>879</v>
      </c>
      <c r="N86" t="s">
        <v>880</v>
      </c>
    </row>
    <row r="87" spans="1:14" hidden="1" x14ac:dyDescent="0.3">
      <c r="A87" t="s">
        <v>492</v>
      </c>
      <c r="B87" t="s">
        <v>881</v>
      </c>
      <c r="C87">
        <v>351</v>
      </c>
      <c r="D87" t="s">
        <v>882</v>
      </c>
      <c r="E87" t="s">
        <v>43</v>
      </c>
      <c r="F87" t="s">
        <v>10</v>
      </c>
      <c r="G87" t="s">
        <v>127</v>
      </c>
      <c r="H87" t="s">
        <v>1326</v>
      </c>
      <c r="I87">
        <v>12</v>
      </c>
      <c r="K87" t="s">
        <v>507</v>
      </c>
      <c r="L87" t="s">
        <v>512</v>
      </c>
      <c r="M87" t="s">
        <v>883</v>
      </c>
      <c r="N87" t="s">
        <v>884</v>
      </c>
    </row>
    <row r="88" spans="1:14" hidden="1" x14ac:dyDescent="0.3">
      <c r="A88" t="s">
        <v>492</v>
      </c>
      <c r="B88" t="s">
        <v>885</v>
      </c>
      <c r="C88">
        <v>351</v>
      </c>
      <c r="D88" t="s">
        <v>886</v>
      </c>
      <c r="E88" t="s">
        <v>17</v>
      </c>
      <c r="F88" t="s">
        <v>125</v>
      </c>
      <c r="G88" t="s">
        <v>128</v>
      </c>
      <c r="H88" t="s">
        <v>519</v>
      </c>
      <c r="I88" t="s">
        <v>21</v>
      </c>
      <c r="K88" t="s">
        <v>509</v>
      </c>
      <c r="L88" t="s">
        <v>512</v>
      </c>
      <c r="M88" t="s">
        <v>883</v>
      </c>
      <c r="N88" t="s">
        <v>887</v>
      </c>
    </row>
    <row r="89" spans="1:14" hidden="1" x14ac:dyDescent="0.3">
      <c r="A89" t="s">
        <v>492</v>
      </c>
      <c r="B89" t="s">
        <v>888</v>
      </c>
      <c r="C89">
        <v>351</v>
      </c>
      <c r="D89" t="s">
        <v>889</v>
      </c>
      <c r="E89" t="s">
        <v>13</v>
      </c>
      <c r="F89" t="s">
        <v>125</v>
      </c>
      <c r="G89" t="s">
        <v>129</v>
      </c>
      <c r="H89" t="s">
        <v>520</v>
      </c>
      <c r="I89" t="s">
        <v>15</v>
      </c>
      <c r="K89" t="s">
        <v>509</v>
      </c>
      <c r="L89" t="s">
        <v>512</v>
      </c>
      <c r="M89" t="s">
        <v>883</v>
      </c>
      <c r="N89" t="s">
        <v>890</v>
      </c>
    </row>
    <row r="90" spans="1:14" hidden="1" x14ac:dyDescent="0.3">
      <c r="A90" t="s">
        <v>492</v>
      </c>
      <c r="B90" t="s">
        <v>891</v>
      </c>
      <c r="C90">
        <v>352</v>
      </c>
      <c r="D90" t="s">
        <v>892</v>
      </c>
      <c r="E90" t="s">
        <v>9</v>
      </c>
      <c r="F90" t="s">
        <v>10</v>
      </c>
      <c r="G90" t="s">
        <v>130</v>
      </c>
      <c r="H90" t="s">
        <v>1326</v>
      </c>
      <c r="I90">
        <v>12</v>
      </c>
      <c r="K90" t="s">
        <v>508</v>
      </c>
      <c r="L90" t="s">
        <v>512</v>
      </c>
      <c r="M90" t="s">
        <v>695</v>
      </c>
      <c r="N90" t="s">
        <v>893</v>
      </c>
    </row>
    <row r="91" spans="1:14" hidden="1" x14ac:dyDescent="0.3">
      <c r="A91" t="s">
        <v>492</v>
      </c>
      <c r="B91" t="s">
        <v>894</v>
      </c>
      <c r="C91">
        <v>352</v>
      </c>
      <c r="D91" t="s">
        <v>895</v>
      </c>
      <c r="E91" t="s">
        <v>57</v>
      </c>
      <c r="F91" t="s">
        <v>10</v>
      </c>
      <c r="G91" t="s">
        <v>131</v>
      </c>
      <c r="H91" t="s">
        <v>519</v>
      </c>
      <c r="I91" t="s">
        <v>21</v>
      </c>
      <c r="K91" t="s">
        <v>511</v>
      </c>
      <c r="L91" t="s">
        <v>512</v>
      </c>
      <c r="M91" t="s">
        <v>896</v>
      </c>
      <c r="N91" t="s">
        <v>897</v>
      </c>
    </row>
    <row r="92" spans="1:14" hidden="1" x14ac:dyDescent="0.3">
      <c r="A92" t="s">
        <v>492</v>
      </c>
      <c r="B92" t="s">
        <v>898</v>
      </c>
      <c r="C92">
        <v>352</v>
      </c>
      <c r="D92" t="s">
        <v>899</v>
      </c>
      <c r="E92" t="s">
        <v>35</v>
      </c>
      <c r="F92" t="s">
        <v>10</v>
      </c>
      <c r="G92" t="s">
        <v>132</v>
      </c>
      <c r="H92" t="s">
        <v>520</v>
      </c>
      <c r="I92">
        <v>40</v>
      </c>
      <c r="K92" t="s">
        <v>511</v>
      </c>
      <c r="L92" t="s">
        <v>512</v>
      </c>
      <c r="M92" t="s">
        <v>900</v>
      </c>
      <c r="N92" t="s">
        <v>901</v>
      </c>
    </row>
    <row r="93" spans="1:14" hidden="1" x14ac:dyDescent="0.3">
      <c r="A93" t="s">
        <v>493</v>
      </c>
      <c r="B93" t="s">
        <v>902</v>
      </c>
      <c r="C93">
        <v>412</v>
      </c>
      <c r="D93" t="s">
        <v>903</v>
      </c>
      <c r="E93" t="s">
        <v>9</v>
      </c>
      <c r="F93" t="s">
        <v>10</v>
      </c>
      <c r="G93" t="s">
        <v>133</v>
      </c>
      <c r="H93" t="s">
        <v>525</v>
      </c>
      <c r="I93">
        <v>40</v>
      </c>
      <c r="K93" t="s">
        <v>508</v>
      </c>
      <c r="L93" t="s">
        <v>512</v>
      </c>
      <c r="M93" t="s">
        <v>695</v>
      </c>
      <c r="N93" t="s">
        <v>904</v>
      </c>
    </row>
    <row r="94" spans="1:14" hidden="1" x14ac:dyDescent="0.3">
      <c r="A94" t="s">
        <v>493</v>
      </c>
      <c r="B94" t="s">
        <v>905</v>
      </c>
      <c r="C94">
        <v>411</v>
      </c>
      <c r="D94" t="s">
        <v>906</v>
      </c>
      <c r="E94" t="s">
        <v>17</v>
      </c>
      <c r="F94" t="s">
        <v>10</v>
      </c>
      <c r="G94" t="s">
        <v>134</v>
      </c>
      <c r="H94" t="s">
        <v>525</v>
      </c>
      <c r="I94">
        <v>52</v>
      </c>
      <c r="K94" t="s">
        <v>509</v>
      </c>
      <c r="L94" t="s">
        <v>512</v>
      </c>
      <c r="M94" t="s">
        <v>695</v>
      </c>
      <c r="N94" t="s">
        <v>907</v>
      </c>
    </row>
    <row r="95" spans="1:14" hidden="1" x14ac:dyDescent="0.3">
      <c r="A95" t="s">
        <v>493</v>
      </c>
      <c r="B95" t="s">
        <v>908</v>
      </c>
      <c r="C95">
        <v>412</v>
      </c>
      <c r="D95" t="s">
        <v>909</v>
      </c>
      <c r="E95" t="s">
        <v>17</v>
      </c>
      <c r="F95" t="s">
        <v>10</v>
      </c>
      <c r="G95" t="s">
        <v>135</v>
      </c>
      <c r="H95" t="s">
        <v>523</v>
      </c>
      <c r="I95" t="s">
        <v>38</v>
      </c>
      <c r="K95" t="s">
        <v>509</v>
      </c>
      <c r="L95" t="s">
        <v>512</v>
      </c>
      <c r="M95" t="s">
        <v>910</v>
      </c>
      <c r="N95" t="s">
        <v>911</v>
      </c>
    </row>
    <row r="96" spans="1:14" x14ac:dyDescent="0.3">
      <c r="A96" t="s">
        <v>493</v>
      </c>
      <c r="B96" t="s">
        <v>912</v>
      </c>
      <c r="C96">
        <v>412</v>
      </c>
      <c r="D96" t="s">
        <v>913</v>
      </c>
      <c r="E96" t="s">
        <v>24</v>
      </c>
      <c r="F96" t="s">
        <v>10</v>
      </c>
      <c r="G96" t="s">
        <v>136</v>
      </c>
      <c r="H96" t="s">
        <v>524</v>
      </c>
      <c r="I96">
        <v>41</v>
      </c>
      <c r="K96" t="s">
        <v>510</v>
      </c>
      <c r="L96" t="s">
        <v>512</v>
      </c>
      <c r="M96" t="s">
        <v>914</v>
      </c>
      <c r="N96" t="s">
        <v>915</v>
      </c>
    </row>
    <row r="97" spans="1:14" x14ac:dyDescent="0.3">
      <c r="A97" t="s">
        <v>493</v>
      </c>
      <c r="B97" t="s">
        <v>916</v>
      </c>
      <c r="C97">
        <v>411</v>
      </c>
      <c r="D97" t="s">
        <v>917</v>
      </c>
      <c r="E97" t="s">
        <v>24</v>
      </c>
      <c r="F97" t="s">
        <v>10</v>
      </c>
      <c r="G97" t="s">
        <v>137</v>
      </c>
      <c r="H97" t="s">
        <v>524</v>
      </c>
      <c r="I97">
        <v>52</v>
      </c>
      <c r="K97" t="s">
        <v>510</v>
      </c>
      <c r="L97" t="s">
        <v>512</v>
      </c>
      <c r="M97" t="s">
        <v>824</v>
      </c>
      <c r="N97" t="s">
        <v>918</v>
      </c>
    </row>
    <row r="98" spans="1:14" hidden="1" x14ac:dyDescent="0.3">
      <c r="A98" t="s">
        <v>493</v>
      </c>
      <c r="B98" t="s">
        <v>919</v>
      </c>
      <c r="C98">
        <v>411</v>
      </c>
      <c r="D98" t="s">
        <v>920</v>
      </c>
      <c r="E98" t="s">
        <v>45</v>
      </c>
      <c r="F98" t="s">
        <v>10</v>
      </c>
      <c r="G98" t="s">
        <v>138</v>
      </c>
      <c r="H98" t="s">
        <v>523</v>
      </c>
      <c r="I98">
        <v>40</v>
      </c>
      <c r="K98" t="s">
        <v>507</v>
      </c>
      <c r="L98" t="s">
        <v>512</v>
      </c>
      <c r="M98" t="s">
        <v>801</v>
      </c>
      <c r="N98" t="s">
        <v>921</v>
      </c>
    </row>
    <row r="99" spans="1:14" hidden="1" x14ac:dyDescent="0.3">
      <c r="A99" t="s">
        <v>493</v>
      </c>
      <c r="B99" t="s">
        <v>922</v>
      </c>
      <c r="C99">
        <v>411</v>
      </c>
      <c r="D99" t="s">
        <v>923</v>
      </c>
      <c r="E99" t="s">
        <v>57</v>
      </c>
      <c r="F99" t="s">
        <v>10</v>
      </c>
      <c r="G99" t="s">
        <v>140</v>
      </c>
      <c r="H99" t="s">
        <v>522</v>
      </c>
      <c r="I99">
        <v>41</v>
      </c>
      <c r="K99" t="s">
        <v>511</v>
      </c>
      <c r="L99" t="s">
        <v>512</v>
      </c>
      <c r="M99" t="s">
        <v>924</v>
      </c>
      <c r="N99" t="s">
        <v>925</v>
      </c>
    </row>
    <row r="100" spans="1:14" hidden="1" x14ac:dyDescent="0.3">
      <c r="A100" t="s">
        <v>493</v>
      </c>
      <c r="B100" t="s">
        <v>926</v>
      </c>
      <c r="C100">
        <v>412</v>
      </c>
      <c r="D100" t="s">
        <v>927</v>
      </c>
      <c r="E100" t="s">
        <v>57</v>
      </c>
      <c r="F100" t="s">
        <v>10</v>
      </c>
      <c r="G100" t="s">
        <v>141</v>
      </c>
      <c r="H100" t="s">
        <v>522</v>
      </c>
      <c r="I100">
        <v>40</v>
      </c>
      <c r="K100" t="s">
        <v>511</v>
      </c>
      <c r="L100" t="s">
        <v>512</v>
      </c>
      <c r="M100" t="s">
        <v>928</v>
      </c>
      <c r="N100" t="s">
        <v>929</v>
      </c>
    </row>
    <row r="101" spans="1:14" hidden="1" x14ac:dyDescent="0.3">
      <c r="A101" t="s">
        <v>494</v>
      </c>
      <c r="B101" t="s">
        <v>930</v>
      </c>
      <c r="C101">
        <v>422</v>
      </c>
      <c r="D101" t="s">
        <v>931</v>
      </c>
      <c r="E101" t="s">
        <v>9</v>
      </c>
      <c r="F101" t="s">
        <v>27</v>
      </c>
      <c r="G101" t="s">
        <v>142</v>
      </c>
      <c r="H101" t="s">
        <v>525</v>
      </c>
      <c r="I101">
        <v>40</v>
      </c>
      <c r="K101" t="s">
        <v>508</v>
      </c>
      <c r="L101" t="s">
        <v>512</v>
      </c>
      <c r="M101" t="s">
        <v>695</v>
      </c>
      <c r="N101" t="s">
        <v>932</v>
      </c>
    </row>
    <row r="102" spans="1:14" hidden="1" x14ac:dyDescent="0.3">
      <c r="A102" t="s">
        <v>494</v>
      </c>
      <c r="B102" t="s">
        <v>933</v>
      </c>
      <c r="C102">
        <v>421</v>
      </c>
      <c r="D102" t="s">
        <v>934</v>
      </c>
      <c r="E102" t="s">
        <v>9</v>
      </c>
      <c r="F102" t="s">
        <v>125</v>
      </c>
      <c r="G102" t="s">
        <v>143</v>
      </c>
      <c r="H102" t="s">
        <v>523</v>
      </c>
      <c r="I102" t="s">
        <v>38</v>
      </c>
      <c r="K102" t="s">
        <v>508</v>
      </c>
      <c r="L102" t="s">
        <v>512</v>
      </c>
      <c r="M102" t="s">
        <v>935</v>
      </c>
      <c r="N102" t="s">
        <v>936</v>
      </c>
    </row>
    <row r="103" spans="1:14" hidden="1" x14ac:dyDescent="0.3">
      <c r="A103" t="s">
        <v>494</v>
      </c>
      <c r="B103" t="s">
        <v>937</v>
      </c>
      <c r="C103">
        <v>421</v>
      </c>
      <c r="D103" t="s">
        <v>938</v>
      </c>
      <c r="E103" t="s">
        <v>24</v>
      </c>
      <c r="F103" t="s">
        <v>27</v>
      </c>
      <c r="G103" t="s">
        <v>144</v>
      </c>
      <c r="H103" t="s">
        <v>522</v>
      </c>
      <c r="I103">
        <v>41</v>
      </c>
      <c r="K103" t="s">
        <v>510</v>
      </c>
      <c r="L103" t="s">
        <v>512</v>
      </c>
      <c r="M103" t="s">
        <v>824</v>
      </c>
      <c r="N103" t="s">
        <v>939</v>
      </c>
    </row>
    <row r="104" spans="1:14" hidden="1" x14ac:dyDescent="0.3">
      <c r="A104" t="s">
        <v>494</v>
      </c>
      <c r="B104" t="s">
        <v>940</v>
      </c>
      <c r="C104">
        <v>422</v>
      </c>
      <c r="D104" t="s">
        <v>941</v>
      </c>
      <c r="E104" t="s">
        <v>24</v>
      </c>
      <c r="F104" t="s">
        <v>27</v>
      </c>
      <c r="G104" t="s">
        <v>145</v>
      </c>
      <c r="H104" t="s">
        <v>523</v>
      </c>
      <c r="I104">
        <v>31</v>
      </c>
      <c r="K104" t="s">
        <v>510</v>
      </c>
      <c r="L104" t="s">
        <v>512</v>
      </c>
      <c r="M104" t="s">
        <v>942</v>
      </c>
      <c r="N104" t="s">
        <v>943</v>
      </c>
    </row>
    <row r="105" spans="1:14" hidden="1" x14ac:dyDescent="0.3">
      <c r="A105" t="s">
        <v>494</v>
      </c>
      <c r="B105" t="s">
        <v>944</v>
      </c>
      <c r="C105">
        <v>421</v>
      </c>
      <c r="D105" t="s">
        <v>945</v>
      </c>
      <c r="E105" t="s">
        <v>43</v>
      </c>
      <c r="F105" t="s">
        <v>27</v>
      </c>
      <c r="G105" t="s">
        <v>146</v>
      </c>
      <c r="H105" t="s">
        <v>525</v>
      </c>
      <c r="I105">
        <v>31</v>
      </c>
      <c r="K105" t="s">
        <v>507</v>
      </c>
      <c r="L105" t="s">
        <v>512</v>
      </c>
      <c r="M105" t="s">
        <v>863</v>
      </c>
      <c r="N105" t="s">
        <v>946</v>
      </c>
    </row>
    <row r="106" spans="1:14" hidden="1" x14ac:dyDescent="0.3">
      <c r="A106" t="s">
        <v>494</v>
      </c>
      <c r="B106" t="s">
        <v>947</v>
      </c>
      <c r="C106">
        <v>422</v>
      </c>
      <c r="D106" t="s">
        <v>948</v>
      </c>
      <c r="E106" t="s">
        <v>43</v>
      </c>
      <c r="F106" t="s">
        <v>27</v>
      </c>
      <c r="G106" t="s">
        <v>147</v>
      </c>
      <c r="H106" t="s">
        <v>522</v>
      </c>
      <c r="I106">
        <v>41</v>
      </c>
      <c r="K106" t="s">
        <v>507</v>
      </c>
      <c r="L106" t="s">
        <v>512</v>
      </c>
      <c r="M106" t="s">
        <v>949</v>
      </c>
      <c r="N106" t="s">
        <v>950</v>
      </c>
    </row>
    <row r="107" spans="1:14" x14ac:dyDescent="0.3">
      <c r="A107" t="s">
        <v>494</v>
      </c>
      <c r="B107" t="s">
        <v>951</v>
      </c>
      <c r="C107">
        <v>422</v>
      </c>
      <c r="D107" t="s">
        <v>952</v>
      </c>
      <c r="E107" t="s">
        <v>46</v>
      </c>
      <c r="F107" t="s">
        <v>27</v>
      </c>
      <c r="G107" t="s">
        <v>148</v>
      </c>
      <c r="H107" t="s">
        <v>524</v>
      </c>
      <c r="I107">
        <v>41</v>
      </c>
      <c r="K107" t="s">
        <v>507</v>
      </c>
      <c r="L107" t="s">
        <v>512</v>
      </c>
      <c r="M107" t="s">
        <v>953</v>
      </c>
      <c r="N107" t="s">
        <v>954</v>
      </c>
    </row>
    <row r="108" spans="1:14" x14ac:dyDescent="0.3">
      <c r="A108" t="s">
        <v>494</v>
      </c>
      <c r="B108" t="s">
        <v>955</v>
      </c>
      <c r="C108">
        <v>421</v>
      </c>
      <c r="D108" t="s">
        <v>956</v>
      </c>
      <c r="E108" t="s">
        <v>35</v>
      </c>
      <c r="F108" t="s">
        <v>27</v>
      </c>
      <c r="G108" t="s">
        <v>149</v>
      </c>
      <c r="H108" t="s">
        <v>524</v>
      </c>
      <c r="I108">
        <v>41</v>
      </c>
      <c r="K108" t="s">
        <v>511</v>
      </c>
      <c r="L108" t="s">
        <v>512</v>
      </c>
      <c r="M108" t="s">
        <v>824</v>
      </c>
      <c r="N108" t="s">
        <v>957</v>
      </c>
    </row>
    <row r="109" spans="1:14" hidden="1" x14ac:dyDescent="0.3">
      <c r="A109" t="s">
        <v>495</v>
      </c>
      <c r="B109" t="s">
        <v>958</v>
      </c>
      <c r="C109">
        <v>431</v>
      </c>
      <c r="D109" t="s">
        <v>959</v>
      </c>
      <c r="E109" t="s">
        <v>9</v>
      </c>
      <c r="F109" t="s">
        <v>10</v>
      </c>
      <c r="G109" t="s">
        <v>150</v>
      </c>
      <c r="H109" t="s">
        <v>528</v>
      </c>
      <c r="I109">
        <v>46</v>
      </c>
      <c r="K109" t="s">
        <v>508</v>
      </c>
      <c r="L109" t="s">
        <v>512</v>
      </c>
      <c r="M109" t="s">
        <v>960</v>
      </c>
      <c r="N109" t="s">
        <v>961</v>
      </c>
    </row>
    <row r="110" spans="1:14" hidden="1" x14ac:dyDescent="0.3">
      <c r="A110" t="s">
        <v>495</v>
      </c>
      <c r="B110" t="s">
        <v>962</v>
      </c>
      <c r="C110">
        <v>432</v>
      </c>
      <c r="D110" t="s">
        <v>963</v>
      </c>
      <c r="E110" t="s">
        <v>24</v>
      </c>
      <c r="F110" t="s">
        <v>10</v>
      </c>
      <c r="G110" t="s">
        <v>151</v>
      </c>
      <c r="H110" t="s">
        <v>528</v>
      </c>
      <c r="I110">
        <v>46</v>
      </c>
      <c r="K110" t="s">
        <v>510</v>
      </c>
      <c r="L110" t="s">
        <v>512</v>
      </c>
      <c r="M110" t="s">
        <v>777</v>
      </c>
      <c r="N110" t="s">
        <v>964</v>
      </c>
    </row>
    <row r="111" spans="1:14" hidden="1" x14ac:dyDescent="0.3">
      <c r="A111" t="s">
        <v>495</v>
      </c>
      <c r="B111" t="s">
        <v>965</v>
      </c>
      <c r="C111">
        <v>432</v>
      </c>
      <c r="D111" t="s">
        <v>966</v>
      </c>
      <c r="E111" t="s">
        <v>50</v>
      </c>
      <c r="F111" t="s">
        <v>10</v>
      </c>
      <c r="G111" t="s">
        <v>152</v>
      </c>
      <c r="H111" t="s">
        <v>527</v>
      </c>
      <c r="I111">
        <v>46</v>
      </c>
      <c r="K111" t="s">
        <v>510</v>
      </c>
      <c r="L111" t="s">
        <v>512</v>
      </c>
      <c r="M111" t="s">
        <v>566</v>
      </c>
      <c r="N111" t="s">
        <v>967</v>
      </c>
    </row>
    <row r="112" spans="1:14" hidden="1" x14ac:dyDescent="0.3">
      <c r="A112" t="s">
        <v>495</v>
      </c>
      <c r="B112" t="s">
        <v>968</v>
      </c>
      <c r="C112">
        <v>431</v>
      </c>
      <c r="D112" t="s">
        <v>969</v>
      </c>
      <c r="E112" t="s">
        <v>43</v>
      </c>
      <c r="F112" t="s">
        <v>10</v>
      </c>
      <c r="G112" t="s">
        <v>153</v>
      </c>
      <c r="H112" t="s">
        <v>526</v>
      </c>
      <c r="I112">
        <v>46</v>
      </c>
      <c r="K112" t="s">
        <v>507</v>
      </c>
      <c r="L112" t="s">
        <v>512</v>
      </c>
      <c r="M112" t="s">
        <v>777</v>
      </c>
      <c r="N112" t="s">
        <v>970</v>
      </c>
    </row>
    <row r="113" spans="1:14" hidden="1" x14ac:dyDescent="0.3">
      <c r="A113" t="s">
        <v>495</v>
      </c>
      <c r="B113" t="s">
        <v>971</v>
      </c>
      <c r="C113">
        <v>432</v>
      </c>
      <c r="D113" t="s">
        <v>972</v>
      </c>
      <c r="E113" t="s">
        <v>43</v>
      </c>
      <c r="F113" t="s">
        <v>10</v>
      </c>
      <c r="G113" t="s">
        <v>154</v>
      </c>
      <c r="H113" t="s">
        <v>526</v>
      </c>
      <c r="I113">
        <v>44</v>
      </c>
      <c r="K113" t="s">
        <v>507</v>
      </c>
      <c r="L113" t="s">
        <v>512</v>
      </c>
      <c r="M113" t="s">
        <v>973</v>
      </c>
      <c r="N113" t="s">
        <v>974</v>
      </c>
    </row>
    <row r="114" spans="1:14" hidden="1" x14ac:dyDescent="0.3">
      <c r="A114" t="s">
        <v>495</v>
      </c>
      <c r="B114" t="s">
        <v>975</v>
      </c>
      <c r="C114">
        <v>431</v>
      </c>
      <c r="D114" t="s">
        <v>976</v>
      </c>
      <c r="E114" t="s">
        <v>57</v>
      </c>
      <c r="F114" t="s">
        <v>10</v>
      </c>
      <c r="G114" t="s">
        <v>155</v>
      </c>
      <c r="H114" t="s">
        <v>527</v>
      </c>
      <c r="I114">
        <v>46</v>
      </c>
      <c r="K114" t="s">
        <v>511</v>
      </c>
      <c r="L114" t="s">
        <v>512</v>
      </c>
      <c r="M114" t="s">
        <v>977</v>
      </c>
      <c r="N114" t="s">
        <v>978</v>
      </c>
    </row>
    <row r="115" spans="1:14" hidden="1" x14ac:dyDescent="0.3">
      <c r="A115" t="s">
        <v>496</v>
      </c>
      <c r="B115" t="s">
        <v>979</v>
      </c>
      <c r="C115">
        <v>442</v>
      </c>
      <c r="D115" t="s">
        <v>980</v>
      </c>
      <c r="E115" t="s">
        <v>9</v>
      </c>
      <c r="F115" t="s">
        <v>27</v>
      </c>
      <c r="G115" t="s">
        <v>156</v>
      </c>
      <c r="H115" t="s">
        <v>528</v>
      </c>
      <c r="I115">
        <v>46</v>
      </c>
      <c r="K115" t="s">
        <v>508</v>
      </c>
      <c r="L115" t="s">
        <v>512</v>
      </c>
      <c r="M115" t="s">
        <v>981</v>
      </c>
      <c r="N115" t="s">
        <v>982</v>
      </c>
    </row>
    <row r="116" spans="1:14" hidden="1" x14ac:dyDescent="0.3">
      <c r="A116" t="s">
        <v>496</v>
      </c>
      <c r="B116" t="s">
        <v>983</v>
      </c>
      <c r="C116">
        <v>441</v>
      </c>
      <c r="D116" t="s">
        <v>984</v>
      </c>
      <c r="E116" t="s">
        <v>29</v>
      </c>
      <c r="F116" t="s">
        <v>27</v>
      </c>
      <c r="G116" t="s">
        <v>157</v>
      </c>
      <c r="H116" t="s">
        <v>526</v>
      </c>
      <c r="I116">
        <v>46</v>
      </c>
      <c r="K116" t="s">
        <v>508</v>
      </c>
      <c r="L116" t="s">
        <v>512</v>
      </c>
      <c r="M116" t="s">
        <v>981</v>
      </c>
      <c r="N116" t="s">
        <v>985</v>
      </c>
    </row>
    <row r="117" spans="1:14" hidden="1" x14ac:dyDescent="0.3">
      <c r="A117" t="s">
        <v>496</v>
      </c>
      <c r="B117" t="s">
        <v>986</v>
      </c>
      <c r="C117">
        <v>441</v>
      </c>
      <c r="D117" t="s">
        <v>987</v>
      </c>
      <c r="E117" t="s">
        <v>17</v>
      </c>
      <c r="F117" t="s">
        <v>27</v>
      </c>
      <c r="G117" t="s">
        <v>158</v>
      </c>
      <c r="H117" t="s">
        <v>527</v>
      </c>
      <c r="I117">
        <v>46</v>
      </c>
      <c r="K117" t="s">
        <v>509</v>
      </c>
      <c r="L117" t="s">
        <v>512</v>
      </c>
      <c r="M117" t="s">
        <v>988</v>
      </c>
      <c r="N117" t="s">
        <v>989</v>
      </c>
    </row>
    <row r="118" spans="1:14" hidden="1" x14ac:dyDescent="0.3">
      <c r="A118" t="s">
        <v>496</v>
      </c>
      <c r="B118" t="s">
        <v>990</v>
      </c>
      <c r="C118">
        <v>442</v>
      </c>
      <c r="D118" t="s">
        <v>991</v>
      </c>
      <c r="E118" t="s">
        <v>17</v>
      </c>
      <c r="F118" t="s">
        <v>27</v>
      </c>
      <c r="G118" t="s">
        <v>159</v>
      </c>
      <c r="H118" t="s">
        <v>526</v>
      </c>
      <c r="I118" t="s">
        <v>15</v>
      </c>
      <c r="K118" t="s">
        <v>509</v>
      </c>
      <c r="L118" t="s">
        <v>512</v>
      </c>
      <c r="M118" t="s">
        <v>973</v>
      </c>
      <c r="N118" t="s">
        <v>992</v>
      </c>
    </row>
    <row r="119" spans="1:14" hidden="1" x14ac:dyDescent="0.3">
      <c r="A119" t="s">
        <v>496</v>
      </c>
      <c r="B119" t="s">
        <v>993</v>
      </c>
      <c r="C119">
        <v>442</v>
      </c>
      <c r="D119" t="s">
        <v>994</v>
      </c>
      <c r="E119" t="s">
        <v>24</v>
      </c>
      <c r="F119" t="s">
        <v>27</v>
      </c>
      <c r="G119" t="s">
        <v>160</v>
      </c>
      <c r="H119" t="s">
        <v>527</v>
      </c>
      <c r="I119">
        <v>46</v>
      </c>
      <c r="K119" t="s">
        <v>510</v>
      </c>
      <c r="L119" t="s">
        <v>512</v>
      </c>
      <c r="M119" t="s">
        <v>995</v>
      </c>
      <c r="N119" t="s">
        <v>996</v>
      </c>
    </row>
    <row r="120" spans="1:14" hidden="1" x14ac:dyDescent="0.3">
      <c r="A120" t="s">
        <v>496</v>
      </c>
      <c r="B120" t="s">
        <v>997</v>
      </c>
      <c r="C120">
        <v>441</v>
      </c>
      <c r="D120" t="s">
        <v>998</v>
      </c>
      <c r="E120" t="s">
        <v>57</v>
      </c>
      <c r="F120" t="s">
        <v>27</v>
      </c>
      <c r="G120" t="s">
        <v>161</v>
      </c>
      <c r="H120" t="s">
        <v>528</v>
      </c>
      <c r="I120">
        <v>46</v>
      </c>
      <c r="K120" t="s">
        <v>511</v>
      </c>
      <c r="L120" t="s">
        <v>512</v>
      </c>
      <c r="M120" t="s">
        <v>999</v>
      </c>
      <c r="N120" t="s">
        <v>1000</v>
      </c>
    </row>
    <row r="121" spans="1:14" x14ac:dyDescent="0.3">
      <c r="A121" t="s">
        <v>503</v>
      </c>
      <c r="B121" t="s">
        <v>1001</v>
      </c>
      <c r="C121">
        <v>511</v>
      </c>
      <c r="D121" t="s">
        <v>1002</v>
      </c>
      <c r="E121" t="s">
        <v>17</v>
      </c>
      <c r="F121" t="s">
        <v>27</v>
      </c>
      <c r="G121" t="s">
        <v>162</v>
      </c>
      <c r="H121" t="s">
        <v>531</v>
      </c>
      <c r="I121">
        <v>41</v>
      </c>
      <c r="K121" t="s">
        <v>508</v>
      </c>
      <c r="L121" t="s">
        <v>512</v>
      </c>
      <c r="M121" t="s">
        <v>824</v>
      </c>
      <c r="N121" t="s">
        <v>1003</v>
      </c>
    </row>
    <row r="122" spans="1:14" hidden="1" x14ac:dyDescent="0.3">
      <c r="A122" t="s">
        <v>503</v>
      </c>
      <c r="B122" t="s">
        <v>1004</v>
      </c>
      <c r="C122">
        <v>512</v>
      </c>
      <c r="D122" t="s">
        <v>1005</v>
      </c>
      <c r="E122" t="s">
        <v>9</v>
      </c>
      <c r="F122" t="s">
        <v>10</v>
      </c>
      <c r="G122" t="s">
        <v>163</v>
      </c>
      <c r="H122" t="s">
        <v>530</v>
      </c>
      <c r="I122">
        <v>31</v>
      </c>
      <c r="K122" t="s">
        <v>508</v>
      </c>
      <c r="L122" t="s">
        <v>512</v>
      </c>
      <c r="M122" t="s">
        <v>1006</v>
      </c>
      <c r="N122" t="s">
        <v>1007</v>
      </c>
    </row>
    <row r="123" spans="1:14" hidden="1" x14ac:dyDescent="0.3">
      <c r="A123" t="s">
        <v>503</v>
      </c>
      <c r="B123" t="s">
        <v>1008</v>
      </c>
      <c r="C123">
        <v>511</v>
      </c>
      <c r="D123" t="s">
        <v>1009</v>
      </c>
      <c r="E123" t="s">
        <v>13</v>
      </c>
      <c r="F123" t="s">
        <v>10</v>
      </c>
      <c r="G123" t="s">
        <v>164</v>
      </c>
      <c r="H123" t="s">
        <v>530</v>
      </c>
      <c r="I123">
        <v>45</v>
      </c>
      <c r="K123" t="s">
        <v>509</v>
      </c>
      <c r="L123" t="s">
        <v>512</v>
      </c>
      <c r="M123" t="s">
        <v>1010</v>
      </c>
      <c r="N123" t="s">
        <v>1011</v>
      </c>
    </row>
    <row r="124" spans="1:14" hidden="1" x14ac:dyDescent="0.3">
      <c r="A124" t="s">
        <v>503</v>
      </c>
      <c r="B124" t="s">
        <v>1012</v>
      </c>
      <c r="C124">
        <v>511</v>
      </c>
      <c r="D124" t="s">
        <v>1013</v>
      </c>
      <c r="E124" t="s">
        <v>24</v>
      </c>
      <c r="F124" t="s">
        <v>10</v>
      </c>
      <c r="G124" t="s">
        <v>165</v>
      </c>
      <c r="H124" t="s">
        <v>529</v>
      </c>
      <c r="I124">
        <v>31</v>
      </c>
      <c r="K124" t="s">
        <v>510</v>
      </c>
      <c r="L124" t="s">
        <v>512</v>
      </c>
      <c r="M124" t="s">
        <v>949</v>
      </c>
      <c r="N124" t="s">
        <v>1014</v>
      </c>
    </row>
    <row r="125" spans="1:14" hidden="1" x14ac:dyDescent="0.3">
      <c r="A125" t="s">
        <v>503</v>
      </c>
      <c r="B125" t="s">
        <v>1015</v>
      </c>
      <c r="C125">
        <v>512</v>
      </c>
      <c r="D125" t="s">
        <v>1016</v>
      </c>
      <c r="E125" t="s">
        <v>50</v>
      </c>
      <c r="F125" t="s">
        <v>10</v>
      </c>
      <c r="G125" t="s">
        <v>166</v>
      </c>
      <c r="H125" t="s">
        <v>529</v>
      </c>
      <c r="I125">
        <v>41</v>
      </c>
      <c r="K125" t="s">
        <v>510</v>
      </c>
      <c r="L125" t="s">
        <v>512</v>
      </c>
      <c r="M125" t="s">
        <v>1017</v>
      </c>
      <c r="N125" t="s">
        <v>1018</v>
      </c>
    </row>
    <row r="126" spans="1:14" hidden="1" x14ac:dyDescent="0.3">
      <c r="A126" t="s">
        <v>503</v>
      </c>
      <c r="B126" t="s">
        <v>1019</v>
      </c>
      <c r="C126">
        <v>511</v>
      </c>
      <c r="D126" t="s">
        <v>1020</v>
      </c>
      <c r="E126" t="s">
        <v>43</v>
      </c>
      <c r="F126" t="s">
        <v>10</v>
      </c>
      <c r="G126" t="s">
        <v>167</v>
      </c>
      <c r="H126" t="s">
        <v>532</v>
      </c>
      <c r="I126">
        <v>52</v>
      </c>
      <c r="K126" t="s">
        <v>507</v>
      </c>
      <c r="L126" t="s">
        <v>512</v>
      </c>
      <c r="M126" t="s">
        <v>1021</v>
      </c>
      <c r="N126" t="s">
        <v>1022</v>
      </c>
    </row>
    <row r="127" spans="1:14" hidden="1" x14ac:dyDescent="0.3">
      <c r="A127" t="s">
        <v>503</v>
      </c>
      <c r="B127" t="s">
        <v>1023</v>
      </c>
      <c r="C127">
        <v>512</v>
      </c>
      <c r="D127" t="s">
        <v>1024</v>
      </c>
      <c r="E127" t="s">
        <v>43</v>
      </c>
      <c r="F127" t="s">
        <v>10</v>
      </c>
      <c r="G127" t="s">
        <v>168</v>
      </c>
      <c r="H127" t="s">
        <v>532</v>
      </c>
      <c r="I127">
        <v>31</v>
      </c>
      <c r="K127" t="s">
        <v>507</v>
      </c>
      <c r="L127" t="s">
        <v>512</v>
      </c>
      <c r="M127" t="s">
        <v>1006</v>
      </c>
      <c r="N127" t="s">
        <v>1025</v>
      </c>
    </row>
    <row r="128" spans="1:14" x14ac:dyDescent="0.3">
      <c r="A128" t="s">
        <v>503</v>
      </c>
      <c r="B128" t="s">
        <v>1026</v>
      </c>
      <c r="C128">
        <v>511</v>
      </c>
      <c r="D128" t="s">
        <v>1027</v>
      </c>
      <c r="E128" t="s">
        <v>19</v>
      </c>
      <c r="F128" t="s">
        <v>27</v>
      </c>
      <c r="G128" t="s">
        <v>169</v>
      </c>
      <c r="H128" t="s">
        <v>531</v>
      </c>
      <c r="I128">
        <v>31</v>
      </c>
      <c r="K128" t="s">
        <v>511</v>
      </c>
      <c r="L128" t="s">
        <v>512</v>
      </c>
      <c r="M128" t="s">
        <v>1028</v>
      </c>
      <c r="N128" t="s">
        <v>1029</v>
      </c>
    </row>
    <row r="129" spans="1:14" hidden="1" x14ac:dyDescent="0.3">
      <c r="A129" t="s">
        <v>504</v>
      </c>
      <c r="B129" t="s">
        <v>1030</v>
      </c>
      <c r="C129">
        <v>521</v>
      </c>
      <c r="D129" t="s">
        <v>1031</v>
      </c>
      <c r="E129" t="s">
        <v>9</v>
      </c>
      <c r="F129" t="s">
        <v>125</v>
      </c>
      <c r="G129" t="s">
        <v>170</v>
      </c>
      <c r="H129" t="s">
        <v>530</v>
      </c>
      <c r="I129">
        <v>31</v>
      </c>
      <c r="K129" t="s">
        <v>508</v>
      </c>
      <c r="L129" t="s">
        <v>512</v>
      </c>
      <c r="M129" t="s">
        <v>1028</v>
      </c>
      <c r="N129" t="s">
        <v>1032</v>
      </c>
    </row>
    <row r="130" spans="1:14" hidden="1" x14ac:dyDescent="0.3">
      <c r="A130" t="s">
        <v>504</v>
      </c>
      <c r="B130" t="s">
        <v>1033</v>
      </c>
      <c r="C130">
        <v>522</v>
      </c>
      <c r="D130" t="s">
        <v>1034</v>
      </c>
      <c r="E130" t="s">
        <v>9</v>
      </c>
      <c r="F130" t="s">
        <v>125</v>
      </c>
      <c r="G130" t="s">
        <v>171</v>
      </c>
      <c r="H130" t="s">
        <v>532</v>
      </c>
      <c r="I130">
        <v>30</v>
      </c>
      <c r="K130" t="s">
        <v>508</v>
      </c>
      <c r="L130" t="s">
        <v>512</v>
      </c>
      <c r="M130" t="s">
        <v>1035</v>
      </c>
      <c r="N130" t="s">
        <v>1036</v>
      </c>
    </row>
    <row r="131" spans="1:14" x14ac:dyDescent="0.3">
      <c r="A131" t="s">
        <v>504</v>
      </c>
      <c r="B131" t="s">
        <v>1037</v>
      </c>
      <c r="C131">
        <v>521</v>
      </c>
      <c r="D131" t="s">
        <v>1038</v>
      </c>
      <c r="E131" t="s">
        <v>17</v>
      </c>
      <c r="F131" t="s">
        <v>125</v>
      </c>
      <c r="G131" t="s">
        <v>172</v>
      </c>
      <c r="H131" t="s">
        <v>531</v>
      </c>
      <c r="I131">
        <v>41</v>
      </c>
      <c r="K131" t="s">
        <v>509</v>
      </c>
      <c r="L131" t="s">
        <v>512</v>
      </c>
      <c r="M131" t="s">
        <v>824</v>
      </c>
      <c r="N131" t="s">
        <v>1039</v>
      </c>
    </row>
    <row r="132" spans="1:14" hidden="1" x14ac:dyDescent="0.3">
      <c r="A132" t="s">
        <v>504</v>
      </c>
      <c r="B132" t="s">
        <v>1040</v>
      </c>
      <c r="C132">
        <v>522</v>
      </c>
      <c r="D132" t="s">
        <v>1041</v>
      </c>
      <c r="E132" t="s">
        <v>17</v>
      </c>
      <c r="F132" t="s">
        <v>125</v>
      </c>
      <c r="G132" t="s">
        <v>173</v>
      </c>
      <c r="H132" t="s">
        <v>529</v>
      </c>
      <c r="I132">
        <v>40</v>
      </c>
      <c r="K132" t="s">
        <v>509</v>
      </c>
      <c r="L132" t="s">
        <v>512</v>
      </c>
      <c r="M132" t="s">
        <v>695</v>
      </c>
      <c r="N132" t="s">
        <v>1042</v>
      </c>
    </row>
    <row r="133" spans="1:14" hidden="1" x14ac:dyDescent="0.3">
      <c r="A133" t="s">
        <v>504</v>
      </c>
      <c r="B133" t="s">
        <v>1043</v>
      </c>
      <c r="C133">
        <v>521</v>
      </c>
      <c r="D133" t="s">
        <v>1044</v>
      </c>
      <c r="E133" t="s">
        <v>24</v>
      </c>
      <c r="F133" t="s">
        <v>125</v>
      </c>
      <c r="G133" t="s">
        <v>174</v>
      </c>
      <c r="H133" t="s">
        <v>532</v>
      </c>
      <c r="I133">
        <v>31</v>
      </c>
      <c r="K133" t="s">
        <v>510</v>
      </c>
      <c r="L133" t="s">
        <v>512</v>
      </c>
      <c r="M133" t="s">
        <v>1021</v>
      </c>
      <c r="N133" t="s">
        <v>1045</v>
      </c>
    </row>
    <row r="134" spans="1:14" x14ac:dyDescent="0.3">
      <c r="A134" t="s">
        <v>504</v>
      </c>
      <c r="B134" t="s">
        <v>1046</v>
      </c>
      <c r="C134">
        <v>522</v>
      </c>
      <c r="D134" t="s">
        <v>1047</v>
      </c>
      <c r="E134" t="s">
        <v>24</v>
      </c>
      <c r="F134" t="s">
        <v>125</v>
      </c>
      <c r="G134" t="s">
        <v>175</v>
      </c>
      <c r="H134" t="s">
        <v>531</v>
      </c>
      <c r="I134">
        <v>40</v>
      </c>
      <c r="K134" t="s">
        <v>510</v>
      </c>
      <c r="L134" t="s">
        <v>512</v>
      </c>
      <c r="M134" t="s">
        <v>1048</v>
      </c>
      <c r="N134" t="s">
        <v>1049</v>
      </c>
    </row>
    <row r="135" spans="1:14" hidden="1" x14ac:dyDescent="0.3">
      <c r="A135" t="s">
        <v>504</v>
      </c>
      <c r="B135" t="s">
        <v>1050</v>
      </c>
      <c r="C135">
        <v>522</v>
      </c>
      <c r="D135" t="s">
        <v>1051</v>
      </c>
      <c r="E135" t="s">
        <v>50</v>
      </c>
      <c r="F135" t="s">
        <v>125</v>
      </c>
      <c r="G135" t="s">
        <v>176</v>
      </c>
      <c r="H135" t="s">
        <v>530</v>
      </c>
      <c r="I135">
        <v>40</v>
      </c>
      <c r="K135" t="s">
        <v>510</v>
      </c>
      <c r="L135" t="s">
        <v>512</v>
      </c>
      <c r="M135" t="s">
        <v>1052</v>
      </c>
      <c r="N135" t="s">
        <v>1053</v>
      </c>
    </row>
    <row r="136" spans="1:14" hidden="1" x14ac:dyDescent="0.3">
      <c r="A136" t="s">
        <v>504</v>
      </c>
      <c r="B136" t="s">
        <v>1054</v>
      </c>
      <c r="C136">
        <v>521</v>
      </c>
      <c r="D136" t="s">
        <v>1055</v>
      </c>
      <c r="E136" t="s">
        <v>46</v>
      </c>
      <c r="F136" t="s">
        <v>125</v>
      </c>
      <c r="G136" t="s">
        <v>177</v>
      </c>
      <c r="H136" t="s">
        <v>529</v>
      </c>
      <c r="I136">
        <v>41</v>
      </c>
      <c r="K136" t="s">
        <v>507</v>
      </c>
      <c r="L136" t="s">
        <v>512</v>
      </c>
      <c r="M136" t="s">
        <v>1017</v>
      </c>
      <c r="N136" t="s">
        <v>1056</v>
      </c>
    </row>
    <row r="137" spans="1:14" hidden="1" x14ac:dyDescent="0.3">
      <c r="A137" t="s">
        <v>497</v>
      </c>
      <c r="B137" t="s">
        <v>1057</v>
      </c>
      <c r="C137">
        <v>531</v>
      </c>
      <c r="D137" t="s">
        <v>1058</v>
      </c>
      <c r="E137" t="s">
        <v>50</v>
      </c>
      <c r="F137" t="s">
        <v>27</v>
      </c>
      <c r="G137" t="s">
        <v>178</v>
      </c>
      <c r="H137" t="s">
        <v>536</v>
      </c>
      <c r="I137">
        <v>45</v>
      </c>
      <c r="K137" t="s">
        <v>510</v>
      </c>
      <c r="L137" t="s">
        <v>512</v>
      </c>
      <c r="M137" t="s">
        <v>848</v>
      </c>
      <c r="N137" t="s">
        <v>1059</v>
      </c>
    </row>
    <row r="138" spans="1:14" hidden="1" x14ac:dyDescent="0.3">
      <c r="A138" t="s">
        <v>497</v>
      </c>
      <c r="B138" t="s">
        <v>1060</v>
      </c>
      <c r="C138">
        <v>531</v>
      </c>
      <c r="D138" t="s">
        <v>1061</v>
      </c>
      <c r="E138" t="s">
        <v>17</v>
      </c>
      <c r="F138" t="s">
        <v>27</v>
      </c>
      <c r="G138" t="s">
        <v>179</v>
      </c>
      <c r="H138" t="s">
        <v>538</v>
      </c>
      <c r="I138">
        <v>44</v>
      </c>
      <c r="K138" t="s">
        <v>509</v>
      </c>
      <c r="L138" t="s">
        <v>512</v>
      </c>
      <c r="M138" t="s">
        <v>1062</v>
      </c>
      <c r="N138" t="s">
        <v>1063</v>
      </c>
    </row>
    <row r="139" spans="1:14" hidden="1" x14ac:dyDescent="0.3">
      <c r="A139" t="s">
        <v>497</v>
      </c>
      <c r="B139" t="s">
        <v>1064</v>
      </c>
      <c r="C139">
        <v>532</v>
      </c>
      <c r="D139" t="s">
        <v>1065</v>
      </c>
      <c r="E139" t="s">
        <v>17</v>
      </c>
      <c r="F139" t="s">
        <v>27</v>
      </c>
      <c r="G139" t="s">
        <v>180</v>
      </c>
      <c r="H139" t="s">
        <v>534</v>
      </c>
      <c r="I139">
        <v>45</v>
      </c>
      <c r="K139" t="s">
        <v>509</v>
      </c>
      <c r="L139" t="s">
        <v>512</v>
      </c>
      <c r="M139" t="s">
        <v>658</v>
      </c>
      <c r="N139" t="s">
        <v>1066</v>
      </c>
    </row>
    <row r="140" spans="1:14" hidden="1" x14ac:dyDescent="0.3">
      <c r="A140" t="s">
        <v>497</v>
      </c>
      <c r="B140" t="s">
        <v>1067</v>
      </c>
      <c r="C140">
        <v>532</v>
      </c>
      <c r="D140" t="s">
        <v>1068</v>
      </c>
      <c r="E140" t="s">
        <v>24</v>
      </c>
      <c r="F140" t="s">
        <v>27</v>
      </c>
      <c r="G140" t="s">
        <v>181</v>
      </c>
      <c r="H140" t="s">
        <v>538</v>
      </c>
      <c r="I140">
        <v>44</v>
      </c>
      <c r="K140" t="s">
        <v>510</v>
      </c>
      <c r="L140" t="s">
        <v>512</v>
      </c>
      <c r="M140" t="s">
        <v>1069</v>
      </c>
      <c r="N140" t="s">
        <v>1070</v>
      </c>
    </row>
    <row r="141" spans="1:14" hidden="1" x14ac:dyDescent="0.3">
      <c r="A141" t="s">
        <v>497</v>
      </c>
      <c r="B141" t="s">
        <v>1071</v>
      </c>
      <c r="C141">
        <v>531</v>
      </c>
      <c r="D141" t="s">
        <v>1072</v>
      </c>
      <c r="E141" t="s">
        <v>43</v>
      </c>
      <c r="F141" t="s">
        <v>27</v>
      </c>
      <c r="G141" t="s">
        <v>182</v>
      </c>
      <c r="H141" t="s">
        <v>535</v>
      </c>
      <c r="I141">
        <v>45</v>
      </c>
      <c r="K141" t="s">
        <v>507</v>
      </c>
      <c r="L141" t="s">
        <v>512</v>
      </c>
      <c r="M141" t="s">
        <v>1069</v>
      </c>
      <c r="N141" t="s">
        <v>1073</v>
      </c>
    </row>
    <row r="142" spans="1:14" hidden="1" x14ac:dyDescent="0.3">
      <c r="A142" t="s">
        <v>497</v>
      </c>
      <c r="B142" t="s">
        <v>1074</v>
      </c>
      <c r="C142">
        <v>532</v>
      </c>
      <c r="D142" t="s">
        <v>1075</v>
      </c>
      <c r="E142" t="s">
        <v>43</v>
      </c>
      <c r="F142" t="s">
        <v>27</v>
      </c>
      <c r="G142" t="s">
        <v>183</v>
      </c>
      <c r="H142" t="s">
        <v>535</v>
      </c>
      <c r="I142">
        <v>46</v>
      </c>
      <c r="K142" t="s">
        <v>507</v>
      </c>
      <c r="L142" t="s">
        <v>512</v>
      </c>
      <c r="M142" t="s">
        <v>1076</v>
      </c>
      <c r="N142" t="s">
        <v>1077</v>
      </c>
    </row>
    <row r="143" spans="1:14" hidden="1" x14ac:dyDescent="0.3">
      <c r="A143" t="s">
        <v>497</v>
      </c>
      <c r="B143" t="s">
        <v>1078</v>
      </c>
      <c r="C143">
        <v>531</v>
      </c>
      <c r="D143" t="s">
        <v>1079</v>
      </c>
      <c r="E143" t="s">
        <v>57</v>
      </c>
      <c r="F143" t="s">
        <v>27</v>
      </c>
      <c r="G143" t="s">
        <v>184</v>
      </c>
      <c r="H143" t="s">
        <v>534</v>
      </c>
      <c r="I143">
        <v>45</v>
      </c>
      <c r="K143" t="s">
        <v>511</v>
      </c>
      <c r="L143" t="s">
        <v>512</v>
      </c>
      <c r="M143" t="s">
        <v>988</v>
      </c>
      <c r="N143" t="s">
        <v>1080</v>
      </c>
    </row>
    <row r="144" spans="1:14" hidden="1" x14ac:dyDescent="0.3">
      <c r="A144" t="s">
        <v>497</v>
      </c>
      <c r="B144" t="s">
        <v>1081</v>
      </c>
      <c r="C144">
        <v>532</v>
      </c>
      <c r="D144" t="s">
        <v>1082</v>
      </c>
      <c r="E144" t="s">
        <v>35</v>
      </c>
      <c r="F144" t="s">
        <v>27</v>
      </c>
      <c r="G144" t="s">
        <v>185</v>
      </c>
      <c r="H144" t="s">
        <v>536</v>
      </c>
      <c r="I144" t="s">
        <v>15</v>
      </c>
      <c r="K144" t="s">
        <v>511</v>
      </c>
      <c r="L144" t="s">
        <v>512</v>
      </c>
      <c r="M144" t="s">
        <v>1083</v>
      </c>
      <c r="N144" t="s">
        <v>1084</v>
      </c>
    </row>
    <row r="145" spans="1:14" hidden="1" x14ac:dyDescent="0.3">
      <c r="A145" t="s">
        <v>498</v>
      </c>
      <c r="B145" t="s">
        <v>1085</v>
      </c>
      <c r="C145">
        <v>542</v>
      </c>
      <c r="D145" t="s">
        <v>1086</v>
      </c>
      <c r="E145" t="s">
        <v>9</v>
      </c>
      <c r="F145" t="s">
        <v>125</v>
      </c>
      <c r="G145" t="s">
        <v>186</v>
      </c>
      <c r="H145" t="s">
        <v>534</v>
      </c>
      <c r="I145">
        <v>46</v>
      </c>
      <c r="K145" t="s">
        <v>508</v>
      </c>
      <c r="L145" t="s">
        <v>512</v>
      </c>
      <c r="M145" t="s">
        <v>1087</v>
      </c>
      <c r="N145" t="s">
        <v>1088</v>
      </c>
    </row>
    <row r="146" spans="1:14" hidden="1" x14ac:dyDescent="0.3">
      <c r="A146" t="s">
        <v>498</v>
      </c>
      <c r="B146" t="s">
        <v>1089</v>
      </c>
      <c r="C146">
        <v>541</v>
      </c>
      <c r="D146" t="s">
        <v>1090</v>
      </c>
      <c r="E146" t="s">
        <v>17</v>
      </c>
      <c r="F146" t="s">
        <v>125</v>
      </c>
      <c r="G146" t="s">
        <v>187</v>
      </c>
      <c r="H146" t="s">
        <v>536</v>
      </c>
      <c r="I146">
        <v>46</v>
      </c>
      <c r="K146" t="s">
        <v>509</v>
      </c>
      <c r="L146" t="s">
        <v>512</v>
      </c>
      <c r="M146" t="s">
        <v>848</v>
      </c>
      <c r="N146" t="s">
        <v>1091</v>
      </c>
    </row>
    <row r="147" spans="1:14" hidden="1" x14ac:dyDescent="0.3">
      <c r="A147" t="s">
        <v>498</v>
      </c>
      <c r="B147" t="s">
        <v>1092</v>
      </c>
      <c r="C147">
        <v>542</v>
      </c>
      <c r="D147" t="s">
        <v>1093</v>
      </c>
      <c r="E147" t="s">
        <v>17</v>
      </c>
      <c r="F147" t="s">
        <v>125</v>
      </c>
      <c r="G147" t="s">
        <v>188</v>
      </c>
      <c r="H147" t="s">
        <v>536</v>
      </c>
      <c r="I147">
        <v>45</v>
      </c>
      <c r="K147" t="s">
        <v>509</v>
      </c>
      <c r="L147" t="s">
        <v>512</v>
      </c>
      <c r="M147" t="s">
        <v>1094</v>
      </c>
      <c r="N147" t="s">
        <v>1095</v>
      </c>
    </row>
    <row r="148" spans="1:14" hidden="1" x14ac:dyDescent="0.3">
      <c r="A148" t="s">
        <v>498</v>
      </c>
      <c r="B148" t="s">
        <v>1096</v>
      </c>
      <c r="C148">
        <v>541</v>
      </c>
      <c r="D148" t="s">
        <v>1097</v>
      </c>
      <c r="E148" t="s">
        <v>24</v>
      </c>
      <c r="F148" t="s">
        <v>125</v>
      </c>
      <c r="G148" t="s">
        <v>189</v>
      </c>
      <c r="H148" t="s">
        <v>538</v>
      </c>
      <c r="I148">
        <v>44</v>
      </c>
      <c r="K148" t="s">
        <v>510</v>
      </c>
      <c r="L148" t="s">
        <v>512</v>
      </c>
      <c r="M148" t="s">
        <v>960</v>
      </c>
      <c r="N148" t="s">
        <v>1098</v>
      </c>
    </row>
    <row r="149" spans="1:14" hidden="1" x14ac:dyDescent="0.3">
      <c r="A149" t="s">
        <v>498</v>
      </c>
      <c r="B149" t="s">
        <v>1099</v>
      </c>
      <c r="C149">
        <v>542</v>
      </c>
      <c r="D149" t="s">
        <v>1100</v>
      </c>
      <c r="E149" t="s">
        <v>24</v>
      </c>
      <c r="F149" t="s">
        <v>125</v>
      </c>
      <c r="G149" t="s">
        <v>190</v>
      </c>
      <c r="H149" t="s">
        <v>535</v>
      </c>
      <c r="I149" t="s">
        <v>15</v>
      </c>
      <c r="K149" t="s">
        <v>510</v>
      </c>
      <c r="L149" t="s">
        <v>512</v>
      </c>
      <c r="M149" t="s">
        <v>1069</v>
      </c>
      <c r="N149" t="s">
        <v>1101</v>
      </c>
    </row>
    <row r="150" spans="1:14" hidden="1" x14ac:dyDescent="0.3">
      <c r="A150" t="s">
        <v>498</v>
      </c>
      <c r="B150" t="s">
        <v>1102</v>
      </c>
      <c r="C150">
        <v>541</v>
      </c>
      <c r="D150" t="s">
        <v>1103</v>
      </c>
      <c r="E150" t="s">
        <v>43</v>
      </c>
      <c r="F150" t="s">
        <v>125</v>
      </c>
      <c r="G150" t="s">
        <v>191</v>
      </c>
      <c r="H150" t="s">
        <v>534</v>
      </c>
      <c r="I150">
        <v>46</v>
      </c>
      <c r="K150" t="s">
        <v>507</v>
      </c>
      <c r="L150" t="s">
        <v>512</v>
      </c>
      <c r="M150" t="s">
        <v>658</v>
      </c>
      <c r="N150" t="s">
        <v>1104</v>
      </c>
    </row>
    <row r="151" spans="1:14" hidden="1" x14ac:dyDescent="0.3">
      <c r="A151" t="s">
        <v>498</v>
      </c>
      <c r="B151" t="s">
        <v>1105</v>
      </c>
      <c r="C151">
        <v>542</v>
      </c>
      <c r="D151" t="s">
        <v>1106</v>
      </c>
      <c r="E151" t="s">
        <v>43</v>
      </c>
      <c r="F151" t="s">
        <v>125</v>
      </c>
      <c r="G151" t="s">
        <v>192</v>
      </c>
      <c r="H151" t="s">
        <v>538</v>
      </c>
      <c r="I151">
        <v>44</v>
      </c>
      <c r="K151" t="s">
        <v>507</v>
      </c>
      <c r="L151" t="s">
        <v>512</v>
      </c>
      <c r="M151" t="s">
        <v>960</v>
      </c>
      <c r="N151" t="s">
        <v>1107</v>
      </c>
    </row>
    <row r="152" spans="1:14" hidden="1" x14ac:dyDescent="0.3">
      <c r="A152" t="s">
        <v>498</v>
      </c>
      <c r="B152" t="s">
        <v>1108</v>
      </c>
      <c r="C152">
        <v>541</v>
      </c>
      <c r="D152" t="s">
        <v>1109</v>
      </c>
      <c r="E152" t="s">
        <v>57</v>
      </c>
      <c r="F152" t="s">
        <v>125</v>
      </c>
      <c r="G152" t="s">
        <v>193</v>
      </c>
      <c r="H152" t="s">
        <v>535</v>
      </c>
      <c r="I152">
        <v>46</v>
      </c>
      <c r="K152" t="s">
        <v>511</v>
      </c>
      <c r="L152" t="s">
        <v>512</v>
      </c>
      <c r="M152" t="s">
        <v>1094</v>
      </c>
      <c r="N152" t="s">
        <v>1110</v>
      </c>
    </row>
    <row r="153" spans="1:14" hidden="1" x14ac:dyDescent="0.3">
      <c r="A153" t="s">
        <v>499</v>
      </c>
      <c r="B153" t="s">
        <v>1111</v>
      </c>
      <c r="C153">
        <v>611</v>
      </c>
      <c r="D153" t="s">
        <v>1112</v>
      </c>
      <c r="E153" t="s">
        <v>9</v>
      </c>
      <c r="F153" t="s">
        <v>10</v>
      </c>
      <c r="G153" t="s">
        <v>194</v>
      </c>
      <c r="H153" t="s">
        <v>530</v>
      </c>
      <c r="I153">
        <v>52</v>
      </c>
      <c r="K153" t="s">
        <v>508</v>
      </c>
      <c r="L153" t="s">
        <v>512</v>
      </c>
      <c r="M153" t="s">
        <v>949</v>
      </c>
      <c r="N153" t="s">
        <v>1113</v>
      </c>
    </row>
    <row r="154" spans="1:14" hidden="1" x14ac:dyDescent="0.3">
      <c r="A154" t="s">
        <v>499</v>
      </c>
      <c r="B154" t="s">
        <v>1114</v>
      </c>
      <c r="C154">
        <v>612</v>
      </c>
      <c r="D154" t="s">
        <v>1115</v>
      </c>
      <c r="E154" t="s">
        <v>9</v>
      </c>
      <c r="F154" t="s">
        <v>10</v>
      </c>
      <c r="G154" t="s">
        <v>195</v>
      </c>
      <c r="H154" t="s">
        <v>530</v>
      </c>
      <c r="I154">
        <v>30</v>
      </c>
      <c r="K154" t="s">
        <v>508</v>
      </c>
      <c r="L154" t="s">
        <v>512</v>
      </c>
      <c r="M154" t="s">
        <v>1021</v>
      </c>
      <c r="N154" t="s">
        <v>1116</v>
      </c>
    </row>
    <row r="155" spans="1:14" hidden="1" x14ac:dyDescent="0.3">
      <c r="A155" t="s">
        <v>499</v>
      </c>
      <c r="B155" t="s">
        <v>1117</v>
      </c>
      <c r="C155">
        <v>611</v>
      </c>
      <c r="D155" t="s">
        <v>1118</v>
      </c>
      <c r="E155" t="s">
        <v>102</v>
      </c>
      <c r="F155" t="s">
        <v>27</v>
      </c>
      <c r="G155" t="s">
        <v>196</v>
      </c>
      <c r="H155" t="s">
        <v>529</v>
      </c>
      <c r="I155">
        <v>31</v>
      </c>
      <c r="K155" t="s">
        <v>508</v>
      </c>
      <c r="L155" t="s">
        <v>512</v>
      </c>
      <c r="M155" t="s">
        <v>949</v>
      </c>
      <c r="N155" t="s">
        <v>1119</v>
      </c>
    </row>
    <row r="156" spans="1:14" hidden="1" x14ac:dyDescent="0.3">
      <c r="A156" t="s">
        <v>499</v>
      </c>
      <c r="B156" t="s">
        <v>1120</v>
      </c>
      <c r="C156">
        <v>611</v>
      </c>
      <c r="D156" t="s">
        <v>1121</v>
      </c>
      <c r="E156" t="s">
        <v>17</v>
      </c>
      <c r="F156" t="s">
        <v>10</v>
      </c>
      <c r="G156" t="s">
        <v>197</v>
      </c>
      <c r="H156" t="s">
        <v>540</v>
      </c>
      <c r="I156">
        <v>31</v>
      </c>
      <c r="K156" t="s">
        <v>509</v>
      </c>
      <c r="L156" t="s">
        <v>512</v>
      </c>
      <c r="M156" t="s">
        <v>1028</v>
      </c>
      <c r="N156" t="s">
        <v>1122</v>
      </c>
    </row>
    <row r="157" spans="1:14" hidden="1" x14ac:dyDescent="0.3">
      <c r="A157" t="s">
        <v>499</v>
      </c>
      <c r="B157" t="s">
        <v>1123</v>
      </c>
      <c r="C157">
        <v>612</v>
      </c>
      <c r="D157" t="s">
        <v>1124</v>
      </c>
      <c r="E157" t="s">
        <v>50</v>
      </c>
      <c r="F157" t="s">
        <v>10</v>
      </c>
      <c r="G157" t="s">
        <v>198</v>
      </c>
      <c r="H157" t="s">
        <v>529</v>
      </c>
      <c r="I157">
        <v>31</v>
      </c>
      <c r="K157" t="s">
        <v>510</v>
      </c>
      <c r="L157" t="s">
        <v>512</v>
      </c>
      <c r="M157" t="s">
        <v>949</v>
      </c>
      <c r="N157" t="s">
        <v>1125</v>
      </c>
    </row>
    <row r="158" spans="1:14" hidden="1" x14ac:dyDescent="0.3">
      <c r="A158" t="s">
        <v>499</v>
      </c>
      <c r="B158" t="s">
        <v>1126</v>
      </c>
      <c r="C158">
        <v>0</v>
      </c>
      <c r="D158" t="s">
        <v>1127</v>
      </c>
      <c r="E158" t="s">
        <v>43</v>
      </c>
      <c r="F158" t="s">
        <v>10</v>
      </c>
      <c r="G158" t="s">
        <v>199</v>
      </c>
      <c r="H158" t="s">
        <v>533</v>
      </c>
      <c r="I158">
        <v>45</v>
      </c>
      <c r="K158" t="s">
        <v>507</v>
      </c>
      <c r="L158" t="s">
        <v>512</v>
      </c>
      <c r="M158" t="s">
        <v>1128</v>
      </c>
      <c r="N158" t="s">
        <v>1129</v>
      </c>
    </row>
    <row r="159" spans="1:14" x14ac:dyDescent="0.3">
      <c r="A159" t="s">
        <v>499</v>
      </c>
      <c r="B159" t="s">
        <v>1130</v>
      </c>
      <c r="C159">
        <v>611</v>
      </c>
      <c r="D159" t="s">
        <v>1131</v>
      </c>
      <c r="E159" t="s">
        <v>35</v>
      </c>
      <c r="F159" t="s">
        <v>10</v>
      </c>
      <c r="G159" t="s">
        <v>200</v>
      </c>
      <c r="H159" t="s">
        <v>531</v>
      </c>
      <c r="I159">
        <v>31</v>
      </c>
      <c r="K159" t="s">
        <v>511</v>
      </c>
      <c r="L159" t="s">
        <v>512</v>
      </c>
      <c r="M159" t="s">
        <v>1132</v>
      </c>
      <c r="N159" t="s">
        <v>1133</v>
      </c>
    </row>
    <row r="160" spans="1:14" x14ac:dyDescent="0.3">
      <c r="A160" t="s">
        <v>499</v>
      </c>
      <c r="B160" t="s">
        <v>1134</v>
      </c>
      <c r="C160">
        <v>612</v>
      </c>
      <c r="D160" t="s">
        <v>1135</v>
      </c>
      <c r="E160" t="s">
        <v>35</v>
      </c>
      <c r="F160" t="s">
        <v>10</v>
      </c>
      <c r="G160" t="s">
        <v>201</v>
      </c>
      <c r="H160" t="s">
        <v>531</v>
      </c>
      <c r="I160">
        <v>41</v>
      </c>
      <c r="K160" t="s">
        <v>511</v>
      </c>
      <c r="L160" t="s">
        <v>512</v>
      </c>
      <c r="M160" t="s">
        <v>1021</v>
      </c>
      <c r="N160" t="s">
        <v>1136</v>
      </c>
    </row>
    <row r="161" spans="1:14" hidden="1" x14ac:dyDescent="0.3">
      <c r="A161" t="s">
        <v>499</v>
      </c>
      <c r="B161" t="s">
        <v>1137</v>
      </c>
      <c r="C161">
        <v>612</v>
      </c>
      <c r="D161" t="s">
        <v>1138</v>
      </c>
      <c r="E161" t="s">
        <v>57</v>
      </c>
      <c r="F161" t="s">
        <v>27</v>
      </c>
      <c r="G161" t="s">
        <v>202</v>
      </c>
      <c r="H161" t="s">
        <v>540</v>
      </c>
      <c r="I161">
        <v>30</v>
      </c>
      <c r="K161" t="s">
        <v>511</v>
      </c>
      <c r="L161" t="s">
        <v>512</v>
      </c>
      <c r="M161" t="s">
        <v>928</v>
      </c>
      <c r="N161" t="s">
        <v>1139</v>
      </c>
    </row>
    <row r="162" spans="1:14" hidden="1" x14ac:dyDescent="0.3">
      <c r="A162" t="s">
        <v>500</v>
      </c>
      <c r="B162" t="s">
        <v>1140</v>
      </c>
      <c r="C162">
        <v>621</v>
      </c>
      <c r="D162" t="s">
        <v>1141</v>
      </c>
      <c r="E162" t="s">
        <v>9</v>
      </c>
      <c r="F162" t="s">
        <v>27</v>
      </c>
      <c r="G162" t="s">
        <v>203</v>
      </c>
      <c r="H162" t="s">
        <v>529</v>
      </c>
      <c r="I162">
        <v>31</v>
      </c>
      <c r="K162" t="s">
        <v>508</v>
      </c>
      <c r="L162" t="s">
        <v>512</v>
      </c>
      <c r="M162" t="s">
        <v>757</v>
      </c>
      <c r="N162" t="s">
        <v>1142</v>
      </c>
    </row>
    <row r="163" spans="1:14" hidden="1" x14ac:dyDescent="0.3">
      <c r="A163" t="s">
        <v>500</v>
      </c>
      <c r="B163" t="s">
        <v>1143</v>
      </c>
      <c r="C163">
        <v>621</v>
      </c>
      <c r="D163" t="s">
        <v>1144</v>
      </c>
      <c r="E163" t="s">
        <v>17</v>
      </c>
      <c r="F163" t="s">
        <v>27</v>
      </c>
      <c r="G163" t="s">
        <v>204</v>
      </c>
      <c r="H163" t="s">
        <v>530</v>
      </c>
      <c r="I163" t="s">
        <v>38</v>
      </c>
      <c r="K163" t="s">
        <v>509</v>
      </c>
      <c r="L163" t="s">
        <v>512</v>
      </c>
      <c r="M163" t="s">
        <v>949</v>
      </c>
      <c r="N163" t="s">
        <v>1145</v>
      </c>
    </row>
    <row r="164" spans="1:14" hidden="1" x14ac:dyDescent="0.3">
      <c r="A164" t="s">
        <v>500</v>
      </c>
      <c r="B164" t="s">
        <v>1146</v>
      </c>
      <c r="C164">
        <v>622</v>
      </c>
      <c r="D164" t="s">
        <v>1147</v>
      </c>
      <c r="E164" t="s">
        <v>17</v>
      </c>
      <c r="F164" t="s">
        <v>27</v>
      </c>
      <c r="G164" t="s">
        <v>205</v>
      </c>
      <c r="H164" t="s">
        <v>529</v>
      </c>
      <c r="I164">
        <v>31</v>
      </c>
      <c r="K164" t="s">
        <v>509</v>
      </c>
      <c r="L164" t="s">
        <v>512</v>
      </c>
      <c r="M164" t="s">
        <v>1017</v>
      </c>
      <c r="N164" t="s">
        <v>1148</v>
      </c>
    </row>
    <row r="165" spans="1:14" x14ac:dyDescent="0.3">
      <c r="A165" t="s">
        <v>500</v>
      </c>
      <c r="B165" t="s">
        <v>1149</v>
      </c>
      <c r="C165">
        <v>622</v>
      </c>
      <c r="D165" t="s">
        <v>1150</v>
      </c>
      <c r="E165" t="s">
        <v>13</v>
      </c>
      <c r="F165" t="s">
        <v>27</v>
      </c>
      <c r="G165" t="s">
        <v>206</v>
      </c>
      <c r="H165" t="s">
        <v>531</v>
      </c>
      <c r="I165">
        <v>31</v>
      </c>
      <c r="K165" t="s">
        <v>509</v>
      </c>
      <c r="L165" t="s">
        <v>512</v>
      </c>
      <c r="M165" t="s">
        <v>695</v>
      </c>
      <c r="N165" t="s">
        <v>1151</v>
      </c>
    </row>
    <row r="166" spans="1:14" hidden="1" x14ac:dyDescent="0.3">
      <c r="A166" t="s">
        <v>500</v>
      </c>
      <c r="B166" t="s">
        <v>1152</v>
      </c>
      <c r="C166">
        <v>622</v>
      </c>
      <c r="D166" t="s">
        <v>804</v>
      </c>
      <c r="E166" t="s">
        <v>24</v>
      </c>
      <c r="F166" t="s">
        <v>27</v>
      </c>
      <c r="G166" t="s">
        <v>207</v>
      </c>
      <c r="H166" t="s">
        <v>530</v>
      </c>
      <c r="I166">
        <v>40</v>
      </c>
      <c r="K166" t="s">
        <v>510</v>
      </c>
      <c r="L166" t="s">
        <v>512</v>
      </c>
      <c r="M166" t="s">
        <v>757</v>
      </c>
      <c r="N166" t="s">
        <v>1153</v>
      </c>
    </row>
    <row r="167" spans="1:14" hidden="1" x14ac:dyDescent="0.3">
      <c r="A167" t="s">
        <v>500</v>
      </c>
      <c r="B167" t="s">
        <v>1154</v>
      </c>
      <c r="C167">
        <v>621</v>
      </c>
      <c r="D167" t="s">
        <v>1155</v>
      </c>
      <c r="E167" t="s">
        <v>43</v>
      </c>
      <c r="F167" t="s">
        <v>27</v>
      </c>
      <c r="G167" t="s">
        <v>208</v>
      </c>
      <c r="H167" t="s">
        <v>540</v>
      </c>
      <c r="I167">
        <v>40</v>
      </c>
      <c r="K167" t="s">
        <v>507</v>
      </c>
      <c r="L167" t="s">
        <v>512</v>
      </c>
      <c r="M167" t="s">
        <v>824</v>
      </c>
      <c r="N167" t="s">
        <v>1156</v>
      </c>
    </row>
    <row r="168" spans="1:14" hidden="1" x14ac:dyDescent="0.3">
      <c r="A168" t="s">
        <v>500</v>
      </c>
      <c r="B168" t="s">
        <v>1157</v>
      </c>
      <c r="C168">
        <v>622</v>
      </c>
      <c r="D168" t="s">
        <v>1158</v>
      </c>
      <c r="E168" t="s">
        <v>57</v>
      </c>
      <c r="F168" t="s">
        <v>27</v>
      </c>
      <c r="G168" t="s">
        <v>209</v>
      </c>
      <c r="H168" t="s">
        <v>540</v>
      </c>
      <c r="I168">
        <v>31</v>
      </c>
      <c r="K168" t="s">
        <v>511</v>
      </c>
      <c r="L168" t="s">
        <v>512</v>
      </c>
      <c r="M168" t="s">
        <v>1017</v>
      </c>
      <c r="N168" t="s">
        <v>1159</v>
      </c>
    </row>
    <row r="169" spans="1:14" x14ac:dyDescent="0.3">
      <c r="A169" t="s">
        <v>500</v>
      </c>
      <c r="B169" t="s">
        <v>1160</v>
      </c>
      <c r="C169">
        <v>621</v>
      </c>
      <c r="D169" t="s">
        <v>1161</v>
      </c>
      <c r="E169" t="s">
        <v>57</v>
      </c>
      <c r="F169" t="s">
        <v>27</v>
      </c>
      <c r="G169" t="s">
        <v>210</v>
      </c>
      <c r="H169" t="s">
        <v>531</v>
      </c>
      <c r="I169">
        <v>41</v>
      </c>
      <c r="K169" t="s">
        <v>511</v>
      </c>
      <c r="L169" t="s">
        <v>512</v>
      </c>
      <c r="M169" t="s">
        <v>824</v>
      </c>
      <c r="N169" t="s">
        <v>1162</v>
      </c>
    </row>
    <row r="170" spans="1:14" hidden="1" x14ac:dyDescent="0.3">
      <c r="A170" t="s">
        <v>501</v>
      </c>
      <c r="B170" t="s">
        <v>1163</v>
      </c>
      <c r="C170">
        <v>641</v>
      </c>
      <c r="D170" t="s">
        <v>1164</v>
      </c>
      <c r="E170" t="s">
        <v>9</v>
      </c>
      <c r="F170" t="s">
        <v>27</v>
      </c>
      <c r="G170" t="s">
        <v>211</v>
      </c>
      <c r="H170" t="s">
        <v>545</v>
      </c>
      <c r="I170">
        <v>44</v>
      </c>
      <c r="K170" t="s">
        <v>508</v>
      </c>
      <c r="L170" t="s">
        <v>512</v>
      </c>
      <c r="M170" t="s">
        <v>1165</v>
      </c>
      <c r="N170" t="s">
        <v>1166</v>
      </c>
    </row>
    <row r="171" spans="1:14" hidden="1" x14ac:dyDescent="0.3">
      <c r="A171" t="s">
        <v>501</v>
      </c>
      <c r="B171" t="s">
        <v>1167</v>
      </c>
      <c r="C171">
        <v>641</v>
      </c>
      <c r="D171" t="s">
        <v>1168</v>
      </c>
      <c r="E171" t="s">
        <v>24</v>
      </c>
      <c r="F171" t="s">
        <v>27</v>
      </c>
      <c r="G171" t="s">
        <v>212</v>
      </c>
      <c r="H171" t="s">
        <v>544</v>
      </c>
      <c r="I171">
        <v>45</v>
      </c>
      <c r="K171" t="s">
        <v>510</v>
      </c>
      <c r="L171" t="s">
        <v>512</v>
      </c>
      <c r="M171" t="s">
        <v>960</v>
      </c>
      <c r="N171" t="s">
        <v>1169</v>
      </c>
    </row>
    <row r="172" spans="1:14" hidden="1" x14ac:dyDescent="0.3">
      <c r="A172" t="s">
        <v>501</v>
      </c>
      <c r="B172" t="s">
        <v>1170</v>
      </c>
      <c r="C172">
        <v>641</v>
      </c>
      <c r="D172" t="s">
        <v>1171</v>
      </c>
      <c r="E172" t="s">
        <v>24</v>
      </c>
      <c r="F172" t="s">
        <v>125</v>
      </c>
      <c r="G172" t="s">
        <v>213</v>
      </c>
      <c r="H172" t="s">
        <v>542</v>
      </c>
      <c r="I172">
        <v>45</v>
      </c>
      <c r="K172" t="s">
        <v>510</v>
      </c>
      <c r="L172" t="s">
        <v>512</v>
      </c>
      <c r="M172" t="s">
        <v>1094</v>
      </c>
      <c r="N172" t="s">
        <v>1172</v>
      </c>
    </row>
    <row r="173" spans="1:14" hidden="1" x14ac:dyDescent="0.3">
      <c r="A173" t="s">
        <v>501</v>
      </c>
      <c r="B173" t="s">
        <v>1173</v>
      </c>
      <c r="C173">
        <v>642</v>
      </c>
      <c r="D173" t="s">
        <v>1174</v>
      </c>
      <c r="E173" t="s">
        <v>26</v>
      </c>
      <c r="F173" t="s">
        <v>125</v>
      </c>
      <c r="G173" t="s">
        <v>214</v>
      </c>
      <c r="H173" t="s">
        <v>543</v>
      </c>
      <c r="I173">
        <v>46</v>
      </c>
      <c r="K173" t="s">
        <v>510</v>
      </c>
      <c r="L173" t="s">
        <v>512</v>
      </c>
      <c r="M173" t="s">
        <v>1175</v>
      </c>
      <c r="N173" t="s">
        <v>1176</v>
      </c>
    </row>
    <row r="174" spans="1:14" hidden="1" x14ac:dyDescent="0.3">
      <c r="A174" t="s">
        <v>501</v>
      </c>
      <c r="B174" t="s">
        <v>1177</v>
      </c>
      <c r="C174">
        <v>641</v>
      </c>
      <c r="D174" t="s">
        <v>1178</v>
      </c>
      <c r="E174" t="s">
        <v>43</v>
      </c>
      <c r="F174" t="s">
        <v>125</v>
      </c>
      <c r="G174" t="s">
        <v>215</v>
      </c>
      <c r="H174" t="s">
        <v>543</v>
      </c>
      <c r="I174" t="s">
        <v>15</v>
      </c>
      <c r="K174" t="s">
        <v>507</v>
      </c>
      <c r="L174" t="s">
        <v>512</v>
      </c>
      <c r="M174" t="s">
        <v>995</v>
      </c>
      <c r="N174" t="s">
        <v>1179</v>
      </c>
    </row>
    <row r="175" spans="1:14" hidden="1" x14ac:dyDescent="0.3">
      <c r="A175" t="s">
        <v>501</v>
      </c>
      <c r="B175" t="s">
        <v>1180</v>
      </c>
      <c r="C175">
        <v>642</v>
      </c>
      <c r="D175" t="s">
        <v>1181</v>
      </c>
      <c r="E175" t="s">
        <v>43</v>
      </c>
      <c r="F175" t="s">
        <v>125</v>
      </c>
      <c r="G175" t="s">
        <v>216</v>
      </c>
      <c r="H175" t="s">
        <v>544</v>
      </c>
      <c r="I175">
        <v>45</v>
      </c>
      <c r="K175" t="s">
        <v>507</v>
      </c>
      <c r="L175" t="s">
        <v>512</v>
      </c>
      <c r="M175" t="s">
        <v>777</v>
      </c>
      <c r="N175" t="s">
        <v>1182</v>
      </c>
    </row>
    <row r="176" spans="1:14" hidden="1" x14ac:dyDescent="0.3">
      <c r="A176" t="s">
        <v>501</v>
      </c>
      <c r="B176" t="s">
        <v>1183</v>
      </c>
      <c r="C176">
        <v>642</v>
      </c>
      <c r="D176" t="s">
        <v>1184</v>
      </c>
      <c r="E176" t="s">
        <v>57</v>
      </c>
      <c r="F176" t="s">
        <v>27</v>
      </c>
      <c r="G176" t="s">
        <v>217</v>
      </c>
      <c r="H176" t="s">
        <v>545</v>
      </c>
      <c r="I176">
        <v>44</v>
      </c>
      <c r="K176" t="s">
        <v>511</v>
      </c>
      <c r="L176" t="s">
        <v>512</v>
      </c>
      <c r="M176" t="s">
        <v>1165</v>
      </c>
      <c r="N176" t="s">
        <v>1185</v>
      </c>
    </row>
    <row r="177" spans="1:14" hidden="1" x14ac:dyDescent="0.3">
      <c r="A177" t="s">
        <v>501</v>
      </c>
      <c r="B177" t="s">
        <v>1186</v>
      </c>
      <c r="C177">
        <v>642</v>
      </c>
      <c r="D177" t="s">
        <v>1187</v>
      </c>
      <c r="E177" t="s">
        <v>57</v>
      </c>
      <c r="F177" t="s">
        <v>125</v>
      </c>
      <c r="G177" t="s">
        <v>218</v>
      </c>
      <c r="H177" t="s">
        <v>542</v>
      </c>
      <c r="I177">
        <v>44</v>
      </c>
      <c r="K177" t="s">
        <v>511</v>
      </c>
      <c r="L177" t="s">
        <v>512</v>
      </c>
      <c r="M177" t="s">
        <v>995</v>
      </c>
      <c r="N177" t="s">
        <v>1188</v>
      </c>
    </row>
    <row r="178" spans="1:14" hidden="1" x14ac:dyDescent="0.3">
      <c r="A178" t="s">
        <v>505</v>
      </c>
      <c r="B178" t="s">
        <v>1189</v>
      </c>
      <c r="C178">
        <v>711</v>
      </c>
      <c r="D178" t="s">
        <v>1190</v>
      </c>
      <c r="E178" t="s">
        <v>9</v>
      </c>
      <c r="F178" t="s">
        <v>125</v>
      </c>
      <c r="G178" t="s">
        <v>219</v>
      </c>
      <c r="H178" t="s">
        <v>549</v>
      </c>
      <c r="I178">
        <v>40</v>
      </c>
      <c r="K178" t="s">
        <v>508</v>
      </c>
      <c r="L178" t="s">
        <v>512</v>
      </c>
      <c r="M178" t="s">
        <v>1191</v>
      </c>
      <c r="N178" t="s">
        <v>1192</v>
      </c>
    </row>
    <row r="179" spans="1:14" hidden="1" x14ac:dyDescent="0.3">
      <c r="A179" t="s">
        <v>505</v>
      </c>
      <c r="B179" t="s">
        <v>1193</v>
      </c>
      <c r="C179">
        <v>712</v>
      </c>
      <c r="D179" t="s">
        <v>1194</v>
      </c>
      <c r="E179" t="s">
        <v>9</v>
      </c>
      <c r="F179" t="s">
        <v>125</v>
      </c>
      <c r="G179" t="s">
        <v>220</v>
      </c>
      <c r="H179" t="s">
        <v>547</v>
      </c>
      <c r="I179">
        <v>52</v>
      </c>
      <c r="K179" t="s">
        <v>508</v>
      </c>
      <c r="L179" t="s">
        <v>512</v>
      </c>
      <c r="M179" t="s">
        <v>949</v>
      </c>
      <c r="N179" t="s">
        <v>1195</v>
      </c>
    </row>
    <row r="180" spans="1:14" hidden="1" x14ac:dyDescent="0.3">
      <c r="A180" t="s">
        <v>505</v>
      </c>
      <c r="B180" t="s">
        <v>1196</v>
      </c>
      <c r="C180">
        <v>0</v>
      </c>
      <c r="D180" t="s">
        <v>1002</v>
      </c>
      <c r="E180" t="s">
        <v>9</v>
      </c>
      <c r="F180" t="s">
        <v>10</v>
      </c>
      <c r="G180" t="s">
        <v>221</v>
      </c>
      <c r="H180" t="s">
        <v>548</v>
      </c>
      <c r="J180">
        <v>41</v>
      </c>
      <c r="K180" t="s">
        <v>508</v>
      </c>
      <c r="L180" t="s">
        <v>512</v>
      </c>
      <c r="M180" t="s">
        <v>824</v>
      </c>
      <c r="N180" t="s">
        <v>1197</v>
      </c>
    </row>
    <row r="181" spans="1:14" hidden="1" x14ac:dyDescent="0.3">
      <c r="A181" t="s">
        <v>505</v>
      </c>
      <c r="B181" t="s">
        <v>1198</v>
      </c>
      <c r="C181">
        <v>712</v>
      </c>
      <c r="D181" t="s">
        <v>1199</v>
      </c>
      <c r="E181" t="s">
        <v>24</v>
      </c>
      <c r="F181" t="s">
        <v>10</v>
      </c>
      <c r="G181" t="s">
        <v>222</v>
      </c>
      <c r="H181" t="s">
        <v>546</v>
      </c>
      <c r="I181">
        <v>30</v>
      </c>
      <c r="K181" t="s">
        <v>510</v>
      </c>
      <c r="L181" t="s">
        <v>512</v>
      </c>
      <c r="M181" t="s">
        <v>695</v>
      </c>
      <c r="N181" t="s">
        <v>1200</v>
      </c>
    </row>
    <row r="182" spans="1:14" hidden="1" x14ac:dyDescent="0.3">
      <c r="A182" t="s">
        <v>505</v>
      </c>
      <c r="B182" t="s">
        <v>1201</v>
      </c>
      <c r="C182">
        <v>711</v>
      </c>
      <c r="D182" t="s">
        <v>1202</v>
      </c>
      <c r="E182" t="s">
        <v>43</v>
      </c>
      <c r="F182" t="s">
        <v>10</v>
      </c>
      <c r="G182" t="s">
        <v>223</v>
      </c>
      <c r="H182" t="s">
        <v>547</v>
      </c>
      <c r="I182">
        <v>41</v>
      </c>
      <c r="K182" t="s">
        <v>507</v>
      </c>
      <c r="L182" t="s">
        <v>512</v>
      </c>
      <c r="M182" t="s">
        <v>1203</v>
      </c>
      <c r="N182" t="s">
        <v>1204</v>
      </c>
    </row>
    <row r="183" spans="1:14" hidden="1" x14ac:dyDescent="0.3">
      <c r="A183" t="s">
        <v>505</v>
      </c>
      <c r="B183" t="s">
        <v>1205</v>
      </c>
      <c r="C183">
        <v>711</v>
      </c>
      <c r="D183" t="s">
        <v>1206</v>
      </c>
      <c r="E183" t="s">
        <v>57</v>
      </c>
      <c r="F183" t="s">
        <v>125</v>
      </c>
      <c r="G183" t="s">
        <v>224</v>
      </c>
      <c r="H183" t="s">
        <v>546</v>
      </c>
      <c r="I183">
        <v>31</v>
      </c>
      <c r="K183" t="s">
        <v>511</v>
      </c>
      <c r="L183" t="s">
        <v>512</v>
      </c>
      <c r="M183" t="s">
        <v>1203</v>
      </c>
      <c r="N183" t="s">
        <v>1207</v>
      </c>
    </row>
    <row r="184" spans="1:14" hidden="1" x14ac:dyDescent="0.3">
      <c r="A184" t="s">
        <v>505</v>
      </c>
      <c r="B184" t="s">
        <v>1208</v>
      </c>
      <c r="C184">
        <v>712</v>
      </c>
      <c r="D184" t="s">
        <v>1209</v>
      </c>
      <c r="E184" t="s">
        <v>57</v>
      </c>
      <c r="F184" t="s">
        <v>125</v>
      </c>
      <c r="G184" t="s">
        <v>225</v>
      </c>
      <c r="H184" t="s">
        <v>549</v>
      </c>
      <c r="I184">
        <v>40</v>
      </c>
      <c r="K184" t="s">
        <v>511</v>
      </c>
      <c r="L184" t="s">
        <v>512</v>
      </c>
      <c r="M184" t="s">
        <v>1191</v>
      </c>
      <c r="N184" t="s">
        <v>1210</v>
      </c>
    </row>
    <row r="185" spans="1:14" hidden="1" x14ac:dyDescent="0.3">
      <c r="A185" t="s">
        <v>502</v>
      </c>
      <c r="B185" t="s">
        <v>1211</v>
      </c>
      <c r="C185">
        <v>721</v>
      </c>
      <c r="D185" t="s">
        <v>1212</v>
      </c>
      <c r="E185" t="s">
        <v>557</v>
      </c>
      <c r="F185" t="s">
        <v>10</v>
      </c>
      <c r="G185" t="s">
        <v>226</v>
      </c>
      <c r="H185" t="s">
        <v>550</v>
      </c>
      <c r="I185">
        <v>44</v>
      </c>
      <c r="K185" t="s">
        <v>508</v>
      </c>
      <c r="L185" t="s">
        <v>512</v>
      </c>
      <c r="M185" t="s">
        <v>611</v>
      </c>
      <c r="N185" t="s">
        <v>1213</v>
      </c>
    </row>
    <row r="186" spans="1:14" hidden="1" x14ac:dyDescent="0.3">
      <c r="A186" t="s">
        <v>502</v>
      </c>
      <c r="B186" t="s">
        <v>1214</v>
      </c>
      <c r="C186">
        <v>722</v>
      </c>
      <c r="D186" t="s">
        <v>1215</v>
      </c>
      <c r="E186" t="s">
        <v>9</v>
      </c>
      <c r="F186" t="s">
        <v>125</v>
      </c>
      <c r="G186" t="s">
        <v>227</v>
      </c>
      <c r="H186" t="s">
        <v>552</v>
      </c>
      <c r="I186">
        <v>45</v>
      </c>
      <c r="K186" t="s">
        <v>508</v>
      </c>
      <c r="L186" t="s">
        <v>512</v>
      </c>
      <c r="M186" t="s">
        <v>848</v>
      </c>
      <c r="N186" t="s">
        <v>1216</v>
      </c>
    </row>
    <row r="187" spans="1:14" hidden="1" x14ac:dyDescent="0.3">
      <c r="A187" t="s">
        <v>502</v>
      </c>
      <c r="B187" t="s">
        <v>1217</v>
      </c>
      <c r="C187">
        <v>721</v>
      </c>
      <c r="D187" t="s">
        <v>1218</v>
      </c>
      <c r="E187" t="s">
        <v>9</v>
      </c>
      <c r="F187" t="s">
        <v>10</v>
      </c>
      <c r="G187" t="s">
        <v>228</v>
      </c>
      <c r="H187" t="s">
        <v>552</v>
      </c>
      <c r="I187">
        <v>44</v>
      </c>
      <c r="K187" t="s">
        <v>508</v>
      </c>
      <c r="L187" t="s">
        <v>512</v>
      </c>
      <c r="M187" t="s">
        <v>848</v>
      </c>
      <c r="N187" t="s">
        <v>1219</v>
      </c>
    </row>
    <row r="188" spans="1:14" hidden="1" x14ac:dyDescent="0.3">
      <c r="A188" t="s">
        <v>502</v>
      </c>
      <c r="B188" t="s">
        <v>1220</v>
      </c>
      <c r="C188">
        <v>721</v>
      </c>
      <c r="D188" t="s">
        <v>1221</v>
      </c>
      <c r="E188" t="s">
        <v>43</v>
      </c>
      <c r="F188" t="s">
        <v>27</v>
      </c>
      <c r="G188" t="s">
        <v>229</v>
      </c>
      <c r="H188" t="s">
        <v>551</v>
      </c>
      <c r="I188">
        <v>44</v>
      </c>
      <c r="K188" t="s">
        <v>507</v>
      </c>
      <c r="L188" t="s">
        <v>512</v>
      </c>
      <c r="M188" t="s">
        <v>1165</v>
      </c>
      <c r="N188" t="s">
        <v>1222</v>
      </c>
    </row>
    <row r="189" spans="1:14" hidden="1" x14ac:dyDescent="0.3">
      <c r="A189" t="s">
        <v>502</v>
      </c>
      <c r="B189" t="s">
        <v>1223</v>
      </c>
      <c r="C189">
        <v>722</v>
      </c>
      <c r="D189" t="s">
        <v>1224</v>
      </c>
      <c r="E189" t="s">
        <v>24</v>
      </c>
      <c r="F189" t="s">
        <v>10</v>
      </c>
      <c r="G189" t="s">
        <v>230</v>
      </c>
      <c r="H189" t="s">
        <v>550</v>
      </c>
      <c r="I189">
        <v>44</v>
      </c>
      <c r="K189" t="s">
        <v>510</v>
      </c>
      <c r="L189" t="s">
        <v>512</v>
      </c>
      <c r="M189" t="s">
        <v>1225</v>
      </c>
      <c r="N189" t="s">
        <v>1226</v>
      </c>
    </row>
    <row r="190" spans="1:14" hidden="1" x14ac:dyDescent="0.3">
      <c r="A190" t="s">
        <v>502</v>
      </c>
      <c r="B190" t="s">
        <v>1227</v>
      </c>
      <c r="C190">
        <v>722</v>
      </c>
      <c r="D190" t="s">
        <v>1228</v>
      </c>
      <c r="E190" t="s">
        <v>43</v>
      </c>
      <c r="F190" t="s">
        <v>125</v>
      </c>
      <c r="G190" t="s">
        <v>231</v>
      </c>
      <c r="H190" t="s">
        <v>551</v>
      </c>
      <c r="I190" t="s">
        <v>40</v>
      </c>
      <c r="K190" t="s">
        <v>507</v>
      </c>
      <c r="L190" t="s">
        <v>512</v>
      </c>
      <c r="M190" t="s">
        <v>1069</v>
      </c>
      <c r="N190" t="s">
        <v>1229</v>
      </c>
    </row>
    <row r="191" spans="1:14" hidden="1" x14ac:dyDescent="0.3">
      <c r="A191" t="s">
        <v>504</v>
      </c>
      <c r="B191" t="s">
        <v>1230</v>
      </c>
      <c r="C191">
        <v>0</v>
      </c>
      <c r="D191" t="s">
        <v>1231</v>
      </c>
      <c r="E191" t="s">
        <v>57</v>
      </c>
      <c r="F191" t="s">
        <v>125</v>
      </c>
      <c r="G191" t="s">
        <v>240</v>
      </c>
      <c r="H191" t="s">
        <v>521</v>
      </c>
      <c r="I191" t="s">
        <v>241</v>
      </c>
      <c r="K191" t="s">
        <v>511</v>
      </c>
      <c r="L191" t="s">
        <v>512</v>
      </c>
      <c r="M191" t="s">
        <v>1232</v>
      </c>
      <c r="N191" t="s">
        <v>1233</v>
      </c>
    </row>
    <row r="192" spans="1:14" hidden="1" x14ac:dyDescent="0.3">
      <c r="A192" t="s">
        <v>503</v>
      </c>
      <c r="B192" t="s">
        <v>1234</v>
      </c>
      <c r="C192">
        <v>0</v>
      </c>
      <c r="D192" t="s">
        <v>1235</v>
      </c>
      <c r="E192" t="s">
        <v>17</v>
      </c>
      <c r="F192" t="s">
        <v>10</v>
      </c>
      <c r="G192" t="s">
        <v>242</v>
      </c>
      <c r="H192" t="s">
        <v>521</v>
      </c>
      <c r="I192" t="s">
        <v>241</v>
      </c>
      <c r="K192" t="s">
        <v>509</v>
      </c>
      <c r="L192" t="s">
        <v>512</v>
      </c>
      <c r="M192" t="s">
        <v>1236</v>
      </c>
      <c r="N192" t="s">
        <v>1237</v>
      </c>
    </row>
    <row r="193" spans="1:15" hidden="1" x14ac:dyDescent="0.3">
      <c r="A193" t="s">
        <v>497</v>
      </c>
      <c r="B193" t="s">
        <v>1238</v>
      </c>
      <c r="C193">
        <v>0</v>
      </c>
      <c r="D193" t="s">
        <v>1239</v>
      </c>
      <c r="E193" t="s">
        <v>17</v>
      </c>
      <c r="F193" t="s">
        <v>10</v>
      </c>
      <c r="G193" t="s">
        <v>251</v>
      </c>
      <c r="H193" t="s">
        <v>537</v>
      </c>
      <c r="I193" t="s">
        <v>252</v>
      </c>
      <c r="K193" t="s">
        <v>509</v>
      </c>
      <c r="L193" t="s">
        <v>512</v>
      </c>
      <c r="M193" t="s">
        <v>1240</v>
      </c>
      <c r="N193" t="s">
        <v>1241</v>
      </c>
    </row>
    <row r="194" spans="1:15" hidden="1" x14ac:dyDescent="0.3">
      <c r="A194" t="s">
        <v>498</v>
      </c>
      <c r="B194" t="s">
        <v>1242</v>
      </c>
      <c r="C194">
        <v>0</v>
      </c>
      <c r="D194" t="s">
        <v>1243</v>
      </c>
      <c r="E194" t="s">
        <v>35</v>
      </c>
      <c r="F194" t="s">
        <v>27</v>
      </c>
      <c r="G194" t="s">
        <v>261</v>
      </c>
      <c r="H194" t="s">
        <v>537</v>
      </c>
      <c r="I194" t="s">
        <v>241</v>
      </c>
      <c r="K194" t="s">
        <v>511</v>
      </c>
      <c r="L194" t="s">
        <v>512</v>
      </c>
      <c r="M194" t="s">
        <v>1244</v>
      </c>
      <c r="N194" t="s">
        <v>1245</v>
      </c>
      <c r="O194" t="s">
        <v>562</v>
      </c>
    </row>
    <row r="195" spans="1:15" hidden="1" x14ac:dyDescent="0.3">
      <c r="A195" t="s">
        <v>478</v>
      </c>
      <c r="B195" t="s">
        <v>1246</v>
      </c>
      <c r="C195">
        <v>0</v>
      </c>
      <c r="D195" t="s">
        <v>1247</v>
      </c>
      <c r="E195" t="s">
        <v>43</v>
      </c>
      <c r="F195" t="s">
        <v>10</v>
      </c>
      <c r="G195" t="s">
        <v>269</v>
      </c>
      <c r="H195" t="s">
        <v>521</v>
      </c>
      <c r="I195" t="s">
        <v>241</v>
      </c>
      <c r="K195" t="s">
        <v>507</v>
      </c>
      <c r="L195" t="s">
        <v>512</v>
      </c>
      <c r="M195" t="s">
        <v>1248</v>
      </c>
      <c r="N195" t="s">
        <v>1249</v>
      </c>
    </row>
    <row r="196" spans="1:15" hidden="1" x14ac:dyDescent="0.3">
      <c r="A196" t="s">
        <v>479</v>
      </c>
      <c r="B196" t="s">
        <v>1250</v>
      </c>
      <c r="C196">
        <v>0</v>
      </c>
      <c r="D196" t="s">
        <v>1251</v>
      </c>
      <c r="E196" t="s">
        <v>57</v>
      </c>
      <c r="F196" t="s">
        <v>27</v>
      </c>
      <c r="G196" t="s">
        <v>278</v>
      </c>
      <c r="H196" t="s">
        <v>521</v>
      </c>
      <c r="I196" t="s">
        <v>241</v>
      </c>
      <c r="K196" t="s">
        <v>511</v>
      </c>
      <c r="L196" t="s">
        <v>512</v>
      </c>
      <c r="M196" t="s">
        <v>1252</v>
      </c>
      <c r="N196" t="s">
        <v>1253</v>
      </c>
    </row>
    <row r="197" spans="1:15" hidden="1" x14ac:dyDescent="0.3">
      <c r="A197" t="s">
        <v>480</v>
      </c>
      <c r="B197" t="s">
        <v>1254</v>
      </c>
      <c r="C197">
        <v>0</v>
      </c>
      <c r="D197" t="s">
        <v>1255</v>
      </c>
      <c r="E197" t="s">
        <v>24</v>
      </c>
      <c r="F197" t="s">
        <v>10</v>
      </c>
      <c r="G197" t="s">
        <v>286</v>
      </c>
      <c r="H197" t="s">
        <v>521</v>
      </c>
      <c r="I197" t="s">
        <v>241</v>
      </c>
      <c r="K197" t="s">
        <v>510</v>
      </c>
      <c r="L197" t="s">
        <v>512</v>
      </c>
      <c r="M197" t="s">
        <v>1256</v>
      </c>
      <c r="N197" t="s">
        <v>1257</v>
      </c>
    </row>
    <row r="198" spans="1:15" hidden="1" x14ac:dyDescent="0.3">
      <c r="A198" t="s">
        <v>481</v>
      </c>
      <c r="B198" t="s">
        <v>1258</v>
      </c>
      <c r="C198">
        <v>0</v>
      </c>
      <c r="D198" t="s">
        <v>1259</v>
      </c>
      <c r="E198" t="s">
        <v>35</v>
      </c>
      <c r="F198" t="s">
        <v>27</v>
      </c>
      <c r="G198" t="s">
        <v>294</v>
      </c>
      <c r="H198" t="s">
        <v>521</v>
      </c>
      <c r="I198" t="s">
        <v>295</v>
      </c>
      <c r="K198" t="s">
        <v>511</v>
      </c>
      <c r="L198" t="s">
        <v>512</v>
      </c>
      <c r="M198" t="s">
        <v>1260</v>
      </c>
      <c r="N198" t="s">
        <v>1261</v>
      </c>
    </row>
    <row r="199" spans="1:15" hidden="1" x14ac:dyDescent="0.3">
      <c r="A199" t="s">
        <v>482</v>
      </c>
      <c r="B199" t="s">
        <v>1262</v>
      </c>
      <c r="C199">
        <v>0</v>
      </c>
      <c r="D199" t="s">
        <v>1263</v>
      </c>
      <c r="E199" t="s">
        <v>24</v>
      </c>
      <c r="F199" t="s">
        <v>27</v>
      </c>
      <c r="G199" t="s">
        <v>297</v>
      </c>
      <c r="H199" t="s">
        <v>521</v>
      </c>
      <c r="I199" t="s">
        <v>241</v>
      </c>
      <c r="K199" t="s">
        <v>510</v>
      </c>
      <c r="L199" t="s">
        <v>512</v>
      </c>
      <c r="M199" t="s">
        <v>1264</v>
      </c>
      <c r="N199" t="s">
        <v>1265</v>
      </c>
    </row>
    <row r="200" spans="1:15" hidden="1" x14ac:dyDescent="0.3">
      <c r="A200" t="s">
        <v>484</v>
      </c>
      <c r="B200" t="s">
        <v>1266</v>
      </c>
      <c r="C200">
        <v>0</v>
      </c>
      <c r="D200" t="s">
        <v>1267</v>
      </c>
      <c r="E200" t="s">
        <v>17</v>
      </c>
      <c r="F200" t="s">
        <v>27</v>
      </c>
      <c r="G200" t="s">
        <v>317</v>
      </c>
      <c r="H200" t="s">
        <v>521</v>
      </c>
      <c r="I200" t="s">
        <v>241</v>
      </c>
      <c r="K200" t="s">
        <v>509</v>
      </c>
      <c r="L200" t="s">
        <v>512</v>
      </c>
      <c r="M200" t="s">
        <v>1268</v>
      </c>
      <c r="N200" t="s">
        <v>1269</v>
      </c>
    </row>
    <row r="201" spans="1:15" hidden="1" x14ac:dyDescent="0.3">
      <c r="A201" t="s">
        <v>485</v>
      </c>
      <c r="B201" t="s">
        <v>1270</v>
      </c>
      <c r="C201">
        <v>0</v>
      </c>
      <c r="D201" t="s">
        <v>1271</v>
      </c>
      <c r="E201" t="s">
        <v>9</v>
      </c>
      <c r="F201" t="s">
        <v>10</v>
      </c>
      <c r="G201" t="s">
        <v>327</v>
      </c>
      <c r="H201" t="s">
        <v>521</v>
      </c>
      <c r="I201" t="s">
        <v>241</v>
      </c>
      <c r="K201" t="s">
        <v>508</v>
      </c>
      <c r="L201" t="s">
        <v>512</v>
      </c>
      <c r="M201" t="s">
        <v>1272</v>
      </c>
      <c r="N201" t="s">
        <v>1273</v>
      </c>
    </row>
    <row r="202" spans="1:15" hidden="1" x14ac:dyDescent="0.3">
      <c r="A202" t="s">
        <v>486</v>
      </c>
      <c r="B202" t="s">
        <v>1274</v>
      </c>
      <c r="C202">
        <v>0</v>
      </c>
      <c r="D202" t="s">
        <v>1275</v>
      </c>
      <c r="E202" t="s">
        <v>43</v>
      </c>
      <c r="F202" t="s">
        <v>27</v>
      </c>
      <c r="G202" t="s">
        <v>337</v>
      </c>
      <c r="H202" t="s">
        <v>521</v>
      </c>
      <c r="I202" t="s">
        <v>241</v>
      </c>
      <c r="K202" t="s">
        <v>507</v>
      </c>
      <c r="L202" t="s">
        <v>512</v>
      </c>
      <c r="M202" t="s">
        <v>1240</v>
      </c>
      <c r="N202" t="s">
        <v>1276</v>
      </c>
    </row>
    <row r="203" spans="1:15" hidden="1" x14ac:dyDescent="0.3">
      <c r="A203" t="s">
        <v>487</v>
      </c>
      <c r="B203" t="s">
        <v>1277</v>
      </c>
      <c r="C203">
        <v>0</v>
      </c>
      <c r="D203" t="s">
        <v>1278</v>
      </c>
      <c r="E203" t="s">
        <v>46</v>
      </c>
      <c r="F203" t="s">
        <v>10</v>
      </c>
      <c r="G203" t="s">
        <v>346</v>
      </c>
      <c r="H203" t="s">
        <v>521</v>
      </c>
      <c r="I203" t="s">
        <v>241</v>
      </c>
      <c r="K203" t="s">
        <v>507</v>
      </c>
      <c r="L203" t="s">
        <v>512</v>
      </c>
      <c r="M203" t="s">
        <v>1279</v>
      </c>
      <c r="N203" t="s">
        <v>1280</v>
      </c>
    </row>
    <row r="204" spans="1:15" hidden="1" x14ac:dyDescent="0.3">
      <c r="A204" t="s">
        <v>488</v>
      </c>
      <c r="B204" t="s">
        <v>1281</v>
      </c>
      <c r="C204">
        <v>0</v>
      </c>
      <c r="D204" t="s">
        <v>1282</v>
      </c>
      <c r="E204" t="s">
        <v>102</v>
      </c>
      <c r="F204" t="s">
        <v>27</v>
      </c>
      <c r="G204" t="s">
        <v>349</v>
      </c>
      <c r="H204" t="s">
        <v>521</v>
      </c>
      <c r="I204" t="s">
        <v>241</v>
      </c>
      <c r="K204" t="s">
        <v>508</v>
      </c>
      <c r="L204" t="s">
        <v>512</v>
      </c>
      <c r="M204" t="s">
        <v>1283</v>
      </c>
      <c r="N204" t="s">
        <v>1284</v>
      </c>
    </row>
    <row r="205" spans="1:15" hidden="1" x14ac:dyDescent="0.3">
      <c r="A205" t="s">
        <v>489</v>
      </c>
      <c r="B205" t="s">
        <v>1285</v>
      </c>
      <c r="C205">
        <v>0</v>
      </c>
      <c r="D205" t="s">
        <v>1286</v>
      </c>
      <c r="E205" t="s">
        <v>24</v>
      </c>
      <c r="F205" t="s">
        <v>27</v>
      </c>
      <c r="G205" t="s">
        <v>366</v>
      </c>
      <c r="H205" t="s">
        <v>521</v>
      </c>
      <c r="I205" t="s">
        <v>295</v>
      </c>
      <c r="K205" t="s">
        <v>510</v>
      </c>
      <c r="L205" t="s">
        <v>512</v>
      </c>
      <c r="M205" t="s">
        <v>1287</v>
      </c>
      <c r="N205" t="s">
        <v>1288</v>
      </c>
    </row>
    <row r="206" spans="1:15" hidden="1" x14ac:dyDescent="0.3">
      <c r="A206" t="s">
        <v>490</v>
      </c>
      <c r="B206" t="s">
        <v>1289</v>
      </c>
      <c r="C206">
        <v>0</v>
      </c>
      <c r="D206" t="s">
        <v>1290</v>
      </c>
      <c r="E206" t="s">
        <v>43</v>
      </c>
      <c r="F206" t="s">
        <v>10</v>
      </c>
      <c r="G206" t="s">
        <v>376</v>
      </c>
      <c r="H206" t="s">
        <v>521</v>
      </c>
      <c r="I206" t="s">
        <v>295</v>
      </c>
      <c r="K206" t="s">
        <v>507</v>
      </c>
      <c r="L206" t="s">
        <v>512</v>
      </c>
      <c r="M206" t="s">
        <v>1256</v>
      </c>
      <c r="N206" t="s">
        <v>1291</v>
      </c>
    </row>
    <row r="207" spans="1:15" hidden="1" x14ac:dyDescent="0.3">
      <c r="A207" t="s">
        <v>491</v>
      </c>
      <c r="B207" t="s">
        <v>1292</v>
      </c>
      <c r="C207">
        <v>0</v>
      </c>
      <c r="D207" t="s">
        <v>1293</v>
      </c>
      <c r="E207" t="s">
        <v>50</v>
      </c>
      <c r="F207" t="s">
        <v>27</v>
      </c>
      <c r="G207" t="s">
        <v>386</v>
      </c>
      <c r="H207" t="s">
        <v>521</v>
      </c>
      <c r="I207" t="s">
        <v>241</v>
      </c>
      <c r="K207" t="s">
        <v>510</v>
      </c>
      <c r="L207" t="s">
        <v>512</v>
      </c>
      <c r="M207" t="s">
        <v>1294</v>
      </c>
      <c r="N207" t="s">
        <v>1295</v>
      </c>
    </row>
    <row r="208" spans="1:15" hidden="1" x14ac:dyDescent="0.3">
      <c r="A208" t="s">
        <v>492</v>
      </c>
      <c r="B208" t="s">
        <v>1296</v>
      </c>
      <c r="C208">
        <v>0</v>
      </c>
      <c r="D208" t="s">
        <v>1297</v>
      </c>
      <c r="E208" t="s">
        <v>24</v>
      </c>
      <c r="F208" t="s">
        <v>10</v>
      </c>
      <c r="G208" t="s">
        <v>396</v>
      </c>
      <c r="H208" t="s">
        <v>521</v>
      </c>
      <c r="I208" t="s">
        <v>295</v>
      </c>
      <c r="K208" t="s">
        <v>510</v>
      </c>
      <c r="L208" t="s">
        <v>512</v>
      </c>
      <c r="M208" t="s">
        <v>1298</v>
      </c>
      <c r="N208" t="s">
        <v>1299</v>
      </c>
    </row>
    <row r="209" spans="1:14" hidden="1" x14ac:dyDescent="0.3">
      <c r="A209" t="s">
        <v>494</v>
      </c>
      <c r="B209" t="s">
        <v>1300</v>
      </c>
      <c r="C209">
        <v>0</v>
      </c>
      <c r="D209" t="s">
        <v>1301</v>
      </c>
      <c r="E209" t="s">
        <v>50</v>
      </c>
      <c r="F209" t="s">
        <v>27</v>
      </c>
      <c r="G209" t="s">
        <v>415</v>
      </c>
      <c r="H209" t="s">
        <v>521</v>
      </c>
      <c r="I209" t="s">
        <v>295</v>
      </c>
      <c r="K209" t="s">
        <v>510</v>
      </c>
      <c r="L209" t="s">
        <v>512</v>
      </c>
      <c r="M209" t="s">
        <v>1302</v>
      </c>
      <c r="N209" t="s">
        <v>1303</v>
      </c>
    </row>
    <row r="210" spans="1:14" hidden="1" x14ac:dyDescent="0.3">
      <c r="A210" t="s">
        <v>495</v>
      </c>
      <c r="B210" t="s">
        <v>1304</v>
      </c>
      <c r="C210">
        <v>0</v>
      </c>
      <c r="D210" t="s">
        <v>1305</v>
      </c>
      <c r="E210" t="s">
        <v>13</v>
      </c>
      <c r="F210" t="s">
        <v>10</v>
      </c>
      <c r="G210" t="s">
        <v>426</v>
      </c>
      <c r="H210" t="s">
        <v>521</v>
      </c>
      <c r="I210" t="s">
        <v>295</v>
      </c>
      <c r="K210" t="s">
        <v>509</v>
      </c>
      <c r="L210" t="s">
        <v>512</v>
      </c>
      <c r="M210" t="s">
        <v>1283</v>
      </c>
      <c r="N210" t="s">
        <v>1306</v>
      </c>
    </row>
    <row r="211" spans="1:14" hidden="1" x14ac:dyDescent="0.3">
      <c r="A211" t="s">
        <v>496</v>
      </c>
      <c r="B211" t="s">
        <v>1307</v>
      </c>
      <c r="C211">
        <v>0</v>
      </c>
      <c r="D211" t="s">
        <v>1308</v>
      </c>
      <c r="E211" t="s">
        <v>46</v>
      </c>
      <c r="F211" t="s">
        <v>27</v>
      </c>
      <c r="G211" t="s">
        <v>438</v>
      </c>
      <c r="H211" t="s">
        <v>521</v>
      </c>
      <c r="I211" t="s">
        <v>241</v>
      </c>
      <c r="K211" t="s">
        <v>507</v>
      </c>
      <c r="L211" t="s">
        <v>512</v>
      </c>
      <c r="M211" t="s">
        <v>1240</v>
      </c>
      <c r="N211" t="s">
        <v>1309</v>
      </c>
    </row>
    <row r="212" spans="1:14" hidden="1" x14ac:dyDescent="0.3">
      <c r="A212" t="s">
        <v>499</v>
      </c>
      <c r="B212" t="s">
        <v>1310</v>
      </c>
      <c r="C212">
        <v>0</v>
      </c>
      <c r="D212" t="s">
        <v>1311</v>
      </c>
      <c r="E212" t="s">
        <v>50</v>
      </c>
      <c r="F212" t="s">
        <v>125</v>
      </c>
      <c r="G212" t="s">
        <v>443</v>
      </c>
      <c r="H212" t="s">
        <v>539</v>
      </c>
      <c r="K212" t="s">
        <v>510</v>
      </c>
      <c r="L212" t="s">
        <v>512</v>
      </c>
      <c r="M212" t="s">
        <v>1312</v>
      </c>
      <c r="N212" t="s">
        <v>1313</v>
      </c>
    </row>
    <row r="213" spans="1:14" hidden="1" x14ac:dyDescent="0.3">
      <c r="A213" t="s">
        <v>499</v>
      </c>
      <c r="B213" t="s">
        <v>1314</v>
      </c>
      <c r="C213">
        <v>0</v>
      </c>
      <c r="D213" t="s">
        <v>1315</v>
      </c>
      <c r="E213" t="s">
        <v>275</v>
      </c>
      <c r="F213" t="s">
        <v>27</v>
      </c>
      <c r="G213" t="s">
        <v>447</v>
      </c>
      <c r="H213" t="s">
        <v>537</v>
      </c>
      <c r="I213" t="s">
        <v>252</v>
      </c>
      <c r="K213" t="s">
        <v>510</v>
      </c>
      <c r="L213" t="s">
        <v>512</v>
      </c>
      <c r="M213" t="s">
        <v>1316</v>
      </c>
      <c r="N213" t="s">
        <v>1317</v>
      </c>
    </row>
    <row r="214" spans="1:14" hidden="1" x14ac:dyDescent="0.3">
      <c r="A214" t="s">
        <v>500</v>
      </c>
      <c r="B214" t="s">
        <v>1318</v>
      </c>
      <c r="C214">
        <v>0</v>
      </c>
      <c r="D214" t="s">
        <v>1319</v>
      </c>
      <c r="E214" t="s">
        <v>35</v>
      </c>
      <c r="F214" t="s">
        <v>10</v>
      </c>
      <c r="G214" t="s">
        <v>456</v>
      </c>
      <c r="H214" t="s">
        <v>541</v>
      </c>
      <c r="K214" t="s">
        <v>511</v>
      </c>
      <c r="L214" t="s">
        <v>512</v>
      </c>
      <c r="M214" t="s">
        <v>1320</v>
      </c>
      <c r="N214" t="s">
        <v>1321</v>
      </c>
    </row>
    <row r="215" spans="1:14" hidden="1" x14ac:dyDescent="0.3">
      <c r="A215" t="s">
        <v>500</v>
      </c>
      <c r="B215" t="s">
        <v>1322</v>
      </c>
      <c r="C215">
        <v>0</v>
      </c>
      <c r="D215" t="s">
        <v>1323</v>
      </c>
      <c r="E215" t="s">
        <v>29</v>
      </c>
      <c r="F215" t="s">
        <v>27</v>
      </c>
      <c r="G215" t="s">
        <v>458</v>
      </c>
      <c r="H215" t="s">
        <v>537</v>
      </c>
      <c r="I215" t="s">
        <v>241</v>
      </c>
      <c r="K215" t="s">
        <v>508</v>
      </c>
      <c r="L215" t="s">
        <v>512</v>
      </c>
      <c r="M215" t="s">
        <v>1324</v>
      </c>
      <c r="N215" t="s">
        <v>1325</v>
      </c>
    </row>
    <row r="216" spans="1:14" x14ac:dyDescent="0.3">
      <c r="A216" t="s">
        <v>503</v>
      </c>
      <c r="B216" t="s">
        <v>1001</v>
      </c>
      <c r="C216">
        <v>512</v>
      </c>
      <c r="D216" t="s">
        <v>1002</v>
      </c>
      <c r="E216" t="s">
        <v>24</v>
      </c>
      <c r="F216" t="s">
        <v>27</v>
      </c>
      <c r="G216" t="s">
        <v>162</v>
      </c>
      <c r="H216" t="s">
        <v>531</v>
      </c>
      <c r="I216">
        <v>41</v>
      </c>
      <c r="K216" t="s">
        <v>508</v>
      </c>
      <c r="L216" t="s">
        <v>512</v>
      </c>
      <c r="M216" t="s">
        <v>824</v>
      </c>
      <c r="N216" t="s">
        <v>1003</v>
      </c>
    </row>
    <row r="217" spans="1:14" x14ac:dyDescent="0.3">
      <c r="A217" t="s">
        <v>503</v>
      </c>
      <c r="B217" t="s">
        <v>1026</v>
      </c>
      <c r="C217">
        <v>512</v>
      </c>
      <c r="D217" t="s">
        <v>1027</v>
      </c>
      <c r="E217" t="s">
        <v>26</v>
      </c>
      <c r="F217" t="s">
        <v>27</v>
      </c>
      <c r="G217" t="s">
        <v>169</v>
      </c>
      <c r="H217" t="s">
        <v>531</v>
      </c>
      <c r="I217">
        <v>31</v>
      </c>
      <c r="K217" t="s">
        <v>511</v>
      </c>
      <c r="L217" t="s">
        <v>512</v>
      </c>
      <c r="M217" t="s">
        <v>1028</v>
      </c>
      <c r="N217" t="s">
        <v>1029</v>
      </c>
    </row>
  </sheetData>
  <autoFilter ref="A2:O215" xr:uid="{00000000-0009-0000-0000-000009000000}">
    <filterColumn colId="7">
      <filters>
        <filter val="LAB DE PROGRAM"/>
      </filters>
    </filterColumn>
  </autoFilter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8"/>
  <dimension ref="A1:C41"/>
  <sheetViews>
    <sheetView workbookViewId="0">
      <selection activeCell="H40" sqref="H40"/>
    </sheetView>
  </sheetViews>
  <sheetFormatPr baseColWidth="10" defaultRowHeight="14.4" x14ac:dyDescent="0.3"/>
  <cols>
    <col min="2" max="2" width="32.88671875" customWidth="1"/>
  </cols>
  <sheetData>
    <row r="1" spans="1:3" x14ac:dyDescent="0.3">
      <c r="A1">
        <v>111</v>
      </c>
      <c r="B1" t="s">
        <v>1378</v>
      </c>
      <c r="C1" t="s">
        <v>1379</v>
      </c>
    </row>
    <row r="2" spans="1:3" x14ac:dyDescent="0.3">
      <c r="A2">
        <v>122</v>
      </c>
      <c r="B2" t="s">
        <v>1378</v>
      </c>
      <c r="C2" t="s">
        <v>1380</v>
      </c>
    </row>
    <row r="3" spans="1:3" x14ac:dyDescent="0.3">
      <c r="A3">
        <v>142</v>
      </c>
      <c r="B3" t="s">
        <v>1378</v>
      </c>
      <c r="C3" t="s">
        <v>1381</v>
      </c>
    </row>
    <row r="4" spans="1:3" x14ac:dyDescent="0.3">
      <c r="A4">
        <v>161</v>
      </c>
      <c r="B4" t="s">
        <v>1382</v>
      </c>
      <c r="C4" t="s">
        <v>1383</v>
      </c>
    </row>
    <row r="5" spans="1:3" x14ac:dyDescent="0.3">
      <c r="A5">
        <v>162</v>
      </c>
      <c r="B5" t="s">
        <v>1382</v>
      </c>
      <c r="C5" t="s">
        <v>1383</v>
      </c>
    </row>
    <row r="6" spans="1:3" x14ac:dyDescent="0.3">
      <c r="A6">
        <v>232</v>
      </c>
      <c r="B6" t="s">
        <v>1382</v>
      </c>
      <c r="C6" t="s">
        <v>1384</v>
      </c>
    </row>
    <row r="7" spans="1:3" x14ac:dyDescent="0.3">
      <c r="A7">
        <v>241</v>
      </c>
      <c r="B7" t="s">
        <v>1385</v>
      </c>
      <c r="C7" t="s">
        <v>1379</v>
      </c>
    </row>
    <row r="8" spans="1:3" x14ac:dyDescent="0.3">
      <c r="A8">
        <v>242</v>
      </c>
      <c r="B8" t="s">
        <v>1378</v>
      </c>
      <c r="C8" t="s">
        <v>1381</v>
      </c>
    </row>
    <row r="9" spans="1:3" x14ac:dyDescent="0.3">
      <c r="A9">
        <v>252</v>
      </c>
      <c r="B9" t="s">
        <v>1382</v>
      </c>
      <c r="C9" t="s">
        <v>1386</v>
      </c>
    </row>
    <row r="10" spans="1:3" x14ac:dyDescent="0.3">
      <c r="A10">
        <v>252</v>
      </c>
      <c r="B10" t="s">
        <v>1378</v>
      </c>
      <c r="C10" t="s">
        <v>1387</v>
      </c>
    </row>
    <row r="11" spans="1:3" x14ac:dyDescent="0.3">
      <c r="A11">
        <v>312</v>
      </c>
      <c r="B11" t="s">
        <v>1382</v>
      </c>
      <c r="C11" t="s">
        <v>1384</v>
      </c>
    </row>
    <row r="12" spans="1:3" x14ac:dyDescent="0.3">
      <c r="A12">
        <v>332</v>
      </c>
      <c r="B12" t="s">
        <v>1378</v>
      </c>
      <c r="C12" t="s">
        <v>1388</v>
      </c>
    </row>
    <row r="13" spans="1:3" x14ac:dyDescent="0.3">
      <c r="A13">
        <v>341</v>
      </c>
      <c r="B13" t="s">
        <v>1382</v>
      </c>
      <c r="C13" t="s">
        <v>1388</v>
      </c>
    </row>
    <row r="14" spans="1:3" x14ac:dyDescent="0.3">
      <c r="A14">
        <v>341</v>
      </c>
      <c r="B14" t="s">
        <v>1385</v>
      </c>
      <c r="C14" t="s">
        <v>1389</v>
      </c>
    </row>
    <row r="15" spans="1:3" x14ac:dyDescent="0.3">
      <c r="A15">
        <v>342</v>
      </c>
      <c r="B15" t="s">
        <v>1385</v>
      </c>
      <c r="C15" t="s">
        <v>1389</v>
      </c>
    </row>
    <row r="18" spans="1:3" x14ac:dyDescent="0.3">
      <c r="A18">
        <v>411</v>
      </c>
      <c r="B18" t="s">
        <v>1390</v>
      </c>
      <c r="C18" t="s">
        <v>1391</v>
      </c>
    </row>
    <row r="19" spans="1:3" x14ac:dyDescent="0.3">
      <c r="A19">
        <v>412</v>
      </c>
      <c r="B19" t="s">
        <v>1390</v>
      </c>
      <c r="C19" t="s">
        <v>1391</v>
      </c>
    </row>
    <row r="20" spans="1:3" x14ac:dyDescent="0.3">
      <c r="A20">
        <v>511</v>
      </c>
      <c r="B20" t="s">
        <v>1392</v>
      </c>
      <c r="C20" t="s">
        <v>1393</v>
      </c>
    </row>
    <row r="21" spans="1:3" x14ac:dyDescent="0.3">
      <c r="A21">
        <v>512</v>
      </c>
      <c r="B21" t="s">
        <v>1392</v>
      </c>
      <c r="C21" t="s">
        <v>1393</v>
      </c>
    </row>
    <row r="22" spans="1:3" x14ac:dyDescent="0.3">
      <c r="A22">
        <v>521</v>
      </c>
      <c r="B22" t="s">
        <v>1394</v>
      </c>
      <c r="C22" t="s">
        <v>1380</v>
      </c>
    </row>
    <row r="23" spans="1:3" x14ac:dyDescent="0.3">
      <c r="A23">
        <v>521</v>
      </c>
      <c r="B23" t="s">
        <v>1392</v>
      </c>
      <c r="C23" t="s">
        <v>1393</v>
      </c>
    </row>
    <row r="24" spans="1:3" x14ac:dyDescent="0.3">
      <c r="A24">
        <v>522</v>
      </c>
      <c r="B24" t="s">
        <v>1395</v>
      </c>
      <c r="C24" t="s">
        <v>1396</v>
      </c>
    </row>
    <row r="25" spans="1:3" x14ac:dyDescent="0.3">
      <c r="A25">
        <v>522</v>
      </c>
      <c r="B25" t="s">
        <v>1397</v>
      </c>
      <c r="C25" t="s">
        <v>1398</v>
      </c>
    </row>
    <row r="26" spans="1:3" x14ac:dyDescent="0.3">
      <c r="A26">
        <v>531</v>
      </c>
      <c r="B26" t="s">
        <v>1399</v>
      </c>
      <c r="C26" t="s">
        <v>1400</v>
      </c>
    </row>
    <row r="27" spans="1:3" x14ac:dyDescent="0.3">
      <c r="A27">
        <v>531</v>
      </c>
      <c r="B27" t="s">
        <v>1401</v>
      </c>
      <c r="C27" t="s">
        <v>1388</v>
      </c>
    </row>
    <row r="28" spans="1:3" x14ac:dyDescent="0.3">
      <c r="A28">
        <v>532</v>
      </c>
      <c r="B28" t="s">
        <v>1402</v>
      </c>
      <c r="C28" t="s">
        <v>1403</v>
      </c>
    </row>
    <row r="29" spans="1:3" x14ac:dyDescent="0.3">
      <c r="A29">
        <v>532</v>
      </c>
      <c r="B29" t="s">
        <v>1401</v>
      </c>
      <c r="C29" t="s">
        <v>1403</v>
      </c>
    </row>
    <row r="30" spans="1:3" x14ac:dyDescent="0.3">
      <c r="A30">
        <v>541</v>
      </c>
      <c r="B30" t="s">
        <v>1404</v>
      </c>
      <c r="C30" t="s">
        <v>1405</v>
      </c>
    </row>
    <row r="31" spans="1:3" x14ac:dyDescent="0.3">
      <c r="A31">
        <v>542</v>
      </c>
      <c r="B31" t="s">
        <v>1406</v>
      </c>
      <c r="C31" t="s">
        <v>1405</v>
      </c>
    </row>
    <row r="32" spans="1:3" x14ac:dyDescent="0.3">
      <c r="A32">
        <v>551</v>
      </c>
      <c r="B32" t="s">
        <v>1407</v>
      </c>
      <c r="C32" t="s">
        <v>1393</v>
      </c>
    </row>
    <row r="33" spans="1:3" x14ac:dyDescent="0.3">
      <c r="A33">
        <v>552</v>
      </c>
      <c r="B33" t="s">
        <v>1407</v>
      </c>
      <c r="C33" t="s">
        <v>1393</v>
      </c>
    </row>
    <row r="34" spans="1:3" x14ac:dyDescent="0.3">
      <c r="A34">
        <v>552</v>
      </c>
      <c r="B34" t="s">
        <v>1408</v>
      </c>
      <c r="C34" t="s">
        <v>1379</v>
      </c>
    </row>
    <row r="35" spans="1:3" x14ac:dyDescent="0.3">
      <c r="A35">
        <v>541</v>
      </c>
      <c r="B35" t="s">
        <v>1406</v>
      </c>
      <c r="C35" t="s">
        <v>1388</v>
      </c>
    </row>
    <row r="36" spans="1:3" x14ac:dyDescent="0.3">
      <c r="A36">
        <v>641</v>
      </c>
      <c r="B36" t="s">
        <v>1402</v>
      </c>
      <c r="C36" t="s">
        <v>1405</v>
      </c>
    </row>
    <row r="37" spans="1:3" x14ac:dyDescent="0.3">
      <c r="A37">
        <v>641</v>
      </c>
      <c r="B37" t="s">
        <v>1402</v>
      </c>
      <c r="C37" t="s">
        <v>1409</v>
      </c>
    </row>
    <row r="38" spans="1:3" x14ac:dyDescent="0.3">
      <c r="A38">
        <v>642</v>
      </c>
      <c r="B38" t="s">
        <v>1404</v>
      </c>
      <c r="C38" t="s">
        <v>1410</v>
      </c>
    </row>
    <row r="39" spans="1:3" x14ac:dyDescent="0.3">
      <c r="A39">
        <v>642</v>
      </c>
      <c r="B39" t="s">
        <v>1402</v>
      </c>
      <c r="C39" t="s">
        <v>1409</v>
      </c>
    </row>
    <row r="40" spans="1:3" x14ac:dyDescent="0.3">
      <c r="A40">
        <v>642</v>
      </c>
      <c r="B40" t="s">
        <v>1411</v>
      </c>
      <c r="C40" t="s">
        <v>1383</v>
      </c>
    </row>
    <row r="41" spans="1:3" x14ac:dyDescent="0.3">
      <c r="A41">
        <v>712</v>
      </c>
      <c r="B41" t="s">
        <v>549</v>
      </c>
      <c r="C41" t="s">
        <v>1412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9"/>
  <dimension ref="A1:K6"/>
  <sheetViews>
    <sheetView workbookViewId="0">
      <selection activeCell="K5" sqref="K5"/>
    </sheetView>
  </sheetViews>
  <sheetFormatPr baseColWidth="10" defaultRowHeight="14.4" x14ac:dyDescent="0.3"/>
  <cols>
    <col min="1" max="1" width="9.6640625" customWidth="1"/>
    <col min="3" max="3" width="8.5546875" customWidth="1"/>
    <col min="4" max="4" width="12.33203125" bestFit="1" customWidth="1"/>
    <col min="5" max="5" width="12.88671875" bestFit="1" customWidth="1"/>
    <col min="6" max="6" width="38.5546875" customWidth="1"/>
    <col min="7" max="7" width="28.109375" bestFit="1" customWidth="1"/>
    <col min="9" max="9" width="12.33203125" customWidth="1"/>
    <col min="11" max="11" width="18.109375" bestFit="1" customWidth="1"/>
  </cols>
  <sheetData>
    <row r="1" spans="1:11" x14ac:dyDescent="0.3">
      <c r="A1" s="31" t="s">
        <v>0</v>
      </c>
      <c r="B1" s="32" t="s">
        <v>1</v>
      </c>
      <c r="C1" s="33" t="s">
        <v>1430</v>
      </c>
      <c r="D1" s="32" t="s">
        <v>1422</v>
      </c>
      <c r="E1" s="32" t="s">
        <v>1431</v>
      </c>
      <c r="F1" s="32" t="s">
        <v>1432</v>
      </c>
      <c r="G1" s="33" t="s">
        <v>516</v>
      </c>
      <c r="H1" s="33" t="s">
        <v>1429</v>
      </c>
      <c r="I1" s="33" t="s">
        <v>1416</v>
      </c>
      <c r="J1" s="34" t="s">
        <v>1433</v>
      </c>
      <c r="K1" s="33" t="s">
        <v>1434</v>
      </c>
    </row>
    <row r="2" spans="1:11" x14ac:dyDescent="0.3">
      <c r="A2" s="26" t="s">
        <v>494</v>
      </c>
      <c r="B2" s="1">
        <v>422</v>
      </c>
      <c r="C2" s="4" t="s">
        <v>1423</v>
      </c>
      <c r="D2" s="1" t="s">
        <v>1418</v>
      </c>
      <c r="E2" s="1" t="s">
        <v>27</v>
      </c>
      <c r="F2" s="36" t="s">
        <v>525</v>
      </c>
      <c r="G2" s="2" t="s">
        <v>695</v>
      </c>
      <c r="H2" s="2" t="s">
        <v>1428</v>
      </c>
      <c r="I2" s="24">
        <v>1</v>
      </c>
      <c r="J2" s="38">
        <v>44833</v>
      </c>
      <c r="K2" t="s">
        <v>1435</v>
      </c>
    </row>
    <row r="3" spans="1:11" x14ac:dyDescent="0.3">
      <c r="A3" s="26" t="s">
        <v>500</v>
      </c>
      <c r="B3" s="1">
        <v>622</v>
      </c>
      <c r="C3" s="4" t="s">
        <v>1424</v>
      </c>
      <c r="D3" s="1" t="s">
        <v>1419</v>
      </c>
      <c r="E3" s="1" t="s">
        <v>27</v>
      </c>
      <c r="F3" s="36" t="s">
        <v>531</v>
      </c>
      <c r="G3" s="2" t="s">
        <v>695</v>
      </c>
      <c r="H3" s="2" t="s">
        <v>1428</v>
      </c>
      <c r="I3" s="24">
        <v>1</v>
      </c>
      <c r="J3" s="38">
        <v>44833</v>
      </c>
      <c r="K3" t="s">
        <v>1435</v>
      </c>
    </row>
    <row r="4" spans="1:11" x14ac:dyDescent="0.3">
      <c r="A4" s="26" t="s">
        <v>484</v>
      </c>
      <c r="B4" s="1">
        <v>222</v>
      </c>
      <c r="C4" s="4" t="s">
        <v>1425</v>
      </c>
      <c r="D4" s="1" t="s">
        <v>1419</v>
      </c>
      <c r="E4" s="1" t="s">
        <v>27</v>
      </c>
      <c r="F4" s="36" t="s">
        <v>1415</v>
      </c>
      <c r="G4" s="2" t="s">
        <v>695</v>
      </c>
      <c r="H4" s="2" t="s">
        <v>1428</v>
      </c>
      <c r="I4" s="24">
        <v>1</v>
      </c>
      <c r="J4" s="38">
        <v>44833</v>
      </c>
      <c r="K4" t="s">
        <v>1435</v>
      </c>
    </row>
    <row r="5" spans="1:11" x14ac:dyDescent="0.3">
      <c r="A5" s="26" t="s">
        <v>499</v>
      </c>
      <c r="B5" s="1">
        <v>611</v>
      </c>
      <c r="C5" s="4" t="s">
        <v>1426</v>
      </c>
      <c r="D5" s="1" t="s">
        <v>1420</v>
      </c>
      <c r="E5" s="1" t="s">
        <v>10</v>
      </c>
      <c r="F5" s="36" t="s">
        <v>531</v>
      </c>
      <c r="G5" s="2" t="s">
        <v>695</v>
      </c>
      <c r="H5" s="2" t="s">
        <v>1428</v>
      </c>
      <c r="I5" s="24">
        <v>1</v>
      </c>
      <c r="J5" s="38">
        <v>44833</v>
      </c>
      <c r="K5" t="s">
        <v>1435</v>
      </c>
    </row>
    <row r="6" spans="1:11" x14ac:dyDescent="0.3">
      <c r="A6" s="27" t="s">
        <v>1353</v>
      </c>
      <c r="B6" s="28">
        <v>552</v>
      </c>
      <c r="C6" s="29" t="s">
        <v>1427</v>
      </c>
      <c r="D6" s="28" t="s">
        <v>1421</v>
      </c>
      <c r="E6" s="28" t="s">
        <v>125</v>
      </c>
      <c r="F6" s="37" t="s">
        <v>532</v>
      </c>
      <c r="G6" s="29" t="s">
        <v>1417</v>
      </c>
      <c r="H6" s="30" t="s">
        <v>1414</v>
      </c>
      <c r="I6" s="35">
        <v>1</v>
      </c>
      <c r="J6" s="38">
        <v>44833</v>
      </c>
      <c r="K6" t="s">
        <v>1435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VESPERTINO</vt:lpstr>
      <vt:lpstr>TARDE</vt:lpstr>
      <vt:lpstr>MAÑANA</vt:lpstr>
      <vt:lpstr>Hoja4</vt:lpstr>
      <vt:lpstr>Hoja5</vt:lpstr>
      <vt:lpstr>CONTROL DE AULAS</vt:lpstr>
      <vt:lpstr>LISTADO</vt:lpstr>
      <vt:lpstr>Hoja3</vt:lpstr>
      <vt:lpstr>Hoja2</vt:lpstr>
      <vt:lpstr>LISTA_PARA_CARATULAS</vt:lpstr>
      <vt:lpstr>Hoja1</vt:lpstr>
      <vt:lpstr>RECLAMO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Alumno</dc:creator>
  <cp:lastModifiedBy>esteban damian rodriguez</cp:lastModifiedBy>
  <cp:lastPrinted>2025-06-10T21:06:00Z</cp:lastPrinted>
  <dcterms:created xsi:type="dcterms:W3CDTF">2022-02-22T13:36:42Z</dcterms:created>
  <dcterms:modified xsi:type="dcterms:W3CDTF">2026-09-02T10:44:30Z</dcterms:modified>
</cp:coreProperties>
</file>